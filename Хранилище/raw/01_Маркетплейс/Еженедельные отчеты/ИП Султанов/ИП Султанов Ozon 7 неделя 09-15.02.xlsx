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2. ИП Султанов OZON\С_7 нед\"/>
    </mc:Choice>
  </mc:AlternateContent>
  <xr:revisionPtr revIDLastSave="0" documentId="13_ncr:1_{642421F8-FC1B-4B79-88AC-056C891D54B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6" r:id="rId1"/>
    <sheet name="АВС 16-22.02" sheetId="39" state="hidden" r:id="rId2"/>
    <sheet name="АВС 09-15.02" sheetId="38" r:id="rId3"/>
    <sheet name="АВС 02-08.02" sheetId="25" state="hidden" r:id="rId4"/>
    <sheet name="АВС ЯНВАРЬ" sheetId="12" state="hidden" r:id="rId5"/>
    <sheet name="АВС 26.01-01.02" sheetId="10" state="hidden" r:id="rId6"/>
    <sheet name="АВС 19-25.01" sheetId="9" state="hidden" r:id="rId7"/>
    <sheet name="АВС 12-18.01" sheetId="8" state="hidden" r:id="rId8"/>
    <sheet name="АВС 05-11.01" sheetId="7" state="hidden" r:id="rId9"/>
    <sheet name="АВС 01-04.01" sheetId="11" state="hidden" r:id="rId10"/>
    <sheet name="Юнит 01.03" sheetId="35" state="hidden" r:id="rId11"/>
    <sheet name="ФЕВРАЛЬ" sheetId="37" r:id="rId12"/>
    <sheet name="Юнит 23.02-01.03" sheetId="36" state="hidden" r:id="rId13"/>
    <sheet name="Юнит 23-28.02" sheetId="34" state="hidden" r:id="rId14"/>
    <sheet name="Юнит 16-22.02" sheetId="33" state="hidden" r:id="rId15"/>
    <sheet name="Юнит 09-15.02" sheetId="28" r:id="rId16"/>
    <sheet name="Юнит 02-08.02" sheetId="24" state="hidden" r:id="rId17"/>
    <sheet name="Юнит 01.02" sheetId="19" state="hidden" r:id="rId18"/>
    <sheet name="ЯНВАРЬ" sheetId="18" state="hidden" r:id="rId19"/>
    <sheet name="Юнит 26.01-01.02" sheetId="26" state="hidden" r:id="rId20"/>
    <sheet name="Юнит 26-31.01" sheetId="17" state="hidden" r:id="rId21"/>
    <sheet name="Юнит 19-25.01" sheetId="16" state="hidden" r:id="rId22"/>
    <sheet name="Юнит 12-18.01" sheetId="1" state="hidden" r:id="rId23"/>
    <sheet name="Юнит 05-11.01" sheetId="5" state="hidden" r:id="rId24"/>
    <sheet name="Юнит 01-04.01" sheetId="15" state="hidden" r:id="rId25"/>
    <sheet name="Отчет 01.03" sheetId="32" state="hidden" r:id="rId26"/>
    <sheet name="Отчет 23-28.02" sheetId="31" state="hidden" r:id="rId27"/>
    <sheet name="Отчет 16-22.02" sheetId="30" state="hidden" r:id="rId28"/>
    <sheet name="Отчет 09-15.02" sheetId="29" state="hidden" r:id="rId29"/>
    <sheet name="Отчет 02-08.02" sheetId="27" state="hidden" r:id="rId30"/>
    <sheet name="Отчет 01.02" sheetId="22" state="hidden" r:id="rId31"/>
    <sheet name="Отчет 26-31.01" sheetId="21" state="hidden" r:id="rId32"/>
    <sheet name="Отчет 19-25.01" sheetId="20" state="hidden" r:id="rId33"/>
    <sheet name="Отчет 12-18.01" sheetId="2" state="hidden" r:id="rId34"/>
    <sheet name="Отчет 05-11.01" sheetId="4" state="hidden" r:id="rId35"/>
    <sheet name="Отчет 01-04.01" sheetId="23" state="hidden" r:id="rId36"/>
  </sheets>
  <definedNames>
    <definedName name="_xlnm._FilterDatabase" localSheetId="28" hidden="1">'Отчет 09-15.02'!$A$1:$P$1070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20" i="6" l="1"/>
  <c r="R33" i="6" l="1"/>
  <c r="T18" i="6" l="1"/>
  <c r="T17" i="6"/>
  <c r="J35" i="38" l="1"/>
  <c r="J39" i="38"/>
  <c r="J36" i="38"/>
  <c r="J40" i="38"/>
  <c r="J33" i="38"/>
  <c r="J41" i="38"/>
  <c r="J42" i="38"/>
  <c r="J43" i="38"/>
  <c r="J32" i="38"/>
  <c r="J49" i="38"/>
  <c r="J44" i="38"/>
  <c r="J45" i="38"/>
  <c r="J46" i="38"/>
  <c r="J34" i="38"/>
  <c r="J47" i="38"/>
  <c r="J30" i="38"/>
  <c r="J31" i="38"/>
  <c r="J37" i="38"/>
  <c r="J48" i="38"/>
  <c r="J38" i="38"/>
  <c r="J8" i="38"/>
  <c r="J9" i="38"/>
  <c r="J13" i="38"/>
  <c r="J5" i="38"/>
  <c r="J14" i="38"/>
  <c r="J6" i="38"/>
  <c r="J7" i="38"/>
  <c r="J15" i="38"/>
  <c r="J10" i="38"/>
  <c r="J11" i="38"/>
  <c r="J16" i="38"/>
  <c r="J12" i="38"/>
  <c r="J17" i="38"/>
  <c r="J18" i="38"/>
  <c r="J19" i="38"/>
  <c r="J20" i="38"/>
  <c r="J25" i="38"/>
  <c r="J21" i="38"/>
  <c r="J22" i="38"/>
  <c r="J23" i="38"/>
  <c r="J24" i="38"/>
  <c r="J4" i="38"/>
  <c r="C33" i="38"/>
  <c r="C44" i="38"/>
  <c r="C35" i="38"/>
  <c r="C38" i="38"/>
  <c r="C34" i="38"/>
  <c r="C39" i="38"/>
  <c r="C40" i="38"/>
  <c r="C46" i="38"/>
  <c r="C31" i="38"/>
  <c r="C48" i="38"/>
  <c r="C41" i="38"/>
  <c r="C42" i="38"/>
  <c r="C43" i="38"/>
  <c r="C36" i="38"/>
  <c r="C45" i="38"/>
  <c r="C30" i="38"/>
  <c r="C32" i="38"/>
  <c r="C49" i="38"/>
  <c r="C47" i="38"/>
  <c r="C37" i="38"/>
  <c r="C7" i="38"/>
  <c r="C10" i="38"/>
  <c r="C25" i="38"/>
  <c r="C5" i="38"/>
  <c r="C22" i="38"/>
  <c r="C6" i="38"/>
  <c r="C8" i="38"/>
  <c r="C20" i="38"/>
  <c r="C9" i="38"/>
  <c r="C11" i="38"/>
  <c r="C21" i="38"/>
  <c r="C19" i="38"/>
  <c r="C23" i="38"/>
  <c r="C12" i="38"/>
  <c r="C13" i="38"/>
  <c r="C14" i="38"/>
  <c r="C24" i="38"/>
  <c r="C15" i="38"/>
  <c r="C16" i="38"/>
  <c r="C17" i="38"/>
  <c r="C18" i="38"/>
  <c r="C4" i="38"/>
  <c r="AD20" i="6" l="1"/>
  <c r="AC15" i="6" l="1"/>
  <c r="AD17" i="6"/>
  <c r="AC17" i="6"/>
  <c r="Y17" i="6"/>
  <c r="K33" i="6"/>
  <c r="AE1" i="28"/>
  <c r="AC51" i="34" l="1"/>
  <c r="AA50" i="34"/>
  <c r="AC49" i="34"/>
  <c r="AB49" i="34"/>
  <c r="AA27" i="34"/>
  <c r="AA53" i="34" s="1"/>
  <c r="AC26" i="34"/>
  <c r="AB26" i="34"/>
  <c r="X16" i="6"/>
  <c r="X15" i="6"/>
  <c r="X14" i="6"/>
  <c r="X13" i="6"/>
  <c r="AD1" i="37"/>
  <c r="AA50" i="35"/>
  <c r="AC49" i="35"/>
  <c r="AB49" i="35"/>
  <c r="AA27" i="35"/>
  <c r="AA53" i="35" s="1"/>
  <c r="AC26" i="35"/>
  <c r="AC51" i="35" s="1"/>
  <c r="AB26" i="35"/>
  <c r="AA50" i="36"/>
  <c r="AC49" i="36"/>
  <c r="AB49" i="36"/>
  <c r="AA27" i="36"/>
  <c r="AA53" i="36" s="1"/>
  <c r="AC26" i="36"/>
  <c r="AC51" i="36" s="1"/>
  <c r="AB26" i="36"/>
  <c r="AA50" i="33"/>
  <c r="AC49" i="33"/>
  <c r="AB49" i="33"/>
  <c r="AA27" i="33"/>
  <c r="AA53" i="33" s="1"/>
  <c r="AC26" i="33"/>
  <c r="AC51" i="33" s="1"/>
  <c r="AB26" i="33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28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4" i="24"/>
  <c r="AD5" i="24"/>
  <c r="AD3" i="24"/>
  <c r="AE1" i="24"/>
  <c r="AE1" i="19"/>
  <c r="AD29" i="19"/>
  <c r="AD30" i="19"/>
  <c r="AD31" i="19"/>
  <c r="AD32" i="19"/>
  <c r="AD33" i="19"/>
  <c r="AD34" i="19"/>
  <c r="AD35" i="19"/>
  <c r="AD36" i="19"/>
  <c r="AD37" i="19"/>
  <c r="AD38" i="19"/>
  <c r="AD39" i="19"/>
  <c r="AD40" i="19"/>
  <c r="AD41" i="19"/>
  <c r="AD42" i="19"/>
  <c r="AD43" i="19"/>
  <c r="AD44" i="19"/>
  <c r="AD45" i="19"/>
  <c r="AD46" i="19"/>
  <c r="AD47" i="19"/>
  <c r="AD28" i="19"/>
  <c r="AD4" i="19"/>
  <c r="AD5" i="19"/>
  <c r="AD6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19" i="19"/>
  <c r="AD20" i="19"/>
  <c r="AD21" i="19"/>
  <c r="AD22" i="19"/>
  <c r="AD23" i="19"/>
  <c r="AD24" i="19"/>
  <c r="AD3" i="19"/>
  <c r="AD1" i="19"/>
  <c r="AD51" i="18"/>
  <c r="AD29" i="18"/>
  <c r="AD30" i="18"/>
  <c r="AD31" i="18"/>
  <c r="AD32" i="18"/>
  <c r="AD33" i="18"/>
  <c r="AD34" i="18"/>
  <c r="AD35" i="18"/>
  <c r="AD36" i="18"/>
  <c r="AD37" i="18"/>
  <c r="AD38" i="18"/>
  <c r="AD39" i="18"/>
  <c r="AD40" i="18"/>
  <c r="AD41" i="18"/>
  <c r="AD42" i="18"/>
  <c r="AD43" i="18"/>
  <c r="AD44" i="18"/>
  <c r="AD45" i="18"/>
  <c r="AD46" i="18"/>
  <c r="AD47" i="18"/>
  <c r="AD28" i="18"/>
  <c r="AD4" i="18"/>
  <c r="AD5" i="18"/>
  <c r="AD6" i="18"/>
  <c r="AD7" i="18"/>
  <c r="AD8" i="18"/>
  <c r="AD9" i="18"/>
  <c r="AD10" i="18"/>
  <c r="AD11" i="18"/>
  <c r="AD12" i="18"/>
  <c r="AD13" i="18"/>
  <c r="AD14" i="18"/>
  <c r="AD15" i="18"/>
  <c r="AD16" i="18"/>
  <c r="AD17" i="18"/>
  <c r="AD18" i="18"/>
  <c r="AD19" i="18"/>
  <c r="AD20" i="18"/>
  <c r="AD21" i="18"/>
  <c r="AD22" i="18"/>
  <c r="AD23" i="18"/>
  <c r="AD24" i="18"/>
  <c r="AD3" i="18"/>
  <c r="X4" i="6"/>
  <c r="X5" i="6"/>
  <c r="X6" i="6"/>
  <c r="X7" i="6"/>
  <c r="X8" i="6"/>
  <c r="X9" i="6"/>
  <c r="X10" i="6"/>
  <c r="X11" i="6"/>
  <c r="X12" i="6"/>
  <c r="X3" i="6"/>
  <c r="J50" i="39" l="1"/>
  <c r="C50" i="39"/>
  <c r="D47" i="39" s="1"/>
  <c r="K49" i="39"/>
  <c r="K48" i="39"/>
  <c r="K47" i="39"/>
  <c r="K46" i="39"/>
  <c r="D46" i="39"/>
  <c r="K45" i="39"/>
  <c r="D45" i="39"/>
  <c r="K44" i="39"/>
  <c r="D44" i="39"/>
  <c r="K43" i="39"/>
  <c r="D43" i="39"/>
  <c r="K42" i="39"/>
  <c r="D42" i="39"/>
  <c r="K41" i="39"/>
  <c r="D41" i="39"/>
  <c r="K40" i="39"/>
  <c r="D40" i="39"/>
  <c r="K39" i="39"/>
  <c r="D39" i="39"/>
  <c r="K38" i="39"/>
  <c r="D38" i="39"/>
  <c r="K37" i="39"/>
  <c r="D37" i="39"/>
  <c r="K36" i="39"/>
  <c r="D36" i="39"/>
  <c r="K35" i="39"/>
  <c r="D35" i="39"/>
  <c r="K34" i="39"/>
  <c r="D34" i="39"/>
  <c r="K33" i="39"/>
  <c r="D33" i="39"/>
  <c r="K32" i="39"/>
  <c r="D32" i="39"/>
  <c r="K31" i="39"/>
  <c r="D31" i="39"/>
  <c r="K30" i="39"/>
  <c r="K50" i="39" s="1"/>
  <c r="D30" i="39"/>
  <c r="D50" i="39" s="1"/>
  <c r="J26" i="39"/>
  <c r="D26" i="39"/>
  <c r="C26" i="39"/>
  <c r="D23" i="39" s="1"/>
  <c r="K25" i="39"/>
  <c r="D25" i="39"/>
  <c r="K24" i="39"/>
  <c r="K23" i="39"/>
  <c r="K22" i="39"/>
  <c r="D22" i="39"/>
  <c r="K21" i="39"/>
  <c r="D21" i="39"/>
  <c r="K20" i="39"/>
  <c r="D20" i="39"/>
  <c r="K19" i="39"/>
  <c r="D19" i="39"/>
  <c r="K18" i="39"/>
  <c r="D18" i="39"/>
  <c r="K17" i="39"/>
  <c r="D17" i="39"/>
  <c r="K16" i="39"/>
  <c r="D16" i="39"/>
  <c r="K15" i="39"/>
  <c r="D15" i="39"/>
  <c r="K14" i="39"/>
  <c r="D14" i="39"/>
  <c r="K13" i="39"/>
  <c r="D13" i="39"/>
  <c r="K12" i="39"/>
  <c r="D12" i="39"/>
  <c r="K11" i="39"/>
  <c r="D11" i="39"/>
  <c r="K10" i="39"/>
  <c r="D10" i="39"/>
  <c r="K9" i="39"/>
  <c r="D9" i="39"/>
  <c r="K8" i="39"/>
  <c r="D8" i="39"/>
  <c r="K7" i="39"/>
  <c r="D7" i="39"/>
  <c r="K6" i="39"/>
  <c r="D6" i="39"/>
  <c r="K5" i="39"/>
  <c r="D5" i="39"/>
  <c r="K4" i="39"/>
  <c r="K26" i="39" s="1"/>
  <c r="D4" i="39"/>
  <c r="E4" i="39" s="1"/>
  <c r="F4" i="39" s="1"/>
  <c r="E5" i="39" l="1"/>
  <c r="F5" i="39" s="1"/>
  <c r="L5" i="39"/>
  <c r="E30" i="39"/>
  <c r="L30" i="39"/>
  <c r="M30" i="39" s="1"/>
  <c r="G30" i="39" s="1"/>
  <c r="D49" i="39"/>
  <c r="D24" i="39"/>
  <c r="D48" i="39"/>
  <c r="L4" i="39"/>
  <c r="M4" i="39" s="1"/>
  <c r="G4" i="39" s="1"/>
  <c r="Y27" i="6"/>
  <c r="AS11" i="18"/>
  <c r="AS10" i="18"/>
  <c r="AS4" i="18"/>
  <c r="AS5" i="18"/>
  <c r="AS6" i="18"/>
  <c r="AS7" i="18"/>
  <c r="AS8" i="18"/>
  <c r="AS9" i="18"/>
  <c r="AS3" i="18"/>
  <c r="E6" i="39" l="1"/>
  <c r="L31" i="39"/>
  <c r="M5" i="39"/>
  <c r="G5" i="39" s="1"/>
  <c r="L6" i="39"/>
  <c r="F30" i="39"/>
  <c r="E31" i="39"/>
  <c r="K3" i="18"/>
  <c r="K4" i="18"/>
  <c r="K5" i="18"/>
  <c r="K6" i="18"/>
  <c r="K7" i="18"/>
  <c r="K8" i="18"/>
  <c r="K9" i="18"/>
  <c r="K10" i="18"/>
  <c r="V47" i="26"/>
  <c r="V46" i="26"/>
  <c r="V45" i="26"/>
  <c r="V44" i="26"/>
  <c r="V43" i="26"/>
  <c r="V42" i="26"/>
  <c r="V41" i="26"/>
  <c r="V40" i="26"/>
  <c r="V39" i="26"/>
  <c r="V38" i="26"/>
  <c r="V37" i="26"/>
  <c r="V36" i="26"/>
  <c r="V35" i="26"/>
  <c r="V34" i="26"/>
  <c r="V33" i="26"/>
  <c r="V32" i="26"/>
  <c r="V31" i="26"/>
  <c r="V30" i="26"/>
  <c r="V29" i="26"/>
  <c r="V28" i="26"/>
  <c r="V49" i="26" s="1"/>
  <c r="V24" i="26"/>
  <c r="V23" i="26"/>
  <c r="V22" i="26"/>
  <c r="V21" i="26"/>
  <c r="V20" i="26"/>
  <c r="V19" i="26"/>
  <c r="V18" i="26"/>
  <c r="V17" i="26"/>
  <c r="V16" i="26"/>
  <c r="V15" i="26"/>
  <c r="V14" i="26"/>
  <c r="V13" i="26"/>
  <c r="V12" i="26"/>
  <c r="V11" i="26"/>
  <c r="V10" i="26"/>
  <c r="V9" i="26"/>
  <c r="V8" i="26"/>
  <c r="V7" i="26"/>
  <c r="V6" i="26"/>
  <c r="V5" i="26"/>
  <c r="V4" i="26"/>
  <c r="V26" i="26" s="1"/>
  <c r="V3" i="26"/>
  <c r="V49" i="19"/>
  <c r="V47" i="19"/>
  <c r="V46" i="19"/>
  <c r="V45" i="19"/>
  <c r="V44" i="19"/>
  <c r="V43" i="19"/>
  <c r="V42" i="19"/>
  <c r="V41" i="19"/>
  <c r="V40" i="19"/>
  <c r="V39" i="19"/>
  <c r="V38" i="19"/>
  <c r="V37" i="19"/>
  <c r="V36" i="19"/>
  <c r="V35" i="19"/>
  <c r="V34" i="19"/>
  <c r="V33" i="19"/>
  <c r="V32" i="19"/>
  <c r="V31" i="19"/>
  <c r="V30" i="19"/>
  <c r="V29" i="19"/>
  <c r="V28" i="19"/>
  <c r="V24" i="19"/>
  <c r="V23" i="19"/>
  <c r="V22" i="19"/>
  <c r="V21" i="19"/>
  <c r="V20" i="19"/>
  <c r="V19" i="19"/>
  <c r="V18" i="19"/>
  <c r="V17" i="19"/>
  <c r="V16" i="19"/>
  <c r="V15" i="19"/>
  <c r="V14" i="19"/>
  <c r="V13" i="19"/>
  <c r="V12" i="19"/>
  <c r="V11" i="19"/>
  <c r="V10" i="19"/>
  <c r="V9" i="19"/>
  <c r="V8" i="19"/>
  <c r="V7" i="19"/>
  <c r="V6" i="19"/>
  <c r="V26" i="19" s="1"/>
  <c r="V51" i="19" s="1"/>
  <c r="V5" i="19"/>
  <c r="V4" i="19"/>
  <c r="V3" i="19"/>
  <c r="V47" i="24"/>
  <c r="V46" i="24"/>
  <c r="V45" i="24"/>
  <c r="V44" i="24"/>
  <c r="V43" i="24"/>
  <c r="V42" i="24"/>
  <c r="V41" i="24"/>
  <c r="V40" i="24"/>
  <c r="V39" i="24"/>
  <c r="V38" i="24"/>
  <c r="V37" i="24"/>
  <c r="V36" i="24"/>
  <c r="V35" i="24"/>
  <c r="V34" i="24"/>
  <c r="V33" i="24"/>
  <c r="V32" i="24"/>
  <c r="V49" i="24" s="1"/>
  <c r="V31" i="24"/>
  <c r="V30" i="24"/>
  <c r="V29" i="24"/>
  <c r="V28" i="24"/>
  <c r="V24" i="24"/>
  <c r="V23" i="24"/>
  <c r="V22" i="24"/>
  <c r="V21" i="24"/>
  <c r="V20" i="24"/>
  <c r="V19" i="24"/>
  <c r="V18" i="24"/>
  <c r="V17" i="24"/>
  <c r="V16" i="24"/>
  <c r="V15" i="24"/>
  <c r="V14" i="24"/>
  <c r="V13" i="24"/>
  <c r="V12" i="24"/>
  <c r="V11" i="24"/>
  <c r="V10" i="24"/>
  <c r="V9" i="24"/>
  <c r="V8" i="24"/>
  <c r="V7" i="24"/>
  <c r="V6" i="24"/>
  <c r="V5" i="24"/>
  <c r="V4" i="24"/>
  <c r="V3" i="24"/>
  <c r="V26" i="24" s="1"/>
  <c r="V51" i="24" s="1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28" i="18"/>
  <c r="V4" i="18"/>
  <c r="V5" i="18"/>
  <c r="V6" i="18"/>
  <c r="V7" i="18"/>
  <c r="V8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3" i="18"/>
  <c r="F31" i="39" l="1"/>
  <c r="E32" i="39"/>
  <c r="M6" i="39"/>
  <c r="G6" i="39" s="1"/>
  <c r="L7" i="39"/>
  <c r="M31" i="39"/>
  <c r="G31" i="39" s="1"/>
  <c r="L32" i="39"/>
  <c r="F6" i="39"/>
  <c r="E7" i="39"/>
  <c r="V51" i="26"/>
  <c r="J40" i="25"/>
  <c r="J41" i="25"/>
  <c r="J42" i="25"/>
  <c r="J43" i="25"/>
  <c r="J44" i="25"/>
  <c r="J32" i="25"/>
  <c r="J45" i="25"/>
  <c r="J46" i="25"/>
  <c r="J33" i="25"/>
  <c r="J35" i="25"/>
  <c r="J36" i="25"/>
  <c r="J47" i="25"/>
  <c r="J48" i="25"/>
  <c r="J37" i="25"/>
  <c r="J38" i="25"/>
  <c r="J31" i="25"/>
  <c r="J34" i="25"/>
  <c r="J30" i="25"/>
  <c r="J49" i="25"/>
  <c r="J39" i="25"/>
  <c r="J10" i="25"/>
  <c r="J8" i="25"/>
  <c r="J12" i="25"/>
  <c r="J5" i="25"/>
  <c r="J9" i="25"/>
  <c r="J6" i="25"/>
  <c r="J13" i="25"/>
  <c r="J14" i="25"/>
  <c r="J15" i="25"/>
  <c r="J7" i="25"/>
  <c r="J16" i="25"/>
  <c r="J17" i="25"/>
  <c r="J18" i="25"/>
  <c r="J19" i="25"/>
  <c r="J20" i="25"/>
  <c r="J21" i="25"/>
  <c r="J11" i="25"/>
  <c r="J22" i="25"/>
  <c r="J23" i="25"/>
  <c r="J24" i="25"/>
  <c r="J25" i="25"/>
  <c r="J4" i="25"/>
  <c r="Q16" i="6"/>
  <c r="M16" i="6"/>
  <c r="L16" i="6"/>
  <c r="K16" i="6"/>
  <c r="I16" i="6"/>
  <c r="H16" i="6"/>
  <c r="G16" i="6"/>
  <c r="F16" i="6"/>
  <c r="E16" i="6"/>
  <c r="Q15" i="6"/>
  <c r="M15" i="6"/>
  <c r="L15" i="6"/>
  <c r="K15" i="6"/>
  <c r="I15" i="6"/>
  <c r="H15" i="6"/>
  <c r="G15" i="6"/>
  <c r="F15" i="6"/>
  <c r="E15" i="6"/>
  <c r="F7" i="39" l="1"/>
  <c r="E8" i="39"/>
  <c r="M32" i="39"/>
  <c r="G32" i="39" s="1"/>
  <c r="L33" i="39"/>
  <c r="L8" i="39"/>
  <c r="M7" i="39"/>
  <c r="G7" i="39" s="1"/>
  <c r="F32" i="39"/>
  <c r="E33" i="39"/>
  <c r="J16" i="6"/>
  <c r="AB16" i="6" s="1"/>
  <c r="J15" i="6"/>
  <c r="Q32" i="6" s="1"/>
  <c r="J50" i="38"/>
  <c r="K47" i="38" s="1"/>
  <c r="C50" i="38"/>
  <c r="D47" i="38" s="1"/>
  <c r="K45" i="38"/>
  <c r="D40" i="38"/>
  <c r="K38" i="38"/>
  <c r="D37" i="38"/>
  <c r="D33" i="38"/>
  <c r="D31" i="38"/>
  <c r="D30" i="38"/>
  <c r="J26" i="38"/>
  <c r="K25" i="38" s="1"/>
  <c r="C26" i="38"/>
  <c r="D23" i="38" s="1"/>
  <c r="AA51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28" i="37"/>
  <c r="AA24" i="37"/>
  <c r="AA23" i="37"/>
  <c r="AA22" i="37"/>
  <c r="AA21" i="37"/>
  <c r="AA20" i="37"/>
  <c r="AA19" i="37"/>
  <c r="AA18" i="37"/>
  <c r="AA17" i="37"/>
  <c r="AA16" i="37"/>
  <c r="AA15" i="37"/>
  <c r="AA14" i="37"/>
  <c r="AA13" i="37"/>
  <c r="AA12" i="37"/>
  <c r="AA11" i="37"/>
  <c r="AA10" i="37"/>
  <c r="AA9" i="37"/>
  <c r="AA8" i="37"/>
  <c r="AA7" i="37"/>
  <c r="AA6" i="37"/>
  <c r="AA5" i="37"/>
  <c r="AA4" i="37"/>
  <c r="AA3" i="37"/>
  <c r="K29" i="37"/>
  <c r="N29" i="37" s="1"/>
  <c r="K30" i="37"/>
  <c r="N30" i="37" s="1"/>
  <c r="K31" i="37"/>
  <c r="N31" i="37" s="1"/>
  <c r="K32" i="37"/>
  <c r="N32" i="37" s="1"/>
  <c r="K33" i="37"/>
  <c r="N33" i="37" s="1"/>
  <c r="K34" i="37"/>
  <c r="N34" i="37" s="1"/>
  <c r="K35" i="37"/>
  <c r="N35" i="37" s="1"/>
  <c r="K36" i="37"/>
  <c r="N36" i="37" s="1"/>
  <c r="K37" i="37"/>
  <c r="N37" i="37" s="1"/>
  <c r="K38" i="37"/>
  <c r="N38" i="37" s="1"/>
  <c r="K39" i="37"/>
  <c r="N39" i="37" s="1"/>
  <c r="K40" i="37"/>
  <c r="N40" i="37" s="1"/>
  <c r="K41" i="37"/>
  <c r="N41" i="37" s="1"/>
  <c r="K42" i="37"/>
  <c r="N42" i="37" s="1"/>
  <c r="K43" i="37"/>
  <c r="N43" i="37" s="1"/>
  <c r="K44" i="37"/>
  <c r="N44" i="37" s="1"/>
  <c r="K45" i="37"/>
  <c r="N45" i="37" s="1"/>
  <c r="K46" i="37"/>
  <c r="N46" i="37" s="1"/>
  <c r="K47" i="37"/>
  <c r="N47" i="37" s="1"/>
  <c r="K28" i="37"/>
  <c r="N28" i="37" s="1"/>
  <c r="K6" i="37"/>
  <c r="N6" i="37" s="1"/>
  <c r="K7" i="37"/>
  <c r="N7" i="37" s="1"/>
  <c r="K8" i="37"/>
  <c r="N8" i="37" s="1"/>
  <c r="K9" i="37"/>
  <c r="N9" i="37" s="1"/>
  <c r="K10" i="37"/>
  <c r="N10" i="37" s="1"/>
  <c r="K11" i="37"/>
  <c r="N11" i="37" s="1"/>
  <c r="K12" i="37"/>
  <c r="N12" i="37" s="1"/>
  <c r="K13" i="37"/>
  <c r="N13" i="37" s="1"/>
  <c r="K14" i="37"/>
  <c r="N14" i="37" s="1"/>
  <c r="K15" i="37"/>
  <c r="N15" i="37" s="1"/>
  <c r="K16" i="37"/>
  <c r="N16" i="37" s="1"/>
  <c r="K17" i="37"/>
  <c r="N17" i="37" s="1"/>
  <c r="K18" i="37"/>
  <c r="N18" i="37" s="1"/>
  <c r="K19" i="37"/>
  <c r="N19" i="37" s="1"/>
  <c r="K20" i="37"/>
  <c r="N20" i="37" s="1"/>
  <c r="K21" i="37"/>
  <c r="N21" i="37" s="1"/>
  <c r="K22" i="37"/>
  <c r="N22" i="37" s="1"/>
  <c r="K23" i="37"/>
  <c r="N23" i="37" s="1"/>
  <c r="K24" i="37"/>
  <c r="N24" i="37" s="1"/>
  <c r="K4" i="37"/>
  <c r="N4" i="37" s="1"/>
  <c r="K5" i="37"/>
  <c r="N5" i="37" s="1"/>
  <c r="K3" i="37"/>
  <c r="N3" i="37" s="1"/>
  <c r="K60" i="37"/>
  <c r="L60" i="37" s="1"/>
  <c r="I60" i="37"/>
  <c r="K58" i="37"/>
  <c r="L58" i="37" s="1"/>
  <c r="I58" i="37"/>
  <c r="J51" i="37"/>
  <c r="G51" i="37"/>
  <c r="F51" i="37"/>
  <c r="E51" i="37"/>
  <c r="D51" i="37"/>
  <c r="C51" i="37"/>
  <c r="AC49" i="37"/>
  <c r="AB49" i="37"/>
  <c r="C49" i="37"/>
  <c r="AH47" i="37"/>
  <c r="I47" i="37"/>
  <c r="AH46" i="37"/>
  <c r="I46" i="37"/>
  <c r="AH45" i="37"/>
  <c r="I45" i="37"/>
  <c r="AH44" i="37"/>
  <c r="I44" i="37"/>
  <c r="AH43" i="37"/>
  <c r="I43" i="37"/>
  <c r="AH42" i="37"/>
  <c r="I42" i="37"/>
  <c r="AH41" i="37"/>
  <c r="I41" i="37"/>
  <c r="AH40" i="37"/>
  <c r="I40" i="37"/>
  <c r="AH39" i="37"/>
  <c r="I39" i="37"/>
  <c r="AH38" i="37"/>
  <c r="I38" i="37"/>
  <c r="AH37" i="37"/>
  <c r="I37" i="37"/>
  <c r="AH36" i="37"/>
  <c r="I36" i="37"/>
  <c r="AH35" i="37"/>
  <c r="I35" i="37"/>
  <c r="AH34" i="37"/>
  <c r="I34" i="37"/>
  <c r="AH33" i="37"/>
  <c r="I33" i="37"/>
  <c r="AH32" i="37"/>
  <c r="I32" i="37"/>
  <c r="AH31" i="37"/>
  <c r="I31" i="37"/>
  <c r="AH30" i="37"/>
  <c r="I30" i="37"/>
  <c r="AH29" i="37"/>
  <c r="I29" i="37"/>
  <c r="AH28" i="37"/>
  <c r="I28" i="37"/>
  <c r="AC26" i="37"/>
  <c r="AC51" i="37" s="1"/>
  <c r="AB26" i="37"/>
  <c r="C26" i="37"/>
  <c r="AH24" i="37"/>
  <c r="I24" i="37"/>
  <c r="AH23" i="37"/>
  <c r="I23" i="37"/>
  <c r="AH22" i="37"/>
  <c r="I22" i="37"/>
  <c r="AH21" i="37"/>
  <c r="I21" i="37"/>
  <c r="AH20" i="37"/>
  <c r="I20" i="37"/>
  <c r="AH19" i="37"/>
  <c r="I19" i="37"/>
  <c r="AH18" i="37"/>
  <c r="I18" i="37"/>
  <c r="AH17" i="37"/>
  <c r="I17" i="37"/>
  <c r="AH16" i="37"/>
  <c r="I16" i="37"/>
  <c r="AH15" i="37"/>
  <c r="I15" i="37"/>
  <c r="AH14" i="37"/>
  <c r="I14" i="37"/>
  <c r="AH13" i="37"/>
  <c r="I13" i="37"/>
  <c r="AH12" i="37"/>
  <c r="I12" i="37"/>
  <c r="AH11" i="37"/>
  <c r="I11" i="37"/>
  <c r="AH10" i="37"/>
  <c r="I10" i="37"/>
  <c r="AH9" i="37"/>
  <c r="I9" i="37"/>
  <c r="AH8" i="37"/>
  <c r="I8" i="37"/>
  <c r="AH7" i="37"/>
  <c r="I7" i="37"/>
  <c r="AH6" i="37"/>
  <c r="I6" i="37"/>
  <c r="AH5" i="37"/>
  <c r="I5" i="37"/>
  <c r="AH4" i="37"/>
  <c r="I4" i="37"/>
  <c r="AH3" i="37"/>
  <c r="AH25" i="37" s="1"/>
  <c r="I3" i="37"/>
  <c r="I26" i="37" s="1"/>
  <c r="K29" i="36"/>
  <c r="K30" i="36"/>
  <c r="K31" i="36"/>
  <c r="K32" i="36"/>
  <c r="K33" i="36"/>
  <c r="K34" i="36"/>
  <c r="N34" i="36" s="1"/>
  <c r="K35" i="36"/>
  <c r="K36" i="36"/>
  <c r="N36" i="36" s="1"/>
  <c r="K37" i="36"/>
  <c r="K38" i="36"/>
  <c r="K39" i="36"/>
  <c r="K40" i="36"/>
  <c r="K41" i="36"/>
  <c r="K42" i="36"/>
  <c r="N42" i="36" s="1"/>
  <c r="K43" i="36"/>
  <c r="K44" i="36"/>
  <c r="N44" i="36" s="1"/>
  <c r="K45" i="36"/>
  <c r="K46" i="36"/>
  <c r="N46" i="36" s="1"/>
  <c r="K47" i="36"/>
  <c r="K28" i="36"/>
  <c r="K4" i="36"/>
  <c r="K5" i="36"/>
  <c r="K6" i="36"/>
  <c r="K7" i="36"/>
  <c r="K8" i="36"/>
  <c r="K9" i="36"/>
  <c r="K10" i="36"/>
  <c r="K11" i="36"/>
  <c r="N11" i="36" s="1"/>
  <c r="K12" i="36"/>
  <c r="K13" i="36"/>
  <c r="K14" i="36"/>
  <c r="K15" i="36"/>
  <c r="K16" i="36"/>
  <c r="K17" i="36"/>
  <c r="K18" i="36"/>
  <c r="K19" i="36"/>
  <c r="N19" i="36" s="1"/>
  <c r="K20" i="36"/>
  <c r="K21" i="36"/>
  <c r="K22" i="36"/>
  <c r="K23" i="36"/>
  <c r="K24" i="36"/>
  <c r="K3" i="36"/>
  <c r="C3" i="36"/>
  <c r="K60" i="36"/>
  <c r="I60" i="36"/>
  <c r="K58" i="36"/>
  <c r="I58" i="36"/>
  <c r="J51" i="36"/>
  <c r="G51" i="36"/>
  <c r="F51" i="36"/>
  <c r="E51" i="36"/>
  <c r="D51" i="36"/>
  <c r="C49" i="36"/>
  <c r="AH47" i="36"/>
  <c r="N47" i="36"/>
  <c r="I47" i="36"/>
  <c r="AH46" i="36"/>
  <c r="I46" i="36"/>
  <c r="AH45" i="36"/>
  <c r="N45" i="36"/>
  <c r="I45" i="36"/>
  <c r="AH44" i="36"/>
  <c r="I44" i="36"/>
  <c r="AH43" i="36"/>
  <c r="N43" i="36"/>
  <c r="I43" i="36"/>
  <c r="AH42" i="36"/>
  <c r="I42" i="36"/>
  <c r="AH41" i="36"/>
  <c r="N41" i="36"/>
  <c r="I41" i="36"/>
  <c r="AH40" i="36"/>
  <c r="N40" i="36"/>
  <c r="I40" i="36"/>
  <c r="AH39" i="36"/>
  <c r="N39" i="36"/>
  <c r="I39" i="36"/>
  <c r="AH38" i="36"/>
  <c r="N38" i="36"/>
  <c r="I38" i="36"/>
  <c r="AH37" i="36"/>
  <c r="N37" i="36"/>
  <c r="I37" i="36"/>
  <c r="AH36" i="36"/>
  <c r="I36" i="36"/>
  <c r="AH35" i="36"/>
  <c r="N35" i="36"/>
  <c r="I35" i="36"/>
  <c r="AH34" i="36"/>
  <c r="I34" i="36"/>
  <c r="AH33" i="36"/>
  <c r="N33" i="36"/>
  <c r="I33" i="36"/>
  <c r="AH32" i="36"/>
  <c r="N32" i="36"/>
  <c r="I32" i="36"/>
  <c r="AH31" i="36"/>
  <c r="N31" i="36"/>
  <c r="I31" i="36"/>
  <c r="AH30" i="36"/>
  <c r="N30" i="36"/>
  <c r="I30" i="36"/>
  <c r="AH29" i="36"/>
  <c r="N29" i="36"/>
  <c r="I29" i="36"/>
  <c r="AH28" i="36"/>
  <c r="N28" i="36"/>
  <c r="I28" i="36"/>
  <c r="I49" i="36" s="1"/>
  <c r="C26" i="36"/>
  <c r="C51" i="36" s="1"/>
  <c r="AH24" i="36"/>
  <c r="N24" i="36"/>
  <c r="I24" i="36"/>
  <c r="AH23" i="36"/>
  <c r="N23" i="36"/>
  <c r="I23" i="36"/>
  <c r="AH22" i="36"/>
  <c r="N22" i="36"/>
  <c r="I22" i="36"/>
  <c r="AH21" i="36"/>
  <c r="N21" i="36"/>
  <c r="I21" i="36"/>
  <c r="AH20" i="36"/>
  <c r="N20" i="36"/>
  <c r="I20" i="36"/>
  <c r="AH19" i="36"/>
  <c r="I19" i="36"/>
  <c r="AH18" i="36"/>
  <c r="N18" i="36"/>
  <c r="I18" i="36"/>
  <c r="AH17" i="36"/>
  <c r="N17" i="36"/>
  <c r="I17" i="36"/>
  <c r="AH16" i="36"/>
  <c r="N16" i="36"/>
  <c r="I16" i="36"/>
  <c r="AH15" i="36"/>
  <c r="N15" i="36"/>
  <c r="I15" i="36"/>
  <c r="AH14" i="36"/>
  <c r="N14" i="36"/>
  <c r="I14" i="36"/>
  <c r="AH13" i="36"/>
  <c r="N13" i="36"/>
  <c r="I13" i="36"/>
  <c r="AH12" i="36"/>
  <c r="N12" i="36"/>
  <c r="I12" i="36"/>
  <c r="AH11" i="36"/>
  <c r="I11" i="36"/>
  <c r="AH10" i="36"/>
  <c r="N10" i="36"/>
  <c r="I10" i="36"/>
  <c r="AH9" i="36"/>
  <c r="N9" i="36"/>
  <c r="I9" i="36"/>
  <c r="AH8" i="36"/>
  <c r="N8" i="36"/>
  <c r="I8" i="36"/>
  <c r="AH7" i="36"/>
  <c r="N7" i="36"/>
  <c r="I7" i="36"/>
  <c r="AH6" i="36"/>
  <c r="N6" i="36"/>
  <c r="I6" i="36"/>
  <c r="AH5" i="36"/>
  <c r="N5" i="36"/>
  <c r="I5" i="36"/>
  <c r="AH4" i="36"/>
  <c r="N4" i="36"/>
  <c r="I4" i="36"/>
  <c r="AH3" i="36"/>
  <c r="N3" i="36"/>
  <c r="I3" i="36"/>
  <c r="K60" i="35"/>
  <c r="L60" i="35" s="1"/>
  <c r="I60" i="35"/>
  <c r="K58" i="35"/>
  <c r="L58" i="35" s="1"/>
  <c r="I58" i="35"/>
  <c r="J51" i="35"/>
  <c r="G51" i="35"/>
  <c r="F51" i="35"/>
  <c r="E51" i="35"/>
  <c r="D51" i="35"/>
  <c r="C51" i="35"/>
  <c r="K49" i="35"/>
  <c r="C49" i="35"/>
  <c r="AH47" i="35"/>
  <c r="Z47" i="35"/>
  <c r="X47" i="35"/>
  <c r="T47" i="35"/>
  <c r="S47" i="35"/>
  <c r="Q47" i="35"/>
  <c r="P47" i="35"/>
  <c r="AK47" i="35" s="1"/>
  <c r="N47" i="35"/>
  <c r="I47" i="35"/>
  <c r="AH46" i="35"/>
  <c r="Z46" i="35"/>
  <c r="X46" i="35"/>
  <c r="T46" i="35"/>
  <c r="S46" i="35"/>
  <c r="Q46" i="35"/>
  <c r="P46" i="35"/>
  <c r="AK46" i="35" s="1"/>
  <c r="N46" i="35"/>
  <c r="I46" i="35"/>
  <c r="AH45" i="35"/>
  <c r="Z45" i="35"/>
  <c r="X45" i="35"/>
  <c r="T45" i="35"/>
  <c r="S45" i="35"/>
  <c r="Q45" i="35"/>
  <c r="P45" i="35"/>
  <c r="N45" i="35"/>
  <c r="I45" i="35"/>
  <c r="AH44" i="35"/>
  <c r="Z44" i="35"/>
  <c r="X44" i="35"/>
  <c r="T44" i="35"/>
  <c r="S44" i="35"/>
  <c r="Q44" i="35"/>
  <c r="P44" i="35"/>
  <c r="N44" i="35"/>
  <c r="I44" i="35"/>
  <c r="AH43" i="35"/>
  <c r="Z43" i="35"/>
  <c r="X43" i="35"/>
  <c r="T43" i="35"/>
  <c r="S43" i="35"/>
  <c r="Q43" i="35"/>
  <c r="P43" i="35"/>
  <c r="AK43" i="35" s="1"/>
  <c r="N43" i="35"/>
  <c r="I43" i="35"/>
  <c r="AH42" i="35"/>
  <c r="Z42" i="35"/>
  <c r="X42" i="35"/>
  <c r="T42" i="35"/>
  <c r="S42" i="35"/>
  <c r="Q42" i="35"/>
  <c r="P42" i="35"/>
  <c r="AK42" i="35" s="1"/>
  <c r="N42" i="35"/>
  <c r="I42" i="35"/>
  <c r="AH41" i="35"/>
  <c r="Z41" i="35"/>
  <c r="X41" i="35"/>
  <c r="T41" i="35"/>
  <c r="S41" i="35"/>
  <c r="Q41" i="35"/>
  <c r="P41" i="35"/>
  <c r="N41" i="35"/>
  <c r="I41" i="35"/>
  <c r="AH40" i="35"/>
  <c r="Z40" i="35"/>
  <c r="X40" i="35"/>
  <c r="T40" i="35"/>
  <c r="S40" i="35"/>
  <c r="Q40" i="35"/>
  <c r="P40" i="35"/>
  <c r="N40" i="35"/>
  <c r="I40" i="35"/>
  <c r="AH39" i="35"/>
  <c r="Z39" i="35"/>
  <c r="X39" i="35"/>
  <c r="T39" i="35"/>
  <c r="S39" i="35"/>
  <c r="Q39" i="35"/>
  <c r="P39" i="35"/>
  <c r="AK39" i="35" s="1"/>
  <c r="N39" i="35"/>
  <c r="I39" i="35"/>
  <c r="AH38" i="35"/>
  <c r="Z38" i="35"/>
  <c r="X38" i="35"/>
  <c r="T38" i="35"/>
  <c r="S38" i="35"/>
  <c r="Q38" i="35"/>
  <c r="P38" i="35"/>
  <c r="AK38" i="35" s="1"/>
  <c r="N38" i="35"/>
  <c r="I38" i="35"/>
  <c r="AH37" i="35"/>
  <c r="Z37" i="35"/>
  <c r="X37" i="35"/>
  <c r="T37" i="35"/>
  <c r="S37" i="35"/>
  <c r="Q37" i="35"/>
  <c r="P37" i="35"/>
  <c r="N37" i="35"/>
  <c r="I37" i="35"/>
  <c r="AH36" i="35"/>
  <c r="Z36" i="35"/>
  <c r="X36" i="35"/>
  <c r="T36" i="35"/>
  <c r="S36" i="35"/>
  <c r="Q36" i="35"/>
  <c r="P36" i="35"/>
  <c r="AK36" i="35" s="1"/>
  <c r="N36" i="35"/>
  <c r="I36" i="35"/>
  <c r="AH35" i="35"/>
  <c r="Z35" i="35"/>
  <c r="X35" i="35"/>
  <c r="T35" i="35"/>
  <c r="S35" i="35"/>
  <c r="Q35" i="35"/>
  <c r="P35" i="35"/>
  <c r="AK35" i="35" s="1"/>
  <c r="N35" i="35"/>
  <c r="I35" i="35"/>
  <c r="AH34" i="35"/>
  <c r="Z34" i="35"/>
  <c r="X34" i="35"/>
  <c r="T34" i="35"/>
  <c r="S34" i="35"/>
  <c r="Q34" i="35"/>
  <c r="P34" i="35"/>
  <c r="AK34" i="35" s="1"/>
  <c r="N34" i="35"/>
  <c r="I34" i="35"/>
  <c r="AH33" i="35"/>
  <c r="Z33" i="35"/>
  <c r="X33" i="35"/>
  <c r="T33" i="35"/>
  <c r="S33" i="35"/>
  <c r="Q33" i="35"/>
  <c r="P33" i="35"/>
  <c r="N33" i="35"/>
  <c r="I33" i="35"/>
  <c r="AH32" i="35"/>
  <c r="Z32" i="35"/>
  <c r="X32" i="35"/>
  <c r="T32" i="35"/>
  <c r="S32" i="35"/>
  <c r="Q32" i="35"/>
  <c r="P32" i="35"/>
  <c r="AK32" i="35" s="1"/>
  <c r="N32" i="35"/>
  <c r="I32" i="35"/>
  <c r="AH31" i="35"/>
  <c r="Z31" i="35"/>
  <c r="X31" i="35"/>
  <c r="T31" i="35"/>
  <c r="S31" i="35"/>
  <c r="Q31" i="35"/>
  <c r="P31" i="35"/>
  <c r="AK31" i="35" s="1"/>
  <c r="N31" i="35"/>
  <c r="I31" i="35"/>
  <c r="AH30" i="35"/>
  <c r="Z30" i="35"/>
  <c r="X30" i="35"/>
  <c r="T30" i="35"/>
  <c r="S30" i="35"/>
  <c r="Q30" i="35"/>
  <c r="P30" i="35"/>
  <c r="AK30" i="35" s="1"/>
  <c r="N30" i="35"/>
  <c r="I30" i="35"/>
  <c r="AH29" i="35"/>
  <c r="Z29" i="35"/>
  <c r="X29" i="35"/>
  <c r="T29" i="35"/>
  <c r="S29" i="35"/>
  <c r="Q29" i="35"/>
  <c r="P29" i="35"/>
  <c r="N29" i="35"/>
  <c r="I29" i="35"/>
  <c r="AH28" i="35"/>
  <c r="Z28" i="35"/>
  <c r="X28" i="35"/>
  <c r="T28" i="35"/>
  <c r="S28" i="35"/>
  <c r="Q28" i="35"/>
  <c r="P28" i="35"/>
  <c r="AK28" i="35" s="1"/>
  <c r="N28" i="35"/>
  <c r="I28" i="35"/>
  <c r="I49" i="35" s="1"/>
  <c r="K26" i="35"/>
  <c r="K51" i="35" s="1"/>
  <c r="C26" i="35"/>
  <c r="AH24" i="35"/>
  <c r="Z24" i="35"/>
  <c r="X24" i="35"/>
  <c r="T24" i="35"/>
  <c r="S24" i="35"/>
  <c r="Q24" i="35"/>
  <c r="P24" i="35"/>
  <c r="AK24" i="35" s="1"/>
  <c r="N24" i="35"/>
  <c r="I24" i="35"/>
  <c r="AH23" i="35"/>
  <c r="Z23" i="35"/>
  <c r="X23" i="35"/>
  <c r="T23" i="35"/>
  <c r="S23" i="35"/>
  <c r="Q23" i="35"/>
  <c r="P23" i="35"/>
  <c r="N23" i="35"/>
  <c r="I23" i="35"/>
  <c r="AH22" i="35"/>
  <c r="Z22" i="35"/>
  <c r="X22" i="35"/>
  <c r="T22" i="35"/>
  <c r="S22" i="35"/>
  <c r="Q22" i="35"/>
  <c r="P22" i="35"/>
  <c r="N22" i="35"/>
  <c r="I22" i="35"/>
  <c r="AH21" i="35"/>
  <c r="Z21" i="35"/>
  <c r="X21" i="35"/>
  <c r="T21" i="35"/>
  <c r="S21" i="35"/>
  <c r="Q21" i="35"/>
  <c r="P21" i="35"/>
  <c r="N21" i="35"/>
  <c r="I21" i="35"/>
  <c r="AH20" i="35"/>
  <c r="Z20" i="35"/>
  <c r="X20" i="35"/>
  <c r="T20" i="35"/>
  <c r="S20" i="35"/>
  <c r="Q20" i="35"/>
  <c r="P20" i="35"/>
  <c r="AK20" i="35" s="1"/>
  <c r="N20" i="35"/>
  <c r="I20" i="35"/>
  <c r="AH19" i="35"/>
  <c r="Z19" i="35"/>
  <c r="X19" i="35"/>
  <c r="T19" i="35"/>
  <c r="S19" i="35"/>
  <c r="Q19" i="35"/>
  <c r="P19" i="35"/>
  <c r="AK19" i="35" s="1"/>
  <c r="N19" i="35"/>
  <c r="I19" i="35"/>
  <c r="AH18" i="35"/>
  <c r="Z18" i="35"/>
  <c r="X18" i="35"/>
  <c r="T18" i="35"/>
  <c r="S18" i="35"/>
  <c r="Q18" i="35"/>
  <c r="P18" i="35"/>
  <c r="N18" i="35"/>
  <c r="I18" i="35"/>
  <c r="AH17" i="35"/>
  <c r="Z17" i="35"/>
  <c r="X17" i="35"/>
  <c r="T17" i="35"/>
  <c r="S17" i="35"/>
  <c r="Q17" i="35"/>
  <c r="P17" i="35"/>
  <c r="N17" i="35"/>
  <c r="I17" i="35"/>
  <c r="AH16" i="35"/>
  <c r="Z16" i="35"/>
  <c r="X16" i="35"/>
  <c r="T16" i="35"/>
  <c r="S16" i="35"/>
  <c r="Q16" i="35"/>
  <c r="P16" i="35"/>
  <c r="AK16" i="35" s="1"/>
  <c r="N16" i="35"/>
  <c r="I16" i="35"/>
  <c r="AH15" i="35"/>
  <c r="Z15" i="35"/>
  <c r="X15" i="35"/>
  <c r="T15" i="35"/>
  <c r="S15" i="35"/>
  <c r="Q15" i="35"/>
  <c r="P15" i="35"/>
  <c r="N15" i="35"/>
  <c r="I15" i="35"/>
  <c r="AH14" i="35"/>
  <c r="Z14" i="35"/>
  <c r="X14" i="35"/>
  <c r="T14" i="35"/>
  <c r="S14" i="35"/>
  <c r="Q14" i="35"/>
  <c r="P14" i="35"/>
  <c r="N14" i="35"/>
  <c r="I14" i="35"/>
  <c r="AH13" i="35"/>
  <c r="Z13" i="35"/>
  <c r="X13" i="35"/>
  <c r="T13" i="35"/>
  <c r="S13" i="35"/>
  <c r="Q13" i="35"/>
  <c r="P13" i="35"/>
  <c r="AK13" i="35" s="1"/>
  <c r="N13" i="35"/>
  <c r="I13" i="35"/>
  <c r="AH12" i="35"/>
  <c r="Z12" i="35"/>
  <c r="X12" i="35"/>
  <c r="T12" i="35"/>
  <c r="S12" i="35"/>
  <c r="Q12" i="35"/>
  <c r="P12" i="35"/>
  <c r="AK12" i="35" s="1"/>
  <c r="N12" i="35"/>
  <c r="I12" i="35"/>
  <c r="AH11" i="35"/>
  <c r="Z11" i="35"/>
  <c r="X11" i="35"/>
  <c r="T11" i="35"/>
  <c r="S11" i="35"/>
  <c r="Q11" i="35"/>
  <c r="P11" i="35"/>
  <c r="N11" i="35"/>
  <c r="I11" i="35"/>
  <c r="AH10" i="35"/>
  <c r="Z10" i="35"/>
  <c r="X10" i="35"/>
  <c r="T10" i="35"/>
  <c r="S10" i="35"/>
  <c r="Q10" i="35"/>
  <c r="P10" i="35"/>
  <c r="N10" i="35"/>
  <c r="I10" i="35"/>
  <c r="AH9" i="35"/>
  <c r="Z9" i="35"/>
  <c r="X9" i="35"/>
  <c r="T9" i="35"/>
  <c r="S9" i="35"/>
  <c r="Q9" i="35"/>
  <c r="P9" i="35"/>
  <c r="AK9" i="35" s="1"/>
  <c r="N9" i="35"/>
  <c r="I9" i="35"/>
  <c r="AH8" i="35"/>
  <c r="Z8" i="35"/>
  <c r="X8" i="35"/>
  <c r="T8" i="35"/>
  <c r="S8" i="35"/>
  <c r="Q8" i="35"/>
  <c r="P8" i="35"/>
  <c r="AK8" i="35" s="1"/>
  <c r="N8" i="35"/>
  <c r="I8" i="35"/>
  <c r="AH7" i="35"/>
  <c r="Z7" i="35"/>
  <c r="X7" i="35"/>
  <c r="T7" i="35"/>
  <c r="S7" i="35"/>
  <c r="Q7" i="35"/>
  <c r="P7" i="35"/>
  <c r="AK7" i="35" s="1"/>
  <c r="N7" i="35"/>
  <c r="I7" i="35"/>
  <c r="AH6" i="35"/>
  <c r="Z6" i="35"/>
  <c r="X6" i="35"/>
  <c r="T6" i="35"/>
  <c r="S6" i="35"/>
  <c r="Q6" i="35"/>
  <c r="P6" i="35"/>
  <c r="N6" i="35"/>
  <c r="I6" i="35"/>
  <c r="AH5" i="35"/>
  <c r="Z5" i="35"/>
  <c r="X5" i="35"/>
  <c r="T5" i="35"/>
  <c r="S5" i="35"/>
  <c r="Q5" i="35"/>
  <c r="P5" i="35"/>
  <c r="AK5" i="35" s="1"/>
  <c r="N5" i="35"/>
  <c r="I5" i="35"/>
  <c r="AH4" i="35"/>
  <c r="Z4" i="35"/>
  <c r="X4" i="35"/>
  <c r="T4" i="35"/>
  <c r="S4" i="35"/>
  <c r="Q4" i="35"/>
  <c r="P4" i="35"/>
  <c r="AK4" i="35" s="1"/>
  <c r="N4" i="35"/>
  <c r="I4" i="35"/>
  <c r="AH3" i="35"/>
  <c r="Z3" i="35"/>
  <c r="X3" i="35"/>
  <c r="T3" i="35"/>
  <c r="S3" i="35"/>
  <c r="Q3" i="35"/>
  <c r="P3" i="35"/>
  <c r="N3" i="35"/>
  <c r="I3" i="35"/>
  <c r="I26" i="35" s="1"/>
  <c r="I51" i="35" s="1"/>
  <c r="I59" i="35" s="1"/>
  <c r="J59" i="35" s="1"/>
  <c r="Z47" i="34"/>
  <c r="X47" i="34"/>
  <c r="T47" i="34"/>
  <c r="S47" i="34"/>
  <c r="Q47" i="34"/>
  <c r="P47" i="34"/>
  <c r="AK47" i="34" s="1"/>
  <c r="Z46" i="34"/>
  <c r="X46" i="34"/>
  <c r="T46" i="34"/>
  <c r="S46" i="34"/>
  <c r="Q46" i="34"/>
  <c r="P46" i="34"/>
  <c r="AK46" i="34" s="1"/>
  <c r="Z45" i="34"/>
  <c r="X45" i="34"/>
  <c r="T45" i="34"/>
  <c r="S45" i="34"/>
  <c r="Q45" i="34"/>
  <c r="P45" i="34"/>
  <c r="Z44" i="34"/>
  <c r="X44" i="34"/>
  <c r="T44" i="34"/>
  <c r="S44" i="34"/>
  <c r="Q44" i="34"/>
  <c r="P44" i="34"/>
  <c r="Z43" i="34"/>
  <c r="X43" i="34"/>
  <c r="T43" i="34"/>
  <c r="S43" i="34"/>
  <c r="Q43" i="34"/>
  <c r="P43" i="34"/>
  <c r="AK43" i="34" s="1"/>
  <c r="Z42" i="34"/>
  <c r="X42" i="34"/>
  <c r="T42" i="34"/>
  <c r="S42" i="34"/>
  <c r="Q42" i="34"/>
  <c r="P42" i="34"/>
  <c r="AK42" i="34" s="1"/>
  <c r="Z41" i="34"/>
  <c r="X41" i="34"/>
  <c r="T41" i="34"/>
  <c r="S41" i="34"/>
  <c r="Q41" i="34"/>
  <c r="P41" i="34"/>
  <c r="AK41" i="34" s="1"/>
  <c r="Z40" i="34"/>
  <c r="X40" i="34"/>
  <c r="T40" i="34"/>
  <c r="S40" i="34"/>
  <c r="Q40" i="34"/>
  <c r="P40" i="34"/>
  <c r="Z39" i="34"/>
  <c r="X39" i="34"/>
  <c r="T39" i="34"/>
  <c r="S39" i="34"/>
  <c r="Q39" i="34"/>
  <c r="P39" i="34"/>
  <c r="AK39" i="34" s="1"/>
  <c r="Z38" i="34"/>
  <c r="X38" i="34"/>
  <c r="T38" i="34"/>
  <c r="S38" i="34"/>
  <c r="Q38" i="34"/>
  <c r="P38" i="34"/>
  <c r="AK38" i="34" s="1"/>
  <c r="Z37" i="34"/>
  <c r="X37" i="34"/>
  <c r="T37" i="34"/>
  <c r="S37" i="34"/>
  <c r="Q37" i="34"/>
  <c r="P37" i="34"/>
  <c r="AK37" i="34" s="1"/>
  <c r="Z36" i="34"/>
  <c r="X36" i="34"/>
  <c r="T36" i="34"/>
  <c r="S36" i="34"/>
  <c r="Q36" i="34"/>
  <c r="P36" i="34"/>
  <c r="Z35" i="34"/>
  <c r="X35" i="34"/>
  <c r="T35" i="34"/>
  <c r="S35" i="34"/>
  <c r="Q35" i="34"/>
  <c r="P35" i="34"/>
  <c r="AK35" i="34" s="1"/>
  <c r="Z34" i="34"/>
  <c r="X34" i="34"/>
  <c r="T34" i="34"/>
  <c r="S34" i="34"/>
  <c r="Q34" i="34"/>
  <c r="P34" i="34"/>
  <c r="AK34" i="34" s="1"/>
  <c r="Z33" i="34"/>
  <c r="X33" i="34"/>
  <c r="T33" i="34"/>
  <c r="S33" i="34"/>
  <c r="Q33" i="34"/>
  <c r="P33" i="34"/>
  <c r="AK33" i="34" s="1"/>
  <c r="Z32" i="34"/>
  <c r="X32" i="34"/>
  <c r="T32" i="34"/>
  <c r="S32" i="34"/>
  <c r="Q32" i="34"/>
  <c r="P32" i="34"/>
  <c r="Z31" i="34"/>
  <c r="X31" i="34"/>
  <c r="T31" i="34"/>
  <c r="S31" i="34"/>
  <c r="Q31" i="34"/>
  <c r="P31" i="34"/>
  <c r="AK31" i="34" s="1"/>
  <c r="Z30" i="34"/>
  <c r="X30" i="34"/>
  <c r="T30" i="34"/>
  <c r="S30" i="34"/>
  <c r="Q30" i="34"/>
  <c r="P30" i="34"/>
  <c r="AK30" i="34" s="1"/>
  <c r="Z29" i="34"/>
  <c r="X29" i="34"/>
  <c r="T29" i="34"/>
  <c r="S29" i="34"/>
  <c r="Q29" i="34"/>
  <c r="P29" i="34"/>
  <c r="AK29" i="34" s="1"/>
  <c r="Z28" i="34"/>
  <c r="X28" i="34"/>
  <c r="T28" i="34"/>
  <c r="S28" i="34"/>
  <c r="Q28" i="34"/>
  <c r="P28" i="34"/>
  <c r="Z24" i="34"/>
  <c r="X24" i="34"/>
  <c r="T24" i="34"/>
  <c r="S24" i="34"/>
  <c r="Q24" i="34"/>
  <c r="P24" i="34"/>
  <c r="Z23" i="34"/>
  <c r="X23" i="34"/>
  <c r="T23" i="34"/>
  <c r="S23" i="34"/>
  <c r="Q23" i="34"/>
  <c r="P23" i="34"/>
  <c r="Z22" i="34"/>
  <c r="X22" i="34"/>
  <c r="T22" i="34"/>
  <c r="S22" i="34"/>
  <c r="Q22" i="34"/>
  <c r="P22" i="34"/>
  <c r="Z21" i="34"/>
  <c r="X21" i="34"/>
  <c r="T21" i="34"/>
  <c r="S21" i="34"/>
  <c r="Q21" i="34"/>
  <c r="P21" i="34"/>
  <c r="Z20" i="34"/>
  <c r="X20" i="34"/>
  <c r="T20" i="34"/>
  <c r="S20" i="34"/>
  <c r="Q20" i="34"/>
  <c r="P20" i="34"/>
  <c r="Z19" i="34"/>
  <c r="X19" i="34"/>
  <c r="T19" i="34"/>
  <c r="S19" i="34"/>
  <c r="Q19" i="34"/>
  <c r="P19" i="34"/>
  <c r="AK19" i="34" s="1"/>
  <c r="Z18" i="34"/>
  <c r="X18" i="34"/>
  <c r="T18" i="34"/>
  <c r="S18" i="34"/>
  <c r="Q18" i="34"/>
  <c r="P18" i="34"/>
  <c r="AK18" i="34" s="1"/>
  <c r="Z17" i="34"/>
  <c r="X17" i="34"/>
  <c r="X17" i="36" s="1"/>
  <c r="T17" i="34"/>
  <c r="T17" i="36" s="1"/>
  <c r="S17" i="34"/>
  <c r="S17" i="36" s="1"/>
  <c r="Q17" i="34"/>
  <c r="Q17" i="36" s="1"/>
  <c r="P17" i="34"/>
  <c r="AK17" i="34" s="1"/>
  <c r="Z16" i="34"/>
  <c r="X16" i="34"/>
  <c r="T16" i="34"/>
  <c r="S16" i="34"/>
  <c r="Q16" i="34"/>
  <c r="P16" i="34"/>
  <c r="AK16" i="34" s="1"/>
  <c r="Z15" i="34"/>
  <c r="X15" i="34"/>
  <c r="T15" i="34"/>
  <c r="S15" i="34"/>
  <c r="Q15" i="34"/>
  <c r="P15" i="34"/>
  <c r="Z14" i="34"/>
  <c r="X14" i="34"/>
  <c r="T14" i="34"/>
  <c r="S14" i="34"/>
  <c r="Q14" i="34"/>
  <c r="P14" i="34"/>
  <c r="AK14" i="34" s="1"/>
  <c r="Z13" i="34"/>
  <c r="X13" i="34"/>
  <c r="T13" i="34"/>
  <c r="S13" i="34"/>
  <c r="Q13" i="34"/>
  <c r="P13" i="34"/>
  <c r="AK13" i="34" s="1"/>
  <c r="Z12" i="34"/>
  <c r="X12" i="34"/>
  <c r="T12" i="34"/>
  <c r="S12" i="34"/>
  <c r="Q12" i="34"/>
  <c r="P12" i="34"/>
  <c r="Z11" i="34"/>
  <c r="X11" i="34"/>
  <c r="T11" i="34"/>
  <c r="S11" i="34"/>
  <c r="Q11" i="34"/>
  <c r="P11" i="34"/>
  <c r="AK11" i="34" s="1"/>
  <c r="Z10" i="34"/>
  <c r="X10" i="34"/>
  <c r="T10" i="34"/>
  <c r="S10" i="34"/>
  <c r="Q10" i="34"/>
  <c r="P10" i="34"/>
  <c r="Z9" i="34"/>
  <c r="Z9" i="36" s="1"/>
  <c r="X9" i="34"/>
  <c r="X9" i="36" s="1"/>
  <c r="T9" i="34"/>
  <c r="T9" i="36" s="1"/>
  <c r="S9" i="34"/>
  <c r="Q9" i="34"/>
  <c r="Q9" i="36" s="1"/>
  <c r="P9" i="34"/>
  <c r="AK9" i="34" s="1"/>
  <c r="Z8" i="34"/>
  <c r="X8" i="34"/>
  <c r="T8" i="34"/>
  <c r="S8" i="34"/>
  <c r="Q8" i="34"/>
  <c r="P8" i="34"/>
  <c r="Z7" i="34"/>
  <c r="X7" i="34"/>
  <c r="T7" i="34"/>
  <c r="S7" i="34"/>
  <c r="Q7" i="34"/>
  <c r="P7" i="34"/>
  <c r="Z6" i="34"/>
  <c r="X6" i="34"/>
  <c r="T6" i="34"/>
  <c r="S6" i="34"/>
  <c r="Q6" i="34"/>
  <c r="P6" i="34"/>
  <c r="Z5" i="34"/>
  <c r="X5" i="34"/>
  <c r="T5" i="34"/>
  <c r="S5" i="34"/>
  <c r="Q5" i="34"/>
  <c r="P5" i="34"/>
  <c r="AK5" i="34" s="1"/>
  <c r="Z4" i="34"/>
  <c r="X4" i="34"/>
  <c r="T4" i="34"/>
  <c r="S4" i="34"/>
  <c r="Q4" i="34"/>
  <c r="P4" i="34"/>
  <c r="Z3" i="34"/>
  <c r="X3" i="34"/>
  <c r="T3" i="34"/>
  <c r="S3" i="34"/>
  <c r="Q3" i="34"/>
  <c r="P3" i="34"/>
  <c r="K60" i="34"/>
  <c r="L60" i="34" s="1"/>
  <c r="I60" i="34"/>
  <c r="K58" i="34"/>
  <c r="L58" i="34" s="1"/>
  <c r="I58" i="34"/>
  <c r="J51" i="34"/>
  <c r="G51" i="34"/>
  <c r="F51" i="34"/>
  <c r="E51" i="34"/>
  <c r="D51" i="34"/>
  <c r="K49" i="34"/>
  <c r="C49" i="34"/>
  <c r="AH47" i="34"/>
  <c r="N47" i="34"/>
  <c r="I47" i="34"/>
  <c r="AH46" i="34"/>
  <c r="N46" i="34"/>
  <c r="I46" i="34"/>
  <c r="AH45" i="34"/>
  <c r="N45" i="34"/>
  <c r="I45" i="34"/>
  <c r="AH44" i="34"/>
  <c r="N44" i="34"/>
  <c r="I44" i="34"/>
  <c r="AH43" i="34"/>
  <c r="N43" i="34"/>
  <c r="I43" i="34"/>
  <c r="AH42" i="34"/>
  <c r="N42" i="34"/>
  <c r="I42" i="34"/>
  <c r="AH41" i="34"/>
  <c r="N41" i="34"/>
  <c r="I41" i="34"/>
  <c r="AH40" i="34"/>
  <c r="N40" i="34"/>
  <c r="I40" i="34"/>
  <c r="AH39" i="34"/>
  <c r="N39" i="34"/>
  <c r="I39" i="34"/>
  <c r="AH38" i="34"/>
  <c r="N38" i="34"/>
  <c r="I38" i="34"/>
  <c r="AH37" i="34"/>
  <c r="N37" i="34"/>
  <c r="I37" i="34"/>
  <c r="AH36" i="34"/>
  <c r="N36" i="34"/>
  <c r="I36" i="34"/>
  <c r="AH35" i="34"/>
  <c r="N35" i="34"/>
  <c r="I35" i="34"/>
  <c r="AH34" i="34"/>
  <c r="N34" i="34"/>
  <c r="I34" i="34"/>
  <c r="AH33" i="34"/>
  <c r="N33" i="34"/>
  <c r="I33" i="34"/>
  <c r="AH32" i="34"/>
  <c r="N32" i="34"/>
  <c r="I32" i="34"/>
  <c r="AH31" i="34"/>
  <c r="N31" i="34"/>
  <c r="I31" i="34"/>
  <c r="AH30" i="34"/>
  <c r="N30" i="34"/>
  <c r="I30" i="34"/>
  <c r="AH29" i="34"/>
  <c r="N29" i="34"/>
  <c r="I29" i="34"/>
  <c r="AH28" i="34"/>
  <c r="N28" i="34"/>
  <c r="I28" i="34"/>
  <c r="I49" i="34" s="1"/>
  <c r="K26" i="34"/>
  <c r="K51" i="34" s="1"/>
  <c r="C26" i="34"/>
  <c r="C51" i="34" s="1"/>
  <c r="AH24" i="34"/>
  <c r="N24" i="34"/>
  <c r="I24" i="34"/>
  <c r="AH23" i="34"/>
  <c r="N23" i="34"/>
  <c r="I23" i="34"/>
  <c r="AH22" i="34"/>
  <c r="N22" i="34"/>
  <c r="I22" i="34"/>
  <c r="AH21" i="34"/>
  <c r="N21" i="34"/>
  <c r="I21" i="34"/>
  <c r="AH20" i="34"/>
  <c r="N20" i="34"/>
  <c r="I20" i="34"/>
  <c r="AH19" i="34"/>
  <c r="N19" i="34"/>
  <c r="I19" i="34"/>
  <c r="AH18" i="34"/>
  <c r="N18" i="34"/>
  <c r="I18" i="34"/>
  <c r="AH17" i="34"/>
  <c r="N17" i="34"/>
  <c r="I17" i="34"/>
  <c r="AH16" i="34"/>
  <c r="N16" i="34"/>
  <c r="I16" i="34"/>
  <c r="AH15" i="34"/>
  <c r="N15" i="34"/>
  <c r="I15" i="34"/>
  <c r="AH14" i="34"/>
  <c r="N14" i="34"/>
  <c r="I14" i="34"/>
  <c r="AH13" i="34"/>
  <c r="N13" i="34"/>
  <c r="I13" i="34"/>
  <c r="AH12" i="34"/>
  <c r="N12" i="34"/>
  <c r="I12" i="34"/>
  <c r="AH11" i="34"/>
  <c r="N11" i="34"/>
  <c r="I11" i="34"/>
  <c r="AH10" i="34"/>
  <c r="N10" i="34"/>
  <c r="I10" i="34"/>
  <c r="AH9" i="34"/>
  <c r="N9" i="34"/>
  <c r="I9" i="34"/>
  <c r="AH8" i="34"/>
  <c r="N8" i="34"/>
  <c r="I8" i="34"/>
  <c r="AH7" i="34"/>
  <c r="N7" i="34"/>
  <c r="I7" i="34"/>
  <c r="AH6" i="34"/>
  <c r="N6" i="34"/>
  <c r="I6" i="34"/>
  <c r="AH5" i="34"/>
  <c r="N5" i="34"/>
  <c r="I5" i="34"/>
  <c r="AH4" i="34"/>
  <c r="N4" i="34"/>
  <c r="I4" i="34"/>
  <c r="AH3" i="34"/>
  <c r="N3" i="34"/>
  <c r="I3" i="34"/>
  <c r="Z47" i="33"/>
  <c r="X47" i="33"/>
  <c r="T47" i="33"/>
  <c r="S47" i="33"/>
  <c r="Q47" i="33"/>
  <c r="P47" i="33"/>
  <c r="AK47" i="33" s="1"/>
  <c r="Z46" i="33"/>
  <c r="X46" i="33"/>
  <c r="T46" i="33"/>
  <c r="S46" i="33"/>
  <c r="Q46" i="33"/>
  <c r="P46" i="33"/>
  <c r="Z45" i="33"/>
  <c r="X45" i="33"/>
  <c r="T45" i="33"/>
  <c r="S45" i="33"/>
  <c r="Q45" i="33"/>
  <c r="P45" i="33"/>
  <c r="Z44" i="33"/>
  <c r="X44" i="33"/>
  <c r="T44" i="33"/>
  <c r="S44" i="33"/>
  <c r="Q44" i="33"/>
  <c r="P44" i="33"/>
  <c r="AK44" i="33" s="1"/>
  <c r="Z43" i="33"/>
  <c r="X43" i="33"/>
  <c r="T43" i="33"/>
  <c r="S43" i="33"/>
  <c r="Q43" i="33"/>
  <c r="P43" i="33"/>
  <c r="AK43" i="33" s="1"/>
  <c r="Z42" i="33"/>
  <c r="X42" i="33"/>
  <c r="T42" i="33"/>
  <c r="S42" i="33"/>
  <c r="Q42" i="33"/>
  <c r="P42" i="33"/>
  <c r="Z41" i="33"/>
  <c r="X41" i="33"/>
  <c r="T41" i="33"/>
  <c r="S41" i="33"/>
  <c r="Q41" i="33"/>
  <c r="P41" i="33"/>
  <c r="Z40" i="33"/>
  <c r="X40" i="33"/>
  <c r="T40" i="33"/>
  <c r="S40" i="33"/>
  <c r="Q40" i="33"/>
  <c r="P40" i="33"/>
  <c r="Z39" i="33"/>
  <c r="X39" i="33"/>
  <c r="T39" i="33"/>
  <c r="S39" i="33"/>
  <c r="Q39" i="33"/>
  <c r="P39" i="33"/>
  <c r="AK39" i="33" s="1"/>
  <c r="Z38" i="33"/>
  <c r="X38" i="33"/>
  <c r="T38" i="33"/>
  <c r="S38" i="33"/>
  <c r="Q38" i="33"/>
  <c r="P38" i="33"/>
  <c r="Z37" i="33"/>
  <c r="X37" i="33"/>
  <c r="T37" i="33"/>
  <c r="S37" i="33"/>
  <c r="Q37" i="33"/>
  <c r="P37" i="33"/>
  <c r="Z36" i="33"/>
  <c r="X36" i="33"/>
  <c r="T36" i="33"/>
  <c r="S36" i="33"/>
  <c r="Q36" i="33"/>
  <c r="P36" i="33"/>
  <c r="AK36" i="33" s="1"/>
  <c r="Z35" i="33"/>
  <c r="X35" i="33"/>
  <c r="T35" i="33"/>
  <c r="S35" i="33"/>
  <c r="Q35" i="33"/>
  <c r="P35" i="33"/>
  <c r="AK35" i="33" s="1"/>
  <c r="Z34" i="33"/>
  <c r="X34" i="33"/>
  <c r="T34" i="33"/>
  <c r="S34" i="33"/>
  <c r="Q34" i="33"/>
  <c r="P34" i="33"/>
  <c r="Z33" i="33"/>
  <c r="X33" i="33"/>
  <c r="T33" i="33"/>
  <c r="S33" i="33"/>
  <c r="Q33" i="33"/>
  <c r="P33" i="33"/>
  <c r="Z32" i="33"/>
  <c r="X32" i="33"/>
  <c r="T32" i="33"/>
  <c r="S32" i="33"/>
  <c r="Q32" i="33"/>
  <c r="P32" i="33"/>
  <c r="Z31" i="33"/>
  <c r="X31" i="33"/>
  <c r="T31" i="33"/>
  <c r="S31" i="33"/>
  <c r="Q31" i="33"/>
  <c r="P31" i="33"/>
  <c r="AK31" i="33" s="1"/>
  <c r="Z30" i="33"/>
  <c r="X30" i="33"/>
  <c r="T30" i="33"/>
  <c r="S30" i="33"/>
  <c r="Q30" i="33"/>
  <c r="P30" i="33"/>
  <c r="Z29" i="33"/>
  <c r="X29" i="33"/>
  <c r="T29" i="33"/>
  <c r="S29" i="33"/>
  <c r="Q29" i="33"/>
  <c r="P29" i="33"/>
  <c r="Z28" i="33"/>
  <c r="X28" i="33"/>
  <c r="T28" i="33"/>
  <c r="S28" i="33"/>
  <c r="Q28" i="33"/>
  <c r="P28" i="33"/>
  <c r="AK28" i="33" s="1"/>
  <c r="Z24" i="33"/>
  <c r="X24" i="33"/>
  <c r="T24" i="33"/>
  <c r="S24" i="33"/>
  <c r="Q24" i="33"/>
  <c r="P24" i="33"/>
  <c r="AK24" i="33" s="1"/>
  <c r="Z23" i="33"/>
  <c r="X23" i="33"/>
  <c r="T23" i="33"/>
  <c r="S23" i="33"/>
  <c r="Q23" i="33"/>
  <c r="P23" i="33"/>
  <c r="AK23" i="33" s="1"/>
  <c r="Z22" i="33"/>
  <c r="X22" i="33"/>
  <c r="T22" i="33"/>
  <c r="S22" i="33"/>
  <c r="Q22" i="33"/>
  <c r="P22" i="33"/>
  <c r="Z21" i="33"/>
  <c r="X21" i="33"/>
  <c r="T21" i="33"/>
  <c r="S21" i="33"/>
  <c r="Q21" i="33"/>
  <c r="P21" i="33"/>
  <c r="AK21" i="33" s="1"/>
  <c r="Z20" i="33"/>
  <c r="X20" i="33"/>
  <c r="T20" i="33"/>
  <c r="S20" i="33"/>
  <c r="Q20" i="33"/>
  <c r="P20" i="33"/>
  <c r="AK20" i="33" s="1"/>
  <c r="Z19" i="33"/>
  <c r="X19" i="33"/>
  <c r="T19" i="33"/>
  <c r="S19" i="33"/>
  <c r="Q19" i="33"/>
  <c r="P19" i="33"/>
  <c r="AK19" i="33" s="1"/>
  <c r="Z18" i="33"/>
  <c r="X18" i="33"/>
  <c r="T18" i="33"/>
  <c r="S18" i="33"/>
  <c r="Q18" i="33"/>
  <c r="P18" i="33"/>
  <c r="Z17" i="33"/>
  <c r="X17" i="33"/>
  <c r="T17" i="33"/>
  <c r="S17" i="33"/>
  <c r="Q17" i="33"/>
  <c r="P17" i="33"/>
  <c r="AK17" i="33" s="1"/>
  <c r="Z16" i="33"/>
  <c r="X16" i="33"/>
  <c r="T16" i="33"/>
  <c r="S16" i="33"/>
  <c r="Q16" i="33"/>
  <c r="P16" i="33"/>
  <c r="Z15" i="33"/>
  <c r="X15" i="33"/>
  <c r="T15" i="33"/>
  <c r="S15" i="33"/>
  <c r="Q15" i="33"/>
  <c r="P15" i="33"/>
  <c r="AK15" i="33" s="1"/>
  <c r="Z14" i="33"/>
  <c r="X14" i="33"/>
  <c r="T14" i="33"/>
  <c r="S14" i="33"/>
  <c r="Q14" i="33"/>
  <c r="P14" i="33"/>
  <c r="AK14" i="33" s="1"/>
  <c r="Z13" i="33"/>
  <c r="X13" i="33"/>
  <c r="T13" i="33"/>
  <c r="S13" i="33"/>
  <c r="Q13" i="33"/>
  <c r="P13" i="33"/>
  <c r="AK13" i="33" s="1"/>
  <c r="Z12" i="33"/>
  <c r="X12" i="33"/>
  <c r="T12" i="33"/>
  <c r="S12" i="33"/>
  <c r="Q12" i="33"/>
  <c r="P12" i="33"/>
  <c r="Z11" i="33"/>
  <c r="X11" i="33"/>
  <c r="T11" i="33"/>
  <c r="S11" i="33"/>
  <c r="Q11" i="33"/>
  <c r="P11" i="33"/>
  <c r="Z10" i="33"/>
  <c r="X10" i="33"/>
  <c r="T10" i="33"/>
  <c r="S10" i="33"/>
  <c r="Q10" i="33"/>
  <c r="P10" i="33"/>
  <c r="Z9" i="33"/>
  <c r="X9" i="33"/>
  <c r="T9" i="33"/>
  <c r="S9" i="33"/>
  <c r="Q9" i="33"/>
  <c r="P9" i="33"/>
  <c r="AK9" i="33" s="1"/>
  <c r="Z8" i="33"/>
  <c r="X8" i="33"/>
  <c r="T8" i="33"/>
  <c r="S8" i="33"/>
  <c r="Q8" i="33"/>
  <c r="P8" i="33"/>
  <c r="Z7" i="33"/>
  <c r="X7" i="33"/>
  <c r="T7" i="33"/>
  <c r="S7" i="33"/>
  <c r="Q7" i="33"/>
  <c r="P7" i="33"/>
  <c r="Z6" i="33"/>
  <c r="X6" i="33"/>
  <c r="T6" i="33"/>
  <c r="S6" i="33"/>
  <c r="Q6" i="33"/>
  <c r="P6" i="33"/>
  <c r="Z5" i="33"/>
  <c r="X5" i="33"/>
  <c r="T5" i="33"/>
  <c r="S5" i="33"/>
  <c r="Q5" i="33"/>
  <c r="P5" i="33"/>
  <c r="AK5" i="33" s="1"/>
  <c r="Z4" i="33"/>
  <c r="X4" i="33"/>
  <c r="T4" i="33"/>
  <c r="S4" i="33"/>
  <c r="Q4" i="33"/>
  <c r="P4" i="33"/>
  <c r="AK4" i="33" s="1"/>
  <c r="Z3" i="33"/>
  <c r="X3" i="33"/>
  <c r="T3" i="33"/>
  <c r="S3" i="33"/>
  <c r="Q3" i="33"/>
  <c r="P3" i="33"/>
  <c r="K60" i="33"/>
  <c r="L60" i="33" s="1"/>
  <c r="I60" i="33"/>
  <c r="K58" i="33"/>
  <c r="L58" i="33" s="1"/>
  <c r="I58" i="33"/>
  <c r="J51" i="33"/>
  <c r="G51" i="33"/>
  <c r="F51" i="33"/>
  <c r="E51" i="33"/>
  <c r="D51" i="33"/>
  <c r="K49" i="33"/>
  <c r="C49" i="33"/>
  <c r="AH47" i="33"/>
  <c r="N47" i="33"/>
  <c r="I47" i="33"/>
  <c r="AH46" i="33"/>
  <c r="N46" i="33"/>
  <c r="I46" i="33"/>
  <c r="AH45" i="33"/>
  <c r="N45" i="33"/>
  <c r="I45" i="33"/>
  <c r="AH44" i="33"/>
  <c r="N44" i="33"/>
  <c r="I44" i="33"/>
  <c r="AH43" i="33"/>
  <c r="N43" i="33"/>
  <c r="I43" i="33"/>
  <c r="AH42" i="33"/>
  <c r="N42" i="33"/>
  <c r="I42" i="33"/>
  <c r="AH41" i="33"/>
  <c r="N41" i="33"/>
  <c r="I41" i="33"/>
  <c r="AH40" i="33"/>
  <c r="N40" i="33"/>
  <c r="I40" i="33"/>
  <c r="AH39" i="33"/>
  <c r="N39" i="33"/>
  <c r="I39" i="33"/>
  <c r="AH38" i="33"/>
  <c r="N38" i="33"/>
  <c r="I38" i="33"/>
  <c r="AH37" i="33"/>
  <c r="N37" i="33"/>
  <c r="I37" i="33"/>
  <c r="AH36" i="33"/>
  <c r="N36" i="33"/>
  <c r="I36" i="33"/>
  <c r="AH35" i="33"/>
  <c r="N35" i="33"/>
  <c r="I35" i="33"/>
  <c r="AH34" i="33"/>
  <c r="N34" i="33"/>
  <c r="I34" i="33"/>
  <c r="AH33" i="33"/>
  <c r="N33" i="33"/>
  <c r="I33" i="33"/>
  <c r="AH32" i="33"/>
  <c r="N32" i="33"/>
  <c r="I32" i="33"/>
  <c r="AH31" i="33"/>
  <c r="N31" i="33"/>
  <c r="I31" i="33"/>
  <c r="AH30" i="33"/>
  <c r="N30" i="33"/>
  <c r="I30" i="33"/>
  <c r="AH29" i="33"/>
  <c r="N29" i="33"/>
  <c r="I29" i="33"/>
  <c r="AH28" i="33"/>
  <c r="AH48" i="33" s="1"/>
  <c r="N28" i="33"/>
  <c r="I28" i="33"/>
  <c r="K26" i="33"/>
  <c r="K51" i="33" s="1"/>
  <c r="C26" i="33"/>
  <c r="C51" i="33" s="1"/>
  <c r="AH24" i="33"/>
  <c r="N24" i="33"/>
  <c r="I24" i="33"/>
  <c r="AH23" i="33"/>
  <c r="N23" i="33"/>
  <c r="I23" i="33"/>
  <c r="AH22" i="33"/>
  <c r="N22" i="33"/>
  <c r="I22" i="33"/>
  <c r="AH21" i="33"/>
  <c r="N21" i="33"/>
  <c r="I21" i="33"/>
  <c r="AH20" i="33"/>
  <c r="N20" i="33"/>
  <c r="I20" i="33"/>
  <c r="AH19" i="33"/>
  <c r="N19" i="33"/>
  <c r="I19" i="33"/>
  <c r="AH18" i="33"/>
  <c r="N18" i="33"/>
  <c r="I18" i="33"/>
  <c r="AH17" i="33"/>
  <c r="N17" i="33"/>
  <c r="I17" i="33"/>
  <c r="AH16" i="33"/>
  <c r="N16" i="33"/>
  <c r="I16" i="33"/>
  <c r="AH15" i="33"/>
  <c r="N15" i="33"/>
  <c r="I15" i="33"/>
  <c r="AH14" i="33"/>
  <c r="N14" i="33"/>
  <c r="I14" i="33"/>
  <c r="AH13" i="33"/>
  <c r="N13" i="33"/>
  <c r="I13" i="33"/>
  <c r="AH12" i="33"/>
  <c r="N12" i="33"/>
  <c r="I12" i="33"/>
  <c r="AH11" i="33"/>
  <c r="N11" i="33"/>
  <c r="I11" i="33"/>
  <c r="AH10" i="33"/>
  <c r="N10" i="33"/>
  <c r="I10" i="33"/>
  <c r="AH9" i="33"/>
  <c r="N9" i="33"/>
  <c r="I9" i="33"/>
  <c r="AH8" i="33"/>
  <c r="N8" i="33"/>
  <c r="I8" i="33"/>
  <c r="AH7" i="33"/>
  <c r="AH25" i="33" s="1"/>
  <c r="N7" i="33"/>
  <c r="I7" i="33"/>
  <c r="AH6" i="33"/>
  <c r="N6" i="33"/>
  <c r="I6" i="33"/>
  <c r="AH5" i="33"/>
  <c r="N5" i="33"/>
  <c r="I5" i="33"/>
  <c r="AH4" i="33"/>
  <c r="N4" i="33"/>
  <c r="I4" i="33"/>
  <c r="AH3" i="33"/>
  <c r="N3" i="33"/>
  <c r="I3" i="33"/>
  <c r="I26" i="33" s="1"/>
  <c r="Z47" i="28"/>
  <c r="X47" i="28"/>
  <c r="T47" i="28"/>
  <c r="S47" i="28"/>
  <c r="Q47" i="28"/>
  <c r="P47" i="28"/>
  <c r="AK47" i="28" s="1"/>
  <c r="Z46" i="28"/>
  <c r="X46" i="28"/>
  <c r="T46" i="28"/>
  <c r="S46" i="28"/>
  <c r="Q46" i="28"/>
  <c r="P46" i="28"/>
  <c r="AK46" i="28" s="1"/>
  <c r="Z45" i="28"/>
  <c r="X45" i="28"/>
  <c r="T45" i="28"/>
  <c r="S45" i="28"/>
  <c r="Q45" i="28"/>
  <c r="P45" i="28"/>
  <c r="Z44" i="28"/>
  <c r="X44" i="28"/>
  <c r="T44" i="28"/>
  <c r="S44" i="28"/>
  <c r="Q44" i="28"/>
  <c r="P44" i="28"/>
  <c r="Z43" i="28"/>
  <c r="X43" i="28"/>
  <c r="T43" i="28"/>
  <c r="S43" i="28"/>
  <c r="Q43" i="28"/>
  <c r="P43" i="28"/>
  <c r="AK43" i="28" s="1"/>
  <c r="Z42" i="28"/>
  <c r="X42" i="28"/>
  <c r="T42" i="28"/>
  <c r="S42" i="28"/>
  <c r="Q42" i="28"/>
  <c r="P42" i="28"/>
  <c r="AK42" i="28" s="1"/>
  <c r="Z41" i="28"/>
  <c r="X41" i="28"/>
  <c r="T41" i="28"/>
  <c r="S41" i="28"/>
  <c r="Q41" i="28"/>
  <c r="P41" i="28"/>
  <c r="AK41" i="28" s="1"/>
  <c r="Z40" i="28"/>
  <c r="X40" i="28"/>
  <c r="T40" i="28"/>
  <c r="S40" i="28"/>
  <c r="Q40" i="28"/>
  <c r="P40" i="28"/>
  <c r="Z39" i="28"/>
  <c r="X39" i="28"/>
  <c r="T39" i="28"/>
  <c r="S39" i="28"/>
  <c r="Q39" i="28"/>
  <c r="P39" i="28"/>
  <c r="AK39" i="28" s="1"/>
  <c r="Z38" i="28"/>
  <c r="X38" i="28"/>
  <c r="T38" i="28"/>
  <c r="S38" i="28"/>
  <c r="Q38" i="28"/>
  <c r="P38" i="28"/>
  <c r="AK38" i="28" s="1"/>
  <c r="Z37" i="28"/>
  <c r="X37" i="28"/>
  <c r="T37" i="28"/>
  <c r="S37" i="28"/>
  <c r="Q37" i="28"/>
  <c r="P37" i="28"/>
  <c r="AK37" i="28" s="1"/>
  <c r="Z36" i="28"/>
  <c r="X36" i="28"/>
  <c r="T36" i="28"/>
  <c r="S36" i="28"/>
  <c r="Q36" i="28"/>
  <c r="P36" i="28"/>
  <c r="Z35" i="28"/>
  <c r="X35" i="28"/>
  <c r="T35" i="28"/>
  <c r="S35" i="28"/>
  <c r="Q35" i="28"/>
  <c r="P35" i="28"/>
  <c r="AK35" i="28" s="1"/>
  <c r="Z34" i="28"/>
  <c r="X34" i="28"/>
  <c r="T34" i="28"/>
  <c r="S34" i="28"/>
  <c r="Q34" i="28"/>
  <c r="P34" i="28"/>
  <c r="AK34" i="28" s="1"/>
  <c r="Z33" i="28"/>
  <c r="X33" i="28"/>
  <c r="T33" i="28"/>
  <c r="S33" i="28"/>
  <c r="Q33" i="28"/>
  <c r="P33" i="28"/>
  <c r="AK33" i="28" s="1"/>
  <c r="Z32" i="28"/>
  <c r="X32" i="28"/>
  <c r="T32" i="28"/>
  <c r="S32" i="28"/>
  <c r="Q32" i="28"/>
  <c r="P32" i="28"/>
  <c r="Z31" i="28"/>
  <c r="X31" i="28"/>
  <c r="T31" i="28"/>
  <c r="S31" i="28"/>
  <c r="Q31" i="28"/>
  <c r="P31" i="28"/>
  <c r="AK31" i="28" s="1"/>
  <c r="Z30" i="28"/>
  <c r="X30" i="28"/>
  <c r="T30" i="28"/>
  <c r="S30" i="28"/>
  <c r="Q30" i="28"/>
  <c r="P30" i="28"/>
  <c r="AK30" i="28" s="1"/>
  <c r="Z29" i="28"/>
  <c r="X29" i="28"/>
  <c r="T29" i="28"/>
  <c r="S29" i="28"/>
  <c r="Q29" i="28"/>
  <c r="P29" i="28"/>
  <c r="Z28" i="28"/>
  <c r="X28" i="28"/>
  <c r="T28" i="28"/>
  <c r="S28" i="28"/>
  <c r="Q28" i="28"/>
  <c r="P28" i="28"/>
  <c r="Z24" i="28"/>
  <c r="X24" i="28"/>
  <c r="T24" i="28"/>
  <c r="S24" i="28"/>
  <c r="Q24" i="28"/>
  <c r="P24" i="28"/>
  <c r="AK24" i="28" s="1"/>
  <c r="Z23" i="28"/>
  <c r="X23" i="28"/>
  <c r="T23" i="28"/>
  <c r="S23" i="28"/>
  <c r="Q23" i="28"/>
  <c r="P23" i="28"/>
  <c r="Z22" i="28"/>
  <c r="X22" i="28"/>
  <c r="T22" i="28"/>
  <c r="S22" i="28"/>
  <c r="Q22" i="28"/>
  <c r="P22" i="28"/>
  <c r="AK22" i="28" s="1"/>
  <c r="Z21" i="28"/>
  <c r="X21" i="28"/>
  <c r="T21" i="28"/>
  <c r="S21" i="28"/>
  <c r="Q21" i="28"/>
  <c r="P21" i="28"/>
  <c r="Z20" i="28"/>
  <c r="X20" i="28"/>
  <c r="T20" i="28"/>
  <c r="S20" i="28"/>
  <c r="Q20" i="28"/>
  <c r="P20" i="28"/>
  <c r="AK20" i="28" s="1"/>
  <c r="Z19" i="28"/>
  <c r="X19" i="28"/>
  <c r="T19" i="28"/>
  <c r="S19" i="28"/>
  <c r="Q19" i="28"/>
  <c r="P19" i="28"/>
  <c r="AK19" i="28" s="1"/>
  <c r="Z18" i="28"/>
  <c r="X18" i="28"/>
  <c r="T18" i="28"/>
  <c r="S18" i="28"/>
  <c r="Q18" i="28"/>
  <c r="P18" i="28"/>
  <c r="Z17" i="28"/>
  <c r="X17" i="28"/>
  <c r="T17" i="28"/>
  <c r="S17" i="28"/>
  <c r="Q17" i="28"/>
  <c r="P17" i="28"/>
  <c r="AK17" i="28" s="1"/>
  <c r="Z16" i="28"/>
  <c r="X16" i="28"/>
  <c r="T16" i="28"/>
  <c r="S16" i="28"/>
  <c r="Q16" i="28"/>
  <c r="P16" i="28"/>
  <c r="AK16" i="28" s="1"/>
  <c r="Z15" i="28"/>
  <c r="X15" i="28"/>
  <c r="T15" i="28"/>
  <c r="S15" i="28"/>
  <c r="Q15" i="28"/>
  <c r="P15" i="28"/>
  <c r="AK15" i="28" s="1"/>
  <c r="Z14" i="28"/>
  <c r="X14" i="28"/>
  <c r="T14" i="28"/>
  <c r="S14" i="28"/>
  <c r="Q14" i="28"/>
  <c r="P14" i="28"/>
  <c r="AK14" i="28" s="1"/>
  <c r="Z13" i="28"/>
  <c r="X13" i="28"/>
  <c r="T13" i="28"/>
  <c r="S13" i="28"/>
  <c r="Q13" i="28"/>
  <c r="P13" i="28"/>
  <c r="AK13" i="28" s="1"/>
  <c r="Z12" i="28"/>
  <c r="X12" i="28"/>
  <c r="T12" i="28"/>
  <c r="S12" i="28"/>
  <c r="Q12" i="28"/>
  <c r="P12" i="28"/>
  <c r="Z11" i="28"/>
  <c r="X11" i="28"/>
  <c r="T11" i="28"/>
  <c r="S11" i="28"/>
  <c r="Q11" i="28"/>
  <c r="P11" i="28"/>
  <c r="Z10" i="28"/>
  <c r="X10" i="28"/>
  <c r="T10" i="28"/>
  <c r="S10" i="28"/>
  <c r="Q10" i="28"/>
  <c r="P10" i="28"/>
  <c r="AK10" i="28" s="1"/>
  <c r="Z9" i="28"/>
  <c r="X9" i="28"/>
  <c r="T9" i="28"/>
  <c r="S9" i="28"/>
  <c r="Q9" i="28"/>
  <c r="P9" i="28"/>
  <c r="Z8" i="28"/>
  <c r="X8" i="28"/>
  <c r="T8" i="28"/>
  <c r="S8" i="28"/>
  <c r="Q8" i="28"/>
  <c r="P8" i="28"/>
  <c r="Z7" i="28"/>
  <c r="X7" i="28"/>
  <c r="T7" i="28"/>
  <c r="S7" i="28"/>
  <c r="Q7" i="28"/>
  <c r="P7" i="28"/>
  <c r="Z6" i="28"/>
  <c r="X6" i="28"/>
  <c r="T6" i="28"/>
  <c r="S6" i="28"/>
  <c r="Q6" i="28"/>
  <c r="P6" i="28"/>
  <c r="Z5" i="28"/>
  <c r="X5" i="28"/>
  <c r="T5" i="28"/>
  <c r="S5" i="28"/>
  <c r="Q5" i="28"/>
  <c r="P5" i="28"/>
  <c r="Z4" i="28"/>
  <c r="X4" i="28"/>
  <c r="T4" i="28"/>
  <c r="S4" i="28"/>
  <c r="Q4" i="28"/>
  <c r="P4" i="28"/>
  <c r="AK4" i="28" s="1"/>
  <c r="Z3" i="28"/>
  <c r="X3" i="28"/>
  <c r="T3" i="28"/>
  <c r="S3" i="28"/>
  <c r="Q3" i="28"/>
  <c r="P3" i="28"/>
  <c r="AK3" i="28" s="1"/>
  <c r="K60" i="28"/>
  <c r="I60" i="28"/>
  <c r="K58" i="28"/>
  <c r="L58" i="28" s="1"/>
  <c r="I58" i="28"/>
  <c r="J51" i="28"/>
  <c r="G51" i="28"/>
  <c r="F51" i="28"/>
  <c r="E51" i="28"/>
  <c r="D51" i="28"/>
  <c r="AA50" i="28"/>
  <c r="AC49" i="28"/>
  <c r="AB49" i="28"/>
  <c r="K49" i="28"/>
  <c r="E18" i="6" s="1"/>
  <c r="C49" i="28"/>
  <c r="AH47" i="28"/>
  <c r="N47" i="28"/>
  <c r="I47" i="28"/>
  <c r="AH46" i="28"/>
  <c r="N46" i="28"/>
  <c r="I46" i="28"/>
  <c r="AH45" i="28"/>
  <c r="AK45" i="28"/>
  <c r="N45" i="28"/>
  <c r="I45" i="28"/>
  <c r="AH44" i="28"/>
  <c r="N44" i="28"/>
  <c r="I44" i="28"/>
  <c r="AH43" i="28"/>
  <c r="N43" i="28"/>
  <c r="I43" i="28"/>
  <c r="AH42" i="28"/>
  <c r="N42" i="28"/>
  <c r="I42" i="28"/>
  <c r="AH41" i="28"/>
  <c r="N41" i="28"/>
  <c r="I41" i="28"/>
  <c r="AH40" i="28"/>
  <c r="N40" i="28"/>
  <c r="I40" i="28"/>
  <c r="AH39" i="28"/>
  <c r="N39" i="28"/>
  <c r="I39" i="28"/>
  <c r="AH38" i="28"/>
  <c r="N38" i="28"/>
  <c r="I38" i="28"/>
  <c r="AH37" i="28"/>
  <c r="N37" i="28"/>
  <c r="I37" i="28"/>
  <c r="AH36" i="28"/>
  <c r="N36" i="28"/>
  <c r="I36" i="28"/>
  <c r="AH35" i="28"/>
  <c r="N35" i="28"/>
  <c r="I35" i="28"/>
  <c r="AH34" i="28"/>
  <c r="N34" i="28"/>
  <c r="I34" i="28"/>
  <c r="AH33" i="28"/>
  <c r="N33" i="28"/>
  <c r="I33" i="28"/>
  <c r="AH32" i="28"/>
  <c r="N32" i="28"/>
  <c r="I32" i="28"/>
  <c r="AH31" i="28"/>
  <c r="N31" i="28"/>
  <c r="I31" i="28"/>
  <c r="AH30" i="28"/>
  <c r="N30" i="28"/>
  <c r="I30" i="28"/>
  <c r="AH29" i="28"/>
  <c r="N29" i="28"/>
  <c r="I29" i="28"/>
  <c r="AH28" i="28"/>
  <c r="N28" i="28"/>
  <c r="I28" i="28"/>
  <c r="AA27" i="28"/>
  <c r="AA53" i="28" s="1"/>
  <c r="AC26" i="28"/>
  <c r="AC51" i="28" s="1"/>
  <c r="AB26" i="28"/>
  <c r="K26" i="28"/>
  <c r="C26" i="28"/>
  <c r="AH24" i="28"/>
  <c r="N24" i="28"/>
  <c r="I24" i="28"/>
  <c r="AH23" i="28"/>
  <c r="N23" i="28"/>
  <c r="I23" i="28"/>
  <c r="AH22" i="28"/>
  <c r="N22" i="28"/>
  <c r="I22" i="28"/>
  <c r="AH21" i="28"/>
  <c r="N21" i="28"/>
  <c r="I21" i="28"/>
  <c r="AH20" i="28"/>
  <c r="N20" i="28"/>
  <c r="I20" i="28"/>
  <c r="AH19" i="28"/>
  <c r="N19" i="28"/>
  <c r="I19" i="28"/>
  <c r="AH18" i="28"/>
  <c r="N18" i="28"/>
  <c r="I18" i="28"/>
  <c r="AH17" i="28"/>
  <c r="N17" i="28"/>
  <c r="I17" i="28"/>
  <c r="AH16" i="28"/>
  <c r="N16" i="28"/>
  <c r="I16" i="28"/>
  <c r="AH15" i="28"/>
  <c r="N15" i="28"/>
  <c r="I15" i="28"/>
  <c r="AH14" i="28"/>
  <c r="N14" i="28"/>
  <c r="I14" i="28"/>
  <c r="AH13" i="28"/>
  <c r="N13" i="28"/>
  <c r="I13" i="28"/>
  <c r="AH12" i="28"/>
  <c r="N12" i="28"/>
  <c r="I12" i="28"/>
  <c r="AH11" i="28"/>
  <c r="N11" i="28"/>
  <c r="I11" i="28"/>
  <c r="AH10" i="28"/>
  <c r="N10" i="28"/>
  <c r="I10" i="28"/>
  <c r="AH9" i="28"/>
  <c r="N9" i="28"/>
  <c r="I9" i="28"/>
  <c r="AH8" i="28"/>
  <c r="N8" i="28"/>
  <c r="I8" i="28"/>
  <c r="AH7" i="28"/>
  <c r="N7" i="28"/>
  <c r="I7" i="28"/>
  <c r="AH6" i="28"/>
  <c r="N6" i="28"/>
  <c r="I6" i="28"/>
  <c r="AH5" i="28"/>
  <c r="N5" i="28"/>
  <c r="I5" i="28"/>
  <c r="AH4" i="28"/>
  <c r="N4" i="28"/>
  <c r="I4" i="28"/>
  <c r="AH3" i="28"/>
  <c r="AH25" i="28" s="1"/>
  <c r="N3" i="28"/>
  <c r="I3" i="28"/>
  <c r="D45" i="38" l="1"/>
  <c r="D38" i="38"/>
  <c r="D48" i="38"/>
  <c r="D32" i="38"/>
  <c r="D39" i="38"/>
  <c r="D50" i="38" s="1"/>
  <c r="D49" i="38"/>
  <c r="S9" i="36"/>
  <c r="U9" i="36" s="1"/>
  <c r="D34" i="38"/>
  <c r="D41" i="38"/>
  <c r="D35" i="38"/>
  <c r="D42" i="38"/>
  <c r="D36" i="38"/>
  <c r="D44" i="38"/>
  <c r="K4" i="38"/>
  <c r="K34" i="38"/>
  <c r="K42" i="38"/>
  <c r="K30" i="38"/>
  <c r="K43" i="38"/>
  <c r="K48" i="38"/>
  <c r="K31" i="38"/>
  <c r="K35" i="38"/>
  <c r="K39" i="38"/>
  <c r="K44" i="38"/>
  <c r="K49" i="38"/>
  <c r="K32" i="38"/>
  <c r="K36" i="38"/>
  <c r="K40" i="38"/>
  <c r="K33" i="38"/>
  <c r="K37" i="38"/>
  <c r="K41" i="38"/>
  <c r="K46" i="38"/>
  <c r="K10" i="38"/>
  <c r="K12" i="38"/>
  <c r="K18" i="38"/>
  <c r="K20" i="38"/>
  <c r="K5" i="38"/>
  <c r="K13" i="38"/>
  <c r="K21" i="38"/>
  <c r="K6" i="38"/>
  <c r="K14" i="38"/>
  <c r="K22" i="38"/>
  <c r="K7" i="38"/>
  <c r="K15" i="38"/>
  <c r="K23" i="38"/>
  <c r="K8" i="38"/>
  <c r="K16" i="38"/>
  <c r="K24" i="38"/>
  <c r="K9" i="38"/>
  <c r="K17" i="38"/>
  <c r="K11" i="38"/>
  <c r="K19" i="38"/>
  <c r="D46" i="38"/>
  <c r="D43" i="38"/>
  <c r="D6" i="38"/>
  <c r="D18" i="38"/>
  <c r="D14" i="38"/>
  <c r="D22" i="38"/>
  <c r="D10" i="38"/>
  <c r="Z29" i="36"/>
  <c r="Z37" i="36"/>
  <c r="Z45" i="36"/>
  <c r="K51" i="28"/>
  <c r="E17" i="6"/>
  <c r="I49" i="28"/>
  <c r="L60" i="28"/>
  <c r="C51" i="28"/>
  <c r="X29" i="36"/>
  <c r="X37" i="36"/>
  <c r="X45" i="36"/>
  <c r="Z17" i="36"/>
  <c r="T37" i="36"/>
  <c r="T45" i="36"/>
  <c r="T29" i="36"/>
  <c r="S29" i="36"/>
  <c r="S45" i="36"/>
  <c r="Q29" i="36"/>
  <c r="Q37" i="36"/>
  <c r="Q45" i="36"/>
  <c r="AA26" i="37"/>
  <c r="P45" i="36"/>
  <c r="AK45" i="36" s="1"/>
  <c r="F33" i="39"/>
  <c r="E34" i="39"/>
  <c r="M8" i="39"/>
  <c r="G8" i="39" s="1"/>
  <c r="L11" i="39"/>
  <c r="L9" i="39"/>
  <c r="M33" i="39"/>
  <c r="G33" i="39" s="1"/>
  <c r="L34" i="39"/>
  <c r="F8" i="39"/>
  <c r="E9" i="39"/>
  <c r="E11" i="39"/>
  <c r="D16" i="6"/>
  <c r="Y16" i="6"/>
  <c r="D15" i="6"/>
  <c r="K32" i="6"/>
  <c r="AE15" i="6"/>
  <c r="AB15" i="6"/>
  <c r="AE16" i="6"/>
  <c r="Z16" i="6"/>
  <c r="AC16" i="6" s="1"/>
  <c r="L32" i="6"/>
  <c r="Y15" i="6"/>
  <c r="V32" i="6"/>
  <c r="U32" i="6"/>
  <c r="R32" i="6"/>
  <c r="M32" i="6"/>
  <c r="S37" i="36"/>
  <c r="AA49" i="37"/>
  <c r="D5" i="38"/>
  <c r="D13" i="38"/>
  <c r="D21" i="38"/>
  <c r="E30" i="38"/>
  <c r="D4" i="38"/>
  <c r="D12" i="38"/>
  <c r="D20" i="38"/>
  <c r="D11" i="38"/>
  <c r="D19" i="38"/>
  <c r="D9" i="38"/>
  <c r="D17" i="38"/>
  <c r="D25" i="38"/>
  <c r="L30" i="38"/>
  <c r="D8" i="38"/>
  <c r="D16" i="38"/>
  <c r="D24" i="38"/>
  <c r="L4" i="38"/>
  <c r="M4" i="38" s="1"/>
  <c r="G4" i="38" s="1"/>
  <c r="D7" i="38"/>
  <c r="D15" i="38"/>
  <c r="Z32" i="36"/>
  <c r="Z40" i="36"/>
  <c r="X3" i="36"/>
  <c r="X11" i="36"/>
  <c r="X19" i="36"/>
  <c r="X33" i="36"/>
  <c r="X41" i="36"/>
  <c r="X8" i="36"/>
  <c r="X16" i="36"/>
  <c r="S10" i="36"/>
  <c r="S18" i="36"/>
  <c r="X30" i="36"/>
  <c r="X38" i="36"/>
  <c r="X46" i="36"/>
  <c r="Z7" i="36"/>
  <c r="Z15" i="36"/>
  <c r="Z23" i="36"/>
  <c r="P4" i="36"/>
  <c r="AK4" i="36" s="1"/>
  <c r="P12" i="36"/>
  <c r="AK12" i="36" s="1"/>
  <c r="P20" i="36"/>
  <c r="AK20" i="36" s="1"/>
  <c r="P32" i="36"/>
  <c r="AK32" i="36" s="1"/>
  <c r="P40" i="36"/>
  <c r="K49" i="37"/>
  <c r="P22" i="36"/>
  <c r="AK22" i="36" s="1"/>
  <c r="S34" i="36"/>
  <c r="S42" i="36"/>
  <c r="T19" i="36"/>
  <c r="Z31" i="36"/>
  <c r="Z39" i="36"/>
  <c r="Z47" i="36"/>
  <c r="P28" i="36"/>
  <c r="AK28" i="36" s="1"/>
  <c r="P36" i="36"/>
  <c r="AK36" i="36" s="1"/>
  <c r="P44" i="36"/>
  <c r="AK44" i="36" s="1"/>
  <c r="Q5" i="36"/>
  <c r="Q13" i="36"/>
  <c r="Q21" i="36"/>
  <c r="T33" i="36"/>
  <c r="T41" i="36"/>
  <c r="X10" i="36"/>
  <c r="X18" i="36"/>
  <c r="Q35" i="36"/>
  <c r="Q43" i="36"/>
  <c r="S12" i="36"/>
  <c r="S20" i="36"/>
  <c r="X32" i="36"/>
  <c r="X40" i="36"/>
  <c r="X6" i="36"/>
  <c r="X14" i="36"/>
  <c r="X22" i="36"/>
  <c r="S32" i="36"/>
  <c r="S40" i="36"/>
  <c r="X28" i="36"/>
  <c r="X36" i="36"/>
  <c r="X44" i="36"/>
  <c r="Z5" i="36"/>
  <c r="Z13" i="36"/>
  <c r="Z21" i="36"/>
  <c r="T31" i="36"/>
  <c r="T39" i="36"/>
  <c r="T47" i="36"/>
  <c r="K26" i="37"/>
  <c r="X24" i="36"/>
  <c r="Z35" i="36"/>
  <c r="Z43" i="36"/>
  <c r="Q32" i="36"/>
  <c r="Q40" i="36"/>
  <c r="Z28" i="36"/>
  <c r="Z36" i="36"/>
  <c r="Z44" i="36"/>
  <c r="I51" i="37"/>
  <c r="I49" i="37"/>
  <c r="AH48" i="37"/>
  <c r="T11" i="36"/>
  <c r="X7" i="36"/>
  <c r="X15" i="36"/>
  <c r="X23" i="36"/>
  <c r="Z6" i="36"/>
  <c r="Z14" i="36"/>
  <c r="Z22" i="36"/>
  <c r="X31" i="36"/>
  <c r="X39" i="36"/>
  <c r="X47" i="36"/>
  <c r="Z8" i="36"/>
  <c r="Z16" i="36"/>
  <c r="Z24" i="36"/>
  <c r="P21" i="36"/>
  <c r="Z34" i="36"/>
  <c r="Z42" i="36"/>
  <c r="T10" i="36"/>
  <c r="T18" i="36"/>
  <c r="Z30" i="36"/>
  <c r="Z38" i="36"/>
  <c r="Z46" i="36"/>
  <c r="T32" i="36"/>
  <c r="T40" i="36"/>
  <c r="S6" i="36"/>
  <c r="S14" i="36"/>
  <c r="Q7" i="36"/>
  <c r="Q15" i="36"/>
  <c r="Q23" i="36"/>
  <c r="T35" i="36"/>
  <c r="T43" i="36"/>
  <c r="X4" i="36"/>
  <c r="X12" i="36"/>
  <c r="X20" i="36"/>
  <c r="Z3" i="36"/>
  <c r="Z11" i="36"/>
  <c r="Z19" i="36"/>
  <c r="X34" i="36"/>
  <c r="X42" i="36"/>
  <c r="P8" i="36"/>
  <c r="AK8" i="36" s="1"/>
  <c r="P24" i="36"/>
  <c r="AK24" i="36" s="1"/>
  <c r="S28" i="36"/>
  <c r="S36" i="36"/>
  <c r="S44" i="36"/>
  <c r="T5" i="36"/>
  <c r="Z10" i="36"/>
  <c r="T13" i="36"/>
  <c r="Z18" i="36"/>
  <c r="T21" i="36"/>
  <c r="Z33" i="36"/>
  <c r="Z41" i="36"/>
  <c r="S22" i="36"/>
  <c r="S4" i="36"/>
  <c r="P6" i="36"/>
  <c r="T3" i="36"/>
  <c r="Z4" i="36"/>
  <c r="Z12" i="36"/>
  <c r="Z20" i="36"/>
  <c r="T6" i="36"/>
  <c r="T14" i="36"/>
  <c r="T22" i="36"/>
  <c r="Q8" i="36"/>
  <c r="Q16" i="36"/>
  <c r="Q24" i="36"/>
  <c r="T28" i="36"/>
  <c r="T36" i="36"/>
  <c r="T44" i="36"/>
  <c r="X5" i="36"/>
  <c r="X13" i="36"/>
  <c r="X21" i="36"/>
  <c r="Q30" i="36"/>
  <c r="Q38" i="36"/>
  <c r="Q46" i="36"/>
  <c r="S7" i="36"/>
  <c r="S15" i="36"/>
  <c r="S23" i="36"/>
  <c r="X35" i="36"/>
  <c r="X43" i="36"/>
  <c r="Q6" i="36"/>
  <c r="Q14" i="36"/>
  <c r="Q22" i="36"/>
  <c r="T34" i="36"/>
  <c r="T42" i="36"/>
  <c r="Q28" i="36"/>
  <c r="Q36" i="36"/>
  <c r="Q44" i="36"/>
  <c r="P10" i="36"/>
  <c r="P18" i="36"/>
  <c r="AK18" i="36" s="1"/>
  <c r="S5" i="36"/>
  <c r="S13" i="36"/>
  <c r="S21" i="36"/>
  <c r="P3" i="36"/>
  <c r="P11" i="36"/>
  <c r="AK11" i="36" s="1"/>
  <c r="P37" i="36"/>
  <c r="AK37" i="36" s="1"/>
  <c r="P7" i="36"/>
  <c r="P15" i="36"/>
  <c r="AK15" i="36" s="1"/>
  <c r="P23" i="36"/>
  <c r="AK23" i="36" s="1"/>
  <c r="S35" i="36"/>
  <c r="S43" i="36"/>
  <c r="P29" i="36"/>
  <c r="AK29" i="36" s="1"/>
  <c r="T4" i="36"/>
  <c r="T12" i="36"/>
  <c r="T20" i="36"/>
  <c r="T7" i="36"/>
  <c r="Q10" i="36"/>
  <c r="T15" i="36"/>
  <c r="Q18" i="36"/>
  <c r="T23" i="36"/>
  <c r="T30" i="36"/>
  <c r="T38" i="36"/>
  <c r="T46" i="36"/>
  <c r="P16" i="36"/>
  <c r="AK16" i="36" s="1"/>
  <c r="P34" i="36"/>
  <c r="AK34" i="36" s="1"/>
  <c r="P42" i="36"/>
  <c r="AK42" i="36" s="1"/>
  <c r="P9" i="36"/>
  <c r="AK9" i="36" s="1"/>
  <c r="P17" i="36"/>
  <c r="AK17" i="36" s="1"/>
  <c r="P35" i="36"/>
  <c r="AK35" i="36" s="1"/>
  <c r="P43" i="36"/>
  <c r="AK43" i="36" s="1"/>
  <c r="Q31" i="36"/>
  <c r="Q39" i="36"/>
  <c r="Q47" i="36"/>
  <c r="P30" i="36"/>
  <c r="AK30" i="36" s="1"/>
  <c r="P38" i="36"/>
  <c r="AK38" i="36" s="1"/>
  <c r="P46" i="36"/>
  <c r="AK46" i="36" s="1"/>
  <c r="S8" i="36"/>
  <c r="S16" i="36"/>
  <c r="S24" i="36"/>
  <c r="S31" i="36"/>
  <c r="S39" i="36"/>
  <c r="S47" i="36"/>
  <c r="P5" i="36"/>
  <c r="AK5" i="36" s="1"/>
  <c r="P13" i="36"/>
  <c r="P31" i="36"/>
  <c r="AK31" i="36" s="1"/>
  <c r="P39" i="36"/>
  <c r="AK39" i="36" s="1"/>
  <c r="P47" i="36"/>
  <c r="AK47" i="36" s="1"/>
  <c r="T8" i="36"/>
  <c r="T16" i="36"/>
  <c r="T24" i="36"/>
  <c r="P14" i="36"/>
  <c r="AK14" i="36" s="1"/>
  <c r="P19" i="36"/>
  <c r="AK19" i="36" s="1"/>
  <c r="S30" i="36"/>
  <c r="U30" i="36" s="1"/>
  <c r="S38" i="36"/>
  <c r="S46" i="36"/>
  <c r="P33" i="36"/>
  <c r="AK33" i="36" s="1"/>
  <c r="P41" i="36"/>
  <c r="AK41" i="36" s="1"/>
  <c r="Q34" i="36"/>
  <c r="Q42" i="36"/>
  <c r="S3" i="36"/>
  <c r="S11" i="36"/>
  <c r="S19" i="36"/>
  <c r="S33" i="36"/>
  <c r="S41" i="36"/>
  <c r="Q4" i="36"/>
  <c r="Q12" i="36"/>
  <c r="Q20" i="36"/>
  <c r="Q3" i="36"/>
  <c r="Q11" i="36"/>
  <c r="Q19" i="36"/>
  <c r="Q33" i="36"/>
  <c r="Q41" i="36"/>
  <c r="K49" i="36"/>
  <c r="K26" i="36"/>
  <c r="K51" i="36" s="1"/>
  <c r="U21" i="35"/>
  <c r="L58" i="36"/>
  <c r="L60" i="36"/>
  <c r="AJ29" i="33"/>
  <c r="U24" i="34"/>
  <c r="U31" i="34"/>
  <c r="U5" i="35"/>
  <c r="U7" i="35"/>
  <c r="U15" i="35"/>
  <c r="AJ12" i="35"/>
  <c r="U20" i="34"/>
  <c r="R5" i="35"/>
  <c r="AI5" i="35" s="1"/>
  <c r="U11" i="35"/>
  <c r="U17" i="36"/>
  <c r="R15" i="35"/>
  <c r="AI15" i="35" s="1"/>
  <c r="U20" i="35"/>
  <c r="R21" i="35"/>
  <c r="AI21" i="35" s="1"/>
  <c r="U3" i="35"/>
  <c r="U8" i="35"/>
  <c r="U14" i="35"/>
  <c r="U34" i="35"/>
  <c r="U42" i="35"/>
  <c r="R44" i="35"/>
  <c r="AI44" i="35" s="1"/>
  <c r="AH48" i="36"/>
  <c r="I26" i="36"/>
  <c r="I51" i="36" s="1"/>
  <c r="I59" i="36" s="1"/>
  <c r="J59" i="36" s="1"/>
  <c r="R11" i="35"/>
  <c r="W11" i="35" s="1"/>
  <c r="R17" i="35"/>
  <c r="AI17" i="35" s="1"/>
  <c r="R18" i="35"/>
  <c r="W18" i="35" s="1"/>
  <c r="U22" i="35"/>
  <c r="AH25" i="36"/>
  <c r="R38" i="35"/>
  <c r="AG38" i="35" s="1"/>
  <c r="AM38" i="35" s="1"/>
  <c r="AJ7" i="35"/>
  <c r="U45" i="35"/>
  <c r="J60" i="36"/>
  <c r="U6" i="35"/>
  <c r="R7" i="35"/>
  <c r="AI7" i="35" s="1"/>
  <c r="R13" i="35"/>
  <c r="O13" i="35" s="1"/>
  <c r="U18" i="35"/>
  <c r="U46" i="35"/>
  <c r="U23" i="33"/>
  <c r="U46" i="33"/>
  <c r="AJ21" i="35"/>
  <c r="R32" i="35"/>
  <c r="AI32" i="35" s="1"/>
  <c r="U38" i="35"/>
  <c r="R40" i="35"/>
  <c r="AI40" i="35" s="1"/>
  <c r="R46" i="35"/>
  <c r="AG46" i="35" s="1"/>
  <c r="AM46" i="35" s="1"/>
  <c r="U32" i="35"/>
  <c r="U33" i="35"/>
  <c r="R34" i="35"/>
  <c r="AG34" i="35" s="1"/>
  <c r="AM34" i="35" s="1"/>
  <c r="U16" i="35"/>
  <c r="U40" i="35"/>
  <c r="U41" i="35"/>
  <c r="S49" i="35"/>
  <c r="AJ37" i="35"/>
  <c r="U3" i="34"/>
  <c r="R6" i="34"/>
  <c r="AI6" i="34" s="1"/>
  <c r="R10" i="34"/>
  <c r="AI10" i="34" s="1"/>
  <c r="U11" i="34"/>
  <c r="R14" i="34"/>
  <c r="AI14" i="34" s="1"/>
  <c r="U15" i="34"/>
  <c r="R18" i="34"/>
  <c r="AG18" i="34" s="1"/>
  <c r="AM18" i="34" s="1"/>
  <c r="U23" i="34"/>
  <c r="R29" i="34"/>
  <c r="AG29" i="34" s="1"/>
  <c r="AM29" i="34" s="1"/>
  <c r="R33" i="34"/>
  <c r="AG33" i="34" s="1"/>
  <c r="AM33" i="34" s="1"/>
  <c r="U9" i="35"/>
  <c r="R14" i="35"/>
  <c r="AG14" i="35" s="1"/>
  <c r="AM14" i="35" s="1"/>
  <c r="U17" i="35"/>
  <c r="R19" i="35"/>
  <c r="W19" i="35" s="1"/>
  <c r="AK15" i="35"/>
  <c r="Q49" i="35"/>
  <c r="U4" i="35"/>
  <c r="AJ9" i="35"/>
  <c r="AK18" i="35"/>
  <c r="R22" i="35"/>
  <c r="AG22" i="35" s="1"/>
  <c r="AM22" i="35" s="1"/>
  <c r="AK22" i="35"/>
  <c r="U24" i="35"/>
  <c r="R28" i="35"/>
  <c r="W28" i="35" s="1"/>
  <c r="AJ29" i="35"/>
  <c r="R36" i="35"/>
  <c r="W36" i="35" s="1"/>
  <c r="R39" i="35"/>
  <c r="AI39" i="35" s="1"/>
  <c r="AK40" i="35"/>
  <c r="U6" i="34"/>
  <c r="U10" i="34"/>
  <c r="U22" i="34"/>
  <c r="AJ40" i="34"/>
  <c r="R6" i="35"/>
  <c r="AG6" i="35" s="1"/>
  <c r="AM6" i="35" s="1"/>
  <c r="R9" i="35"/>
  <c r="AI9" i="35" s="1"/>
  <c r="U12" i="35"/>
  <c r="AK14" i="35"/>
  <c r="AJ16" i="35"/>
  <c r="U28" i="35"/>
  <c r="U29" i="35"/>
  <c r="U36" i="35"/>
  <c r="AK44" i="35"/>
  <c r="AJ13" i="35"/>
  <c r="AJ23" i="35"/>
  <c r="AK23" i="35"/>
  <c r="R30" i="35"/>
  <c r="O30" i="35" s="1"/>
  <c r="U37" i="35"/>
  <c r="AJ10" i="35"/>
  <c r="Z49" i="35"/>
  <c r="AJ45" i="35"/>
  <c r="U13" i="35"/>
  <c r="AK21" i="35"/>
  <c r="R23" i="35"/>
  <c r="AI23" i="35" s="1"/>
  <c r="U30" i="35"/>
  <c r="R31" i="35"/>
  <c r="AI31" i="35" s="1"/>
  <c r="U44" i="35"/>
  <c r="U10" i="35"/>
  <c r="AJ15" i="35"/>
  <c r="AJ17" i="35"/>
  <c r="AK17" i="35"/>
  <c r="U19" i="35"/>
  <c r="U23" i="35"/>
  <c r="U31" i="35"/>
  <c r="R35" i="35"/>
  <c r="AI35" i="35" s="1"/>
  <c r="R42" i="35"/>
  <c r="AG42" i="35" s="1"/>
  <c r="AM42" i="35" s="1"/>
  <c r="R33" i="35"/>
  <c r="AK33" i="35"/>
  <c r="S26" i="35"/>
  <c r="R4" i="35"/>
  <c r="AJ5" i="35"/>
  <c r="R8" i="35"/>
  <c r="R41" i="35"/>
  <c r="AK41" i="35"/>
  <c r="T26" i="35"/>
  <c r="R20" i="35"/>
  <c r="AJ20" i="35"/>
  <c r="AH48" i="35"/>
  <c r="AJ33" i="35"/>
  <c r="AJ41" i="35"/>
  <c r="R45" i="35"/>
  <c r="AK45" i="35"/>
  <c r="AH25" i="35"/>
  <c r="AK6" i="35"/>
  <c r="AK10" i="35"/>
  <c r="AJ19" i="35"/>
  <c r="U47" i="35"/>
  <c r="J58" i="35"/>
  <c r="AJ6" i="35"/>
  <c r="AJ20" i="34"/>
  <c r="R10" i="35"/>
  <c r="AJ11" i="35"/>
  <c r="AK11" i="35"/>
  <c r="R12" i="35"/>
  <c r="U43" i="35"/>
  <c r="P26" i="35"/>
  <c r="X26" i="35"/>
  <c r="AJ3" i="35"/>
  <c r="R29" i="35"/>
  <c r="AK29" i="35"/>
  <c r="U35" i="35"/>
  <c r="U39" i="35"/>
  <c r="AJ44" i="35"/>
  <c r="Q26" i="35"/>
  <c r="AK3" i="35"/>
  <c r="AJ4" i="35"/>
  <c r="AJ8" i="35"/>
  <c r="AJ36" i="35"/>
  <c r="AJ40" i="35"/>
  <c r="J60" i="35"/>
  <c r="R37" i="35"/>
  <c r="AK37" i="35"/>
  <c r="R3" i="35"/>
  <c r="Z26" i="35"/>
  <c r="R16" i="35"/>
  <c r="R24" i="35"/>
  <c r="X49" i="35"/>
  <c r="AJ28" i="35"/>
  <c r="AJ32" i="35"/>
  <c r="R43" i="35"/>
  <c r="R47" i="35"/>
  <c r="P49" i="35"/>
  <c r="AJ24" i="35"/>
  <c r="AJ30" i="35"/>
  <c r="AJ34" i="35"/>
  <c r="AJ38" i="35"/>
  <c r="AJ42" i="35"/>
  <c r="AJ46" i="35"/>
  <c r="T49" i="35"/>
  <c r="AJ14" i="35"/>
  <c r="AJ18" i="35"/>
  <c r="AJ22" i="35"/>
  <c r="AJ31" i="35"/>
  <c r="AJ35" i="35"/>
  <c r="AJ39" i="35"/>
  <c r="AJ43" i="35"/>
  <c r="AJ47" i="35"/>
  <c r="U21" i="34"/>
  <c r="R24" i="34"/>
  <c r="AI24" i="34" s="1"/>
  <c r="U36" i="34"/>
  <c r="R39" i="34"/>
  <c r="AI39" i="34" s="1"/>
  <c r="U34" i="33"/>
  <c r="AJ12" i="34"/>
  <c r="AJ16" i="34"/>
  <c r="R3" i="34"/>
  <c r="O3" i="34" s="1"/>
  <c r="U4" i="34"/>
  <c r="U8" i="34"/>
  <c r="R15" i="34"/>
  <c r="O15" i="34" s="1"/>
  <c r="U13" i="33"/>
  <c r="AJ8" i="34"/>
  <c r="U12" i="34"/>
  <c r="U16" i="34"/>
  <c r="AJ22" i="34"/>
  <c r="U12" i="33"/>
  <c r="U20" i="33"/>
  <c r="R42" i="33"/>
  <c r="O42" i="33" s="1"/>
  <c r="R5" i="34"/>
  <c r="AI5" i="34" s="1"/>
  <c r="AJ6" i="34"/>
  <c r="U45" i="34"/>
  <c r="AK6" i="34"/>
  <c r="U9" i="34"/>
  <c r="U14" i="34"/>
  <c r="AJ24" i="34"/>
  <c r="U33" i="34"/>
  <c r="R41" i="34"/>
  <c r="AG41" i="34" s="1"/>
  <c r="AM41" i="34" s="1"/>
  <c r="U47" i="34"/>
  <c r="U35" i="34"/>
  <c r="R7" i="34"/>
  <c r="W7" i="34" s="1"/>
  <c r="R43" i="34"/>
  <c r="AI43" i="34" s="1"/>
  <c r="AJ44" i="34"/>
  <c r="AK8" i="34"/>
  <c r="AJ17" i="34"/>
  <c r="U19" i="34"/>
  <c r="AK20" i="34"/>
  <c r="AJ23" i="34"/>
  <c r="X49" i="34"/>
  <c r="U37" i="34"/>
  <c r="U5" i="34"/>
  <c r="U7" i="34"/>
  <c r="R8" i="34"/>
  <c r="O8" i="34" s="1"/>
  <c r="R20" i="34"/>
  <c r="W20" i="34" s="1"/>
  <c r="AK23" i="34"/>
  <c r="U29" i="34"/>
  <c r="R30" i="34"/>
  <c r="AI30" i="34" s="1"/>
  <c r="R34" i="34"/>
  <c r="AG34" i="34" s="1"/>
  <c r="AM34" i="34" s="1"/>
  <c r="U41" i="34"/>
  <c r="R46" i="34"/>
  <c r="O46" i="34" s="1"/>
  <c r="AJ4" i="34"/>
  <c r="AK4" i="34"/>
  <c r="U13" i="34"/>
  <c r="U17" i="34"/>
  <c r="U34" i="34"/>
  <c r="R38" i="34"/>
  <c r="W38" i="34" s="1"/>
  <c r="R42" i="34"/>
  <c r="W42" i="34" s="1"/>
  <c r="R4" i="34"/>
  <c r="AG4" i="34" s="1"/>
  <c r="AM4" i="34" s="1"/>
  <c r="R21" i="34"/>
  <c r="AI21" i="34" s="1"/>
  <c r="R35" i="34"/>
  <c r="AI35" i="34" s="1"/>
  <c r="AJ36" i="34"/>
  <c r="R47" i="34"/>
  <c r="AI47" i="34" s="1"/>
  <c r="U18" i="34"/>
  <c r="AJ19" i="34"/>
  <c r="AK24" i="34"/>
  <c r="U32" i="34"/>
  <c r="AK22" i="34"/>
  <c r="Q49" i="34"/>
  <c r="R9" i="34"/>
  <c r="AG9" i="34" s="1"/>
  <c r="AM9" i="34" s="1"/>
  <c r="R16" i="34"/>
  <c r="AG16" i="34" s="1"/>
  <c r="AM16" i="34" s="1"/>
  <c r="R22" i="34"/>
  <c r="W22" i="34" s="1"/>
  <c r="U28" i="34"/>
  <c r="R37" i="34"/>
  <c r="AG37" i="34" s="1"/>
  <c r="AM37" i="34" s="1"/>
  <c r="U39" i="34"/>
  <c r="U40" i="34"/>
  <c r="U43" i="34"/>
  <c r="U44" i="34"/>
  <c r="R45" i="34"/>
  <c r="O45" i="34" s="1"/>
  <c r="AJ7" i="34"/>
  <c r="S26" i="34"/>
  <c r="P26" i="34"/>
  <c r="X26" i="34"/>
  <c r="AJ3" i="34"/>
  <c r="AK7" i="34"/>
  <c r="R11" i="34"/>
  <c r="R12" i="34"/>
  <c r="AJ15" i="34"/>
  <c r="R31" i="34"/>
  <c r="R44" i="34"/>
  <c r="AK44" i="34"/>
  <c r="U46" i="34"/>
  <c r="R28" i="34"/>
  <c r="AK28" i="34"/>
  <c r="AJ28" i="34"/>
  <c r="Q26" i="34"/>
  <c r="AK3" i="34"/>
  <c r="AK15" i="34"/>
  <c r="AJ18" i="34"/>
  <c r="Z26" i="34"/>
  <c r="T49" i="34"/>
  <c r="R32" i="34"/>
  <c r="AK32" i="34"/>
  <c r="AJ32" i="34"/>
  <c r="R40" i="34"/>
  <c r="AK40" i="34"/>
  <c r="J58" i="34"/>
  <c r="AJ5" i="34"/>
  <c r="AJ9" i="34"/>
  <c r="AJ13" i="34"/>
  <c r="AJ14" i="34"/>
  <c r="R36" i="34"/>
  <c r="AK36" i="34"/>
  <c r="T26" i="34"/>
  <c r="U30" i="34"/>
  <c r="U42" i="34"/>
  <c r="U18" i="33"/>
  <c r="I26" i="34"/>
  <c r="I51" i="34" s="1"/>
  <c r="I59" i="34" s="1"/>
  <c r="J59" i="34" s="1"/>
  <c r="AJ10" i="34"/>
  <c r="AK10" i="34"/>
  <c r="AJ11" i="34"/>
  <c r="AK12" i="34"/>
  <c r="R13" i="34"/>
  <c r="R17" i="34"/>
  <c r="R19" i="34"/>
  <c r="Z49" i="34"/>
  <c r="P49" i="34"/>
  <c r="AH25" i="34"/>
  <c r="AH48" i="34"/>
  <c r="AJ31" i="34"/>
  <c r="U38" i="34"/>
  <c r="R23" i="34"/>
  <c r="AJ29" i="34"/>
  <c r="AJ33" i="34"/>
  <c r="AJ37" i="34"/>
  <c r="AJ41" i="34"/>
  <c r="AJ45" i="34"/>
  <c r="AJ21" i="34"/>
  <c r="AK45" i="34"/>
  <c r="S49" i="34"/>
  <c r="AK21" i="34"/>
  <c r="AJ30" i="34"/>
  <c r="AJ34" i="34"/>
  <c r="AJ38" i="34"/>
  <c r="AJ42" i="34"/>
  <c r="AJ46" i="34"/>
  <c r="AJ35" i="34"/>
  <c r="AJ39" i="34"/>
  <c r="AJ43" i="34"/>
  <c r="AJ47" i="34"/>
  <c r="U4" i="33"/>
  <c r="AJ11" i="33"/>
  <c r="AJ18" i="33"/>
  <c r="AJ20" i="33"/>
  <c r="U21" i="33"/>
  <c r="U22" i="33"/>
  <c r="U43" i="33"/>
  <c r="R45" i="33"/>
  <c r="O45" i="33" s="1"/>
  <c r="U17" i="33"/>
  <c r="X49" i="33"/>
  <c r="U45" i="33"/>
  <c r="U6" i="33"/>
  <c r="U47" i="33"/>
  <c r="U7" i="33"/>
  <c r="U8" i="33"/>
  <c r="R15" i="33"/>
  <c r="W15" i="33" s="1"/>
  <c r="R16" i="33"/>
  <c r="O16" i="33" s="1"/>
  <c r="U41" i="33"/>
  <c r="U15" i="33"/>
  <c r="U11" i="33"/>
  <c r="AJ8" i="33"/>
  <c r="R19" i="33"/>
  <c r="AI19" i="33" s="1"/>
  <c r="R3" i="33"/>
  <c r="W3" i="33" s="1"/>
  <c r="AJ9" i="33"/>
  <c r="U19" i="33"/>
  <c r="U42" i="33"/>
  <c r="U10" i="33"/>
  <c r="U32" i="33"/>
  <c r="R34" i="33"/>
  <c r="AI34" i="33" s="1"/>
  <c r="U40" i="33"/>
  <c r="R41" i="33"/>
  <c r="W41" i="33" s="1"/>
  <c r="R23" i="33"/>
  <c r="O23" i="33" s="1"/>
  <c r="AJ4" i="33"/>
  <c r="AK8" i="33"/>
  <c r="R12" i="33"/>
  <c r="AI12" i="33" s="1"/>
  <c r="R18" i="33"/>
  <c r="R20" i="33"/>
  <c r="AI20" i="33" s="1"/>
  <c r="AJ24" i="33"/>
  <c r="U30" i="33"/>
  <c r="R31" i="33"/>
  <c r="W31" i="33" s="1"/>
  <c r="R32" i="33"/>
  <c r="AI32" i="33" s="1"/>
  <c r="R35" i="33"/>
  <c r="AG35" i="33" s="1"/>
  <c r="AM35" i="33" s="1"/>
  <c r="U38" i="33"/>
  <c r="R39" i="33"/>
  <c r="AI39" i="33" s="1"/>
  <c r="R40" i="33"/>
  <c r="AI40" i="33" s="1"/>
  <c r="R14" i="33"/>
  <c r="U16" i="33"/>
  <c r="U31" i="33"/>
  <c r="R33" i="33"/>
  <c r="AG33" i="33" s="1"/>
  <c r="AM33" i="33" s="1"/>
  <c r="U35" i="33"/>
  <c r="U39" i="33"/>
  <c r="R43" i="33"/>
  <c r="W43" i="33" s="1"/>
  <c r="R47" i="33"/>
  <c r="W47" i="33" s="1"/>
  <c r="AJ22" i="33"/>
  <c r="AK22" i="33"/>
  <c r="Q49" i="33"/>
  <c r="T26" i="33"/>
  <c r="AK18" i="33"/>
  <c r="R5" i="33"/>
  <c r="O5" i="33" s="1"/>
  <c r="U14" i="33"/>
  <c r="R17" i="33"/>
  <c r="AI17" i="33" s="1"/>
  <c r="R22" i="33"/>
  <c r="W22" i="33" s="1"/>
  <c r="U24" i="33"/>
  <c r="U28" i="33"/>
  <c r="U33" i="33"/>
  <c r="U36" i="33"/>
  <c r="R8" i="33"/>
  <c r="O8" i="33" s="1"/>
  <c r="Z26" i="33"/>
  <c r="U5" i="33"/>
  <c r="R6" i="33"/>
  <c r="W6" i="33" s="1"/>
  <c r="R9" i="33"/>
  <c r="AG9" i="33" s="1"/>
  <c r="AM9" i="33" s="1"/>
  <c r="R37" i="33"/>
  <c r="AG37" i="33" s="1"/>
  <c r="AM37" i="33" s="1"/>
  <c r="AJ5" i="33"/>
  <c r="U9" i="33"/>
  <c r="R10" i="33"/>
  <c r="O10" i="33" s="1"/>
  <c r="AJ15" i="33"/>
  <c r="AJ19" i="33"/>
  <c r="AJ23" i="33"/>
  <c r="U29" i="33"/>
  <c r="R30" i="33"/>
  <c r="AI30" i="33" s="1"/>
  <c r="R38" i="33"/>
  <c r="AI38" i="33" s="1"/>
  <c r="U44" i="33"/>
  <c r="U17" i="28"/>
  <c r="R7" i="33"/>
  <c r="AK7" i="33"/>
  <c r="U37" i="33"/>
  <c r="R46" i="33"/>
  <c r="O46" i="33" s="1"/>
  <c r="I51" i="33"/>
  <c r="I59" i="33" s="1"/>
  <c r="J59" i="33" s="1"/>
  <c r="P49" i="33"/>
  <c r="I49" i="33"/>
  <c r="S26" i="33"/>
  <c r="R4" i="33"/>
  <c r="AK11" i="33"/>
  <c r="R13" i="33"/>
  <c r="Z49" i="33"/>
  <c r="R29" i="33"/>
  <c r="AK29" i="33"/>
  <c r="R44" i="33"/>
  <c r="AJ44" i="33"/>
  <c r="U3" i="33"/>
  <c r="AJ6" i="33"/>
  <c r="AJ10" i="33"/>
  <c r="AJ12" i="33"/>
  <c r="AJ28" i="33"/>
  <c r="AK32" i="33"/>
  <c r="AK6" i="33"/>
  <c r="AK10" i="33"/>
  <c r="AK12" i="33"/>
  <c r="R28" i="33"/>
  <c r="AJ40" i="33"/>
  <c r="AJ7" i="33"/>
  <c r="AJ16" i="33"/>
  <c r="R21" i="33"/>
  <c r="AK40" i="33"/>
  <c r="P26" i="33"/>
  <c r="X26" i="33"/>
  <c r="AJ3" i="33"/>
  <c r="R11" i="33"/>
  <c r="AK16" i="33"/>
  <c r="R24" i="33"/>
  <c r="T49" i="33"/>
  <c r="J60" i="33"/>
  <c r="AJ32" i="33"/>
  <c r="J58" i="33"/>
  <c r="Q26" i="33"/>
  <c r="AK3" i="33"/>
  <c r="R36" i="33"/>
  <c r="AJ36" i="33"/>
  <c r="AJ33" i="33"/>
  <c r="AJ37" i="33"/>
  <c r="AJ41" i="33"/>
  <c r="AJ45" i="33"/>
  <c r="AJ13" i="33"/>
  <c r="AJ17" i="33"/>
  <c r="AJ21" i="33"/>
  <c r="AK33" i="33"/>
  <c r="AK37" i="33"/>
  <c r="AK41" i="33"/>
  <c r="AK45" i="33"/>
  <c r="S49" i="33"/>
  <c r="AJ30" i="33"/>
  <c r="AJ34" i="33"/>
  <c r="AJ38" i="33"/>
  <c r="AJ42" i="33"/>
  <c r="AJ46" i="33"/>
  <c r="AJ14" i="33"/>
  <c r="AK30" i="33"/>
  <c r="AK34" i="33"/>
  <c r="AK38" i="33"/>
  <c r="AK42" i="33"/>
  <c r="AK46" i="33"/>
  <c r="AJ31" i="33"/>
  <c r="AJ35" i="33"/>
  <c r="AJ39" i="33"/>
  <c r="AJ43" i="33"/>
  <c r="AJ47" i="33"/>
  <c r="R6" i="28"/>
  <c r="AI6" i="28" s="1"/>
  <c r="U24" i="28"/>
  <c r="R17" i="28"/>
  <c r="W17" i="28" s="1"/>
  <c r="U23" i="28"/>
  <c r="U44" i="28"/>
  <c r="S26" i="28"/>
  <c r="H17" i="6" s="1"/>
  <c r="U15" i="28"/>
  <c r="R45" i="28"/>
  <c r="AJ5" i="28"/>
  <c r="AJ13" i="28"/>
  <c r="U19" i="28"/>
  <c r="U7" i="28"/>
  <c r="AJ9" i="28"/>
  <c r="U8" i="28"/>
  <c r="R10" i="28"/>
  <c r="O10" i="28" s="1"/>
  <c r="U21" i="28"/>
  <c r="R29" i="28"/>
  <c r="U43" i="28"/>
  <c r="AJ11" i="28"/>
  <c r="R39" i="28"/>
  <c r="W39" i="28" s="1"/>
  <c r="AJ40" i="28"/>
  <c r="U12" i="28"/>
  <c r="U18" i="28"/>
  <c r="U20" i="28"/>
  <c r="R21" i="28"/>
  <c r="AG21" i="28" s="1"/>
  <c r="AM21" i="28" s="1"/>
  <c r="AJ36" i="28"/>
  <c r="U5" i="28"/>
  <c r="R7" i="28"/>
  <c r="W7" i="28" s="1"/>
  <c r="R11" i="28"/>
  <c r="AI11" i="28" s="1"/>
  <c r="U14" i="28"/>
  <c r="R8" i="28"/>
  <c r="W8" i="28" s="1"/>
  <c r="AK9" i="28"/>
  <c r="U11" i="28"/>
  <c r="AJ12" i="28"/>
  <c r="U16" i="28"/>
  <c r="X49" i="28"/>
  <c r="M18" i="6" s="1"/>
  <c r="R30" i="28"/>
  <c r="AI30" i="28" s="1"/>
  <c r="R9" i="28"/>
  <c r="R13" i="28"/>
  <c r="AI13" i="28" s="1"/>
  <c r="R18" i="28"/>
  <c r="O18" i="28" s="1"/>
  <c r="U22" i="28"/>
  <c r="AJ23" i="28"/>
  <c r="R33" i="28"/>
  <c r="U45" i="28"/>
  <c r="U13" i="28"/>
  <c r="R24" i="28"/>
  <c r="AI24" i="28" s="1"/>
  <c r="R35" i="28"/>
  <c r="W35" i="28" s="1"/>
  <c r="R42" i="28"/>
  <c r="W42" i="28" s="1"/>
  <c r="AK11" i="28"/>
  <c r="U10" i="28"/>
  <c r="AG17" i="28"/>
  <c r="AM17" i="28" s="1"/>
  <c r="U35" i="28"/>
  <c r="AK18" i="28"/>
  <c r="U4" i="28"/>
  <c r="R5" i="28"/>
  <c r="AI5" i="28" s="1"/>
  <c r="AK6" i="28"/>
  <c r="U9" i="28"/>
  <c r="AJ10" i="28"/>
  <c r="AJ17" i="28"/>
  <c r="AJ19" i="28"/>
  <c r="AJ21" i="28"/>
  <c r="AK21" i="28"/>
  <c r="AJ24" i="28"/>
  <c r="U31" i="28"/>
  <c r="U36" i="28"/>
  <c r="U40" i="28"/>
  <c r="R41" i="28"/>
  <c r="AG41" i="28" s="1"/>
  <c r="AM41" i="28" s="1"/>
  <c r="R37" i="28"/>
  <c r="R46" i="28"/>
  <c r="W46" i="28" s="1"/>
  <c r="AK12" i="28"/>
  <c r="AJ20" i="28"/>
  <c r="Q49" i="28"/>
  <c r="G18" i="6" s="1"/>
  <c r="U32" i="28"/>
  <c r="U41" i="28"/>
  <c r="R4" i="28"/>
  <c r="AJ16" i="28"/>
  <c r="R20" i="28"/>
  <c r="O20" i="28" s="1"/>
  <c r="S49" i="28"/>
  <c r="H18" i="6" s="1"/>
  <c r="U37" i="28"/>
  <c r="R38" i="28"/>
  <c r="O38" i="28" s="1"/>
  <c r="U42" i="28"/>
  <c r="R47" i="28"/>
  <c r="AG47" i="28" s="1"/>
  <c r="AM47" i="28" s="1"/>
  <c r="R31" i="28"/>
  <c r="AI31" i="28" s="1"/>
  <c r="U6" i="28"/>
  <c r="R12" i="28"/>
  <c r="O12" i="28" s="1"/>
  <c r="R16" i="28"/>
  <c r="U28" i="28"/>
  <c r="R34" i="28"/>
  <c r="AG34" i="28" s="1"/>
  <c r="AM34" i="28" s="1"/>
  <c r="R43" i="28"/>
  <c r="W43" i="28" s="1"/>
  <c r="U47" i="28"/>
  <c r="AK23" i="28"/>
  <c r="T26" i="28"/>
  <c r="I17" i="6" s="1"/>
  <c r="AK5" i="28"/>
  <c r="AJ15" i="28"/>
  <c r="U39" i="28"/>
  <c r="AJ6" i="28"/>
  <c r="Z49" i="28"/>
  <c r="L18" i="6" s="1"/>
  <c r="U29" i="28"/>
  <c r="AJ31" i="28"/>
  <c r="U46" i="28"/>
  <c r="AH48" i="28"/>
  <c r="U34" i="28"/>
  <c r="U3" i="28"/>
  <c r="R28" i="28"/>
  <c r="AK28" i="28"/>
  <c r="AJ28" i="28"/>
  <c r="R40" i="28"/>
  <c r="AK40" i="28"/>
  <c r="AJ7" i="28"/>
  <c r="P26" i="28"/>
  <c r="F17" i="6" s="1"/>
  <c r="X26" i="28"/>
  <c r="M17" i="6" s="1"/>
  <c r="AJ3" i="28"/>
  <c r="AK7" i="28"/>
  <c r="U33" i="28"/>
  <c r="R44" i="28"/>
  <c r="AK44" i="28"/>
  <c r="I26" i="28"/>
  <c r="I51" i="28" s="1"/>
  <c r="I59" i="28" s="1"/>
  <c r="J59" i="28" s="1"/>
  <c r="Q26" i="28"/>
  <c r="G17" i="6" s="1"/>
  <c r="AJ4" i="28"/>
  <c r="AJ8" i="28"/>
  <c r="R32" i="28"/>
  <c r="AK32" i="28"/>
  <c r="AJ32" i="28"/>
  <c r="R3" i="28"/>
  <c r="Z26" i="28"/>
  <c r="L17" i="6" s="1"/>
  <c r="AK8" i="28"/>
  <c r="R22" i="28"/>
  <c r="R36" i="28"/>
  <c r="AK36" i="28"/>
  <c r="P49" i="28"/>
  <c r="F18" i="6" s="1"/>
  <c r="R14" i="28"/>
  <c r="U30" i="28"/>
  <c r="U38" i="28"/>
  <c r="AJ44" i="28"/>
  <c r="R15" i="28"/>
  <c r="R19" i="28"/>
  <c r="R23" i="28"/>
  <c r="AJ29" i="28"/>
  <c r="AJ33" i="28"/>
  <c r="AJ37" i="28"/>
  <c r="AJ41" i="28"/>
  <c r="AJ45" i="28"/>
  <c r="AK29" i="28"/>
  <c r="AJ30" i="28"/>
  <c r="AJ34" i="28"/>
  <c r="AJ38" i="28"/>
  <c r="AJ42" i="28"/>
  <c r="AJ46" i="28"/>
  <c r="T49" i="28"/>
  <c r="I18" i="6" s="1"/>
  <c r="AJ14" i="28"/>
  <c r="AJ18" i="28"/>
  <c r="AJ22" i="28"/>
  <c r="AJ35" i="28"/>
  <c r="AJ39" i="28"/>
  <c r="AJ43" i="28"/>
  <c r="AJ47" i="28"/>
  <c r="K50" i="38" l="1"/>
  <c r="K26" i="38"/>
  <c r="U46" i="36"/>
  <c r="Y46" i="36" s="1"/>
  <c r="U29" i="36"/>
  <c r="Y29" i="36" s="1"/>
  <c r="AG45" i="28"/>
  <c r="K51" i="37"/>
  <c r="J60" i="28"/>
  <c r="AG9" i="28"/>
  <c r="AG37" i="28"/>
  <c r="AG4" i="28"/>
  <c r="AG33" i="28"/>
  <c r="AG29" i="28"/>
  <c r="U45" i="36"/>
  <c r="Y45" i="36" s="1"/>
  <c r="AA52" i="37"/>
  <c r="U37" i="36"/>
  <c r="Y37" i="36" s="1"/>
  <c r="AD16" i="6"/>
  <c r="AJ6" i="36"/>
  <c r="R45" i="36"/>
  <c r="AG45" i="36" s="1"/>
  <c r="AM45" i="36" s="1"/>
  <c r="AJ45" i="36"/>
  <c r="J18" i="6"/>
  <c r="J17" i="6"/>
  <c r="M34" i="39"/>
  <c r="G34" i="39" s="1"/>
  <c r="L35" i="39"/>
  <c r="M9" i="39"/>
  <c r="G9" i="39" s="1"/>
  <c r="L10" i="39"/>
  <c r="M10" i="39" s="1"/>
  <c r="G10" i="39" s="1"/>
  <c r="M11" i="39"/>
  <c r="G11" i="39" s="1"/>
  <c r="L12" i="39"/>
  <c r="E12" i="39"/>
  <c r="F11" i="39"/>
  <c r="F34" i="39"/>
  <c r="E35" i="39"/>
  <c r="F9" i="39"/>
  <c r="E10" i="39"/>
  <c r="F10" i="39" s="1"/>
  <c r="Y18" i="35"/>
  <c r="Y29" i="35"/>
  <c r="Y31" i="35"/>
  <c r="Y44" i="35"/>
  <c r="Y24" i="35"/>
  <c r="Y41" i="35"/>
  <c r="Y22" i="35"/>
  <c r="Y21" i="35"/>
  <c r="Y16" i="35"/>
  <c r="Y6" i="35"/>
  <c r="Y8" i="35"/>
  <c r="Y5" i="35"/>
  <c r="Y3" i="35"/>
  <c r="Y12" i="35"/>
  <c r="Y4" i="35"/>
  <c r="Y32" i="35"/>
  <c r="Y20" i="35"/>
  <c r="Y17" i="36"/>
  <c r="Y9" i="36"/>
  <c r="Y41" i="34"/>
  <c r="Y5" i="34"/>
  <c r="Y4" i="34"/>
  <c r="Y37" i="34"/>
  <c r="Y9" i="34"/>
  <c r="Y17" i="34"/>
  <c r="Y29" i="34"/>
  <c r="Y35" i="34"/>
  <c r="Y6" i="34"/>
  <c r="Y11" i="34"/>
  <c r="Y13" i="34"/>
  <c r="Y31" i="34"/>
  <c r="Y10" i="34"/>
  <c r="Y24" i="34"/>
  <c r="Y40" i="34"/>
  <c r="Y36" i="34"/>
  <c r="Y39" i="34"/>
  <c r="Y32" i="34"/>
  <c r="Y8" i="34"/>
  <c r="Y23" i="34"/>
  <c r="Y14" i="33"/>
  <c r="Y32" i="33"/>
  <c r="Y15" i="33"/>
  <c r="Y17" i="33"/>
  <c r="Y4" i="33"/>
  <c r="Y28" i="33"/>
  <c r="Y31" i="33"/>
  <c r="Y46" i="33"/>
  <c r="Y29" i="33"/>
  <c r="Y24" i="33"/>
  <c r="Y8" i="33"/>
  <c r="Y18" i="33"/>
  <c r="Y13" i="33"/>
  <c r="Y23" i="33"/>
  <c r="Y42" i="33"/>
  <c r="Y40" i="33"/>
  <c r="Y7" i="33"/>
  <c r="Y22" i="33"/>
  <c r="Y20" i="33"/>
  <c r="Y31" i="28"/>
  <c r="Y39" i="28"/>
  <c r="Y37" i="28"/>
  <c r="Y21" i="28"/>
  <c r="Y13" i="28"/>
  <c r="Y6" i="28"/>
  <c r="Y35" i="28"/>
  <c r="Y7" i="28"/>
  <c r="Y23" i="28"/>
  <c r="Y16" i="28"/>
  <c r="Y47" i="28"/>
  <c r="Y41" i="28"/>
  <c r="Y43" i="28"/>
  <c r="Y9" i="28"/>
  <c r="Y11" i="28"/>
  <c r="X32" i="6"/>
  <c r="Z15" i="6"/>
  <c r="Z32" i="6" s="1"/>
  <c r="U38" i="36"/>
  <c r="S51" i="28"/>
  <c r="U23" i="36"/>
  <c r="U18" i="36"/>
  <c r="R12" i="36"/>
  <c r="W12" i="36" s="1"/>
  <c r="U10" i="36"/>
  <c r="U39" i="36"/>
  <c r="AJ12" i="36"/>
  <c r="M30" i="38"/>
  <c r="G30" i="38" s="1"/>
  <c r="L31" i="38"/>
  <c r="D26" i="38"/>
  <c r="E4" i="38"/>
  <c r="F4" i="38" s="1"/>
  <c r="F30" i="38"/>
  <c r="E31" i="38"/>
  <c r="L5" i="38"/>
  <c r="U40" i="36"/>
  <c r="AJ22" i="36"/>
  <c r="AJ44" i="36"/>
  <c r="U42" i="36"/>
  <c r="R4" i="36"/>
  <c r="W4" i="36" s="1"/>
  <c r="AJ40" i="36"/>
  <c r="R36" i="36"/>
  <c r="AI36" i="36" s="1"/>
  <c r="AJ36" i="36"/>
  <c r="R20" i="36"/>
  <c r="O20" i="36" s="1"/>
  <c r="AJ20" i="36"/>
  <c r="R22" i="36"/>
  <c r="AI22" i="36" s="1"/>
  <c r="R44" i="36"/>
  <c r="AI44" i="36" s="1"/>
  <c r="U34" i="36"/>
  <c r="AJ32" i="36"/>
  <c r="AK40" i="36"/>
  <c r="AK48" i="36" s="1"/>
  <c r="AJ7" i="36"/>
  <c r="AJ13" i="36"/>
  <c r="R32" i="36"/>
  <c r="AI32" i="36" s="1"/>
  <c r="R28" i="36"/>
  <c r="AI28" i="36" s="1"/>
  <c r="R40" i="36"/>
  <c r="W40" i="36" s="1"/>
  <c r="U31" i="36"/>
  <c r="U32" i="36"/>
  <c r="U19" i="36"/>
  <c r="U12" i="36"/>
  <c r="U20" i="36"/>
  <c r="R21" i="36"/>
  <c r="AG21" i="36" s="1"/>
  <c r="AM21" i="36" s="1"/>
  <c r="U41" i="36"/>
  <c r="AJ28" i="36"/>
  <c r="U47" i="36"/>
  <c r="R35" i="36"/>
  <c r="W35" i="36" s="1"/>
  <c r="AJ21" i="36"/>
  <c r="U11" i="36"/>
  <c r="AJ34" i="36"/>
  <c r="W5" i="35"/>
  <c r="AK21" i="36"/>
  <c r="R34" i="36"/>
  <c r="O34" i="36" s="1"/>
  <c r="U36" i="36"/>
  <c r="AJ35" i="36"/>
  <c r="AJ11" i="36"/>
  <c r="U13" i="36"/>
  <c r="R24" i="36"/>
  <c r="O24" i="36" s="1"/>
  <c r="U6" i="36"/>
  <c r="J60" i="37"/>
  <c r="J58" i="37"/>
  <c r="I59" i="37"/>
  <c r="J59" i="37" s="1"/>
  <c r="AJ29" i="36"/>
  <c r="U5" i="36"/>
  <c r="R11" i="36"/>
  <c r="AI11" i="36" s="1"/>
  <c r="R31" i="36"/>
  <c r="AI31" i="36" s="1"/>
  <c r="AJ23" i="36"/>
  <c r="U16" i="36"/>
  <c r="AJ31" i="36"/>
  <c r="AJ3" i="36"/>
  <c r="AJ41" i="36"/>
  <c r="AK6" i="36"/>
  <c r="R41" i="36"/>
  <c r="AG41" i="36" s="1"/>
  <c r="AM41" i="36" s="1"/>
  <c r="U24" i="36"/>
  <c r="R6" i="36"/>
  <c r="O6" i="36" s="1"/>
  <c r="U14" i="36"/>
  <c r="U22" i="36"/>
  <c r="R23" i="36"/>
  <c r="AI23" i="36" s="1"/>
  <c r="U21" i="36"/>
  <c r="U35" i="36"/>
  <c r="Z49" i="36"/>
  <c r="AJ24" i="36"/>
  <c r="R17" i="36"/>
  <c r="AI17" i="36" s="1"/>
  <c r="AK3" i="36"/>
  <c r="R29" i="36"/>
  <c r="AG29" i="36" s="1"/>
  <c r="AM29" i="36" s="1"/>
  <c r="AJ8" i="36"/>
  <c r="R8" i="36"/>
  <c r="AI8" i="36" s="1"/>
  <c r="U4" i="36"/>
  <c r="X26" i="36"/>
  <c r="U43" i="36"/>
  <c r="U44" i="36"/>
  <c r="AJ17" i="36"/>
  <c r="AJ19" i="36"/>
  <c r="U15" i="36"/>
  <c r="U8" i="36"/>
  <c r="U28" i="36"/>
  <c r="AJ10" i="36"/>
  <c r="Z26" i="36"/>
  <c r="AJ37" i="36"/>
  <c r="AJ4" i="36"/>
  <c r="X49" i="36"/>
  <c r="U3" i="36"/>
  <c r="AK10" i="36"/>
  <c r="T26" i="36"/>
  <c r="AK7" i="36"/>
  <c r="T49" i="36"/>
  <c r="U7" i="36"/>
  <c r="R7" i="36"/>
  <c r="AI7" i="36" s="1"/>
  <c r="AJ15" i="36"/>
  <c r="R16" i="36"/>
  <c r="AG16" i="36" s="1"/>
  <c r="AM16" i="36" s="1"/>
  <c r="R33" i="36"/>
  <c r="AG33" i="36" s="1"/>
  <c r="AM33" i="36" s="1"/>
  <c r="AJ18" i="36"/>
  <c r="AJ16" i="36"/>
  <c r="R15" i="36"/>
  <c r="AG15" i="36" s="1"/>
  <c r="AM15" i="36" s="1"/>
  <c r="R18" i="36"/>
  <c r="O18" i="36" s="1"/>
  <c r="R10" i="36"/>
  <c r="AI10" i="36" s="1"/>
  <c r="R3" i="36"/>
  <c r="AG3" i="36" s="1"/>
  <c r="AM3" i="36" s="1"/>
  <c r="AJ33" i="36"/>
  <c r="AK13" i="36"/>
  <c r="R13" i="36"/>
  <c r="W13" i="36" s="1"/>
  <c r="R47" i="36"/>
  <c r="AI47" i="36" s="1"/>
  <c r="R46" i="36"/>
  <c r="O46" i="36" s="1"/>
  <c r="AJ46" i="36"/>
  <c r="AJ43" i="36"/>
  <c r="R9" i="36"/>
  <c r="AI9" i="36" s="1"/>
  <c r="AJ39" i="36"/>
  <c r="R37" i="36"/>
  <c r="AG37" i="36" s="1"/>
  <c r="AM37" i="36" s="1"/>
  <c r="AJ30" i="36"/>
  <c r="R5" i="36"/>
  <c r="AG5" i="36" s="1"/>
  <c r="AM5" i="36" s="1"/>
  <c r="AJ14" i="36"/>
  <c r="R39" i="36"/>
  <c r="AI39" i="36" s="1"/>
  <c r="R43" i="36"/>
  <c r="AI43" i="36" s="1"/>
  <c r="R30" i="36"/>
  <c r="O30" i="36" s="1"/>
  <c r="R14" i="36"/>
  <c r="O14" i="36" s="1"/>
  <c r="R38" i="36"/>
  <c r="AI38" i="36" s="1"/>
  <c r="S49" i="36"/>
  <c r="AJ47" i="36"/>
  <c r="AJ42" i="36"/>
  <c r="R19" i="36"/>
  <c r="AG19" i="36" s="1"/>
  <c r="AM19" i="36" s="1"/>
  <c r="AJ38" i="36"/>
  <c r="AJ5" i="36"/>
  <c r="R42" i="36"/>
  <c r="O42" i="36" s="1"/>
  <c r="P26" i="36"/>
  <c r="AJ9" i="36"/>
  <c r="P49" i="36"/>
  <c r="U33" i="36"/>
  <c r="Q26" i="36"/>
  <c r="Q49" i="36"/>
  <c r="S26" i="36"/>
  <c r="O5" i="35"/>
  <c r="AG5" i="35"/>
  <c r="AM5" i="35" s="1"/>
  <c r="AG30" i="35"/>
  <c r="AM30" i="35" s="1"/>
  <c r="Y11" i="35"/>
  <c r="Y45" i="35"/>
  <c r="Y15" i="35"/>
  <c r="AG7" i="35"/>
  <c r="AM7" i="35" s="1"/>
  <c r="AG24" i="34"/>
  <c r="AM24" i="34" s="1"/>
  <c r="O15" i="35"/>
  <c r="AI29" i="34"/>
  <c r="W15" i="35"/>
  <c r="W33" i="34"/>
  <c r="O24" i="34"/>
  <c r="Y33" i="34"/>
  <c r="W29" i="34"/>
  <c r="W17" i="35"/>
  <c r="O29" i="34"/>
  <c r="Y3" i="34"/>
  <c r="AI46" i="35"/>
  <c r="W46" i="35"/>
  <c r="Y34" i="35"/>
  <c r="W32" i="35"/>
  <c r="O46" i="35"/>
  <c r="AG31" i="35"/>
  <c r="AM31" i="35" s="1"/>
  <c r="AI33" i="34"/>
  <c r="Y38" i="35"/>
  <c r="O17" i="35"/>
  <c r="AG15" i="35"/>
  <c r="AM15" i="35" s="1"/>
  <c r="AG44" i="35"/>
  <c r="AM44" i="35" s="1"/>
  <c r="O44" i="35"/>
  <c r="W10" i="34"/>
  <c r="O10" i="34"/>
  <c r="O20" i="34"/>
  <c r="Q51" i="35"/>
  <c r="W6" i="35"/>
  <c r="AG10" i="34"/>
  <c r="AM10" i="34" s="1"/>
  <c r="AI11" i="35"/>
  <c r="J58" i="36"/>
  <c r="O6" i="34"/>
  <c r="AG6" i="34"/>
  <c r="AM6" i="34" s="1"/>
  <c r="Y46" i="35"/>
  <c r="Y36" i="35"/>
  <c r="W35" i="35"/>
  <c r="O33" i="34"/>
  <c r="W44" i="35"/>
  <c r="AG11" i="35"/>
  <c r="AM11" i="35" s="1"/>
  <c r="Y7" i="35"/>
  <c r="Y20" i="34"/>
  <c r="AG30" i="34"/>
  <c r="AM30" i="34" s="1"/>
  <c r="Y15" i="34"/>
  <c r="AG19" i="35"/>
  <c r="AM19" i="35" s="1"/>
  <c r="O11" i="35"/>
  <c r="O14" i="34"/>
  <c r="W14" i="34"/>
  <c r="O19" i="35"/>
  <c r="O6" i="35"/>
  <c r="W42" i="33"/>
  <c r="O23" i="35"/>
  <c r="W22" i="35"/>
  <c r="AI18" i="35"/>
  <c r="Y19" i="35"/>
  <c r="W35" i="34"/>
  <c r="W31" i="35"/>
  <c r="W42" i="35"/>
  <c r="W14" i="35"/>
  <c r="Y30" i="36"/>
  <c r="O30" i="34"/>
  <c r="O31" i="35"/>
  <c r="AI19" i="35"/>
  <c r="O7" i="35"/>
  <c r="W6" i="34"/>
  <c r="W30" i="34"/>
  <c r="Z51" i="35"/>
  <c r="Y33" i="35"/>
  <c r="W7" i="35"/>
  <c r="AI6" i="35"/>
  <c r="AG17" i="35"/>
  <c r="AM17" i="35" s="1"/>
  <c r="AI28" i="35"/>
  <c r="Y14" i="35"/>
  <c r="AG14" i="34"/>
  <c r="AM14" i="34" s="1"/>
  <c r="O35" i="35"/>
  <c r="AG13" i="35"/>
  <c r="AM13" i="35" s="1"/>
  <c r="Y40" i="35"/>
  <c r="AG20" i="33"/>
  <c r="AM20" i="33" s="1"/>
  <c r="AI38" i="35"/>
  <c r="Y17" i="35"/>
  <c r="AI36" i="35"/>
  <c r="AI13" i="35"/>
  <c r="W13" i="35"/>
  <c r="W38" i="35"/>
  <c r="W9" i="35"/>
  <c r="Y37" i="35"/>
  <c r="O21" i="35"/>
  <c r="AI41" i="34"/>
  <c r="O38" i="35"/>
  <c r="O9" i="35"/>
  <c r="Y42" i="35"/>
  <c r="AG35" i="35"/>
  <c r="AM35" i="35" s="1"/>
  <c r="O18" i="35"/>
  <c r="AG32" i="35"/>
  <c r="AM32" i="35" s="1"/>
  <c r="Y9" i="35"/>
  <c r="W21" i="35"/>
  <c r="O21" i="34"/>
  <c r="W45" i="34"/>
  <c r="AG39" i="34"/>
  <c r="AM39" i="34" s="1"/>
  <c r="W34" i="35"/>
  <c r="AG21" i="35"/>
  <c r="AM21" i="35" s="1"/>
  <c r="AI22" i="35"/>
  <c r="AG18" i="35"/>
  <c r="AM18" i="35" s="1"/>
  <c r="O32" i="35"/>
  <c r="AI42" i="33"/>
  <c r="AG40" i="35"/>
  <c r="AM40" i="35" s="1"/>
  <c r="S51" i="35"/>
  <c r="O40" i="35"/>
  <c r="Y10" i="35"/>
  <c r="Y21" i="34"/>
  <c r="W15" i="34"/>
  <c r="AI42" i="35"/>
  <c r="AI34" i="35"/>
  <c r="W40" i="35"/>
  <c r="O14" i="35"/>
  <c r="AI14" i="35"/>
  <c r="W18" i="34"/>
  <c r="AK48" i="35"/>
  <c r="AG15" i="34"/>
  <c r="AM15" i="34" s="1"/>
  <c r="AG47" i="34"/>
  <c r="AM47" i="34" s="1"/>
  <c r="O39" i="34"/>
  <c r="O18" i="34"/>
  <c r="O42" i="35"/>
  <c r="O34" i="35"/>
  <c r="AG28" i="35"/>
  <c r="AM28" i="35" s="1"/>
  <c r="AG36" i="35"/>
  <c r="AM36" i="35" s="1"/>
  <c r="U49" i="35"/>
  <c r="AG42" i="33"/>
  <c r="AM42" i="33" s="1"/>
  <c r="Y34" i="33"/>
  <c r="W39" i="34"/>
  <c r="AI18" i="34"/>
  <c r="W39" i="35"/>
  <c r="AG39" i="35"/>
  <c r="AM39" i="35" s="1"/>
  <c r="Y23" i="35"/>
  <c r="O28" i="35"/>
  <c r="Y30" i="35"/>
  <c r="O36" i="35"/>
  <c r="AI38" i="34"/>
  <c r="X51" i="34"/>
  <c r="O39" i="35"/>
  <c r="AG9" i="35"/>
  <c r="AM9" i="35" s="1"/>
  <c r="U26" i="35"/>
  <c r="Y26" i="35" s="1"/>
  <c r="W41" i="34"/>
  <c r="AG23" i="35"/>
  <c r="AM23" i="35" s="1"/>
  <c r="Y13" i="35"/>
  <c r="O41" i="34"/>
  <c r="W24" i="34"/>
  <c r="AG5" i="34"/>
  <c r="AM5" i="34" s="1"/>
  <c r="O5" i="34"/>
  <c r="AI30" i="35"/>
  <c r="Y22" i="34"/>
  <c r="W23" i="35"/>
  <c r="W30" i="35"/>
  <c r="Y28" i="35"/>
  <c r="R49" i="35"/>
  <c r="AK25" i="35"/>
  <c r="AG35" i="34"/>
  <c r="AM35" i="34" s="1"/>
  <c r="O22" i="35"/>
  <c r="O42" i="34"/>
  <c r="AI4" i="34"/>
  <c r="AI43" i="35"/>
  <c r="W43" i="35"/>
  <c r="O43" i="35"/>
  <c r="AG43" i="35"/>
  <c r="AM43" i="35" s="1"/>
  <c r="AJ48" i="35"/>
  <c r="AG29" i="35"/>
  <c r="AM29" i="35" s="1"/>
  <c r="AI29" i="35"/>
  <c r="W29" i="35"/>
  <c r="O29" i="35"/>
  <c r="AG45" i="35"/>
  <c r="AM45" i="35" s="1"/>
  <c r="AI45" i="35"/>
  <c r="W45" i="35"/>
  <c r="O45" i="35"/>
  <c r="AI8" i="35"/>
  <c r="W8" i="35"/>
  <c r="O8" i="35"/>
  <c r="AG8" i="35"/>
  <c r="AM8" i="35" s="1"/>
  <c r="Y47" i="35"/>
  <c r="AG10" i="35"/>
  <c r="AM10" i="35" s="1"/>
  <c r="AI10" i="35"/>
  <c r="W10" i="35"/>
  <c r="O10" i="35"/>
  <c r="Y17" i="28"/>
  <c r="O16" i="35"/>
  <c r="W16" i="35"/>
  <c r="AI16" i="35"/>
  <c r="AG16" i="35"/>
  <c r="AM16" i="35" s="1"/>
  <c r="R26" i="35"/>
  <c r="AG3" i="35"/>
  <c r="AI3" i="35"/>
  <c r="W3" i="35"/>
  <c r="O3" i="35"/>
  <c r="AJ25" i="35"/>
  <c r="AI4" i="35"/>
  <c r="W4" i="35"/>
  <c r="O4" i="35"/>
  <c r="AG4" i="35"/>
  <c r="AM4" i="35" s="1"/>
  <c r="AG37" i="35"/>
  <c r="AM37" i="35" s="1"/>
  <c r="AI37" i="35"/>
  <c r="W37" i="35"/>
  <c r="O37" i="35"/>
  <c r="O35" i="34"/>
  <c r="W5" i="34"/>
  <c r="Y39" i="35"/>
  <c r="X51" i="35"/>
  <c r="Y43" i="35"/>
  <c r="T51" i="35"/>
  <c r="AG33" i="35"/>
  <c r="AM33" i="35" s="1"/>
  <c r="AI33" i="35"/>
  <c r="W33" i="35"/>
  <c r="O33" i="35"/>
  <c r="W37" i="34"/>
  <c r="AI47" i="35"/>
  <c r="W47" i="35"/>
  <c r="O47" i="35"/>
  <c r="AG47" i="35"/>
  <c r="AM47" i="35" s="1"/>
  <c r="P51" i="35"/>
  <c r="AA26" i="35" s="1"/>
  <c r="AG24" i="35"/>
  <c r="AM24" i="35" s="1"/>
  <c r="AI24" i="35"/>
  <c r="W24" i="35"/>
  <c r="O24" i="35"/>
  <c r="Y35" i="35"/>
  <c r="AG12" i="35"/>
  <c r="AM12" i="35" s="1"/>
  <c r="O12" i="35"/>
  <c r="W12" i="35"/>
  <c r="AI12" i="35"/>
  <c r="AG20" i="35"/>
  <c r="AM20" i="35" s="1"/>
  <c r="AI20" i="35"/>
  <c r="W20" i="35"/>
  <c r="O20" i="35"/>
  <c r="AG41" i="35"/>
  <c r="AM41" i="35" s="1"/>
  <c r="AI41" i="35"/>
  <c r="W41" i="35"/>
  <c r="O41" i="35"/>
  <c r="AI22" i="33"/>
  <c r="AG46" i="34"/>
  <c r="AM46" i="34" s="1"/>
  <c r="AI45" i="34"/>
  <c r="AI46" i="34"/>
  <c r="AG42" i="34"/>
  <c r="AM42" i="34" s="1"/>
  <c r="AG45" i="34"/>
  <c r="AM45" i="34" s="1"/>
  <c r="AG3" i="33"/>
  <c r="AM3" i="33" s="1"/>
  <c r="W46" i="34"/>
  <c r="Y43" i="33"/>
  <c r="AG3" i="34"/>
  <c r="AM3" i="34" s="1"/>
  <c r="AI8" i="34"/>
  <c r="Y12" i="34"/>
  <c r="AI3" i="33"/>
  <c r="AG8" i="34"/>
  <c r="AM8" i="34" s="1"/>
  <c r="AI42" i="34"/>
  <c r="Y45" i="34"/>
  <c r="W3" i="34"/>
  <c r="AI3" i="34"/>
  <c r="W39" i="33"/>
  <c r="AG20" i="34"/>
  <c r="AM20" i="34" s="1"/>
  <c r="Y28" i="34"/>
  <c r="AI20" i="34"/>
  <c r="AI15" i="34"/>
  <c r="Y12" i="33"/>
  <c r="Y19" i="28"/>
  <c r="AG31" i="33"/>
  <c r="AM31" i="33" s="1"/>
  <c r="O3" i="33"/>
  <c r="Y14" i="34"/>
  <c r="AI8" i="33"/>
  <c r="AG41" i="33"/>
  <c r="AM41" i="33" s="1"/>
  <c r="O22" i="34"/>
  <c r="Y47" i="34"/>
  <c r="Y34" i="34"/>
  <c r="Y16" i="34"/>
  <c r="AI7" i="34"/>
  <c r="AG38" i="34"/>
  <c r="AM38" i="34" s="1"/>
  <c r="Y9" i="33"/>
  <c r="U49" i="34"/>
  <c r="AI34" i="34"/>
  <c r="AG21" i="34"/>
  <c r="AM21" i="34" s="1"/>
  <c r="AG43" i="34"/>
  <c r="AM43" i="34" s="1"/>
  <c r="W8" i="34"/>
  <c r="O38" i="34"/>
  <c r="O43" i="34"/>
  <c r="Y45" i="33"/>
  <c r="O34" i="34"/>
  <c r="W21" i="34"/>
  <c r="AI22" i="34"/>
  <c r="Y43" i="34"/>
  <c r="W43" i="34"/>
  <c r="O7" i="34"/>
  <c r="W34" i="34"/>
  <c r="Q51" i="34"/>
  <c r="AG7" i="34"/>
  <c r="AM7" i="34" s="1"/>
  <c r="AI17" i="28"/>
  <c r="Y21" i="33"/>
  <c r="Y18" i="34"/>
  <c r="AI23" i="33"/>
  <c r="AI37" i="34"/>
  <c r="T51" i="34"/>
  <c r="S51" i="34"/>
  <c r="AI16" i="34"/>
  <c r="O16" i="34"/>
  <c r="W16" i="34"/>
  <c r="AI9" i="34"/>
  <c r="O9" i="34"/>
  <c r="W9" i="34"/>
  <c r="Y45" i="28"/>
  <c r="O37" i="34"/>
  <c r="O47" i="34"/>
  <c r="Y44" i="34"/>
  <c r="U26" i="34"/>
  <c r="Y19" i="34"/>
  <c r="AG38" i="33"/>
  <c r="AM38" i="33" s="1"/>
  <c r="W47" i="34"/>
  <c r="O4" i="34"/>
  <c r="O19" i="33"/>
  <c r="Y35" i="33"/>
  <c r="O47" i="33"/>
  <c r="AG22" i="34"/>
  <c r="AM22" i="34" s="1"/>
  <c r="Y7" i="34"/>
  <c r="W4" i="34"/>
  <c r="AI47" i="33"/>
  <c r="AG19" i="33"/>
  <c r="AM19" i="33" s="1"/>
  <c r="AG23" i="34"/>
  <c r="AM23" i="34" s="1"/>
  <c r="O23" i="34"/>
  <c r="W23" i="34"/>
  <c r="AI23" i="34"/>
  <c r="J60" i="34"/>
  <c r="AK25" i="34"/>
  <c r="W19" i="33"/>
  <c r="AI17" i="34"/>
  <c r="W17" i="34"/>
  <c r="O17" i="34"/>
  <c r="AG17" i="34"/>
  <c r="AM17" i="34" s="1"/>
  <c r="W12" i="34"/>
  <c r="O12" i="34"/>
  <c r="AI12" i="34"/>
  <c r="AG12" i="34"/>
  <c r="AM12" i="34" s="1"/>
  <c r="AJ25" i="34"/>
  <c r="AI15" i="33"/>
  <c r="AJ48" i="34"/>
  <c r="O11" i="34"/>
  <c r="AI11" i="34"/>
  <c r="W11" i="34"/>
  <c r="AG11" i="34"/>
  <c r="AM11" i="34" s="1"/>
  <c r="P51" i="34"/>
  <c r="AA26" i="34" s="1"/>
  <c r="AI39" i="28"/>
  <c r="AI7" i="28"/>
  <c r="AG45" i="33"/>
  <c r="AM45" i="33" s="1"/>
  <c r="Y38" i="34"/>
  <c r="O13" i="34"/>
  <c r="AI13" i="34"/>
  <c r="W13" i="34"/>
  <c r="AG13" i="34"/>
  <c r="AM13" i="34" s="1"/>
  <c r="AI40" i="34"/>
  <c r="W40" i="34"/>
  <c r="O40" i="34"/>
  <c r="AG40" i="34"/>
  <c r="AM40" i="34" s="1"/>
  <c r="Z51" i="34"/>
  <c r="AK48" i="34"/>
  <c r="Y46" i="34"/>
  <c r="AI31" i="34"/>
  <c r="W31" i="34"/>
  <c r="O31" i="34"/>
  <c r="AG31" i="34"/>
  <c r="AM31" i="34" s="1"/>
  <c r="O19" i="34"/>
  <c r="W19" i="34"/>
  <c r="AI19" i="34"/>
  <c r="AG19" i="34"/>
  <c r="AM19" i="34" s="1"/>
  <c r="Y42" i="34"/>
  <c r="W40" i="33"/>
  <c r="R26" i="34"/>
  <c r="AI28" i="34"/>
  <c r="W28" i="34"/>
  <c r="O28" i="34"/>
  <c r="AG28" i="34"/>
  <c r="R49" i="34"/>
  <c r="AI46" i="33"/>
  <c r="W47" i="28"/>
  <c r="AG34" i="33"/>
  <c r="AM34" i="33" s="1"/>
  <c r="AG47" i="33"/>
  <c r="AM47" i="33" s="1"/>
  <c r="W23" i="33"/>
  <c r="Y30" i="34"/>
  <c r="AI36" i="34"/>
  <c r="W36" i="34"/>
  <c r="O36" i="34"/>
  <c r="AG36" i="34"/>
  <c r="AM36" i="34" s="1"/>
  <c r="AI32" i="34"/>
  <c r="W32" i="34"/>
  <c r="O32" i="34"/>
  <c r="AG32" i="34"/>
  <c r="AM32" i="34" s="1"/>
  <c r="AI44" i="34"/>
  <c r="W44" i="34"/>
  <c r="O44" i="34"/>
  <c r="AG44" i="34"/>
  <c r="AM44" i="34" s="1"/>
  <c r="O31" i="33"/>
  <c r="W45" i="33"/>
  <c r="AI45" i="33"/>
  <c r="W9" i="33"/>
  <c r="AG15" i="33"/>
  <c r="AM15" i="33" s="1"/>
  <c r="Y5" i="33"/>
  <c r="Y30" i="33"/>
  <c r="Y37" i="33"/>
  <c r="AG23" i="33"/>
  <c r="AM23" i="33" s="1"/>
  <c r="O15" i="33"/>
  <c r="O17" i="28"/>
  <c r="X51" i="33"/>
  <c r="AI31" i="33"/>
  <c r="Q51" i="33"/>
  <c r="AG17" i="33"/>
  <c r="AM17" i="33" s="1"/>
  <c r="W34" i="33"/>
  <c r="O34" i="33"/>
  <c r="AG30" i="33"/>
  <c r="AM30" i="33" s="1"/>
  <c r="Y39" i="33"/>
  <c r="W10" i="33"/>
  <c r="O30" i="33"/>
  <c r="AI37" i="33"/>
  <c r="Y47" i="33"/>
  <c r="AG32" i="33"/>
  <c r="AM32" i="33" s="1"/>
  <c r="AG46" i="33"/>
  <c r="AM46" i="33" s="1"/>
  <c r="AI10" i="33"/>
  <c r="W30" i="33"/>
  <c r="O32" i="33"/>
  <c r="W32" i="33"/>
  <c r="Y41" i="33"/>
  <c r="AG39" i="33"/>
  <c r="AM39" i="33" s="1"/>
  <c r="W5" i="33"/>
  <c r="Y44" i="33"/>
  <c r="O39" i="33"/>
  <c r="AI5" i="33"/>
  <c r="Y19" i="33"/>
  <c r="W12" i="33"/>
  <c r="AG16" i="33"/>
  <c r="AM16" i="33" s="1"/>
  <c r="AI9" i="33"/>
  <c r="Y38" i="33"/>
  <c r="AI37" i="28"/>
  <c r="Y36" i="33"/>
  <c r="Y11" i="33"/>
  <c r="O35" i="33"/>
  <c r="AG13" i="28"/>
  <c r="W16" i="33"/>
  <c r="Y6" i="33"/>
  <c r="AG39" i="28"/>
  <c r="AM39" i="28" s="1"/>
  <c r="AI16" i="33"/>
  <c r="W46" i="33"/>
  <c r="O37" i="28"/>
  <c r="X51" i="28"/>
  <c r="O7" i="28"/>
  <c r="W35" i="33"/>
  <c r="O38" i="33"/>
  <c r="AG5" i="33"/>
  <c r="AM5" i="33" s="1"/>
  <c r="U49" i="33"/>
  <c r="AI35" i="33"/>
  <c r="Y10" i="33"/>
  <c r="W38" i="33"/>
  <c r="O39" i="28"/>
  <c r="O12" i="33"/>
  <c r="AG10" i="33"/>
  <c r="AM10" i="33" s="1"/>
  <c r="O9" i="33"/>
  <c r="W8" i="33"/>
  <c r="AI41" i="33"/>
  <c r="O41" i="33"/>
  <c r="T51" i="33"/>
  <c r="Y33" i="33"/>
  <c r="W6" i="28"/>
  <c r="AI4" i="28"/>
  <c r="AG7" i="28"/>
  <c r="AG12" i="33"/>
  <c r="AM12" i="33" s="1"/>
  <c r="AK48" i="33"/>
  <c r="AI43" i="33"/>
  <c r="AG40" i="33"/>
  <c r="AM40" i="33" s="1"/>
  <c r="O22" i="33"/>
  <c r="AG22" i="33"/>
  <c r="AM22" i="33" s="1"/>
  <c r="O14" i="33"/>
  <c r="W14" i="33"/>
  <c r="AG14" i="33"/>
  <c r="AM14" i="33" s="1"/>
  <c r="AI14" i="33"/>
  <c r="O40" i="33"/>
  <c r="R26" i="33"/>
  <c r="W17" i="33"/>
  <c r="O17" i="33"/>
  <c r="Z51" i="33"/>
  <c r="AG7" i="33"/>
  <c r="AM7" i="33" s="1"/>
  <c r="W20" i="33"/>
  <c r="O20" i="33"/>
  <c r="O7" i="33"/>
  <c r="AG6" i="33"/>
  <c r="AM6" i="33" s="1"/>
  <c r="O18" i="33"/>
  <c r="W18" i="33"/>
  <c r="AI18" i="33"/>
  <c r="AG18" i="33"/>
  <c r="AM18" i="33" s="1"/>
  <c r="AG43" i="33"/>
  <c r="AM43" i="33" s="1"/>
  <c r="W7" i="33"/>
  <c r="O6" i="33"/>
  <c r="O33" i="33"/>
  <c r="W33" i="33"/>
  <c r="AI33" i="33"/>
  <c r="AI8" i="28"/>
  <c r="AK25" i="33"/>
  <c r="O43" i="33"/>
  <c r="AI7" i="33"/>
  <c r="AI6" i="33"/>
  <c r="AG8" i="33"/>
  <c r="AM8" i="33" s="1"/>
  <c r="W37" i="33"/>
  <c r="O37" i="33"/>
  <c r="AJ25" i="33"/>
  <c r="Y16" i="33"/>
  <c r="AG6" i="28"/>
  <c r="AM6" i="28" s="1"/>
  <c r="AG29" i="33"/>
  <c r="AM29" i="33" s="1"/>
  <c r="W29" i="33"/>
  <c r="AI29" i="33"/>
  <c r="O29" i="33"/>
  <c r="P51" i="33"/>
  <c r="AA26" i="33" s="1"/>
  <c r="AG21" i="33"/>
  <c r="AM21" i="33" s="1"/>
  <c r="O21" i="33"/>
  <c r="W21" i="33"/>
  <c r="AI21" i="33"/>
  <c r="AI28" i="33"/>
  <c r="W28" i="33"/>
  <c r="O28" i="33"/>
  <c r="AG28" i="33"/>
  <c r="R49" i="33"/>
  <c r="Y3" i="33"/>
  <c r="U26" i="33"/>
  <c r="AI44" i="33"/>
  <c r="W44" i="33"/>
  <c r="O44" i="33"/>
  <c r="AG44" i="33"/>
  <c r="AM44" i="33" s="1"/>
  <c r="AJ48" i="33"/>
  <c r="AI4" i="33"/>
  <c r="W4" i="33"/>
  <c r="O4" i="33"/>
  <c r="AG4" i="33"/>
  <c r="AM4" i="33" s="1"/>
  <c r="Y24" i="28"/>
  <c r="AI36" i="33"/>
  <c r="W36" i="33"/>
  <c r="O36" i="33"/>
  <c r="AG36" i="33"/>
  <c r="AM36" i="33" s="1"/>
  <c r="AG24" i="33"/>
  <c r="AM24" i="33" s="1"/>
  <c r="AI24" i="33"/>
  <c r="O24" i="33"/>
  <c r="W24" i="33"/>
  <c r="S51" i="33"/>
  <c r="AI11" i="33"/>
  <c r="W11" i="33"/>
  <c r="O11" i="33"/>
  <c r="AG11" i="33"/>
  <c r="AM11" i="33" s="1"/>
  <c r="W13" i="33"/>
  <c r="AI13" i="33"/>
  <c r="AG13" i="33"/>
  <c r="AM13" i="33" s="1"/>
  <c r="O13" i="33"/>
  <c r="O47" i="28"/>
  <c r="O6" i="28"/>
  <c r="Y44" i="28"/>
  <c r="Y8" i="28"/>
  <c r="O30" i="28"/>
  <c r="W30" i="28"/>
  <c r="W10" i="28"/>
  <c r="AG10" i="28"/>
  <c r="AI35" i="28"/>
  <c r="AI34" i="28"/>
  <c r="W24" i="28"/>
  <c r="Y12" i="28"/>
  <c r="O9" i="28"/>
  <c r="Y15" i="28"/>
  <c r="Y18" i="28"/>
  <c r="AG35" i="28"/>
  <c r="AM35" i="28" s="1"/>
  <c r="AG8" i="28"/>
  <c r="AM8" i="28" s="1"/>
  <c r="O35" i="28"/>
  <c r="O8" i="28"/>
  <c r="AI10" i="28"/>
  <c r="O46" i="28"/>
  <c r="AG42" i="28"/>
  <c r="Y20" i="28"/>
  <c r="W18" i="28"/>
  <c r="AI18" i="28"/>
  <c r="AI42" i="28"/>
  <c r="AI45" i="28"/>
  <c r="O42" i="28"/>
  <c r="W45" i="28"/>
  <c r="O45" i="28"/>
  <c r="Y4" i="28"/>
  <c r="W4" i="28"/>
  <c r="O4" i="28"/>
  <c r="AG31" i="28"/>
  <c r="AG43" i="28"/>
  <c r="AM43" i="28" s="1"/>
  <c r="W31" i="28"/>
  <c r="AG11" i="28"/>
  <c r="AM11" i="28" s="1"/>
  <c r="O31" i="28"/>
  <c r="W41" i="28"/>
  <c r="AI43" i="28"/>
  <c r="AG30" i="28"/>
  <c r="AM30" i="28" s="1"/>
  <c r="O34" i="28"/>
  <c r="T51" i="28"/>
  <c r="O29" i="28"/>
  <c r="Y22" i="28"/>
  <c r="W34" i="28"/>
  <c r="W9" i="28"/>
  <c r="O21" i="28"/>
  <c r="AI9" i="28"/>
  <c r="W29" i="28"/>
  <c r="AI29" i="28"/>
  <c r="Y14" i="28"/>
  <c r="AG18" i="28"/>
  <c r="AM18" i="28" s="1"/>
  <c r="W21" i="28"/>
  <c r="AI21" i="28"/>
  <c r="O5" i="28"/>
  <c r="W37" i="28"/>
  <c r="AI47" i="28"/>
  <c r="AG12" i="28"/>
  <c r="Y10" i="28"/>
  <c r="Y5" i="28"/>
  <c r="O11" i="28"/>
  <c r="W33" i="28"/>
  <c r="Y28" i="28"/>
  <c r="W11" i="28"/>
  <c r="W13" i="28"/>
  <c r="O13" i="28"/>
  <c r="AI38" i="28"/>
  <c r="AI33" i="28"/>
  <c r="AI41" i="28"/>
  <c r="O33" i="28"/>
  <c r="W12" i="28"/>
  <c r="AG5" i="28"/>
  <c r="O24" i="28"/>
  <c r="AG24" i="28"/>
  <c r="AM24" i="28" s="1"/>
  <c r="O41" i="28"/>
  <c r="W5" i="28"/>
  <c r="U49" i="28"/>
  <c r="W38" i="28"/>
  <c r="AG38" i="28"/>
  <c r="AG46" i="28"/>
  <c r="Y40" i="28"/>
  <c r="AI46" i="28"/>
  <c r="AI12" i="28"/>
  <c r="Y42" i="28"/>
  <c r="Y36" i="28"/>
  <c r="Z51" i="28"/>
  <c r="AI20" i="28"/>
  <c r="AG20" i="28"/>
  <c r="W20" i="28"/>
  <c r="O16" i="28"/>
  <c r="AI16" i="28"/>
  <c r="W16" i="28"/>
  <c r="AG16" i="28"/>
  <c r="AM16" i="28" s="1"/>
  <c r="Y32" i="28"/>
  <c r="O43" i="28"/>
  <c r="Q51" i="28"/>
  <c r="AK25" i="28"/>
  <c r="AI40" i="28"/>
  <c r="W40" i="28"/>
  <c r="O40" i="28"/>
  <c r="AG40" i="28"/>
  <c r="AM40" i="28" s="1"/>
  <c r="J58" i="28"/>
  <c r="AJ48" i="28"/>
  <c r="Y33" i="28"/>
  <c r="AK48" i="28"/>
  <c r="Y29" i="28"/>
  <c r="O14" i="28"/>
  <c r="W14" i="28"/>
  <c r="AI14" i="28"/>
  <c r="AG14" i="28"/>
  <c r="AM14" i="28" s="1"/>
  <c r="AI28" i="28"/>
  <c r="W28" i="28"/>
  <c r="O28" i="28"/>
  <c r="AG28" i="28"/>
  <c r="R49" i="28"/>
  <c r="AI32" i="28"/>
  <c r="W32" i="28"/>
  <c r="O32" i="28"/>
  <c r="AG32" i="28"/>
  <c r="AM32" i="28" s="1"/>
  <c r="O19" i="28"/>
  <c r="AG19" i="28"/>
  <c r="AM19" i="28" s="1"/>
  <c r="W19" i="28"/>
  <c r="AI19" i="28"/>
  <c r="W15" i="28"/>
  <c r="AI15" i="28"/>
  <c r="AG15" i="28"/>
  <c r="O15" i="28"/>
  <c r="Y38" i="28"/>
  <c r="AI36" i="28"/>
  <c r="W36" i="28"/>
  <c r="O36" i="28"/>
  <c r="AG36" i="28"/>
  <c r="AM36" i="28" s="1"/>
  <c r="R26" i="28"/>
  <c r="AG3" i="28"/>
  <c r="AI3" i="28"/>
  <c r="W3" i="28"/>
  <c r="O3" i="28"/>
  <c r="Y34" i="28"/>
  <c r="AI22" i="28"/>
  <c r="W22" i="28"/>
  <c r="O22" i="28"/>
  <c r="AG22" i="28"/>
  <c r="AM22" i="28" s="1"/>
  <c r="AI44" i="28"/>
  <c r="W44" i="28"/>
  <c r="O44" i="28"/>
  <c r="AG44" i="28"/>
  <c r="AJ25" i="28"/>
  <c r="P51" i="28"/>
  <c r="AA49" i="28" s="1"/>
  <c r="Q18" i="6" s="1"/>
  <c r="AG23" i="28"/>
  <c r="AM23" i="28" s="1"/>
  <c r="W23" i="28"/>
  <c r="AI23" i="28"/>
  <c r="O23" i="28"/>
  <c r="Y30" i="28"/>
  <c r="Y3" i="28"/>
  <c r="U26" i="28"/>
  <c r="Y46" i="28"/>
  <c r="AE47" i="18"/>
  <c r="K12" i="6"/>
  <c r="J40" i="12"/>
  <c r="J41" i="12"/>
  <c r="J34" i="12"/>
  <c r="J42" i="12"/>
  <c r="J35" i="12"/>
  <c r="J36" i="12"/>
  <c r="J33" i="12"/>
  <c r="J43" i="12"/>
  <c r="J32" i="12"/>
  <c r="J44" i="12"/>
  <c r="J45" i="12"/>
  <c r="J46" i="12"/>
  <c r="J47" i="12"/>
  <c r="J37" i="12"/>
  <c r="J48" i="12"/>
  <c r="J31" i="12"/>
  <c r="J30" i="12"/>
  <c r="J38" i="12"/>
  <c r="J49" i="12"/>
  <c r="J39" i="12"/>
  <c r="J8" i="12"/>
  <c r="J11" i="12"/>
  <c r="J5" i="12"/>
  <c r="J6" i="12"/>
  <c r="J14" i="12"/>
  <c r="J7" i="12"/>
  <c r="J16" i="12"/>
  <c r="J20" i="12"/>
  <c r="J12" i="12"/>
  <c r="J9" i="12"/>
  <c r="J10" i="12"/>
  <c r="J15" i="12"/>
  <c r="J13" i="12"/>
  <c r="J21" i="12"/>
  <c r="J17" i="12"/>
  <c r="J18" i="12"/>
  <c r="J19" i="12"/>
  <c r="J22" i="12"/>
  <c r="J23" i="12"/>
  <c r="J24" i="12"/>
  <c r="J25" i="12"/>
  <c r="J4" i="12"/>
  <c r="C42" i="12"/>
  <c r="J36" i="10"/>
  <c r="J37" i="10"/>
  <c r="J38" i="10"/>
  <c r="J39" i="10"/>
  <c r="J40" i="10"/>
  <c r="J41" i="10"/>
  <c r="J32" i="10"/>
  <c r="J42" i="10"/>
  <c r="J33" i="10"/>
  <c r="J43" i="10"/>
  <c r="J44" i="10"/>
  <c r="J45" i="10"/>
  <c r="J46" i="10"/>
  <c r="J47" i="10"/>
  <c r="J48" i="10"/>
  <c r="J30" i="10"/>
  <c r="J31" i="10"/>
  <c r="J34" i="10"/>
  <c r="J49" i="10"/>
  <c r="J35" i="10"/>
  <c r="J11" i="10"/>
  <c r="J15" i="10"/>
  <c r="J7" i="10"/>
  <c r="J6" i="10"/>
  <c r="J10" i="10"/>
  <c r="J5" i="10"/>
  <c r="J12" i="10"/>
  <c r="J16" i="10"/>
  <c r="J13" i="10"/>
  <c r="J8" i="10"/>
  <c r="J9" i="10"/>
  <c r="J17" i="10"/>
  <c r="J18" i="10"/>
  <c r="J19" i="10"/>
  <c r="J14" i="10"/>
  <c r="J20" i="10"/>
  <c r="J21" i="10"/>
  <c r="J22" i="10"/>
  <c r="J23" i="10"/>
  <c r="J24" i="10"/>
  <c r="J25" i="10"/>
  <c r="J4" i="10"/>
  <c r="C4" i="10"/>
  <c r="C40" i="10"/>
  <c r="C41" i="10"/>
  <c r="C34" i="10"/>
  <c r="C35" i="10"/>
  <c r="C36" i="10"/>
  <c r="C42" i="10"/>
  <c r="C32" i="10"/>
  <c r="C43" i="10"/>
  <c r="C33" i="10"/>
  <c r="C47" i="10"/>
  <c r="C44" i="10"/>
  <c r="C45" i="10"/>
  <c r="C37" i="10"/>
  <c r="C38" i="10"/>
  <c r="C46" i="10"/>
  <c r="C31" i="10"/>
  <c r="C30" i="10"/>
  <c r="C49" i="10"/>
  <c r="C39" i="10"/>
  <c r="C48" i="10"/>
  <c r="C14" i="10"/>
  <c r="C24" i="10"/>
  <c r="C8" i="10"/>
  <c r="C5" i="10"/>
  <c r="C6" i="10"/>
  <c r="C13" i="10"/>
  <c r="C11" i="10"/>
  <c r="C15" i="10"/>
  <c r="C12" i="10"/>
  <c r="C7" i="10"/>
  <c r="C9" i="10"/>
  <c r="C25" i="10"/>
  <c r="C23" i="10"/>
  <c r="C16" i="10"/>
  <c r="C10" i="10"/>
  <c r="C17" i="10"/>
  <c r="C18" i="10"/>
  <c r="C19" i="10"/>
  <c r="C20" i="10"/>
  <c r="C21" i="10"/>
  <c r="C22" i="10"/>
  <c r="Z47" i="19"/>
  <c r="X47" i="19"/>
  <c r="T47" i="19"/>
  <c r="S47" i="19"/>
  <c r="Q47" i="19"/>
  <c r="P47" i="19"/>
  <c r="Z46" i="19"/>
  <c r="Z46" i="26" s="1"/>
  <c r="X46" i="19"/>
  <c r="T46" i="19"/>
  <c r="S46" i="19"/>
  <c r="Q46" i="19"/>
  <c r="P46" i="19"/>
  <c r="Z45" i="19"/>
  <c r="X45" i="19"/>
  <c r="T45" i="19"/>
  <c r="T45" i="26" s="1"/>
  <c r="S45" i="19"/>
  <c r="Q45" i="19"/>
  <c r="P45" i="19"/>
  <c r="Z44" i="19"/>
  <c r="X44" i="19"/>
  <c r="T44" i="19"/>
  <c r="S44" i="19"/>
  <c r="Q44" i="19"/>
  <c r="Q44" i="26" s="1"/>
  <c r="P44" i="19"/>
  <c r="Z43" i="19"/>
  <c r="X43" i="19"/>
  <c r="T43" i="19"/>
  <c r="S43" i="19"/>
  <c r="Q43" i="19"/>
  <c r="P43" i="19"/>
  <c r="Z42" i="19"/>
  <c r="X42" i="19"/>
  <c r="T42" i="19"/>
  <c r="S42" i="19"/>
  <c r="Q42" i="19"/>
  <c r="P42" i="19"/>
  <c r="Z41" i="19"/>
  <c r="X41" i="19"/>
  <c r="T41" i="19"/>
  <c r="T41" i="26" s="1"/>
  <c r="S41" i="19"/>
  <c r="Q41" i="19"/>
  <c r="P41" i="19"/>
  <c r="Z40" i="19"/>
  <c r="X40" i="19"/>
  <c r="T40" i="19"/>
  <c r="S40" i="19"/>
  <c r="S40" i="26" s="1"/>
  <c r="U40" i="26" s="1"/>
  <c r="Y40" i="26" s="1"/>
  <c r="Q40" i="19"/>
  <c r="Q40" i="26" s="1"/>
  <c r="P40" i="19"/>
  <c r="Z39" i="19"/>
  <c r="X39" i="19"/>
  <c r="T39" i="19"/>
  <c r="S39" i="19"/>
  <c r="Q39" i="19"/>
  <c r="P39" i="19"/>
  <c r="Z38" i="19"/>
  <c r="Z38" i="26" s="1"/>
  <c r="X38" i="19"/>
  <c r="T38" i="19"/>
  <c r="S38" i="19"/>
  <c r="Q38" i="19"/>
  <c r="P38" i="19"/>
  <c r="Z37" i="19"/>
  <c r="X37" i="19"/>
  <c r="T37" i="19"/>
  <c r="T37" i="26" s="1"/>
  <c r="S37" i="19"/>
  <c r="Q37" i="19"/>
  <c r="P37" i="19"/>
  <c r="Z36" i="19"/>
  <c r="X36" i="19"/>
  <c r="T36" i="19"/>
  <c r="S36" i="19"/>
  <c r="S36" i="26" s="1"/>
  <c r="U36" i="26" s="1"/>
  <c r="Q36" i="19"/>
  <c r="Q36" i="26" s="1"/>
  <c r="P36" i="19"/>
  <c r="Z35" i="19"/>
  <c r="X35" i="19"/>
  <c r="T35" i="19"/>
  <c r="S35" i="19"/>
  <c r="Q35" i="19"/>
  <c r="P35" i="19"/>
  <c r="Z34" i="19"/>
  <c r="Z34" i="26" s="1"/>
  <c r="AJ34" i="26" s="1"/>
  <c r="X34" i="19"/>
  <c r="T34" i="19"/>
  <c r="S34" i="19"/>
  <c r="Q34" i="19"/>
  <c r="P34" i="19"/>
  <c r="Z33" i="19"/>
  <c r="X33" i="19"/>
  <c r="T33" i="19"/>
  <c r="T33" i="26" s="1"/>
  <c r="S33" i="19"/>
  <c r="Q33" i="19"/>
  <c r="P33" i="19"/>
  <c r="Z32" i="19"/>
  <c r="X32" i="19"/>
  <c r="T32" i="19"/>
  <c r="S32" i="19"/>
  <c r="S32" i="26" s="1"/>
  <c r="U32" i="26" s="1"/>
  <c r="Y32" i="26" s="1"/>
  <c r="Q32" i="19"/>
  <c r="Q32" i="26" s="1"/>
  <c r="P32" i="19"/>
  <c r="Z31" i="19"/>
  <c r="X31" i="19"/>
  <c r="T31" i="19"/>
  <c r="S31" i="19"/>
  <c r="Q31" i="19"/>
  <c r="P31" i="19"/>
  <c r="Z30" i="19"/>
  <c r="Z30" i="26" s="1"/>
  <c r="AJ30" i="26" s="1"/>
  <c r="X30" i="19"/>
  <c r="T30" i="19"/>
  <c r="S30" i="19"/>
  <c r="Q30" i="19"/>
  <c r="P30" i="19"/>
  <c r="Z29" i="19"/>
  <c r="X29" i="19"/>
  <c r="X29" i="26" s="1"/>
  <c r="T29" i="19"/>
  <c r="T29" i="26" s="1"/>
  <c r="S29" i="19"/>
  <c r="Q29" i="19"/>
  <c r="P29" i="19"/>
  <c r="Z28" i="19"/>
  <c r="X28" i="19"/>
  <c r="T28" i="19"/>
  <c r="S28" i="19"/>
  <c r="S28" i="26" s="1"/>
  <c r="U28" i="26" s="1"/>
  <c r="Y28" i="26" s="1"/>
  <c r="Q28" i="19"/>
  <c r="Q28" i="26" s="1"/>
  <c r="P28" i="19"/>
  <c r="Z24" i="19"/>
  <c r="X24" i="19"/>
  <c r="T24" i="19"/>
  <c r="S24" i="19"/>
  <c r="Q24" i="19"/>
  <c r="P24" i="19"/>
  <c r="P24" i="26" s="1"/>
  <c r="Z23" i="19"/>
  <c r="Z23" i="26" s="1"/>
  <c r="AJ23" i="26" s="1"/>
  <c r="X23" i="19"/>
  <c r="T23" i="19"/>
  <c r="S23" i="19"/>
  <c r="Q23" i="19"/>
  <c r="P23" i="19"/>
  <c r="Z22" i="19"/>
  <c r="X22" i="19"/>
  <c r="X22" i="26" s="1"/>
  <c r="T22" i="19"/>
  <c r="T22" i="26" s="1"/>
  <c r="S22" i="19"/>
  <c r="Q22" i="19"/>
  <c r="P22" i="19"/>
  <c r="Z21" i="19"/>
  <c r="X21" i="19"/>
  <c r="T21" i="19"/>
  <c r="S21" i="19"/>
  <c r="S21" i="26" s="1"/>
  <c r="U21" i="26" s="1"/>
  <c r="Q21" i="19"/>
  <c r="Q21" i="26" s="1"/>
  <c r="P21" i="19"/>
  <c r="Z20" i="19"/>
  <c r="X20" i="19"/>
  <c r="T20" i="19"/>
  <c r="S20" i="19"/>
  <c r="Q20" i="19"/>
  <c r="P20" i="19"/>
  <c r="P20" i="26" s="1"/>
  <c r="AJ20" i="26" s="1"/>
  <c r="Z19" i="19"/>
  <c r="Z19" i="26" s="1"/>
  <c r="AJ19" i="26" s="1"/>
  <c r="X19" i="19"/>
  <c r="T19" i="19"/>
  <c r="S19" i="19"/>
  <c r="Q19" i="19"/>
  <c r="P19" i="19"/>
  <c r="Z18" i="19"/>
  <c r="X18" i="19"/>
  <c r="X18" i="26" s="1"/>
  <c r="T18" i="19"/>
  <c r="T18" i="26" s="1"/>
  <c r="S18" i="19"/>
  <c r="Q18" i="19"/>
  <c r="P18" i="19"/>
  <c r="Z17" i="19"/>
  <c r="X17" i="19"/>
  <c r="T17" i="19"/>
  <c r="S17" i="19"/>
  <c r="S17" i="26" s="1"/>
  <c r="U17" i="26" s="1"/>
  <c r="Q17" i="19"/>
  <c r="Q17" i="26" s="1"/>
  <c r="R17" i="26" s="1"/>
  <c r="P17" i="19"/>
  <c r="Z16" i="19"/>
  <c r="X16" i="19"/>
  <c r="T16" i="19"/>
  <c r="S16" i="19"/>
  <c r="Q16" i="19"/>
  <c r="P16" i="19"/>
  <c r="P16" i="26" s="1"/>
  <c r="Z15" i="19"/>
  <c r="Z15" i="26" s="1"/>
  <c r="X15" i="19"/>
  <c r="T15" i="19"/>
  <c r="S15" i="19"/>
  <c r="Q15" i="19"/>
  <c r="P15" i="19"/>
  <c r="Z14" i="19"/>
  <c r="X14" i="19"/>
  <c r="T14" i="19"/>
  <c r="T14" i="26" s="1"/>
  <c r="U14" i="26" s="1"/>
  <c r="Y14" i="26" s="1"/>
  <c r="S14" i="19"/>
  <c r="Q14" i="19"/>
  <c r="P14" i="19"/>
  <c r="Z13" i="19"/>
  <c r="X13" i="19"/>
  <c r="T13" i="19"/>
  <c r="S13" i="19"/>
  <c r="S13" i="26" s="1"/>
  <c r="U13" i="26" s="1"/>
  <c r="Q13" i="19"/>
  <c r="Q13" i="26" s="1"/>
  <c r="P13" i="19"/>
  <c r="Z12" i="19"/>
  <c r="X12" i="19"/>
  <c r="T12" i="19"/>
  <c r="S12" i="19"/>
  <c r="Q12" i="19"/>
  <c r="P12" i="19"/>
  <c r="P12" i="26" s="1"/>
  <c r="Z11" i="19"/>
  <c r="X11" i="19"/>
  <c r="T11" i="19"/>
  <c r="S11" i="19"/>
  <c r="Q11" i="19"/>
  <c r="P11" i="19"/>
  <c r="Z10" i="19"/>
  <c r="X10" i="19"/>
  <c r="T10" i="19"/>
  <c r="T10" i="26" s="1"/>
  <c r="S10" i="19"/>
  <c r="Q10" i="19"/>
  <c r="P10" i="19"/>
  <c r="Z9" i="19"/>
  <c r="X9" i="19"/>
  <c r="T9" i="19"/>
  <c r="S9" i="19"/>
  <c r="Q9" i="19"/>
  <c r="Q9" i="26" s="1"/>
  <c r="R9" i="26" s="1"/>
  <c r="W9" i="26" s="1"/>
  <c r="P9" i="19"/>
  <c r="Z8" i="19"/>
  <c r="X8" i="19"/>
  <c r="T8" i="19"/>
  <c r="S8" i="19"/>
  <c r="Q8" i="19"/>
  <c r="P8" i="19"/>
  <c r="P8" i="26" s="1"/>
  <c r="AJ8" i="26" s="1"/>
  <c r="Z7" i="19"/>
  <c r="Z7" i="26" s="1"/>
  <c r="X7" i="19"/>
  <c r="T7" i="19"/>
  <c r="S7" i="19"/>
  <c r="Q7" i="19"/>
  <c r="P7" i="19"/>
  <c r="Z6" i="19"/>
  <c r="X6" i="19"/>
  <c r="X6" i="26" s="1"/>
  <c r="T6" i="19"/>
  <c r="T6" i="26" s="1"/>
  <c r="S6" i="19"/>
  <c r="Q6" i="19"/>
  <c r="P6" i="19"/>
  <c r="Z5" i="19"/>
  <c r="X5" i="19"/>
  <c r="T5" i="19"/>
  <c r="S5" i="19"/>
  <c r="S5" i="26" s="1"/>
  <c r="U5" i="26" s="1"/>
  <c r="Q5" i="19"/>
  <c r="Q5" i="26" s="1"/>
  <c r="P5" i="19"/>
  <c r="Z4" i="19"/>
  <c r="X4" i="19"/>
  <c r="T4" i="19"/>
  <c r="S4" i="19"/>
  <c r="Q4" i="19"/>
  <c r="P4" i="19"/>
  <c r="P4" i="26" s="1"/>
  <c r="Z3" i="19"/>
  <c r="Z3" i="26" s="1"/>
  <c r="X3" i="19"/>
  <c r="T3" i="19"/>
  <c r="T3" i="26" s="1"/>
  <c r="S3" i="19"/>
  <c r="Q3" i="19"/>
  <c r="P3" i="19"/>
  <c r="P3" i="26" s="1"/>
  <c r="E14" i="6"/>
  <c r="E13" i="6"/>
  <c r="Z47" i="24"/>
  <c r="Z47" i="37" s="1"/>
  <c r="X47" i="24"/>
  <c r="X47" i="37" s="1"/>
  <c r="T47" i="24"/>
  <c r="T47" i="37" s="1"/>
  <c r="S47" i="24"/>
  <c r="S47" i="37" s="1"/>
  <c r="Q47" i="24"/>
  <c r="Q47" i="37" s="1"/>
  <c r="P47" i="24"/>
  <c r="Z46" i="24"/>
  <c r="Z46" i="37" s="1"/>
  <c r="X46" i="24"/>
  <c r="X46" i="37" s="1"/>
  <c r="T46" i="24"/>
  <c r="T46" i="37" s="1"/>
  <c r="S46" i="24"/>
  <c r="S46" i="37" s="1"/>
  <c r="Q46" i="24"/>
  <c r="Q46" i="37" s="1"/>
  <c r="P46" i="24"/>
  <c r="P46" i="37" s="1"/>
  <c r="Z45" i="24"/>
  <c r="Z45" i="37" s="1"/>
  <c r="X45" i="24"/>
  <c r="X45" i="37" s="1"/>
  <c r="T45" i="24"/>
  <c r="T45" i="37" s="1"/>
  <c r="S45" i="24"/>
  <c r="S45" i="37" s="1"/>
  <c r="Q45" i="24"/>
  <c r="Q45" i="37" s="1"/>
  <c r="P45" i="24"/>
  <c r="P45" i="37" s="1"/>
  <c r="Z44" i="24"/>
  <c r="Z44" i="37" s="1"/>
  <c r="X44" i="24"/>
  <c r="X44" i="37" s="1"/>
  <c r="T44" i="24"/>
  <c r="T44" i="37" s="1"/>
  <c r="S44" i="24"/>
  <c r="S44" i="37" s="1"/>
  <c r="Q44" i="24"/>
  <c r="Q44" i="37" s="1"/>
  <c r="P44" i="24"/>
  <c r="Z43" i="24"/>
  <c r="Z43" i="37" s="1"/>
  <c r="X43" i="24"/>
  <c r="X43" i="37" s="1"/>
  <c r="T43" i="24"/>
  <c r="T43" i="37" s="1"/>
  <c r="S43" i="24"/>
  <c r="S43" i="37" s="1"/>
  <c r="Q43" i="24"/>
  <c r="Q43" i="37" s="1"/>
  <c r="P43" i="24"/>
  <c r="Z42" i="24"/>
  <c r="Z42" i="37" s="1"/>
  <c r="X42" i="24"/>
  <c r="X42" i="37" s="1"/>
  <c r="T42" i="24"/>
  <c r="T42" i="37" s="1"/>
  <c r="S42" i="24"/>
  <c r="S42" i="37" s="1"/>
  <c r="Q42" i="24"/>
  <c r="Q42" i="37" s="1"/>
  <c r="P42" i="24"/>
  <c r="P42" i="37" s="1"/>
  <c r="Z41" i="24"/>
  <c r="Z41" i="37" s="1"/>
  <c r="X41" i="24"/>
  <c r="X41" i="37" s="1"/>
  <c r="T41" i="24"/>
  <c r="T41" i="37" s="1"/>
  <c r="S41" i="24"/>
  <c r="S41" i="37" s="1"/>
  <c r="Q41" i="24"/>
  <c r="Q41" i="37" s="1"/>
  <c r="P41" i="24"/>
  <c r="P41" i="37" s="1"/>
  <c r="Z40" i="24"/>
  <c r="Z40" i="37" s="1"/>
  <c r="X40" i="24"/>
  <c r="X40" i="37" s="1"/>
  <c r="T40" i="24"/>
  <c r="T40" i="37" s="1"/>
  <c r="S40" i="24"/>
  <c r="S40" i="37" s="1"/>
  <c r="Q40" i="24"/>
  <c r="Q40" i="37" s="1"/>
  <c r="P40" i="24"/>
  <c r="Z39" i="24"/>
  <c r="Z39" i="37" s="1"/>
  <c r="X39" i="24"/>
  <c r="X39" i="37" s="1"/>
  <c r="T39" i="24"/>
  <c r="T39" i="37" s="1"/>
  <c r="S39" i="24"/>
  <c r="S39" i="37" s="1"/>
  <c r="Q39" i="24"/>
  <c r="Q39" i="37" s="1"/>
  <c r="P39" i="24"/>
  <c r="P39" i="37" s="1"/>
  <c r="Z38" i="24"/>
  <c r="Z38" i="37" s="1"/>
  <c r="X38" i="24"/>
  <c r="X38" i="37" s="1"/>
  <c r="T38" i="24"/>
  <c r="T38" i="37" s="1"/>
  <c r="S38" i="24"/>
  <c r="S38" i="37" s="1"/>
  <c r="Q38" i="24"/>
  <c r="Q38" i="37" s="1"/>
  <c r="P38" i="24"/>
  <c r="Z37" i="24"/>
  <c r="Z37" i="37" s="1"/>
  <c r="X37" i="24"/>
  <c r="X37" i="37" s="1"/>
  <c r="T37" i="24"/>
  <c r="T37" i="37" s="1"/>
  <c r="S37" i="24"/>
  <c r="S37" i="37" s="1"/>
  <c r="Q37" i="24"/>
  <c r="Q37" i="37" s="1"/>
  <c r="P37" i="24"/>
  <c r="Z36" i="24"/>
  <c r="Z36" i="37" s="1"/>
  <c r="X36" i="24"/>
  <c r="X36" i="37" s="1"/>
  <c r="T36" i="24"/>
  <c r="T36" i="37" s="1"/>
  <c r="S36" i="24"/>
  <c r="S36" i="37" s="1"/>
  <c r="Q36" i="24"/>
  <c r="Q36" i="37" s="1"/>
  <c r="P36" i="24"/>
  <c r="Z35" i="24"/>
  <c r="Z35" i="37" s="1"/>
  <c r="X35" i="24"/>
  <c r="X35" i="37" s="1"/>
  <c r="T35" i="24"/>
  <c r="T35" i="37" s="1"/>
  <c r="S35" i="24"/>
  <c r="S35" i="37" s="1"/>
  <c r="Q35" i="24"/>
  <c r="Q35" i="37" s="1"/>
  <c r="P35" i="24"/>
  <c r="Z34" i="24"/>
  <c r="Z34" i="37" s="1"/>
  <c r="X34" i="24"/>
  <c r="X34" i="37" s="1"/>
  <c r="T34" i="24"/>
  <c r="T34" i="37" s="1"/>
  <c r="S34" i="24"/>
  <c r="S34" i="37" s="1"/>
  <c r="Q34" i="24"/>
  <c r="Q34" i="37" s="1"/>
  <c r="P34" i="24"/>
  <c r="P34" i="37" s="1"/>
  <c r="Z33" i="24"/>
  <c r="Z33" i="37" s="1"/>
  <c r="X33" i="24"/>
  <c r="X33" i="37" s="1"/>
  <c r="T33" i="24"/>
  <c r="T33" i="37" s="1"/>
  <c r="S33" i="24"/>
  <c r="S33" i="37" s="1"/>
  <c r="Q33" i="24"/>
  <c r="Q33" i="37" s="1"/>
  <c r="P33" i="24"/>
  <c r="Z32" i="24"/>
  <c r="Z32" i="37" s="1"/>
  <c r="X32" i="24"/>
  <c r="X32" i="37" s="1"/>
  <c r="T32" i="24"/>
  <c r="T32" i="37" s="1"/>
  <c r="S32" i="24"/>
  <c r="S32" i="37" s="1"/>
  <c r="Q32" i="24"/>
  <c r="Q32" i="37" s="1"/>
  <c r="P32" i="24"/>
  <c r="Z31" i="24"/>
  <c r="Z31" i="37" s="1"/>
  <c r="X31" i="24"/>
  <c r="X31" i="37" s="1"/>
  <c r="T31" i="24"/>
  <c r="T31" i="37" s="1"/>
  <c r="S31" i="24"/>
  <c r="S31" i="37" s="1"/>
  <c r="Q31" i="24"/>
  <c r="Q31" i="37" s="1"/>
  <c r="P31" i="24"/>
  <c r="Z30" i="24"/>
  <c r="Z30" i="37" s="1"/>
  <c r="X30" i="24"/>
  <c r="X30" i="37" s="1"/>
  <c r="T30" i="24"/>
  <c r="T30" i="37" s="1"/>
  <c r="S30" i="24"/>
  <c r="S30" i="37" s="1"/>
  <c r="Q30" i="24"/>
  <c r="Q30" i="37" s="1"/>
  <c r="P30" i="24"/>
  <c r="Z29" i="24"/>
  <c r="Z29" i="37" s="1"/>
  <c r="X29" i="24"/>
  <c r="X29" i="37" s="1"/>
  <c r="T29" i="24"/>
  <c r="T29" i="37" s="1"/>
  <c r="S29" i="24"/>
  <c r="S29" i="37" s="1"/>
  <c r="Q29" i="24"/>
  <c r="Q29" i="37" s="1"/>
  <c r="P29" i="24"/>
  <c r="P29" i="37" s="1"/>
  <c r="Z28" i="24"/>
  <c r="Z28" i="37" s="1"/>
  <c r="X28" i="24"/>
  <c r="X28" i="37" s="1"/>
  <c r="T28" i="24"/>
  <c r="T28" i="37" s="1"/>
  <c r="S28" i="24"/>
  <c r="S28" i="37" s="1"/>
  <c r="Q28" i="24"/>
  <c r="Q28" i="37" s="1"/>
  <c r="P28" i="24"/>
  <c r="Z24" i="24"/>
  <c r="Z24" i="37" s="1"/>
  <c r="X24" i="24"/>
  <c r="X24" i="37" s="1"/>
  <c r="T24" i="24"/>
  <c r="T24" i="37" s="1"/>
  <c r="S24" i="24"/>
  <c r="S24" i="37" s="1"/>
  <c r="Q24" i="24"/>
  <c r="Q24" i="37" s="1"/>
  <c r="P24" i="24"/>
  <c r="Z23" i="24"/>
  <c r="Z23" i="37" s="1"/>
  <c r="X23" i="24"/>
  <c r="X23" i="37" s="1"/>
  <c r="T23" i="24"/>
  <c r="T23" i="37" s="1"/>
  <c r="S23" i="24"/>
  <c r="S23" i="37" s="1"/>
  <c r="Q23" i="24"/>
  <c r="Q23" i="37" s="1"/>
  <c r="P23" i="24"/>
  <c r="P23" i="37" s="1"/>
  <c r="Z22" i="24"/>
  <c r="Z22" i="37" s="1"/>
  <c r="X22" i="24"/>
  <c r="X22" i="37" s="1"/>
  <c r="T22" i="24"/>
  <c r="T22" i="37" s="1"/>
  <c r="S22" i="24"/>
  <c r="S22" i="37" s="1"/>
  <c r="Q22" i="24"/>
  <c r="Q22" i="37" s="1"/>
  <c r="P22" i="24"/>
  <c r="P22" i="37" s="1"/>
  <c r="Z21" i="24"/>
  <c r="Z21" i="37" s="1"/>
  <c r="X21" i="24"/>
  <c r="X21" i="37" s="1"/>
  <c r="T21" i="24"/>
  <c r="T21" i="37" s="1"/>
  <c r="S21" i="24"/>
  <c r="S21" i="37" s="1"/>
  <c r="Q21" i="24"/>
  <c r="Q21" i="37" s="1"/>
  <c r="P21" i="24"/>
  <c r="Z20" i="24"/>
  <c r="Z20" i="37" s="1"/>
  <c r="X20" i="24"/>
  <c r="X20" i="37" s="1"/>
  <c r="T20" i="24"/>
  <c r="T20" i="37" s="1"/>
  <c r="S20" i="24"/>
  <c r="S20" i="37" s="1"/>
  <c r="Q20" i="24"/>
  <c r="Q20" i="37" s="1"/>
  <c r="P20" i="24"/>
  <c r="P20" i="37" s="1"/>
  <c r="Z19" i="24"/>
  <c r="Z19" i="37" s="1"/>
  <c r="X19" i="24"/>
  <c r="X19" i="37" s="1"/>
  <c r="T19" i="24"/>
  <c r="T19" i="37" s="1"/>
  <c r="S19" i="24"/>
  <c r="S19" i="37" s="1"/>
  <c r="Q19" i="24"/>
  <c r="Q19" i="37" s="1"/>
  <c r="P19" i="24"/>
  <c r="P19" i="37" s="1"/>
  <c r="Z18" i="24"/>
  <c r="Z18" i="37" s="1"/>
  <c r="X18" i="24"/>
  <c r="X18" i="37" s="1"/>
  <c r="T18" i="24"/>
  <c r="T18" i="37" s="1"/>
  <c r="S18" i="24"/>
  <c r="S18" i="37" s="1"/>
  <c r="Q18" i="24"/>
  <c r="Q18" i="37" s="1"/>
  <c r="P18" i="24"/>
  <c r="Z17" i="24"/>
  <c r="Z17" i="37" s="1"/>
  <c r="X17" i="24"/>
  <c r="X17" i="37" s="1"/>
  <c r="T17" i="24"/>
  <c r="T17" i="37" s="1"/>
  <c r="S17" i="24"/>
  <c r="S17" i="37" s="1"/>
  <c r="Q17" i="24"/>
  <c r="Q17" i="37" s="1"/>
  <c r="P17" i="24"/>
  <c r="P17" i="37" s="1"/>
  <c r="Z16" i="24"/>
  <c r="Z16" i="37" s="1"/>
  <c r="X16" i="24"/>
  <c r="X16" i="37" s="1"/>
  <c r="T16" i="24"/>
  <c r="T16" i="37" s="1"/>
  <c r="S16" i="24"/>
  <c r="S16" i="37" s="1"/>
  <c r="Q16" i="24"/>
  <c r="Q16" i="37" s="1"/>
  <c r="P16" i="24"/>
  <c r="P16" i="37" s="1"/>
  <c r="Z15" i="24"/>
  <c r="Z15" i="37" s="1"/>
  <c r="X15" i="24"/>
  <c r="X15" i="37" s="1"/>
  <c r="T15" i="24"/>
  <c r="T15" i="37" s="1"/>
  <c r="S15" i="24"/>
  <c r="S15" i="37" s="1"/>
  <c r="Q15" i="24"/>
  <c r="Q15" i="37" s="1"/>
  <c r="P15" i="24"/>
  <c r="P15" i="37" s="1"/>
  <c r="Z14" i="24"/>
  <c r="Z14" i="37" s="1"/>
  <c r="X14" i="24"/>
  <c r="X14" i="37" s="1"/>
  <c r="T14" i="24"/>
  <c r="T14" i="37" s="1"/>
  <c r="S14" i="24"/>
  <c r="S14" i="37" s="1"/>
  <c r="Q14" i="24"/>
  <c r="Q14" i="37" s="1"/>
  <c r="P14" i="24"/>
  <c r="Z13" i="24"/>
  <c r="Z13" i="37" s="1"/>
  <c r="X13" i="24"/>
  <c r="X13" i="37" s="1"/>
  <c r="T13" i="24"/>
  <c r="T13" i="37" s="1"/>
  <c r="S13" i="24"/>
  <c r="S13" i="37" s="1"/>
  <c r="Q13" i="24"/>
  <c r="Q13" i="37" s="1"/>
  <c r="P13" i="24"/>
  <c r="Z12" i="24"/>
  <c r="Z12" i="37" s="1"/>
  <c r="X12" i="24"/>
  <c r="X12" i="37" s="1"/>
  <c r="T12" i="24"/>
  <c r="T12" i="37" s="1"/>
  <c r="S12" i="24"/>
  <c r="S12" i="37" s="1"/>
  <c r="Q12" i="24"/>
  <c r="Q12" i="37" s="1"/>
  <c r="P12" i="24"/>
  <c r="Z11" i="24"/>
  <c r="Z11" i="37" s="1"/>
  <c r="X11" i="24"/>
  <c r="X11" i="37" s="1"/>
  <c r="T11" i="24"/>
  <c r="T11" i="37" s="1"/>
  <c r="S11" i="24"/>
  <c r="S11" i="37" s="1"/>
  <c r="Q11" i="24"/>
  <c r="Q11" i="37" s="1"/>
  <c r="P11" i="24"/>
  <c r="P11" i="37" s="1"/>
  <c r="Z10" i="24"/>
  <c r="Z10" i="37" s="1"/>
  <c r="X10" i="24"/>
  <c r="X10" i="37" s="1"/>
  <c r="T10" i="24"/>
  <c r="T10" i="37" s="1"/>
  <c r="S10" i="24"/>
  <c r="S10" i="37" s="1"/>
  <c r="Q10" i="24"/>
  <c r="Q10" i="37" s="1"/>
  <c r="P10" i="24"/>
  <c r="P10" i="37" s="1"/>
  <c r="Z9" i="24"/>
  <c r="Z9" i="37" s="1"/>
  <c r="X9" i="24"/>
  <c r="X9" i="37" s="1"/>
  <c r="T9" i="24"/>
  <c r="T9" i="37" s="1"/>
  <c r="S9" i="24"/>
  <c r="S9" i="37" s="1"/>
  <c r="Q9" i="24"/>
  <c r="Q9" i="37" s="1"/>
  <c r="P9" i="24"/>
  <c r="P9" i="37" s="1"/>
  <c r="Z8" i="24"/>
  <c r="Z8" i="37" s="1"/>
  <c r="X8" i="24"/>
  <c r="X8" i="37" s="1"/>
  <c r="T8" i="24"/>
  <c r="T8" i="37" s="1"/>
  <c r="S8" i="24"/>
  <c r="S8" i="37" s="1"/>
  <c r="Q8" i="24"/>
  <c r="Q8" i="37" s="1"/>
  <c r="P8" i="24"/>
  <c r="P8" i="37" s="1"/>
  <c r="Z7" i="24"/>
  <c r="Z7" i="37" s="1"/>
  <c r="X7" i="24"/>
  <c r="X7" i="37" s="1"/>
  <c r="T7" i="24"/>
  <c r="T7" i="37" s="1"/>
  <c r="S7" i="24"/>
  <c r="S7" i="37" s="1"/>
  <c r="Q7" i="24"/>
  <c r="Q7" i="37" s="1"/>
  <c r="P7" i="24"/>
  <c r="Z6" i="24"/>
  <c r="Z6" i="37" s="1"/>
  <c r="X6" i="24"/>
  <c r="X6" i="37" s="1"/>
  <c r="T6" i="24"/>
  <c r="T6" i="37" s="1"/>
  <c r="S6" i="24"/>
  <c r="S6" i="37" s="1"/>
  <c r="Q6" i="24"/>
  <c r="Q6" i="37" s="1"/>
  <c r="P6" i="24"/>
  <c r="P6" i="37" s="1"/>
  <c r="Z5" i="24"/>
  <c r="Z5" i="37" s="1"/>
  <c r="X5" i="24"/>
  <c r="X5" i="37" s="1"/>
  <c r="T5" i="24"/>
  <c r="T5" i="37" s="1"/>
  <c r="S5" i="24"/>
  <c r="S5" i="37" s="1"/>
  <c r="Q5" i="24"/>
  <c r="Q5" i="37" s="1"/>
  <c r="P5" i="24"/>
  <c r="P5" i="37" s="1"/>
  <c r="Z4" i="24"/>
  <c r="Z4" i="37" s="1"/>
  <c r="X4" i="24"/>
  <c r="X4" i="37" s="1"/>
  <c r="T4" i="24"/>
  <c r="T4" i="37" s="1"/>
  <c r="S4" i="24"/>
  <c r="S4" i="37" s="1"/>
  <c r="Q4" i="24"/>
  <c r="Q4" i="37" s="1"/>
  <c r="P4" i="24"/>
  <c r="P4" i="37" s="1"/>
  <c r="Z3" i="24"/>
  <c r="Z3" i="37" s="1"/>
  <c r="X3" i="24"/>
  <c r="X3" i="37" s="1"/>
  <c r="T3" i="24"/>
  <c r="T3" i="37" s="1"/>
  <c r="S3" i="24"/>
  <c r="S3" i="37" s="1"/>
  <c r="Q3" i="24"/>
  <c r="Q3" i="37" s="1"/>
  <c r="P3" i="24"/>
  <c r="N47" i="24"/>
  <c r="N46" i="24"/>
  <c r="N45" i="24"/>
  <c r="N44" i="24"/>
  <c r="N43" i="24"/>
  <c r="N42" i="24"/>
  <c r="N41" i="24"/>
  <c r="N40" i="24"/>
  <c r="N39" i="24"/>
  <c r="N38" i="24"/>
  <c r="N37" i="24"/>
  <c r="N36" i="24"/>
  <c r="N35" i="24"/>
  <c r="N34" i="24"/>
  <c r="N33" i="24"/>
  <c r="N32" i="24"/>
  <c r="N31" i="24"/>
  <c r="N30" i="24"/>
  <c r="N29" i="24"/>
  <c r="N28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28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3" i="19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O28" i="17"/>
  <c r="N28" i="17"/>
  <c r="N4" i="17"/>
  <c r="O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O3" i="17"/>
  <c r="N29" i="18"/>
  <c r="O29" i="18"/>
  <c r="N30" i="18"/>
  <c r="O30" i="18"/>
  <c r="N31" i="18"/>
  <c r="O31" i="18"/>
  <c r="N32" i="18"/>
  <c r="O32" i="18"/>
  <c r="N33" i="18"/>
  <c r="O33" i="18"/>
  <c r="N34" i="18"/>
  <c r="O34" i="18"/>
  <c r="N35" i="18"/>
  <c r="O35" i="18"/>
  <c r="N36" i="18"/>
  <c r="O36" i="18"/>
  <c r="N37" i="18"/>
  <c r="O37" i="18"/>
  <c r="N38" i="18"/>
  <c r="O38" i="18"/>
  <c r="N39" i="18"/>
  <c r="O39" i="18"/>
  <c r="N40" i="18"/>
  <c r="O40" i="18"/>
  <c r="N41" i="18"/>
  <c r="O41" i="18"/>
  <c r="N42" i="18"/>
  <c r="O42" i="18"/>
  <c r="N43" i="18"/>
  <c r="O43" i="18"/>
  <c r="N44" i="18"/>
  <c r="O44" i="18"/>
  <c r="N45" i="18"/>
  <c r="O45" i="18"/>
  <c r="N46" i="18"/>
  <c r="O46" i="18"/>
  <c r="N47" i="18"/>
  <c r="O47" i="18"/>
  <c r="O28" i="18"/>
  <c r="N28" i="18"/>
  <c r="N4" i="18"/>
  <c r="O4" i="18"/>
  <c r="N5" i="18"/>
  <c r="O5" i="18"/>
  <c r="N6" i="18"/>
  <c r="O6" i="18"/>
  <c r="N7" i="18"/>
  <c r="O7" i="18"/>
  <c r="N8" i="18"/>
  <c r="O8" i="18"/>
  <c r="N9" i="18"/>
  <c r="O9" i="18"/>
  <c r="N10" i="18"/>
  <c r="O10" i="18"/>
  <c r="N11" i="18"/>
  <c r="O11" i="18"/>
  <c r="N12" i="18"/>
  <c r="O12" i="18"/>
  <c r="N13" i="18"/>
  <c r="O13" i="18"/>
  <c r="N14" i="18"/>
  <c r="O14" i="18"/>
  <c r="N15" i="18"/>
  <c r="O15" i="18"/>
  <c r="N16" i="18"/>
  <c r="O16" i="18"/>
  <c r="N17" i="18"/>
  <c r="O17" i="18"/>
  <c r="N18" i="18"/>
  <c r="O18" i="18"/>
  <c r="N19" i="18"/>
  <c r="O19" i="18"/>
  <c r="N20" i="18"/>
  <c r="O20" i="18"/>
  <c r="N21" i="18"/>
  <c r="O21" i="18"/>
  <c r="N22" i="18"/>
  <c r="O22" i="18"/>
  <c r="N23" i="18"/>
  <c r="O23" i="18"/>
  <c r="N24" i="18"/>
  <c r="O24" i="18"/>
  <c r="O3" i="18"/>
  <c r="N3" i="18"/>
  <c r="AA52" i="17"/>
  <c r="AA35" i="26"/>
  <c r="AA43" i="26"/>
  <c r="AA4" i="26"/>
  <c r="AA6" i="26"/>
  <c r="AA11" i="26"/>
  <c r="AA12" i="26"/>
  <c r="AA19" i="26"/>
  <c r="AA22" i="26"/>
  <c r="AA3" i="26"/>
  <c r="AA51" i="26"/>
  <c r="S29" i="26"/>
  <c r="Z29" i="26"/>
  <c r="AA29" i="26"/>
  <c r="S30" i="26"/>
  <c r="T30" i="26"/>
  <c r="X30" i="26"/>
  <c r="AA30" i="26"/>
  <c r="S31" i="26"/>
  <c r="T31" i="26"/>
  <c r="U31" i="26"/>
  <c r="Y31" i="26" s="1"/>
  <c r="X31" i="26"/>
  <c r="Z31" i="26"/>
  <c r="AA31" i="26"/>
  <c r="T32" i="26"/>
  <c r="X32" i="26"/>
  <c r="Z32" i="26"/>
  <c r="AA32" i="26"/>
  <c r="S33" i="26"/>
  <c r="X33" i="26"/>
  <c r="Z33" i="26"/>
  <c r="AA33" i="26"/>
  <c r="S34" i="26"/>
  <c r="U34" i="26" s="1"/>
  <c r="T34" i="26"/>
  <c r="X34" i="26"/>
  <c r="AA34" i="26"/>
  <c r="S35" i="26"/>
  <c r="T35" i="26"/>
  <c r="U35" i="26" s="1"/>
  <c r="X35" i="26"/>
  <c r="Z35" i="26"/>
  <c r="T36" i="26"/>
  <c r="X36" i="26"/>
  <c r="Z36" i="26"/>
  <c r="AA36" i="26"/>
  <c r="S37" i="26"/>
  <c r="X37" i="26"/>
  <c r="Z37" i="26"/>
  <c r="AA37" i="26"/>
  <c r="S38" i="26"/>
  <c r="U38" i="26" s="1"/>
  <c r="T38" i="26"/>
  <c r="X38" i="26"/>
  <c r="AA38" i="26"/>
  <c r="S39" i="26"/>
  <c r="U39" i="26" s="1"/>
  <c r="T39" i="26"/>
  <c r="X39" i="26"/>
  <c r="Z39" i="26"/>
  <c r="AA39" i="26"/>
  <c r="T40" i="26"/>
  <c r="X40" i="26"/>
  <c r="Z40" i="26"/>
  <c r="AA40" i="26"/>
  <c r="S41" i="26"/>
  <c r="W41" i="26"/>
  <c r="X41" i="26"/>
  <c r="Z41" i="26"/>
  <c r="AA41" i="26"/>
  <c r="S42" i="26"/>
  <c r="T42" i="26"/>
  <c r="U42" i="26"/>
  <c r="X42" i="26"/>
  <c r="Z42" i="26"/>
  <c r="AA42" i="26"/>
  <c r="S43" i="26"/>
  <c r="U43" i="26" s="1"/>
  <c r="T43" i="26"/>
  <c r="X43" i="26"/>
  <c r="Z43" i="26"/>
  <c r="S44" i="26"/>
  <c r="T44" i="26"/>
  <c r="X44" i="26"/>
  <c r="Z44" i="26"/>
  <c r="AA44" i="26"/>
  <c r="AK44" i="26" s="1"/>
  <c r="S45" i="26"/>
  <c r="X45" i="26"/>
  <c r="Z45" i="26"/>
  <c r="AA45" i="26"/>
  <c r="S46" i="26"/>
  <c r="T46" i="26"/>
  <c r="X46" i="26"/>
  <c r="AA46" i="26"/>
  <c r="S47" i="26"/>
  <c r="T47" i="26"/>
  <c r="X47" i="26"/>
  <c r="Z47" i="26"/>
  <c r="AA47" i="26"/>
  <c r="AA28" i="26"/>
  <c r="Z28" i="26"/>
  <c r="X28" i="26"/>
  <c r="T28" i="26"/>
  <c r="S4" i="26"/>
  <c r="T4" i="26"/>
  <c r="X4" i="26"/>
  <c r="Z4" i="26"/>
  <c r="T5" i="26"/>
  <c r="X5" i="26"/>
  <c r="Z5" i="26"/>
  <c r="AA5" i="26"/>
  <c r="S6" i="26"/>
  <c r="Z6" i="26"/>
  <c r="S7" i="26"/>
  <c r="U7" i="26" s="1"/>
  <c r="T7" i="26"/>
  <c r="X7" i="26"/>
  <c r="AA7" i="26"/>
  <c r="S8" i="26"/>
  <c r="U8" i="26" s="1"/>
  <c r="Y8" i="26" s="1"/>
  <c r="T8" i="26"/>
  <c r="X8" i="26"/>
  <c r="Z8" i="26"/>
  <c r="AA8" i="26"/>
  <c r="S9" i="26"/>
  <c r="T9" i="26"/>
  <c r="X9" i="26"/>
  <c r="Z9" i="26"/>
  <c r="AA9" i="26"/>
  <c r="S10" i="26"/>
  <c r="X10" i="26"/>
  <c r="Z10" i="26"/>
  <c r="AA10" i="26"/>
  <c r="S11" i="26"/>
  <c r="T11" i="26"/>
  <c r="U11" i="26"/>
  <c r="X11" i="26"/>
  <c r="Z11" i="26"/>
  <c r="AJ11" i="26" s="1"/>
  <c r="S12" i="26"/>
  <c r="T12" i="26"/>
  <c r="X12" i="26"/>
  <c r="Z12" i="26"/>
  <c r="T13" i="26"/>
  <c r="X13" i="26"/>
  <c r="Z13" i="26"/>
  <c r="AA13" i="26"/>
  <c r="S14" i="26"/>
  <c r="X14" i="26"/>
  <c r="Z14" i="26"/>
  <c r="AA14" i="26"/>
  <c r="S15" i="26"/>
  <c r="T15" i="26"/>
  <c r="U15" i="26" s="1"/>
  <c r="W15" i="26"/>
  <c r="X15" i="26"/>
  <c r="AA15" i="26"/>
  <c r="S16" i="26"/>
  <c r="T16" i="26"/>
  <c r="U16" i="26" s="1"/>
  <c r="Y16" i="26" s="1"/>
  <c r="X16" i="26"/>
  <c r="Z16" i="26"/>
  <c r="AA16" i="26"/>
  <c r="T17" i="26"/>
  <c r="X17" i="26"/>
  <c r="Z17" i="26"/>
  <c r="AA17" i="26"/>
  <c r="S18" i="26"/>
  <c r="Z18" i="26"/>
  <c r="AA18" i="26"/>
  <c r="S19" i="26"/>
  <c r="U19" i="26" s="1"/>
  <c r="Y19" i="26" s="1"/>
  <c r="T19" i="26"/>
  <c r="X19" i="26"/>
  <c r="S20" i="26"/>
  <c r="T20" i="26"/>
  <c r="X20" i="26"/>
  <c r="Z20" i="26"/>
  <c r="AA20" i="26"/>
  <c r="T21" i="26"/>
  <c r="X21" i="26"/>
  <c r="Z21" i="26"/>
  <c r="AA21" i="26"/>
  <c r="S22" i="26"/>
  <c r="Z22" i="26"/>
  <c r="S23" i="26"/>
  <c r="U23" i="26" s="1"/>
  <c r="Y23" i="26" s="1"/>
  <c r="T23" i="26"/>
  <c r="X23" i="26"/>
  <c r="AA23" i="26"/>
  <c r="S24" i="26"/>
  <c r="U24" i="26" s="1"/>
  <c r="Y24" i="26" s="1"/>
  <c r="T24" i="26"/>
  <c r="X24" i="26"/>
  <c r="Z24" i="26"/>
  <c r="AA24" i="26"/>
  <c r="X3" i="26"/>
  <c r="S3" i="26"/>
  <c r="P29" i="26"/>
  <c r="Q29" i="26"/>
  <c r="R29" i="26" s="1"/>
  <c r="P30" i="26"/>
  <c r="Q30" i="26"/>
  <c r="P31" i="26"/>
  <c r="R31" i="26" s="1"/>
  <c r="W31" i="26" s="1"/>
  <c r="Q31" i="26"/>
  <c r="P32" i="26"/>
  <c r="P33" i="26"/>
  <c r="Q33" i="26"/>
  <c r="P34" i="26"/>
  <c r="AK34" i="26" s="1"/>
  <c r="Q34" i="26"/>
  <c r="P35" i="26"/>
  <c r="AJ35" i="26" s="1"/>
  <c r="Q35" i="26"/>
  <c r="P36" i="26"/>
  <c r="AK36" i="26" s="1"/>
  <c r="P37" i="26"/>
  <c r="Q37" i="26"/>
  <c r="P38" i="26"/>
  <c r="AK38" i="26" s="1"/>
  <c r="Q38" i="26"/>
  <c r="P39" i="26"/>
  <c r="AJ39" i="26" s="1"/>
  <c r="Q39" i="26"/>
  <c r="P40" i="26"/>
  <c r="P41" i="26"/>
  <c r="Q41" i="26"/>
  <c r="P42" i="26"/>
  <c r="Q42" i="26"/>
  <c r="P43" i="26"/>
  <c r="AK43" i="26" s="1"/>
  <c r="Q43" i="26"/>
  <c r="P44" i="26"/>
  <c r="P45" i="26"/>
  <c r="Q45" i="26"/>
  <c r="R45" i="26" s="1"/>
  <c r="P46" i="26"/>
  <c r="R46" i="26" s="1"/>
  <c r="W46" i="26" s="1"/>
  <c r="Q46" i="26"/>
  <c r="P47" i="26"/>
  <c r="R47" i="26" s="1"/>
  <c r="W47" i="26" s="1"/>
  <c r="Q47" i="26"/>
  <c r="P28" i="26"/>
  <c r="Q4" i="26"/>
  <c r="P5" i="26"/>
  <c r="P6" i="26"/>
  <c r="Q6" i="26"/>
  <c r="P7" i="26"/>
  <c r="Q7" i="26"/>
  <c r="R7" i="26" s="1"/>
  <c r="W7" i="26" s="1"/>
  <c r="Q8" i="26"/>
  <c r="P9" i="26"/>
  <c r="AJ9" i="26" s="1"/>
  <c r="P10" i="26"/>
  <c r="AK10" i="26" s="1"/>
  <c r="Q10" i="26"/>
  <c r="P11" i="26"/>
  <c r="Q11" i="26"/>
  <c r="R11" i="26" s="1"/>
  <c r="W11" i="26" s="1"/>
  <c r="Q12" i="26"/>
  <c r="P13" i="26"/>
  <c r="P14" i="26"/>
  <c r="Q14" i="26"/>
  <c r="P15" i="26"/>
  <c r="Q15" i="26"/>
  <c r="R15" i="26" s="1"/>
  <c r="Q16" i="26"/>
  <c r="P17" i="26"/>
  <c r="AK17" i="26" s="1"/>
  <c r="P18" i="26"/>
  <c r="Q18" i="26"/>
  <c r="P19" i="26"/>
  <c r="Q19" i="26"/>
  <c r="R19" i="26" s="1"/>
  <c r="W19" i="26" s="1"/>
  <c r="Q20" i="26"/>
  <c r="P21" i="26"/>
  <c r="P22" i="26"/>
  <c r="Q22" i="26"/>
  <c r="P23" i="26"/>
  <c r="Q23" i="26"/>
  <c r="R23" i="26" s="1"/>
  <c r="W23" i="26" s="1"/>
  <c r="Q24" i="26"/>
  <c r="Q3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28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3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28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3" i="26"/>
  <c r="C29" i="26"/>
  <c r="I29" i="26" s="1"/>
  <c r="C30" i="26"/>
  <c r="C31" i="26"/>
  <c r="C32" i="26"/>
  <c r="C33" i="26"/>
  <c r="C49" i="26" s="1"/>
  <c r="C34" i="26"/>
  <c r="C35" i="26"/>
  <c r="I35" i="26" s="1"/>
  <c r="C36" i="26"/>
  <c r="C37" i="26"/>
  <c r="C38" i="26"/>
  <c r="C39" i="26"/>
  <c r="C40" i="26"/>
  <c r="C41" i="26"/>
  <c r="I41" i="26" s="1"/>
  <c r="C42" i="26"/>
  <c r="C43" i="26"/>
  <c r="I43" i="26" s="1"/>
  <c r="C44" i="26"/>
  <c r="C45" i="26"/>
  <c r="C46" i="26"/>
  <c r="C47" i="26"/>
  <c r="C28" i="26"/>
  <c r="C4" i="26"/>
  <c r="C26" i="26" s="1"/>
  <c r="C5" i="26"/>
  <c r="C6" i="26"/>
  <c r="C7" i="26"/>
  <c r="C8" i="26"/>
  <c r="C9" i="26"/>
  <c r="C10" i="26"/>
  <c r="I10" i="26" s="1"/>
  <c r="C11" i="26"/>
  <c r="C12" i="26"/>
  <c r="I12" i="26" s="1"/>
  <c r="C13" i="26"/>
  <c r="C14" i="26"/>
  <c r="C15" i="26"/>
  <c r="I15" i="26" s="1"/>
  <c r="C16" i="26"/>
  <c r="I16" i="26" s="1"/>
  <c r="C17" i="26"/>
  <c r="C18" i="26"/>
  <c r="I18" i="26" s="1"/>
  <c r="C19" i="26"/>
  <c r="C20" i="26"/>
  <c r="C21" i="26"/>
  <c r="I21" i="26" s="1"/>
  <c r="C22" i="26"/>
  <c r="C23" i="26"/>
  <c r="C24" i="26"/>
  <c r="C3" i="26"/>
  <c r="K60" i="26"/>
  <c r="I60" i="26"/>
  <c r="K58" i="26"/>
  <c r="I58" i="26"/>
  <c r="J51" i="26"/>
  <c r="G51" i="26"/>
  <c r="F51" i="26"/>
  <c r="E51" i="26"/>
  <c r="D51" i="26"/>
  <c r="AC49" i="26"/>
  <c r="AB49" i="26"/>
  <c r="AH47" i="26"/>
  <c r="I47" i="26"/>
  <c r="AH46" i="26"/>
  <c r="I46" i="26"/>
  <c r="AH45" i="26"/>
  <c r="I45" i="26"/>
  <c r="AH44" i="26"/>
  <c r="I44" i="26"/>
  <c r="AH43" i="26"/>
  <c r="AH42" i="26"/>
  <c r="I42" i="26"/>
  <c r="AH41" i="26"/>
  <c r="R41" i="26"/>
  <c r="AH40" i="26"/>
  <c r="I40" i="26"/>
  <c r="AK39" i="26"/>
  <c r="AH39" i="26"/>
  <c r="I39" i="26"/>
  <c r="AH38" i="26"/>
  <c r="I38" i="26"/>
  <c r="AK37" i="26"/>
  <c r="AH37" i="26"/>
  <c r="R37" i="26"/>
  <c r="W37" i="26" s="1"/>
  <c r="I37" i="26"/>
  <c r="AH36" i="26"/>
  <c r="I36" i="26"/>
  <c r="AH35" i="26"/>
  <c r="AH34" i="26"/>
  <c r="R34" i="26"/>
  <c r="W34" i="26" s="1"/>
  <c r="I34" i="26"/>
  <c r="AH33" i="26"/>
  <c r="AH32" i="26"/>
  <c r="I32" i="26"/>
  <c r="AK31" i="26"/>
  <c r="AH31" i="26"/>
  <c r="I31" i="26"/>
  <c r="AH30" i="26"/>
  <c r="R30" i="26"/>
  <c r="W30" i="26" s="1"/>
  <c r="AK30" i="26"/>
  <c r="I30" i="26"/>
  <c r="AH29" i="26"/>
  <c r="AK29" i="26"/>
  <c r="AH28" i="26"/>
  <c r="I28" i="26"/>
  <c r="AC26" i="26"/>
  <c r="AC51" i="26" s="1"/>
  <c r="AB26" i="26"/>
  <c r="AH24" i="26"/>
  <c r="I24" i="26"/>
  <c r="AH23" i="26"/>
  <c r="I23" i="26"/>
  <c r="AH22" i="26"/>
  <c r="I22" i="26"/>
  <c r="AK21" i="26"/>
  <c r="AH21" i="26"/>
  <c r="AH20" i="26"/>
  <c r="I20" i="26"/>
  <c r="AK19" i="26"/>
  <c r="AH19" i="26"/>
  <c r="I19" i="26"/>
  <c r="AH18" i="26"/>
  <c r="AH17" i="26"/>
  <c r="I17" i="26"/>
  <c r="AH16" i="26"/>
  <c r="AH15" i="26"/>
  <c r="AK15" i="26"/>
  <c r="AH14" i="26"/>
  <c r="I14" i="26"/>
  <c r="AJ13" i="26"/>
  <c r="AH13" i="26"/>
  <c r="I13" i="26"/>
  <c r="AH12" i="26"/>
  <c r="AK11" i="26"/>
  <c r="AH11" i="26"/>
  <c r="AD11" i="26"/>
  <c r="I11" i="26"/>
  <c r="AH10" i="26"/>
  <c r="AH9" i="26"/>
  <c r="I9" i="26"/>
  <c r="AH8" i="26"/>
  <c r="I8" i="26"/>
  <c r="AH7" i="26"/>
  <c r="I7" i="26"/>
  <c r="AH6" i="26"/>
  <c r="AJ6" i="26"/>
  <c r="I6" i="26"/>
  <c r="AH5" i="26"/>
  <c r="I5" i="26"/>
  <c r="AH4" i="26"/>
  <c r="I4" i="26"/>
  <c r="AH3" i="26"/>
  <c r="AH25" i="26" s="1"/>
  <c r="I3" i="26"/>
  <c r="J50" i="25"/>
  <c r="K45" i="25" s="1"/>
  <c r="K36" i="25"/>
  <c r="K32" i="25"/>
  <c r="K31" i="25"/>
  <c r="K30" i="25"/>
  <c r="J26" i="25"/>
  <c r="K22" i="25" s="1"/>
  <c r="K10" i="25"/>
  <c r="K9" i="25"/>
  <c r="K8" i="25"/>
  <c r="K7" i="25"/>
  <c r="K6" i="25"/>
  <c r="K5" i="25"/>
  <c r="K4" i="25"/>
  <c r="K60" i="24"/>
  <c r="I60" i="24"/>
  <c r="K58" i="24"/>
  <c r="I58" i="24"/>
  <c r="J51" i="24"/>
  <c r="G51" i="24"/>
  <c r="F51" i="24"/>
  <c r="E51" i="24"/>
  <c r="D51" i="24"/>
  <c r="AA50" i="24"/>
  <c r="AA50" i="37" s="1"/>
  <c r="AC49" i="24"/>
  <c r="AB49" i="24"/>
  <c r="K49" i="24"/>
  <c r="C49" i="24"/>
  <c r="AH47" i="24"/>
  <c r="I47" i="24"/>
  <c r="AH46" i="24"/>
  <c r="I46" i="24"/>
  <c r="AH45" i="24"/>
  <c r="I45" i="24"/>
  <c r="AH44" i="24"/>
  <c r="I44" i="24"/>
  <c r="AH43" i="24"/>
  <c r="I43" i="24"/>
  <c r="AH42" i="24"/>
  <c r="I42" i="24"/>
  <c r="AH41" i="24"/>
  <c r="I41" i="24"/>
  <c r="AH40" i="24"/>
  <c r="I40" i="24"/>
  <c r="AH39" i="24"/>
  <c r="I39" i="24"/>
  <c r="AH38" i="24"/>
  <c r="I38" i="24"/>
  <c r="AH37" i="24"/>
  <c r="I37" i="24"/>
  <c r="AH36" i="24"/>
  <c r="I36" i="24"/>
  <c r="AH35" i="24"/>
  <c r="I35" i="24"/>
  <c r="AH34" i="24"/>
  <c r="I34" i="24"/>
  <c r="AH33" i="24"/>
  <c r="I33" i="24"/>
  <c r="AH32" i="24"/>
  <c r="I32" i="24"/>
  <c r="AH31" i="24"/>
  <c r="I31" i="24"/>
  <c r="AH30" i="24"/>
  <c r="I30" i="24"/>
  <c r="AH29" i="24"/>
  <c r="I29" i="24"/>
  <c r="AH28" i="24"/>
  <c r="I28" i="24"/>
  <c r="AA27" i="24"/>
  <c r="AC26" i="24"/>
  <c r="AC51" i="24" s="1"/>
  <c r="AB26" i="24"/>
  <c r="K26" i="24"/>
  <c r="K51" i="24" s="1"/>
  <c r="C26" i="24"/>
  <c r="C51" i="24" s="1"/>
  <c r="AH24" i="24"/>
  <c r="I24" i="24"/>
  <c r="AH23" i="24"/>
  <c r="I23" i="24"/>
  <c r="AH22" i="24"/>
  <c r="I22" i="24"/>
  <c r="AH21" i="24"/>
  <c r="I21" i="24"/>
  <c r="AH20" i="24"/>
  <c r="I20" i="24"/>
  <c r="AH19" i="24"/>
  <c r="I19" i="24"/>
  <c r="AH18" i="24"/>
  <c r="I18" i="24"/>
  <c r="AH17" i="24"/>
  <c r="I17" i="24"/>
  <c r="AH16" i="24"/>
  <c r="I16" i="24"/>
  <c r="AH15" i="24"/>
  <c r="I15" i="24"/>
  <c r="AH14" i="24"/>
  <c r="I14" i="24"/>
  <c r="AH13" i="24"/>
  <c r="I13" i="24"/>
  <c r="AH12" i="24"/>
  <c r="I12" i="24"/>
  <c r="AH11" i="24"/>
  <c r="I11" i="24"/>
  <c r="AH10" i="24"/>
  <c r="I10" i="24"/>
  <c r="AH9" i="24"/>
  <c r="I9" i="24"/>
  <c r="AH8" i="24"/>
  <c r="I8" i="24"/>
  <c r="AH7" i="24"/>
  <c r="I7" i="24"/>
  <c r="AH6" i="24"/>
  <c r="I6" i="24"/>
  <c r="AH5" i="24"/>
  <c r="I5" i="24"/>
  <c r="AH4" i="24"/>
  <c r="I4" i="24"/>
  <c r="AH3" i="24"/>
  <c r="I3" i="24"/>
  <c r="W23" i="6"/>
  <c r="V23" i="6"/>
  <c r="U23" i="6"/>
  <c r="T23" i="6"/>
  <c r="S23" i="6"/>
  <c r="R23" i="6"/>
  <c r="P23" i="6"/>
  <c r="O23" i="6"/>
  <c r="N23" i="6"/>
  <c r="AA49" i="34" l="1"/>
  <c r="AA52" i="34" s="1"/>
  <c r="AK51" i="34" s="1"/>
  <c r="AA49" i="35"/>
  <c r="AA52" i="35" s="1"/>
  <c r="AK51" i="35" s="1"/>
  <c r="AA49" i="33"/>
  <c r="AA52" i="33" s="1"/>
  <c r="AK51" i="33" s="1"/>
  <c r="W45" i="36"/>
  <c r="O45" i="36"/>
  <c r="AI45" i="36"/>
  <c r="V33" i="6"/>
  <c r="U33" i="6"/>
  <c r="M33" i="6"/>
  <c r="L33" i="6"/>
  <c r="D18" i="6"/>
  <c r="AE18" i="6"/>
  <c r="F12" i="39"/>
  <c r="E13" i="39"/>
  <c r="M12" i="39"/>
  <c r="G12" i="39" s="1"/>
  <c r="L13" i="39"/>
  <c r="F35" i="39"/>
  <c r="E36" i="39"/>
  <c r="M35" i="39"/>
  <c r="G35" i="39" s="1"/>
  <c r="L36" i="39"/>
  <c r="Y43" i="36"/>
  <c r="Y24" i="36"/>
  <c r="Y20" i="36"/>
  <c r="Y22" i="36"/>
  <c r="Y23" i="36"/>
  <c r="Y7" i="36"/>
  <c r="Y16" i="36"/>
  <c r="Y44" i="36"/>
  <c r="Y39" i="36"/>
  <c r="Y4" i="36"/>
  <c r="Y35" i="36"/>
  <c r="Y5" i="36"/>
  <c r="Y19" i="36"/>
  <c r="Y38" i="36"/>
  <c r="Y32" i="36"/>
  <c r="Y6" i="36"/>
  <c r="Y3" i="36"/>
  <c r="Y36" i="36"/>
  <c r="Y47" i="36"/>
  <c r="Y31" i="36"/>
  <c r="AD15" i="6"/>
  <c r="O12" i="36"/>
  <c r="AG12" i="36"/>
  <c r="AM12" i="36" s="1"/>
  <c r="K17" i="25"/>
  <c r="K11" i="25"/>
  <c r="K12" i="25"/>
  <c r="K13" i="25"/>
  <c r="K14" i="25"/>
  <c r="K26" i="25" s="1"/>
  <c r="K15" i="25"/>
  <c r="K38" i="25"/>
  <c r="K34" i="25"/>
  <c r="K40" i="25"/>
  <c r="K35" i="25"/>
  <c r="K33" i="25"/>
  <c r="K43" i="25"/>
  <c r="K46" i="25"/>
  <c r="K47" i="25"/>
  <c r="K39" i="25"/>
  <c r="K41" i="25"/>
  <c r="K42" i="25"/>
  <c r="K48" i="25"/>
  <c r="K49" i="25"/>
  <c r="K37" i="25"/>
  <c r="K50" i="25" s="1"/>
  <c r="K44" i="25"/>
  <c r="K23" i="25"/>
  <c r="K24" i="25"/>
  <c r="K18" i="25"/>
  <c r="K20" i="25"/>
  <c r="K25" i="25"/>
  <c r="K19" i="25"/>
  <c r="K21" i="25"/>
  <c r="K16" i="25"/>
  <c r="AA53" i="24"/>
  <c r="AA27" i="37"/>
  <c r="AA53" i="37" s="1"/>
  <c r="I49" i="24"/>
  <c r="L60" i="24"/>
  <c r="L58" i="24"/>
  <c r="Y18" i="36"/>
  <c r="AI12" i="36"/>
  <c r="Y10" i="36"/>
  <c r="AI40" i="36"/>
  <c r="AG44" i="36"/>
  <c r="AM44" i="36" s="1"/>
  <c r="O44" i="36"/>
  <c r="W44" i="36"/>
  <c r="Y42" i="36"/>
  <c r="Y40" i="36"/>
  <c r="M5" i="38"/>
  <c r="G5" i="38" s="1"/>
  <c r="L6" i="38"/>
  <c r="F31" i="38"/>
  <c r="E32" i="38"/>
  <c r="M31" i="38"/>
  <c r="L32" i="38"/>
  <c r="E5" i="38"/>
  <c r="AG32" i="36"/>
  <c r="AM32" i="36" s="1"/>
  <c r="O32" i="36"/>
  <c r="W32" i="36"/>
  <c r="O36" i="36"/>
  <c r="AG36" i="36"/>
  <c r="AM36" i="36" s="1"/>
  <c r="W36" i="36"/>
  <c r="AI4" i="36"/>
  <c r="O4" i="36"/>
  <c r="AG4" i="36"/>
  <c r="AM4" i="36" s="1"/>
  <c r="AG20" i="36"/>
  <c r="AM20" i="36" s="1"/>
  <c r="AI20" i="36"/>
  <c r="U5" i="37"/>
  <c r="U9" i="37"/>
  <c r="U13" i="37"/>
  <c r="U21" i="37"/>
  <c r="U40" i="37"/>
  <c r="U6" i="37"/>
  <c r="U41" i="37"/>
  <c r="U45" i="37"/>
  <c r="W20" i="36"/>
  <c r="Z49" i="37"/>
  <c r="U7" i="37"/>
  <c r="U11" i="37"/>
  <c r="U15" i="37"/>
  <c r="AG22" i="36"/>
  <c r="AM22" i="36" s="1"/>
  <c r="W22" i="36"/>
  <c r="O22" i="36"/>
  <c r="Y34" i="36"/>
  <c r="U17" i="37"/>
  <c r="U19" i="37"/>
  <c r="U10" i="37"/>
  <c r="U14" i="37"/>
  <c r="U22" i="37"/>
  <c r="U29" i="37"/>
  <c r="Z26" i="37"/>
  <c r="U32" i="37"/>
  <c r="U44" i="37"/>
  <c r="X49" i="37"/>
  <c r="X26" i="37"/>
  <c r="U23" i="37"/>
  <c r="U30" i="37"/>
  <c r="U34" i="37"/>
  <c r="U38" i="37"/>
  <c r="U42" i="37"/>
  <c r="U46" i="37"/>
  <c r="U18" i="37"/>
  <c r="U33" i="37"/>
  <c r="U37" i="37"/>
  <c r="Q49" i="37"/>
  <c r="U36" i="37"/>
  <c r="T49" i="37"/>
  <c r="T26" i="37"/>
  <c r="U4" i="37"/>
  <c r="U8" i="37"/>
  <c r="U12" i="37"/>
  <c r="U16" i="37"/>
  <c r="U20" i="37"/>
  <c r="U24" i="37"/>
  <c r="U31" i="37"/>
  <c r="U35" i="37"/>
  <c r="U39" i="37"/>
  <c r="U43" i="37"/>
  <c r="U47" i="37"/>
  <c r="S49" i="37"/>
  <c r="U28" i="37"/>
  <c r="S26" i="37"/>
  <c r="U3" i="37"/>
  <c r="W28" i="36"/>
  <c r="Q26" i="37"/>
  <c r="AJ6" i="37"/>
  <c r="AK6" i="37"/>
  <c r="R6" i="37"/>
  <c r="AG28" i="36"/>
  <c r="AM28" i="36" s="1"/>
  <c r="AJ4" i="37"/>
  <c r="AK4" i="37"/>
  <c r="R4" i="37"/>
  <c r="AJ8" i="37"/>
  <c r="AK8" i="37"/>
  <c r="R8" i="37"/>
  <c r="AK12" i="24"/>
  <c r="P12" i="37"/>
  <c r="AJ16" i="37"/>
  <c r="AK16" i="37"/>
  <c r="R16" i="37"/>
  <c r="R20" i="37"/>
  <c r="AK20" i="37"/>
  <c r="AJ20" i="37"/>
  <c r="AK24" i="24"/>
  <c r="P24" i="37"/>
  <c r="AK31" i="24"/>
  <c r="P31" i="37"/>
  <c r="AK35" i="24"/>
  <c r="P35" i="37"/>
  <c r="AK39" i="37"/>
  <c r="AJ39" i="37"/>
  <c r="R39" i="37"/>
  <c r="AK43" i="24"/>
  <c r="P43" i="37"/>
  <c r="AK47" i="24"/>
  <c r="P47" i="37"/>
  <c r="O28" i="36"/>
  <c r="AK3" i="24"/>
  <c r="P3" i="37"/>
  <c r="AK7" i="24"/>
  <c r="P7" i="37"/>
  <c r="AK11" i="37"/>
  <c r="R11" i="37"/>
  <c r="AJ11" i="37"/>
  <c r="AK15" i="37"/>
  <c r="R15" i="37"/>
  <c r="AJ15" i="37"/>
  <c r="AJ19" i="37"/>
  <c r="AK19" i="37"/>
  <c r="R19" i="37"/>
  <c r="AJ23" i="37"/>
  <c r="AK23" i="37"/>
  <c r="R23" i="37"/>
  <c r="AK30" i="24"/>
  <c r="P30" i="37"/>
  <c r="AJ34" i="37"/>
  <c r="AK34" i="37"/>
  <c r="R34" i="37"/>
  <c r="AK38" i="24"/>
  <c r="P38" i="37"/>
  <c r="AJ42" i="37"/>
  <c r="AK42" i="37"/>
  <c r="R42" i="37"/>
  <c r="AJ46" i="37"/>
  <c r="AK46" i="37"/>
  <c r="R46" i="37"/>
  <c r="Y41" i="36"/>
  <c r="AK22" i="37"/>
  <c r="AJ22" i="37"/>
  <c r="R22" i="37"/>
  <c r="AK37" i="24"/>
  <c r="P37" i="37"/>
  <c r="AK41" i="37"/>
  <c r="AJ41" i="37"/>
  <c r="R41" i="37"/>
  <c r="AJ10" i="37"/>
  <c r="AK10" i="37"/>
  <c r="R10" i="37"/>
  <c r="AK14" i="24"/>
  <c r="P14" i="37"/>
  <c r="AK18" i="24"/>
  <c r="P18" i="37"/>
  <c r="AK29" i="37"/>
  <c r="AJ29" i="37"/>
  <c r="R29" i="37"/>
  <c r="AK33" i="24"/>
  <c r="P33" i="37"/>
  <c r="AK45" i="37"/>
  <c r="AJ45" i="37"/>
  <c r="R45" i="37"/>
  <c r="AK5" i="37"/>
  <c r="R5" i="37"/>
  <c r="AJ5" i="37"/>
  <c r="AK9" i="37"/>
  <c r="R9" i="37"/>
  <c r="AJ9" i="37"/>
  <c r="AK13" i="24"/>
  <c r="P13" i="37"/>
  <c r="AK17" i="37"/>
  <c r="AJ17" i="37"/>
  <c r="R17" i="37"/>
  <c r="AK21" i="24"/>
  <c r="P21" i="37"/>
  <c r="AK28" i="24"/>
  <c r="P28" i="37"/>
  <c r="AK32" i="24"/>
  <c r="P32" i="37"/>
  <c r="AK36" i="24"/>
  <c r="P36" i="37"/>
  <c r="AK40" i="24"/>
  <c r="P40" i="37"/>
  <c r="AK44" i="24"/>
  <c r="P44" i="37"/>
  <c r="Y12" i="36"/>
  <c r="Y8" i="36"/>
  <c r="Y11" i="36"/>
  <c r="AG35" i="36"/>
  <c r="AM35" i="36" s="1"/>
  <c r="AG40" i="36"/>
  <c r="AM40" i="36" s="1"/>
  <c r="O40" i="36"/>
  <c r="O21" i="36"/>
  <c r="O11" i="36"/>
  <c r="W11" i="36"/>
  <c r="AI21" i="36"/>
  <c r="AI41" i="36"/>
  <c r="W21" i="36"/>
  <c r="Z51" i="36"/>
  <c r="W38" i="36"/>
  <c r="W31" i="36"/>
  <c r="W6" i="36"/>
  <c r="AG38" i="36"/>
  <c r="AM38" i="36" s="1"/>
  <c r="O38" i="36"/>
  <c r="W15" i="36"/>
  <c r="O17" i="36"/>
  <c r="AI6" i="36"/>
  <c r="W34" i="36"/>
  <c r="O39" i="36"/>
  <c r="O15" i="36"/>
  <c r="AI35" i="36"/>
  <c r="AG17" i="36"/>
  <c r="AM17" i="36" s="1"/>
  <c r="AI3" i="36"/>
  <c r="O23" i="36"/>
  <c r="AI15" i="36"/>
  <c r="O35" i="36"/>
  <c r="W17" i="36"/>
  <c r="AG24" i="36"/>
  <c r="AM24" i="36" s="1"/>
  <c r="AG39" i="36"/>
  <c r="AM39" i="36" s="1"/>
  <c r="O31" i="36"/>
  <c r="AG34" i="36"/>
  <c r="AM34" i="36" s="1"/>
  <c r="AG23" i="36"/>
  <c r="AM23" i="36" s="1"/>
  <c r="Y13" i="36"/>
  <c r="AG11" i="36"/>
  <c r="AM11" i="36" s="1"/>
  <c r="Y15" i="36"/>
  <c r="AI34" i="36"/>
  <c r="W23" i="36"/>
  <c r="O19" i="36"/>
  <c r="AG7" i="36"/>
  <c r="AM7" i="36" s="1"/>
  <c r="O29" i="36"/>
  <c r="AI24" i="36"/>
  <c r="AI29" i="36"/>
  <c r="W10" i="36"/>
  <c r="AG6" i="36"/>
  <c r="AM6" i="36" s="1"/>
  <c r="AG43" i="36"/>
  <c r="AM43" i="36" s="1"/>
  <c r="W24" i="36"/>
  <c r="W18" i="36"/>
  <c r="W29" i="36"/>
  <c r="O33" i="36"/>
  <c r="AI19" i="36"/>
  <c r="Y28" i="36"/>
  <c r="O8" i="36"/>
  <c r="Y21" i="36"/>
  <c r="AG31" i="36"/>
  <c r="AM31" i="36" s="1"/>
  <c r="W41" i="36"/>
  <c r="W19" i="36"/>
  <c r="O41" i="36"/>
  <c r="AG8" i="36"/>
  <c r="AM8" i="36" s="1"/>
  <c r="W8" i="36"/>
  <c r="AI18" i="36"/>
  <c r="AG46" i="36"/>
  <c r="AM46" i="36" s="1"/>
  <c r="U26" i="36"/>
  <c r="Y26" i="36" s="1"/>
  <c r="O5" i="36"/>
  <c r="AG18" i="36"/>
  <c r="AM18" i="36" s="1"/>
  <c r="AK25" i="36"/>
  <c r="AI5" i="36"/>
  <c r="Y14" i="36"/>
  <c r="W5" i="36"/>
  <c r="AG14" i="36"/>
  <c r="AM14" i="36" s="1"/>
  <c r="X51" i="36"/>
  <c r="AI14" i="36"/>
  <c r="W14" i="36"/>
  <c r="AG47" i="36"/>
  <c r="AM47" i="36" s="1"/>
  <c r="AI33" i="36"/>
  <c r="AG13" i="36"/>
  <c r="AM13" i="36" s="1"/>
  <c r="W37" i="36"/>
  <c r="O43" i="36"/>
  <c r="W33" i="36"/>
  <c r="AJ25" i="36"/>
  <c r="O37" i="36"/>
  <c r="W43" i="36"/>
  <c r="O13" i="36"/>
  <c r="T51" i="36"/>
  <c r="AI16" i="36"/>
  <c r="O7" i="36"/>
  <c r="W16" i="36"/>
  <c r="W9" i="36"/>
  <c r="O16" i="36"/>
  <c r="O10" i="36"/>
  <c r="AJ48" i="36"/>
  <c r="AG9" i="36"/>
  <c r="AM9" i="36" s="1"/>
  <c r="W7" i="36"/>
  <c r="AG10" i="36"/>
  <c r="AM10" i="36" s="1"/>
  <c r="W3" i="36"/>
  <c r="O3" i="36"/>
  <c r="AI37" i="36"/>
  <c r="W39" i="36"/>
  <c r="AG42" i="36"/>
  <c r="AM42" i="36" s="1"/>
  <c r="AI13" i="36"/>
  <c r="P51" i="36"/>
  <c r="AA49" i="36" s="1"/>
  <c r="W46" i="36"/>
  <c r="AI46" i="36"/>
  <c r="O9" i="36"/>
  <c r="W42" i="36"/>
  <c r="O47" i="36"/>
  <c r="W47" i="36"/>
  <c r="R26" i="36"/>
  <c r="AI42" i="36"/>
  <c r="U49" i="36"/>
  <c r="AI30" i="36"/>
  <c r="R49" i="36"/>
  <c r="AG30" i="36"/>
  <c r="AM30" i="36" s="1"/>
  <c r="Y33" i="36"/>
  <c r="S51" i="36"/>
  <c r="W30" i="36"/>
  <c r="Q51" i="36"/>
  <c r="Y49" i="35"/>
  <c r="U51" i="35"/>
  <c r="AE1" i="35" s="1"/>
  <c r="R51" i="35"/>
  <c r="AI48" i="35"/>
  <c r="W26" i="35"/>
  <c r="AG48" i="35"/>
  <c r="AI25" i="35"/>
  <c r="AG25" i="35"/>
  <c r="AM3" i="35"/>
  <c r="AM25" i="35" s="1"/>
  <c r="W49" i="35"/>
  <c r="AM48" i="35"/>
  <c r="Y49" i="34"/>
  <c r="U51" i="34"/>
  <c r="AE1" i="34" s="1"/>
  <c r="Y26" i="34"/>
  <c r="AI48" i="34"/>
  <c r="AI25" i="34"/>
  <c r="AG25" i="34"/>
  <c r="W49" i="34"/>
  <c r="R51" i="33"/>
  <c r="R51" i="34"/>
  <c r="AG48" i="34"/>
  <c r="AM28" i="34"/>
  <c r="AM48" i="34" s="1"/>
  <c r="W26" i="34"/>
  <c r="AM25" i="34"/>
  <c r="Y49" i="33"/>
  <c r="AI25" i="33"/>
  <c r="AG48" i="33"/>
  <c r="AM28" i="33"/>
  <c r="AM48" i="33" s="1"/>
  <c r="U51" i="33"/>
  <c r="AE1" i="33" s="1"/>
  <c r="Y26" i="33"/>
  <c r="W49" i="33"/>
  <c r="AI48" i="33"/>
  <c r="AM25" i="33"/>
  <c r="AG25" i="33"/>
  <c r="W26" i="33"/>
  <c r="AA26" i="28"/>
  <c r="R51" i="28"/>
  <c r="Y49" i="28"/>
  <c r="W49" i="28"/>
  <c r="K18" i="6" s="1"/>
  <c r="AI48" i="28"/>
  <c r="U51" i="28"/>
  <c r="Y26" i="28"/>
  <c r="W26" i="28"/>
  <c r="K17" i="6" s="1"/>
  <c r="AI25" i="28"/>
  <c r="AG25" i="28"/>
  <c r="AG48" i="28"/>
  <c r="AM28" i="28"/>
  <c r="R45" i="24"/>
  <c r="O45" i="24" s="1"/>
  <c r="U42" i="24"/>
  <c r="U46" i="24"/>
  <c r="U12" i="24"/>
  <c r="Y12" i="24" s="1"/>
  <c r="U16" i="24"/>
  <c r="Y16" i="24" s="1"/>
  <c r="U24" i="24"/>
  <c r="U31" i="24"/>
  <c r="U37" i="24"/>
  <c r="U30" i="24"/>
  <c r="U34" i="24"/>
  <c r="Y34" i="24" s="1"/>
  <c r="R37" i="24"/>
  <c r="AG37" i="24" s="1"/>
  <c r="U38" i="24"/>
  <c r="R41" i="24"/>
  <c r="O41" i="24" s="1"/>
  <c r="AJ21" i="24"/>
  <c r="AJ4" i="24"/>
  <c r="AJ20" i="24"/>
  <c r="U35" i="24"/>
  <c r="U39" i="24"/>
  <c r="Y39" i="24" s="1"/>
  <c r="R42" i="24"/>
  <c r="O42" i="24" s="1"/>
  <c r="U43" i="24"/>
  <c r="R46" i="24"/>
  <c r="O46" i="24" s="1"/>
  <c r="U47" i="24"/>
  <c r="Y47" i="24" s="1"/>
  <c r="S26" i="26"/>
  <c r="AD15" i="26"/>
  <c r="Y15" i="26"/>
  <c r="AG17" i="26"/>
  <c r="AM17" i="26" s="1"/>
  <c r="W17" i="26"/>
  <c r="AJ12" i="26"/>
  <c r="R12" i="26"/>
  <c r="W12" i="26" s="1"/>
  <c r="W45" i="26"/>
  <c r="O45" i="26"/>
  <c r="R4" i="26"/>
  <c r="W4" i="26" s="1"/>
  <c r="AJ4" i="26"/>
  <c r="R5" i="26"/>
  <c r="W5" i="26" s="1"/>
  <c r="P26" i="26"/>
  <c r="R16" i="26"/>
  <c r="W16" i="26" s="1"/>
  <c r="AK16" i="26"/>
  <c r="R24" i="26"/>
  <c r="AK24" i="26"/>
  <c r="AJ24" i="26"/>
  <c r="U22" i="26"/>
  <c r="Y22" i="26" s="1"/>
  <c r="Y7" i="26"/>
  <c r="AD7" i="26"/>
  <c r="AG29" i="26"/>
  <c r="AM29" i="26" s="1"/>
  <c r="W29" i="26"/>
  <c r="U6" i="26"/>
  <c r="Y6" i="26" s="1"/>
  <c r="U9" i="26"/>
  <c r="U44" i="26"/>
  <c r="Y44" i="26" s="1"/>
  <c r="AJ28" i="26"/>
  <c r="AK12" i="26"/>
  <c r="R38" i="24"/>
  <c r="O38" i="24" s="1"/>
  <c r="R43" i="26"/>
  <c r="R44" i="26"/>
  <c r="W44" i="26" s="1"/>
  <c r="R40" i="26"/>
  <c r="W40" i="26" s="1"/>
  <c r="AE40" i="26" s="1"/>
  <c r="AL40" i="26" s="1" a="1"/>
  <c r="AL40" i="26" s="1"/>
  <c r="U18" i="26"/>
  <c r="U12" i="26"/>
  <c r="U47" i="26"/>
  <c r="U29" i="26"/>
  <c r="AK46" i="24"/>
  <c r="R28" i="26"/>
  <c r="R38" i="26"/>
  <c r="W38" i="26" s="1"/>
  <c r="U20" i="26"/>
  <c r="Y20" i="26" s="1"/>
  <c r="U4" i="26"/>
  <c r="U3" i="24"/>
  <c r="Y3" i="24" s="1"/>
  <c r="R6" i="24"/>
  <c r="O6" i="24" s="1"/>
  <c r="U7" i="24"/>
  <c r="Y7" i="24" s="1"/>
  <c r="R10" i="24"/>
  <c r="O10" i="24" s="1"/>
  <c r="U11" i="24"/>
  <c r="Y11" i="24" s="1"/>
  <c r="U19" i="24"/>
  <c r="U23" i="24"/>
  <c r="Y23" i="24" s="1"/>
  <c r="R29" i="24"/>
  <c r="O29" i="24" s="1"/>
  <c r="AJ22" i="26"/>
  <c r="R6" i="26"/>
  <c r="W6" i="26" s="1"/>
  <c r="U30" i="26"/>
  <c r="AK42" i="24"/>
  <c r="AK5" i="26"/>
  <c r="AK9" i="26"/>
  <c r="U37" i="26"/>
  <c r="Y37" i="26" s="1"/>
  <c r="U33" i="26"/>
  <c r="AK6" i="26"/>
  <c r="AK35" i="26"/>
  <c r="AJ17" i="24"/>
  <c r="R14" i="26"/>
  <c r="W14" i="26" s="1"/>
  <c r="U10" i="26"/>
  <c r="AD10" i="26" s="1"/>
  <c r="U45" i="26"/>
  <c r="U41" i="26"/>
  <c r="Y41" i="26" s="1"/>
  <c r="AJ31" i="26"/>
  <c r="AK47" i="26"/>
  <c r="AK14" i="26"/>
  <c r="U46" i="26"/>
  <c r="R18" i="26"/>
  <c r="W18" i="26" s="1"/>
  <c r="AK3" i="26"/>
  <c r="S49" i="24"/>
  <c r="U5" i="24"/>
  <c r="Y5" i="24" s="1"/>
  <c r="R20" i="24"/>
  <c r="O20" i="24" s="1"/>
  <c r="AJ18" i="24"/>
  <c r="AJ33" i="24"/>
  <c r="AJ37" i="24"/>
  <c r="U9" i="24"/>
  <c r="U13" i="24"/>
  <c r="Y13" i="24" s="1"/>
  <c r="R16" i="24"/>
  <c r="O16" i="24" s="1"/>
  <c r="U17" i="24"/>
  <c r="Y17" i="24" s="1"/>
  <c r="R24" i="24"/>
  <c r="O24" i="24" s="1"/>
  <c r="U28" i="24"/>
  <c r="Y28" i="24" s="1"/>
  <c r="U32" i="24"/>
  <c r="Y32" i="24" s="1"/>
  <c r="U40" i="24"/>
  <c r="Y40" i="24" s="1"/>
  <c r="U44" i="24"/>
  <c r="AJ12" i="24"/>
  <c r="AK20" i="24"/>
  <c r="R12" i="24"/>
  <c r="O12" i="24" s="1"/>
  <c r="R31" i="24"/>
  <c r="O31" i="24" s="1"/>
  <c r="R35" i="24"/>
  <c r="O35" i="24" s="1"/>
  <c r="U4" i="24"/>
  <c r="R7" i="24"/>
  <c r="O7" i="24" s="1"/>
  <c r="U8" i="24"/>
  <c r="AK16" i="24"/>
  <c r="AJ16" i="24"/>
  <c r="R17" i="24"/>
  <c r="O17" i="24" s="1"/>
  <c r="AJ19" i="24"/>
  <c r="AJ23" i="24"/>
  <c r="AJ30" i="24"/>
  <c r="T26" i="24"/>
  <c r="Q26" i="24"/>
  <c r="U6" i="24"/>
  <c r="R9" i="24"/>
  <c r="O9" i="24" s="1"/>
  <c r="U10" i="24"/>
  <c r="U14" i="24"/>
  <c r="U18" i="24"/>
  <c r="Y18" i="24" s="1"/>
  <c r="R21" i="24"/>
  <c r="W21" i="24" s="1"/>
  <c r="U22" i="24"/>
  <c r="Y22" i="24" s="1"/>
  <c r="R28" i="24"/>
  <c r="O28" i="24" s="1"/>
  <c r="U29" i="24"/>
  <c r="Y29" i="24" s="1"/>
  <c r="R32" i="24"/>
  <c r="AG32" i="24" s="1"/>
  <c r="AM32" i="24" s="1"/>
  <c r="U33" i="24"/>
  <c r="R36" i="24"/>
  <c r="AG36" i="24" s="1"/>
  <c r="AM36" i="24" s="1"/>
  <c r="R40" i="24"/>
  <c r="O40" i="24" s="1"/>
  <c r="R44" i="24"/>
  <c r="AI44" i="24" s="1"/>
  <c r="U45" i="24"/>
  <c r="U15" i="24"/>
  <c r="Y15" i="24" s="1"/>
  <c r="R5" i="24"/>
  <c r="O5" i="24" s="1"/>
  <c r="AK6" i="24"/>
  <c r="AK10" i="24"/>
  <c r="AJ3" i="24"/>
  <c r="AA50" i="26"/>
  <c r="AA27" i="26"/>
  <c r="Y45" i="26"/>
  <c r="Y36" i="26"/>
  <c r="Y30" i="26"/>
  <c r="Y46" i="26"/>
  <c r="Y33" i="26"/>
  <c r="Y47" i="26"/>
  <c r="Y43" i="26"/>
  <c r="Y38" i="26"/>
  <c r="Y35" i="26"/>
  <c r="Y39" i="26"/>
  <c r="AD29" i="26"/>
  <c r="Y29" i="26"/>
  <c r="Y42" i="26"/>
  <c r="Y34" i="26"/>
  <c r="AD34" i="26"/>
  <c r="Y12" i="26"/>
  <c r="Y21" i="26"/>
  <c r="Y13" i="26"/>
  <c r="Y5" i="26"/>
  <c r="AD17" i="26"/>
  <c r="AE17" i="26" s="1"/>
  <c r="AL17" i="26" s="1" a="1"/>
  <c r="AL17" i="26" s="1"/>
  <c r="Y17" i="26"/>
  <c r="Y9" i="26"/>
  <c r="Y18" i="26"/>
  <c r="Y10" i="26"/>
  <c r="Y4" i="26"/>
  <c r="Y11" i="26"/>
  <c r="AJ36" i="26"/>
  <c r="O23" i="26"/>
  <c r="AJ14" i="26"/>
  <c r="AJ18" i="26"/>
  <c r="Q26" i="26"/>
  <c r="AK18" i="26"/>
  <c r="I33" i="26"/>
  <c r="I49" i="26" s="1"/>
  <c r="C51" i="26"/>
  <c r="I26" i="26"/>
  <c r="L58" i="26"/>
  <c r="L60" i="26"/>
  <c r="K26" i="26"/>
  <c r="AD4" i="26"/>
  <c r="AE4" i="26" s="1"/>
  <c r="AL4" i="26" s="1" a="1"/>
  <c r="AL4" i="26" s="1"/>
  <c r="AD5" i="26"/>
  <c r="AE5" i="26" s="1"/>
  <c r="AL5" i="26" s="1" a="1"/>
  <c r="AL5" i="26" s="1"/>
  <c r="AP5" i="26" s="1"/>
  <c r="AD8" i="26"/>
  <c r="AD9" i="26"/>
  <c r="AE9" i="26" s="1"/>
  <c r="AL9" i="26" s="1" a="1"/>
  <c r="AL9" i="26" s="1"/>
  <c r="AG4" i="26"/>
  <c r="AG7" i="26"/>
  <c r="AI9" i="26"/>
  <c r="O9" i="26"/>
  <c r="U3" i="26"/>
  <c r="AG5" i="26"/>
  <c r="T49" i="26"/>
  <c r="O37" i="26"/>
  <c r="AI37" i="26"/>
  <c r="T26" i="26"/>
  <c r="AG12" i="26"/>
  <c r="O12" i="26"/>
  <c r="AI12" i="26"/>
  <c r="AD13" i="26"/>
  <c r="R10" i="26"/>
  <c r="W10" i="26" s="1"/>
  <c r="AG11" i="26"/>
  <c r="AM11" i="26" s="1"/>
  <c r="AI11" i="26"/>
  <c r="AE11" i="26"/>
  <c r="AL11" i="26" s="1" a="1"/>
  <c r="AL11" i="26" s="1"/>
  <c r="O11" i="26"/>
  <c r="AI5" i="26"/>
  <c r="AI7" i="26"/>
  <c r="R8" i="26"/>
  <c r="W8" i="26" s="1"/>
  <c r="AK8" i="26"/>
  <c r="AJ10" i="26"/>
  <c r="O15" i="26"/>
  <c r="AI15" i="26"/>
  <c r="AG15" i="26"/>
  <c r="AI19" i="26"/>
  <c r="O19" i="26"/>
  <c r="AG19" i="26"/>
  <c r="AM19" i="26" s="1"/>
  <c r="O30" i="26"/>
  <c r="AI30" i="26"/>
  <c r="AG30" i="26"/>
  <c r="AM30" i="26" s="1"/>
  <c r="AI31" i="26"/>
  <c r="O31" i="26"/>
  <c r="AG31" i="26"/>
  <c r="AM31" i="26" s="1"/>
  <c r="R33" i="26"/>
  <c r="W33" i="26" s="1"/>
  <c r="AK33" i="26"/>
  <c r="AJ33" i="26"/>
  <c r="O16" i="26"/>
  <c r="R22" i="26"/>
  <c r="W22" i="26" s="1"/>
  <c r="AK22" i="26"/>
  <c r="AI34" i="26"/>
  <c r="O34" i="26"/>
  <c r="AG34" i="26"/>
  <c r="AM34" i="26" s="1"/>
  <c r="AD35" i="26"/>
  <c r="AD43" i="26"/>
  <c r="AI46" i="26"/>
  <c r="O46" i="26"/>
  <c r="AG46" i="26"/>
  <c r="AJ3" i="26"/>
  <c r="X26" i="26"/>
  <c r="AK4" i="26"/>
  <c r="O5" i="26"/>
  <c r="AD6" i="26"/>
  <c r="AE6" i="26" s="1"/>
  <c r="AL6" i="26" s="1" a="1"/>
  <c r="AL6" i="26" s="1"/>
  <c r="AJ7" i="26"/>
  <c r="O18" i="26"/>
  <c r="AI18" i="26"/>
  <c r="AG18" i="26"/>
  <c r="AD19" i="26"/>
  <c r="AE19" i="26" s="1"/>
  <c r="AL19" i="26" s="1" a="1"/>
  <c r="AL19" i="26" s="1"/>
  <c r="R21" i="26"/>
  <c r="W21" i="26" s="1"/>
  <c r="AJ21" i="26"/>
  <c r="AD22" i="26"/>
  <c r="AD23" i="26"/>
  <c r="AE23" i="26" s="1"/>
  <c r="AL23" i="26" s="1" a="1"/>
  <c r="AL23" i="26" s="1"/>
  <c r="AD31" i="26"/>
  <c r="AE31" i="26" s="1"/>
  <c r="AL31" i="26" s="1" a="1"/>
  <c r="AL31" i="26" s="1"/>
  <c r="AJ5" i="26"/>
  <c r="AI6" i="26"/>
  <c r="O6" i="26"/>
  <c r="AE7" i="26"/>
  <c r="AL7" i="26" s="1" a="1"/>
  <c r="AL7" i="26" s="1"/>
  <c r="AK7" i="26"/>
  <c r="AD16" i="26"/>
  <c r="AE16" i="26" s="1"/>
  <c r="AL16" i="26" s="1" a="1"/>
  <c r="AL16" i="26" s="1"/>
  <c r="O29" i="26"/>
  <c r="AI29" i="26"/>
  <c r="AE29" i="26"/>
  <c r="AL29" i="26" s="1" a="1"/>
  <c r="AL29" i="26" s="1"/>
  <c r="AD30" i="26"/>
  <c r="AE30" i="26" s="1"/>
  <c r="AL30" i="26" s="1" a="1"/>
  <c r="AL30" i="26" s="1"/>
  <c r="AD33" i="26"/>
  <c r="AD41" i="26"/>
  <c r="AE41" i="26" s="1"/>
  <c r="AL41" i="26" s="1" a="1"/>
  <c r="AL41" i="26" s="1"/>
  <c r="R42" i="26"/>
  <c r="W42" i="26" s="1"/>
  <c r="AK42" i="26"/>
  <c r="AJ42" i="26"/>
  <c r="R3" i="26"/>
  <c r="Z26" i="26"/>
  <c r="AE15" i="26"/>
  <c r="AL15" i="26" s="1" a="1"/>
  <c r="AL15" i="26" s="1"/>
  <c r="O17" i="26"/>
  <c r="AI17" i="26"/>
  <c r="AD18" i="26"/>
  <c r="AE18" i="26" s="1"/>
  <c r="AL18" i="26" s="1" a="1"/>
  <c r="AL18" i="26" s="1"/>
  <c r="R20" i="26"/>
  <c r="W20" i="26" s="1"/>
  <c r="AK20" i="26"/>
  <c r="R32" i="26"/>
  <c r="W32" i="26" s="1"/>
  <c r="AK32" i="26"/>
  <c r="AG38" i="26"/>
  <c r="AM38" i="26" s="1"/>
  <c r="O38" i="26"/>
  <c r="AI38" i="26"/>
  <c r="O7" i="26"/>
  <c r="AG9" i="26"/>
  <c r="AI28" i="26"/>
  <c r="AJ32" i="26"/>
  <c r="AD38" i="26"/>
  <c r="AE38" i="26" s="1"/>
  <c r="AL38" i="26" s="1" a="1"/>
  <c r="AL38" i="26" s="1"/>
  <c r="AP38" i="26" s="1"/>
  <c r="AG23" i="26"/>
  <c r="AM23" i="26" s="1"/>
  <c r="AI23" i="26"/>
  <c r="AD36" i="26"/>
  <c r="AD40" i="26"/>
  <c r="S49" i="26"/>
  <c r="S51" i="26" s="1"/>
  <c r="AD45" i="26"/>
  <c r="AK23" i="26"/>
  <c r="K49" i="26"/>
  <c r="AH48" i="26"/>
  <c r="AE34" i="26"/>
  <c r="AL34" i="26" s="1" a="1"/>
  <c r="AL34" i="26" s="1"/>
  <c r="AP34" i="26" s="1"/>
  <c r="R13" i="26"/>
  <c r="W13" i="26" s="1"/>
  <c r="AK13" i="26"/>
  <c r="AJ15" i="26"/>
  <c r="AD21" i="26"/>
  <c r="AD42" i="26"/>
  <c r="AI43" i="26"/>
  <c r="AI44" i="26"/>
  <c r="O44" i="26"/>
  <c r="AG44" i="26"/>
  <c r="AJ16" i="26"/>
  <c r="AJ17" i="26"/>
  <c r="AJ29" i="26"/>
  <c r="R36" i="26"/>
  <c r="W36" i="26" s="1"/>
  <c r="AJ38" i="26"/>
  <c r="AD44" i="26"/>
  <c r="AE44" i="26" s="1"/>
  <c r="AL44" i="26" s="1" a="1"/>
  <c r="AL44" i="26" s="1"/>
  <c r="AD46" i="26"/>
  <c r="AI14" i="26"/>
  <c r="O14" i="26"/>
  <c r="AK28" i="26"/>
  <c r="P49" i="26"/>
  <c r="P51" i="26" s="1"/>
  <c r="AA26" i="26" s="1"/>
  <c r="X49" i="26"/>
  <c r="O40" i="26"/>
  <c r="AI41" i="26"/>
  <c r="O41" i="26"/>
  <c r="AG41" i="26"/>
  <c r="AM41" i="26" s="1"/>
  <c r="AI47" i="26"/>
  <c r="AE47" i="26"/>
  <c r="AL47" i="26" s="1" a="1"/>
  <c r="AL47" i="26" s="1"/>
  <c r="AP47" i="26" s="1"/>
  <c r="O47" i="26"/>
  <c r="AG47" i="26"/>
  <c r="AM47" i="26" s="1"/>
  <c r="Q49" i="26"/>
  <c r="Z49" i="26"/>
  <c r="R35" i="26"/>
  <c r="W35" i="26" s="1"/>
  <c r="AJ37" i="26"/>
  <c r="AG45" i="26"/>
  <c r="AI45" i="26"/>
  <c r="AD47" i="26"/>
  <c r="R39" i="26"/>
  <c r="W39" i="26" s="1"/>
  <c r="AJ45" i="26"/>
  <c r="AJ40" i="26"/>
  <c r="AK45" i="26"/>
  <c r="AK40" i="26"/>
  <c r="AJ43" i="26"/>
  <c r="AJ46" i="26"/>
  <c r="AJ41" i="26"/>
  <c r="AK46" i="26"/>
  <c r="AK41" i="26"/>
  <c r="AJ44" i="26"/>
  <c r="AJ47" i="26"/>
  <c r="L30" i="25"/>
  <c r="M30" i="25" s="1"/>
  <c r="L4" i="25"/>
  <c r="M4" i="25" s="1"/>
  <c r="G4" i="25" s="1"/>
  <c r="AK22" i="24"/>
  <c r="AJ22" i="24"/>
  <c r="R22" i="24"/>
  <c r="O22" i="24" s="1"/>
  <c r="AJ10" i="24"/>
  <c r="U20" i="24"/>
  <c r="R11" i="24"/>
  <c r="O11" i="24" s="1"/>
  <c r="AJ11" i="24"/>
  <c r="AK11" i="24"/>
  <c r="R8" i="24"/>
  <c r="O8" i="24" s="1"/>
  <c r="AK8" i="24"/>
  <c r="AJ14" i="24"/>
  <c r="R14" i="24"/>
  <c r="O14" i="24" s="1"/>
  <c r="AK34" i="24"/>
  <c r="AJ34" i="24"/>
  <c r="R34" i="24"/>
  <c r="O34" i="24" s="1"/>
  <c r="AJ13" i="24"/>
  <c r="R13" i="24"/>
  <c r="O13" i="24" s="1"/>
  <c r="AJ6" i="24"/>
  <c r="X26" i="24"/>
  <c r="P26" i="24"/>
  <c r="R3" i="24"/>
  <c r="O3" i="24" s="1"/>
  <c r="Z26" i="24"/>
  <c r="R4" i="24"/>
  <c r="O4" i="24" s="1"/>
  <c r="AK4" i="24"/>
  <c r="AJ7" i="24"/>
  <c r="R15" i="24"/>
  <c r="O15" i="24" s="1"/>
  <c r="AJ15" i="24"/>
  <c r="AK15" i="24"/>
  <c r="AH25" i="24"/>
  <c r="AJ8" i="24"/>
  <c r="S26" i="24"/>
  <c r="Q49" i="24"/>
  <c r="Z49" i="24"/>
  <c r="AK17" i="24"/>
  <c r="AJ5" i="24"/>
  <c r="AJ9" i="24"/>
  <c r="R18" i="24"/>
  <c r="O18" i="24" s="1"/>
  <c r="AJ24" i="24"/>
  <c r="AJ29" i="24"/>
  <c r="U41" i="24"/>
  <c r="AK5" i="24"/>
  <c r="AK9" i="24"/>
  <c r="AK29" i="24"/>
  <c r="I26" i="24"/>
  <c r="I51" i="24" s="1"/>
  <c r="I59" i="24" s="1"/>
  <c r="J59" i="24" s="1"/>
  <c r="T49" i="24"/>
  <c r="R30" i="24"/>
  <c r="U21" i="24"/>
  <c r="R23" i="24"/>
  <c r="O23" i="24" s="1"/>
  <c r="AK23" i="24"/>
  <c r="AH48" i="24"/>
  <c r="R33" i="24"/>
  <c r="O33" i="24" s="1"/>
  <c r="AJ35" i="24"/>
  <c r="R19" i="24"/>
  <c r="O19" i="24" s="1"/>
  <c r="AK19" i="24"/>
  <c r="AK39" i="24"/>
  <c r="R39" i="24"/>
  <c r="O39" i="24" s="1"/>
  <c r="AJ39" i="24"/>
  <c r="X49" i="24"/>
  <c r="AJ31" i="24"/>
  <c r="U36" i="24"/>
  <c r="AJ28" i="24"/>
  <c r="AJ32" i="24"/>
  <c r="AJ36" i="24"/>
  <c r="AJ40" i="24"/>
  <c r="R43" i="24"/>
  <c r="O43" i="24" s="1"/>
  <c r="AJ44" i="24"/>
  <c r="R47" i="24"/>
  <c r="O47" i="24" s="1"/>
  <c r="P49" i="24"/>
  <c r="AJ41" i="24"/>
  <c r="AJ45" i="24"/>
  <c r="AK41" i="24"/>
  <c r="AK45" i="24"/>
  <c r="AJ38" i="24"/>
  <c r="AJ42" i="24"/>
  <c r="AJ46" i="24"/>
  <c r="AJ43" i="24"/>
  <c r="AJ47" i="24"/>
  <c r="N27" i="6"/>
  <c r="O27" i="6"/>
  <c r="O29" i="6" s="1"/>
  <c r="P27" i="6"/>
  <c r="N28" i="6"/>
  <c r="O28" i="6"/>
  <c r="P28" i="6"/>
  <c r="R28" i="6"/>
  <c r="S28" i="6"/>
  <c r="T28" i="6"/>
  <c r="U28" i="6"/>
  <c r="V28" i="6"/>
  <c r="W28" i="6"/>
  <c r="R27" i="6"/>
  <c r="S27" i="6"/>
  <c r="T27" i="6"/>
  <c r="U27" i="6"/>
  <c r="V27" i="6"/>
  <c r="W27" i="6"/>
  <c r="W29" i="6" s="1"/>
  <c r="N3" i="17"/>
  <c r="AD18" i="34" l="1"/>
  <c r="AE18" i="34" s="1"/>
  <c r="AL18" i="34" s="1" a="1"/>
  <c r="AL18" i="34" s="1"/>
  <c r="AP18" i="34" s="1"/>
  <c r="AD24" i="34"/>
  <c r="AE24" i="34" s="1"/>
  <c r="AL24" i="34" s="1" a="1"/>
  <c r="AL24" i="34" s="1"/>
  <c r="AP24" i="34" s="1"/>
  <c r="AD45" i="34"/>
  <c r="AE45" i="34" s="1"/>
  <c r="AL45" i="34" s="1" a="1"/>
  <c r="AL45" i="34" s="1"/>
  <c r="AN45" i="34" s="1"/>
  <c r="AD28" i="34"/>
  <c r="AD37" i="34"/>
  <c r="AE37" i="34" s="1"/>
  <c r="AL37" i="34" s="1" a="1"/>
  <c r="AL37" i="34" s="1"/>
  <c r="AP37" i="34" s="1"/>
  <c r="AD33" i="34"/>
  <c r="AE33" i="34" s="1"/>
  <c r="AL33" i="34" s="1" a="1"/>
  <c r="AL33" i="34" s="1"/>
  <c r="AN33" i="34" s="1"/>
  <c r="AD9" i="34"/>
  <c r="AE9" i="34" s="1"/>
  <c r="AL9" i="34" s="1" a="1"/>
  <c r="AL9" i="34" s="1"/>
  <c r="AN9" i="34" s="1"/>
  <c r="AD41" i="34"/>
  <c r="AE41" i="34" s="1"/>
  <c r="AL41" i="34" s="1" a="1"/>
  <c r="AL41" i="34" s="1"/>
  <c r="AP41" i="34" s="1"/>
  <c r="AD39" i="34"/>
  <c r="AE39" i="34" s="1"/>
  <c r="AL39" i="34" s="1" a="1"/>
  <c r="AL39" i="34" s="1"/>
  <c r="AP39" i="34" s="1"/>
  <c r="AD5" i="34"/>
  <c r="AE5" i="34" s="1"/>
  <c r="AL5" i="34" s="1" a="1"/>
  <c r="AL5" i="34" s="1"/>
  <c r="AN5" i="34" s="1"/>
  <c r="AD20" i="34"/>
  <c r="AE20" i="34" s="1"/>
  <c r="AL20" i="34" s="1" a="1"/>
  <c r="AL20" i="34" s="1"/>
  <c r="AD15" i="34"/>
  <c r="AE15" i="34" s="1"/>
  <c r="AL15" i="34" s="1" a="1"/>
  <c r="AL15" i="34" s="1"/>
  <c r="AN15" i="34" s="1"/>
  <c r="AD31" i="34"/>
  <c r="AE31" i="34" s="1"/>
  <c r="AL31" i="34" s="1" a="1"/>
  <c r="AL31" i="34" s="1"/>
  <c r="AN31" i="34" s="1"/>
  <c r="AD32" i="34"/>
  <c r="AE32" i="34" s="1"/>
  <c r="AL32" i="34" s="1" a="1"/>
  <c r="AL32" i="34" s="1"/>
  <c r="AP32" i="34" s="1"/>
  <c r="AD23" i="34"/>
  <c r="AE23" i="34" s="1"/>
  <c r="AL23" i="34" s="1" a="1"/>
  <c r="AL23" i="34" s="1"/>
  <c r="AP23" i="34" s="1"/>
  <c r="AD34" i="34"/>
  <c r="AE34" i="34" s="1"/>
  <c r="AL34" i="34" s="1" a="1"/>
  <c r="AL34" i="34" s="1"/>
  <c r="AP34" i="34" s="1"/>
  <c r="AD17" i="34"/>
  <c r="AE17" i="34" s="1"/>
  <c r="AL17" i="34" s="1" a="1"/>
  <c r="AL17" i="34" s="1"/>
  <c r="AP17" i="34" s="1"/>
  <c r="AD44" i="34"/>
  <c r="AE44" i="34" s="1"/>
  <c r="AL44" i="34" s="1" a="1"/>
  <c r="AL44" i="34" s="1"/>
  <c r="AP44" i="34" s="1"/>
  <c r="AD42" i="34"/>
  <c r="AE42" i="34" s="1"/>
  <c r="AL42" i="34" s="1" a="1"/>
  <c r="AL42" i="34" s="1"/>
  <c r="AD35" i="34"/>
  <c r="AE35" i="34" s="1"/>
  <c r="AL35" i="34" s="1" a="1"/>
  <c r="AL35" i="34" s="1"/>
  <c r="AP35" i="34" s="1"/>
  <c r="AD12" i="34"/>
  <c r="AE12" i="34" s="1"/>
  <c r="AL12" i="34" s="1" a="1"/>
  <c r="AL12" i="34" s="1"/>
  <c r="AP12" i="34" s="1"/>
  <c r="AD14" i="34"/>
  <c r="AE14" i="34" s="1"/>
  <c r="AL14" i="34" s="1" a="1"/>
  <c r="AL14" i="34" s="1"/>
  <c r="AP14" i="34" s="1"/>
  <c r="AD13" i="34"/>
  <c r="AE13" i="34" s="1"/>
  <c r="AL13" i="34" s="1" a="1"/>
  <c r="AL13" i="34" s="1"/>
  <c r="AP13" i="34" s="1"/>
  <c r="AD43" i="34"/>
  <c r="AE43" i="34" s="1"/>
  <c r="AL43" i="34" s="1" a="1"/>
  <c r="AL43" i="34" s="1"/>
  <c r="AN43" i="34" s="1"/>
  <c r="AD36" i="34"/>
  <c r="AE36" i="34" s="1"/>
  <c r="AL36" i="34" s="1" a="1"/>
  <c r="AL36" i="34" s="1"/>
  <c r="AP36" i="34" s="1"/>
  <c r="AD38" i="34"/>
  <c r="AE38" i="34" s="1"/>
  <c r="AL38" i="34" s="1" a="1"/>
  <c r="AL38" i="34" s="1"/>
  <c r="AD7" i="34"/>
  <c r="AE7" i="34" s="1"/>
  <c r="AL7" i="34" s="1" a="1"/>
  <c r="AL7" i="34" s="1"/>
  <c r="AD10" i="34"/>
  <c r="AE10" i="34" s="1"/>
  <c r="AL10" i="34" s="1" a="1"/>
  <c r="AL10" i="34" s="1"/>
  <c r="AN10" i="34" s="1"/>
  <c r="AD40" i="34"/>
  <c r="AE40" i="34" s="1"/>
  <c r="AL40" i="34" s="1" a="1"/>
  <c r="AL40" i="34" s="1"/>
  <c r="AP40" i="34" s="1"/>
  <c r="AD4" i="34"/>
  <c r="AE4" i="34" s="1"/>
  <c r="AL4" i="34" s="1" a="1"/>
  <c r="AL4" i="34" s="1"/>
  <c r="AP4" i="34" s="1"/>
  <c r="AD16" i="34"/>
  <c r="AE16" i="34" s="1"/>
  <c r="AL16" i="34" s="1" a="1"/>
  <c r="AL16" i="34" s="1"/>
  <c r="AP16" i="34" s="1"/>
  <c r="AD29" i="34"/>
  <c r="AE29" i="34" s="1"/>
  <c r="AL29" i="34" s="1" a="1"/>
  <c r="AL29" i="34" s="1"/>
  <c r="AP29" i="34" s="1"/>
  <c r="AD19" i="34"/>
  <c r="AE19" i="34" s="1"/>
  <c r="AL19" i="34" s="1" a="1"/>
  <c r="AL19" i="34" s="1"/>
  <c r="AN19" i="34" s="1"/>
  <c r="AD11" i="34"/>
  <c r="AE11" i="34" s="1"/>
  <c r="AL11" i="34" s="1" a="1"/>
  <c r="AL11" i="34" s="1"/>
  <c r="AP11" i="34" s="1"/>
  <c r="AD22" i="34"/>
  <c r="AE22" i="34" s="1"/>
  <c r="AL22" i="34" s="1" a="1"/>
  <c r="AL22" i="34" s="1"/>
  <c r="AD6" i="34"/>
  <c r="AE6" i="34" s="1"/>
  <c r="AL6" i="34" s="1" a="1"/>
  <c r="AL6" i="34" s="1"/>
  <c r="AP6" i="34" s="1"/>
  <c r="AD21" i="34"/>
  <c r="AE21" i="34" s="1"/>
  <c r="AL21" i="34" s="1" a="1"/>
  <c r="AL21" i="34" s="1"/>
  <c r="AN21" i="34" s="1"/>
  <c r="AD47" i="34"/>
  <c r="AE47" i="34" s="1"/>
  <c r="AL47" i="34" s="1" a="1"/>
  <c r="AL47" i="34" s="1"/>
  <c r="AN47" i="34" s="1"/>
  <c r="AD46" i="34"/>
  <c r="AE46" i="34" s="1"/>
  <c r="AL46" i="34" s="1" a="1"/>
  <c r="AL46" i="34" s="1"/>
  <c r="AP46" i="34" s="1"/>
  <c r="AD3" i="34"/>
  <c r="AD30" i="34"/>
  <c r="AE30" i="34" s="1"/>
  <c r="AL30" i="34" s="1" a="1"/>
  <c r="AL30" i="34" s="1"/>
  <c r="AP30" i="34" s="1"/>
  <c r="AD8" i="34"/>
  <c r="AE8" i="34" s="1"/>
  <c r="AL8" i="34" s="1" a="1"/>
  <c r="AL8" i="34" s="1"/>
  <c r="AN8" i="34" s="1"/>
  <c r="AD31" i="35"/>
  <c r="AE31" i="35" s="1"/>
  <c r="AL31" i="35" s="1" a="1"/>
  <c r="AL31" i="35" s="1"/>
  <c r="AP31" i="35" s="1"/>
  <c r="AD7" i="35"/>
  <c r="AE7" i="35" s="1"/>
  <c r="AL7" i="35" s="1" a="1"/>
  <c r="AL7" i="35" s="1"/>
  <c r="AN7" i="35" s="1"/>
  <c r="AD29" i="35"/>
  <c r="AE29" i="35" s="1"/>
  <c r="AL29" i="35" s="1" a="1"/>
  <c r="AL29" i="35" s="1"/>
  <c r="AP29" i="35" s="1"/>
  <c r="AD28" i="35"/>
  <c r="AD23" i="35"/>
  <c r="AE23" i="35" s="1"/>
  <c r="AL23" i="35" s="1" a="1"/>
  <c r="AL23" i="35" s="1"/>
  <c r="AN23" i="35" s="1"/>
  <c r="AD39" i="35"/>
  <c r="AE39" i="35" s="1"/>
  <c r="AL39" i="35" s="1" a="1"/>
  <c r="AL39" i="35" s="1"/>
  <c r="AP39" i="35" s="1"/>
  <c r="AD6" i="35"/>
  <c r="AE6" i="35" s="1"/>
  <c r="AL6" i="35" s="1" a="1"/>
  <c r="AL6" i="35" s="1"/>
  <c r="AP6" i="35" s="1"/>
  <c r="AD20" i="35"/>
  <c r="AE20" i="35" s="1"/>
  <c r="AL20" i="35" s="1" a="1"/>
  <c r="AL20" i="35" s="1"/>
  <c r="AP20" i="35" s="1"/>
  <c r="AD21" i="35"/>
  <c r="AE21" i="35" s="1"/>
  <c r="AL21" i="35" s="1" a="1"/>
  <c r="AL21" i="35" s="1"/>
  <c r="AP21" i="35" s="1"/>
  <c r="AD36" i="35"/>
  <c r="AE36" i="35" s="1"/>
  <c r="AL36" i="35" s="1" a="1"/>
  <c r="AL36" i="35" s="1"/>
  <c r="AD14" i="35"/>
  <c r="AE14" i="35" s="1"/>
  <c r="AL14" i="35" s="1" a="1"/>
  <c r="AL14" i="35" s="1"/>
  <c r="AP14" i="35" s="1"/>
  <c r="AD4" i="35"/>
  <c r="AE4" i="35" s="1"/>
  <c r="AL4" i="35" s="1" a="1"/>
  <c r="AL4" i="35" s="1"/>
  <c r="AP4" i="35" s="1"/>
  <c r="AD8" i="35"/>
  <c r="AE8" i="35" s="1"/>
  <c r="AL8" i="35" s="1" a="1"/>
  <c r="AL8" i="35" s="1"/>
  <c r="AP8" i="35" s="1"/>
  <c r="AD13" i="35"/>
  <c r="AE13" i="35" s="1"/>
  <c r="AL13" i="35" s="1" a="1"/>
  <c r="AL13" i="35" s="1"/>
  <c r="AP13" i="35" s="1"/>
  <c r="AD40" i="35"/>
  <c r="AE40" i="35" s="1"/>
  <c r="AL40" i="35" s="1" a="1"/>
  <c r="AL40" i="35" s="1"/>
  <c r="AP40" i="35" s="1"/>
  <c r="AD30" i="35"/>
  <c r="AE30" i="35" s="1"/>
  <c r="AL30" i="35" s="1" a="1"/>
  <c r="AL30" i="35" s="1"/>
  <c r="AN30" i="35" s="1"/>
  <c r="AD19" i="35"/>
  <c r="AE19" i="35" s="1"/>
  <c r="AL19" i="35" s="1" a="1"/>
  <c r="AL19" i="35" s="1"/>
  <c r="AD35" i="35"/>
  <c r="AE35" i="35" s="1"/>
  <c r="AL35" i="35" s="1" a="1"/>
  <c r="AL35" i="35" s="1"/>
  <c r="AP35" i="35" s="1"/>
  <c r="AD15" i="35"/>
  <c r="AE15" i="35" s="1"/>
  <c r="AL15" i="35" s="1" a="1"/>
  <c r="AL15" i="35" s="1"/>
  <c r="AP15" i="35" s="1"/>
  <c r="AD37" i="35"/>
  <c r="AE37" i="35" s="1"/>
  <c r="AL37" i="35" s="1" a="1"/>
  <c r="AL37" i="35" s="1"/>
  <c r="AP37" i="35" s="1"/>
  <c r="AD22" i="35"/>
  <c r="AE22" i="35" s="1"/>
  <c r="AL22" i="35" s="1" a="1"/>
  <c r="AL22" i="35" s="1"/>
  <c r="AN22" i="35" s="1"/>
  <c r="AD24" i="35"/>
  <c r="AE24" i="35" s="1"/>
  <c r="AL24" i="35" s="1" a="1"/>
  <c r="AL24" i="35" s="1"/>
  <c r="AP24" i="35" s="1"/>
  <c r="AD11" i="35"/>
  <c r="AE11" i="35" s="1"/>
  <c r="AL11" i="35" s="1" a="1"/>
  <c r="AL11" i="35" s="1"/>
  <c r="AD10" i="35"/>
  <c r="AE10" i="35" s="1"/>
  <c r="AL10" i="35" s="1" a="1"/>
  <c r="AL10" i="35" s="1"/>
  <c r="AP10" i="35" s="1"/>
  <c r="AD44" i="35"/>
  <c r="AE44" i="35" s="1"/>
  <c r="AL44" i="35" s="1" a="1"/>
  <c r="AL44" i="35" s="1"/>
  <c r="AP44" i="35" s="1"/>
  <c r="AD38" i="35"/>
  <c r="AE38" i="35" s="1"/>
  <c r="AL38" i="35" s="1" a="1"/>
  <c r="AL38" i="35" s="1"/>
  <c r="AN38" i="35" s="1"/>
  <c r="AD9" i="35"/>
  <c r="AE9" i="35" s="1"/>
  <c r="AL9" i="35" s="1" a="1"/>
  <c r="AL9" i="35" s="1"/>
  <c r="AP9" i="35" s="1"/>
  <c r="AD32" i="35"/>
  <c r="AE32" i="35" s="1"/>
  <c r="AL32" i="35" s="1" a="1"/>
  <c r="AL32" i="35" s="1"/>
  <c r="AP32" i="35" s="1"/>
  <c r="AD18" i="35"/>
  <c r="AE18" i="35" s="1"/>
  <c r="AL18" i="35" s="1" a="1"/>
  <c r="AL18" i="35" s="1"/>
  <c r="AD41" i="35"/>
  <c r="AE41" i="35" s="1"/>
  <c r="AL41" i="35" s="1" a="1"/>
  <c r="AL41" i="35" s="1"/>
  <c r="AP41" i="35" s="1"/>
  <c r="AD5" i="35"/>
  <c r="AE5" i="35" s="1"/>
  <c r="AL5" i="35" s="1" a="1"/>
  <c r="AL5" i="35" s="1"/>
  <c r="AP5" i="35" s="1"/>
  <c r="AD3" i="35"/>
  <c r="AD43" i="35"/>
  <c r="AE43" i="35" s="1"/>
  <c r="AL43" i="35" s="1" a="1"/>
  <c r="AL43" i="35" s="1"/>
  <c r="AP43" i="35" s="1"/>
  <c r="AD16" i="35"/>
  <c r="AE16" i="35" s="1"/>
  <c r="AL16" i="35" s="1" a="1"/>
  <c r="AL16" i="35" s="1"/>
  <c r="AP16" i="35" s="1"/>
  <c r="AD12" i="35"/>
  <c r="AE12" i="35" s="1"/>
  <c r="AL12" i="35" s="1" a="1"/>
  <c r="AL12" i="35" s="1"/>
  <c r="AP12" i="35" s="1"/>
  <c r="AD17" i="35"/>
  <c r="AE17" i="35" s="1"/>
  <c r="AL17" i="35" s="1" a="1"/>
  <c r="AL17" i="35" s="1"/>
  <c r="AN17" i="35" s="1"/>
  <c r="AD34" i="35"/>
  <c r="AE34" i="35" s="1"/>
  <c r="AL34" i="35" s="1" a="1"/>
  <c r="AL34" i="35" s="1"/>
  <c r="AN34" i="35" s="1"/>
  <c r="AD45" i="35"/>
  <c r="AE45" i="35" s="1"/>
  <c r="AL45" i="35" s="1" a="1"/>
  <c r="AL45" i="35" s="1"/>
  <c r="AP45" i="35" s="1"/>
  <c r="AD33" i="35"/>
  <c r="AE33" i="35" s="1"/>
  <c r="AL33" i="35" s="1" a="1"/>
  <c r="AL33" i="35" s="1"/>
  <c r="AP33" i="35" s="1"/>
  <c r="AD46" i="35"/>
  <c r="AE46" i="35" s="1"/>
  <c r="AL46" i="35" s="1" a="1"/>
  <c r="AL46" i="35" s="1"/>
  <c r="AP46" i="35" s="1"/>
  <c r="AD42" i="35"/>
  <c r="AE42" i="35" s="1"/>
  <c r="AL42" i="35" s="1" a="1"/>
  <c r="AL42" i="35" s="1"/>
  <c r="AP42" i="35" s="1"/>
  <c r="AD47" i="35"/>
  <c r="AE47" i="35" s="1"/>
  <c r="AL47" i="35" s="1" a="1"/>
  <c r="AL47" i="35" s="1"/>
  <c r="AP47" i="35" s="1"/>
  <c r="AA26" i="36"/>
  <c r="AA52" i="36" s="1"/>
  <c r="AD17" i="33"/>
  <c r="AE17" i="33" s="1"/>
  <c r="AL17" i="33" s="1" a="1"/>
  <c r="AL17" i="33" s="1"/>
  <c r="AP17" i="33" s="1"/>
  <c r="AD29" i="33"/>
  <c r="AE29" i="33" s="1"/>
  <c r="AL29" i="33" s="1" a="1"/>
  <c r="AL29" i="33" s="1"/>
  <c r="AP29" i="33" s="1"/>
  <c r="AD10" i="33"/>
  <c r="AE10" i="33" s="1"/>
  <c r="AL10" i="33" s="1" a="1"/>
  <c r="AL10" i="33" s="1"/>
  <c r="AP10" i="33" s="1"/>
  <c r="AD3" i="33"/>
  <c r="AD6" i="33"/>
  <c r="AE6" i="33" s="1"/>
  <c r="AL6" i="33" s="1" a="1"/>
  <c r="AL6" i="33" s="1"/>
  <c r="AD36" i="33"/>
  <c r="AE36" i="33" s="1"/>
  <c r="AL36" i="33" s="1" a="1"/>
  <c r="AL36" i="33" s="1"/>
  <c r="AN36" i="33" s="1"/>
  <c r="AD8" i="33"/>
  <c r="AE8" i="33" s="1"/>
  <c r="AL8" i="33" s="1" a="1"/>
  <c r="AL8" i="33" s="1"/>
  <c r="AP8" i="33" s="1"/>
  <c r="AD23" i="33"/>
  <c r="AE23" i="33" s="1"/>
  <c r="AL23" i="33" s="1" a="1"/>
  <c r="AL23" i="33" s="1"/>
  <c r="AN23" i="33" s="1"/>
  <c r="AD40" i="33"/>
  <c r="AE40" i="33" s="1"/>
  <c r="AL40" i="33" s="1" a="1"/>
  <c r="AL40" i="33" s="1"/>
  <c r="AP40" i="33" s="1"/>
  <c r="AD47" i="33"/>
  <c r="AE47" i="33" s="1"/>
  <c r="AL47" i="33" s="1" a="1"/>
  <c r="AL47" i="33" s="1"/>
  <c r="AD14" i="33"/>
  <c r="AE14" i="33" s="1"/>
  <c r="AL14" i="33" s="1" a="1"/>
  <c r="AL14" i="33" s="1"/>
  <c r="AP14" i="33" s="1"/>
  <c r="AD12" i="33"/>
  <c r="AE12" i="33" s="1"/>
  <c r="AL12" i="33" s="1" a="1"/>
  <c r="AL12" i="33" s="1"/>
  <c r="AN12" i="33" s="1"/>
  <c r="AD30" i="33"/>
  <c r="AE30" i="33" s="1"/>
  <c r="AL30" i="33" s="1" a="1"/>
  <c r="AL30" i="33" s="1"/>
  <c r="AN30" i="33" s="1"/>
  <c r="AD35" i="33"/>
  <c r="AE35" i="33" s="1"/>
  <c r="AL35" i="33" s="1" a="1"/>
  <c r="AL35" i="33" s="1"/>
  <c r="AP35" i="33" s="1"/>
  <c r="AD21" i="33"/>
  <c r="AE21" i="33" s="1"/>
  <c r="AL21" i="33" s="1" a="1"/>
  <c r="AL21" i="33" s="1"/>
  <c r="AP21" i="33" s="1"/>
  <c r="AD15" i="33"/>
  <c r="AE15" i="33" s="1"/>
  <c r="AL15" i="33" s="1" a="1"/>
  <c r="AL15" i="33" s="1"/>
  <c r="AD4" i="33"/>
  <c r="AE4" i="33" s="1"/>
  <c r="AL4" i="33" s="1" a="1"/>
  <c r="AL4" i="33" s="1"/>
  <c r="AP4" i="33" s="1"/>
  <c r="AD42" i="33"/>
  <c r="AE42" i="33" s="1"/>
  <c r="AL42" i="33" s="1" a="1"/>
  <c r="AL42" i="33" s="1"/>
  <c r="AP42" i="33" s="1"/>
  <c r="AD24" i="33"/>
  <c r="AE24" i="33" s="1"/>
  <c r="AL24" i="33" s="1" a="1"/>
  <c r="AL24" i="33" s="1"/>
  <c r="AP24" i="33" s="1"/>
  <c r="AD43" i="33"/>
  <c r="AE43" i="33" s="1"/>
  <c r="AL43" i="33" s="1" a="1"/>
  <c r="AL43" i="33" s="1"/>
  <c r="AD44" i="33"/>
  <c r="AE44" i="33" s="1"/>
  <c r="AL44" i="33" s="1" a="1"/>
  <c r="AL44" i="33" s="1"/>
  <c r="AP44" i="33" s="1"/>
  <c r="AD7" i="33"/>
  <c r="AE7" i="33" s="1"/>
  <c r="AL7" i="33" s="1" a="1"/>
  <c r="AL7" i="33" s="1"/>
  <c r="AP7" i="33" s="1"/>
  <c r="AD32" i="33"/>
  <c r="AE32" i="33" s="1"/>
  <c r="AL32" i="33" s="1" a="1"/>
  <c r="AL32" i="33" s="1"/>
  <c r="AN32" i="33" s="1"/>
  <c r="AD45" i="33"/>
  <c r="AE45" i="33" s="1"/>
  <c r="AL45" i="33" s="1" a="1"/>
  <c r="AL45" i="33" s="1"/>
  <c r="AP45" i="33" s="1"/>
  <c r="AD31" i="33"/>
  <c r="AE31" i="33" s="1"/>
  <c r="AL31" i="33" s="1" a="1"/>
  <c r="AL31" i="33" s="1"/>
  <c r="AP31" i="33" s="1"/>
  <c r="AD33" i="33"/>
  <c r="AE33" i="33" s="1"/>
  <c r="AL33" i="33" s="1" a="1"/>
  <c r="AL33" i="33" s="1"/>
  <c r="AP33" i="33" s="1"/>
  <c r="AD41" i="33"/>
  <c r="AE41" i="33" s="1"/>
  <c r="AL41" i="33" s="1" a="1"/>
  <c r="AL41" i="33" s="1"/>
  <c r="AD39" i="33"/>
  <c r="AE39" i="33" s="1"/>
  <c r="AL39" i="33" s="1" a="1"/>
  <c r="AL39" i="33" s="1"/>
  <c r="AP39" i="33" s="1"/>
  <c r="AD46" i="33"/>
  <c r="AE46" i="33" s="1"/>
  <c r="AL46" i="33" s="1" a="1"/>
  <c r="AL46" i="33" s="1"/>
  <c r="AP46" i="33" s="1"/>
  <c r="AD34" i="33"/>
  <c r="AE34" i="33" s="1"/>
  <c r="AL34" i="33" s="1" a="1"/>
  <c r="AL34" i="33" s="1"/>
  <c r="AP34" i="33" s="1"/>
  <c r="AD28" i="33"/>
  <c r="AD16" i="33"/>
  <c r="AE16" i="33" s="1"/>
  <c r="AL16" i="33" s="1" a="1"/>
  <c r="AL16" i="33" s="1"/>
  <c r="AN16" i="33" s="1"/>
  <c r="AD18" i="33"/>
  <c r="AE18" i="33" s="1"/>
  <c r="AL18" i="33" s="1" a="1"/>
  <c r="AL18" i="33" s="1"/>
  <c r="AN18" i="33" s="1"/>
  <c r="AD22" i="33"/>
  <c r="AE22" i="33" s="1"/>
  <c r="AL22" i="33" s="1" a="1"/>
  <c r="AL22" i="33" s="1"/>
  <c r="AD20" i="33"/>
  <c r="AE20" i="33" s="1"/>
  <c r="AL20" i="33" s="1" a="1"/>
  <c r="AL20" i="33" s="1"/>
  <c r="AP20" i="33" s="1"/>
  <c r="AD11" i="33"/>
  <c r="AE11" i="33" s="1"/>
  <c r="AL11" i="33" s="1" a="1"/>
  <c r="AL11" i="33" s="1"/>
  <c r="AN11" i="33" s="1"/>
  <c r="AD19" i="33"/>
  <c r="AE19" i="33" s="1"/>
  <c r="AL19" i="33" s="1" a="1"/>
  <c r="AL19" i="33" s="1"/>
  <c r="AP19" i="33" s="1"/>
  <c r="AD13" i="33"/>
  <c r="AE13" i="33" s="1"/>
  <c r="AL13" i="33" s="1" a="1"/>
  <c r="AL13" i="33" s="1"/>
  <c r="AN13" i="33" s="1"/>
  <c r="AD37" i="33"/>
  <c r="AE37" i="33" s="1"/>
  <c r="AL37" i="33" s="1" a="1"/>
  <c r="AL37" i="33" s="1"/>
  <c r="AN37" i="33" s="1"/>
  <c r="AD5" i="33"/>
  <c r="AE5" i="33" s="1"/>
  <c r="AL5" i="33" s="1" a="1"/>
  <c r="AL5" i="33" s="1"/>
  <c r="AP5" i="33" s="1"/>
  <c r="AD38" i="33"/>
  <c r="AE38" i="33" s="1"/>
  <c r="AL38" i="33" s="1" a="1"/>
  <c r="AL38" i="33" s="1"/>
  <c r="AP38" i="33" s="1"/>
  <c r="AD9" i="33"/>
  <c r="AE9" i="33" s="1"/>
  <c r="AL9" i="33" s="1" a="1"/>
  <c r="AL9" i="33" s="1"/>
  <c r="AN9" i="33" s="1"/>
  <c r="AD28" i="28"/>
  <c r="AE28" i="28" s="1"/>
  <c r="AD38" i="28"/>
  <c r="AE38" i="28" s="1"/>
  <c r="AL38" i="28" s="1" a="1"/>
  <c r="AL38" i="28" s="1"/>
  <c r="AD39" i="28"/>
  <c r="AE39" i="28" s="1"/>
  <c r="AL39" i="28" s="1" a="1"/>
  <c r="AL39" i="28" s="1"/>
  <c r="AD32" i="28"/>
  <c r="AE32" i="28" s="1"/>
  <c r="AL32" i="28" s="1" a="1"/>
  <c r="AL32" i="28" s="1"/>
  <c r="AP32" i="28" s="1"/>
  <c r="AD34" i="28"/>
  <c r="AE34" i="28" s="1"/>
  <c r="AL34" i="28" s="1" a="1"/>
  <c r="AL34" i="28" s="1"/>
  <c r="AN34" i="28" s="1"/>
  <c r="AD33" i="28"/>
  <c r="AE33" i="28" s="1"/>
  <c r="AL33" i="28" s="1" a="1"/>
  <c r="AL33" i="28" s="1"/>
  <c r="AD36" i="28"/>
  <c r="AE36" i="28" s="1"/>
  <c r="AL36" i="28" s="1" a="1"/>
  <c r="AL36" i="28" s="1"/>
  <c r="AN36" i="28" s="1"/>
  <c r="AD37" i="28"/>
  <c r="AE37" i="28" s="1"/>
  <c r="AL37" i="28" s="1" a="1"/>
  <c r="AL37" i="28" s="1"/>
  <c r="AD29" i="28"/>
  <c r="AE29" i="28" s="1"/>
  <c r="AL29" i="28" s="1" a="1"/>
  <c r="AL29" i="28" s="1"/>
  <c r="AD31" i="28"/>
  <c r="AE31" i="28" s="1"/>
  <c r="AL31" i="28" s="1" a="1"/>
  <c r="AL31" i="28" s="1"/>
  <c r="AD30" i="28"/>
  <c r="AE30" i="28" s="1"/>
  <c r="AL30" i="28" s="1" a="1"/>
  <c r="AL30" i="28" s="1"/>
  <c r="AP30" i="28" s="1"/>
  <c r="AD47" i="28"/>
  <c r="AE47" i="28" s="1"/>
  <c r="AL47" i="28" s="1" a="1"/>
  <c r="AL47" i="28" s="1"/>
  <c r="AP47" i="28" s="1"/>
  <c r="AD44" i="28"/>
  <c r="AE44" i="28" s="1"/>
  <c r="AL44" i="28" s="1" a="1"/>
  <c r="AL44" i="28" s="1"/>
  <c r="AD41" i="28"/>
  <c r="AE41" i="28" s="1"/>
  <c r="AL41" i="28" s="1" a="1"/>
  <c r="AL41" i="28" s="1"/>
  <c r="AP41" i="28" s="1"/>
  <c r="AD46" i="28"/>
  <c r="AE46" i="28" s="1"/>
  <c r="AL46" i="28" s="1" a="1"/>
  <c r="AL46" i="28" s="1"/>
  <c r="AM46" i="28" s="1"/>
  <c r="AD40" i="28"/>
  <c r="AE40" i="28" s="1"/>
  <c r="AL40" i="28" s="1" a="1"/>
  <c r="AL40" i="28" s="1"/>
  <c r="AP40" i="28" s="1"/>
  <c r="AD42" i="28"/>
  <c r="AE42" i="28" s="1"/>
  <c r="AL42" i="28" s="1" a="1"/>
  <c r="AL42" i="28" s="1"/>
  <c r="AM42" i="28" s="1"/>
  <c r="AD35" i="28"/>
  <c r="AE35" i="28" s="1"/>
  <c r="AL35" i="28" s="1" a="1"/>
  <c r="AL35" i="28" s="1"/>
  <c r="AD43" i="28"/>
  <c r="AE43" i="28" s="1"/>
  <c r="AL43" i="28" s="1" a="1"/>
  <c r="AL43" i="28" s="1"/>
  <c r="AD45" i="28"/>
  <c r="AE45" i="28" s="1"/>
  <c r="AL45" i="28" s="1" a="1"/>
  <c r="AL45" i="28" s="1"/>
  <c r="AD4" i="28"/>
  <c r="AE4" i="28" s="1"/>
  <c r="AL4" i="28" s="1" a="1"/>
  <c r="AL4" i="28" s="1"/>
  <c r="AD23" i="28"/>
  <c r="AE23" i="28" s="1"/>
  <c r="AL23" i="28" s="1" a="1"/>
  <c r="AL23" i="28" s="1"/>
  <c r="AP23" i="28" s="1"/>
  <c r="AD9" i="28"/>
  <c r="AE9" i="28" s="1"/>
  <c r="AL9" i="28" s="1" a="1"/>
  <c r="AL9" i="28" s="1"/>
  <c r="AD14" i="28"/>
  <c r="AE14" i="28" s="1"/>
  <c r="AL14" i="28" s="1" a="1"/>
  <c r="AL14" i="28" s="1"/>
  <c r="AD16" i="28"/>
  <c r="AE16" i="28" s="1"/>
  <c r="AL16" i="28" s="1" a="1"/>
  <c r="AL16" i="28" s="1"/>
  <c r="AN16" i="28" s="1"/>
  <c r="AD22" i="28"/>
  <c r="AE22" i="28" s="1"/>
  <c r="AL22" i="28" s="1" a="1"/>
  <c r="AL22" i="28" s="1"/>
  <c r="AD12" i="28"/>
  <c r="AE12" i="28" s="1"/>
  <c r="AL12" i="28" s="1" a="1"/>
  <c r="AL12" i="28" s="1"/>
  <c r="AD5" i="28"/>
  <c r="AE5" i="28" s="1"/>
  <c r="AL5" i="28" s="1" a="1"/>
  <c r="AL5" i="28" s="1"/>
  <c r="AD11" i="28"/>
  <c r="AE11" i="28" s="1"/>
  <c r="AL11" i="28" s="1" a="1"/>
  <c r="AL11" i="28" s="1"/>
  <c r="AP11" i="28" s="1"/>
  <c r="AD8" i="28"/>
  <c r="AE8" i="28" s="1"/>
  <c r="AL8" i="28" s="1" a="1"/>
  <c r="AL8" i="28" s="1"/>
  <c r="AD19" i="28"/>
  <c r="AE19" i="28" s="1"/>
  <c r="AL19" i="28" s="1" a="1"/>
  <c r="AL19" i="28" s="1"/>
  <c r="AN19" i="28" s="1"/>
  <c r="AD20" i="28"/>
  <c r="AE20" i="28" s="1"/>
  <c r="AL20" i="28" s="1" a="1"/>
  <c r="AL20" i="28" s="1"/>
  <c r="AD15" i="28"/>
  <c r="AE15" i="28" s="1"/>
  <c r="AL15" i="28" s="1" a="1"/>
  <c r="AL15" i="28" s="1"/>
  <c r="AD17" i="28"/>
  <c r="AE17" i="28" s="1"/>
  <c r="AL17" i="28" s="1" a="1"/>
  <c r="AL17" i="28" s="1"/>
  <c r="AD18" i="28"/>
  <c r="AE18" i="28" s="1"/>
  <c r="AL18" i="28" s="1" a="1"/>
  <c r="AL18" i="28" s="1"/>
  <c r="AP18" i="28" s="1"/>
  <c r="AD21" i="28"/>
  <c r="AE21" i="28" s="1"/>
  <c r="AL21" i="28" s="1" a="1"/>
  <c r="AL21" i="28" s="1"/>
  <c r="AP21" i="28" s="1"/>
  <c r="AD13" i="28"/>
  <c r="AE13" i="28" s="1"/>
  <c r="AL13" i="28" s="1" a="1"/>
  <c r="AL13" i="28" s="1"/>
  <c r="AD10" i="28"/>
  <c r="AE10" i="28" s="1"/>
  <c r="AL10" i="28" s="1" a="1"/>
  <c r="AL10" i="28" s="1"/>
  <c r="AD6" i="28"/>
  <c r="AE6" i="28" s="1"/>
  <c r="AL6" i="28" s="1" a="1"/>
  <c r="AL6" i="28" s="1"/>
  <c r="AP6" i="28" s="1"/>
  <c r="AD24" i="28"/>
  <c r="AE24" i="28" s="1"/>
  <c r="AL24" i="28" s="1" a="1"/>
  <c r="AL24" i="28" s="1"/>
  <c r="AP24" i="28" s="1"/>
  <c r="AD7" i="28"/>
  <c r="AE7" i="28" s="1"/>
  <c r="AL7" i="28" s="1" a="1"/>
  <c r="AL7" i="28" s="1"/>
  <c r="AM7" i="28" s="1"/>
  <c r="AD3" i="28"/>
  <c r="AE3" i="28" s="1"/>
  <c r="AB17" i="6"/>
  <c r="AB18" i="6"/>
  <c r="AA52" i="28"/>
  <c r="AK51" i="28" s="1"/>
  <c r="Q17" i="6"/>
  <c r="Y18" i="6"/>
  <c r="M36" i="39"/>
  <c r="G36" i="39" s="1"/>
  <c r="L37" i="39"/>
  <c r="F36" i="39"/>
  <c r="E37" i="39"/>
  <c r="M13" i="39"/>
  <c r="G13" i="39" s="1"/>
  <c r="L14" i="39"/>
  <c r="F13" i="39"/>
  <c r="E14" i="39"/>
  <c r="Y51" i="35"/>
  <c r="V14" i="35"/>
  <c r="V44" i="35"/>
  <c r="V22" i="35"/>
  <c r="V23" i="35"/>
  <c r="V8" i="35"/>
  <c r="V33" i="35"/>
  <c r="V10" i="35"/>
  <c r="V37" i="35"/>
  <c r="V9" i="35"/>
  <c r="V20" i="35"/>
  <c r="V19" i="35"/>
  <c r="V28" i="35"/>
  <c r="V49" i="35" s="1"/>
  <c r="V11" i="35"/>
  <c r="V24" i="35"/>
  <c r="V34" i="35"/>
  <c r="V30" i="35"/>
  <c r="V5" i="35"/>
  <c r="V45" i="35"/>
  <c r="V18" i="35"/>
  <c r="V3" i="35"/>
  <c r="V26" i="35" s="1"/>
  <c r="V13" i="35"/>
  <c r="V15" i="35"/>
  <c r="V17" i="35"/>
  <c r="V36" i="35"/>
  <c r="V41" i="35"/>
  <c r="V21" i="35"/>
  <c r="V16" i="35"/>
  <c r="V7" i="35"/>
  <c r="V35" i="35"/>
  <c r="V29" i="35"/>
  <c r="V43" i="35"/>
  <c r="V39" i="35"/>
  <c r="V4" i="35"/>
  <c r="V46" i="35"/>
  <c r="V32" i="35"/>
  <c r="V40" i="35"/>
  <c r="V42" i="35"/>
  <c r="V38" i="35"/>
  <c r="V47" i="35"/>
  <c r="V6" i="35"/>
  <c r="V12" i="35"/>
  <c r="V31" i="35"/>
  <c r="Y51" i="34"/>
  <c r="V42" i="34"/>
  <c r="V32" i="34"/>
  <c r="V15" i="34"/>
  <c r="V33" i="34"/>
  <c r="V41" i="34"/>
  <c r="V21" i="34"/>
  <c r="V9" i="34"/>
  <c r="V29" i="34"/>
  <c r="V6" i="34"/>
  <c r="V47" i="34"/>
  <c r="V10" i="34"/>
  <c r="V46" i="34"/>
  <c r="V3" i="34"/>
  <c r="V26" i="34" s="1"/>
  <c r="V44" i="34"/>
  <c r="V18" i="34"/>
  <c r="V7" i="34"/>
  <c r="V45" i="34"/>
  <c r="V5" i="34"/>
  <c r="V16" i="34"/>
  <c r="V22" i="34"/>
  <c r="V35" i="34"/>
  <c r="V11" i="34"/>
  <c r="V20" i="34"/>
  <c r="V43" i="34"/>
  <c r="V40" i="34"/>
  <c r="V38" i="34"/>
  <c r="V28" i="34"/>
  <c r="V49" i="34" s="1"/>
  <c r="V30" i="34"/>
  <c r="V8" i="34"/>
  <c r="V14" i="34"/>
  <c r="V39" i="34"/>
  <c r="V23" i="34"/>
  <c r="V19" i="34"/>
  <c r="V4" i="34"/>
  <c r="V37" i="34"/>
  <c r="V17" i="34"/>
  <c r="V12" i="34"/>
  <c r="V13" i="34"/>
  <c r="V34" i="34"/>
  <c r="V24" i="34"/>
  <c r="V36" i="34"/>
  <c r="V31" i="34"/>
  <c r="Y51" i="33"/>
  <c r="V39" i="33"/>
  <c r="V45" i="33"/>
  <c r="V17" i="33"/>
  <c r="V31" i="33"/>
  <c r="V24" i="33"/>
  <c r="V21" i="33"/>
  <c r="V7" i="33"/>
  <c r="V14" i="33"/>
  <c r="V12" i="33"/>
  <c r="V16" i="33"/>
  <c r="V18" i="33"/>
  <c r="V42" i="33"/>
  <c r="V22" i="33"/>
  <c r="V38" i="33"/>
  <c r="V9" i="33"/>
  <c r="V4" i="33"/>
  <c r="V34" i="33"/>
  <c r="V20" i="33"/>
  <c r="V32" i="33"/>
  <c r="V35" i="33"/>
  <c r="V30" i="33"/>
  <c r="V13" i="33"/>
  <c r="V37" i="33"/>
  <c r="V5" i="33"/>
  <c r="V10" i="33"/>
  <c r="V33" i="33"/>
  <c r="V36" i="33"/>
  <c r="V46" i="33"/>
  <c r="V6" i="33"/>
  <c r="V11" i="33"/>
  <c r="V41" i="33"/>
  <c r="V8" i="33"/>
  <c r="V23" i="33"/>
  <c r="V40" i="33"/>
  <c r="V44" i="33"/>
  <c r="V3" i="33"/>
  <c r="V26" i="33" s="1"/>
  <c r="V15" i="33"/>
  <c r="V19" i="33"/>
  <c r="V28" i="33"/>
  <c r="V49" i="33" s="1"/>
  <c r="V29" i="33"/>
  <c r="V47" i="33"/>
  <c r="V43" i="33"/>
  <c r="Y51" i="28"/>
  <c r="V37" i="28"/>
  <c r="V34" i="28"/>
  <c r="V8" i="28"/>
  <c r="V20" i="28"/>
  <c r="V45" i="28"/>
  <c r="V5" i="28"/>
  <c r="V41" i="28"/>
  <c r="V24" i="28"/>
  <c r="V31" i="28"/>
  <c r="V30" i="28"/>
  <c r="V22" i="28"/>
  <c r="V3" i="28"/>
  <c r="V18" i="28"/>
  <c r="V4" i="28"/>
  <c r="V21" i="28"/>
  <c r="V46" i="28"/>
  <c r="V7" i="28"/>
  <c r="V19" i="28"/>
  <c r="V40" i="28"/>
  <c r="V42" i="28"/>
  <c r="V33" i="28"/>
  <c r="V32" i="28"/>
  <c r="V11" i="28"/>
  <c r="V9" i="28"/>
  <c r="V39" i="28"/>
  <c r="V15" i="28"/>
  <c r="V14" i="28"/>
  <c r="V13" i="28"/>
  <c r="V6" i="28"/>
  <c r="V23" i="28"/>
  <c r="V29" i="28"/>
  <c r="V10" i="28"/>
  <c r="V36" i="28"/>
  <c r="V38" i="28"/>
  <c r="V28" i="28"/>
  <c r="V17" i="28"/>
  <c r="V12" i="28"/>
  <c r="V44" i="28"/>
  <c r="V35" i="28"/>
  <c r="V16" i="28"/>
  <c r="V47" i="28"/>
  <c r="V43" i="28"/>
  <c r="Y36" i="37"/>
  <c r="Y38" i="37"/>
  <c r="Y29" i="37"/>
  <c r="Y41" i="37"/>
  <c r="Y30" i="37"/>
  <c r="Y6" i="37"/>
  <c r="Y47" i="37"/>
  <c r="Y12" i="37"/>
  <c r="Y37" i="37"/>
  <c r="Y23" i="37"/>
  <c r="Y14" i="37"/>
  <c r="Y43" i="37"/>
  <c r="Y8" i="37"/>
  <c r="Y10" i="37"/>
  <c r="Y46" i="37"/>
  <c r="Y39" i="37"/>
  <c r="Y4" i="37"/>
  <c r="Y18" i="37"/>
  <c r="R29" i="6"/>
  <c r="S29" i="6"/>
  <c r="Y16" i="37"/>
  <c r="J60" i="24"/>
  <c r="Y44" i="37"/>
  <c r="Y17" i="37"/>
  <c r="Y40" i="37"/>
  <c r="Y9" i="37"/>
  <c r="F5" i="38"/>
  <c r="E6" i="38"/>
  <c r="M32" i="38"/>
  <c r="G32" i="38" s="1"/>
  <c r="L33" i="38"/>
  <c r="F32" i="38"/>
  <c r="E33" i="38"/>
  <c r="M6" i="38"/>
  <c r="G6" i="38" s="1"/>
  <c r="L7" i="38"/>
  <c r="Y13" i="37"/>
  <c r="Y5" i="37"/>
  <c r="Y22" i="37"/>
  <c r="Y45" i="37"/>
  <c r="Y34" i="37"/>
  <c r="Y11" i="37"/>
  <c r="Y33" i="37"/>
  <c r="Y7" i="37"/>
  <c r="Y21" i="37"/>
  <c r="Y19" i="37"/>
  <c r="Z51" i="37"/>
  <c r="Y15" i="37"/>
  <c r="Y20" i="37"/>
  <c r="Y32" i="37"/>
  <c r="T51" i="37"/>
  <c r="S51" i="37"/>
  <c r="Y42" i="37"/>
  <c r="Y24" i="37"/>
  <c r="X51" i="37"/>
  <c r="Q51" i="37"/>
  <c r="Y35" i="37"/>
  <c r="Y31" i="37"/>
  <c r="U26" i="37"/>
  <c r="Y3" i="37"/>
  <c r="U49" i="37"/>
  <c r="Y28" i="37"/>
  <c r="AK31" i="37"/>
  <c r="R31" i="37"/>
  <c r="AJ31" i="37"/>
  <c r="AJ36" i="37"/>
  <c r="AK36" i="37"/>
  <c r="R36" i="37"/>
  <c r="O17" i="37"/>
  <c r="AG17" i="37"/>
  <c r="AM17" i="37" s="1"/>
  <c r="W17" i="37"/>
  <c r="AI17" i="37"/>
  <c r="O29" i="37"/>
  <c r="AI29" i="37"/>
  <c r="AG29" i="37"/>
  <c r="W29" i="37"/>
  <c r="O23" i="37"/>
  <c r="AG23" i="37"/>
  <c r="AM23" i="37" s="1"/>
  <c r="W23" i="37"/>
  <c r="AI23" i="37"/>
  <c r="AK35" i="37"/>
  <c r="AJ35" i="37"/>
  <c r="R35" i="37"/>
  <c r="O20" i="37"/>
  <c r="AI20" i="37"/>
  <c r="W20" i="37"/>
  <c r="AG20" i="37"/>
  <c r="O5" i="37"/>
  <c r="AI5" i="37"/>
  <c r="AG5" i="37"/>
  <c r="W5" i="37"/>
  <c r="AJ38" i="37"/>
  <c r="AK38" i="37"/>
  <c r="R38" i="37"/>
  <c r="AK47" i="37"/>
  <c r="R47" i="37"/>
  <c r="AJ47" i="37"/>
  <c r="O16" i="37"/>
  <c r="AG16" i="37"/>
  <c r="AM16" i="37" s="1"/>
  <c r="AI16" i="37"/>
  <c r="W16" i="37"/>
  <c r="O4" i="37"/>
  <c r="AI4" i="37"/>
  <c r="W4" i="37"/>
  <c r="AG4" i="37"/>
  <c r="O41" i="37"/>
  <c r="AI41" i="37"/>
  <c r="AG41" i="37"/>
  <c r="AM41" i="37" s="1"/>
  <c r="W41" i="37"/>
  <c r="O11" i="37"/>
  <c r="W11" i="37"/>
  <c r="AG11" i="37"/>
  <c r="AM11" i="37" s="1"/>
  <c r="AI11" i="37"/>
  <c r="AK13" i="37"/>
  <c r="R13" i="37"/>
  <c r="AJ13" i="37"/>
  <c r="O45" i="37"/>
  <c r="AG45" i="37"/>
  <c r="AI45" i="37"/>
  <c r="W45" i="37"/>
  <c r="AK18" i="37"/>
  <c r="AJ18" i="37"/>
  <c r="R18" i="37"/>
  <c r="O46" i="37"/>
  <c r="AI46" i="37"/>
  <c r="W46" i="37"/>
  <c r="AG46" i="37"/>
  <c r="O34" i="37"/>
  <c r="W34" i="37"/>
  <c r="AG34" i="37"/>
  <c r="AI34" i="37"/>
  <c r="O19" i="37"/>
  <c r="W19" i="37"/>
  <c r="AI19" i="37"/>
  <c r="AG19" i="37"/>
  <c r="AM19" i="37" s="1"/>
  <c r="AK43" i="37"/>
  <c r="AJ43" i="37"/>
  <c r="R43" i="37"/>
  <c r="AJ44" i="37"/>
  <c r="R44" i="37"/>
  <c r="AK44" i="37"/>
  <c r="P49" i="37"/>
  <c r="AJ28" i="37"/>
  <c r="AK28" i="37"/>
  <c r="R28" i="37"/>
  <c r="AK7" i="37"/>
  <c r="R7" i="37"/>
  <c r="AJ7" i="37"/>
  <c r="AK24" i="37"/>
  <c r="R24" i="37"/>
  <c r="AJ24" i="37"/>
  <c r="AJ12" i="37"/>
  <c r="AK12" i="37"/>
  <c r="R12" i="37"/>
  <c r="AJ14" i="37"/>
  <c r="AK14" i="37"/>
  <c r="R14" i="37"/>
  <c r="AK37" i="37"/>
  <c r="AJ37" i="37"/>
  <c r="R37" i="37"/>
  <c r="O39" i="37"/>
  <c r="W39" i="37"/>
  <c r="AI39" i="37"/>
  <c r="AG39" i="37"/>
  <c r="O6" i="37"/>
  <c r="AG6" i="37"/>
  <c r="AI6" i="37"/>
  <c r="W6" i="37"/>
  <c r="AJ40" i="37"/>
  <c r="R40" i="37"/>
  <c r="AK40" i="37"/>
  <c r="AJ21" i="37"/>
  <c r="R21" i="37"/>
  <c r="AK21" i="37"/>
  <c r="O9" i="37"/>
  <c r="AG9" i="37"/>
  <c r="W9" i="37"/>
  <c r="AI9" i="37"/>
  <c r="AK33" i="37"/>
  <c r="R33" i="37"/>
  <c r="AJ33" i="37"/>
  <c r="O42" i="37"/>
  <c r="W42" i="37"/>
  <c r="AG42" i="37"/>
  <c r="AI42" i="37"/>
  <c r="AJ30" i="37"/>
  <c r="AK30" i="37"/>
  <c r="R30" i="37"/>
  <c r="P26" i="37"/>
  <c r="AJ3" i="37"/>
  <c r="R3" i="37"/>
  <c r="AK3" i="37"/>
  <c r="O8" i="37"/>
  <c r="AI8" i="37"/>
  <c r="W8" i="37"/>
  <c r="AG8" i="37"/>
  <c r="AJ32" i="37"/>
  <c r="AK32" i="37"/>
  <c r="R32" i="37"/>
  <c r="O10" i="37"/>
  <c r="AI10" i="37"/>
  <c r="W10" i="37"/>
  <c r="AG10" i="37"/>
  <c r="O22" i="37"/>
  <c r="AG22" i="37"/>
  <c r="AM22" i="37" s="1"/>
  <c r="AI22" i="37"/>
  <c r="W22" i="37"/>
  <c r="O15" i="37"/>
  <c r="W15" i="37"/>
  <c r="AI15" i="37"/>
  <c r="AG15" i="37"/>
  <c r="AI25" i="36"/>
  <c r="R51" i="36"/>
  <c r="Y49" i="36"/>
  <c r="U51" i="36"/>
  <c r="AE1" i="36" s="1"/>
  <c r="AM25" i="36"/>
  <c r="AI48" i="36"/>
  <c r="W49" i="36"/>
  <c r="AG25" i="36"/>
  <c r="W26" i="36"/>
  <c r="AM48" i="36"/>
  <c r="AG48" i="36"/>
  <c r="W51" i="35"/>
  <c r="W51" i="34"/>
  <c r="W51" i="33"/>
  <c r="W51" i="28"/>
  <c r="P29" i="6"/>
  <c r="N29" i="6"/>
  <c r="U29" i="6"/>
  <c r="V29" i="6"/>
  <c r="T29" i="6"/>
  <c r="W45" i="24"/>
  <c r="AE45" i="24" s="1"/>
  <c r="AI45" i="24"/>
  <c r="AG45" i="24"/>
  <c r="Y42" i="24"/>
  <c r="AI46" i="24"/>
  <c r="Y31" i="24"/>
  <c r="Y46" i="24"/>
  <c r="Y24" i="24"/>
  <c r="Y38" i="24"/>
  <c r="AG20" i="24"/>
  <c r="W38" i="24"/>
  <c r="AE38" i="24" s="1"/>
  <c r="W42" i="24"/>
  <c r="AE42" i="24" s="1"/>
  <c r="W37" i="24"/>
  <c r="AE37" i="24" s="1"/>
  <c r="W10" i="24"/>
  <c r="AE10" i="24" s="1"/>
  <c r="O37" i="24"/>
  <c r="Y37" i="24"/>
  <c r="AI41" i="24"/>
  <c r="AG6" i="24"/>
  <c r="AM6" i="24" s="1"/>
  <c r="AG41" i="24"/>
  <c r="AM41" i="24" s="1"/>
  <c r="AI37" i="24"/>
  <c r="Y35" i="24"/>
  <c r="Y43" i="24"/>
  <c r="S51" i="24"/>
  <c r="W41" i="24"/>
  <c r="W29" i="24"/>
  <c r="AG24" i="24"/>
  <c r="AM24" i="24" s="1"/>
  <c r="AI36" i="24"/>
  <c r="AI6" i="24"/>
  <c r="AG44" i="24"/>
  <c r="Y30" i="24"/>
  <c r="AI7" i="24"/>
  <c r="T51" i="24"/>
  <c r="W46" i="24"/>
  <c r="AE46" i="24" s="1"/>
  <c r="Y19" i="24"/>
  <c r="AI9" i="24"/>
  <c r="AI12" i="24"/>
  <c r="AG46" i="24"/>
  <c r="AG42" i="24"/>
  <c r="AG38" i="24"/>
  <c r="Y14" i="24"/>
  <c r="AI29" i="24"/>
  <c r="AG21" i="24"/>
  <c r="AM21" i="24" s="1"/>
  <c r="AI42" i="24"/>
  <c r="AI20" i="24"/>
  <c r="AI38" i="24"/>
  <c r="Y8" i="24"/>
  <c r="W31" i="24"/>
  <c r="AE31" i="24" s="1"/>
  <c r="AI31" i="24"/>
  <c r="AG10" i="24"/>
  <c r="AM10" i="24" s="1"/>
  <c r="AI10" i="24"/>
  <c r="AG29" i="24"/>
  <c r="AM29" i="24" s="1"/>
  <c r="W6" i="24"/>
  <c r="AE6" i="24" s="1"/>
  <c r="AG24" i="26"/>
  <c r="AM24" i="26" s="1"/>
  <c r="W24" i="26"/>
  <c r="AI24" i="26"/>
  <c r="AE45" i="26"/>
  <c r="AL45" i="26" s="1" a="1"/>
  <c r="AL45" i="26" s="1"/>
  <c r="AG37" i="26"/>
  <c r="AG16" i="26"/>
  <c r="AD37" i="26"/>
  <c r="AE37" i="26" s="1"/>
  <c r="AL37" i="26" s="1" a="1"/>
  <c r="AL37" i="26" s="1"/>
  <c r="AP37" i="26" s="1"/>
  <c r="AG6" i="26"/>
  <c r="AG28" i="26"/>
  <c r="AM28" i="26" s="1"/>
  <c r="W28" i="26"/>
  <c r="AG43" i="26"/>
  <c r="AM43" i="26" s="1"/>
  <c r="W43" i="26"/>
  <c r="AE43" i="26" s="1"/>
  <c r="AL43" i="26" s="1" a="1"/>
  <c r="AL43" i="26" s="1"/>
  <c r="AG40" i="26"/>
  <c r="AM40" i="26" s="1"/>
  <c r="O28" i="26"/>
  <c r="Z51" i="26"/>
  <c r="AI4" i="26"/>
  <c r="AI40" i="26"/>
  <c r="O43" i="26"/>
  <c r="O4" i="26"/>
  <c r="Q51" i="26"/>
  <c r="O24" i="26"/>
  <c r="AI16" i="26"/>
  <c r="Y44" i="24"/>
  <c r="Y9" i="24"/>
  <c r="AG28" i="24"/>
  <c r="AM28" i="24" s="1"/>
  <c r="W36" i="24"/>
  <c r="W28" i="24"/>
  <c r="Q51" i="24"/>
  <c r="W20" i="24"/>
  <c r="AG12" i="24"/>
  <c r="AM12" i="24" s="1"/>
  <c r="AI17" i="24"/>
  <c r="AI40" i="24"/>
  <c r="W12" i="24"/>
  <c r="AE12" i="24" s="1"/>
  <c r="Y45" i="24"/>
  <c r="Y10" i="24"/>
  <c r="AG16" i="24"/>
  <c r="AM16" i="24" s="1"/>
  <c r="W7" i="24"/>
  <c r="Y33" i="24"/>
  <c r="AG17" i="24"/>
  <c r="AM17" i="24" s="1"/>
  <c r="W17" i="24"/>
  <c r="AG7" i="24"/>
  <c r="O32" i="24"/>
  <c r="AG35" i="24"/>
  <c r="AM35" i="24" s="1"/>
  <c r="W9" i="24"/>
  <c r="AE9" i="24" s="1"/>
  <c r="AG9" i="24"/>
  <c r="W32" i="24"/>
  <c r="W35" i="24"/>
  <c r="AE35" i="24" s="1"/>
  <c r="Y6" i="24"/>
  <c r="W16" i="24"/>
  <c r="W24" i="24"/>
  <c r="AE24" i="24" s="1"/>
  <c r="AG31" i="24"/>
  <c r="AM31" i="24" s="1"/>
  <c r="AG40" i="24"/>
  <c r="AM40" i="24" s="1"/>
  <c r="AI32" i="24"/>
  <c r="AI35" i="24"/>
  <c r="W5" i="24"/>
  <c r="AI16" i="24"/>
  <c r="AI24" i="24"/>
  <c r="AI21" i="24"/>
  <c r="AI5" i="24"/>
  <c r="U49" i="24"/>
  <c r="Y4" i="24"/>
  <c r="O36" i="24"/>
  <c r="W44" i="24"/>
  <c r="AE44" i="24" s="1"/>
  <c r="AG5" i="24"/>
  <c r="AI28" i="24"/>
  <c r="O44" i="24"/>
  <c r="W40" i="24"/>
  <c r="U26" i="24"/>
  <c r="O21" i="24"/>
  <c r="AK25" i="24"/>
  <c r="R49" i="24"/>
  <c r="O30" i="24"/>
  <c r="AK48" i="24"/>
  <c r="X51" i="24"/>
  <c r="AM44" i="26"/>
  <c r="AA53" i="26"/>
  <c r="X51" i="26"/>
  <c r="AK25" i="26"/>
  <c r="AM4" i="26"/>
  <c r="AM18" i="26"/>
  <c r="AP44" i="26"/>
  <c r="AN44" i="26"/>
  <c r="AJ48" i="26"/>
  <c r="I51" i="26"/>
  <c r="K51" i="26"/>
  <c r="AP40" i="26"/>
  <c r="AN40" i="26"/>
  <c r="AP15" i="26"/>
  <c r="AN15" i="26"/>
  <c r="AP9" i="26"/>
  <c r="AN9" i="26"/>
  <c r="AP7" i="26"/>
  <c r="AN7" i="26"/>
  <c r="AP29" i="26"/>
  <c r="AN29" i="26"/>
  <c r="AP30" i="26"/>
  <c r="AN30" i="26"/>
  <c r="AP41" i="26"/>
  <c r="AN41" i="26"/>
  <c r="AP6" i="26"/>
  <c r="AN6" i="26"/>
  <c r="AP4" i="26"/>
  <c r="AN4" i="26"/>
  <c r="AP43" i="26"/>
  <c r="AN43" i="26"/>
  <c r="AP23" i="26"/>
  <c r="AN23" i="26"/>
  <c r="AP16" i="26"/>
  <c r="AN16" i="26"/>
  <c r="AP45" i="26"/>
  <c r="AN45" i="26"/>
  <c r="AP18" i="26"/>
  <c r="AN18" i="26"/>
  <c r="AP17" i="26"/>
  <c r="AN17" i="26"/>
  <c r="AP31" i="26"/>
  <c r="AN31" i="26"/>
  <c r="AP19" i="26"/>
  <c r="AN19" i="26"/>
  <c r="AP11" i="26"/>
  <c r="AN11" i="26"/>
  <c r="AD20" i="26"/>
  <c r="AE20" i="26" s="1"/>
  <c r="AL20" i="26" s="1" a="1"/>
  <c r="AL20" i="26" s="1"/>
  <c r="AG39" i="26"/>
  <c r="AM39" i="26" s="1"/>
  <c r="AI39" i="26"/>
  <c r="O39" i="26"/>
  <c r="AG32" i="26"/>
  <c r="AI32" i="26"/>
  <c r="O32" i="26"/>
  <c r="R49" i="26"/>
  <c r="AJ25" i="26"/>
  <c r="AN34" i="26"/>
  <c r="AA49" i="26"/>
  <c r="AA52" i="26" s="1"/>
  <c r="AK51" i="26" s="1"/>
  <c r="AD24" i="26"/>
  <c r="AE24" i="26" s="1"/>
  <c r="AL24" i="26" s="1" a="1"/>
  <c r="AL24" i="26" s="1"/>
  <c r="AM16" i="26"/>
  <c r="R26" i="26"/>
  <c r="AI3" i="26"/>
  <c r="W3" i="26"/>
  <c r="AE3" i="26" s="1"/>
  <c r="AL3" i="26" s="1"/>
  <c r="O3" i="26"/>
  <c r="AG3" i="26"/>
  <c r="AM15" i="26"/>
  <c r="U49" i="26"/>
  <c r="AD28" i="26"/>
  <c r="AK48" i="26"/>
  <c r="AI36" i="26"/>
  <c r="AG36" i="26"/>
  <c r="AM36" i="26" s="1"/>
  <c r="AE36" i="26"/>
  <c r="AL36" i="26" s="1" a="1"/>
  <c r="AL36" i="26" s="1"/>
  <c r="O36" i="26"/>
  <c r="AG20" i="26"/>
  <c r="AM20" i="26" s="1"/>
  <c r="AI20" i="26"/>
  <c r="O20" i="26"/>
  <c r="AN38" i="26"/>
  <c r="AI33" i="26"/>
  <c r="AE33" i="26"/>
  <c r="AL33" i="26" s="1" a="1"/>
  <c r="AL33" i="26" s="1"/>
  <c r="O33" i="26"/>
  <c r="AG33" i="26"/>
  <c r="AM33" i="26" s="1"/>
  <c r="AD32" i="26"/>
  <c r="AE32" i="26" s="1"/>
  <c r="AL32" i="26" s="1" a="1"/>
  <c r="AL32" i="26" s="1"/>
  <c r="O13" i="26"/>
  <c r="AI13" i="26"/>
  <c r="AG13" i="26"/>
  <c r="AE13" i="26"/>
  <c r="AL13" i="26" s="1" a="1"/>
  <c r="AL13" i="26" s="1"/>
  <c r="AM9" i="26"/>
  <c r="AE46" i="26"/>
  <c r="AL46" i="26" s="1" a="1"/>
  <c r="AL46" i="26" s="1"/>
  <c r="AM46" i="26" s="1"/>
  <c r="AI8" i="26"/>
  <c r="AE8" i="26"/>
  <c r="AL8" i="26" s="1" a="1"/>
  <c r="AL8" i="26" s="1"/>
  <c r="O8" i="26"/>
  <c r="AG8" i="26"/>
  <c r="T51" i="26"/>
  <c r="AM7" i="26"/>
  <c r="AE35" i="26"/>
  <c r="AL35" i="26" s="1" a="1"/>
  <c r="AL35" i="26" s="1"/>
  <c r="O35" i="26"/>
  <c r="AI35" i="26"/>
  <c r="AG35" i="26"/>
  <c r="AN47" i="26"/>
  <c r="AI42" i="26"/>
  <c r="AE42" i="26"/>
  <c r="AL42" i="26" s="1" a="1"/>
  <c r="AL42" i="26" s="1"/>
  <c r="O42" i="26"/>
  <c r="AG42" i="26"/>
  <c r="AM6" i="26"/>
  <c r="AM5" i="26"/>
  <c r="AD12" i="26"/>
  <c r="AE12" i="26" s="1"/>
  <c r="AL12" i="26" s="1" a="1"/>
  <c r="AL12" i="26" s="1"/>
  <c r="AD39" i="26"/>
  <c r="AE39" i="26" s="1"/>
  <c r="AL39" i="26" s="1" a="1"/>
  <c r="AL39" i="26" s="1"/>
  <c r="AD14" i="26"/>
  <c r="AE14" i="26" s="1"/>
  <c r="AL14" i="26" s="1" a="1"/>
  <c r="AL14" i="26" s="1"/>
  <c r="AG14" i="26"/>
  <c r="AI22" i="26"/>
  <c r="AE22" i="26"/>
  <c r="AL22" i="26" s="1" a="1"/>
  <c r="AL22" i="26" s="1"/>
  <c r="O22" i="26"/>
  <c r="AG22" i="26"/>
  <c r="AM22" i="26" s="1"/>
  <c r="U26" i="26"/>
  <c r="AD3" i="26"/>
  <c r="Y3" i="26"/>
  <c r="AM45" i="26"/>
  <c r="AG21" i="26"/>
  <c r="AM21" i="26" s="1"/>
  <c r="O21" i="26"/>
  <c r="AI21" i="26"/>
  <c r="AE21" i="26"/>
  <c r="AL21" i="26" s="1" a="1"/>
  <c r="AL21" i="26" s="1"/>
  <c r="AI10" i="26"/>
  <c r="O10" i="26"/>
  <c r="AE10" i="26"/>
  <c r="AL10" i="26" s="1" a="1"/>
  <c r="AL10" i="26" s="1"/>
  <c r="AG10" i="26"/>
  <c r="AN5" i="26"/>
  <c r="L31" i="25"/>
  <c r="L5" i="25"/>
  <c r="AJ48" i="24"/>
  <c r="W23" i="24"/>
  <c r="AG23" i="24"/>
  <c r="AM23" i="24" s="1"/>
  <c r="AI23" i="24"/>
  <c r="Z51" i="24"/>
  <c r="AI15" i="24"/>
  <c r="W15" i="24"/>
  <c r="AG15" i="24"/>
  <c r="AI13" i="24"/>
  <c r="W13" i="24"/>
  <c r="AG13" i="24"/>
  <c r="AI11" i="24"/>
  <c r="W11" i="24"/>
  <c r="AG11" i="24"/>
  <c r="AM11" i="24" s="1"/>
  <c r="AE21" i="24"/>
  <c r="Y21" i="24"/>
  <c r="AG3" i="24"/>
  <c r="R26" i="24"/>
  <c r="AI3" i="24"/>
  <c r="W3" i="24"/>
  <c r="AI39" i="24"/>
  <c r="W39" i="24"/>
  <c r="AG39" i="24"/>
  <c r="AI47" i="24"/>
  <c r="W47" i="24"/>
  <c r="AG47" i="24"/>
  <c r="AM47" i="24" s="1"/>
  <c r="AI18" i="24"/>
  <c r="AG18" i="24"/>
  <c r="AM18" i="24" s="1"/>
  <c r="W18" i="24"/>
  <c r="W14" i="24"/>
  <c r="AE14" i="24" s="1"/>
  <c r="AI14" i="24"/>
  <c r="AG14" i="24"/>
  <c r="AG8" i="24"/>
  <c r="AI8" i="24"/>
  <c r="W8" i="24"/>
  <c r="AE8" i="24" s="1"/>
  <c r="AI43" i="24"/>
  <c r="W43" i="24"/>
  <c r="AE43" i="24" s="1"/>
  <c r="AG43" i="24"/>
  <c r="AG34" i="24"/>
  <c r="W34" i="24"/>
  <c r="AI34" i="24"/>
  <c r="Y20" i="24"/>
  <c r="P51" i="24"/>
  <c r="AA49" i="24" s="1"/>
  <c r="Y36" i="24"/>
  <c r="W19" i="24"/>
  <c r="AE19" i="24" s="1"/>
  <c r="AI19" i="24"/>
  <c r="AG19" i="24"/>
  <c r="AM19" i="24" s="1"/>
  <c r="AG4" i="24"/>
  <c r="W4" i="24"/>
  <c r="AE4" i="24" s="1"/>
  <c r="AI4" i="24"/>
  <c r="J58" i="24"/>
  <c r="AI33" i="24"/>
  <c r="W33" i="24"/>
  <c r="AE33" i="24" s="1"/>
  <c r="AG33" i="24"/>
  <c r="AM33" i="24" s="1"/>
  <c r="AG30" i="24"/>
  <c r="AM30" i="24" s="1"/>
  <c r="W30" i="24"/>
  <c r="AI30" i="24"/>
  <c r="Y41" i="24"/>
  <c r="AJ25" i="24"/>
  <c r="W22" i="24"/>
  <c r="AI22" i="24"/>
  <c r="AG22" i="24"/>
  <c r="AM22" i="24" s="1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D4" i="16"/>
  <c r="AD3" i="16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AD8" i="5"/>
  <c r="AD7" i="5"/>
  <c r="AD6" i="5"/>
  <c r="AD5" i="5"/>
  <c r="AD4" i="5"/>
  <c r="AD3" i="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D9" i="15"/>
  <c r="AD8" i="15"/>
  <c r="AD7" i="15"/>
  <c r="AD6" i="15"/>
  <c r="AD5" i="15"/>
  <c r="AD4" i="15"/>
  <c r="AD3" i="15"/>
  <c r="AN39" i="34" l="1"/>
  <c r="AN24" i="34"/>
  <c r="G31" i="38"/>
  <c r="AN18" i="34"/>
  <c r="AE49" i="28"/>
  <c r="AN47" i="35"/>
  <c r="AN17" i="34"/>
  <c r="AN30" i="34"/>
  <c r="AN36" i="34"/>
  <c r="AP45" i="34"/>
  <c r="AP21" i="34"/>
  <c r="AN40" i="34"/>
  <c r="AN29" i="35"/>
  <c r="AP19" i="34"/>
  <c r="AP8" i="34"/>
  <c r="AP5" i="34"/>
  <c r="AN11" i="34"/>
  <c r="AN35" i="34"/>
  <c r="AN6" i="34"/>
  <c r="AP10" i="34"/>
  <c r="AN16" i="35"/>
  <c r="AP7" i="35"/>
  <c r="AP38" i="35"/>
  <c r="AP15" i="34"/>
  <c r="AN12" i="34"/>
  <c r="AN9" i="28"/>
  <c r="AM9" i="28"/>
  <c r="AN37" i="28"/>
  <c r="AM37" i="28"/>
  <c r="AP10" i="28"/>
  <c r="AM10" i="28"/>
  <c r="AP33" i="28"/>
  <c r="AM33" i="28"/>
  <c r="V26" i="28"/>
  <c r="AP13" i="28"/>
  <c r="AM13" i="28"/>
  <c r="AP4" i="28"/>
  <c r="AM4" i="28"/>
  <c r="AN44" i="28"/>
  <c r="AM44" i="28"/>
  <c r="V49" i="28"/>
  <c r="AP5" i="28"/>
  <c r="AM5" i="28"/>
  <c r="AN45" i="28"/>
  <c r="AM45" i="28"/>
  <c r="AP12" i="28"/>
  <c r="AM12" i="28"/>
  <c r="AN31" i="28"/>
  <c r="AM31" i="28"/>
  <c r="AP38" i="28"/>
  <c r="AM38" i="28"/>
  <c r="AN20" i="28"/>
  <c r="AM20" i="28"/>
  <c r="AP15" i="28"/>
  <c r="AM15" i="28"/>
  <c r="AP29" i="28"/>
  <c r="AM29" i="28"/>
  <c r="AN14" i="34"/>
  <c r="AN4" i="35"/>
  <c r="AP31" i="34"/>
  <c r="AN15" i="35"/>
  <c r="AN37" i="34"/>
  <c r="AN14" i="35"/>
  <c r="AN4" i="34"/>
  <c r="AP33" i="34"/>
  <c r="AN31" i="33"/>
  <c r="AN40" i="33"/>
  <c r="AP47" i="34"/>
  <c r="AP17" i="35"/>
  <c r="AN32" i="34"/>
  <c r="AN44" i="34"/>
  <c r="AN29" i="34"/>
  <c r="AP9" i="34"/>
  <c r="AN41" i="34"/>
  <c r="AP43" i="34"/>
  <c r="AN13" i="34"/>
  <c r="AD26" i="34"/>
  <c r="X21" i="6" s="1"/>
  <c r="AE3" i="34"/>
  <c r="AD49" i="34"/>
  <c r="X22" i="6" s="1"/>
  <c r="AE28" i="34"/>
  <c r="AN23" i="34"/>
  <c r="AP22" i="34"/>
  <c r="AN22" i="34"/>
  <c r="AP7" i="34"/>
  <c r="AN7" i="34"/>
  <c r="AP42" i="34"/>
  <c r="AN42" i="34"/>
  <c r="AN20" i="34"/>
  <c r="AP20" i="34"/>
  <c r="AN46" i="34"/>
  <c r="AN34" i="34"/>
  <c r="AN38" i="34"/>
  <c r="AP38" i="34"/>
  <c r="AN16" i="34"/>
  <c r="AP18" i="33"/>
  <c r="AN17" i="33"/>
  <c r="AN42" i="33"/>
  <c r="AP22" i="35"/>
  <c r="AP23" i="35"/>
  <c r="AN33" i="33"/>
  <c r="AP37" i="28"/>
  <c r="AP9" i="33"/>
  <c r="AN7" i="33"/>
  <c r="AP45" i="28"/>
  <c r="AN34" i="33"/>
  <c r="AN23" i="28"/>
  <c r="AN32" i="28"/>
  <c r="AP16" i="33"/>
  <c r="AN47" i="28"/>
  <c r="AP13" i="33"/>
  <c r="AN31" i="35"/>
  <c r="AN44" i="35"/>
  <c r="AN43" i="35"/>
  <c r="AN21" i="35"/>
  <c r="AN12" i="35"/>
  <c r="AN45" i="35"/>
  <c r="AN10" i="33"/>
  <c r="AN21" i="28"/>
  <c r="AP36" i="33"/>
  <c r="AN42" i="35"/>
  <c r="AN35" i="33"/>
  <c r="AN9" i="35"/>
  <c r="AN35" i="35"/>
  <c r="AP34" i="35"/>
  <c r="AP36" i="28"/>
  <c r="AN39" i="35"/>
  <c r="AN24" i="35"/>
  <c r="AN13" i="35"/>
  <c r="AN29" i="28"/>
  <c r="AP16" i="28"/>
  <c r="AN32" i="35"/>
  <c r="AN15" i="28"/>
  <c r="AN38" i="33"/>
  <c r="AN41" i="35"/>
  <c r="AN29" i="33"/>
  <c r="AN4" i="33"/>
  <c r="AN8" i="35"/>
  <c r="AN37" i="35"/>
  <c r="AN6" i="35"/>
  <c r="AN10" i="35"/>
  <c r="AN44" i="33"/>
  <c r="AP11" i="35"/>
  <c r="AN11" i="35"/>
  <c r="AN46" i="33"/>
  <c r="AP12" i="33"/>
  <c r="AP18" i="35"/>
  <c r="AN18" i="35"/>
  <c r="AP31" i="28"/>
  <c r="AN39" i="33"/>
  <c r="AN40" i="35"/>
  <c r="AD49" i="35"/>
  <c r="AE28" i="35"/>
  <c r="AN38" i="28"/>
  <c r="AN33" i="35"/>
  <c r="AN30" i="28"/>
  <c r="AN19" i="33"/>
  <c r="AN20" i="35"/>
  <c r="AN46" i="35"/>
  <c r="AP30" i="33"/>
  <c r="AP36" i="35"/>
  <c r="AN36" i="35"/>
  <c r="AD26" i="35"/>
  <c r="AE3" i="35"/>
  <c r="AN5" i="35"/>
  <c r="AP11" i="33"/>
  <c r="AP30" i="35"/>
  <c r="AP19" i="35"/>
  <c r="AN19" i="35"/>
  <c r="AL28" i="28" a="1"/>
  <c r="AL28" i="28" s="1"/>
  <c r="AL48" i="28" s="1"/>
  <c r="AD17" i="36"/>
  <c r="AE17" i="36" s="1"/>
  <c r="AL17" i="36" s="1" a="1"/>
  <c r="AL17" i="36" s="1"/>
  <c r="AD46" i="36"/>
  <c r="AE46" i="36" s="1"/>
  <c r="AL46" i="36" s="1" a="1"/>
  <c r="AL46" i="36" s="1"/>
  <c r="AD9" i="36"/>
  <c r="AE9" i="36" s="1"/>
  <c r="AL9" i="36" s="1" a="1"/>
  <c r="AL9" i="36" s="1"/>
  <c r="AD30" i="36"/>
  <c r="AE30" i="36" s="1"/>
  <c r="AL30" i="36" s="1" a="1"/>
  <c r="AL30" i="36" s="1"/>
  <c r="AD37" i="36"/>
  <c r="AE37" i="36" s="1"/>
  <c r="AL37" i="36" s="1" a="1"/>
  <c r="AL37" i="36" s="1"/>
  <c r="AD29" i="36"/>
  <c r="AE29" i="36" s="1"/>
  <c r="AL29" i="36" s="1" a="1"/>
  <c r="AL29" i="36" s="1"/>
  <c r="AD45" i="36"/>
  <c r="AE45" i="36" s="1"/>
  <c r="AL45" i="36" s="1" a="1"/>
  <c r="AL45" i="36" s="1"/>
  <c r="AD33" i="36"/>
  <c r="AE33" i="36" s="1"/>
  <c r="AL33" i="36" s="1" a="1"/>
  <c r="AL33" i="36" s="1"/>
  <c r="AN33" i="36" s="1"/>
  <c r="AD11" i="36"/>
  <c r="AE11" i="36" s="1"/>
  <c r="AL11" i="36" s="1" a="1"/>
  <c r="AL11" i="36" s="1"/>
  <c r="AN11" i="36" s="1"/>
  <c r="AD20" i="36"/>
  <c r="AE20" i="36" s="1"/>
  <c r="AL20" i="36" s="1" a="1"/>
  <c r="AL20" i="36" s="1"/>
  <c r="AN20" i="36" s="1"/>
  <c r="AD12" i="36"/>
  <c r="AE12" i="36" s="1"/>
  <c r="AL12" i="36" s="1" a="1"/>
  <c r="AL12" i="36" s="1"/>
  <c r="AD4" i="36"/>
  <c r="AE4" i="36" s="1"/>
  <c r="AL4" i="36" s="1" a="1"/>
  <c r="AL4" i="36" s="1"/>
  <c r="AD10" i="36"/>
  <c r="AE10" i="36" s="1"/>
  <c r="AL10" i="36" s="1" a="1"/>
  <c r="AL10" i="36" s="1"/>
  <c r="AP10" i="36" s="1"/>
  <c r="AD6" i="36"/>
  <c r="AE6" i="36" s="1"/>
  <c r="AL6" i="36" s="1" a="1"/>
  <c r="AL6" i="36" s="1"/>
  <c r="AP6" i="36" s="1"/>
  <c r="AD3" i="36"/>
  <c r="AD31" i="36"/>
  <c r="AE31" i="36" s="1"/>
  <c r="AL31" i="36" s="1" a="1"/>
  <c r="AL31" i="36" s="1"/>
  <c r="AN31" i="36" s="1"/>
  <c r="AD44" i="36"/>
  <c r="AE44" i="36" s="1"/>
  <c r="AL44" i="36" s="1" a="1"/>
  <c r="AL44" i="36" s="1"/>
  <c r="AP44" i="36" s="1"/>
  <c r="AD7" i="36"/>
  <c r="AE7" i="36" s="1"/>
  <c r="AL7" i="36" s="1" a="1"/>
  <c r="AL7" i="36" s="1"/>
  <c r="AP7" i="36" s="1"/>
  <c r="AD19" i="36"/>
  <c r="AE19" i="36" s="1"/>
  <c r="AL19" i="36" s="1" a="1"/>
  <c r="AL19" i="36" s="1"/>
  <c r="AP19" i="36" s="1"/>
  <c r="AD40" i="36"/>
  <c r="AE40" i="36" s="1"/>
  <c r="AL40" i="36" s="1" a="1"/>
  <c r="AL40" i="36" s="1"/>
  <c r="AD39" i="36"/>
  <c r="AE39" i="36" s="1"/>
  <c r="AL39" i="36" s="1" a="1"/>
  <c r="AL39" i="36" s="1"/>
  <c r="AP39" i="36" s="1"/>
  <c r="AD35" i="36"/>
  <c r="AE35" i="36" s="1"/>
  <c r="AL35" i="36" s="1" a="1"/>
  <c r="AL35" i="36" s="1"/>
  <c r="AD14" i="36"/>
  <c r="AE14" i="36" s="1"/>
  <c r="AL14" i="36" s="1" a="1"/>
  <c r="AL14" i="36" s="1"/>
  <c r="AN14" i="36" s="1"/>
  <c r="AD8" i="36"/>
  <c r="AE8" i="36" s="1"/>
  <c r="AL8" i="36" s="1" a="1"/>
  <c r="AL8" i="36" s="1"/>
  <c r="AP8" i="36" s="1"/>
  <c r="AD15" i="36"/>
  <c r="AE15" i="36" s="1"/>
  <c r="AL15" i="36" s="1" a="1"/>
  <c r="AL15" i="36" s="1"/>
  <c r="AP15" i="36" s="1"/>
  <c r="AD34" i="36"/>
  <c r="AE34" i="36" s="1"/>
  <c r="AL34" i="36" s="1" a="1"/>
  <c r="AL34" i="36" s="1"/>
  <c r="AP34" i="36" s="1"/>
  <c r="AD22" i="36"/>
  <c r="AE22" i="36" s="1"/>
  <c r="AL22" i="36" s="1" a="1"/>
  <c r="AL22" i="36" s="1"/>
  <c r="AP22" i="36" s="1"/>
  <c r="AD28" i="36"/>
  <c r="AD13" i="36"/>
  <c r="AE13" i="36" s="1"/>
  <c r="AL13" i="36" s="1" a="1"/>
  <c r="AL13" i="36" s="1"/>
  <c r="AD5" i="36"/>
  <c r="AE5" i="36" s="1"/>
  <c r="AL5" i="36" s="1" a="1"/>
  <c r="AL5" i="36" s="1"/>
  <c r="AP5" i="36" s="1"/>
  <c r="AD41" i="36"/>
  <c r="AE41" i="36" s="1"/>
  <c r="AL41" i="36" s="1" a="1"/>
  <c r="AL41" i="36" s="1"/>
  <c r="AP41" i="36" s="1"/>
  <c r="AD21" i="36"/>
  <c r="AE21" i="36" s="1"/>
  <c r="AL21" i="36" s="1" a="1"/>
  <c r="AL21" i="36" s="1"/>
  <c r="AP21" i="36" s="1"/>
  <c r="AD47" i="36"/>
  <c r="AE47" i="36" s="1"/>
  <c r="AL47" i="36" s="1" a="1"/>
  <c r="AL47" i="36" s="1"/>
  <c r="AP47" i="36" s="1"/>
  <c r="AD43" i="36"/>
  <c r="AE43" i="36" s="1"/>
  <c r="AL43" i="36" s="1" a="1"/>
  <c r="AL43" i="36" s="1"/>
  <c r="AN43" i="36" s="1"/>
  <c r="AD16" i="36"/>
  <c r="AE16" i="36" s="1"/>
  <c r="AL16" i="36" s="1" a="1"/>
  <c r="AL16" i="36" s="1"/>
  <c r="AN16" i="36" s="1"/>
  <c r="AD36" i="36"/>
  <c r="AE36" i="36" s="1"/>
  <c r="AL36" i="36" s="1" a="1"/>
  <c r="AL36" i="36" s="1"/>
  <c r="AP36" i="36" s="1"/>
  <c r="AD18" i="36"/>
  <c r="AE18" i="36" s="1"/>
  <c r="AL18" i="36" s="1" a="1"/>
  <c r="AL18" i="36" s="1"/>
  <c r="AP18" i="36" s="1"/>
  <c r="AD42" i="36"/>
  <c r="AE42" i="36" s="1"/>
  <c r="AL42" i="36" s="1" a="1"/>
  <c r="AL42" i="36" s="1"/>
  <c r="AP42" i="36" s="1"/>
  <c r="AD32" i="36"/>
  <c r="AE32" i="36" s="1"/>
  <c r="AL32" i="36" s="1" a="1"/>
  <c r="AL32" i="36" s="1"/>
  <c r="AP32" i="36" s="1"/>
  <c r="AD38" i="36"/>
  <c r="AE38" i="36" s="1"/>
  <c r="AL38" i="36" s="1" a="1"/>
  <c r="AL38" i="36" s="1"/>
  <c r="AP38" i="36" s="1"/>
  <c r="AD24" i="36"/>
  <c r="AE24" i="36" s="1"/>
  <c r="AL24" i="36" s="1" a="1"/>
  <c r="AL24" i="36" s="1"/>
  <c r="AP24" i="36" s="1"/>
  <c r="AD23" i="36"/>
  <c r="AE23" i="36" s="1"/>
  <c r="AL23" i="36" s="1" a="1"/>
  <c r="AL23" i="36" s="1"/>
  <c r="AP23" i="36" s="1"/>
  <c r="AN24" i="28"/>
  <c r="AN14" i="33"/>
  <c r="AD49" i="28"/>
  <c r="X18" i="6" s="1"/>
  <c r="Z18" i="6" s="1"/>
  <c r="AC18" i="6" s="1"/>
  <c r="AP20" i="28"/>
  <c r="AN10" i="28"/>
  <c r="AN24" i="33"/>
  <c r="AN20" i="33"/>
  <c r="AN8" i="33"/>
  <c r="AP34" i="28"/>
  <c r="AP23" i="33"/>
  <c r="AN21" i="33"/>
  <c r="AN4" i="28"/>
  <c r="AP6" i="33"/>
  <c r="AN6" i="33"/>
  <c r="AP15" i="33"/>
  <c r="AN15" i="33"/>
  <c r="AN33" i="28"/>
  <c r="AN11" i="28"/>
  <c r="AP43" i="33"/>
  <c r="AN43" i="33"/>
  <c r="AD26" i="33"/>
  <c r="X19" i="6" s="1"/>
  <c r="AE3" i="33"/>
  <c r="AP32" i="33"/>
  <c r="AN45" i="33"/>
  <c r="AP44" i="28"/>
  <c r="AN41" i="33"/>
  <c r="AP41" i="33"/>
  <c r="AD49" i="33"/>
  <c r="X20" i="6" s="1"/>
  <c r="AE28" i="33"/>
  <c r="AN13" i="28"/>
  <c r="AN5" i="33"/>
  <c r="AN5" i="28"/>
  <c r="AP37" i="33"/>
  <c r="AN22" i="33"/>
  <c r="AP22" i="33"/>
  <c r="AP47" i="33"/>
  <c r="AN47" i="33"/>
  <c r="AN41" i="28"/>
  <c r="AP9" i="28"/>
  <c r="AN40" i="28"/>
  <c r="AN46" i="28"/>
  <c r="AP46" i="28"/>
  <c r="AP19" i="28"/>
  <c r="AP43" i="28"/>
  <c r="AN43" i="28"/>
  <c r="AP39" i="28"/>
  <c r="AN39" i="28"/>
  <c r="AP35" i="28"/>
  <c r="AN35" i="28"/>
  <c r="AN6" i="28"/>
  <c r="AN42" i="28"/>
  <c r="AP42" i="28"/>
  <c r="AN12" i="28"/>
  <c r="AN18" i="28"/>
  <c r="AP17" i="28"/>
  <c r="AN17" i="28"/>
  <c r="AP7" i="28"/>
  <c r="AN7" i="28"/>
  <c r="AN14" i="28"/>
  <c r="AP14" i="28"/>
  <c r="AP22" i="28"/>
  <c r="AN22" i="28"/>
  <c r="AP8" i="28"/>
  <c r="AN8" i="28"/>
  <c r="AD26" i="28"/>
  <c r="X17" i="6" s="1"/>
  <c r="X33" i="6" s="1"/>
  <c r="AL3" i="28"/>
  <c r="AM3" i="28" s="1"/>
  <c r="AM25" i="28" s="1"/>
  <c r="AE26" i="28"/>
  <c r="AE51" i="28" s="1"/>
  <c r="AL46" i="24" a="1"/>
  <c r="AL46" i="24" s="1"/>
  <c r="AN46" i="24" s="1"/>
  <c r="C30" i="25"/>
  <c r="AL45" i="24" a="1"/>
  <c r="AL45" i="24" s="1"/>
  <c r="AP45" i="24" s="1"/>
  <c r="C36" i="25"/>
  <c r="AL31" i="24" a="1"/>
  <c r="AL31" i="24" s="1"/>
  <c r="AN31" i="24" s="1"/>
  <c r="C39" i="25"/>
  <c r="AL37" i="24" a="1"/>
  <c r="AL37" i="24" s="1"/>
  <c r="AP37" i="24" s="1"/>
  <c r="C32" i="25"/>
  <c r="AL42" i="24" a="1"/>
  <c r="AL42" i="24" s="1"/>
  <c r="AP42" i="24" s="1"/>
  <c r="C49" i="25"/>
  <c r="AL33" i="24" a="1"/>
  <c r="AL33" i="24" s="1"/>
  <c r="C48" i="25"/>
  <c r="AL43" i="24" a="1"/>
  <c r="AL43" i="24" s="1"/>
  <c r="C33" i="25"/>
  <c r="AL44" i="24" a="1"/>
  <c r="AL44" i="24" s="1"/>
  <c r="C34" i="25"/>
  <c r="AL35" i="24" a="1"/>
  <c r="AL35" i="24" s="1"/>
  <c r="AP35" i="24" s="1"/>
  <c r="C41" i="25"/>
  <c r="AL38" i="24" a="1"/>
  <c r="AL38" i="24" s="1"/>
  <c r="AN38" i="24" s="1"/>
  <c r="C37" i="25"/>
  <c r="AL6" i="24" a="1"/>
  <c r="AL6" i="24" s="1"/>
  <c r="AP6" i="24" s="1"/>
  <c r="C23" i="25"/>
  <c r="AL10" i="24" a="1"/>
  <c r="AL10" i="24" s="1"/>
  <c r="AN10" i="24" s="1"/>
  <c r="C25" i="25"/>
  <c r="AL21" i="24" a="1"/>
  <c r="AL21" i="24" s="1"/>
  <c r="AP21" i="24" s="1"/>
  <c r="C13" i="25"/>
  <c r="AL9" i="24" a="1"/>
  <c r="AL9" i="24" s="1"/>
  <c r="AP9" i="24" s="1"/>
  <c r="C5" i="25"/>
  <c r="AL19" i="24" a="1"/>
  <c r="AL19" i="24" s="1"/>
  <c r="AN19" i="24" s="1"/>
  <c r="C22" i="25"/>
  <c r="AL14" i="24" a="1"/>
  <c r="AL14" i="24" s="1"/>
  <c r="AN14" i="24" s="1"/>
  <c r="C19" i="25"/>
  <c r="AL24" i="24" a="1"/>
  <c r="AL24" i="24" s="1"/>
  <c r="AP24" i="24" s="1"/>
  <c r="C16" i="25"/>
  <c r="AL8" i="24" a="1"/>
  <c r="AL8" i="24" s="1"/>
  <c r="AP8" i="24" s="1"/>
  <c r="C9" i="25"/>
  <c r="AL12" i="24" a="1"/>
  <c r="AL12" i="24" s="1"/>
  <c r="AP12" i="24" s="1"/>
  <c r="C18" i="25"/>
  <c r="AL4" i="24" a="1"/>
  <c r="AL4" i="24" s="1"/>
  <c r="C7" i="25"/>
  <c r="AE17" i="6"/>
  <c r="Q33" i="6"/>
  <c r="D17" i="6"/>
  <c r="F14" i="39"/>
  <c r="E15" i="39"/>
  <c r="M14" i="39"/>
  <c r="G14" i="39" s="1"/>
  <c r="L15" i="39"/>
  <c r="F37" i="39"/>
  <c r="E38" i="39"/>
  <c r="M37" i="39"/>
  <c r="G37" i="39" s="1"/>
  <c r="L38" i="39"/>
  <c r="V51" i="35"/>
  <c r="V51" i="34"/>
  <c r="Y51" i="36"/>
  <c r="V45" i="36"/>
  <c r="V17" i="36"/>
  <c r="V30" i="36"/>
  <c r="V9" i="36"/>
  <c r="V37" i="36"/>
  <c r="V29" i="36"/>
  <c r="V46" i="36"/>
  <c r="V40" i="36"/>
  <c r="V23" i="36"/>
  <c r="V41" i="36"/>
  <c r="V12" i="36"/>
  <c r="V4" i="36"/>
  <c r="V10" i="36"/>
  <c r="V32" i="36"/>
  <c r="V36" i="36"/>
  <c r="V18" i="36"/>
  <c r="V28" i="36"/>
  <c r="V49" i="36" s="1"/>
  <c r="V43" i="36"/>
  <c r="V33" i="36"/>
  <c r="V7" i="36"/>
  <c r="V44" i="36"/>
  <c r="V39" i="36"/>
  <c r="V19" i="36"/>
  <c r="V35" i="36"/>
  <c r="V38" i="36"/>
  <c r="V6" i="36"/>
  <c r="V47" i="36"/>
  <c r="V24" i="36"/>
  <c r="V22" i="36"/>
  <c r="V14" i="36"/>
  <c r="V13" i="36"/>
  <c r="V5" i="36"/>
  <c r="V8" i="36"/>
  <c r="V3" i="36"/>
  <c r="V26" i="36" s="1"/>
  <c r="V31" i="36"/>
  <c r="V21" i="36"/>
  <c r="V34" i="36"/>
  <c r="V20" i="36"/>
  <c r="V42" i="36"/>
  <c r="V16" i="36"/>
  <c r="V11" i="36"/>
  <c r="V15" i="36"/>
  <c r="V51" i="33"/>
  <c r="V51" i="28"/>
  <c r="AM42" i="24"/>
  <c r="AM46" i="24"/>
  <c r="AM4" i="24"/>
  <c r="AM38" i="24"/>
  <c r="AM43" i="24"/>
  <c r="AM45" i="24"/>
  <c r="AM44" i="24"/>
  <c r="AM37" i="24"/>
  <c r="M7" i="38"/>
  <c r="L8" i="38"/>
  <c r="F33" i="38"/>
  <c r="E34" i="38"/>
  <c r="M33" i="38"/>
  <c r="L34" i="38"/>
  <c r="F6" i="38"/>
  <c r="E7" i="38"/>
  <c r="P51" i="37"/>
  <c r="Y49" i="37"/>
  <c r="U51" i="37"/>
  <c r="AE1" i="37" s="1"/>
  <c r="Y26" i="37"/>
  <c r="AK25" i="37"/>
  <c r="O13" i="37"/>
  <c r="W13" i="37"/>
  <c r="AI13" i="37"/>
  <c r="AG13" i="37"/>
  <c r="O40" i="37"/>
  <c r="AG40" i="37"/>
  <c r="AM40" i="37" s="1"/>
  <c r="AI40" i="37"/>
  <c r="W40" i="37"/>
  <c r="O7" i="37"/>
  <c r="W7" i="37"/>
  <c r="AG7" i="37"/>
  <c r="AI7" i="37"/>
  <c r="O12" i="37"/>
  <c r="AI12" i="37"/>
  <c r="W12" i="37"/>
  <c r="AG12" i="37"/>
  <c r="O43" i="37"/>
  <c r="AI43" i="37"/>
  <c r="AG43" i="37"/>
  <c r="W43" i="37"/>
  <c r="O32" i="37"/>
  <c r="AG32" i="37"/>
  <c r="AM32" i="37" s="1"/>
  <c r="AI32" i="37"/>
  <c r="W32" i="37"/>
  <c r="O18" i="37"/>
  <c r="AG18" i="37"/>
  <c r="AM18" i="37" s="1"/>
  <c r="AI18" i="37"/>
  <c r="W18" i="37"/>
  <c r="O35" i="37"/>
  <c r="AI35" i="37"/>
  <c r="AG35" i="37"/>
  <c r="AM35" i="37" s="1"/>
  <c r="W35" i="37"/>
  <c r="O3" i="37"/>
  <c r="R26" i="37"/>
  <c r="W3" i="37"/>
  <c r="AI3" i="37"/>
  <c r="AG3" i="37"/>
  <c r="O37" i="37"/>
  <c r="AI37" i="37"/>
  <c r="AG37" i="37"/>
  <c r="W37" i="37"/>
  <c r="AK48" i="37"/>
  <c r="AJ25" i="37"/>
  <c r="AM6" i="37"/>
  <c r="O28" i="37"/>
  <c r="W28" i="37"/>
  <c r="AG28" i="37"/>
  <c r="AI28" i="37"/>
  <c r="R49" i="37"/>
  <c r="O36" i="37"/>
  <c r="W36" i="37"/>
  <c r="AG36" i="37"/>
  <c r="AM36" i="37" s="1"/>
  <c r="AI36" i="37"/>
  <c r="O21" i="37"/>
  <c r="W21" i="37"/>
  <c r="AI21" i="37"/>
  <c r="AG21" i="37"/>
  <c r="AM21" i="37" s="1"/>
  <c r="O24" i="37"/>
  <c r="AG24" i="37"/>
  <c r="AM24" i="37" s="1"/>
  <c r="W24" i="37"/>
  <c r="AI24" i="37"/>
  <c r="AI47" i="37"/>
  <c r="W47" i="37"/>
  <c r="O47" i="37"/>
  <c r="AG47" i="37"/>
  <c r="AM47" i="37" s="1"/>
  <c r="AJ48" i="37"/>
  <c r="O30" i="37"/>
  <c r="AI30" i="37"/>
  <c r="W30" i="37"/>
  <c r="AG30" i="37"/>
  <c r="AM30" i="37" s="1"/>
  <c r="O33" i="37"/>
  <c r="W33" i="37"/>
  <c r="AI33" i="37"/>
  <c r="AG33" i="37"/>
  <c r="O14" i="37"/>
  <c r="AI14" i="37"/>
  <c r="W14" i="37"/>
  <c r="AG14" i="37"/>
  <c r="AM14" i="37" s="1"/>
  <c r="O31" i="37"/>
  <c r="AI31" i="37"/>
  <c r="AG31" i="37"/>
  <c r="W31" i="37"/>
  <c r="O44" i="37"/>
  <c r="AI44" i="37"/>
  <c r="W44" i="37"/>
  <c r="AG44" i="37"/>
  <c r="O38" i="37"/>
  <c r="AG38" i="37"/>
  <c r="AI38" i="37"/>
  <c r="W38" i="37"/>
  <c r="W51" i="36"/>
  <c r="AE11" i="24"/>
  <c r="AE16" i="24"/>
  <c r="AE29" i="24"/>
  <c r="AE34" i="24"/>
  <c r="AE41" i="24"/>
  <c r="AE7" i="24"/>
  <c r="AE17" i="24"/>
  <c r="AE20" i="24"/>
  <c r="AE23" i="24"/>
  <c r="AE47" i="24"/>
  <c r="AE22" i="24"/>
  <c r="AE15" i="24"/>
  <c r="AE39" i="24"/>
  <c r="AE13" i="24"/>
  <c r="AE40" i="24"/>
  <c r="AN37" i="26"/>
  <c r="AP31" i="24"/>
  <c r="AM10" i="26"/>
  <c r="AM37" i="26"/>
  <c r="AN35" i="24"/>
  <c r="AE5" i="24"/>
  <c r="AE28" i="26"/>
  <c r="AP38" i="24"/>
  <c r="AE36" i="24"/>
  <c r="AE28" i="24"/>
  <c r="AP46" i="24"/>
  <c r="AE32" i="24"/>
  <c r="AN6" i="24"/>
  <c r="AN45" i="24"/>
  <c r="AE18" i="24"/>
  <c r="U51" i="24"/>
  <c r="Y51" i="24" s="1"/>
  <c r="AA26" i="24"/>
  <c r="AA52" i="24" s="1"/>
  <c r="AN37" i="24"/>
  <c r="Y49" i="24"/>
  <c r="Y26" i="24"/>
  <c r="AP44" i="24"/>
  <c r="AN44" i="24"/>
  <c r="AN9" i="24"/>
  <c r="AI48" i="24"/>
  <c r="AN42" i="24"/>
  <c r="AD49" i="24"/>
  <c r="R51" i="24"/>
  <c r="AM35" i="26"/>
  <c r="AM8" i="26"/>
  <c r="W49" i="26"/>
  <c r="AI48" i="26"/>
  <c r="AI25" i="26"/>
  <c r="I59" i="26"/>
  <c r="J59" i="26" s="1"/>
  <c r="J60" i="26"/>
  <c r="J58" i="26"/>
  <c r="AP12" i="26"/>
  <c r="AN12" i="26"/>
  <c r="AM12" i="26"/>
  <c r="AP36" i="26"/>
  <c r="AN36" i="26"/>
  <c r="AN24" i="26"/>
  <c r="AP24" i="26"/>
  <c r="AP20" i="26"/>
  <c r="AN20" i="26"/>
  <c r="AN14" i="26"/>
  <c r="AP14" i="26"/>
  <c r="AP42" i="26"/>
  <c r="AN42" i="26"/>
  <c r="AN13" i="26"/>
  <c r="AP13" i="26"/>
  <c r="AP32" i="26"/>
  <c r="AN32" i="26"/>
  <c r="AP39" i="26"/>
  <c r="AN39" i="26"/>
  <c r="Y49" i="26"/>
  <c r="R51" i="26"/>
  <c r="AP46" i="26"/>
  <c r="AN46" i="26"/>
  <c r="AP22" i="26"/>
  <c r="AN22" i="26"/>
  <c r="AP10" i="26"/>
  <c r="AN10" i="26"/>
  <c r="AG25" i="26"/>
  <c r="AM3" i="26"/>
  <c r="U51" i="26"/>
  <c r="Y51" i="26" s="1"/>
  <c r="Y26" i="26"/>
  <c r="AN33" i="26"/>
  <c r="AP33" i="26"/>
  <c r="AM32" i="26"/>
  <c r="AG48" i="26"/>
  <c r="AE26" i="26"/>
  <c r="AM13" i="26"/>
  <c r="AM42" i="26"/>
  <c r="AP35" i="26"/>
  <c r="AN35" i="26"/>
  <c r="AE49" i="26"/>
  <c r="AL28" i="26" a="1"/>
  <c r="AL28" i="26" s="1"/>
  <c r="AL25" i="26"/>
  <c r="AN3" i="26"/>
  <c r="AP3" i="26"/>
  <c r="AP21" i="26"/>
  <c r="AN21" i="26"/>
  <c r="AD26" i="26"/>
  <c r="AM14" i="26"/>
  <c r="AP8" i="26"/>
  <c r="AN8" i="26"/>
  <c r="AD49" i="26"/>
  <c r="W26" i="26"/>
  <c r="W51" i="26" s="1"/>
  <c r="M5" i="25"/>
  <c r="L6" i="25"/>
  <c r="M31" i="25"/>
  <c r="L32" i="25"/>
  <c r="AP14" i="24"/>
  <c r="AP19" i="24"/>
  <c r="AD26" i="24"/>
  <c r="AN8" i="24"/>
  <c r="AM14" i="24"/>
  <c r="W26" i="24"/>
  <c r="AE3" i="24"/>
  <c r="C4" i="25" s="1"/>
  <c r="AM15" i="24"/>
  <c r="AG25" i="24"/>
  <c r="AP33" i="24"/>
  <c r="AN33" i="24"/>
  <c r="AG48" i="24"/>
  <c r="AI25" i="24"/>
  <c r="AP4" i="24"/>
  <c r="AN4" i="24"/>
  <c r="AP43" i="24"/>
  <c r="AN43" i="24"/>
  <c r="AE30" i="24"/>
  <c r="C38" i="25" s="1"/>
  <c r="W49" i="24"/>
  <c r="AN21" i="24"/>
  <c r="W36" i="16"/>
  <c r="K5" i="6"/>
  <c r="K7" i="6"/>
  <c r="AM48" i="28" l="1"/>
  <c r="AD51" i="34"/>
  <c r="AE26" i="34"/>
  <c r="AL3" i="34"/>
  <c r="AN6" i="36"/>
  <c r="AE49" i="34"/>
  <c r="AL28" i="34" a="1"/>
  <c r="AL28" i="34" s="1"/>
  <c r="AD18" i="6"/>
  <c r="Z17" i="6"/>
  <c r="Z33" i="6" s="1"/>
  <c r="AP16" i="36"/>
  <c r="AN39" i="36"/>
  <c r="AN10" i="36"/>
  <c r="AD31" i="37"/>
  <c r="AE31" i="37" s="1"/>
  <c r="AL31" i="37" s="1" a="1"/>
  <c r="AL31" i="37" s="1"/>
  <c r="AM31" i="37" s="1"/>
  <c r="AD30" i="37"/>
  <c r="AE30" i="37" s="1"/>
  <c r="AL30" i="37" s="1" a="1"/>
  <c r="AL30" i="37" s="1"/>
  <c r="AD39" i="37"/>
  <c r="AE39" i="37" s="1"/>
  <c r="AL39" i="37" s="1" a="1"/>
  <c r="AL39" i="37" s="1"/>
  <c r="AP39" i="37" s="1"/>
  <c r="AD38" i="37"/>
  <c r="AE38" i="37" s="1"/>
  <c r="AL38" i="37" s="1" a="1"/>
  <c r="AL38" i="37" s="1"/>
  <c r="AD37" i="37"/>
  <c r="AE37" i="37" s="1"/>
  <c r="AL37" i="37" s="1" a="1"/>
  <c r="AL37" i="37" s="1"/>
  <c r="AD46" i="37"/>
  <c r="AE46" i="37" s="1"/>
  <c r="AL46" i="37" s="1" a="1"/>
  <c r="AL46" i="37" s="1"/>
  <c r="AP46" i="37" s="1"/>
  <c r="AD45" i="37"/>
  <c r="AE45" i="37" s="1"/>
  <c r="AL45" i="37" s="1" a="1"/>
  <c r="AL45" i="37" s="1"/>
  <c r="AP45" i="37" s="1"/>
  <c r="AD40" i="37"/>
  <c r="AE40" i="37" s="1"/>
  <c r="AL40" i="37" s="1" a="1"/>
  <c r="AL40" i="37" s="1"/>
  <c r="AD44" i="37"/>
  <c r="AE44" i="37" s="1"/>
  <c r="AL44" i="37" s="1" a="1"/>
  <c r="AL44" i="37" s="1"/>
  <c r="AP44" i="37" s="1"/>
  <c r="AD32" i="37"/>
  <c r="AE32" i="37" s="1"/>
  <c r="AL32" i="37" s="1" a="1"/>
  <c r="AL32" i="37" s="1"/>
  <c r="AD35" i="37"/>
  <c r="AE35" i="37" s="1"/>
  <c r="AL35" i="37" s="1" a="1"/>
  <c r="AL35" i="37" s="1"/>
  <c r="AD36" i="37"/>
  <c r="AE36" i="37" s="1"/>
  <c r="AL36" i="37" s="1" a="1"/>
  <c r="AL36" i="37" s="1"/>
  <c r="AP36" i="37" s="1"/>
  <c r="AD47" i="37"/>
  <c r="AE47" i="37" s="1"/>
  <c r="AL47" i="37" s="1" a="1"/>
  <c r="AL47" i="37" s="1"/>
  <c r="AP47" i="37" s="1"/>
  <c r="AD34" i="37"/>
  <c r="AE34" i="37" s="1"/>
  <c r="AL34" i="37" s="1" a="1"/>
  <c r="AL34" i="37" s="1"/>
  <c r="AM34" i="37" s="1"/>
  <c r="AD33" i="37"/>
  <c r="AE33" i="37" s="1"/>
  <c r="AL33" i="37" s="1" a="1"/>
  <c r="AL33" i="37" s="1"/>
  <c r="AM33" i="37" s="1"/>
  <c r="AD42" i="37"/>
  <c r="AE42" i="37" s="1"/>
  <c r="AL42" i="37" s="1" a="1"/>
  <c r="AL42" i="37" s="1"/>
  <c r="AM42" i="37" s="1"/>
  <c r="AD29" i="37"/>
  <c r="AE29" i="37" s="1"/>
  <c r="AL29" i="37" s="1" a="1"/>
  <c r="AL29" i="37" s="1"/>
  <c r="AD43" i="37"/>
  <c r="AE43" i="37" s="1"/>
  <c r="AL43" i="37" s="1" a="1"/>
  <c r="AL43" i="37" s="1"/>
  <c r="AM43" i="37" s="1"/>
  <c r="AD41" i="37"/>
  <c r="AE41" i="37" s="1"/>
  <c r="AL41" i="37" s="1" a="1"/>
  <c r="AL41" i="37" s="1"/>
  <c r="AP41" i="37" s="1"/>
  <c r="AN32" i="36"/>
  <c r="AD24" i="37"/>
  <c r="AE24" i="37" s="1"/>
  <c r="AL24" i="37" s="1" a="1"/>
  <c r="AL24" i="37" s="1"/>
  <c r="AN24" i="37" s="1"/>
  <c r="AD28" i="37"/>
  <c r="AE28" i="37" s="1"/>
  <c r="AD3" i="37"/>
  <c r="AE3" i="37" s="1"/>
  <c r="AD5" i="37"/>
  <c r="AE5" i="37" s="1"/>
  <c r="AL5" i="37" s="1" a="1"/>
  <c r="AL5" i="37" s="1"/>
  <c r="AN5" i="37" s="1"/>
  <c r="AD7" i="37"/>
  <c r="AE7" i="37" s="1"/>
  <c r="AL7" i="37" s="1" a="1"/>
  <c r="AL7" i="37" s="1"/>
  <c r="AD8" i="37"/>
  <c r="AE8" i="37" s="1"/>
  <c r="AL8" i="37" s="1" a="1"/>
  <c r="AL8" i="37" s="1"/>
  <c r="AP8" i="37" s="1"/>
  <c r="AD20" i="37"/>
  <c r="AE20" i="37" s="1"/>
  <c r="AL20" i="37" s="1" a="1"/>
  <c r="AL20" i="37" s="1"/>
  <c r="AM20" i="37" s="1"/>
  <c r="AD12" i="37"/>
  <c r="AE12" i="37" s="1"/>
  <c r="AL12" i="37" s="1" a="1"/>
  <c r="AL12" i="37" s="1"/>
  <c r="AM12" i="37" s="1"/>
  <c r="AD13" i="37"/>
  <c r="AE13" i="37" s="1"/>
  <c r="AL13" i="37" s="1" a="1"/>
  <c r="AL13" i="37" s="1"/>
  <c r="AD22" i="37"/>
  <c r="AE22" i="37" s="1"/>
  <c r="AL22" i="37" s="1" a="1"/>
  <c r="AL22" i="37" s="1"/>
  <c r="AP22" i="37" s="1"/>
  <c r="AD10" i="37"/>
  <c r="AE10" i="37" s="1"/>
  <c r="AL10" i="37" s="1" a="1"/>
  <c r="AL10" i="37" s="1"/>
  <c r="AD4" i="37"/>
  <c r="AE4" i="37" s="1"/>
  <c r="AL4" i="37" s="1" a="1"/>
  <c r="AL4" i="37" s="1"/>
  <c r="AP4" i="37" s="1"/>
  <c r="AD6" i="37"/>
  <c r="AE6" i="37" s="1"/>
  <c r="AL6" i="37" s="1" a="1"/>
  <c r="AL6" i="37" s="1"/>
  <c r="AP6" i="37" s="1"/>
  <c r="AD11" i="37"/>
  <c r="AE11" i="37" s="1"/>
  <c r="AL11" i="37" s="1" a="1"/>
  <c r="AL11" i="37" s="1"/>
  <c r="AP11" i="37" s="1"/>
  <c r="AD17" i="37"/>
  <c r="AE17" i="37" s="1"/>
  <c r="AL17" i="37" s="1" a="1"/>
  <c r="AL17" i="37" s="1"/>
  <c r="AP17" i="37" s="1"/>
  <c r="AD23" i="37"/>
  <c r="AE23" i="37" s="1"/>
  <c r="AL23" i="37" s="1" a="1"/>
  <c r="AL23" i="37" s="1"/>
  <c r="AN23" i="37" s="1"/>
  <c r="AD16" i="37"/>
  <c r="AE16" i="37" s="1"/>
  <c r="AL16" i="37" s="1" a="1"/>
  <c r="AL16" i="37" s="1"/>
  <c r="AP16" i="37" s="1"/>
  <c r="AD21" i="37"/>
  <c r="AE21" i="37" s="1"/>
  <c r="AL21" i="37" s="1" a="1"/>
  <c r="AL21" i="37" s="1"/>
  <c r="AD9" i="37"/>
  <c r="AE9" i="37" s="1"/>
  <c r="AL9" i="37" s="1" a="1"/>
  <c r="AL9" i="37" s="1"/>
  <c r="AN9" i="37" s="1"/>
  <c r="AD14" i="37"/>
  <c r="AE14" i="37" s="1"/>
  <c r="AL14" i="37" s="1" a="1"/>
  <c r="AL14" i="37" s="1"/>
  <c r="AD18" i="37"/>
  <c r="AE18" i="37" s="1"/>
  <c r="AL18" i="37" s="1" a="1"/>
  <c r="AL18" i="37" s="1"/>
  <c r="AD15" i="37"/>
  <c r="AE15" i="37" s="1"/>
  <c r="AL15" i="37" s="1" a="1"/>
  <c r="AL15" i="37" s="1"/>
  <c r="AM15" i="37" s="1"/>
  <c r="AD19" i="37"/>
  <c r="AE19" i="37" s="1"/>
  <c r="AL19" i="37" s="1" a="1"/>
  <c r="AL19" i="37" s="1"/>
  <c r="AN19" i="37" s="1"/>
  <c r="AN23" i="36"/>
  <c r="AP20" i="36"/>
  <c r="AN34" i="36"/>
  <c r="AP43" i="36"/>
  <c r="AN7" i="36"/>
  <c r="AD51" i="28"/>
  <c r="AN42" i="36"/>
  <c r="AD51" i="35"/>
  <c r="AN36" i="36"/>
  <c r="AN18" i="36"/>
  <c r="AN5" i="36"/>
  <c r="AN19" i="36"/>
  <c r="AD51" i="33"/>
  <c r="AN47" i="36"/>
  <c r="AN44" i="36"/>
  <c r="AN28" i="28"/>
  <c r="AN48" i="28" s="1"/>
  <c r="AN15" i="36"/>
  <c r="AP11" i="36"/>
  <c r="AN24" i="36"/>
  <c r="AP31" i="36"/>
  <c r="AP28" i="28"/>
  <c r="AP49" i="28" s="1"/>
  <c r="AN38" i="36"/>
  <c r="AN21" i="36"/>
  <c r="AE26" i="35"/>
  <c r="AL3" i="35"/>
  <c r="AE49" i="35"/>
  <c r="AL28" i="35" a="1"/>
  <c r="AL28" i="35" s="1"/>
  <c r="AN22" i="36"/>
  <c r="AP33" i="36"/>
  <c r="AN8" i="36"/>
  <c r="AN45" i="36"/>
  <c r="AP45" i="36"/>
  <c r="AP35" i="36"/>
  <c r="AN35" i="36"/>
  <c r="AP29" i="36"/>
  <c r="AN29" i="36"/>
  <c r="AD26" i="36"/>
  <c r="AE3" i="36"/>
  <c r="AN13" i="36"/>
  <c r="AP13" i="36"/>
  <c r="AP37" i="36"/>
  <c r="AN37" i="36"/>
  <c r="AD49" i="36"/>
  <c r="AE28" i="36"/>
  <c r="AP40" i="36"/>
  <c r="AN40" i="36"/>
  <c r="AN4" i="36"/>
  <c r="AP4" i="36"/>
  <c r="AP30" i="36"/>
  <c r="AN30" i="36"/>
  <c r="AN12" i="36"/>
  <c r="AP12" i="36"/>
  <c r="AN9" i="36"/>
  <c r="AP9" i="36"/>
  <c r="AN46" i="36"/>
  <c r="AP46" i="36"/>
  <c r="AN41" i="36"/>
  <c r="AP17" i="36"/>
  <c r="AN17" i="36"/>
  <c r="AP14" i="36"/>
  <c r="AE26" i="33"/>
  <c r="AL3" i="33"/>
  <c r="AE49" i="33"/>
  <c r="AL28" i="33" a="1"/>
  <c r="AL28" i="33" s="1"/>
  <c r="AP3" i="28"/>
  <c r="AP26" i="28" s="1"/>
  <c r="AL25" i="28"/>
  <c r="AN3" i="28"/>
  <c r="AN25" i="28" s="1"/>
  <c r="AL47" i="24" a="1"/>
  <c r="AL47" i="24" s="1"/>
  <c r="AN47" i="24" s="1"/>
  <c r="C47" i="25"/>
  <c r="AL36" i="24" a="1"/>
  <c r="AL36" i="24" s="1"/>
  <c r="AN36" i="24" s="1"/>
  <c r="C46" i="25"/>
  <c r="AL40" i="24" a="1"/>
  <c r="AL40" i="24" s="1"/>
  <c r="AP40" i="24" s="1"/>
  <c r="C42" i="25"/>
  <c r="AL41" i="24" a="1"/>
  <c r="AL41" i="24" s="1"/>
  <c r="AN41" i="24" s="1"/>
  <c r="C43" i="25"/>
  <c r="AL34" i="24" a="1"/>
  <c r="AL34" i="24" s="1"/>
  <c r="AP34" i="24" s="1"/>
  <c r="C31" i="25"/>
  <c r="AL39" i="24" a="1"/>
  <c r="AL39" i="24" s="1"/>
  <c r="AP39" i="24" s="1"/>
  <c r="C35" i="25"/>
  <c r="AL32" i="24" a="1"/>
  <c r="AL32" i="24" s="1"/>
  <c r="AN32" i="24" s="1"/>
  <c r="C40" i="25"/>
  <c r="AL29" i="24" a="1"/>
  <c r="AL29" i="24" s="1"/>
  <c r="AN29" i="24" s="1"/>
  <c r="C45" i="25"/>
  <c r="AL28" i="24" a="1"/>
  <c r="AL28" i="24" s="1"/>
  <c r="AP28" i="24" s="1"/>
  <c r="C44" i="25"/>
  <c r="AL15" i="24" a="1"/>
  <c r="AL15" i="24" s="1"/>
  <c r="AP15" i="24" s="1"/>
  <c r="C20" i="25"/>
  <c r="AM8" i="24"/>
  <c r="AL22" i="24" a="1"/>
  <c r="AL22" i="24" s="1"/>
  <c r="AP22" i="24" s="1"/>
  <c r="C14" i="25"/>
  <c r="AN12" i="24"/>
  <c r="AL16" i="24" a="1"/>
  <c r="AL16" i="24" s="1"/>
  <c r="AN16" i="24" s="1"/>
  <c r="C10" i="25"/>
  <c r="AL11" i="24" a="1"/>
  <c r="AL11" i="24" s="1"/>
  <c r="AP11" i="24" s="1"/>
  <c r="C17" i="25"/>
  <c r="AN24" i="24"/>
  <c r="AP10" i="24"/>
  <c r="AL20" i="24" a="1"/>
  <c r="AL20" i="24" s="1"/>
  <c r="AP20" i="24" s="1"/>
  <c r="C6" i="25"/>
  <c r="C26" i="25" s="1"/>
  <c r="D4" i="25" s="1"/>
  <c r="AM9" i="24"/>
  <c r="AL23" i="24" a="1"/>
  <c r="AL23" i="24" s="1"/>
  <c r="AN23" i="24" s="1"/>
  <c r="C15" i="25"/>
  <c r="AL18" i="24" a="1"/>
  <c r="AL18" i="24" s="1"/>
  <c r="AP18" i="24" s="1"/>
  <c r="C12" i="25"/>
  <c r="AL17" i="24" a="1"/>
  <c r="AL17" i="24" s="1"/>
  <c r="AP17" i="24" s="1"/>
  <c r="C11" i="25"/>
  <c r="AL13" i="24" a="1"/>
  <c r="AL13" i="24" s="1"/>
  <c r="C24" i="25"/>
  <c r="AL7" i="24" a="1"/>
  <c r="AL7" i="24" s="1"/>
  <c r="AP7" i="24" s="1"/>
  <c r="C21" i="25"/>
  <c r="AL5" i="24" a="1"/>
  <c r="AL5" i="24" s="1"/>
  <c r="AP5" i="24" s="1"/>
  <c r="C8" i="25"/>
  <c r="M38" i="39"/>
  <c r="G38" i="39" s="1"/>
  <c r="L39" i="39"/>
  <c r="F38" i="39"/>
  <c r="E39" i="39"/>
  <c r="M15" i="39"/>
  <c r="G15" i="39" s="1"/>
  <c r="L16" i="39"/>
  <c r="F15" i="39"/>
  <c r="E16" i="39"/>
  <c r="V51" i="36"/>
  <c r="Y51" i="37"/>
  <c r="V28" i="37"/>
  <c r="V41" i="37"/>
  <c r="V23" i="37"/>
  <c r="V44" i="37"/>
  <c r="V24" i="37"/>
  <c r="V30" i="37"/>
  <c r="V47" i="37"/>
  <c r="V14" i="37"/>
  <c r="V43" i="37"/>
  <c r="V11" i="37"/>
  <c r="V4" i="37"/>
  <c r="V13" i="37"/>
  <c r="V32" i="37"/>
  <c r="V20" i="37"/>
  <c r="V35" i="37"/>
  <c r="V16" i="37"/>
  <c r="V17" i="37"/>
  <c r="V36" i="37"/>
  <c r="V3" i="37"/>
  <c r="V22" i="37"/>
  <c r="V12" i="37"/>
  <c r="V15" i="37"/>
  <c r="V8" i="37"/>
  <c r="V21" i="37"/>
  <c r="V18" i="37"/>
  <c r="V42" i="37"/>
  <c r="V34" i="37"/>
  <c r="V45" i="37"/>
  <c r="V10" i="37"/>
  <c r="V39" i="37"/>
  <c r="V7" i="37"/>
  <c r="V9" i="37"/>
  <c r="V38" i="37"/>
  <c r="V5" i="37"/>
  <c r="V6" i="37"/>
  <c r="V37" i="37"/>
  <c r="V40" i="37"/>
  <c r="V33" i="37"/>
  <c r="V46" i="37"/>
  <c r="V19" i="37"/>
  <c r="V29" i="37"/>
  <c r="V31" i="37"/>
  <c r="AM34" i="24"/>
  <c r="AM7" i="24"/>
  <c r="AM39" i="24"/>
  <c r="AM48" i="24" s="1"/>
  <c r="F7" i="38"/>
  <c r="E8" i="38"/>
  <c r="M34" i="38"/>
  <c r="G34" i="38" s="1"/>
  <c r="L35" i="38"/>
  <c r="F34" i="38"/>
  <c r="E35" i="38"/>
  <c r="M8" i="38"/>
  <c r="G8" i="38" s="1"/>
  <c r="L11" i="38"/>
  <c r="L9" i="38"/>
  <c r="AK51" i="24"/>
  <c r="AG25" i="37"/>
  <c r="AI25" i="37"/>
  <c r="W26" i="37"/>
  <c r="R51" i="37"/>
  <c r="AI48" i="37"/>
  <c r="AM28" i="37"/>
  <c r="AG48" i="37"/>
  <c r="W49" i="37"/>
  <c r="AP29" i="24"/>
  <c r="AN17" i="24"/>
  <c r="AP16" i="24"/>
  <c r="AN7" i="24"/>
  <c r="AN34" i="24"/>
  <c r="AP41" i="24"/>
  <c r="AP23" i="24"/>
  <c r="AN22" i="24"/>
  <c r="AN20" i="24"/>
  <c r="AP47" i="24"/>
  <c r="AN15" i="24"/>
  <c r="AN39" i="24"/>
  <c r="AN13" i="24"/>
  <c r="AN40" i="24"/>
  <c r="AN28" i="24"/>
  <c r="AN5" i="24"/>
  <c r="AM48" i="26"/>
  <c r="AP36" i="24"/>
  <c r="AN18" i="24"/>
  <c r="AP32" i="24"/>
  <c r="AD51" i="24"/>
  <c r="W51" i="24"/>
  <c r="AE51" i="26"/>
  <c r="AD51" i="26"/>
  <c r="AP26" i="26"/>
  <c r="AN25" i="26"/>
  <c r="AL48" i="26"/>
  <c r="AP28" i="26"/>
  <c r="AP49" i="26" s="1"/>
  <c r="AN28" i="26"/>
  <c r="AN48" i="26" s="1"/>
  <c r="AM25" i="26"/>
  <c r="M32" i="25"/>
  <c r="L33" i="25"/>
  <c r="M6" i="25"/>
  <c r="L7" i="25"/>
  <c r="AE26" i="24"/>
  <c r="AL3" i="24"/>
  <c r="AE49" i="24"/>
  <c r="AL30" i="24" a="1"/>
  <c r="AL30" i="24" s="1"/>
  <c r="J36" i="9"/>
  <c r="J37" i="9"/>
  <c r="J33" i="9"/>
  <c r="J38" i="9"/>
  <c r="J34" i="9"/>
  <c r="J39" i="9"/>
  <c r="J40" i="9"/>
  <c r="J41" i="9"/>
  <c r="J32" i="9"/>
  <c r="J49" i="9"/>
  <c r="J42" i="9"/>
  <c r="J43" i="9"/>
  <c r="J44" i="9"/>
  <c r="J45" i="9"/>
  <c r="J46" i="9"/>
  <c r="J31" i="9"/>
  <c r="J30" i="9"/>
  <c r="J47" i="9"/>
  <c r="J48" i="9"/>
  <c r="J35" i="9"/>
  <c r="J6" i="9"/>
  <c r="J14" i="9"/>
  <c r="J9" i="9"/>
  <c r="J5" i="9"/>
  <c r="J10" i="9"/>
  <c r="J7" i="9"/>
  <c r="J15" i="9"/>
  <c r="J16" i="9"/>
  <c r="J11" i="9"/>
  <c r="J8" i="9"/>
  <c r="J12" i="9"/>
  <c r="J17" i="9"/>
  <c r="J18" i="9"/>
  <c r="J19" i="9"/>
  <c r="J20" i="9"/>
  <c r="J13" i="9"/>
  <c r="J21" i="9"/>
  <c r="J22" i="9"/>
  <c r="J23" i="9"/>
  <c r="J24" i="9"/>
  <c r="J25" i="9"/>
  <c r="J4" i="9"/>
  <c r="J34" i="8"/>
  <c r="J35" i="8"/>
  <c r="J36" i="8"/>
  <c r="J37" i="8"/>
  <c r="J38" i="8"/>
  <c r="J39" i="8"/>
  <c r="J40" i="8"/>
  <c r="J41" i="8"/>
  <c r="J42" i="8"/>
  <c r="J31" i="8"/>
  <c r="J43" i="8"/>
  <c r="J44" i="8"/>
  <c r="J45" i="8"/>
  <c r="J46" i="8"/>
  <c r="J47" i="8"/>
  <c r="J30" i="8"/>
  <c r="J32" i="8"/>
  <c r="J48" i="8"/>
  <c r="J49" i="8"/>
  <c r="J33" i="8"/>
  <c r="J6" i="8"/>
  <c r="J7" i="8"/>
  <c r="J5" i="8"/>
  <c r="J9" i="8"/>
  <c r="J10" i="8"/>
  <c r="J11" i="8"/>
  <c r="J12" i="8"/>
  <c r="J13" i="8"/>
  <c r="J14" i="8"/>
  <c r="J15" i="8"/>
  <c r="J16" i="8"/>
  <c r="J17" i="8"/>
  <c r="J8" i="8"/>
  <c r="J18" i="8"/>
  <c r="J19" i="8"/>
  <c r="J20" i="8"/>
  <c r="J21" i="8"/>
  <c r="J22" i="8"/>
  <c r="J23" i="8"/>
  <c r="J24" i="8"/>
  <c r="J25" i="8"/>
  <c r="J4" i="8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30" i="7"/>
  <c r="J46" i="7"/>
  <c r="J47" i="7"/>
  <c r="J31" i="7"/>
  <c r="J48" i="7"/>
  <c r="J49" i="7"/>
  <c r="J32" i="7"/>
  <c r="J14" i="7"/>
  <c r="J9" i="7"/>
  <c r="J5" i="7"/>
  <c r="J10" i="7"/>
  <c r="J15" i="7"/>
  <c r="J11" i="7"/>
  <c r="J16" i="7"/>
  <c r="J17" i="7"/>
  <c r="J6" i="7"/>
  <c r="J12" i="7"/>
  <c r="J13" i="7"/>
  <c r="J7" i="7"/>
  <c r="J8" i="7"/>
  <c r="J18" i="7"/>
  <c r="J19" i="7"/>
  <c r="J20" i="7"/>
  <c r="J21" i="7"/>
  <c r="J22" i="7"/>
  <c r="J23" i="7"/>
  <c r="J24" i="7"/>
  <c r="J25" i="7"/>
  <c r="J4" i="7"/>
  <c r="J32" i="11"/>
  <c r="J33" i="11"/>
  <c r="J34" i="11"/>
  <c r="J35" i="11"/>
  <c r="J36" i="11"/>
  <c r="J30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31" i="11"/>
  <c r="J6" i="11"/>
  <c r="J7" i="11"/>
  <c r="J5" i="11"/>
  <c r="J8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9" i="11"/>
  <c r="J22" i="11"/>
  <c r="J23" i="11"/>
  <c r="J24" i="11"/>
  <c r="J25" i="11"/>
  <c r="J4" i="11"/>
  <c r="G7" i="38" l="1"/>
  <c r="AM45" i="37"/>
  <c r="AP29" i="37"/>
  <c r="AM29" i="37"/>
  <c r="AN45" i="37"/>
  <c r="AP10" i="37"/>
  <c r="AM10" i="37"/>
  <c r="AN46" i="37"/>
  <c r="AN16" i="37"/>
  <c r="AN34" i="37"/>
  <c r="AN36" i="37"/>
  <c r="AE51" i="34"/>
  <c r="AM46" i="37"/>
  <c r="AP28" i="34"/>
  <c r="AP49" i="34" s="1"/>
  <c r="AN28" i="34"/>
  <c r="AN48" i="34" s="1"/>
  <c r="AL48" i="34"/>
  <c r="AP34" i="37"/>
  <c r="AP3" i="34"/>
  <c r="AN3" i="34"/>
  <c r="AN25" i="34" s="1"/>
  <c r="AL25" i="34"/>
  <c r="AN29" i="37"/>
  <c r="AM4" i="37"/>
  <c r="AN4" i="37"/>
  <c r="AN17" i="37"/>
  <c r="AM44" i="37"/>
  <c r="AN44" i="37"/>
  <c r="AN8" i="37"/>
  <c r="AP32" i="37"/>
  <c r="AN32" i="37"/>
  <c r="AP30" i="37"/>
  <c r="AN30" i="37"/>
  <c r="AP9" i="37"/>
  <c r="AM39" i="37"/>
  <c r="AN22" i="37"/>
  <c r="AN41" i="37"/>
  <c r="AN39" i="37"/>
  <c r="AP37" i="37"/>
  <c r="AN37" i="37"/>
  <c r="AM37" i="37"/>
  <c r="AN38" i="37"/>
  <c r="AP38" i="37"/>
  <c r="AM38" i="37"/>
  <c r="AP35" i="37"/>
  <c r="AN35" i="37"/>
  <c r="AP31" i="37"/>
  <c r="AN31" i="37"/>
  <c r="AP40" i="37"/>
  <c r="AN40" i="37"/>
  <c r="AP33" i="37"/>
  <c r="AN33" i="37"/>
  <c r="AP24" i="37"/>
  <c r="AN43" i="37"/>
  <c r="AN42" i="37"/>
  <c r="AP43" i="37"/>
  <c r="AN47" i="37"/>
  <c r="AD49" i="37"/>
  <c r="AP42" i="37"/>
  <c r="AM8" i="37"/>
  <c r="AN11" i="37"/>
  <c r="AP23" i="37"/>
  <c r="AN14" i="37"/>
  <c r="AP14" i="37"/>
  <c r="AM13" i="37"/>
  <c r="AP13" i="37"/>
  <c r="AN13" i="37"/>
  <c r="AP20" i="37"/>
  <c r="AN20" i="37"/>
  <c r="AN12" i="37"/>
  <c r="AP12" i="37"/>
  <c r="AN18" i="37"/>
  <c r="AP18" i="37"/>
  <c r="AP7" i="37"/>
  <c r="AM7" i="37"/>
  <c r="AN7" i="37"/>
  <c r="AN21" i="37"/>
  <c r="AP21" i="37"/>
  <c r="AM9" i="37"/>
  <c r="AP5" i="37"/>
  <c r="AD26" i="37"/>
  <c r="AN10" i="37"/>
  <c r="AM5" i="37"/>
  <c r="AP19" i="37"/>
  <c r="AN6" i="37"/>
  <c r="AP15" i="37"/>
  <c r="AN15" i="37"/>
  <c r="AN3" i="35"/>
  <c r="AN25" i="35" s="1"/>
  <c r="AL25" i="35"/>
  <c r="AP3" i="35"/>
  <c r="AP26" i="35" s="1"/>
  <c r="AP51" i="35" s="1"/>
  <c r="K59" i="35" s="1"/>
  <c r="L59" i="35" s="1"/>
  <c r="AE51" i="35"/>
  <c r="AP28" i="35"/>
  <c r="AP49" i="35" s="1"/>
  <c r="AN28" i="35"/>
  <c r="AN48" i="35" s="1"/>
  <c r="AL48" i="35"/>
  <c r="AE51" i="33"/>
  <c r="AD51" i="36"/>
  <c r="AE26" i="36"/>
  <c r="AL3" i="36"/>
  <c r="AE49" i="36"/>
  <c r="AL28" i="36" a="1"/>
  <c r="AL28" i="36" s="1"/>
  <c r="AP28" i="33"/>
  <c r="AP49" i="33" s="1"/>
  <c r="AL48" i="33"/>
  <c r="AN28" i="33"/>
  <c r="AN48" i="33" s="1"/>
  <c r="AN3" i="33"/>
  <c r="AN25" i="33" s="1"/>
  <c r="AP3" i="33"/>
  <c r="AP26" i="33" s="1"/>
  <c r="AP51" i="33" s="1"/>
  <c r="K59" i="33" s="1"/>
  <c r="L59" i="33" s="1"/>
  <c r="AL25" i="33"/>
  <c r="AP51" i="28"/>
  <c r="K59" i="28" s="1"/>
  <c r="L59" i="28" s="1"/>
  <c r="C50" i="25"/>
  <c r="D44" i="25" s="1"/>
  <c r="AP13" i="24"/>
  <c r="AM13" i="24"/>
  <c r="AN11" i="24"/>
  <c r="AM20" i="24"/>
  <c r="AM5" i="24"/>
  <c r="E4" i="25"/>
  <c r="F4" i="25" s="1"/>
  <c r="D23" i="25"/>
  <c r="D9" i="25"/>
  <c r="D5" i="25"/>
  <c r="D14" i="25"/>
  <c r="D8" i="25"/>
  <c r="D12" i="25"/>
  <c r="D6" i="25"/>
  <c r="D11" i="25"/>
  <c r="D7" i="25"/>
  <c r="D10" i="25"/>
  <c r="D22" i="25"/>
  <c r="D15" i="25"/>
  <c r="D19" i="25"/>
  <c r="D16" i="25"/>
  <c r="D20" i="25"/>
  <c r="D17" i="25"/>
  <c r="D21" i="25"/>
  <c r="D13" i="25"/>
  <c r="D24" i="25"/>
  <c r="D18" i="25"/>
  <c r="D25" i="25"/>
  <c r="F16" i="39"/>
  <c r="E17" i="39"/>
  <c r="M16" i="39"/>
  <c r="G16" i="39" s="1"/>
  <c r="L17" i="39"/>
  <c r="F39" i="39"/>
  <c r="E40" i="39"/>
  <c r="M39" i="39"/>
  <c r="G39" i="39" s="1"/>
  <c r="L40" i="39"/>
  <c r="V26" i="37"/>
  <c r="V49" i="37"/>
  <c r="G5" i="25"/>
  <c r="M11" i="38"/>
  <c r="G11" i="38" s="1"/>
  <c r="L12" i="38"/>
  <c r="F35" i="38"/>
  <c r="E36" i="38"/>
  <c r="M35" i="38"/>
  <c r="L36" i="38"/>
  <c r="F8" i="38"/>
  <c r="E11" i="38"/>
  <c r="E9" i="38"/>
  <c r="M9" i="38"/>
  <c r="G9" i="38" s="1"/>
  <c r="L10" i="38"/>
  <c r="M10" i="38" s="1"/>
  <c r="G10" i="38" s="1"/>
  <c r="AK51" i="37"/>
  <c r="AE49" i="37"/>
  <c r="AL28" i="37" a="1"/>
  <c r="AL28" i="37" s="1"/>
  <c r="AE26" i="37"/>
  <c r="AL3" i="37"/>
  <c r="AM3" i="37" s="1"/>
  <c r="W51" i="37"/>
  <c r="AE51" i="24"/>
  <c r="AP51" i="26"/>
  <c r="K59" i="26" s="1"/>
  <c r="L59" i="26" s="1"/>
  <c r="M7" i="25"/>
  <c r="L8" i="25"/>
  <c r="M33" i="25"/>
  <c r="L34" i="25"/>
  <c r="AP30" i="24"/>
  <c r="AP49" i="24" s="1"/>
  <c r="AN30" i="24"/>
  <c r="AN48" i="24" s="1"/>
  <c r="AL48" i="24"/>
  <c r="AP3" i="24"/>
  <c r="AL25" i="24"/>
  <c r="AN3" i="24"/>
  <c r="AN25" i="24" s="1"/>
  <c r="AM3" i="24"/>
  <c r="AM25" i="24" s="1"/>
  <c r="AA52" i="15"/>
  <c r="AA26" i="15"/>
  <c r="AA51" i="18"/>
  <c r="R51" i="16"/>
  <c r="R51" i="1"/>
  <c r="R51" i="5"/>
  <c r="R51" i="15"/>
  <c r="G33" i="38" l="1"/>
  <c r="AP26" i="34"/>
  <c r="AP51" i="34"/>
  <c r="K59" i="34" s="1"/>
  <c r="L59" i="34" s="1"/>
  <c r="AM25" i="37"/>
  <c r="AM48" i="37"/>
  <c r="AD51" i="37"/>
  <c r="AP28" i="36"/>
  <c r="AP49" i="36" s="1"/>
  <c r="AL48" i="36"/>
  <c r="AN28" i="36"/>
  <c r="AN48" i="36" s="1"/>
  <c r="AP3" i="36"/>
  <c r="AP26" i="36" s="1"/>
  <c r="AP51" i="36" s="1"/>
  <c r="K59" i="36" s="1"/>
  <c r="L59" i="36" s="1"/>
  <c r="AL25" i="36"/>
  <c r="AN3" i="36"/>
  <c r="AN25" i="36" s="1"/>
  <c r="AE51" i="36"/>
  <c r="D47" i="25"/>
  <c r="D36" i="25"/>
  <c r="D34" i="25"/>
  <c r="D33" i="25"/>
  <c r="D32" i="25"/>
  <c r="D30" i="25"/>
  <c r="D37" i="25"/>
  <c r="D38" i="25"/>
  <c r="D45" i="25"/>
  <c r="D39" i="25"/>
  <c r="D46" i="25"/>
  <c r="D43" i="25"/>
  <c r="D49" i="25"/>
  <c r="D35" i="25"/>
  <c r="D31" i="25"/>
  <c r="D41" i="25"/>
  <c r="D42" i="25"/>
  <c r="D48" i="25"/>
  <c r="D40" i="25"/>
  <c r="E5" i="25"/>
  <c r="F5" i="25" s="1"/>
  <c r="D26" i="25"/>
  <c r="F40" i="39"/>
  <c r="E41" i="39"/>
  <c r="M17" i="39"/>
  <c r="G17" i="39" s="1"/>
  <c r="L18" i="39"/>
  <c r="M40" i="39"/>
  <c r="G40" i="39" s="1"/>
  <c r="L41" i="39"/>
  <c r="F17" i="39"/>
  <c r="E18" i="39"/>
  <c r="V51" i="37"/>
  <c r="F11" i="38"/>
  <c r="E12" i="38"/>
  <c r="M36" i="38"/>
  <c r="G36" i="38" s="1"/>
  <c r="L37" i="38"/>
  <c r="F36" i="38"/>
  <c r="E37" i="38"/>
  <c r="M12" i="38"/>
  <c r="L13" i="38"/>
  <c r="AE51" i="37"/>
  <c r="F9" i="38"/>
  <c r="E10" i="38"/>
  <c r="F10" i="38" s="1"/>
  <c r="AL25" i="37"/>
  <c r="AN3" i="37"/>
  <c r="AN25" i="37" s="1"/>
  <c r="AP3" i="37"/>
  <c r="AP28" i="37"/>
  <c r="AP49" i="37" s="1"/>
  <c r="AL48" i="37"/>
  <c r="AN28" i="37"/>
  <c r="AN48" i="37" s="1"/>
  <c r="M34" i="25"/>
  <c r="L35" i="25"/>
  <c r="M8" i="25"/>
  <c r="G8" i="25" s="1"/>
  <c r="L9" i="25"/>
  <c r="L11" i="25"/>
  <c r="AP26" i="24"/>
  <c r="AP51" i="24" s="1"/>
  <c r="K59" i="24" s="1"/>
  <c r="L59" i="24" s="1"/>
  <c r="AA50" i="15"/>
  <c r="AA27" i="15"/>
  <c r="K60" i="15"/>
  <c r="L60" i="15" s="1"/>
  <c r="I60" i="15"/>
  <c r="K58" i="15"/>
  <c r="L58" i="15" s="1"/>
  <c r="I58" i="15"/>
  <c r="J51" i="15"/>
  <c r="G51" i="15"/>
  <c r="F51" i="15"/>
  <c r="E51" i="15"/>
  <c r="D51" i="15"/>
  <c r="AC49" i="15"/>
  <c r="AB49" i="15"/>
  <c r="C49" i="15"/>
  <c r="AH47" i="15"/>
  <c r="Z47" i="15"/>
  <c r="X47" i="15"/>
  <c r="U47" i="15"/>
  <c r="Y47" i="15" s="1"/>
  <c r="T47" i="15"/>
  <c r="S47" i="15"/>
  <c r="Q47" i="15"/>
  <c r="P47" i="15"/>
  <c r="AK47" i="15" s="1"/>
  <c r="N47" i="15"/>
  <c r="I47" i="15"/>
  <c r="AJ46" i="15"/>
  <c r="AH46" i="15"/>
  <c r="Z46" i="15"/>
  <c r="X46" i="15"/>
  <c r="T46" i="15"/>
  <c r="S46" i="15"/>
  <c r="U46" i="15" s="1"/>
  <c r="Q46" i="15"/>
  <c r="P46" i="15"/>
  <c r="AK46" i="15" s="1"/>
  <c r="N46" i="15"/>
  <c r="I46" i="15"/>
  <c r="AJ45" i="15"/>
  <c r="AH45" i="15"/>
  <c r="Z45" i="15"/>
  <c r="X45" i="15"/>
  <c r="U45" i="15"/>
  <c r="Y45" i="15" s="1"/>
  <c r="T45" i="15"/>
  <c r="S45" i="15"/>
  <c r="Q45" i="15"/>
  <c r="P45" i="15"/>
  <c r="AK45" i="15" s="1"/>
  <c r="N45" i="15"/>
  <c r="I45" i="15"/>
  <c r="AJ44" i="15"/>
  <c r="AH44" i="15"/>
  <c r="Z44" i="15"/>
  <c r="Y44" i="15"/>
  <c r="X44" i="15"/>
  <c r="U44" i="15"/>
  <c r="T44" i="15"/>
  <c r="S44" i="15"/>
  <c r="Q44" i="15"/>
  <c r="P44" i="15"/>
  <c r="AK44" i="15" s="1"/>
  <c r="N44" i="15"/>
  <c r="I44" i="15"/>
  <c r="AJ43" i="15"/>
  <c r="AH43" i="15"/>
  <c r="Z43" i="15"/>
  <c r="X43" i="15"/>
  <c r="U43" i="15"/>
  <c r="T43" i="15"/>
  <c r="S43" i="15"/>
  <c r="Q43" i="15"/>
  <c r="P43" i="15"/>
  <c r="AK43" i="15" s="1"/>
  <c r="N43" i="15"/>
  <c r="I43" i="15"/>
  <c r="AJ42" i="15"/>
  <c r="AH42" i="15"/>
  <c r="Z42" i="15"/>
  <c r="Y42" i="15"/>
  <c r="X42" i="15"/>
  <c r="U42" i="15"/>
  <c r="T42" i="15"/>
  <c r="S42" i="15"/>
  <c r="Q42" i="15"/>
  <c r="P42" i="15"/>
  <c r="AK42" i="15" s="1"/>
  <c r="N42" i="15"/>
  <c r="I42" i="15"/>
  <c r="AJ41" i="15"/>
  <c r="AH41" i="15"/>
  <c r="Z41" i="15"/>
  <c r="X41" i="15"/>
  <c r="U41" i="15"/>
  <c r="T41" i="15"/>
  <c r="S41" i="15"/>
  <c r="Q41" i="15"/>
  <c r="P41" i="15"/>
  <c r="AK41" i="15" s="1"/>
  <c r="N41" i="15"/>
  <c r="I41" i="15"/>
  <c r="AJ40" i="15"/>
  <c r="AH40" i="15"/>
  <c r="Z40" i="15"/>
  <c r="Y40" i="15"/>
  <c r="X40" i="15"/>
  <c r="U40" i="15"/>
  <c r="T40" i="15"/>
  <c r="S40" i="15"/>
  <c r="Q40" i="15"/>
  <c r="P40" i="15"/>
  <c r="AK40" i="15" s="1"/>
  <c r="N40" i="15"/>
  <c r="I40" i="15"/>
  <c r="AJ39" i="15"/>
  <c r="AH39" i="15"/>
  <c r="Z39" i="15"/>
  <c r="Y39" i="15"/>
  <c r="X39" i="15"/>
  <c r="U39" i="15"/>
  <c r="T39" i="15"/>
  <c r="S39" i="15"/>
  <c r="Q39" i="15"/>
  <c r="P39" i="15"/>
  <c r="AK39" i="15" s="1"/>
  <c r="N39" i="15"/>
  <c r="I39" i="15"/>
  <c r="AJ38" i="15"/>
  <c r="AH38" i="15"/>
  <c r="Z38" i="15"/>
  <c r="Y38" i="15"/>
  <c r="X38" i="15"/>
  <c r="U38" i="15"/>
  <c r="T38" i="15"/>
  <c r="S38" i="15"/>
  <c r="Q38" i="15"/>
  <c r="P38" i="15"/>
  <c r="AK38" i="15" s="1"/>
  <c r="N38" i="15"/>
  <c r="I38" i="15"/>
  <c r="AJ37" i="15"/>
  <c r="AH37" i="15"/>
  <c r="Z37" i="15"/>
  <c r="X37" i="15"/>
  <c r="T37" i="15"/>
  <c r="S37" i="15"/>
  <c r="U37" i="15" s="1"/>
  <c r="Q37" i="15"/>
  <c r="P37" i="15"/>
  <c r="AK37" i="15" s="1"/>
  <c r="N37" i="15"/>
  <c r="I37" i="15"/>
  <c r="AJ36" i="15"/>
  <c r="AH36" i="15"/>
  <c r="Z36" i="15"/>
  <c r="Y36" i="15"/>
  <c r="X36" i="15"/>
  <c r="U36" i="15"/>
  <c r="T36" i="15"/>
  <c r="S36" i="15"/>
  <c r="Q36" i="15"/>
  <c r="P36" i="15"/>
  <c r="AK36" i="15" s="1"/>
  <c r="N36" i="15"/>
  <c r="I36" i="15"/>
  <c r="AJ35" i="15"/>
  <c r="AH35" i="15"/>
  <c r="Z35" i="15"/>
  <c r="X35" i="15"/>
  <c r="T35" i="15"/>
  <c r="S35" i="15"/>
  <c r="U35" i="15" s="1"/>
  <c r="Q35" i="15"/>
  <c r="P35" i="15"/>
  <c r="AK35" i="15" s="1"/>
  <c r="N35" i="15"/>
  <c r="I35" i="15"/>
  <c r="AJ34" i="15"/>
  <c r="AH34" i="15"/>
  <c r="Z34" i="15"/>
  <c r="X34" i="15"/>
  <c r="T34" i="15"/>
  <c r="S34" i="15"/>
  <c r="U34" i="15" s="1"/>
  <c r="Q34" i="15"/>
  <c r="P34" i="15"/>
  <c r="AK34" i="15" s="1"/>
  <c r="N34" i="15"/>
  <c r="I34" i="15"/>
  <c r="AJ33" i="15"/>
  <c r="AH33" i="15"/>
  <c r="Z33" i="15"/>
  <c r="X33" i="15"/>
  <c r="U33" i="15"/>
  <c r="T33" i="15"/>
  <c r="S33" i="15"/>
  <c r="Q33" i="15"/>
  <c r="P33" i="15"/>
  <c r="AK33" i="15" s="1"/>
  <c r="N33" i="15"/>
  <c r="I33" i="15"/>
  <c r="AJ32" i="15"/>
  <c r="AH32" i="15"/>
  <c r="Z32" i="15"/>
  <c r="X32" i="15"/>
  <c r="U32" i="15"/>
  <c r="T32" i="15"/>
  <c r="S32" i="15"/>
  <c r="Q32" i="15"/>
  <c r="P32" i="15"/>
  <c r="AK32" i="15" s="1"/>
  <c r="N32" i="15"/>
  <c r="I32" i="15"/>
  <c r="AJ31" i="15"/>
  <c r="AH31" i="15"/>
  <c r="Z31" i="15"/>
  <c r="X31" i="15"/>
  <c r="U31" i="15"/>
  <c r="T31" i="15"/>
  <c r="S31" i="15"/>
  <c r="Q31" i="15"/>
  <c r="P31" i="15"/>
  <c r="AK31" i="15" s="1"/>
  <c r="N31" i="15"/>
  <c r="I31" i="15"/>
  <c r="AJ30" i="15"/>
  <c r="AH30" i="15"/>
  <c r="Z30" i="15"/>
  <c r="Y30" i="15"/>
  <c r="X30" i="15"/>
  <c r="U30" i="15"/>
  <c r="T30" i="15"/>
  <c r="S30" i="15"/>
  <c r="Q30" i="15"/>
  <c r="P30" i="15"/>
  <c r="AK30" i="15" s="1"/>
  <c r="N30" i="15"/>
  <c r="I30" i="15"/>
  <c r="AJ29" i="15"/>
  <c r="AH29" i="15"/>
  <c r="Z29" i="15"/>
  <c r="X29" i="15"/>
  <c r="T29" i="15"/>
  <c r="S29" i="15"/>
  <c r="U29" i="15" s="1"/>
  <c r="Q29" i="15"/>
  <c r="P29" i="15"/>
  <c r="AK29" i="15" s="1"/>
  <c r="N29" i="15"/>
  <c r="I29" i="15"/>
  <c r="AJ28" i="15"/>
  <c r="AH28" i="15"/>
  <c r="Z28" i="15"/>
  <c r="Z49" i="15" s="1"/>
  <c r="X28" i="15"/>
  <c r="X49" i="15" s="1"/>
  <c r="T28" i="15"/>
  <c r="T49" i="15" s="1"/>
  <c r="S28" i="15"/>
  <c r="S49" i="15" s="1"/>
  <c r="Q28" i="15"/>
  <c r="P28" i="15"/>
  <c r="AK28" i="15" s="1"/>
  <c r="I28" i="15"/>
  <c r="I49" i="15" s="1"/>
  <c r="AC26" i="15"/>
  <c r="AC51" i="15" s="1"/>
  <c r="AB26" i="15"/>
  <c r="C26" i="15"/>
  <c r="C51" i="15" s="1"/>
  <c r="AH24" i="15"/>
  <c r="Z24" i="15"/>
  <c r="X24" i="15"/>
  <c r="T24" i="15"/>
  <c r="S24" i="15"/>
  <c r="U24" i="15" s="1"/>
  <c r="Q24" i="15"/>
  <c r="P24" i="15"/>
  <c r="N24" i="15"/>
  <c r="I24" i="15"/>
  <c r="AH23" i="15"/>
  <c r="Z23" i="15"/>
  <c r="X23" i="15"/>
  <c r="T23" i="15"/>
  <c r="S23" i="15"/>
  <c r="U23" i="15" s="1"/>
  <c r="R23" i="15"/>
  <c r="AG23" i="15" s="1"/>
  <c r="AM23" i="15" s="1"/>
  <c r="Q23" i="15"/>
  <c r="P23" i="15"/>
  <c r="N23" i="15"/>
  <c r="I23" i="15"/>
  <c r="AK22" i="15"/>
  <c r="AH22" i="15"/>
  <c r="Z22" i="15"/>
  <c r="X22" i="15"/>
  <c r="T22" i="15"/>
  <c r="S22" i="15"/>
  <c r="U22" i="15" s="1"/>
  <c r="Q22" i="15"/>
  <c r="P22" i="15"/>
  <c r="AJ22" i="15" s="1"/>
  <c r="N22" i="15"/>
  <c r="I22" i="15"/>
  <c r="AH21" i="15"/>
  <c r="Z21" i="15"/>
  <c r="X21" i="15"/>
  <c r="T21" i="15"/>
  <c r="S21" i="15"/>
  <c r="Q21" i="15"/>
  <c r="P21" i="15"/>
  <c r="N21" i="15"/>
  <c r="I21" i="15"/>
  <c r="AK20" i="15"/>
  <c r="AI20" i="15"/>
  <c r="AH20" i="15"/>
  <c r="Z20" i="15"/>
  <c r="X20" i="15"/>
  <c r="T20" i="15"/>
  <c r="S20" i="15"/>
  <c r="U20" i="15" s="1"/>
  <c r="R20" i="15"/>
  <c r="Q20" i="15"/>
  <c r="P20" i="15"/>
  <c r="N20" i="15"/>
  <c r="I20" i="15"/>
  <c r="AI19" i="15"/>
  <c r="AH19" i="15"/>
  <c r="Z19" i="15"/>
  <c r="X19" i="15"/>
  <c r="T19" i="15"/>
  <c r="S19" i="15"/>
  <c r="R19" i="15"/>
  <c r="Q19" i="15"/>
  <c r="P19" i="15"/>
  <c r="N19" i="15"/>
  <c r="I19" i="15"/>
  <c r="AK18" i="15"/>
  <c r="AH18" i="15"/>
  <c r="Z18" i="15"/>
  <c r="X18" i="15"/>
  <c r="T18" i="15"/>
  <c r="S18" i="15"/>
  <c r="R18" i="15"/>
  <c r="AG18" i="15" s="1"/>
  <c r="AM18" i="15" s="1"/>
  <c r="Q18" i="15"/>
  <c r="P18" i="15"/>
  <c r="N18" i="15"/>
  <c r="I18" i="15"/>
  <c r="AH17" i="15"/>
  <c r="Z17" i="15"/>
  <c r="Y17" i="15"/>
  <c r="X17" i="15"/>
  <c r="T17" i="15"/>
  <c r="S17" i="15"/>
  <c r="U17" i="15" s="1"/>
  <c r="R17" i="15"/>
  <c r="Q17" i="15"/>
  <c r="P17" i="15"/>
  <c r="AJ17" i="15" s="1"/>
  <c r="N17" i="15"/>
  <c r="I17" i="15"/>
  <c r="AK16" i="15"/>
  <c r="AH16" i="15"/>
  <c r="AG16" i="15"/>
  <c r="AM16" i="15" s="1"/>
  <c r="Z16" i="15"/>
  <c r="AJ16" i="15" s="1"/>
  <c r="X16" i="15"/>
  <c r="W16" i="15"/>
  <c r="T16" i="15"/>
  <c r="U16" i="15" s="1"/>
  <c r="S16" i="15"/>
  <c r="R16" i="15"/>
  <c r="Q16" i="15"/>
  <c r="P16" i="15"/>
  <c r="O16" i="15"/>
  <c r="N16" i="15"/>
  <c r="I16" i="15"/>
  <c r="AK15" i="15"/>
  <c r="AH15" i="15"/>
  <c r="Z15" i="15"/>
  <c r="Y15" i="15"/>
  <c r="X15" i="15"/>
  <c r="T15" i="15"/>
  <c r="S15" i="15"/>
  <c r="U15" i="15" s="1"/>
  <c r="Q15" i="15"/>
  <c r="P15" i="15"/>
  <c r="AJ15" i="15" s="1"/>
  <c r="N15" i="15"/>
  <c r="I15" i="15"/>
  <c r="AK14" i="15"/>
  <c r="AJ14" i="15"/>
  <c r="AH14" i="15"/>
  <c r="AG14" i="15"/>
  <c r="AM14" i="15" s="1"/>
  <c r="Z14" i="15"/>
  <c r="X14" i="15"/>
  <c r="U14" i="15"/>
  <c r="T14" i="15"/>
  <c r="S14" i="15"/>
  <c r="Q14" i="15"/>
  <c r="R14" i="15" s="1"/>
  <c r="W14" i="15" s="1"/>
  <c r="P14" i="15"/>
  <c r="O14" i="15"/>
  <c r="N14" i="15"/>
  <c r="I14" i="15"/>
  <c r="AH13" i="15"/>
  <c r="Z13" i="15"/>
  <c r="Y13" i="15"/>
  <c r="X13" i="15"/>
  <c r="U13" i="15"/>
  <c r="T13" i="15"/>
  <c r="S13" i="15"/>
  <c r="Q13" i="15"/>
  <c r="P13" i="15"/>
  <c r="AK13" i="15" s="1"/>
  <c r="N13" i="15"/>
  <c r="I13" i="15"/>
  <c r="AK12" i="15"/>
  <c r="AJ12" i="15"/>
  <c r="AH12" i="15"/>
  <c r="Z12" i="15"/>
  <c r="X12" i="15"/>
  <c r="T12" i="15"/>
  <c r="U12" i="15" s="1"/>
  <c r="S12" i="15"/>
  <c r="Q12" i="15"/>
  <c r="R12" i="15" s="1"/>
  <c r="P12" i="15"/>
  <c r="O12" i="15"/>
  <c r="N12" i="15"/>
  <c r="I12" i="15"/>
  <c r="AJ11" i="15"/>
  <c r="AH11" i="15"/>
  <c r="Z11" i="15"/>
  <c r="X11" i="15"/>
  <c r="U11" i="15"/>
  <c r="T11" i="15"/>
  <c r="S11" i="15"/>
  <c r="Q11" i="15"/>
  <c r="P11" i="15"/>
  <c r="R11" i="15" s="1"/>
  <c r="N11" i="15"/>
  <c r="I11" i="15"/>
  <c r="AK10" i="15"/>
  <c r="AJ10" i="15"/>
  <c r="AH10" i="15"/>
  <c r="AG10" i="15"/>
  <c r="AM10" i="15" s="1"/>
  <c r="Z10" i="15"/>
  <c r="X10" i="15"/>
  <c r="U10" i="15"/>
  <c r="T10" i="15"/>
  <c r="S10" i="15"/>
  <c r="R10" i="15"/>
  <c r="W10" i="15" s="1"/>
  <c r="Q10" i="15"/>
  <c r="P10" i="15"/>
  <c r="N10" i="15"/>
  <c r="I10" i="15"/>
  <c r="AH9" i="15"/>
  <c r="Z9" i="15"/>
  <c r="X9" i="15"/>
  <c r="U9" i="15"/>
  <c r="T9" i="15"/>
  <c r="S9" i="15"/>
  <c r="Q9" i="15"/>
  <c r="P9" i="15"/>
  <c r="R9" i="15" s="1"/>
  <c r="N9" i="15"/>
  <c r="I9" i="15"/>
  <c r="AK8" i="15"/>
  <c r="AH8" i="15"/>
  <c r="Z8" i="15"/>
  <c r="AJ8" i="15" s="1"/>
  <c r="X8" i="15"/>
  <c r="T8" i="15"/>
  <c r="S8" i="15"/>
  <c r="U8" i="15" s="1"/>
  <c r="R8" i="15"/>
  <c r="AI8" i="15" s="1"/>
  <c r="Q8" i="15"/>
  <c r="P8" i="15"/>
  <c r="N8" i="15"/>
  <c r="I8" i="15"/>
  <c r="AI7" i="15"/>
  <c r="AH7" i="15"/>
  <c r="AE7" i="15"/>
  <c r="C6" i="11" s="1"/>
  <c r="AK7" i="15"/>
  <c r="Z7" i="15"/>
  <c r="X7" i="15"/>
  <c r="W7" i="15"/>
  <c r="U7" i="15"/>
  <c r="T7" i="15"/>
  <c r="S7" i="15"/>
  <c r="R7" i="15"/>
  <c r="AL7" i="15" s="1" a="1"/>
  <c r="AL7" i="15" s="1"/>
  <c r="Q7" i="15"/>
  <c r="P7" i="15"/>
  <c r="AJ7" i="15" s="1"/>
  <c r="O7" i="15"/>
  <c r="N7" i="15"/>
  <c r="I7" i="15"/>
  <c r="AJ6" i="15"/>
  <c r="AH6" i="15"/>
  <c r="AK6" i="15"/>
  <c r="Z6" i="15"/>
  <c r="X6" i="15"/>
  <c r="W6" i="15"/>
  <c r="U6" i="15"/>
  <c r="T6" i="15"/>
  <c r="S6" i="15"/>
  <c r="R6" i="15"/>
  <c r="AI6" i="15" s="1"/>
  <c r="Q6" i="15"/>
  <c r="P6" i="15"/>
  <c r="O6" i="15"/>
  <c r="N6" i="15"/>
  <c r="I6" i="15"/>
  <c r="AK5" i="15"/>
  <c r="AI5" i="15"/>
  <c r="AH5" i="15"/>
  <c r="Z5" i="15"/>
  <c r="Y5" i="15"/>
  <c r="X5" i="15"/>
  <c r="W5" i="15"/>
  <c r="AE5" i="15" s="1"/>
  <c r="C7" i="11" s="1"/>
  <c r="U5" i="15"/>
  <c r="T5" i="15"/>
  <c r="S5" i="15"/>
  <c r="R5" i="15"/>
  <c r="AG5" i="15" s="1"/>
  <c r="Q5" i="15"/>
  <c r="P5" i="15"/>
  <c r="AJ5" i="15" s="1"/>
  <c r="O5" i="15"/>
  <c r="N5" i="15"/>
  <c r="I5" i="15"/>
  <c r="AH4" i="15"/>
  <c r="AK4" i="15"/>
  <c r="Z4" i="15"/>
  <c r="AJ4" i="15" s="1"/>
  <c r="X4" i="15"/>
  <c r="U4" i="15"/>
  <c r="Y4" i="15" s="1"/>
  <c r="T4" i="15"/>
  <c r="S4" i="15"/>
  <c r="S26" i="15" s="1"/>
  <c r="S51" i="15" s="1"/>
  <c r="R4" i="15"/>
  <c r="AI4" i="15" s="1"/>
  <c r="Q4" i="15"/>
  <c r="P4" i="15"/>
  <c r="N4" i="15"/>
  <c r="I4" i="15"/>
  <c r="AK3" i="15"/>
  <c r="AJ3" i="15"/>
  <c r="AH3" i="15"/>
  <c r="AH25" i="15" s="1"/>
  <c r="Z3" i="15"/>
  <c r="X3" i="15"/>
  <c r="T3" i="15"/>
  <c r="T26" i="15" s="1"/>
  <c r="T51" i="15" s="1"/>
  <c r="S3" i="15"/>
  <c r="Q3" i="15"/>
  <c r="P3" i="15"/>
  <c r="N3" i="15"/>
  <c r="K26" i="15"/>
  <c r="E3" i="6" s="1"/>
  <c r="I3" i="15"/>
  <c r="I26" i="15" s="1"/>
  <c r="I51" i="15" s="1"/>
  <c r="I59" i="15" s="1"/>
  <c r="J59" i="15" s="1"/>
  <c r="K60" i="5"/>
  <c r="I60" i="5"/>
  <c r="K58" i="5"/>
  <c r="L58" i="5" s="1"/>
  <c r="I58" i="5"/>
  <c r="J51" i="5"/>
  <c r="G51" i="5"/>
  <c r="F51" i="5"/>
  <c r="E51" i="5"/>
  <c r="D51" i="5"/>
  <c r="AC49" i="5"/>
  <c r="AB49" i="5"/>
  <c r="C49" i="5"/>
  <c r="AH47" i="5"/>
  <c r="Z47" i="5"/>
  <c r="X47" i="5"/>
  <c r="T47" i="5"/>
  <c r="S47" i="5"/>
  <c r="U47" i="5" s="1"/>
  <c r="Q47" i="5"/>
  <c r="P47" i="5"/>
  <c r="N47" i="5"/>
  <c r="I47" i="5"/>
  <c r="AH46" i="5"/>
  <c r="AA46" i="18"/>
  <c r="Z46" i="5"/>
  <c r="X46" i="5"/>
  <c r="T46" i="5"/>
  <c r="S46" i="5"/>
  <c r="U46" i="5" s="1"/>
  <c r="Q46" i="5"/>
  <c r="R46" i="5" s="1"/>
  <c r="P46" i="5"/>
  <c r="AK46" i="5" s="1"/>
  <c r="N46" i="5"/>
  <c r="I46" i="5"/>
  <c r="AH45" i="5"/>
  <c r="Z45" i="5"/>
  <c r="X45" i="5"/>
  <c r="U45" i="5"/>
  <c r="T45" i="5"/>
  <c r="S45" i="5"/>
  <c r="Q45" i="5"/>
  <c r="P45" i="5"/>
  <c r="N45" i="5"/>
  <c r="I45" i="5"/>
  <c r="AK44" i="5"/>
  <c r="AH44" i="5"/>
  <c r="Z44" i="5"/>
  <c r="Y44" i="5"/>
  <c r="X44" i="5"/>
  <c r="U44" i="5"/>
  <c r="T44" i="5"/>
  <c r="S44" i="5"/>
  <c r="Q44" i="5"/>
  <c r="P44" i="5"/>
  <c r="N44" i="5"/>
  <c r="I44" i="5"/>
  <c r="AH43" i="5"/>
  <c r="Z43" i="5"/>
  <c r="X43" i="5"/>
  <c r="U43" i="5"/>
  <c r="T43" i="5"/>
  <c r="S43" i="5"/>
  <c r="Q43" i="5"/>
  <c r="P43" i="5"/>
  <c r="N43" i="5"/>
  <c r="I43" i="5"/>
  <c r="AH42" i="5"/>
  <c r="Z42" i="5"/>
  <c r="Y42" i="5"/>
  <c r="X42" i="5"/>
  <c r="U42" i="5"/>
  <c r="T42" i="5"/>
  <c r="S42" i="5"/>
  <c r="Q42" i="5"/>
  <c r="P42" i="5"/>
  <c r="AJ42" i="5" s="1"/>
  <c r="N42" i="5"/>
  <c r="I42" i="5"/>
  <c r="AH41" i="5"/>
  <c r="Z41" i="5"/>
  <c r="X41" i="5"/>
  <c r="T41" i="5"/>
  <c r="U41" i="5" s="1"/>
  <c r="S41" i="5"/>
  <c r="Q41" i="5"/>
  <c r="P41" i="5"/>
  <c r="N41" i="5"/>
  <c r="I41" i="5"/>
  <c r="AH40" i="5"/>
  <c r="Z40" i="5"/>
  <c r="X40" i="5"/>
  <c r="T40" i="5"/>
  <c r="U40" i="5" s="1"/>
  <c r="S40" i="5"/>
  <c r="Q40" i="5"/>
  <c r="P40" i="5"/>
  <c r="AJ40" i="5" s="1"/>
  <c r="N40" i="5"/>
  <c r="I40" i="5"/>
  <c r="AH39" i="5"/>
  <c r="Z39" i="5"/>
  <c r="X39" i="5"/>
  <c r="T39" i="5"/>
  <c r="S39" i="5"/>
  <c r="Q39" i="5"/>
  <c r="P39" i="5"/>
  <c r="N39" i="5"/>
  <c r="I39" i="5"/>
  <c r="AH38" i="5"/>
  <c r="Z38" i="5"/>
  <c r="X38" i="5"/>
  <c r="T38" i="5"/>
  <c r="S38" i="5"/>
  <c r="U38" i="5" s="1"/>
  <c r="R38" i="5"/>
  <c r="Q38" i="5"/>
  <c r="P38" i="5"/>
  <c r="AK38" i="5" s="1"/>
  <c r="N38" i="5"/>
  <c r="I38" i="5"/>
  <c r="AH37" i="5"/>
  <c r="Z37" i="5"/>
  <c r="X37" i="5"/>
  <c r="U37" i="5"/>
  <c r="Y37" i="5" s="1"/>
  <c r="T37" i="5"/>
  <c r="S37" i="5"/>
  <c r="Q37" i="5"/>
  <c r="P37" i="5"/>
  <c r="N37" i="5"/>
  <c r="I37" i="5"/>
  <c r="AH36" i="5"/>
  <c r="AA36" i="18"/>
  <c r="Z36" i="5"/>
  <c r="Y36" i="5"/>
  <c r="X36" i="5"/>
  <c r="T36" i="5"/>
  <c r="U36" i="5" s="1"/>
  <c r="S36" i="5"/>
  <c r="Q36" i="5"/>
  <c r="P36" i="5"/>
  <c r="AK36" i="5" s="1"/>
  <c r="N36" i="5"/>
  <c r="I36" i="5"/>
  <c r="AH35" i="5"/>
  <c r="Z35" i="5"/>
  <c r="X35" i="5"/>
  <c r="U35" i="5"/>
  <c r="Y35" i="5" s="1"/>
  <c r="T35" i="5"/>
  <c r="S35" i="5"/>
  <c r="Q35" i="5"/>
  <c r="P35" i="5"/>
  <c r="N35" i="5"/>
  <c r="I35" i="5"/>
  <c r="AH34" i="5"/>
  <c r="AA34" i="18"/>
  <c r="Z34" i="5"/>
  <c r="X34" i="5"/>
  <c r="T34" i="5"/>
  <c r="U34" i="5" s="1"/>
  <c r="S34" i="5"/>
  <c r="R34" i="5"/>
  <c r="Q34" i="5"/>
  <c r="P34" i="5"/>
  <c r="AK34" i="5" s="1"/>
  <c r="N34" i="5"/>
  <c r="I34" i="5"/>
  <c r="AH33" i="5"/>
  <c r="Z33" i="5"/>
  <c r="X33" i="5"/>
  <c r="T33" i="5"/>
  <c r="S33" i="5"/>
  <c r="U33" i="5" s="1"/>
  <c r="Q33" i="5"/>
  <c r="P33" i="5"/>
  <c r="N33" i="5"/>
  <c r="I33" i="5"/>
  <c r="AK32" i="5"/>
  <c r="AJ32" i="5"/>
  <c r="AI32" i="5"/>
  <c r="AH32" i="5"/>
  <c r="Z32" i="5"/>
  <c r="X32" i="5"/>
  <c r="T32" i="5"/>
  <c r="U32" i="5" s="1"/>
  <c r="S32" i="5"/>
  <c r="R32" i="5"/>
  <c r="O32" i="5" s="1"/>
  <c r="Q32" i="5"/>
  <c r="P32" i="5"/>
  <c r="N32" i="5"/>
  <c r="I32" i="5"/>
  <c r="AJ31" i="5"/>
  <c r="AH31" i="5"/>
  <c r="Z31" i="5"/>
  <c r="X31" i="5"/>
  <c r="T31" i="5"/>
  <c r="S31" i="5"/>
  <c r="Q31" i="5"/>
  <c r="P31" i="5"/>
  <c r="N31" i="5"/>
  <c r="I31" i="5"/>
  <c r="AH30" i="5"/>
  <c r="Z30" i="5"/>
  <c r="X30" i="5"/>
  <c r="T30" i="5"/>
  <c r="U30" i="5" s="1"/>
  <c r="Y30" i="5" s="1"/>
  <c r="S30" i="5"/>
  <c r="Q30" i="5"/>
  <c r="P30" i="5"/>
  <c r="AJ30" i="5" s="1"/>
  <c r="N30" i="5"/>
  <c r="I30" i="5"/>
  <c r="AH29" i="5"/>
  <c r="Z29" i="5"/>
  <c r="X29" i="5"/>
  <c r="T29" i="5"/>
  <c r="S29" i="5"/>
  <c r="Q29" i="5"/>
  <c r="P29" i="5"/>
  <c r="N29" i="5"/>
  <c r="I29" i="5"/>
  <c r="AJ28" i="5"/>
  <c r="AH28" i="5"/>
  <c r="Z28" i="5"/>
  <c r="X28" i="5"/>
  <c r="T28" i="5"/>
  <c r="S28" i="5"/>
  <c r="S49" i="5" s="1"/>
  <c r="R28" i="5"/>
  <c r="Q28" i="5"/>
  <c r="P28" i="5"/>
  <c r="I28" i="5"/>
  <c r="AC26" i="5"/>
  <c r="AC51" i="5" s="1"/>
  <c r="AB26" i="5"/>
  <c r="C26" i="5"/>
  <c r="C51" i="5" s="1"/>
  <c r="AK24" i="5"/>
  <c r="AH24" i="5"/>
  <c r="Z24" i="5"/>
  <c r="X24" i="5"/>
  <c r="T24" i="5"/>
  <c r="S24" i="5"/>
  <c r="U24" i="5" s="1"/>
  <c r="R24" i="5"/>
  <c r="Q24" i="5"/>
  <c r="P24" i="5"/>
  <c r="N24" i="5"/>
  <c r="I24" i="5"/>
  <c r="AK23" i="5"/>
  <c r="AH23" i="5"/>
  <c r="AA23" i="18"/>
  <c r="Z23" i="5"/>
  <c r="X23" i="5"/>
  <c r="W23" i="5"/>
  <c r="T23" i="5"/>
  <c r="S23" i="5"/>
  <c r="U23" i="5" s="1"/>
  <c r="R23" i="5"/>
  <c r="AI23" i="5" s="1"/>
  <c r="Q23" i="5"/>
  <c r="P23" i="5"/>
  <c r="AJ23" i="5" s="1"/>
  <c r="O23" i="5"/>
  <c r="N23" i="5"/>
  <c r="I23" i="5"/>
  <c r="AK22" i="5"/>
  <c r="AH22" i="5"/>
  <c r="AA22" i="18"/>
  <c r="Z22" i="5"/>
  <c r="X22" i="5"/>
  <c r="T22" i="5"/>
  <c r="S22" i="5"/>
  <c r="U22" i="5" s="1"/>
  <c r="R22" i="5"/>
  <c r="Q22" i="5"/>
  <c r="P22" i="5"/>
  <c r="AJ22" i="5" s="1"/>
  <c r="N22" i="5"/>
  <c r="I22" i="5"/>
  <c r="AJ21" i="5"/>
  <c r="AH21" i="5"/>
  <c r="Z21" i="5"/>
  <c r="Y21" i="5"/>
  <c r="X21" i="5"/>
  <c r="T21" i="5"/>
  <c r="S21" i="5"/>
  <c r="U21" i="5" s="1"/>
  <c r="R21" i="5"/>
  <c r="Q21" i="5"/>
  <c r="P21" i="5"/>
  <c r="AK21" i="5" s="1"/>
  <c r="N21" i="5"/>
  <c r="I21" i="5"/>
  <c r="AK20" i="5"/>
  <c r="AH20" i="5"/>
  <c r="Z20" i="5"/>
  <c r="AJ20" i="5" s="1"/>
  <c r="X20" i="5"/>
  <c r="W20" i="5"/>
  <c r="T20" i="5"/>
  <c r="S20" i="5"/>
  <c r="U20" i="5" s="1"/>
  <c r="R20" i="5"/>
  <c r="AI20" i="5" s="1"/>
  <c r="Q20" i="5"/>
  <c r="P20" i="5"/>
  <c r="O20" i="5"/>
  <c r="N20" i="5"/>
  <c r="I20" i="5"/>
  <c r="AJ19" i="5"/>
  <c r="AH19" i="5"/>
  <c r="Z19" i="5"/>
  <c r="Y19" i="5"/>
  <c r="X19" i="5"/>
  <c r="T19" i="5"/>
  <c r="S19" i="5"/>
  <c r="U19" i="5" s="1"/>
  <c r="R19" i="5"/>
  <c r="Q19" i="5"/>
  <c r="P19" i="5"/>
  <c r="AK19" i="5" s="1"/>
  <c r="N19" i="5"/>
  <c r="I19" i="5"/>
  <c r="AK18" i="5"/>
  <c r="AH18" i="5"/>
  <c r="AG18" i="5"/>
  <c r="AM18" i="5" s="1"/>
  <c r="Z18" i="5"/>
  <c r="AJ18" i="5" s="1"/>
  <c r="X18" i="5"/>
  <c r="T18" i="5"/>
  <c r="S18" i="5"/>
  <c r="U18" i="5" s="1"/>
  <c r="R18" i="5"/>
  <c r="AI18" i="5" s="1"/>
  <c r="Q18" i="5"/>
  <c r="P18" i="5"/>
  <c r="N18" i="5"/>
  <c r="I18" i="5"/>
  <c r="AH17" i="5"/>
  <c r="Z17" i="5"/>
  <c r="AJ17" i="5" s="1"/>
  <c r="Y17" i="5"/>
  <c r="X17" i="5"/>
  <c r="T17" i="5"/>
  <c r="S17" i="5"/>
  <c r="U17" i="5" s="1"/>
  <c r="R17" i="5"/>
  <c r="Q17" i="5"/>
  <c r="P17" i="5"/>
  <c r="AK17" i="5" s="1"/>
  <c r="N17" i="5"/>
  <c r="I17" i="5"/>
  <c r="AK16" i="5"/>
  <c r="AJ16" i="5"/>
  <c r="AH16" i="5"/>
  <c r="Z16" i="5"/>
  <c r="X16" i="5"/>
  <c r="U16" i="5"/>
  <c r="T16" i="5"/>
  <c r="S16" i="5"/>
  <c r="Q16" i="5"/>
  <c r="R16" i="5" s="1"/>
  <c r="P16" i="5"/>
  <c r="N16" i="5"/>
  <c r="I16" i="5"/>
  <c r="AH15" i="5"/>
  <c r="Z15" i="5"/>
  <c r="Y15" i="5"/>
  <c r="X15" i="5"/>
  <c r="T15" i="5"/>
  <c r="S15" i="5"/>
  <c r="U15" i="5" s="1"/>
  <c r="Q15" i="5"/>
  <c r="R15" i="5" s="1"/>
  <c r="P15" i="5"/>
  <c r="AJ15" i="5" s="1"/>
  <c r="O15" i="5"/>
  <c r="N15" i="5"/>
  <c r="I15" i="5"/>
  <c r="AK14" i="5"/>
  <c r="AH14" i="5"/>
  <c r="Z14" i="5"/>
  <c r="AJ14" i="5" s="1"/>
  <c r="X14" i="5"/>
  <c r="T14" i="5"/>
  <c r="U14" i="5" s="1"/>
  <c r="S14" i="5"/>
  <c r="R14" i="5"/>
  <c r="Q14" i="5"/>
  <c r="P14" i="5"/>
  <c r="N14" i="5"/>
  <c r="I14" i="5"/>
  <c r="AH13" i="5"/>
  <c r="AA13" i="18"/>
  <c r="Z13" i="5"/>
  <c r="X13" i="5"/>
  <c r="W13" i="5"/>
  <c r="T13" i="5"/>
  <c r="S13" i="5"/>
  <c r="U13" i="5" s="1"/>
  <c r="Q13" i="5"/>
  <c r="P13" i="5"/>
  <c r="R13" i="5" s="1"/>
  <c r="O13" i="5"/>
  <c r="N13" i="5"/>
  <c r="I13" i="5"/>
  <c r="AH12" i="5"/>
  <c r="Z12" i="5"/>
  <c r="AJ12" i="5" s="1"/>
  <c r="X12" i="5"/>
  <c r="T12" i="5"/>
  <c r="S12" i="5"/>
  <c r="U12" i="5" s="1"/>
  <c r="Q12" i="5"/>
  <c r="R12" i="5" s="1"/>
  <c r="P12" i="5"/>
  <c r="N12" i="5"/>
  <c r="I12" i="5"/>
  <c r="AK11" i="5"/>
  <c r="AH11" i="5"/>
  <c r="AA11" i="18"/>
  <c r="Z11" i="5"/>
  <c r="X11" i="5"/>
  <c r="U11" i="5"/>
  <c r="T11" i="5"/>
  <c r="S11" i="5"/>
  <c r="Q11" i="5"/>
  <c r="P11" i="5"/>
  <c r="N11" i="5"/>
  <c r="I11" i="5"/>
  <c r="AM10" i="5"/>
  <c r="AK10" i="5"/>
  <c r="AJ10" i="5"/>
  <c r="AH10" i="5"/>
  <c r="AG10" i="5"/>
  <c r="AA10" i="18"/>
  <c r="Z10" i="5"/>
  <c r="X10" i="5"/>
  <c r="W10" i="5"/>
  <c r="T10" i="5"/>
  <c r="S10" i="5"/>
  <c r="R10" i="5"/>
  <c r="AI10" i="5" s="1"/>
  <c r="Q10" i="5"/>
  <c r="P10" i="5"/>
  <c r="O10" i="5"/>
  <c r="N10" i="5"/>
  <c r="I10" i="5"/>
  <c r="AH9" i="5"/>
  <c r="Z9" i="5"/>
  <c r="X9" i="5"/>
  <c r="Y9" i="5" s="1"/>
  <c r="U9" i="5"/>
  <c r="T9" i="5"/>
  <c r="S9" i="5"/>
  <c r="Q9" i="5"/>
  <c r="R9" i="5" s="1"/>
  <c r="P9" i="5"/>
  <c r="AJ9" i="5" s="1"/>
  <c r="N9" i="5"/>
  <c r="I9" i="5"/>
  <c r="AK8" i="5"/>
  <c r="AJ8" i="5"/>
  <c r="AH8" i="5"/>
  <c r="Z8" i="5"/>
  <c r="X8" i="5"/>
  <c r="T8" i="5"/>
  <c r="S8" i="5"/>
  <c r="U8" i="5" s="1"/>
  <c r="Q8" i="5"/>
  <c r="R8" i="5" s="1"/>
  <c r="P8" i="5"/>
  <c r="N8" i="5"/>
  <c r="I8" i="5"/>
  <c r="AI7" i="5"/>
  <c r="AH7" i="5"/>
  <c r="Z7" i="5"/>
  <c r="X7" i="5"/>
  <c r="W7" i="5"/>
  <c r="U7" i="5"/>
  <c r="T7" i="5"/>
  <c r="S7" i="5"/>
  <c r="Q7" i="5"/>
  <c r="R7" i="5" s="1"/>
  <c r="O7" i="5" s="1"/>
  <c r="P7" i="5"/>
  <c r="AJ7" i="5" s="1"/>
  <c r="N7" i="5"/>
  <c r="I7" i="5"/>
  <c r="AH6" i="5"/>
  <c r="Z6" i="5"/>
  <c r="AJ6" i="5" s="1"/>
  <c r="Y6" i="5"/>
  <c r="X6" i="5"/>
  <c r="T6" i="5"/>
  <c r="U6" i="5" s="1"/>
  <c r="S6" i="5"/>
  <c r="R6" i="5"/>
  <c r="Q6" i="5"/>
  <c r="P6" i="5"/>
  <c r="N6" i="5"/>
  <c r="I6" i="5"/>
  <c r="AH5" i="5"/>
  <c r="AA5" i="18"/>
  <c r="Z5" i="5"/>
  <c r="X5" i="5"/>
  <c r="T5" i="5"/>
  <c r="S5" i="5"/>
  <c r="U5" i="5" s="1"/>
  <c r="Q5" i="5"/>
  <c r="P5" i="5"/>
  <c r="N5" i="5"/>
  <c r="I5" i="5"/>
  <c r="AK4" i="5"/>
  <c r="AJ4" i="5"/>
  <c r="AH4" i="5"/>
  <c r="AG4" i="5"/>
  <c r="AM4" i="5" s="1"/>
  <c r="Z4" i="5"/>
  <c r="X4" i="5"/>
  <c r="W4" i="5"/>
  <c r="T4" i="5"/>
  <c r="S4" i="5"/>
  <c r="Q4" i="5"/>
  <c r="R4" i="5" s="1"/>
  <c r="P4" i="5"/>
  <c r="O4" i="5"/>
  <c r="N4" i="5"/>
  <c r="I4" i="5"/>
  <c r="AH3" i="5"/>
  <c r="Z3" i="5"/>
  <c r="X3" i="5"/>
  <c r="U3" i="5"/>
  <c r="T3" i="5"/>
  <c r="S3" i="5"/>
  <c r="Q3" i="5"/>
  <c r="P3" i="5"/>
  <c r="AJ3" i="5" s="1"/>
  <c r="I3" i="5"/>
  <c r="K60" i="1"/>
  <c r="I60" i="1"/>
  <c r="K58" i="1"/>
  <c r="I58" i="1"/>
  <c r="J51" i="1"/>
  <c r="G51" i="1"/>
  <c r="F51" i="1"/>
  <c r="E51" i="1"/>
  <c r="D51" i="1"/>
  <c r="AC49" i="1"/>
  <c r="AB49" i="1"/>
  <c r="AH47" i="1"/>
  <c r="Z47" i="1"/>
  <c r="X47" i="1"/>
  <c r="T47" i="1"/>
  <c r="U47" i="1" s="1"/>
  <c r="S47" i="1"/>
  <c r="Q47" i="1"/>
  <c r="P47" i="1"/>
  <c r="I47" i="1"/>
  <c r="AH46" i="1"/>
  <c r="Z46" i="1"/>
  <c r="X46" i="1"/>
  <c r="T46" i="1"/>
  <c r="S46" i="1"/>
  <c r="U46" i="1" s="1"/>
  <c r="R46" i="1"/>
  <c r="Q46" i="1"/>
  <c r="P46" i="1"/>
  <c r="AK46" i="1" s="1"/>
  <c r="I46" i="1"/>
  <c r="AK45" i="1"/>
  <c r="AH45" i="1"/>
  <c r="Z45" i="1"/>
  <c r="X45" i="1"/>
  <c r="T45" i="1"/>
  <c r="S45" i="1"/>
  <c r="U45" i="1" s="1"/>
  <c r="Q45" i="1"/>
  <c r="P45" i="1"/>
  <c r="AJ45" i="1" s="1"/>
  <c r="I45" i="1"/>
  <c r="AH44" i="1"/>
  <c r="AK44" i="1"/>
  <c r="Z44" i="1"/>
  <c r="X44" i="1"/>
  <c r="T44" i="1"/>
  <c r="S44" i="1"/>
  <c r="U44" i="1" s="1"/>
  <c r="R44" i="1"/>
  <c r="Q44" i="1"/>
  <c r="P44" i="1"/>
  <c r="AJ44" i="1" s="1"/>
  <c r="I44" i="1"/>
  <c r="AK43" i="1"/>
  <c r="AH43" i="1"/>
  <c r="Z43" i="1"/>
  <c r="X43" i="1"/>
  <c r="U43" i="1"/>
  <c r="T43" i="1"/>
  <c r="S43" i="1"/>
  <c r="R43" i="1"/>
  <c r="Q43" i="1"/>
  <c r="P43" i="1"/>
  <c r="AJ43" i="1" s="1"/>
  <c r="I43" i="1"/>
  <c r="AH42" i="1"/>
  <c r="Z42" i="1"/>
  <c r="Y42" i="1"/>
  <c r="X42" i="1"/>
  <c r="U42" i="1"/>
  <c r="T42" i="1"/>
  <c r="S42" i="1"/>
  <c r="Q42" i="1"/>
  <c r="P42" i="1"/>
  <c r="AJ42" i="1" s="1"/>
  <c r="I42" i="1"/>
  <c r="AK41" i="1"/>
  <c r="AH41" i="1"/>
  <c r="Z41" i="1"/>
  <c r="X41" i="1"/>
  <c r="W41" i="1"/>
  <c r="T41" i="1"/>
  <c r="S41" i="1"/>
  <c r="U41" i="1" s="1"/>
  <c r="Q41" i="1"/>
  <c r="P41" i="1"/>
  <c r="R41" i="1" s="1"/>
  <c r="O41" i="1" s="1"/>
  <c r="I41" i="1"/>
  <c r="AJ40" i="1"/>
  <c r="AI40" i="1"/>
  <c r="AH40" i="1"/>
  <c r="Z40" i="1"/>
  <c r="Y40" i="1"/>
  <c r="X40" i="1"/>
  <c r="T40" i="1"/>
  <c r="S40" i="1"/>
  <c r="U40" i="1" s="1"/>
  <c r="R40" i="1"/>
  <c r="Q40" i="1"/>
  <c r="P40" i="1"/>
  <c r="AK40" i="1" s="1"/>
  <c r="I40" i="1"/>
  <c r="AH39" i="1"/>
  <c r="Z39" i="1"/>
  <c r="X39" i="1"/>
  <c r="T39" i="1"/>
  <c r="S39" i="1"/>
  <c r="U39" i="1" s="1"/>
  <c r="Q39" i="1"/>
  <c r="P39" i="1"/>
  <c r="AJ39" i="1" s="1"/>
  <c r="I39" i="1"/>
  <c r="AH38" i="1"/>
  <c r="Z38" i="1"/>
  <c r="X38" i="1"/>
  <c r="U38" i="1"/>
  <c r="Y38" i="1" s="1"/>
  <c r="T38" i="1"/>
  <c r="S38" i="1"/>
  <c r="R38" i="1"/>
  <c r="Q38" i="1"/>
  <c r="P38" i="1"/>
  <c r="I38" i="1"/>
  <c r="AJ37" i="1"/>
  <c r="AH37" i="1"/>
  <c r="Z37" i="1"/>
  <c r="X37" i="1"/>
  <c r="T37" i="1"/>
  <c r="S37" i="1"/>
  <c r="U37" i="1" s="1"/>
  <c r="Q37" i="1"/>
  <c r="P37" i="1"/>
  <c r="R37" i="1" s="1"/>
  <c r="I37" i="1"/>
  <c r="AK36" i="1"/>
  <c r="AH36" i="1"/>
  <c r="AG36" i="1"/>
  <c r="AM36" i="1" s="1"/>
  <c r="Z36" i="1"/>
  <c r="AJ36" i="1" s="1"/>
  <c r="Y36" i="1"/>
  <c r="X36" i="1"/>
  <c r="W36" i="1"/>
  <c r="U36" i="1"/>
  <c r="T36" i="1"/>
  <c r="S36" i="1"/>
  <c r="R36" i="1"/>
  <c r="AI36" i="1" s="1"/>
  <c r="Q36" i="1"/>
  <c r="P36" i="1"/>
  <c r="O36" i="1"/>
  <c r="I36" i="1"/>
  <c r="AK35" i="1"/>
  <c r="AH35" i="1"/>
  <c r="Z35" i="1"/>
  <c r="AJ35" i="1" s="1"/>
  <c r="X35" i="1"/>
  <c r="T35" i="1"/>
  <c r="S35" i="1"/>
  <c r="U35" i="1" s="1"/>
  <c r="R35" i="1"/>
  <c r="AI35" i="1" s="1"/>
  <c r="Q35" i="1"/>
  <c r="P35" i="1"/>
  <c r="I35" i="1"/>
  <c r="AH34" i="1"/>
  <c r="AG34" i="1"/>
  <c r="AM34" i="1" s="1"/>
  <c r="Z34" i="1"/>
  <c r="X34" i="1"/>
  <c r="T34" i="1"/>
  <c r="S34" i="1"/>
  <c r="R34" i="1"/>
  <c r="Q34" i="1"/>
  <c r="P34" i="1"/>
  <c r="AK34" i="1" s="1"/>
  <c r="I34" i="1"/>
  <c r="AK33" i="1"/>
  <c r="AH33" i="1"/>
  <c r="Z33" i="1"/>
  <c r="AJ33" i="1" s="1"/>
  <c r="X33" i="1"/>
  <c r="T33" i="1"/>
  <c r="S33" i="1"/>
  <c r="U33" i="1" s="1"/>
  <c r="R33" i="1"/>
  <c r="AI33" i="1" s="1"/>
  <c r="Q33" i="1"/>
  <c r="P33" i="1"/>
  <c r="I33" i="1"/>
  <c r="AH32" i="1"/>
  <c r="Z32" i="1"/>
  <c r="X32" i="1"/>
  <c r="T32" i="1"/>
  <c r="S32" i="1"/>
  <c r="U32" i="1" s="1"/>
  <c r="Q32" i="1"/>
  <c r="P32" i="1"/>
  <c r="AK32" i="1" s="1"/>
  <c r="I32" i="1"/>
  <c r="AH31" i="1"/>
  <c r="Z31" i="1"/>
  <c r="X31" i="1"/>
  <c r="T31" i="1"/>
  <c r="S31" i="1"/>
  <c r="U31" i="1" s="1"/>
  <c r="Q31" i="1"/>
  <c r="P31" i="1"/>
  <c r="AK31" i="1" s="1"/>
  <c r="I31" i="1"/>
  <c r="AJ30" i="1"/>
  <c r="AH30" i="1"/>
  <c r="Z30" i="1"/>
  <c r="X30" i="1"/>
  <c r="T30" i="1"/>
  <c r="S30" i="1"/>
  <c r="U30" i="1" s="1"/>
  <c r="Q30" i="1"/>
  <c r="P30" i="1"/>
  <c r="AK30" i="1" s="1"/>
  <c r="I30" i="1"/>
  <c r="AH29" i="1"/>
  <c r="Z29" i="1"/>
  <c r="X29" i="1"/>
  <c r="T29" i="1"/>
  <c r="S29" i="1"/>
  <c r="U29" i="1" s="1"/>
  <c r="Q29" i="1"/>
  <c r="P29" i="1"/>
  <c r="AK29" i="1" s="1"/>
  <c r="I29" i="1"/>
  <c r="AH28" i="1"/>
  <c r="AA50" i="1"/>
  <c r="Z28" i="1"/>
  <c r="X28" i="1"/>
  <c r="X49" i="1" s="1"/>
  <c r="T28" i="1"/>
  <c r="T49" i="1" s="1"/>
  <c r="S28" i="1"/>
  <c r="Q28" i="1"/>
  <c r="P28" i="1"/>
  <c r="P49" i="1" s="1"/>
  <c r="AC26" i="1"/>
  <c r="AC51" i="1" s="1"/>
  <c r="AB26" i="1"/>
  <c r="AK24" i="1"/>
  <c r="AH24" i="1"/>
  <c r="Z24" i="1"/>
  <c r="AJ24" i="1" s="1"/>
  <c r="X24" i="1"/>
  <c r="U24" i="1"/>
  <c r="T24" i="1"/>
  <c r="S24" i="1"/>
  <c r="R24" i="1"/>
  <c r="Q24" i="1"/>
  <c r="P24" i="1"/>
  <c r="I24" i="1"/>
  <c r="AH23" i="1"/>
  <c r="Z23" i="1"/>
  <c r="X23" i="1"/>
  <c r="T23" i="1"/>
  <c r="S23" i="1"/>
  <c r="U23" i="1" s="1"/>
  <c r="Q23" i="1"/>
  <c r="P23" i="1"/>
  <c r="I23" i="1"/>
  <c r="AH22" i="1"/>
  <c r="Z22" i="1"/>
  <c r="X22" i="1"/>
  <c r="U22" i="1"/>
  <c r="T22" i="1"/>
  <c r="S22" i="1"/>
  <c r="Q22" i="1"/>
  <c r="P22" i="1"/>
  <c r="I22" i="1"/>
  <c r="AK21" i="1"/>
  <c r="AH21" i="1"/>
  <c r="Z21" i="1"/>
  <c r="X21" i="1"/>
  <c r="U21" i="1"/>
  <c r="T21" i="1"/>
  <c r="S21" i="1"/>
  <c r="R21" i="1"/>
  <c r="Q21" i="1"/>
  <c r="P21" i="1"/>
  <c r="AJ21" i="1" s="1"/>
  <c r="I21" i="1"/>
  <c r="AH20" i="1"/>
  <c r="Z20" i="1"/>
  <c r="Y20" i="1"/>
  <c r="X20" i="1"/>
  <c r="U20" i="1"/>
  <c r="T20" i="1"/>
  <c r="S20" i="1"/>
  <c r="R20" i="1"/>
  <c r="O20" i="1" s="1"/>
  <c r="Q20" i="1"/>
  <c r="P20" i="1"/>
  <c r="AK20" i="1" s="1"/>
  <c r="I20" i="1"/>
  <c r="AM19" i="1"/>
  <c r="AK19" i="1"/>
  <c r="AH19" i="1"/>
  <c r="AG19" i="1"/>
  <c r="Z19" i="1"/>
  <c r="X19" i="1"/>
  <c r="W19" i="1"/>
  <c r="T19" i="1"/>
  <c r="U19" i="1" s="1"/>
  <c r="S19" i="1"/>
  <c r="R19" i="1"/>
  <c r="Q19" i="1"/>
  <c r="P19" i="1"/>
  <c r="AJ19" i="1" s="1"/>
  <c r="O19" i="1"/>
  <c r="N19" i="1"/>
  <c r="I19" i="1"/>
  <c r="AK18" i="1"/>
  <c r="AJ18" i="1"/>
  <c r="AH18" i="1"/>
  <c r="Z18" i="1"/>
  <c r="X18" i="1"/>
  <c r="T18" i="1"/>
  <c r="S18" i="1"/>
  <c r="R18" i="1"/>
  <c r="Q18" i="1"/>
  <c r="P18" i="1"/>
  <c r="I18" i="1"/>
  <c r="AH17" i="1"/>
  <c r="Z17" i="1"/>
  <c r="X17" i="1"/>
  <c r="T17" i="1"/>
  <c r="U17" i="1" s="1"/>
  <c r="S17" i="1"/>
  <c r="Q17" i="1"/>
  <c r="P17" i="1"/>
  <c r="AJ17" i="1" s="1"/>
  <c r="K17" i="18"/>
  <c r="I17" i="1"/>
  <c r="AH16" i="1"/>
  <c r="AK16" i="1"/>
  <c r="Z16" i="1"/>
  <c r="AJ16" i="1" s="1"/>
  <c r="X16" i="1"/>
  <c r="T16" i="1"/>
  <c r="S16" i="1"/>
  <c r="U16" i="1" s="1"/>
  <c r="R16" i="1"/>
  <c r="AG16" i="1" s="1"/>
  <c r="Q16" i="1"/>
  <c r="P16" i="1"/>
  <c r="I16" i="1"/>
  <c r="AK15" i="1"/>
  <c r="AJ15" i="1"/>
  <c r="AH15" i="1"/>
  <c r="Z15" i="1"/>
  <c r="Y15" i="1"/>
  <c r="X15" i="1"/>
  <c r="T15" i="1"/>
  <c r="S15" i="1"/>
  <c r="U15" i="1" s="1"/>
  <c r="Q15" i="1"/>
  <c r="R15" i="1" s="1"/>
  <c r="W15" i="1" s="1"/>
  <c r="P15" i="1"/>
  <c r="I15" i="1"/>
  <c r="AH14" i="1"/>
  <c r="Z14" i="1"/>
  <c r="X14" i="1"/>
  <c r="T14" i="1"/>
  <c r="S14" i="1"/>
  <c r="Q14" i="1"/>
  <c r="P14" i="1"/>
  <c r="I14" i="1"/>
  <c r="AH13" i="1"/>
  <c r="Z13" i="1"/>
  <c r="X13" i="1"/>
  <c r="T13" i="1"/>
  <c r="S13" i="1"/>
  <c r="Q13" i="1"/>
  <c r="P13" i="1"/>
  <c r="R13" i="1" s="1"/>
  <c r="I13" i="1"/>
  <c r="AK12" i="1"/>
  <c r="AJ12" i="1"/>
  <c r="AH12" i="1"/>
  <c r="Z12" i="1"/>
  <c r="X12" i="1"/>
  <c r="T12" i="1"/>
  <c r="S12" i="1"/>
  <c r="U12" i="1" s="1"/>
  <c r="Q12" i="1"/>
  <c r="R12" i="1" s="1"/>
  <c r="O12" i="1" s="1"/>
  <c r="P12" i="1"/>
  <c r="N12" i="1"/>
  <c r="I12" i="1"/>
  <c r="AH11" i="1"/>
  <c r="Z11" i="1"/>
  <c r="X11" i="1"/>
  <c r="T11" i="1"/>
  <c r="S11" i="1"/>
  <c r="Q11" i="1"/>
  <c r="P11" i="1"/>
  <c r="AK11" i="1" s="1"/>
  <c r="I11" i="1"/>
  <c r="AH10" i="1"/>
  <c r="Z10" i="1"/>
  <c r="X10" i="1"/>
  <c r="T10" i="1"/>
  <c r="S10" i="1"/>
  <c r="U10" i="1" s="1"/>
  <c r="Y10" i="1" s="1"/>
  <c r="Q10" i="1"/>
  <c r="P10" i="1"/>
  <c r="I10" i="1"/>
  <c r="AH9" i="1"/>
  <c r="Z9" i="1"/>
  <c r="X9" i="1"/>
  <c r="U9" i="1"/>
  <c r="T9" i="1"/>
  <c r="S9" i="1"/>
  <c r="Q9" i="1"/>
  <c r="P9" i="1"/>
  <c r="I9" i="1"/>
  <c r="AK8" i="1"/>
  <c r="AH8" i="1"/>
  <c r="Z8" i="1"/>
  <c r="AJ8" i="1" s="1"/>
  <c r="X8" i="1"/>
  <c r="T8" i="1"/>
  <c r="S8" i="1"/>
  <c r="U8" i="1" s="1"/>
  <c r="R8" i="1"/>
  <c r="Q8" i="1"/>
  <c r="P8" i="1"/>
  <c r="I8" i="1"/>
  <c r="AH7" i="1"/>
  <c r="Z7" i="1"/>
  <c r="X7" i="1"/>
  <c r="T7" i="1"/>
  <c r="S7" i="1"/>
  <c r="U7" i="1" s="1"/>
  <c r="R7" i="1"/>
  <c r="Q7" i="1"/>
  <c r="P7" i="1"/>
  <c r="O7" i="1"/>
  <c r="N7" i="1"/>
  <c r="I7" i="1"/>
  <c r="AJ6" i="1"/>
  <c r="AH6" i="1"/>
  <c r="Z6" i="1"/>
  <c r="X6" i="1"/>
  <c r="U6" i="1"/>
  <c r="T6" i="1"/>
  <c r="S6" i="1"/>
  <c r="Q6" i="1"/>
  <c r="P6" i="1"/>
  <c r="AK6" i="1" s="1"/>
  <c r="I6" i="1"/>
  <c r="AK5" i="1"/>
  <c r="AH5" i="1"/>
  <c r="Z5" i="1"/>
  <c r="AJ5" i="1" s="1"/>
  <c r="Y5" i="1"/>
  <c r="X5" i="1"/>
  <c r="T5" i="1"/>
  <c r="S5" i="1"/>
  <c r="U5" i="1" s="1"/>
  <c r="Q5" i="1"/>
  <c r="R5" i="1" s="1"/>
  <c r="P5" i="1"/>
  <c r="I5" i="1"/>
  <c r="AH4" i="1"/>
  <c r="Z4" i="1"/>
  <c r="X4" i="1"/>
  <c r="T4" i="1"/>
  <c r="S4" i="1"/>
  <c r="U4" i="1" s="1"/>
  <c r="Q4" i="1"/>
  <c r="P4" i="1"/>
  <c r="AK4" i="1" s="1"/>
  <c r="I4" i="1"/>
  <c r="AH3" i="1"/>
  <c r="Z3" i="1"/>
  <c r="X3" i="1"/>
  <c r="T3" i="1"/>
  <c r="S3" i="1"/>
  <c r="S26" i="1" s="1"/>
  <c r="R3" i="1"/>
  <c r="Q3" i="1"/>
  <c r="P3" i="1"/>
  <c r="N3" i="1"/>
  <c r="I3" i="1"/>
  <c r="K60" i="16"/>
  <c r="L60" i="16" s="1"/>
  <c r="I60" i="16"/>
  <c r="K58" i="16"/>
  <c r="L58" i="16" s="1"/>
  <c r="I58" i="16"/>
  <c r="J51" i="16"/>
  <c r="G51" i="16"/>
  <c r="F51" i="16"/>
  <c r="E51" i="16"/>
  <c r="D51" i="16"/>
  <c r="AC49" i="16"/>
  <c r="AB49" i="16"/>
  <c r="AK47" i="16"/>
  <c r="AH47" i="16"/>
  <c r="AG47" i="16"/>
  <c r="AM47" i="16" s="1"/>
  <c r="Z47" i="16"/>
  <c r="AJ47" i="16" s="1"/>
  <c r="X47" i="16"/>
  <c r="T47" i="16"/>
  <c r="S47" i="16"/>
  <c r="U47" i="16" s="1"/>
  <c r="R47" i="16"/>
  <c r="Q47" i="16"/>
  <c r="P47" i="16"/>
  <c r="N47" i="16"/>
  <c r="I47" i="16"/>
  <c r="AK46" i="16"/>
  <c r="AH46" i="16"/>
  <c r="Z46" i="16"/>
  <c r="Y46" i="16"/>
  <c r="X46" i="16"/>
  <c r="T46" i="16"/>
  <c r="S46" i="16"/>
  <c r="U46" i="16" s="1"/>
  <c r="Q46" i="16"/>
  <c r="P46" i="16"/>
  <c r="AJ46" i="16" s="1"/>
  <c r="N46" i="16"/>
  <c r="I46" i="16"/>
  <c r="AH45" i="16"/>
  <c r="Z45" i="16"/>
  <c r="X45" i="16"/>
  <c r="U45" i="16"/>
  <c r="Y45" i="16" s="1"/>
  <c r="T45" i="16"/>
  <c r="S45" i="16"/>
  <c r="Q45" i="16"/>
  <c r="P45" i="16"/>
  <c r="N45" i="16"/>
  <c r="I45" i="16"/>
  <c r="AK44" i="16"/>
  <c r="AJ44" i="16"/>
  <c r="AH44" i="16"/>
  <c r="Z44" i="16"/>
  <c r="X44" i="16"/>
  <c r="T44" i="16"/>
  <c r="S44" i="16"/>
  <c r="U44" i="16" s="1"/>
  <c r="Q44" i="16"/>
  <c r="R44" i="16" s="1"/>
  <c r="P44" i="16"/>
  <c r="N44" i="16"/>
  <c r="I44" i="16"/>
  <c r="AH43" i="16"/>
  <c r="Z43" i="16"/>
  <c r="Y43" i="16"/>
  <c r="X43" i="16"/>
  <c r="T43" i="16"/>
  <c r="S43" i="16"/>
  <c r="U43" i="16" s="1"/>
  <c r="Q43" i="16"/>
  <c r="P43" i="16"/>
  <c r="AK43" i="16" s="1"/>
  <c r="N43" i="16"/>
  <c r="I43" i="16"/>
  <c r="AH42" i="16"/>
  <c r="Z42" i="16"/>
  <c r="X42" i="16"/>
  <c r="T42" i="16"/>
  <c r="S42" i="16"/>
  <c r="U42" i="16" s="1"/>
  <c r="Q42" i="16"/>
  <c r="P42" i="16"/>
  <c r="N42" i="16"/>
  <c r="I42" i="16"/>
  <c r="AH41" i="16"/>
  <c r="Z41" i="16"/>
  <c r="X41" i="16"/>
  <c r="T41" i="16"/>
  <c r="S41" i="16"/>
  <c r="U41" i="16" s="1"/>
  <c r="Q41" i="16"/>
  <c r="P41" i="16"/>
  <c r="AK41" i="16" s="1"/>
  <c r="N41" i="16"/>
  <c r="I41" i="16"/>
  <c r="AK40" i="16"/>
  <c r="AH40" i="16"/>
  <c r="Z40" i="16"/>
  <c r="Y40" i="16"/>
  <c r="X40" i="16"/>
  <c r="U40" i="16"/>
  <c r="T40" i="16"/>
  <c r="S40" i="16"/>
  <c r="Q40" i="16"/>
  <c r="P40" i="16"/>
  <c r="AJ40" i="16" s="1"/>
  <c r="N40" i="16"/>
  <c r="I40" i="16"/>
  <c r="AK39" i="16"/>
  <c r="AH39" i="16"/>
  <c r="Z39" i="16"/>
  <c r="X39" i="16"/>
  <c r="T39" i="16"/>
  <c r="S39" i="16"/>
  <c r="U39" i="16" s="1"/>
  <c r="R39" i="16"/>
  <c r="Q39" i="16"/>
  <c r="P39" i="16"/>
  <c r="N39" i="16"/>
  <c r="I39" i="16"/>
  <c r="AH38" i="16"/>
  <c r="Z38" i="16"/>
  <c r="X38" i="16"/>
  <c r="T38" i="16"/>
  <c r="S38" i="16"/>
  <c r="U38" i="16" s="1"/>
  <c r="Q38" i="16"/>
  <c r="P38" i="16"/>
  <c r="AK38" i="16" s="1"/>
  <c r="N38" i="16"/>
  <c r="I38" i="16"/>
  <c r="AH37" i="16"/>
  <c r="Z37" i="16"/>
  <c r="X37" i="16"/>
  <c r="T37" i="16"/>
  <c r="S37" i="16"/>
  <c r="U37" i="16" s="1"/>
  <c r="Q37" i="16"/>
  <c r="P37" i="16"/>
  <c r="N37" i="16"/>
  <c r="I37" i="16"/>
  <c r="AH36" i="16"/>
  <c r="AG36" i="16"/>
  <c r="AM36" i="16" s="1"/>
  <c r="Z36" i="16"/>
  <c r="X36" i="16"/>
  <c r="U36" i="16"/>
  <c r="T36" i="16"/>
  <c r="S36" i="16"/>
  <c r="R36" i="16"/>
  <c r="AI36" i="16" s="1"/>
  <c r="Q36" i="16"/>
  <c r="P36" i="16"/>
  <c r="AK36" i="16" s="1"/>
  <c r="N36" i="16"/>
  <c r="I36" i="16"/>
  <c r="AH35" i="16"/>
  <c r="Z35" i="16"/>
  <c r="X35" i="16"/>
  <c r="W35" i="16"/>
  <c r="T35" i="16"/>
  <c r="S35" i="16"/>
  <c r="U35" i="16" s="1"/>
  <c r="Q35" i="16"/>
  <c r="P35" i="16"/>
  <c r="R35" i="16" s="1"/>
  <c r="O35" i="16"/>
  <c r="N35" i="16"/>
  <c r="I35" i="16"/>
  <c r="AH34" i="16"/>
  <c r="Z34" i="16"/>
  <c r="X34" i="16"/>
  <c r="U34" i="16"/>
  <c r="T34" i="16"/>
  <c r="S34" i="16"/>
  <c r="R34" i="16"/>
  <c r="AG34" i="16" s="1"/>
  <c r="AM34" i="16" s="1"/>
  <c r="Q34" i="16"/>
  <c r="P34" i="16"/>
  <c r="N34" i="16"/>
  <c r="I34" i="16"/>
  <c r="AJ33" i="16"/>
  <c r="AH33" i="16"/>
  <c r="Z33" i="16"/>
  <c r="X33" i="16"/>
  <c r="T33" i="16"/>
  <c r="S33" i="16"/>
  <c r="U33" i="16" s="1"/>
  <c r="R33" i="16"/>
  <c r="Q33" i="16"/>
  <c r="P33" i="16"/>
  <c r="AK33" i="16" s="1"/>
  <c r="O33" i="16"/>
  <c r="N33" i="16"/>
  <c r="I33" i="16"/>
  <c r="AH32" i="16"/>
  <c r="Z32" i="16"/>
  <c r="X32" i="16"/>
  <c r="T32" i="16"/>
  <c r="S32" i="16"/>
  <c r="U32" i="16" s="1"/>
  <c r="Q32" i="16"/>
  <c r="P32" i="16"/>
  <c r="N32" i="16"/>
  <c r="I32" i="16"/>
  <c r="AH31" i="16"/>
  <c r="Z31" i="16"/>
  <c r="X31" i="16"/>
  <c r="T31" i="16"/>
  <c r="S31" i="16"/>
  <c r="U31" i="16" s="1"/>
  <c r="Q31" i="16"/>
  <c r="P31" i="16"/>
  <c r="N31" i="16"/>
  <c r="I31" i="16"/>
  <c r="AK30" i="16"/>
  <c r="AJ30" i="16"/>
  <c r="AH30" i="16"/>
  <c r="Z30" i="16"/>
  <c r="X30" i="16"/>
  <c r="U30" i="16"/>
  <c r="T30" i="16"/>
  <c r="S30" i="16"/>
  <c r="R30" i="16"/>
  <c r="Q30" i="16"/>
  <c r="P30" i="16"/>
  <c r="N30" i="16"/>
  <c r="I30" i="16"/>
  <c r="AK29" i="16"/>
  <c r="AH29" i="16"/>
  <c r="Z29" i="16"/>
  <c r="X29" i="16"/>
  <c r="T29" i="16"/>
  <c r="S29" i="16"/>
  <c r="U29" i="16" s="1"/>
  <c r="R29" i="16"/>
  <c r="W29" i="16" s="1"/>
  <c r="Q29" i="16"/>
  <c r="P29" i="16"/>
  <c r="AJ29" i="16" s="1"/>
  <c r="N29" i="16"/>
  <c r="I29" i="16"/>
  <c r="AK28" i="16"/>
  <c r="AH28" i="16"/>
  <c r="Z28" i="16"/>
  <c r="X28" i="16"/>
  <c r="T28" i="16"/>
  <c r="S28" i="16"/>
  <c r="U28" i="16" s="1"/>
  <c r="R28" i="16"/>
  <c r="Q28" i="16"/>
  <c r="Q49" i="16" s="1"/>
  <c r="P28" i="16"/>
  <c r="AC26" i="16"/>
  <c r="AC51" i="16" s="1"/>
  <c r="AB26" i="16"/>
  <c r="AK24" i="16"/>
  <c r="AH24" i="16"/>
  <c r="Z24" i="16"/>
  <c r="AJ24" i="16" s="1"/>
  <c r="X24" i="16"/>
  <c r="T24" i="16"/>
  <c r="S24" i="16"/>
  <c r="U24" i="16" s="1"/>
  <c r="Q24" i="16"/>
  <c r="R24" i="16" s="1"/>
  <c r="P24" i="16"/>
  <c r="N24" i="16"/>
  <c r="I24" i="16"/>
  <c r="AH23" i="16"/>
  <c r="Z23" i="16"/>
  <c r="X23" i="16"/>
  <c r="T23" i="16"/>
  <c r="S23" i="16"/>
  <c r="U23" i="16" s="1"/>
  <c r="Y23" i="16" s="1"/>
  <c r="R23" i="16"/>
  <c r="AG23" i="16" s="1"/>
  <c r="AM23" i="16" s="1"/>
  <c r="Q23" i="16"/>
  <c r="P23" i="16"/>
  <c r="AK23" i="16" s="1"/>
  <c r="N23" i="16"/>
  <c r="I23" i="16"/>
  <c r="AH22" i="16"/>
  <c r="Z22" i="16"/>
  <c r="X22" i="16"/>
  <c r="T22" i="16"/>
  <c r="S22" i="16"/>
  <c r="U22" i="16" s="1"/>
  <c r="Q22" i="16"/>
  <c r="P22" i="16"/>
  <c r="N22" i="16"/>
  <c r="I22" i="16"/>
  <c r="AK21" i="16"/>
  <c r="AH21" i="16"/>
  <c r="Z21" i="16"/>
  <c r="X21" i="16"/>
  <c r="U21" i="16"/>
  <c r="T21" i="16"/>
  <c r="S21" i="16"/>
  <c r="Q21" i="16"/>
  <c r="R21" i="16" s="1"/>
  <c r="P21" i="16"/>
  <c r="AJ21" i="16" s="1"/>
  <c r="N21" i="16"/>
  <c r="I21" i="16"/>
  <c r="AH20" i="16"/>
  <c r="Z20" i="16"/>
  <c r="X20" i="16"/>
  <c r="T20" i="16"/>
  <c r="S20" i="16"/>
  <c r="U20" i="16" s="1"/>
  <c r="Q20" i="16"/>
  <c r="P20" i="16"/>
  <c r="N20" i="16"/>
  <c r="I20" i="16"/>
  <c r="AH19" i="16"/>
  <c r="Z19" i="16"/>
  <c r="X19" i="16"/>
  <c r="U19" i="16"/>
  <c r="T19" i="16"/>
  <c r="S19" i="16"/>
  <c r="R19" i="16"/>
  <c r="Q19" i="16"/>
  <c r="P19" i="16"/>
  <c r="AJ19" i="16" s="1"/>
  <c r="N19" i="16"/>
  <c r="I19" i="16"/>
  <c r="AJ18" i="16"/>
  <c r="AH18" i="16"/>
  <c r="Z18" i="16"/>
  <c r="X18" i="16"/>
  <c r="T18" i="16"/>
  <c r="S18" i="16"/>
  <c r="U18" i="16" s="1"/>
  <c r="Q18" i="16"/>
  <c r="P18" i="16"/>
  <c r="AK18" i="16" s="1"/>
  <c r="N18" i="16"/>
  <c r="I18" i="16"/>
  <c r="AK17" i="16"/>
  <c r="AH17" i="16"/>
  <c r="Z17" i="16"/>
  <c r="AJ17" i="16" s="1"/>
  <c r="X17" i="16"/>
  <c r="U17" i="16"/>
  <c r="T17" i="16"/>
  <c r="S17" i="16"/>
  <c r="R17" i="16"/>
  <c r="Q17" i="16"/>
  <c r="P17" i="16"/>
  <c r="O17" i="16"/>
  <c r="N17" i="16"/>
  <c r="I17" i="16"/>
  <c r="AK16" i="16"/>
  <c r="AH16" i="16"/>
  <c r="AG16" i="16"/>
  <c r="AM16" i="16" s="1"/>
  <c r="Z16" i="16"/>
  <c r="AJ16" i="16" s="1"/>
  <c r="X16" i="16"/>
  <c r="T16" i="16"/>
  <c r="S16" i="16"/>
  <c r="U16" i="16" s="1"/>
  <c r="Y16" i="16" s="1"/>
  <c r="Q16" i="16"/>
  <c r="R16" i="16" s="1"/>
  <c r="O16" i="16" s="1"/>
  <c r="P16" i="16"/>
  <c r="N16" i="16"/>
  <c r="I16" i="16"/>
  <c r="AH15" i="16"/>
  <c r="Z15" i="16"/>
  <c r="X15" i="16"/>
  <c r="T15" i="16"/>
  <c r="S15" i="16"/>
  <c r="U15" i="16" s="1"/>
  <c r="Q15" i="16"/>
  <c r="P15" i="16"/>
  <c r="N15" i="16"/>
  <c r="I15" i="16"/>
  <c r="AJ14" i="16"/>
  <c r="AH14" i="16"/>
  <c r="Z14" i="16"/>
  <c r="X14" i="16"/>
  <c r="T14" i="16"/>
  <c r="U14" i="16" s="1"/>
  <c r="S14" i="16"/>
  <c r="Q14" i="16"/>
  <c r="P14" i="16"/>
  <c r="N14" i="16"/>
  <c r="I14" i="16"/>
  <c r="AK13" i="16"/>
  <c r="AH13" i="16"/>
  <c r="Z13" i="16"/>
  <c r="X13" i="16"/>
  <c r="T13" i="16"/>
  <c r="S13" i="16"/>
  <c r="U13" i="16" s="1"/>
  <c r="Q13" i="16"/>
  <c r="R13" i="16" s="1"/>
  <c r="AI13" i="16" s="1"/>
  <c r="P13" i="16"/>
  <c r="N13" i="16"/>
  <c r="I13" i="16"/>
  <c r="AH12" i="16"/>
  <c r="Z12" i="16"/>
  <c r="X12" i="16"/>
  <c r="U12" i="16"/>
  <c r="Y12" i="16" s="1"/>
  <c r="T12" i="16"/>
  <c r="S12" i="16"/>
  <c r="Q12" i="16"/>
  <c r="P12" i="16"/>
  <c r="N12" i="16"/>
  <c r="I12" i="16"/>
  <c r="AH11" i="16"/>
  <c r="Z11" i="16"/>
  <c r="X11" i="16"/>
  <c r="T11" i="16"/>
  <c r="S11" i="16"/>
  <c r="U11" i="16" s="1"/>
  <c r="R11" i="16"/>
  <c r="AG11" i="16" s="1"/>
  <c r="AM11" i="16" s="1"/>
  <c r="Q11" i="16"/>
  <c r="P11" i="16"/>
  <c r="N11" i="16"/>
  <c r="I11" i="16"/>
  <c r="AJ10" i="16"/>
  <c r="AH10" i="16"/>
  <c r="Z10" i="16"/>
  <c r="X10" i="16"/>
  <c r="T10" i="16"/>
  <c r="U10" i="16" s="1"/>
  <c r="S10" i="16"/>
  <c r="R10" i="16"/>
  <c r="Q10" i="16"/>
  <c r="P10" i="16"/>
  <c r="AK10" i="16" s="1"/>
  <c r="N10" i="16"/>
  <c r="I10" i="16"/>
  <c r="AH9" i="16"/>
  <c r="Z9" i="16"/>
  <c r="X9" i="16"/>
  <c r="T9" i="16"/>
  <c r="U9" i="16" s="1"/>
  <c r="S9" i="16"/>
  <c r="Q9" i="16"/>
  <c r="P9" i="16"/>
  <c r="N9" i="16"/>
  <c r="I9" i="16"/>
  <c r="AK8" i="16"/>
  <c r="AJ8" i="16"/>
  <c r="AH8" i="16"/>
  <c r="Z8" i="16"/>
  <c r="X8" i="16"/>
  <c r="T8" i="16"/>
  <c r="S8" i="16"/>
  <c r="Q8" i="16"/>
  <c r="R8" i="16" s="1"/>
  <c r="P8" i="16"/>
  <c r="N8" i="16"/>
  <c r="I8" i="16"/>
  <c r="AH7" i="16"/>
  <c r="AK7" i="16"/>
  <c r="Z7" i="16"/>
  <c r="X7" i="16"/>
  <c r="T7" i="16"/>
  <c r="S7" i="16"/>
  <c r="U7" i="16" s="1"/>
  <c r="R7" i="16"/>
  <c r="Q7" i="16"/>
  <c r="P7" i="16"/>
  <c r="AJ7" i="16" s="1"/>
  <c r="N7" i="16"/>
  <c r="I7" i="16"/>
  <c r="AH6" i="16"/>
  <c r="Z6" i="16"/>
  <c r="Y6" i="16"/>
  <c r="X6" i="16"/>
  <c r="T6" i="16"/>
  <c r="U6" i="16" s="1"/>
  <c r="S6" i="16"/>
  <c r="Q6" i="16"/>
  <c r="P6" i="16"/>
  <c r="AJ6" i="16" s="1"/>
  <c r="N6" i="16"/>
  <c r="I6" i="16"/>
  <c r="AH5" i="16"/>
  <c r="Z5" i="16"/>
  <c r="X5" i="16"/>
  <c r="T5" i="16"/>
  <c r="S5" i="16"/>
  <c r="Q5" i="16"/>
  <c r="P5" i="16"/>
  <c r="AJ5" i="16" s="1"/>
  <c r="N5" i="16"/>
  <c r="I5" i="16"/>
  <c r="AJ4" i="16"/>
  <c r="AH4" i="16"/>
  <c r="Z4" i="16"/>
  <c r="X4" i="16"/>
  <c r="U4" i="16"/>
  <c r="T4" i="16"/>
  <c r="S4" i="16"/>
  <c r="R4" i="16"/>
  <c r="Q4" i="16"/>
  <c r="P4" i="16"/>
  <c r="AK4" i="16" s="1"/>
  <c r="N4" i="16"/>
  <c r="I4" i="16"/>
  <c r="AH3" i="16"/>
  <c r="Z3" i="16"/>
  <c r="X3" i="16"/>
  <c r="W3" i="16"/>
  <c r="T3" i="16"/>
  <c r="U3" i="16" s="1"/>
  <c r="S3" i="16"/>
  <c r="R3" i="16"/>
  <c r="Q3" i="16"/>
  <c r="P3" i="16"/>
  <c r="I3" i="16"/>
  <c r="K60" i="17"/>
  <c r="I60" i="17"/>
  <c r="K58" i="17"/>
  <c r="L58" i="17" s="1"/>
  <c r="I58" i="17"/>
  <c r="J51" i="17"/>
  <c r="G51" i="17"/>
  <c r="F51" i="17"/>
  <c r="E51" i="17"/>
  <c r="D51" i="17"/>
  <c r="AA50" i="17"/>
  <c r="AA50" i="18" s="1"/>
  <c r="AC49" i="17"/>
  <c r="AB49" i="17"/>
  <c r="K49" i="17"/>
  <c r="C49" i="17"/>
  <c r="AH47" i="17"/>
  <c r="Z47" i="17"/>
  <c r="Z47" i="18" s="1"/>
  <c r="X47" i="17"/>
  <c r="X47" i="18" s="1"/>
  <c r="T47" i="17"/>
  <c r="T47" i="18" s="1"/>
  <c r="S47" i="17"/>
  <c r="S47" i="18" s="1"/>
  <c r="Q47" i="17"/>
  <c r="Q47" i="18" s="1"/>
  <c r="P47" i="17"/>
  <c r="I47" i="17"/>
  <c r="AH46" i="17"/>
  <c r="Z46" i="17"/>
  <c r="X46" i="17"/>
  <c r="X46" i="18" s="1"/>
  <c r="T46" i="17"/>
  <c r="T46" i="18" s="1"/>
  <c r="S46" i="17"/>
  <c r="S46" i="18" s="1"/>
  <c r="Q46" i="17"/>
  <c r="Q46" i="18" s="1"/>
  <c r="P46" i="17"/>
  <c r="P46" i="18" s="1"/>
  <c r="I46" i="17"/>
  <c r="AH45" i="17"/>
  <c r="Z45" i="17"/>
  <c r="Z45" i="18" s="1"/>
  <c r="X45" i="17"/>
  <c r="X45" i="18" s="1"/>
  <c r="T45" i="17"/>
  <c r="T45" i="18" s="1"/>
  <c r="S45" i="17"/>
  <c r="S45" i="18" s="1"/>
  <c r="Q45" i="17"/>
  <c r="P45" i="17"/>
  <c r="I45" i="17"/>
  <c r="AH44" i="17"/>
  <c r="Z44" i="17"/>
  <c r="Z44" i="18" s="1"/>
  <c r="X44" i="17"/>
  <c r="X44" i="18" s="1"/>
  <c r="T44" i="17"/>
  <c r="T44" i="18" s="1"/>
  <c r="S44" i="17"/>
  <c r="S44" i="18" s="1"/>
  <c r="Q44" i="17"/>
  <c r="Q44" i="18" s="1"/>
  <c r="P44" i="17"/>
  <c r="I44" i="17"/>
  <c r="AH43" i="17"/>
  <c r="Z43" i="17"/>
  <c r="Z43" i="18" s="1"/>
  <c r="X43" i="17"/>
  <c r="X43" i="18" s="1"/>
  <c r="T43" i="17"/>
  <c r="T43" i="18" s="1"/>
  <c r="S43" i="17"/>
  <c r="S43" i="18" s="1"/>
  <c r="Q43" i="17"/>
  <c r="Q43" i="18" s="1"/>
  <c r="P43" i="17"/>
  <c r="P43" i="18" s="1"/>
  <c r="I43" i="17"/>
  <c r="AH42" i="17"/>
  <c r="Z42" i="17"/>
  <c r="Z42" i="18" s="1"/>
  <c r="X42" i="17"/>
  <c r="X42" i="18" s="1"/>
  <c r="T42" i="17"/>
  <c r="T42" i="18" s="1"/>
  <c r="S42" i="17"/>
  <c r="S42" i="18" s="1"/>
  <c r="Q42" i="17"/>
  <c r="Q42" i="18" s="1"/>
  <c r="P42" i="17"/>
  <c r="P42" i="18" s="1"/>
  <c r="I42" i="17"/>
  <c r="AH41" i="17"/>
  <c r="Z41" i="17"/>
  <c r="Z41" i="18" s="1"/>
  <c r="X41" i="17"/>
  <c r="X41" i="18" s="1"/>
  <c r="T41" i="17"/>
  <c r="T41" i="18" s="1"/>
  <c r="S41" i="17"/>
  <c r="S41" i="18" s="1"/>
  <c r="Q41" i="17"/>
  <c r="Q41" i="18" s="1"/>
  <c r="P41" i="17"/>
  <c r="I41" i="17"/>
  <c r="AH40" i="17"/>
  <c r="Z40" i="17"/>
  <c r="Z40" i="18" s="1"/>
  <c r="X40" i="17"/>
  <c r="X40" i="18" s="1"/>
  <c r="T40" i="17"/>
  <c r="T40" i="18" s="1"/>
  <c r="S40" i="17"/>
  <c r="S40" i="18" s="1"/>
  <c r="Q40" i="17"/>
  <c r="Q40" i="18" s="1"/>
  <c r="P40" i="17"/>
  <c r="P40" i="18" s="1"/>
  <c r="I40" i="17"/>
  <c r="AH39" i="17"/>
  <c r="Z39" i="17"/>
  <c r="Z39" i="18" s="1"/>
  <c r="X39" i="17"/>
  <c r="X39" i="18" s="1"/>
  <c r="T39" i="17"/>
  <c r="T39" i="18" s="1"/>
  <c r="S39" i="17"/>
  <c r="S39" i="18" s="1"/>
  <c r="Q39" i="17"/>
  <c r="Q39" i="18" s="1"/>
  <c r="P39" i="17"/>
  <c r="P39" i="18" s="1"/>
  <c r="I39" i="17"/>
  <c r="AH38" i="17"/>
  <c r="Z38" i="17"/>
  <c r="Z38" i="18" s="1"/>
  <c r="X38" i="17"/>
  <c r="X38" i="18" s="1"/>
  <c r="T38" i="17"/>
  <c r="T38" i="18" s="1"/>
  <c r="S38" i="17"/>
  <c r="S38" i="18" s="1"/>
  <c r="Q38" i="17"/>
  <c r="Q38" i="18" s="1"/>
  <c r="P38" i="17"/>
  <c r="I38" i="17"/>
  <c r="AH37" i="17"/>
  <c r="Z37" i="17"/>
  <c r="Z37" i="18" s="1"/>
  <c r="X37" i="17"/>
  <c r="X37" i="18" s="1"/>
  <c r="T37" i="17"/>
  <c r="T37" i="18" s="1"/>
  <c r="S37" i="17"/>
  <c r="S37" i="18" s="1"/>
  <c r="Q37" i="17"/>
  <c r="Q37" i="18" s="1"/>
  <c r="P37" i="17"/>
  <c r="I37" i="17"/>
  <c r="AH36" i="17"/>
  <c r="Z36" i="17"/>
  <c r="Z36" i="18" s="1"/>
  <c r="X36" i="17"/>
  <c r="X36" i="18" s="1"/>
  <c r="T36" i="17"/>
  <c r="T36" i="18" s="1"/>
  <c r="S36" i="17"/>
  <c r="S36" i="18" s="1"/>
  <c r="Q36" i="17"/>
  <c r="Q36" i="18" s="1"/>
  <c r="P36" i="17"/>
  <c r="I36" i="17"/>
  <c r="AH35" i="17"/>
  <c r="Z35" i="17"/>
  <c r="Z35" i="18" s="1"/>
  <c r="X35" i="17"/>
  <c r="X35" i="18" s="1"/>
  <c r="T35" i="17"/>
  <c r="T35" i="18" s="1"/>
  <c r="S35" i="17"/>
  <c r="S35" i="18" s="1"/>
  <c r="Q35" i="17"/>
  <c r="Q35" i="18" s="1"/>
  <c r="P35" i="17"/>
  <c r="I35" i="17"/>
  <c r="AH34" i="17"/>
  <c r="Z34" i="17"/>
  <c r="Z34" i="18" s="1"/>
  <c r="X34" i="17"/>
  <c r="X34" i="18" s="1"/>
  <c r="T34" i="17"/>
  <c r="T34" i="18" s="1"/>
  <c r="S34" i="17"/>
  <c r="S34" i="18" s="1"/>
  <c r="Q34" i="17"/>
  <c r="Q34" i="18" s="1"/>
  <c r="P34" i="17"/>
  <c r="P34" i="18" s="1"/>
  <c r="I34" i="17"/>
  <c r="AH33" i="17"/>
  <c r="Z33" i="17"/>
  <c r="Z33" i="18" s="1"/>
  <c r="X33" i="17"/>
  <c r="X33" i="18" s="1"/>
  <c r="T33" i="17"/>
  <c r="T33" i="18" s="1"/>
  <c r="S33" i="17"/>
  <c r="S33" i="18" s="1"/>
  <c r="Q33" i="17"/>
  <c r="Q33" i="18" s="1"/>
  <c r="P33" i="17"/>
  <c r="I33" i="17"/>
  <c r="AH32" i="17"/>
  <c r="Z32" i="17"/>
  <c r="Z32" i="18" s="1"/>
  <c r="X32" i="17"/>
  <c r="X32" i="18" s="1"/>
  <c r="T32" i="17"/>
  <c r="T32" i="18" s="1"/>
  <c r="S32" i="17"/>
  <c r="S32" i="18" s="1"/>
  <c r="Q32" i="17"/>
  <c r="Q32" i="18" s="1"/>
  <c r="P32" i="17"/>
  <c r="I32" i="17"/>
  <c r="AH31" i="17"/>
  <c r="Z31" i="17"/>
  <c r="Z31" i="18" s="1"/>
  <c r="X31" i="17"/>
  <c r="X31" i="18" s="1"/>
  <c r="T31" i="17"/>
  <c r="T31" i="18" s="1"/>
  <c r="S31" i="17"/>
  <c r="S31" i="18" s="1"/>
  <c r="Q31" i="17"/>
  <c r="Q31" i="18" s="1"/>
  <c r="P31" i="17"/>
  <c r="P31" i="18" s="1"/>
  <c r="I31" i="17"/>
  <c r="AH30" i="17"/>
  <c r="Z30" i="17"/>
  <c r="Z30" i="18" s="1"/>
  <c r="X30" i="17"/>
  <c r="X30" i="18" s="1"/>
  <c r="T30" i="17"/>
  <c r="T30" i="18" s="1"/>
  <c r="S30" i="17"/>
  <c r="S30" i="18" s="1"/>
  <c r="Q30" i="17"/>
  <c r="Q30" i="18" s="1"/>
  <c r="P30" i="17"/>
  <c r="P30" i="18" s="1"/>
  <c r="AK30" i="18" s="1"/>
  <c r="I30" i="17"/>
  <c r="AH29" i="17"/>
  <c r="Z29" i="17"/>
  <c r="Z29" i="18" s="1"/>
  <c r="X29" i="17"/>
  <c r="X29" i="18" s="1"/>
  <c r="T29" i="17"/>
  <c r="T29" i="18" s="1"/>
  <c r="S29" i="17"/>
  <c r="S29" i="18" s="1"/>
  <c r="Q29" i="17"/>
  <c r="Q29" i="18" s="1"/>
  <c r="P29" i="17"/>
  <c r="I29" i="17"/>
  <c r="AH28" i="17"/>
  <c r="Z28" i="17"/>
  <c r="Z28" i="18" s="1"/>
  <c r="X28" i="17"/>
  <c r="X28" i="18" s="1"/>
  <c r="T28" i="17"/>
  <c r="T28" i="18" s="1"/>
  <c r="S28" i="17"/>
  <c r="S28" i="18" s="1"/>
  <c r="Q28" i="17"/>
  <c r="Q28" i="18" s="1"/>
  <c r="P28" i="17"/>
  <c r="P28" i="18" s="1"/>
  <c r="AK28" i="18" s="1"/>
  <c r="I28" i="17"/>
  <c r="AA27" i="17"/>
  <c r="AA27" i="18" s="1"/>
  <c r="AC26" i="17"/>
  <c r="AC51" i="17" s="1"/>
  <c r="AB26" i="17"/>
  <c r="K26" i="17"/>
  <c r="K51" i="17" s="1"/>
  <c r="I26" i="17"/>
  <c r="C26" i="17"/>
  <c r="C51" i="17" s="1"/>
  <c r="AH24" i="17"/>
  <c r="Z24" i="17"/>
  <c r="Z24" i="18" s="1"/>
  <c r="X24" i="17"/>
  <c r="X24" i="18" s="1"/>
  <c r="T24" i="17"/>
  <c r="T24" i="18" s="1"/>
  <c r="S24" i="17"/>
  <c r="S24" i="18" s="1"/>
  <c r="Q24" i="17"/>
  <c r="Q24" i="18" s="1"/>
  <c r="P24" i="17"/>
  <c r="P24" i="18" s="1"/>
  <c r="AK24" i="18" s="1"/>
  <c r="I24" i="17"/>
  <c r="AH23" i="17"/>
  <c r="Z23" i="17"/>
  <c r="Z23" i="18" s="1"/>
  <c r="X23" i="17"/>
  <c r="X23" i="18" s="1"/>
  <c r="T23" i="17"/>
  <c r="T23" i="18" s="1"/>
  <c r="S23" i="17"/>
  <c r="S23" i="18" s="1"/>
  <c r="Q23" i="17"/>
  <c r="Q23" i="18" s="1"/>
  <c r="P23" i="17"/>
  <c r="P23" i="18" s="1"/>
  <c r="AK23" i="18" s="1"/>
  <c r="I23" i="17"/>
  <c r="AH22" i="17"/>
  <c r="Z22" i="17"/>
  <c r="Z22" i="18" s="1"/>
  <c r="X22" i="17"/>
  <c r="X22" i="18" s="1"/>
  <c r="T22" i="17"/>
  <c r="T22" i="18" s="1"/>
  <c r="S22" i="17"/>
  <c r="S22" i="18" s="1"/>
  <c r="Q22" i="17"/>
  <c r="Q22" i="18" s="1"/>
  <c r="P22" i="17"/>
  <c r="I22" i="17"/>
  <c r="AH21" i="17"/>
  <c r="Z21" i="17"/>
  <c r="Z21" i="18" s="1"/>
  <c r="X21" i="17"/>
  <c r="X21" i="18" s="1"/>
  <c r="T21" i="17"/>
  <c r="T21" i="18" s="1"/>
  <c r="S21" i="17"/>
  <c r="S21" i="18" s="1"/>
  <c r="Q21" i="17"/>
  <c r="Q21" i="18" s="1"/>
  <c r="P21" i="17"/>
  <c r="P21" i="18" s="1"/>
  <c r="I21" i="17"/>
  <c r="AH20" i="17"/>
  <c r="Z20" i="17"/>
  <c r="Z20" i="18" s="1"/>
  <c r="X20" i="17"/>
  <c r="X20" i="18" s="1"/>
  <c r="T20" i="17"/>
  <c r="T20" i="18" s="1"/>
  <c r="S20" i="17"/>
  <c r="S20" i="18" s="1"/>
  <c r="Q20" i="17"/>
  <c r="Q20" i="18" s="1"/>
  <c r="P20" i="17"/>
  <c r="I20" i="17"/>
  <c r="AH19" i="17"/>
  <c r="Z19" i="17"/>
  <c r="Z19" i="18" s="1"/>
  <c r="X19" i="17"/>
  <c r="X19" i="18" s="1"/>
  <c r="T19" i="17"/>
  <c r="T19" i="18" s="1"/>
  <c r="S19" i="17"/>
  <c r="S19" i="18" s="1"/>
  <c r="Q19" i="17"/>
  <c r="Q19" i="18" s="1"/>
  <c r="P19" i="17"/>
  <c r="I19" i="17"/>
  <c r="AH18" i="17"/>
  <c r="Z18" i="17"/>
  <c r="Z18" i="18" s="1"/>
  <c r="X18" i="17"/>
  <c r="X18" i="18" s="1"/>
  <c r="T18" i="17"/>
  <c r="T18" i="18" s="1"/>
  <c r="S18" i="17"/>
  <c r="S18" i="18" s="1"/>
  <c r="Q18" i="17"/>
  <c r="Q18" i="18" s="1"/>
  <c r="P18" i="17"/>
  <c r="I18" i="17"/>
  <c r="AH17" i="17"/>
  <c r="Z17" i="17"/>
  <c r="Z17" i="18" s="1"/>
  <c r="X17" i="17"/>
  <c r="X17" i="18" s="1"/>
  <c r="T17" i="17"/>
  <c r="T17" i="18" s="1"/>
  <c r="S17" i="17"/>
  <c r="S17" i="18" s="1"/>
  <c r="Q17" i="17"/>
  <c r="Q17" i="18" s="1"/>
  <c r="P17" i="17"/>
  <c r="I17" i="17"/>
  <c r="AH16" i="17"/>
  <c r="Z16" i="17"/>
  <c r="Z16" i="18" s="1"/>
  <c r="X16" i="17"/>
  <c r="X16" i="18" s="1"/>
  <c r="T16" i="17"/>
  <c r="T16" i="18" s="1"/>
  <c r="S16" i="17"/>
  <c r="S16" i="18" s="1"/>
  <c r="Q16" i="17"/>
  <c r="Q16" i="18" s="1"/>
  <c r="P16" i="17"/>
  <c r="I16" i="17"/>
  <c r="AH15" i="17"/>
  <c r="Z15" i="17"/>
  <c r="Z15" i="18" s="1"/>
  <c r="X15" i="17"/>
  <c r="X15" i="18" s="1"/>
  <c r="T15" i="17"/>
  <c r="T15" i="18" s="1"/>
  <c r="S15" i="17"/>
  <c r="S15" i="18" s="1"/>
  <c r="Q15" i="17"/>
  <c r="Q15" i="18" s="1"/>
  <c r="P15" i="17"/>
  <c r="I15" i="17"/>
  <c r="AH14" i="17"/>
  <c r="Z14" i="17"/>
  <c r="Z14" i="18" s="1"/>
  <c r="X14" i="17"/>
  <c r="X14" i="18" s="1"/>
  <c r="T14" i="17"/>
  <c r="T14" i="18" s="1"/>
  <c r="S14" i="17"/>
  <c r="S14" i="18" s="1"/>
  <c r="Q14" i="17"/>
  <c r="Q14" i="18" s="1"/>
  <c r="P14" i="17"/>
  <c r="P14" i="18" s="1"/>
  <c r="I14" i="17"/>
  <c r="AH13" i="17"/>
  <c r="Z13" i="17"/>
  <c r="Z13" i="18" s="1"/>
  <c r="X13" i="17"/>
  <c r="X13" i="18" s="1"/>
  <c r="T13" i="17"/>
  <c r="T13" i="18" s="1"/>
  <c r="S13" i="17"/>
  <c r="S13" i="18" s="1"/>
  <c r="Q13" i="17"/>
  <c r="Q13" i="18" s="1"/>
  <c r="P13" i="17"/>
  <c r="I13" i="17"/>
  <c r="AH12" i="17"/>
  <c r="Z12" i="17"/>
  <c r="Z12" i="18" s="1"/>
  <c r="X12" i="17"/>
  <c r="X12" i="18" s="1"/>
  <c r="T12" i="17"/>
  <c r="T12" i="18" s="1"/>
  <c r="S12" i="17"/>
  <c r="S12" i="18" s="1"/>
  <c r="Q12" i="17"/>
  <c r="Q12" i="18" s="1"/>
  <c r="P12" i="17"/>
  <c r="I12" i="17"/>
  <c r="AH11" i="17"/>
  <c r="Z11" i="17"/>
  <c r="Z11" i="18" s="1"/>
  <c r="X11" i="17"/>
  <c r="X11" i="18" s="1"/>
  <c r="T11" i="17"/>
  <c r="T11" i="18" s="1"/>
  <c r="S11" i="17"/>
  <c r="S11" i="18" s="1"/>
  <c r="Q11" i="17"/>
  <c r="Q11" i="18" s="1"/>
  <c r="P11" i="17"/>
  <c r="I11" i="17"/>
  <c r="AH10" i="17"/>
  <c r="Z10" i="17"/>
  <c r="Z10" i="18" s="1"/>
  <c r="X10" i="17"/>
  <c r="X10" i="18" s="1"/>
  <c r="T10" i="17"/>
  <c r="T10" i="18" s="1"/>
  <c r="S10" i="17"/>
  <c r="S10" i="18" s="1"/>
  <c r="Q10" i="17"/>
  <c r="Q10" i="18" s="1"/>
  <c r="P10" i="17"/>
  <c r="P10" i="18" s="1"/>
  <c r="AK10" i="18" s="1"/>
  <c r="I10" i="17"/>
  <c r="AH9" i="17"/>
  <c r="Z9" i="17"/>
  <c r="Z9" i="18" s="1"/>
  <c r="X9" i="17"/>
  <c r="X9" i="18" s="1"/>
  <c r="T9" i="17"/>
  <c r="T9" i="18" s="1"/>
  <c r="S9" i="17"/>
  <c r="S9" i="18" s="1"/>
  <c r="Q9" i="17"/>
  <c r="Q9" i="18" s="1"/>
  <c r="P9" i="17"/>
  <c r="P9" i="18" s="1"/>
  <c r="I9" i="17"/>
  <c r="AH8" i="17"/>
  <c r="Z8" i="17"/>
  <c r="X8" i="17"/>
  <c r="X8" i="18" s="1"/>
  <c r="T8" i="17"/>
  <c r="T8" i="18" s="1"/>
  <c r="S8" i="17"/>
  <c r="S8" i="18" s="1"/>
  <c r="Q8" i="17"/>
  <c r="Q8" i="18" s="1"/>
  <c r="P8" i="17"/>
  <c r="I8" i="17"/>
  <c r="AH7" i="17"/>
  <c r="Z7" i="17"/>
  <c r="Z7" i="18" s="1"/>
  <c r="X7" i="17"/>
  <c r="X7" i="18" s="1"/>
  <c r="T7" i="17"/>
  <c r="T7" i="18" s="1"/>
  <c r="S7" i="17"/>
  <c r="S7" i="18" s="1"/>
  <c r="Q7" i="17"/>
  <c r="Q7" i="18" s="1"/>
  <c r="P7" i="17"/>
  <c r="P7" i="18" s="1"/>
  <c r="I7" i="17"/>
  <c r="AH6" i="17"/>
  <c r="Z6" i="17"/>
  <c r="Z6" i="18" s="1"/>
  <c r="X6" i="17"/>
  <c r="X6" i="18" s="1"/>
  <c r="T6" i="17"/>
  <c r="T6" i="18" s="1"/>
  <c r="S6" i="17"/>
  <c r="S6" i="18" s="1"/>
  <c r="Q6" i="17"/>
  <c r="Q6" i="18" s="1"/>
  <c r="P6" i="17"/>
  <c r="P6" i="18" s="1"/>
  <c r="I6" i="17"/>
  <c r="AH5" i="17"/>
  <c r="Z5" i="17"/>
  <c r="Z5" i="18" s="1"/>
  <c r="X5" i="17"/>
  <c r="X5" i="18" s="1"/>
  <c r="T5" i="17"/>
  <c r="T5" i="18" s="1"/>
  <c r="S5" i="17"/>
  <c r="S5" i="18" s="1"/>
  <c r="Q5" i="17"/>
  <c r="Q5" i="18" s="1"/>
  <c r="P5" i="17"/>
  <c r="P5" i="18" s="1"/>
  <c r="I5" i="17"/>
  <c r="AH4" i="17"/>
  <c r="Z4" i="17"/>
  <c r="Z4" i="18" s="1"/>
  <c r="X4" i="17"/>
  <c r="X4" i="18" s="1"/>
  <c r="T4" i="17"/>
  <c r="T4" i="18" s="1"/>
  <c r="S4" i="17"/>
  <c r="S4" i="18" s="1"/>
  <c r="Q4" i="17"/>
  <c r="Q4" i="18" s="1"/>
  <c r="P4" i="17"/>
  <c r="P4" i="18" s="1"/>
  <c r="I4" i="17"/>
  <c r="AH3" i="17"/>
  <c r="Z3" i="17"/>
  <c r="Z3" i="18" s="1"/>
  <c r="X3" i="17"/>
  <c r="X3" i="18" s="1"/>
  <c r="T3" i="17"/>
  <c r="T3" i="18" s="1"/>
  <c r="S3" i="17"/>
  <c r="S3" i="18" s="1"/>
  <c r="Q3" i="17"/>
  <c r="Q3" i="18" s="1"/>
  <c r="P3" i="17"/>
  <c r="I3" i="17"/>
  <c r="K60" i="18"/>
  <c r="I60" i="18"/>
  <c r="K58" i="18"/>
  <c r="L58" i="18" s="1"/>
  <c r="I58" i="18"/>
  <c r="J51" i="18"/>
  <c r="G51" i="18"/>
  <c r="F51" i="18"/>
  <c r="E51" i="18"/>
  <c r="D51" i="18"/>
  <c r="AC49" i="18"/>
  <c r="AB49" i="18"/>
  <c r="C49" i="18"/>
  <c r="AH47" i="18"/>
  <c r="I47" i="18"/>
  <c r="AH46" i="18"/>
  <c r="I46" i="18"/>
  <c r="AH45" i="18"/>
  <c r="I45" i="18"/>
  <c r="AH44" i="18"/>
  <c r="I44" i="18"/>
  <c r="AH43" i="18"/>
  <c r="I43" i="18"/>
  <c r="AH42" i="18"/>
  <c r="I42" i="18"/>
  <c r="AH41" i="18"/>
  <c r="I41" i="18"/>
  <c r="AH40" i="18"/>
  <c r="I40" i="18"/>
  <c r="AH39" i="18"/>
  <c r="I39" i="18"/>
  <c r="AH38" i="18"/>
  <c r="I38" i="18"/>
  <c r="AH37" i="18"/>
  <c r="I37" i="18"/>
  <c r="AH36" i="18"/>
  <c r="I36" i="18"/>
  <c r="AH35" i="18"/>
  <c r="I35" i="18"/>
  <c r="AH34" i="18"/>
  <c r="I34" i="18"/>
  <c r="AH33" i="18"/>
  <c r="I33" i="18"/>
  <c r="AH32" i="18"/>
  <c r="I32" i="18"/>
  <c r="AH31" i="18"/>
  <c r="I31" i="18"/>
  <c r="AH30" i="18"/>
  <c r="I30" i="18"/>
  <c r="AH29" i="18"/>
  <c r="I29" i="18"/>
  <c r="AH28" i="18"/>
  <c r="I28" i="18"/>
  <c r="AC26" i="18"/>
  <c r="AC51" i="18" s="1"/>
  <c r="AB26" i="18"/>
  <c r="C26" i="18"/>
  <c r="C51" i="18" s="1"/>
  <c r="AH24" i="18"/>
  <c r="I24" i="18"/>
  <c r="AH23" i="18"/>
  <c r="I23" i="18"/>
  <c r="AH22" i="18"/>
  <c r="I22" i="18"/>
  <c r="AH21" i="18"/>
  <c r="I21" i="18"/>
  <c r="AH20" i="18"/>
  <c r="I20" i="18"/>
  <c r="AH19" i="18"/>
  <c r="I19" i="18"/>
  <c r="AH18" i="18"/>
  <c r="I18" i="18"/>
  <c r="AH17" i="18"/>
  <c r="I17" i="18"/>
  <c r="AH16" i="18"/>
  <c r="I16" i="18"/>
  <c r="AH15" i="18"/>
  <c r="I15" i="18"/>
  <c r="AH14" i="18"/>
  <c r="I14" i="18"/>
  <c r="AH13" i="18"/>
  <c r="I13" i="18"/>
  <c r="AH12" i="18"/>
  <c r="I12" i="18"/>
  <c r="AH11" i="18"/>
  <c r="I11" i="18"/>
  <c r="AH10" i="18"/>
  <c r="I10" i="18"/>
  <c r="AH9" i="18"/>
  <c r="I9" i="18"/>
  <c r="AH8" i="18"/>
  <c r="I8" i="18"/>
  <c r="AH7" i="18"/>
  <c r="I7" i="18"/>
  <c r="AH6" i="18"/>
  <c r="I6" i="18"/>
  <c r="AH5" i="18"/>
  <c r="I5" i="18"/>
  <c r="AH4" i="18"/>
  <c r="I4" i="18"/>
  <c r="AH3" i="18"/>
  <c r="AH25" i="18" s="1"/>
  <c r="I3" i="18"/>
  <c r="K60" i="19"/>
  <c r="I60" i="19"/>
  <c r="K58" i="19"/>
  <c r="L58" i="19" s="1"/>
  <c r="I58" i="19"/>
  <c r="J51" i="19"/>
  <c r="G51" i="19"/>
  <c r="F51" i="19"/>
  <c r="E51" i="19"/>
  <c r="D51" i="19"/>
  <c r="AA50" i="19"/>
  <c r="AC49" i="19"/>
  <c r="AB49" i="19"/>
  <c r="K49" i="19"/>
  <c r="C49" i="19"/>
  <c r="AK47" i="19"/>
  <c r="AH47" i="19"/>
  <c r="U47" i="19"/>
  <c r="AJ47" i="19"/>
  <c r="I47" i="19"/>
  <c r="AH46" i="19"/>
  <c r="U46" i="19"/>
  <c r="R46" i="19"/>
  <c r="O46" i="19" s="1"/>
  <c r="AK46" i="19"/>
  <c r="I46" i="19"/>
  <c r="AH45" i="19"/>
  <c r="U45" i="19"/>
  <c r="I45" i="19"/>
  <c r="AK44" i="19"/>
  <c r="AH44" i="19"/>
  <c r="U44" i="19"/>
  <c r="R44" i="19"/>
  <c r="O44" i="19" s="1"/>
  <c r="AJ44" i="19"/>
  <c r="I44" i="19"/>
  <c r="AK43" i="19"/>
  <c r="AH43" i="19"/>
  <c r="AJ43" i="19"/>
  <c r="I43" i="19"/>
  <c r="AH42" i="19"/>
  <c r="U42" i="19"/>
  <c r="R42" i="19"/>
  <c r="O42" i="19" s="1"/>
  <c r="AK42" i="19"/>
  <c r="I42" i="19"/>
  <c r="AH41" i="19"/>
  <c r="U41" i="19"/>
  <c r="AK41" i="19"/>
  <c r="I41" i="19"/>
  <c r="AH40" i="19"/>
  <c r="U40" i="19"/>
  <c r="R40" i="19"/>
  <c r="AI40" i="19" s="1"/>
  <c r="AK40" i="19"/>
  <c r="I40" i="19"/>
  <c r="AJ39" i="19"/>
  <c r="AH39" i="19"/>
  <c r="U39" i="19"/>
  <c r="R39" i="19"/>
  <c r="O39" i="19" s="1"/>
  <c r="AK39" i="19"/>
  <c r="I39" i="19"/>
  <c r="AH38" i="19"/>
  <c r="I38" i="19"/>
  <c r="AJ37" i="19"/>
  <c r="AH37" i="19"/>
  <c r="U37" i="19"/>
  <c r="AK37" i="19"/>
  <c r="I37" i="19"/>
  <c r="AH36" i="19"/>
  <c r="U36" i="19"/>
  <c r="R36" i="19"/>
  <c r="O36" i="19" s="1"/>
  <c r="AK36" i="19"/>
  <c r="I36" i="19"/>
  <c r="AH35" i="19"/>
  <c r="R35" i="19"/>
  <c r="O35" i="19" s="1"/>
  <c r="AK35" i="19"/>
  <c r="I35" i="19"/>
  <c r="AH34" i="19"/>
  <c r="U34" i="19"/>
  <c r="R34" i="19"/>
  <c r="O34" i="19" s="1"/>
  <c r="AK34" i="19"/>
  <c r="I34" i="19"/>
  <c r="AH33" i="19"/>
  <c r="AG33" i="19"/>
  <c r="AM33" i="19" s="1"/>
  <c r="U33" i="19"/>
  <c r="R33" i="19"/>
  <c r="O33" i="19" s="1"/>
  <c r="AK33" i="19"/>
  <c r="I33" i="19"/>
  <c r="AH32" i="19"/>
  <c r="U32" i="19"/>
  <c r="R32" i="19"/>
  <c r="O32" i="19" s="1"/>
  <c r="AK32" i="19"/>
  <c r="I32" i="19"/>
  <c r="AH31" i="19"/>
  <c r="U31" i="19"/>
  <c r="AJ31" i="19"/>
  <c r="I31" i="19"/>
  <c r="AH30" i="19"/>
  <c r="U30" i="19"/>
  <c r="R30" i="19"/>
  <c r="O30" i="19" s="1"/>
  <c r="AK30" i="19"/>
  <c r="I30" i="19"/>
  <c r="AH29" i="19"/>
  <c r="U29" i="19"/>
  <c r="R29" i="19"/>
  <c r="O29" i="19" s="1"/>
  <c r="AK29" i="19"/>
  <c r="I29" i="19"/>
  <c r="AI28" i="19"/>
  <c r="AH28" i="19"/>
  <c r="Z49" i="19"/>
  <c r="L14" i="6" s="1"/>
  <c r="R28" i="19"/>
  <c r="I28" i="19"/>
  <c r="AA27" i="19"/>
  <c r="AA53" i="19" s="1"/>
  <c r="AC26" i="19"/>
  <c r="AC51" i="19" s="1"/>
  <c r="AB26" i="19"/>
  <c r="K26" i="19"/>
  <c r="K51" i="19" s="1"/>
  <c r="C26" i="19"/>
  <c r="C51" i="19" s="1"/>
  <c r="AH24" i="19"/>
  <c r="U24" i="19"/>
  <c r="R24" i="19"/>
  <c r="O24" i="19" s="1"/>
  <c r="I24" i="19"/>
  <c r="AI23" i="19"/>
  <c r="AH23" i="19"/>
  <c r="U23" i="19"/>
  <c r="R23" i="19"/>
  <c r="O23" i="19" s="1"/>
  <c r="I23" i="19"/>
  <c r="AK22" i="19"/>
  <c r="AH22" i="19"/>
  <c r="U22" i="19"/>
  <c r="R22" i="19"/>
  <c r="O22" i="19" s="1"/>
  <c r="AJ22" i="19"/>
  <c r="I22" i="19"/>
  <c r="AK21" i="19"/>
  <c r="AH21" i="19"/>
  <c r="U21" i="19"/>
  <c r="R21" i="19"/>
  <c r="O21" i="19" s="1"/>
  <c r="AJ21" i="19"/>
  <c r="I21" i="19"/>
  <c r="AH20" i="19"/>
  <c r="U20" i="19"/>
  <c r="R20" i="19"/>
  <c r="I20" i="19"/>
  <c r="AH19" i="19"/>
  <c r="U19" i="19"/>
  <c r="R19" i="19"/>
  <c r="O19" i="19" s="1"/>
  <c r="I19" i="19"/>
  <c r="AK18" i="19"/>
  <c r="AH18" i="19"/>
  <c r="U18" i="19"/>
  <c r="R18" i="19"/>
  <c r="O18" i="19" s="1"/>
  <c r="AJ18" i="19"/>
  <c r="I18" i="19"/>
  <c r="AK17" i="19"/>
  <c r="AH17" i="19"/>
  <c r="U17" i="19"/>
  <c r="R17" i="19"/>
  <c r="O17" i="19" s="1"/>
  <c r="AJ17" i="19"/>
  <c r="I17" i="19"/>
  <c r="AH16" i="19"/>
  <c r="U16" i="19"/>
  <c r="R16" i="19"/>
  <c r="O16" i="19" s="1"/>
  <c r="I16" i="19"/>
  <c r="AH15" i="19"/>
  <c r="U15" i="19"/>
  <c r="R15" i="19"/>
  <c r="O15" i="19" s="1"/>
  <c r="I15" i="19"/>
  <c r="AK14" i="19"/>
  <c r="AH14" i="19"/>
  <c r="U14" i="19"/>
  <c r="R14" i="19"/>
  <c r="O14" i="19" s="1"/>
  <c r="AJ14" i="19"/>
  <c r="I14" i="19"/>
  <c r="AH13" i="19"/>
  <c r="U13" i="19"/>
  <c r="R13" i="19"/>
  <c r="O13" i="19" s="1"/>
  <c r="AK13" i="19"/>
  <c r="I13" i="19"/>
  <c r="AH12" i="19"/>
  <c r="U12" i="19"/>
  <c r="R12" i="19"/>
  <c r="O12" i="19" s="1"/>
  <c r="I12" i="19"/>
  <c r="AH11" i="19"/>
  <c r="U11" i="19"/>
  <c r="R11" i="19"/>
  <c r="O11" i="19" s="1"/>
  <c r="I11" i="19"/>
  <c r="AK10" i="19"/>
  <c r="AH10" i="19"/>
  <c r="U10" i="19"/>
  <c r="R10" i="19"/>
  <c r="O10" i="19" s="1"/>
  <c r="AJ10" i="19"/>
  <c r="I10" i="19"/>
  <c r="AH9" i="19"/>
  <c r="R9" i="19"/>
  <c r="O9" i="19" s="1"/>
  <c r="AK9" i="19"/>
  <c r="I9" i="19"/>
  <c r="AH8" i="19"/>
  <c r="U8" i="19"/>
  <c r="I8" i="19"/>
  <c r="AH7" i="19"/>
  <c r="U7" i="19"/>
  <c r="AK7" i="19"/>
  <c r="I7" i="19"/>
  <c r="AJ6" i="19"/>
  <c r="AH6" i="19"/>
  <c r="U6" i="19"/>
  <c r="AK6" i="19"/>
  <c r="I6" i="19"/>
  <c r="AJ5" i="19"/>
  <c r="AH5" i="19"/>
  <c r="U5" i="19"/>
  <c r="AK5" i="19"/>
  <c r="I5" i="19"/>
  <c r="AH4" i="19"/>
  <c r="U4" i="19"/>
  <c r="AK4" i="19"/>
  <c r="I4" i="19"/>
  <c r="AK3" i="19"/>
  <c r="AH3" i="19"/>
  <c r="Z26" i="19"/>
  <c r="U3" i="19"/>
  <c r="T26" i="19"/>
  <c r="I13" i="6" s="1"/>
  <c r="S26" i="19"/>
  <c r="H13" i="6" s="1"/>
  <c r="Q26" i="19"/>
  <c r="G13" i="6" s="1"/>
  <c r="I3" i="19"/>
  <c r="J50" i="11"/>
  <c r="K36" i="11" s="1"/>
  <c r="J26" i="11"/>
  <c r="K22" i="11" s="1"/>
  <c r="J50" i="7"/>
  <c r="K42" i="7" s="1"/>
  <c r="J26" i="7"/>
  <c r="K7" i="7" s="1"/>
  <c r="J50" i="8"/>
  <c r="K44" i="8" s="1"/>
  <c r="J26" i="8"/>
  <c r="J50" i="9"/>
  <c r="K42" i="9" s="1"/>
  <c r="J26" i="9"/>
  <c r="K18" i="9" s="1"/>
  <c r="J50" i="10"/>
  <c r="K44" i="10" s="1"/>
  <c r="C50" i="10"/>
  <c r="D47" i="10" s="1"/>
  <c r="D39" i="10"/>
  <c r="D35" i="10"/>
  <c r="D34" i="10"/>
  <c r="D33" i="10"/>
  <c r="D32" i="10"/>
  <c r="D31" i="10"/>
  <c r="D30" i="10"/>
  <c r="E30" i="10" s="1"/>
  <c r="F30" i="10" s="1"/>
  <c r="J26" i="10"/>
  <c r="K23" i="10" s="1"/>
  <c r="C26" i="10"/>
  <c r="D23" i="10" s="1"/>
  <c r="J50" i="12"/>
  <c r="K41" i="12" s="1"/>
  <c r="J26" i="12"/>
  <c r="K17" i="12" s="1"/>
  <c r="E12" i="6"/>
  <c r="E11" i="6"/>
  <c r="G10" i="6"/>
  <c r="M8" i="6"/>
  <c r="I8" i="6"/>
  <c r="F8" i="6"/>
  <c r="H7" i="6"/>
  <c r="H6" i="6"/>
  <c r="M4" i="6"/>
  <c r="L4" i="6"/>
  <c r="I4" i="6"/>
  <c r="H4" i="6"/>
  <c r="I3" i="6"/>
  <c r="H3" i="6"/>
  <c r="G35" i="38" l="1"/>
  <c r="E30" i="25"/>
  <c r="F30" i="25" s="1"/>
  <c r="D50" i="25"/>
  <c r="E6" i="25"/>
  <c r="F18" i="39"/>
  <c r="E19" i="39"/>
  <c r="M41" i="39"/>
  <c r="G41" i="39" s="1"/>
  <c r="L42" i="39"/>
  <c r="M18" i="39"/>
  <c r="G18" i="39" s="1"/>
  <c r="L19" i="39"/>
  <c r="F41" i="39"/>
  <c r="E42" i="39"/>
  <c r="M13" i="38"/>
  <c r="L14" i="38"/>
  <c r="F37" i="38"/>
  <c r="E38" i="38"/>
  <c r="M37" i="38"/>
  <c r="L38" i="38"/>
  <c r="F12" i="38"/>
  <c r="E13" i="38"/>
  <c r="AP26" i="37"/>
  <c r="AP51" i="37" s="1"/>
  <c r="K59" i="37" s="1"/>
  <c r="L59" i="37" s="1"/>
  <c r="K35" i="12"/>
  <c r="K44" i="12"/>
  <c r="K47" i="12"/>
  <c r="K31" i="12"/>
  <c r="K10" i="12"/>
  <c r="D38" i="10"/>
  <c r="D40" i="10"/>
  <c r="D41" i="10"/>
  <c r="D42" i="10"/>
  <c r="D36" i="10"/>
  <c r="D37" i="10"/>
  <c r="K32" i="10"/>
  <c r="K33" i="10"/>
  <c r="K30" i="10"/>
  <c r="K31" i="10"/>
  <c r="K34" i="10"/>
  <c r="K35" i="10"/>
  <c r="K37" i="10"/>
  <c r="K38" i="10"/>
  <c r="K36" i="10"/>
  <c r="K4" i="10"/>
  <c r="L4" i="10" s="1"/>
  <c r="M4" i="10" s="1"/>
  <c r="G4" i="10" s="1"/>
  <c r="K19" i="10"/>
  <c r="K11" i="10"/>
  <c r="K13" i="10"/>
  <c r="D7" i="10"/>
  <c r="D12" i="10"/>
  <c r="K41" i="10"/>
  <c r="K43" i="10"/>
  <c r="K46" i="10"/>
  <c r="K39" i="10"/>
  <c r="K40" i="10"/>
  <c r="K45" i="10"/>
  <c r="K47" i="10"/>
  <c r="K48" i="10"/>
  <c r="K49" i="10"/>
  <c r="K42" i="10"/>
  <c r="K5" i="10"/>
  <c r="K25" i="10"/>
  <c r="K6" i="10"/>
  <c r="K12" i="10"/>
  <c r="K7" i="10"/>
  <c r="K14" i="10"/>
  <c r="K8" i="10"/>
  <c r="K15" i="10"/>
  <c r="K9" i="10"/>
  <c r="K16" i="10"/>
  <c r="K10" i="10"/>
  <c r="K17" i="10"/>
  <c r="K24" i="10"/>
  <c r="K18" i="10"/>
  <c r="K20" i="10"/>
  <c r="K21" i="10"/>
  <c r="K22" i="10"/>
  <c r="D46" i="10"/>
  <c r="D43" i="10"/>
  <c r="D44" i="10"/>
  <c r="D45" i="10"/>
  <c r="D48" i="10"/>
  <c r="D49" i="10"/>
  <c r="E31" i="10"/>
  <c r="E32" i="10" s="1"/>
  <c r="F32" i="10" s="1"/>
  <c r="D10" i="10"/>
  <c r="D6" i="10"/>
  <c r="D4" i="10"/>
  <c r="E4" i="10" s="1"/>
  <c r="D8" i="10"/>
  <c r="D14" i="10"/>
  <c r="D5" i="10"/>
  <c r="L30" i="10"/>
  <c r="M30" i="10" s="1"/>
  <c r="D22" i="10"/>
  <c r="D18" i="10"/>
  <c r="D24" i="10"/>
  <c r="D20" i="10"/>
  <c r="D16" i="10"/>
  <c r="D9" i="10"/>
  <c r="D13" i="10"/>
  <c r="D17" i="10"/>
  <c r="D21" i="10"/>
  <c r="D25" i="10"/>
  <c r="D11" i="10"/>
  <c r="D15" i="10"/>
  <c r="D19" i="10"/>
  <c r="J13" i="6"/>
  <c r="W11" i="19"/>
  <c r="AI19" i="19"/>
  <c r="Y10" i="19"/>
  <c r="AE10" i="19"/>
  <c r="AL10" i="19" s="1" a="1"/>
  <c r="AL10" i="19" s="1"/>
  <c r="AP10" i="19" s="1"/>
  <c r="AG24" i="19"/>
  <c r="AM24" i="19" s="1"/>
  <c r="AG28" i="19"/>
  <c r="AM28" i="19" s="1"/>
  <c r="O28" i="19"/>
  <c r="Z51" i="19"/>
  <c r="L13" i="6"/>
  <c r="AG20" i="19"/>
  <c r="AM20" i="19" s="1"/>
  <c r="O20" i="19"/>
  <c r="W28" i="19"/>
  <c r="Y14" i="19"/>
  <c r="AE14" i="19"/>
  <c r="AL14" i="19" s="1" a="1"/>
  <c r="AL14" i="19" s="1"/>
  <c r="AG40" i="19"/>
  <c r="AM40" i="19" s="1"/>
  <c r="O40" i="19"/>
  <c r="L60" i="19"/>
  <c r="M35" i="25"/>
  <c r="L36" i="25"/>
  <c r="M11" i="25"/>
  <c r="L12" i="25"/>
  <c r="M9" i="25"/>
  <c r="G9" i="25" s="1"/>
  <c r="L10" i="25"/>
  <c r="M10" i="25" s="1"/>
  <c r="J4" i="6"/>
  <c r="J3" i="6"/>
  <c r="AA53" i="18"/>
  <c r="AA53" i="17"/>
  <c r="K35" i="18"/>
  <c r="N39" i="1"/>
  <c r="K39" i="18"/>
  <c r="N23" i="1"/>
  <c r="K23" i="18"/>
  <c r="K11" i="18"/>
  <c r="N13" i="1"/>
  <c r="K13" i="18"/>
  <c r="N17" i="1"/>
  <c r="K19" i="18"/>
  <c r="K28" i="18"/>
  <c r="K44" i="18"/>
  <c r="N46" i="1"/>
  <c r="K46" i="18"/>
  <c r="N10" i="1"/>
  <c r="N21" i="1"/>
  <c r="K21" i="18"/>
  <c r="N35" i="1"/>
  <c r="N11" i="1"/>
  <c r="N20" i="1"/>
  <c r="K20" i="18"/>
  <c r="N24" i="1"/>
  <c r="K24" i="18"/>
  <c r="N31" i="1"/>
  <c r="K31" i="18"/>
  <c r="K40" i="18"/>
  <c r="N41" i="1"/>
  <c r="K41" i="18"/>
  <c r="N44" i="1"/>
  <c r="N14" i="1"/>
  <c r="K14" i="18"/>
  <c r="K16" i="18"/>
  <c r="N18" i="1"/>
  <c r="K18" i="18"/>
  <c r="K29" i="18"/>
  <c r="N34" i="1"/>
  <c r="K34" i="18"/>
  <c r="N38" i="1"/>
  <c r="K38" i="18"/>
  <c r="N40" i="1"/>
  <c r="N9" i="1"/>
  <c r="K12" i="18"/>
  <c r="N16" i="1"/>
  <c r="N29" i="1"/>
  <c r="N32" i="1"/>
  <c r="K32" i="18"/>
  <c r="N43" i="1"/>
  <c r="K43" i="18"/>
  <c r="N37" i="1"/>
  <c r="K37" i="18"/>
  <c r="K26" i="1"/>
  <c r="E7" i="6" s="1"/>
  <c r="N4" i="1"/>
  <c r="N6" i="1"/>
  <c r="N15" i="1"/>
  <c r="K15" i="18"/>
  <c r="N22" i="1"/>
  <c r="K22" i="18"/>
  <c r="K36" i="18"/>
  <c r="K45" i="18"/>
  <c r="N47" i="1"/>
  <c r="K47" i="18"/>
  <c r="N8" i="1"/>
  <c r="N42" i="1"/>
  <c r="K42" i="18"/>
  <c r="N5" i="1"/>
  <c r="N30" i="1"/>
  <c r="K30" i="18"/>
  <c r="N33" i="1"/>
  <c r="K33" i="18"/>
  <c r="N36" i="1"/>
  <c r="N45" i="1"/>
  <c r="K35" i="9"/>
  <c r="K43" i="9"/>
  <c r="K36" i="9"/>
  <c r="K44" i="9"/>
  <c r="K30" i="9"/>
  <c r="K37" i="9"/>
  <c r="K45" i="9"/>
  <c r="K31" i="9"/>
  <c r="K38" i="9"/>
  <c r="K46" i="9"/>
  <c r="K32" i="9"/>
  <c r="K39" i="9"/>
  <c r="K47" i="9"/>
  <c r="K33" i="9"/>
  <c r="K40" i="9"/>
  <c r="K48" i="9"/>
  <c r="K41" i="9"/>
  <c r="K49" i="9"/>
  <c r="K34" i="9"/>
  <c r="K19" i="9"/>
  <c r="K6" i="9"/>
  <c r="K12" i="9"/>
  <c r="K20" i="9"/>
  <c r="K13" i="9"/>
  <c r="K21" i="9"/>
  <c r="K7" i="9"/>
  <c r="K14" i="9"/>
  <c r="K22" i="9"/>
  <c r="K5" i="9"/>
  <c r="K8" i="9"/>
  <c r="K15" i="9"/>
  <c r="K23" i="9"/>
  <c r="K9" i="9"/>
  <c r="K16" i="9"/>
  <c r="K24" i="9"/>
  <c r="K4" i="9"/>
  <c r="K10" i="9"/>
  <c r="K17" i="9"/>
  <c r="K25" i="9"/>
  <c r="K11" i="9"/>
  <c r="K30" i="8"/>
  <c r="K36" i="8"/>
  <c r="K9" i="7"/>
  <c r="K17" i="7"/>
  <c r="K16" i="7"/>
  <c r="K10" i="7"/>
  <c r="K18" i="7"/>
  <c r="K11" i="7"/>
  <c r="K19" i="7"/>
  <c r="K12" i="7"/>
  <c r="K20" i="7"/>
  <c r="K4" i="7"/>
  <c r="K13" i="7"/>
  <c r="K21" i="7"/>
  <c r="K5" i="7"/>
  <c r="K15" i="7"/>
  <c r="K24" i="7"/>
  <c r="K8" i="7"/>
  <c r="K17" i="11"/>
  <c r="K4" i="11"/>
  <c r="K6" i="11"/>
  <c r="K8" i="11"/>
  <c r="K10" i="11"/>
  <c r="K40" i="11"/>
  <c r="K42" i="11"/>
  <c r="K48" i="11"/>
  <c r="K34" i="11"/>
  <c r="K18" i="11"/>
  <c r="K24" i="11"/>
  <c r="K9" i="11"/>
  <c r="K11" i="11"/>
  <c r="K12" i="11"/>
  <c r="K14" i="11"/>
  <c r="K25" i="11"/>
  <c r="L4" i="11"/>
  <c r="M4" i="11" s="1"/>
  <c r="K16" i="11"/>
  <c r="K19" i="11"/>
  <c r="K20" i="11"/>
  <c r="U43" i="18"/>
  <c r="U34" i="18"/>
  <c r="U42" i="18"/>
  <c r="R24" i="18"/>
  <c r="U35" i="18"/>
  <c r="U22" i="18"/>
  <c r="U21" i="18"/>
  <c r="R23" i="18"/>
  <c r="W23" i="18" s="1"/>
  <c r="AA53" i="15"/>
  <c r="AA30" i="18"/>
  <c r="AA15" i="18"/>
  <c r="AA39" i="18"/>
  <c r="AA44" i="18"/>
  <c r="AA47" i="18"/>
  <c r="AA50" i="16"/>
  <c r="AA4" i="18"/>
  <c r="AK4" i="18" s="1"/>
  <c r="AA9" i="18"/>
  <c r="AK9" i="18" s="1"/>
  <c r="AA12" i="18"/>
  <c r="AA14" i="18"/>
  <c r="AK14" i="18" s="1"/>
  <c r="AA21" i="18"/>
  <c r="AA31" i="18"/>
  <c r="AA42" i="18"/>
  <c r="AK42" i="18" s="1"/>
  <c r="AA17" i="18"/>
  <c r="AA33" i="18"/>
  <c r="AA35" i="18"/>
  <c r="AA37" i="18"/>
  <c r="AA40" i="18"/>
  <c r="AA6" i="18"/>
  <c r="AK6" i="18" s="1"/>
  <c r="AA8" i="18"/>
  <c r="AA16" i="18"/>
  <c r="AA20" i="18"/>
  <c r="AA24" i="18"/>
  <c r="AA43" i="18"/>
  <c r="AA45" i="18"/>
  <c r="AA3" i="18"/>
  <c r="AA18" i="18"/>
  <c r="AA19" i="18"/>
  <c r="AA29" i="18"/>
  <c r="AA32" i="18"/>
  <c r="AA38" i="18"/>
  <c r="AA41" i="18"/>
  <c r="AK9" i="5"/>
  <c r="AK6" i="5"/>
  <c r="AK12" i="5"/>
  <c r="AK15" i="5"/>
  <c r="AA50" i="5"/>
  <c r="AA28" i="18"/>
  <c r="AK7" i="5"/>
  <c r="AA7" i="18"/>
  <c r="AK7" i="18" s="1"/>
  <c r="R28" i="18"/>
  <c r="U13" i="18"/>
  <c r="U14" i="18"/>
  <c r="AJ7" i="18"/>
  <c r="U4" i="18"/>
  <c r="U12" i="18"/>
  <c r="U41" i="18"/>
  <c r="U6" i="18"/>
  <c r="U5" i="18"/>
  <c r="R7" i="18"/>
  <c r="U15" i="18"/>
  <c r="U23" i="18"/>
  <c r="R30" i="18"/>
  <c r="AG30" i="18" s="1"/>
  <c r="AM30" i="18" s="1"/>
  <c r="U36" i="18"/>
  <c r="U44" i="18"/>
  <c r="U19" i="18"/>
  <c r="U32" i="18"/>
  <c r="U40" i="18"/>
  <c r="U30" i="18"/>
  <c r="U38" i="18"/>
  <c r="R40" i="18"/>
  <c r="U46" i="18"/>
  <c r="R34" i="18"/>
  <c r="U8" i="18"/>
  <c r="R10" i="18"/>
  <c r="W10" i="18" s="1"/>
  <c r="U16" i="18"/>
  <c r="U24" i="18"/>
  <c r="R31" i="18"/>
  <c r="AI31" i="18" s="1"/>
  <c r="R39" i="18"/>
  <c r="W39" i="18" s="1"/>
  <c r="U45" i="18"/>
  <c r="U7" i="18"/>
  <c r="U33" i="18"/>
  <c r="U11" i="18"/>
  <c r="U3" i="18"/>
  <c r="AJ9" i="18"/>
  <c r="AJ8" i="17"/>
  <c r="Z8" i="18"/>
  <c r="Z26" i="18" s="1"/>
  <c r="U10" i="18"/>
  <c r="U18" i="18"/>
  <c r="U39" i="18"/>
  <c r="U47" i="18"/>
  <c r="U20" i="18"/>
  <c r="AJ46" i="17"/>
  <c r="Z46" i="18"/>
  <c r="AJ46" i="18" s="1"/>
  <c r="X49" i="18"/>
  <c r="X26" i="18"/>
  <c r="U31" i="18"/>
  <c r="T26" i="18"/>
  <c r="T49" i="18"/>
  <c r="R4" i="18"/>
  <c r="AI4" i="18" s="1"/>
  <c r="AK34" i="18"/>
  <c r="S26" i="18"/>
  <c r="S49" i="18"/>
  <c r="Q26" i="18"/>
  <c r="R45" i="17"/>
  <c r="Q45" i="18"/>
  <c r="Q49" i="18" s="1"/>
  <c r="R6" i="18"/>
  <c r="AI6" i="18" s="1"/>
  <c r="R14" i="18"/>
  <c r="AI14" i="18" s="1"/>
  <c r="AK12" i="17"/>
  <c r="P12" i="18"/>
  <c r="R12" i="18" s="1"/>
  <c r="AK20" i="17"/>
  <c r="P20" i="18"/>
  <c r="R20" i="18" s="1"/>
  <c r="AI20" i="18" s="1"/>
  <c r="AK33" i="17"/>
  <c r="P33" i="18"/>
  <c r="AK41" i="17"/>
  <c r="P41" i="18"/>
  <c r="AJ41" i="18" s="1"/>
  <c r="AK32" i="17"/>
  <c r="P32" i="18"/>
  <c r="R32" i="18" s="1"/>
  <c r="AK13" i="17"/>
  <c r="P13" i="18"/>
  <c r="R13" i="18" s="1"/>
  <c r="AK15" i="17"/>
  <c r="P15" i="18"/>
  <c r="AJ15" i="18" s="1"/>
  <c r="AK36" i="17"/>
  <c r="P36" i="18"/>
  <c r="AJ36" i="18" s="1"/>
  <c r="AK44" i="17"/>
  <c r="P44" i="18"/>
  <c r="AK19" i="17"/>
  <c r="P19" i="18"/>
  <c r="R19" i="18" s="1"/>
  <c r="AI19" i="18" s="1"/>
  <c r="AK8" i="17"/>
  <c r="P8" i="18"/>
  <c r="AK16" i="17"/>
  <c r="P16" i="18"/>
  <c r="AJ16" i="18" s="1"/>
  <c r="AK29" i="17"/>
  <c r="P29" i="18"/>
  <c r="R29" i="18" s="1"/>
  <c r="AK37" i="17"/>
  <c r="P37" i="18"/>
  <c r="AK45" i="17"/>
  <c r="P45" i="18"/>
  <c r="AK11" i="17"/>
  <c r="P11" i="18"/>
  <c r="R11" i="18" s="1"/>
  <c r="AI11" i="18" s="1"/>
  <c r="AK17" i="17"/>
  <c r="P17" i="18"/>
  <c r="R17" i="18" s="1"/>
  <c r="AK38" i="17"/>
  <c r="P38" i="18"/>
  <c r="AK38" i="18" s="1"/>
  <c r="AK3" i="17"/>
  <c r="P3" i="18"/>
  <c r="R3" i="18" s="1"/>
  <c r="AK22" i="17"/>
  <c r="P22" i="18"/>
  <c r="AJ22" i="18" s="1"/>
  <c r="AK35" i="17"/>
  <c r="P35" i="18"/>
  <c r="AJ35" i="18" s="1"/>
  <c r="AK18" i="17"/>
  <c r="P18" i="18"/>
  <c r="AK18" i="18" s="1"/>
  <c r="AK47" i="17"/>
  <c r="P47" i="18"/>
  <c r="U41" i="17"/>
  <c r="U8" i="17"/>
  <c r="AD8" i="17" s="1"/>
  <c r="U29" i="17"/>
  <c r="R47" i="17"/>
  <c r="AI47" i="17" s="1"/>
  <c r="AJ5" i="17"/>
  <c r="AJ14" i="17"/>
  <c r="U19" i="17"/>
  <c r="U40" i="17"/>
  <c r="U5" i="17"/>
  <c r="AJ12" i="17"/>
  <c r="U28" i="17"/>
  <c r="U21" i="17"/>
  <c r="U34" i="17"/>
  <c r="AJ30" i="17"/>
  <c r="AJ39" i="17"/>
  <c r="U10" i="17"/>
  <c r="AD10" i="17" s="1"/>
  <c r="U31" i="17"/>
  <c r="AD31" i="17" s="1"/>
  <c r="R6" i="17"/>
  <c r="R7" i="17"/>
  <c r="W7" i="17" s="1"/>
  <c r="R20" i="17"/>
  <c r="U36" i="17"/>
  <c r="AD36" i="17" s="1"/>
  <c r="U12" i="17"/>
  <c r="AD12" i="17" s="1"/>
  <c r="U37" i="17"/>
  <c r="AJ43" i="17"/>
  <c r="AJ9" i="17"/>
  <c r="AJ19" i="17"/>
  <c r="AJ23" i="17"/>
  <c r="U32" i="17"/>
  <c r="R33" i="17"/>
  <c r="AG33" i="17" s="1"/>
  <c r="AM33" i="17" s="1"/>
  <c r="U38" i="17"/>
  <c r="AD38" i="17" s="1"/>
  <c r="R39" i="17"/>
  <c r="AG39" i="17" s="1"/>
  <c r="AM39" i="17" s="1"/>
  <c r="U42" i="17"/>
  <c r="AD42" i="17" s="1"/>
  <c r="U43" i="17"/>
  <c r="AJ4" i="17"/>
  <c r="U15" i="17"/>
  <c r="U22" i="17"/>
  <c r="U33" i="17"/>
  <c r="AJ34" i="17"/>
  <c r="U39" i="17"/>
  <c r="AJ41" i="17"/>
  <c r="U44" i="17"/>
  <c r="R4" i="17"/>
  <c r="U17" i="17"/>
  <c r="AD17" i="17" s="1"/>
  <c r="R41" i="17"/>
  <c r="W41" i="17" s="1"/>
  <c r="AJ22" i="17"/>
  <c r="AJ31" i="17"/>
  <c r="AJ32" i="17"/>
  <c r="U46" i="17"/>
  <c r="AD46" i="17" s="1"/>
  <c r="U30" i="17"/>
  <c r="AD30" i="17" s="1"/>
  <c r="R11" i="17"/>
  <c r="W11" i="17" s="1"/>
  <c r="AJ11" i="17"/>
  <c r="R35" i="17"/>
  <c r="W35" i="17" s="1"/>
  <c r="AJ44" i="17"/>
  <c r="U6" i="17"/>
  <c r="AD6" i="17" s="1"/>
  <c r="AJ10" i="17"/>
  <c r="AJ16" i="17"/>
  <c r="AJ29" i="17"/>
  <c r="AJ33" i="17"/>
  <c r="R44" i="17"/>
  <c r="U4" i="17"/>
  <c r="R10" i="17"/>
  <c r="AG10" i="17" s="1"/>
  <c r="AK10" i="17"/>
  <c r="U11" i="17"/>
  <c r="R16" i="17"/>
  <c r="AG16" i="17" s="1"/>
  <c r="AM16" i="17" s="1"/>
  <c r="R18" i="17"/>
  <c r="AI18" i="17" s="1"/>
  <c r="R29" i="17"/>
  <c r="AG29" i="17" s="1"/>
  <c r="AM29" i="17" s="1"/>
  <c r="R31" i="17"/>
  <c r="AG31" i="17" s="1"/>
  <c r="AM31" i="17" s="1"/>
  <c r="AK31" i="17"/>
  <c r="U35" i="17"/>
  <c r="AD35" i="17" s="1"/>
  <c r="R14" i="17"/>
  <c r="W14" i="17" s="1"/>
  <c r="AK14" i="17"/>
  <c r="U16" i="17"/>
  <c r="AJ20" i="17"/>
  <c r="X49" i="17"/>
  <c r="M12" i="6" s="1"/>
  <c r="AK39" i="17"/>
  <c r="U7" i="17"/>
  <c r="U18" i="17"/>
  <c r="AD18" i="17" s="1"/>
  <c r="R19" i="17"/>
  <c r="AI19" i="17" s="1"/>
  <c r="AJ3" i="17"/>
  <c r="AJ6" i="17"/>
  <c r="AK6" i="17"/>
  <c r="R12" i="17"/>
  <c r="AJ13" i="17"/>
  <c r="U14" i="17"/>
  <c r="R28" i="17"/>
  <c r="AJ28" i="17"/>
  <c r="R43" i="17"/>
  <c r="AG43" i="17" s="1"/>
  <c r="AM43" i="17" s="1"/>
  <c r="AK43" i="17"/>
  <c r="AJ45" i="17"/>
  <c r="Q49" i="17"/>
  <c r="G12" i="6" s="1"/>
  <c r="U45" i="17"/>
  <c r="K23" i="8"/>
  <c r="K15" i="8"/>
  <c r="K7" i="8"/>
  <c r="K24" i="8"/>
  <c r="K16" i="8"/>
  <c r="K8" i="8"/>
  <c r="K25" i="8"/>
  <c r="K17" i="8"/>
  <c r="K9" i="8"/>
  <c r="K18" i="8"/>
  <c r="K10" i="8"/>
  <c r="K19" i="8"/>
  <c r="K11" i="8"/>
  <c r="K21" i="8"/>
  <c r="K13" i="8"/>
  <c r="K5" i="8"/>
  <c r="K20" i="8"/>
  <c r="K6" i="8"/>
  <c r="K14" i="8"/>
  <c r="K4" i="8"/>
  <c r="K22" i="8"/>
  <c r="AG15" i="19"/>
  <c r="W15" i="19"/>
  <c r="AI15" i="19"/>
  <c r="K12" i="8"/>
  <c r="K13" i="12"/>
  <c r="K47" i="7"/>
  <c r="K39" i="7"/>
  <c r="K31" i="7"/>
  <c r="K49" i="7"/>
  <c r="K41" i="7"/>
  <c r="K33" i="7"/>
  <c r="K48" i="7"/>
  <c r="K45" i="7"/>
  <c r="K34" i="7"/>
  <c r="K43" i="7"/>
  <c r="K40" i="7"/>
  <c r="K37" i="7"/>
  <c r="K46" i="7"/>
  <c r="K35" i="7"/>
  <c r="K32" i="7"/>
  <c r="K36" i="7"/>
  <c r="K44" i="7"/>
  <c r="K30" i="7"/>
  <c r="K38" i="7"/>
  <c r="K22" i="12"/>
  <c r="K14" i="12"/>
  <c r="K6" i="12"/>
  <c r="K24" i="12"/>
  <c r="K16" i="12"/>
  <c r="K8" i="12"/>
  <c r="K11" i="12"/>
  <c r="K21" i="12"/>
  <c r="K18" i="12"/>
  <c r="K5" i="12"/>
  <c r="K15" i="12"/>
  <c r="K12" i="12"/>
  <c r="K25" i="12"/>
  <c r="K9" i="12"/>
  <c r="K19" i="12"/>
  <c r="K23" i="12"/>
  <c r="K20" i="12"/>
  <c r="K7" i="12"/>
  <c r="K4" i="12"/>
  <c r="F4" i="10"/>
  <c r="E5" i="10"/>
  <c r="F5" i="10" s="1"/>
  <c r="K46" i="12"/>
  <c r="K38" i="12"/>
  <c r="K30" i="12"/>
  <c r="K48" i="12"/>
  <c r="K40" i="12"/>
  <c r="K32" i="12"/>
  <c r="L30" i="8"/>
  <c r="M30" i="8" s="1"/>
  <c r="Y5" i="19"/>
  <c r="Y8" i="19"/>
  <c r="AG44" i="19"/>
  <c r="AM44" i="19" s="1"/>
  <c r="AI44" i="19"/>
  <c r="W44" i="19"/>
  <c r="AE44" i="19" s="1"/>
  <c r="AL44" i="19" s="1" a="1"/>
  <c r="AL44" i="19" s="1"/>
  <c r="Y18" i="19"/>
  <c r="F31" i="10"/>
  <c r="K34" i="12"/>
  <c r="K37" i="12"/>
  <c r="W36" i="19"/>
  <c r="AI36" i="19"/>
  <c r="AG36" i="19"/>
  <c r="AM36" i="19" s="1"/>
  <c r="K43" i="12"/>
  <c r="L31" i="10"/>
  <c r="M31" i="10" s="1"/>
  <c r="K47" i="8"/>
  <c r="K39" i="8"/>
  <c r="K31" i="8"/>
  <c r="L31" i="8" s="1"/>
  <c r="M31" i="8" s="1"/>
  <c r="K48" i="8"/>
  <c r="K40" i="8"/>
  <c r="K32" i="8"/>
  <c r="K49" i="8"/>
  <c r="K41" i="8"/>
  <c r="K33" i="8"/>
  <c r="K42" i="8"/>
  <c r="K34" i="8"/>
  <c r="K43" i="8"/>
  <c r="K35" i="8"/>
  <c r="K45" i="8"/>
  <c r="K37" i="8"/>
  <c r="K45" i="11"/>
  <c r="K37" i="11"/>
  <c r="K47" i="11"/>
  <c r="K39" i="11"/>
  <c r="K31" i="11"/>
  <c r="K49" i="11"/>
  <c r="K46" i="11"/>
  <c r="K43" i="11"/>
  <c r="K32" i="11"/>
  <c r="K41" i="11"/>
  <c r="K38" i="11"/>
  <c r="K35" i="11"/>
  <c r="K44" i="11"/>
  <c r="K33" i="11"/>
  <c r="K30" i="11"/>
  <c r="Y22" i="19"/>
  <c r="K33" i="12"/>
  <c r="K49" i="12"/>
  <c r="L30" i="9"/>
  <c r="K46" i="8"/>
  <c r="L4" i="7"/>
  <c r="K36" i="12"/>
  <c r="K39" i="12"/>
  <c r="Y12" i="19"/>
  <c r="AG12" i="19"/>
  <c r="Y16" i="19"/>
  <c r="AG16" i="19"/>
  <c r="Y33" i="19"/>
  <c r="K42" i="12"/>
  <c r="K45" i="12"/>
  <c r="K38" i="8"/>
  <c r="R6" i="19"/>
  <c r="O6" i="19" s="1"/>
  <c r="AG11" i="19"/>
  <c r="AM11" i="19" s="1"/>
  <c r="AI11" i="19"/>
  <c r="AG19" i="19"/>
  <c r="AM19" i="19" s="1"/>
  <c r="Y20" i="19"/>
  <c r="AG23" i="19"/>
  <c r="AM23" i="19" s="1"/>
  <c r="Y24" i="19"/>
  <c r="Y31" i="19"/>
  <c r="R8" i="19"/>
  <c r="O8" i="19" s="1"/>
  <c r="AK8" i="19"/>
  <c r="AI21" i="19"/>
  <c r="W21" i="19"/>
  <c r="AG21" i="19"/>
  <c r="AM21" i="19" s="1"/>
  <c r="AG32" i="19"/>
  <c r="AM32" i="19" s="1"/>
  <c r="AI32" i="19"/>
  <c r="W32" i="19"/>
  <c r="AE32" i="19" s="1"/>
  <c r="AL32" i="19" s="1" a="1"/>
  <c r="AL32" i="19" s="1"/>
  <c r="R42" i="18"/>
  <c r="AJ42" i="18"/>
  <c r="AH25" i="19"/>
  <c r="Y13" i="19"/>
  <c r="Y17" i="19"/>
  <c r="Y21" i="19"/>
  <c r="AH48" i="19"/>
  <c r="AI34" i="19"/>
  <c r="W34" i="19"/>
  <c r="AG34" i="19"/>
  <c r="AM34" i="19" s="1"/>
  <c r="Y39" i="19"/>
  <c r="Y41" i="19"/>
  <c r="K23" i="7"/>
  <c r="K25" i="7"/>
  <c r="I26" i="19"/>
  <c r="R4" i="19"/>
  <c r="O4" i="19" s="1"/>
  <c r="R7" i="19"/>
  <c r="O7" i="19" s="1"/>
  <c r="AE11" i="19"/>
  <c r="AL11" i="19" s="1" a="1"/>
  <c r="AL11" i="19" s="1"/>
  <c r="Y11" i="19"/>
  <c r="AI12" i="19"/>
  <c r="W12" i="19"/>
  <c r="AE12" i="19" s="1"/>
  <c r="AL12" i="19" s="1" a="1"/>
  <c r="AL12" i="19" s="1"/>
  <c r="AI16" i="19"/>
  <c r="W16" i="19"/>
  <c r="AE16" i="19" s="1"/>
  <c r="AL16" i="19" s="1" a="1"/>
  <c r="AL16" i="19" s="1"/>
  <c r="Y29" i="19"/>
  <c r="Y32" i="19"/>
  <c r="Y34" i="19"/>
  <c r="AE34" i="19"/>
  <c r="AL34" i="19" s="1" a="1"/>
  <c r="AL34" i="19" s="1"/>
  <c r="AJ7" i="19"/>
  <c r="AJ8" i="19"/>
  <c r="AI9" i="19"/>
  <c r="W9" i="19"/>
  <c r="AI10" i="19"/>
  <c r="W10" i="19"/>
  <c r="AG10" i="19"/>
  <c r="AM10" i="19" s="1"/>
  <c r="AI14" i="19"/>
  <c r="W14" i="19"/>
  <c r="AG14" i="19"/>
  <c r="AI20" i="19"/>
  <c r="W20" i="19"/>
  <c r="AE20" i="19" s="1"/>
  <c r="AL20" i="19" s="1" a="1"/>
  <c r="AL20" i="19" s="1"/>
  <c r="AI24" i="19"/>
  <c r="W24" i="19"/>
  <c r="AE24" i="19" s="1"/>
  <c r="AL24" i="19" s="1" a="1"/>
  <c r="AL24" i="19" s="1"/>
  <c r="AG35" i="19"/>
  <c r="AM35" i="19" s="1"/>
  <c r="W35" i="19"/>
  <c r="AI35" i="19"/>
  <c r="Y45" i="19"/>
  <c r="R5" i="18"/>
  <c r="AK5" i="18"/>
  <c r="AJ5" i="18"/>
  <c r="K6" i="7"/>
  <c r="K14" i="7"/>
  <c r="K22" i="7"/>
  <c r="K21" i="11"/>
  <c r="K13" i="11"/>
  <c r="K5" i="11"/>
  <c r="K23" i="11"/>
  <c r="K15" i="11"/>
  <c r="K7" i="11"/>
  <c r="X26" i="19"/>
  <c r="M13" i="6" s="1"/>
  <c r="AJ4" i="19"/>
  <c r="Y6" i="19"/>
  <c r="Y7" i="19"/>
  <c r="U9" i="19"/>
  <c r="AI18" i="19"/>
  <c r="W18" i="19"/>
  <c r="AE18" i="19" s="1"/>
  <c r="AL18" i="19" s="1" a="1"/>
  <c r="AL18" i="19" s="1"/>
  <c r="AG18" i="19"/>
  <c r="AM18" i="19" s="1"/>
  <c r="W19" i="19"/>
  <c r="AI22" i="19"/>
  <c r="W22" i="19"/>
  <c r="AE22" i="19" s="1"/>
  <c r="AL22" i="19" s="1" a="1"/>
  <c r="AL22" i="19" s="1"/>
  <c r="AG22" i="19"/>
  <c r="AM22" i="19" s="1"/>
  <c r="W23" i="19"/>
  <c r="AI30" i="19"/>
  <c r="W30" i="19"/>
  <c r="AG30" i="19"/>
  <c r="AM30" i="19" s="1"/>
  <c r="AK38" i="19"/>
  <c r="AJ38" i="19"/>
  <c r="R38" i="19"/>
  <c r="O38" i="19" s="1"/>
  <c r="P26" i="19"/>
  <c r="F13" i="6" s="1"/>
  <c r="Y3" i="19"/>
  <c r="Y4" i="19"/>
  <c r="R5" i="19"/>
  <c r="O5" i="19" s="1"/>
  <c r="AE21" i="19"/>
  <c r="AL21" i="19" s="1" a="1"/>
  <c r="AL21" i="19" s="1"/>
  <c r="Y30" i="19"/>
  <c r="AE30" i="19"/>
  <c r="AL30" i="19" s="1" a="1"/>
  <c r="AL30" i="19" s="1"/>
  <c r="R31" i="19"/>
  <c r="O31" i="19" s="1"/>
  <c r="AK31" i="19"/>
  <c r="Y37" i="19"/>
  <c r="Y47" i="19"/>
  <c r="R40" i="17"/>
  <c r="AJ40" i="17"/>
  <c r="AK40" i="17"/>
  <c r="P49" i="17"/>
  <c r="AJ11" i="19"/>
  <c r="AJ15" i="19"/>
  <c r="AJ19" i="19"/>
  <c r="AJ23" i="19"/>
  <c r="AG29" i="19"/>
  <c r="AM29" i="19" s="1"/>
  <c r="AK46" i="18"/>
  <c r="R46" i="18"/>
  <c r="Y10" i="16"/>
  <c r="AJ3" i="19"/>
  <c r="AK11" i="19"/>
  <c r="AG13" i="19"/>
  <c r="Y15" i="19"/>
  <c r="AK15" i="19"/>
  <c r="AG17" i="19"/>
  <c r="AM17" i="19" s="1"/>
  <c r="Y19" i="19"/>
  <c r="AK19" i="19"/>
  <c r="Y23" i="19"/>
  <c r="AK23" i="19"/>
  <c r="P49" i="19"/>
  <c r="F14" i="6" s="1"/>
  <c r="X49" i="19"/>
  <c r="M14" i="6" s="1"/>
  <c r="AJ28" i="19"/>
  <c r="AJ32" i="19"/>
  <c r="U35" i="19"/>
  <c r="U43" i="19"/>
  <c r="Y44" i="19"/>
  <c r="AI46" i="19"/>
  <c r="W46" i="19"/>
  <c r="AG46" i="19"/>
  <c r="AM46" i="19" s="1"/>
  <c r="I49" i="18"/>
  <c r="AJ12" i="19"/>
  <c r="AJ16" i="19"/>
  <c r="AJ20" i="19"/>
  <c r="AJ24" i="19"/>
  <c r="Q49" i="19"/>
  <c r="AK28" i="19"/>
  <c r="W29" i="19"/>
  <c r="AE29" i="19" s="1"/>
  <c r="AL29" i="19" s="1" a="1"/>
  <c r="AL29" i="19" s="1"/>
  <c r="AI29" i="19"/>
  <c r="W33" i="19"/>
  <c r="AE33" i="19" s="1"/>
  <c r="AL33" i="19" s="1" a="1"/>
  <c r="AL33" i="19" s="1"/>
  <c r="AI33" i="19"/>
  <c r="Y36" i="19"/>
  <c r="U38" i="19"/>
  <c r="W39" i="19"/>
  <c r="AE39" i="19" s="1"/>
  <c r="AL39" i="19" s="1" a="1"/>
  <c r="AL39" i="19" s="1"/>
  <c r="R41" i="19"/>
  <c r="O41" i="19" s="1"/>
  <c r="Y46" i="19"/>
  <c r="AE46" i="19"/>
  <c r="AL46" i="19" s="1" a="1"/>
  <c r="AL46" i="19" s="1"/>
  <c r="R3" i="19"/>
  <c r="O3" i="19" s="1"/>
  <c r="AK12" i="19"/>
  <c r="W13" i="19"/>
  <c r="AE13" i="19" s="1"/>
  <c r="AL13" i="19" s="1" a="1"/>
  <c r="AL13" i="19" s="1"/>
  <c r="AI13" i="19"/>
  <c r="AE15" i="19"/>
  <c r="AL15" i="19" s="1" a="1"/>
  <c r="AL15" i="19" s="1"/>
  <c r="AK16" i="19"/>
  <c r="W17" i="19"/>
  <c r="AE17" i="19" s="1"/>
  <c r="AL17" i="19" s="1" a="1"/>
  <c r="AL17" i="19" s="1"/>
  <c r="AI17" i="19"/>
  <c r="AE19" i="19"/>
  <c r="AL19" i="19" s="1" a="1"/>
  <c r="AL19" i="19" s="1"/>
  <c r="AK20" i="19"/>
  <c r="AE23" i="19"/>
  <c r="AL23" i="19" s="1" a="1"/>
  <c r="AL23" i="19" s="1"/>
  <c r="AK24" i="19"/>
  <c r="AJ29" i="19"/>
  <c r="AJ33" i="19"/>
  <c r="AJ36" i="19"/>
  <c r="Y40" i="19"/>
  <c r="AJ41" i="19"/>
  <c r="AI42" i="19"/>
  <c r="W42" i="19"/>
  <c r="AE42" i="19" s="1"/>
  <c r="AL42" i="19" s="1" a="1"/>
  <c r="AL42" i="19" s="1"/>
  <c r="AG42" i="19"/>
  <c r="R45" i="19"/>
  <c r="O45" i="19" s="1"/>
  <c r="AK45" i="19"/>
  <c r="R21" i="18"/>
  <c r="AK21" i="18"/>
  <c r="AJ21" i="18"/>
  <c r="AJ23" i="18"/>
  <c r="R43" i="18"/>
  <c r="AK43" i="18"/>
  <c r="AJ43" i="18"/>
  <c r="AJ9" i="19"/>
  <c r="AJ13" i="19"/>
  <c r="S49" i="19"/>
  <c r="AJ34" i="19"/>
  <c r="AJ35" i="19"/>
  <c r="R37" i="19"/>
  <c r="O37" i="19" s="1"/>
  <c r="Y42" i="19"/>
  <c r="AJ45" i="19"/>
  <c r="U9" i="18"/>
  <c r="AH48" i="18"/>
  <c r="U29" i="18"/>
  <c r="T49" i="19"/>
  <c r="AJ30" i="19"/>
  <c r="W40" i="19"/>
  <c r="AE40" i="19" s="1"/>
  <c r="AL40" i="19" s="1" a="1"/>
  <c r="AL40" i="19" s="1"/>
  <c r="AP40" i="19" s="1"/>
  <c r="I26" i="18"/>
  <c r="I51" i="18" s="1"/>
  <c r="I59" i="18" s="1"/>
  <c r="J59" i="18" s="1"/>
  <c r="Y4" i="16"/>
  <c r="I49" i="19"/>
  <c r="U28" i="19"/>
  <c r="AI39" i="19"/>
  <c r="AG39" i="19"/>
  <c r="AM39" i="19" s="1"/>
  <c r="U17" i="18"/>
  <c r="U37" i="18"/>
  <c r="Z26" i="17"/>
  <c r="AJ4" i="18"/>
  <c r="AJ40" i="18"/>
  <c r="L60" i="17"/>
  <c r="AI3" i="16"/>
  <c r="AG3" i="16"/>
  <c r="R26" i="16"/>
  <c r="AI4" i="16"/>
  <c r="W4" i="16"/>
  <c r="O4" i="16"/>
  <c r="AG4" i="16"/>
  <c r="R15" i="16"/>
  <c r="AJ15" i="16"/>
  <c r="AK15" i="16"/>
  <c r="AJ40" i="19"/>
  <c r="R43" i="19"/>
  <c r="O43" i="19" s="1"/>
  <c r="R47" i="19"/>
  <c r="O47" i="19" s="1"/>
  <c r="R9" i="18"/>
  <c r="U28" i="18"/>
  <c r="AK40" i="18"/>
  <c r="X26" i="17"/>
  <c r="AK7" i="17"/>
  <c r="AJ7" i="17"/>
  <c r="AJ21" i="17"/>
  <c r="R21" i="17"/>
  <c r="AK21" i="17"/>
  <c r="U23" i="17"/>
  <c r="AD23" i="17" s="1"/>
  <c r="AK28" i="17"/>
  <c r="U5" i="16"/>
  <c r="U26" i="16" s="1"/>
  <c r="AJ10" i="18"/>
  <c r="AJ30" i="18"/>
  <c r="R9" i="17"/>
  <c r="R15" i="17"/>
  <c r="R17" i="17"/>
  <c r="AJ17" i="17"/>
  <c r="R42" i="17"/>
  <c r="AK42" i="17"/>
  <c r="U47" i="17"/>
  <c r="AD47" i="17" s="1"/>
  <c r="Y3" i="16"/>
  <c r="O7" i="16"/>
  <c r="AG7" i="16"/>
  <c r="W7" i="16"/>
  <c r="AJ9" i="16"/>
  <c r="AK9" i="16"/>
  <c r="O11" i="16"/>
  <c r="W11" i="16"/>
  <c r="AE11" i="16" s="1"/>
  <c r="AI11" i="16"/>
  <c r="Y15" i="16"/>
  <c r="Y18" i="16"/>
  <c r="AE7" i="16"/>
  <c r="Y7" i="16"/>
  <c r="AI7" i="16"/>
  <c r="AG10" i="16"/>
  <c r="AM10" i="16" s="1"/>
  <c r="AI10" i="16"/>
  <c r="W10" i="16"/>
  <c r="AE10" i="16" s="1"/>
  <c r="O10" i="16"/>
  <c r="Y11" i="16"/>
  <c r="V11" i="16"/>
  <c r="AJ24" i="18"/>
  <c r="AJ28" i="18"/>
  <c r="AK4" i="17"/>
  <c r="P26" i="17"/>
  <c r="U9" i="17"/>
  <c r="AD9" i="17" s="1"/>
  <c r="AJ15" i="17"/>
  <c r="I49" i="17"/>
  <c r="I51" i="17" s="1"/>
  <c r="AJ42" i="17"/>
  <c r="N3" i="16"/>
  <c r="K26" i="16"/>
  <c r="X26" i="16"/>
  <c r="R9" i="16"/>
  <c r="AJ42" i="19"/>
  <c r="AJ46" i="19"/>
  <c r="AJ31" i="18"/>
  <c r="AJ39" i="18"/>
  <c r="J60" i="18"/>
  <c r="S26" i="17"/>
  <c r="U3" i="17"/>
  <c r="AD3" i="17" s="1"/>
  <c r="AH25" i="17"/>
  <c r="R24" i="17"/>
  <c r="AK24" i="17"/>
  <c r="AJ24" i="17"/>
  <c r="T26" i="17"/>
  <c r="T49" i="17"/>
  <c r="I12" i="6" s="1"/>
  <c r="O3" i="16"/>
  <c r="Z26" i="16"/>
  <c r="AJ3" i="16"/>
  <c r="R12" i="16"/>
  <c r="AK12" i="16"/>
  <c r="AJ12" i="16"/>
  <c r="V14" i="16"/>
  <c r="Y14" i="16"/>
  <c r="AJ6" i="18"/>
  <c r="AJ14" i="18"/>
  <c r="AK31" i="18"/>
  <c r="AJ34" i="18"/>
  <c r="AK39" i="18"/>
  <c r="R5" i="17"/>
  <c r="AK5" i="17"/>
  <c r="AK9" i="17"/>
  <c r="R30" i="17"/>
  <c r="AK30" i="17"/>
  <c r="R32" i="17"/>
  <c r="P26" i="16"/>
  <c r="AA27" i="16"/>
  <c r="AA53" i="16" s="1"/>
  <c r="AK6" i="16"/>
  <c r="R6" i="16"/>
  <c r="Y9" i="16"/>
  <c r="W21" i="16"/>
  <c r="AE21" i="16" s="1"/>
  <c r="O21" i="16"/>
  <c r="AI21" i="16"/>
  <c r="AG21" i="16"/>
  <c r="AM21" i="16" s="1"/>
  <c r="L60" i="18"/>
  <c r="U24" i="17"/>
  <c r="AD24" i="17" s="1"/>
  <c r="Q26" i="16"/>
  <c r="R5" i="16"/>
  <c r="AK5" i="16"/>
  <c r="Y17" i="16"/>
  <c r="Q26" i="17"/>
  <c r="R3" i="17"/>
  <c r="R8" i="17"/>
  <c r="U13" i="17"/>
  <c r="AD13" i="17" s="1"/>
  <c r="R22" i="17"/>
  <c r="R23" i="17"/>
  <c r="AK23" i="17"/>
  <c r="S49" i="17"/>
  <c r="H12" i="6" s="1"/>
  <c r="AH48" i="17"/>
  <c r="Z49" i="17"/>
  <c r="L12" i="6" s="1"/>
  <c r="R38" i="17"/>
  <c r="AJ38" i="17"/>
  <c r="I26" i="16"/>
  <c r="I51" i="16" s="1"/>
  <c r="I59" i="16" s="1"/>
  <c r="J59" i="16" s="1"/>
  <c r="Y13" i="16"/>
  <c r="Y19" i="16"/>
  <c r="AL28" i="16" a="1"/>
  <c r="AL28" i="16" s="1"/>
  <c r="AN28" i="16" s="1"/>
  <c r="W16" i="16"/>
  <c r="AI17" i="16"/>
  <c r="AG17" i="16"/>
  <c r="AM17" i="16" s="1"/>
  <c r="V19" i="16"/>
  <c r="U49" i="16"/>
  <c r="Y28" i="16"/>
  <c r="AE28" i="16"/>
  <c r="C46" i="9" s="1"/>
  <c r="AI24" i="16"/>
  <c r="W24" i="16"/>
  <c r="O24" i="16"/>
  <c r="AG24" i="16"/>
  <c r="AM24" i="16" s="1"/>
  <c r="R18" i="16"/>
  <c r="Y22" i="16"/>
  <c r="Y24" i="16"/>
  <c r="V24" i="16"/>
  <c r="AE24" i="16"/>
  <c r="R20" i="16"/>
  <c r="AK20" i="16"/>
  <c r="AI16" i="16"/>
  <c r="W17" i="16"/>
  <c r="AE17" i="16" s="1"/>
  <c r="AI19" i="16"/>
  <c r="W19" i="16"/>
  <c r="AE19" i="16" s="1"/>
  <c r="O19" i="16"/>
  <c r="AG19" i="16"/>
  <c r="AJ20" i="16"/>
  <c r="AE29" i="16"/>
  <c r="Y29" i="16"/>
  <c r="V29" i="16"/>
  <c r="R13" i="17"/>
  <c r="R36" i="17"/>
  <c r="AJ36" i="17"/>
  <c r="S26" i="16"/>
  <c r="AI8" i="16"/>
  <c r="W8" i="16"/>
  <c r="O8" i="16"/>
  <c r="AJ13" i="16"/>
  <c r="AE16" i="16"/>
  <c r="Y20" i="16"/>
  <c r="V20" i="16"/>
  <c r="Y31" i="16"/>
  <c r="R37" i="17"/>
  <c r="AJ37" i="17"/>
  <c r="T26" i="16"/>
  <c r="AH25" i="16"/>
  <c r="U8" i="16"/>
  <c r="AG8" i="16"/>
  <c r="V12" i="16"/>
  <c r="W13" i="16"/>
  <c r="AE13" i="16" s="1"/>
  <c r="O13" i="16"/>
  <c r="AG13" i="16"/>
  <c r="AK14" i="16"/>
  <c r="R14" i="16"/>
  <c r="AK19" i="16"/>
  <c r="W23" i="16"/>
  <c r="AI23" i="16"/>
  <c r="C49" i="16"/>
  <c r="T49" i="16"/>
  <c r="I10" i="6" s="1"/>
  <c r="AH48" i="16"/>
  <c r="Y32" i="16"/>
  <c r="Y41" i="16"/>
  <c r="AI44" i="16"/>
  <c r="W44" i="16"/>
  <c r="AE44" i="16" s="1"/>
  <c r="O44" i="16"/>
  <c r="AG44" i="16"/>
  <c r="Y47" i="16"/>
  <c r="V47" i="16"/>
  <c r="C26" i="16"/>
  <c r="C51" i="16" s="1"/>
  <c r="O23" i="16"/>
  <c r="AJ23" i="16"/>
  <c r="I28" i="16"/>
  <c r="I49" i="16" s="1"/>
  <c r="AI28" i="16"/>
  <c r="AI29" i="16"/>
  <c r="AG35" i="16"/>
  <c r="AM35" i="16" s="1"/>
  <c r="V44" i="16"/>
  <c r="Y44" i="16"/>
  <c r="AI5" i="1"/>
  <c r="W5" i="1"/>
  <c r="O5" i="1"/>
  <c r="AG5" i="1"/>
  <c r="K49" i="16"/>
  <c r="E10" i="6" s="1"/>
  <c r="N28" i="16"/>
  <c r="W28" i="16"/>
  <c r="O29" i="16"/>
  <c r="W30" i="16"/>
  <c r="AE30" i="16" s="1"/>
  <c r="O30" i="16"/>
  <c r="AG30" i="16"/>
  <c r="AM30" i="16" s="1"/>
  <c r="AG33" i="16"/>
  <c r="AI33" i="16"/>
  <c r="W33" i="16"/>
  <c r="AE33" i="16" s="1"/>
  <c r="AI34" i="16"/>
  <c r="W34" i="16"/>
  <c r="O34" i="16"/>
  <c r="AI35" i="16"/>
  <c r="Y8" i="1"/>
  <c r="AE8" i="1"/>
  <c r="AJ11" i="16"/>
  <c r="AK11" i="16"/>
  <c r="O28" i="16"/>
  <c r="X49" i="16"/>
  <c r="M10" i="6" s="1"/>
  <c r="AK31" i="16"/>
  <c r="R31" i="16"/>
  <c r="AJ31" i="16"/>
  <c r="V33" i="16"/>
  <c r="Y33" i="16"/>
  <c r="V35" i="16"/>
  <c r="AE35" i="16"/>
  <c r="Y35" i="16"/>
  <c r="AE36" i="16"/>
  <c r="Y36" i="16"/>
  <c r="Y42" i="16"/>
  <c r="V42" i="16"/>
  <c r="AJ18" i="17"/>
  <c r="R34" i="17"/>
  <c r="AK34" i="17"/>
  <c r="AJ35" i="17"/>
  <c r="Y21" i="16"/>
  <c r="P49" i="16"/>
  <c r="AJ28" i="16"/>
  <c r="Z49" i="16"/>
  <c r="L10" i="6" s="1"/>
  <c r="AI30" i="16"/>
  <c r="AE23" i="16"/>
  <c r="V30" i="16"/>
  <c r="Y34" i="16"/>
  <c r="V34" i="16"/>
  <c r="AE34" i="16"/>
  <c r="AI39" i="16"/>
  <c r="W39" i="16"/>
  <c r="AE39" i="16" s="1"/>
  <c r="O39" i="16"/>
  <c r="AG39" i="16"/>
  <c r="AM39" i="16" s="1"/>
  <c r="AG28" i="16"/>
  <c r="AK32" i="16"/>
  <c r="R32" i="16"/>
  <c r="AJ32" i="16"/>
  <c r="Y37" i="16"/>
  <c r="V37" i="16"/>
  <c r="Y39" i="16"/>
  <c r="U20" i="17"/>
  <c r="AD20" i="17" s="1"/>
  <c r="R46" i="17"/>
  <c r="AK46" i="17"/>
  <c r="AJ47" i="17"/>
  <c r="AK3" i="16"/>
  <c r="AK22" i="16"/>
  <c r="R22" i="16"/>
  <c r="AJ22" i="16"/>
  <c r="V23" i="16"/>
  <c r="S49" i="16"/>
  <c r="H10" i="6" s="1"/>
  <c r="AG29" i="16"/>
  <c r="AM29" i="16" s="1"/>
  <c r="Y30" i="16"/>
  <c r="AI47" i="16"/>
  <c r="W47" i="16"/>
  <c r="AE47" i="16" s="1"/>
  <c r="O47" i="16"/>
  <c r="J60" i="16"/>
  <c r="AA27" i="1"/>
  <c r="AA53" i="1" s="1"/>
  <c r="R4" i="1"/>
  <c r="R26" i="1" s="1"/>
  <c r="U13" i="1"/>
  <c r="AJ35" i="16"/>
  <c r="R38" i="16"/>
  <c r="R40" i="16"/>
  <c r="R41" i="16"/>
  <c r="R43" i="16"/>
  <c r="AI3" i="1"/>
  <c r="W3" i="1"/>
  <c r="O3" i="1"/>
  <c r="Y6" i="1"/>
  <c r="AK35" i="16"/>
  <c r="V38" i="16"/>
  <c r="AJ7" i="1"/>
  <c r="AI12" i="1"/>
  <c r="AG12" i="1"/>
  <c r="AM12" i="1" s="1"/>
  <c r="AJ36" i="16"/>
  <c r="AK45" i="16"/>
  <c r="R45" i="16"/>
  <c r="AJ45" i="16"/>
  <c r="C26" i="1"/>
  <c r="T26" i="1"/>
  <c r="AI8" i="1"/>
  <c r="W8" i="1"/>
  <c r="O8" i="1"/>
  <c r="AG8" i="1"/>
  <c r="AM8" i="1" s="1"/>
  <c r="AK9" i="1"/>
  <c r="R9" i="1"/>
  <c r="AJ9" i="1"/>
  <c r="Y12" i="1"/>
  <c r="U14" i="1"/>
  <c r="AJ38" i="16"/>
  <c r="R46" i="16"/>
  <c r="I26" i="1"/>
  <c r="U3" i="1"/>
  <c r="AJ4" i="1"/>
  <c r="AG7" i="1"/>
  <c r="AM7" i="1" s="1"/>
  <c r="AI7" i="1"/>
  <c r="AK10" i="1"/>
  <c r="R10" i="1"/>
  <c r="O36" i="16"/>
  <c r="AJ41" i="16"/>
  <c r="AJ43" i="16"/>
  <c r="V46" i="16"/>
  <c r="AK3" i="1"/>
  <c r="Y7" i="1"/>
  <c r="AE7" i="1"/>
  <c r="AK7" i="1"/>
  <c r="U11" i="1"/>
  <c r="W12" i="1"/>
  <c r="AE12" i="1" s="1"/>
  <c r="AG15" i="1"/>
  <c r="AM15" i="1" s="1"/>
  <c r="AI15" i="1"/>
  <c r="O15" i="1"/>
  <c r="AK37" i="16"/>
  <c r="R37" i="16"/>
  <c r="AJ37" i="16"/>
  <c r="Y38" i="16"/>
  <c r="AJ39" i="16"/>
  <c r="Y4" i="1"/>
  <c r="AE5" i="1"/>
  <c r="AJ10" i="1"/>
  <c r="AG13" i="1"/>
  <c r="AM13" i="1" s="1"/>
  <c r="O13" i="1"/>
  <c r="AI13" i="1"/>
  <c r="W13" i="1"/>
  <c r="AJ34" i="16"/>
  <c r="AK34" i="16"/>
  <c r="AK42" i="16"/>
  <c r="R42" i="16"/>
  <c r="AJ42" i="16"/>
  <c r="Z26" i="1"/>
  <c r="AJ3" i="1"/>
  <c r="W7" i="1"/>
  <c r="Y9" i="1"/>
  <c r="Y16" i="1"/>
  <c r="Y19" i="1"/>
  <c r="AE19" i="1"/>
  <c r="AJ20" i="1"/>
  <c r="AI21" i="1"/>
  <c r="W21" i="1"/>
  <c r="O21" i="1"/>
  <c r="AG21" i="1"/>
  <c r="AM21" i="1" s="1"/>
  <c r="AK22" i="1"/>
  <c r="R22" i="1"/>
  <c r="AJ22" i="1"/>
  <c r="AJ23" i="1"/>
  <c r="Y30" i="1"/>
  <c r="Y47" i="1"/>
  <c r="AI9" i="5"/>
  <c r="W9" i="5"/>
  <c r="AE9" i="5" s="1"/>
  <c r="O9" i="5"/>
  <c r="AG9" i="5"/>
  <c r="AJ13" i="1"/>
  <c r="W20" i="1"/>
  <c r="Y33" i="1"/>
  <c r="AE37" i="1"/>
  <c r="Y37" i="1"/>
  <c r="Y39" i="1"/>
  <c r="AH25" i="1"/>
  <c r="AK13" i="1"/>
  <c r="AI18" i="1"/>
  <c r="W18" i="1"/>
  <c r="O18" i="1"/>
  <c r="AG18" i="1"/>
  <c r="AM18" i="1" s="1"/>
  <c r="R23" i="1"/>
  <c r="AK23" i="1"/>
  <c r="Y24" i="1"/>
  <c r="AI12" i="5"/>
  <c r="AG12" i="5"/>
  <c r="O12" i="5"/>
  <c r="W12" i="5"/>
  <c r="AE12" i="5" s="1"/>
  <c r="P26" i="1"/>
  <c r="X26" i="1"/>
  <c r="R6" i="1"/>
  <c r="AJ11" i="1"/>
  <c r="AK14" i="1"/>
  <c r="R14" i="1"/>
  <c r="AJ14" i="1"/>
  <c r="U18" i="1"/>
  <c r="Y21" i="1"/>
  <c r="Y23" i="1"/>
  <c r="S49" i="1"/>
  <c r="H8" i="6" s="1"/>
  <c r="J8" i="6" s="1"/>
  <c r="U28" i="1"/>
  <c r="Y35" i="1"/>
  <c r="AE35" i="1"/>
  <c r="Q26" i="1"/>
  <c r="R11" i="1"/>
  <c r="AE15" i="1"/>
  <c r="Y17" i="1"/>
  <c r="Y22" i="1"/>
  <c r="Y31" i="1"/>
  <c r="AE36" i="1"/>
  <c r="AE41" i="1"/>
  <c r="C44" i="8" s="1"/>
  <c r="Y41" i="1"/>
  <c r="Y8" i="5"/>
  <c r="AK17" i="1"/>
  <c r="R17" i="1"/>
  <c r="AG20" i="1"/>
  <c r="AM20" i="1" s="1"/>
  <c r="Y44" i="1"/>
  <c r="AG44" i="1"/>
  <c r="AE44" i="1"/>
  <c r="Y29" i="1"/>
  <c r="Y32" i="1"/>
  <c r="AI16" i="1"/>
  <c r="W16" i="1"/>
  <c r="AE16" i="1" s="1"/>
  <c r="O16" i="1"/>
  <c r="AI20" i="1"/>
  <c r="C49" i="1"/>
  <c r="I28" i="1"/>
  <c r="I49" i="1" s="1"/>
  <c r="AG37" i="1"/>
  <c r="AM37" i="1" s="1"/>
  <c r="O37" i="1"/>
  <c r="AI37" i="1"/>
  <c r="W37" i="1"/>
  <c r="AG24" i="1"/>
  <c r="AM24" i="1" s="1"/>
  <c r="R30" i="1"/>
  <c r="W34" i="1"/>
  <c r="AI34" i="1"/>
  <c r="AE38" i="1"/>
  <c r="AK39" i="1"/>
  <c r="AK42" i="1"/>
  <c r="W46" i="1"/>
  <c r="AE46" i="1" s="1"/>
  <c r="O46" i="1"/>
  <c r="AG46" i="1"/>
  <c r="AM46" i="1" s="1"/>
  <c r="Y5" i="5"/>
  <c r="AI6" i="5"/>
  <c r="W6" i="5"/>
  <c r="AE6" i="5" s="1"/>
  <c r="O6" i="5"/>
  <c r="AG6" i="5"/>
  <c r="AG19" i="5"/>
  <c r="AM19" i="5" s="1"/>
  <c r="O19" i="5"/>
  <c r="W19" i="5"/>
  <c r="AI19" i="5"/>
  <c r="Y20" i="5"/>
  <c r="AI19" i="1"/>
  <c r="O24" i="1"/>
  <c r="W24" i="1"/>
  <c r="AE24" i="1" s="1"/>
  <c r="K49" i="1"/>
  <c r="E8" i="6" s="1"/>
  <c r="AJ32" i="1"/>
  <c r="O34" i="1"/>
  <c r="AJ34" i="1"/>
  <c r="R39" i="1"/>
  <c r="AI41" i="1"/>
  <c r="AG43" i="1"/>
  <c r="AM43" i="1" s="1"/>
  <c r="AH25" i="5"/>
  <c r="AG13" i="5"/>
  <c r="AI16" i="5"/>
  <c r="AG16" i="5"/>
  <c r="Y18" i="5"/>
  <c r="AE18" i="5"/>
  <c r="C16" i="7" s="1"/>
  <c r="AE20" i="1"/>
  <c r="AI24" i="1"/>
  <c r="N28" i="1"/>
  <c r="AJ29" i="1"/>
  <c r="R32" i="1"/>
  <c r="AG35" i="1"/>
  <c r="AM35" i="1" s="1"/>
  <c r="AG38" i="1"/>
  <c r="Y45" i="1"/>
  <c r="AI46" i="1"/>
  <c r="U26" i="5"/>
  <c r="AI4" i="5"/>
  <c r="AA27" i="5"/>
  <c r="AA53" i="5" s="1"/>
  <c r="AI14" i="5"/>
  <c r="W14" i="5"/>
  <c r="AE14" i="5" s="1"/>
  <c r="O14" i="5"/>
  <c r="AG14" i="5"/>
  <c r="AG15" i="5"/>
  <c r="AH48" i="1"/>
  <c r="R29" i="1"/>
  <c r="AG33" i="1"/>
  <c r="AM33" i="1" s="1"/>
  <c r="O35" i="1"/>
  <c r="W35" i="1"/>
  <c r="AK37" i="1"/>
  <c r="W40" i="1"/>
  <c r="O40" i="1"/>
  <c r="R42" i="1"/>
  <c r="AJ46" i="1"/>
  <c r="S26" i="5"/>
  <c r="Y11" i="5"/>
  <c r="AE13" i="5"/>
  <c r="Y13" i="5"/>
  <c r="AI15" i="5"/>
  <c r="AG17" i="5"/>
  <c r="AM17" i="5" s="1"/>
  <c r="O17" i="5"/>
  <c r="W17" i="5"/>
  <c r="AE17" i="5" s="1"/>
  <c r="AI17" i="5"/>
  <c r="AJ31" i="1"/>
  <c r="O33" i="1"/>
  <c r="W33" i="1"/>
  <c r="AE33" i="1" s="1"/>
  <c r="O38" i="1"/>
  <c r="W38" i="1"/>
  <c r="AI38" i="1"/>
  <c r="AE40" i="1"/>
  <c r="AG40" i="1"/>
  <c r="AM40" i="1" s="1"/>
  <c r="AI43" i="1"/>
  <c r="N3" i="5"/>
  <c r="K26" i="5"/>
  <c r="X26" i="5"/>
  <c r="AG7" i="5"/>
  <c r="AI8" i="5"/>
  <c r="W8" i="5"/>
  <c r="AE8" i="5" s="1"/>
  <c r="O8" i="5"/>
  <c r="AG8" i="5"/>
  <c r="AM8" i="5" s="1"/>
  <c r="AI13" i="5"/>
  <c r="Y14" i="5"/>
  <c r="Y16" i="5"/>
  <c r="Q49" i="1"/>
  <c r="G8" i="6" s="1"/>
  <c r="AJ28" i="1"/>
  <c r="AJ48" i="1" s="1"/>
  <c r="R31" i="1"/>
  <c r="U34" i="1"/>
  <c r="AJ38" i="1"/>
  <c r="AK38" i="1"/>
  <c r="W43" i="1"/>
  <c r="AE43" i="1" s="1"/>
  <c r="R45" i="1"/>
  <c r="Y46" i="1"/>
  <c r="Y3" i="5"/>
  <c r="U4" i="5"/>
  <c r="AK5" i="5"/>
  <c r="U10" i="5"/>
  <c r="R11" i="5"/>
  <c r="W15" i="5"/>
  <c r="AE15" i="5" s="1"/>
  <c r="W16" i="5"/>
  <c r="R28" i="1"/>
  <c r="Z49" i="1"/>
  <c r="L8" i="6" s="1"/>
  <c r="AK28" i="1"/>
  <c r="AG41" i="1"/>
  <c r="AM41" i="1" s="1"/>
  <c r="O43" i="1"/>
  <c r="P26" i="5"/>
  <c r="AK3" i="5"/>
  <c r="R3" i="5"/>
  <c r="AE7" i="5"/>
  <c r="C23" i="7" s="1"/>
  <c r="Y7" i="5"/>
  <c r="AE20" i="5"/>
  <c r="Y43" i="1"/>
  <c r="AI44" i="1"/>
  <c r="W44" i="1"/>
  <c r="O44" i="1"/>
  <c r="Q26" i="5"/>
  <c r="R5" i="5"/>
  <c r="AJ5" i="5"/>
  <c r="AJ25" i="5" s="1"/>
  <c r="Y12" i="5"/>
  <c r="O16" i="5"/>
  <c r="AL21" i="5" a="1"/>
  <c r="AL21" i="5" s="1"/>
  <c r="AG21" i="5"/>
  <c r="AM21" i="5" s="1"/>
  <c r="O21" i="5"/>
  <c r="W21" i="5"/>
  <c r="AI21" i="5"/>
  <c r="AG28" i="5"/>
  <c r="O28" i="5"/>
  <c r="AI28" i="5"/>
  <c r="W28" i="5"/>
  <c r="AJ13" i="5"/>
  <c r="O18" i="5"/>
  <c r="W18" i="5"/>
  <c r="AI24" i="5"/>
  <c r="W24" i="5"/>
  <c r="AE24" i="5" s="1"/>
  <c r="O24" i="5"/>
  <c r="AG24" i="5"/>
  <c r="AM24" i="5" s="1"/>
  <c r="AE32" i="5"/>
  <c r="C36" i="7" s="1"/>
  <c r="Y32" i="5"/>
  <c r="AG34" i="5"/>
  <c r="AM34" i="5" s="1"/>
  <c r="O34" i="5"/>
  <c r="W34" i="5"/>
  <c r="AE34" i="5" s="1"/>
  <c r="AI34" i="5"/>
  <c r="Z26" i="5"/>
  <c r="AK13" i="5"/>
  <c r="AL18" i="5" a="1"/>
  <c r="AL18" i="5" s="1"/>
  <c r="AI22" i="5"/>
  <c r="W22" i="5"/>
  <c r="AE22" i="5" s="1"/>
  <c r="O22" i="5"/>
  <c r="AG22" i="5"/>
  <c r="AM22" i="5" s="1"/>
  <c r="Y24" i="5"/>
  <c r="T49" i="5"/>
  <c r="I6" i="6" s="1"/>
  <c r="J6" i="6" s="1"/>
  <c r="U31" i="5"/>
  <c r="L60" i="1"/>
  <c r="Y22" i="5"/>
  <c r="AK33" i="5"/>
  <c r="R33" i="5"/>
  <c r="AJ33" i="5"/>
  <c r="AJ41" i="1"/>
  <c r="AK47" i="1"/>
  <c r="R47" i="1"/>
  <c r="AJ47" i="1"/>
  <c r="L58" i="1"/>
  <c r="I26" i="5"/>
  <c r="T26" i="5"/>
  <c r="AJ11" i="5"/>
  <c r="R30" i="5"/>
  <c r="AK30" i="5"/>
  <c r="Y33" i="5"/>
  <c r="AE19" i="5"/>
  <c r="AE21" i="5"/>
  <c r="C19" i="7" s="1"/>
  <c r="AG23" i="5"/>
  <c r="AM23" i="5" s="1"/>
  <c r="AG20" i="5"/>
  <c r="AM20" i="5" s="1"/>
  <c r="AE23" i="5"/>
  <c r="Y23" i="5"/>
  <c r="AJ24" i="5"/>
  <c r="U29" i="5"/>
  <c r="I49" i="5"/>
  <c r="U28" i="5"/>
  <c r="AH48" i="5"/>
  <c r="W32" i="5"/>
  <c r="AG38" i="5"/>
  <c r="AM38" i="5" s="1"/>
  <c r="O38" i="5"/>
  <c r="AG46" i="5"/>
  <c r="AM46" i="5" s="1"/>
  <c r="O46" i="5"/>
  <c r="AI46" i="5"/>
  <c r="W46" i="5"/>
  <c r="AE46" i="5" s="1"/>
  <c r="K49" i="5"/>
  <c r="E6" i="6" s="1"/>
  <c r="N28" i="5"/>
  <c r="AK35" i="5"/>
  <c r="R35" i="5"/>
  <c r="AJ35" i="5"/>
  <c r="R36" i="5"/>
  <c r="Y38" i="5"/>
  <c r="Y46" i="5"/>
  <c r="X49" i="5"/>
  <c r="M6" i="6" s="1"/>
  <c r="AJ34" i="5"/>
  <c r="AI38" i="5"/>
  <c r="U39" i="5"/>
  <c r="R40" i="5"/>
  <c r="R42" i="5"/>
  <c r="P49" i="5"/>
  <c r="AK28" i="5"/>
  <c r="AK37" i="5"/>
  <c r="R37" i="5"/>
  <c r="AJ37" i="5"/>
  <c r="W38" i="5"/>
  <c r="AE38" i="5" s="1"/>
  <c r="AK40" i="5"/>
  <c r="AK42" i="5"/>
  <c r="Y47" i="5"/>
  <c r="AP7" i="15"/>
  <c r="AN7" i="15"/>
  <c r="Y8" i="15"/>
  <c r="Q49" i="5"/>
  <c r="G6" i="6" s="1"/>
  <c r="Z49" i="5"/>
  <c r="L6" i="6" s="1"/>
  <c r="AK29" i="5"/>
  <c r="R29" i="5"/>
  <c r="AJ29" i="5"/>
  <c r="AJ48" i="5" s="1"/>
  <c r="AK31" i="5"/>
  <c r="R31" i="5"/>
  <c r="Y34" i="5"/>
  <c r="AJ36" i="5"/>
  <c r="AG9" i="15"/>
  <c r="AM9" i="15" s="1"/>
  <c r="AI9" i="15"/>
  <c r="W9" i="15"/>
  <c r="AE9" i="15" s="1"/>
  <c r="O9" i="15"/>
  <c r="AG32" i="5"/>
  <c r="AM32" i="5" s="1"/>
  <c r="Y41" i="5"/>
  <c r="R44" i="5"/>
  <c r="AJ44" i="5"/>
  <c r="Y40" i="5"/>
  <c r="W11" i="15"/>
  <c r="AE11" i="15" s="1"/>
  <c r="O11" i="15"/>
  <c r="AG11" i="15"/>
  <c r="AM11" i="15" s="1"/>
  <c r="AI11" i="15"/>
  <c r="Y12" i="15"/>
  <c r="AK41" i="5"/>
  <c r="R41" i="5"/>
  <c r="AJ41" i="5"/>
  <c r="AE10" i="15"/>
  <c r="AE14" i="15"/>
  <c r="Y22" i="15"/>
  <c r="Y31" i="15"/>
  <c r="AL5" i="15" a="1"/>
  <c r="AL5" i="15" s="1"/>
  <c r="AG7" i="15"/>
  <c r="AM7" i="15" s="1"/>
  <c r="AJ9" i="15"/>
  <c r="AK11" i="15"/>
  <c r="AI12" i="15"/>
  <c r="R13" i="15"/>
  <c r="AE16" i="15"/>
  <c r="Y16" i="15"/>
  <c r="AJ21" i="15"/>
  <c r="AK21" i="15"/>
  <c r="R21" i="15"/>
  <c r="AJ24" i="15"/>
  <c r="R24" i="15"/>
  <c r="Y35" i="15"/>
  <c r="AK43" i="5"/>
  <c r="R43" i="5"/>
  <c r="Y43" i="5"/>
  <c r="AJ43" i="5"/>
  <c r="P26" i="15"/>
  <c r="X26" i="15"/>
  <c r="AG4" i="15"/>
  <c r="Y6" i="15"/>
  <c r="Y9" i="15"/>
  <c r="AK9" i="15"/>
  <c r="O10" i="15"/>
  <c r="Y11" i="15"/>
  <c r="O18" i="15"/>
  <c r="AK24" i="15"/>
  <c r="U28" i="15"/>
  <c r="Y37" i="15"/>
  <c r="Q26" i="15"/>
  <c r="AJ25" i="15"/>
  <c r="O4" i="15"/>
  <c r="W4" i="15"/>
  <c r="AE4" i="15" s="1"/>
  <c r="O17" i="15"/>
  <c r="AI17" i="15"/>
  <c r="W17" i="15"/>
  <c r="AE17" i="15" s="1"/>
  <c r="AG17" i="15"/>
  <c r="AM17" i="15" s="1"/>
  <c r="Y29" i="15"/>
  <c r="AJ38" i="5"/>
  <c r="AK45" i="5"/>
  <c r="R45" i="5"/>
  <c r="Y45" i="5"/>
  <c r="AJ45" i="5"/>
  <c r="AJ46" i="5"/>
  <c r="R3" i="15"/>
  <c r="Z26" i="15"/>
  <c r="AG8" i="15"/>
  <c r="AM8" i="15" s="1"/>
  <c r="Y10" i="15"/>
  <c r="AJ13" i="15"/>
  <c r="Y14" i="15"/>
  <c r="AK17" i="15"/>
  <c r="AJ23" i="15"/>
  <c r="AK23" i="15"/>
  <c r="L60" i="5"/>
  <c r="Y7" i="15"/>
  <c r="O8" i="15"/>
  <c r="W8" i="15"/>
  <c r="AE8" i="15" s="1"/>
  <c r="AI10" i="15"/>
  <c r="AG12" i="15"/>
  <c r="AM12" i="15" s="1"/>
  <c r="AI14" i="15"/>
  <c r="R15" i="15"/>
  <c r="W18" i="15"/>
  <c r="AI18" i="15"/>
  <c r="Y20" i="15"/>
  <c r="Y34" i="15"/>
  <c r="AK39" i="5"/>
  <c r="R39" i="5"/>
  <c r="AJ39" i="5"/>
  <c r="AK47" i="5"/>
  <c r="R47" i="5"/>
  <c r="AJ47" i="5"/>
  <c r="AE6" i="15"/>
  <c r="C4" i="11" s="1"/>
  <c r="W12" i="15"/>
  <c r="AE12" i="15" s="1"/>
  <c r="W23" i="15"/>
  <c r="O23" i="15"/>
  <c r="AI23" i="15"/>
  <c r="U3" i="15"/>
  <c r="AG6" i="15"/>
  <c r="Y23" i="15"/>
  <c r="AE23" i="15"/>
  <c r="AI16" i="15"/>
  <c r="U18" i="15"/>
  <c r="AJ19" i="15"/>
  <c r="K49" i="15"/>
  <c r="E4" i="6" s="1"/>
  <c r="N28" i="15"/>
  <c r="Y33" i="15"/>
  <c r="U21" i="15"/>
  <c r="Y41" i="15"/>
  <c r="Y46" i="15"/>
  <c r="W19" i="15"/>
  <c r="O19" i="15"/>
  <c r="AG19" i="15"/>
  <c r="AM19" i="15" s="1"/>
  <c r="Y24" i="15"/>
  <c r="AK48" i="15"/>
  <c r="U19" i="15"/>
  <c r="AJ20" i="15"/>
  <c r="R22" i="15"/>
  <c r="Q49" i="15"/>
  <c r="G4" i="6" s="1"/>
  <c r="G28" i="6" s="1"/>
  <c r="J58" i="15"/>
  <c r="Y43" i="15"/>
  <c r="AJ18" i="15"/>
  <c r="AK19" i="15"/>
  <c r="W20" i="15"/>
  <c r="AE20" i="15" s="1"/>
  <c r="O20" i="15"/>
  <c r="AG20" i="15"/>
  <c r="AH48" i="15"/>
  <c r="Y32" i="15"/>
  <c r="J60" i="15"/>
  <c r="P49" i="15"/>
  <c r="R28" i="15"/>
  <c r="R30" i="15"/>
  <c r="R32" i="15"/>
  <c r="R34" i="15"/>
  <c r="R36" i="15"/>
  <c r="R38" i="15"/>
  <c r="R40" i="15"/>
  <c r="R42" i="15"/>
  <c r="R44" i="15"/>
  <c r="R46" i="15"/>
  <c r="AJ47" i="15"/>
  <c r="AJ48" i="15" s="1"/>
  <c r="R29" i="15"/>
  <c r="R31" i="15"/>
  <c r="R33" i="15"/>
  <c r="R35" i="15"/>
  <c r="R37" i="15"/>
  <c r="R39" i="15"/>
  <c r="R41" i="15"/>
  <c r="R43" i="15"/>
  <c r="R45" i="15"/>
  <c r="R47" i="15"/>
  <c r="E31" i="25" l="1"/>
  <c r="F6" i="25"/>
  <c r="E7" i="25"/>
  <c r="F42" i="39"/>
  <c r="E43" i="39"/>
  <c r="M19" i="39"/>
  <c r="G19" i="39" s="1"/>
  <c r="L20" i="39"/>
  <c r="M42" i="39"/>
  <c r="G42" i="39" s="1"/>
  <c r="L43" i="39"/>
  <c r="F19" i="39"/>
  <c r="E20" i="39"/>
  <c r="G6" i="25"/>
  <c r="G7" i="25"/>
  <c r="F13" i="38"/>
  <c r="E14" i="38"/>
  <c r="M38" i="38"/>
  <c r="L39" i="38"/>
  <c r="F38" i="38"/>
  <c r="E39" i="38"/>
  <c r="M14" i="38"/>
  <c r="L15" i="38"/>
  <c r="L5" i="10"/>
  <c r="M5" i="10" s="1"/>
  <c r="G5" i="10" s="1"/>
  <c r="D50" i="10"/>
  <c r="K50" i="10"/>
  <c r="L6" i="10"/>
  <c r="M6" i="10" s="1"/>
  <c r="K26" i="10"/>
  <c r="D26" i="10"/>
  <c r="E6" i="10"/>
  <c r="F6" i="10" s="1"/>
  <c r="T51" i="19"/>
  <c r="I14" i="6"/>
  <c r="S51" i="19"/>
  <c r="H14" i="6"/>
  <c r="Q51" i="19"/>
  <c r="G14" i="6"/>
  <c r="AK25" i="19"/>
  <c r="M12" i="25"/>
  <c r="L13" i="25"/>
  <c r="M36" i="25"/>
  <c r="G36" i="25" s="1"/>
  <c r="L37" i="25"/>
  <c r="M28" i="6"/>
  <c r="E28" i="6"/>
  <c r="L28" i="6"/>
  <c r="I28" i="6"/>
  <c r="H28" i="6"/>
  <c r="AA49" i="18"/>
  <c r="AA26" i="18"/>
  <c r="AG45" i="17"/>
  <c r="AG12" i="17"/>
  <c r="AG6" i="17"/>
  <c r="Y41" i="17"/>
  <c r="AD41" i="17"/>
  <c r="AE41" i="17" s="1"/>
  <c r="AL41" i="17" s="1" a="1"/>
  <c r="AL41" i="17" s="1"/>
  <c r="AN41" i="17" s="1"/>
  <c r="Y16" i="17"/>
  <c r="AD16" i="17"/>
  <c r="Y40" i="17"/>
  <c r="AD40" i="17"/>
  <c r="Y11" i="17"/>
  <c r="AD11" i="17"/>
  <c r="AE11" i="17" s="1"/>
  <c r="AL11" i="17" s="1" a="1"/>
  <c r="AL11" i="17" s="1"/>
  <c r="Y39" i="17"/>
  <c r="AD39" i="17"/>
  <c r="Y37" i="17"/>
  <c r="AD37" i="17"/>
  <c r="Y19" i="17"/>
  <c r="AD19" i="17"/>
  <c r="Y43" i="17"/>
  <c r="AD43" i="17"/>
  <c r="Y5" i="17"/>
  <c r="AD5" i="17"/>
  <c r="Y44" i="17"/>
  <c r="AD44" i="17"/>
  <c r="Y33" i="17"/>
  <c r="AD33" i="17"/>
  <c r="Y34" i="17"/>
  <c r="AD34" i="17"/>
  <c r="Y14" i="17"/>
  <c r="AD14" i="17"/>
  <c r="AE14" i="17" s="1"/>
  <c r="AL14" i="17" s="1" a="1"/>
  <c r="AL14" i="17" s="1"/>
  <c r="AP14" i="17" s="1"/>
  <c r="Y7" i="17"/>
  <c r="AD7" i="17"/>
  <c r="AE7" i="17" s="1"/>
  <c r="AL7" i="17" s="1" a="1"/>
  <c r="AL7" i="17" s="1"/>
  <c r="AP7" i="17" s="1"/>
  <c r="Y4" i="17"/>
  <c r="AD4" i="17"/>
  <c r="Y22" i="17"/>
  <c r="AD22" i="17"/>
  <c r="Y32" i="17"/>
  <c r="AD32" i="17"/>
  <c r="Y21" i="17"/>
  <c r="AD21" i="17"/>
  <c r="Y45" i="17"/>
  <c r="AD45" i="17"/>
  <c r="Y28" i="17"/>
  <c r="AD28" i="17"/>
  <c r="Y15" i="17"/>
  <c r="AD15" i="17"/>
  <c r="Y29" i="17"/>
  <c r="AD29" i="17"/>
  <c r="Y39" i="18"/>
  <c r="AE39" i="18"/>
  <c r="Y19" i="18"/>
  <c r="Y6" i="18"/>
  <c r="Y34" i="18"/>
  <c r="Y31" i="18"/>
  <c r="Y18" i="18"/>
  <c r="Y41" i="18"/>
  <c r="Y43" i="18"/>
  <c r="Y32" i="18"/>
  <c r="Y45" i="18"/>
  <c r="Y46" i="18"/>
  <c r="Y12" i="18"/>
  <c r="Y38" i="18"/>
  <c r="Y22" i="18"/>
  <c r="Y35" i="18"/>
  <c r="Y15" i="18"/>
  <c r="Y20" i="18"/>
  <c r="Y13" i="18"/>
  <c r="AL23" i="16" a="1"/>
  <c r="AL23" i="16" s="1"/>
  <c r="C18" i="9"/>
  <c r="AL33" i="16" a="1"/>
  <c r="AL33" i="16" s="1"/>
  <c r="C33" i="9"/>
  <c r="AL11" i="16" a="1"/>
  <c r="AL11" i="16" s="1"/>
  <c r="C21" i="9"/>
  <c r="AL10" i="16" a="1"/>
  <c r="AL10" i="16" s="1"/>
  <c r="C20" i="9"/>
  <c r="AL13" i="16" a="1"/>
  <c r="AL13" i="16" s="1"/>
  <c r="C10" i="9"/>
  <c r="AL24" i="16" a="1"/>
  <c r="AL24" i="16" s="1"/>
  <c r="C19" i="9"/>
  <c r="AL35" i="16" a="1"/>
  <c r="AL35" i="16" s="1"/>
  <c r="C38" i="9"/>
  <c r="AL39" i="16" a="1"/>
  <c r="AL39" i="16" s="1"/>
  <c r="C39" i="9"/>
  <c r="AL21" i="16" a="1"/>
  <c r="AL21" i="16" s="1"/>
  <c r="C16" i="9"/>
  <c r="AL44" i="16" a="1"/>
  <c r="AL44" i="16" s="1"/>
  <c r="C49" i="9"/>
  <c r="AL34" i="16" a="1"/>
  <c r="AL34" i="16" s="1"/>
  <c r="C37" i="9"/>
  <c r="AL16" i="16" a="1"/>
  <c r="AL16" i="16" s="1"/>
  <c r="C23" i="9"/>
  <c r="AL7" i="16" a="1"/>
  <c r="AL7" i="16" s="1"/>
  <c r="AP7" i="16" s="1"/>
  <c r="C5" i="9"/>
  <c r="AL19" i="16" a="1"/>
  <c r="AL19" i="16" s="1"/>
  <c r="C6" i="9"/>
  <c r="AL36" i="16" a="1"/>
  <c r="AL36" i="16" s="1"/>
  <c r="C45" i="9"/>
  <c r="AL30" i="16" a="1"/>
  <c r="AL30" i="16" s="1"/>
  <c r="C35" i="9"/>
  <c r="AL17" i="16" a="1"/>
  <c r="AL17" i="16" s="1"/>
  <c r="C13" i="9"/>
  <c r="AL47" i="16" a="1"/>
  <c r="AL47" i="16" s="1"/>
  <c r="C44" i="9"/>
  <c r="AL29" i="16" a="1"/>
  <c r="AL29" i="16" s="1"/>
  <c r="C34" i="9"/>
  <c r="AL19" i="1" a="1"/>
  <c r="AL19" i="1" s="1"/>
  <c r="C16" i="8"/>
  <c r="AL43" i="1" a="1"/>
  <c r="AL43" i="1" s="1"/>
  <c r="C46" i="8"/>
  <c r="AL8" i="1" a="1"/>
  <c r="AL8" i="1" s="1"/>
  <c r="AP8" i="1" s="1"/>
  <c r="C9" i="8"/>
  <c r="AL12" i="1" a="1"/>
  <c r="AL12" i="1" s="1"/>
  <c r="AP12" i="1" s="1"/>
  <c r="C11" i="8"/>
  <c r="AL33" i="1" a="1"/>
  <c r="AL33" i="1" s="1"/>
  <c r="C37" i="8"/>
  <c r="AL35" i="1" a="1"/>
  <c r="AL35" i="1" s="1"/>
  <c r="C39" i="8"/>
  <c r="AL36" i="1" a="1"/>
  <c r="AL36" i="1" s="1"/>
  <c r="C40" i="8"/>
  <c r="AL40" i="1" a="1"/>
  <c r="AL40" i="1" s="1"/>
  <c r="AP40" i="1" s="1"/>
  <c r="C43" i="8"/>
  <c r="AL46" i="1" a="1"/>
  <c r="AL46" i="1" s="1"/>
  <c r="C47" i="8"/>
  <c r="AL16" i="1" a="1"/>
  <c r="AL16" i="1" s="1"/>
  <c r="C7" i="8"/>
  <c r="AL5" i="1" a="1"/>
  <c r="AL5" i="1" s="1"/>
  <c r="C6" i="8"/>
  <c r="AL24" i="1" a="1"/>
  <c r="AL24" i="1" s="1"/>
  <c r="AP24" i="1" s="1"/>
  <c r="C21" i="8"/>
  <c r="AL15" i="1" a="1"/>
  <c r="AL15" i="1" s="1"/>
  <c r="C13" i="8"/>
  <c r="AL37" i="1" a="1"/>
  <c r="AL37" i="1" s="1"/>
  <c r="C41" i="8"/>
  <c r="AL44" i="1" a="1"/>
  <c r="AL44" i="1" s="1"/>
  <c r="C31" i="8"/>
  <c r="AL20" i="1" a="1"/>
  <c r="AL20" i="1" s="1"/>
  <c r="AP20" i="1" s="1"/>
  <c r="C17" i="8"/>
  <c r="AL41" i="1" a="1"/>
  <c r="AL41" i="1" s="1"/>
  <c r="AP41" i="1" s="1"/>
  <c r="AL7" i="1" a="1"/>
  <c r="AL7" i="1" s="1"/>
  <c r="C8" i="8"/>
  <c r="AL38" i="1" a="1"/>
  <c r="AL38" i="1" s="1"/>
  <c r="C30" i="8"/>
  <c r="AL32" i="5" a="1"/>
  <c r="AL32" i="5" s="1"/>
  <c r="AP32" i="5" s="1"/>
  <c r="AL22" i="5" a="1"/>
  <c r="AL22" i="5" s="1"/>
  <c r="C20" i="7"/>
  <c r="AL15" i="5" a="1"/>
  <c r="AL15" i="5" s="1"/>
  <c r="AP15" i="5" s="1"/>
  <c r="C11" i="7"/>
  <c r="AL6" i="5" a="1"/>
  <c r="AL6" i="5" s="1"/>
  <c r="AP6" i="5" s="1"/>
  <c r="C6" i="7"/>
  <c r="AL12" i="5" a="1"/>
  <c r="AL12" i="5" s="1"/>
  <c r="C5" i="7"/>
  <c r="AL9" i="5" a="1"/>
  <c r="AL9" i="5" s="1"/>
  <c r="C25" i="7"/>
  <c r="AL20" i="5" a="1"/>
  <c r="AL20" i="5" s="1"/>
  <c r="AP20" i="5" s="1"/>
  <c r="C18" i="7"/>
  <c r="AL13" i="5" a="1"/>
  <c r="AL13" i="5" s="1"/>
  <c r="AM13" i="5" s="1"/>
  <c r="C8" i="7"/>
  <c r="AL17" i="5" a="1"/>
  <c r="AL17" i="5" s="1"/>
  <c r="C15" i="7"/>
  <c r="AL19" i="5" a="1"/>
  <c r="AL19" i="5" s="1"/>
  <c r="C17" i="7"/>
  <c r="AL38" i="5" a="1"/>
  <c r="AL38" i="5" s="1"/>
  <c r="AP38" i="5" s="1"/>
  <c r="C41" i="7"/>
  <c r="AL24" i="5" a="1"/>
  <c r="AL24" i="5" s="1"/>
  <c r="AP24" i="5" s="1"/>
  <c r="C22" i="7"/>
  <c r="AL8" i="5" a="1"/>
  <c r="AL8" i="5" s="1"/>
  <c r="C13" i="7"/>
  <c r="AL14" i="5" a="1"/>
  <c r="AL14" i="5" s="1"/>
  <c r="C10" i="7"/>
  <c r="AL46" i="5" a="1"/>
  <c r="AL46" i="5" s="1"/>
  <c r="AP46" i="5" s="1"/>
  <c r="C49" i="7"/>
  <c r="AL23" i="5" a="1"/>
  <c r="AL23" i="5" s="1"/>
  <c r="AN23" i="5" s="1"/>
  <c r="C21" i="7"/>
  <c r="AL34" i="5" a="1"/>
  <c r="AL34" i="5" s="1"/>
  <c r="C38" i="7"/>
  <c r="AL7" i="5" a="1"/>
  <c r="AL7" i="5" s="1"/>
  <c r="AP7" i="5" s="1"/>
  <c r="AL11" i="15" a="1"/>
  <c r="AL11" i="15" s="1"/>
  <c r="C11" i="11"/>
  <c r="AL4" i="15" a="1"/>
  <c r="AL4" i="15" s="1"/>
  <c r="C8" i="11"/>
  <c r="AL16" i="15" a="1"/>
  <c r="AL16" i="15" s="1"/>
  <c r="AN16" i="15" s="1"/>
  <c r="C14" i="11"/>
  <c r="AL10" i="15" a="1"/>
  <c r="AL10" i="15" s="1"/>
  <c r="AP10" i="15" s="1"/>
  <c r="C10" i="11"/>
  <c r="AL12" i="15" a="1"/>
  <c r="AL12" i="15" s="1"/>
  <c r="C12" i="11"/>
  <c r="AL17" i="15" a="1"/>
  <c r="AL17" i="15" s="1"/>
  <c r="C15" i="11"/>
  <c r="AL14" i="15" a="1"/>
  <c r="AL14" i="15" s="1"/>
  <c r="AP14" i="15" s="1"/>
  <c r="C13" i="11"/>
  <c r="AL23" i="15" a="1"/>
  <c r="AL23" i="15" s="1"/>
  <c r="AP23" i="15" s="1"/>
  <c r="C20" i="11"/>
  <c r="AL8" i="15" a="1"/>
  <c r="AL8" i="15" s="1"/>
  <c r="C9" i="11"/>
  <c r="AL9" i="15" a="1"/>
  <c r="AL9" i="15" s="1"/>
  <c r="AP9" i="15" s="1"/>
  <c r="C24" i="11"/>
  <c r="AL20" i="15" a="1"/>
  <c r="AL20" i="15" s="1"/>
  <c r="AM20" i="15" s="1"/>
  <c r="C5" i="11"/>
  <c r="AL6" i="15" a="1"/>
  <c r="AL6" i="15" s="1"/>
  <c r="AP6" i="15" s="1"/>
  <c r="K26" i="18"/>
  <c r="K51" i="1"/>
  <c r="K49" i="18"/>
  <c r="K50" i="9"/>
  <c r="L4" i="9"/>
  <c r="M4" i="9" s="1"/>
  <c r="G4" i="9" s="1"/>
  <c r="K26" i="9"/>
  <c r="K50" i="8"/>
  <c r="L32" i="8"/>
  <c r="M32" i="8" s="1"/>
  <c r="K26" i="7"/>
  <c r="L5" i="11"/>
  <c r="M5" i="11" s="1"/>
  <c r="K26" i="11"/>
  <c r="W24" i="18"/>
  <c r="AE24" i="18" s="1"/>
  <c r="AG24" i="18"/>
  <c r="AM24" i="18" s="1"/>
  <c r="AI24" i="18"/>
  <c r="Y42" i="18"/>
  <c r="Y21" i="18"/>
  <c r="AG23" i="18"/>
  <c r="AM23" i="18" s="1"/>
  <c r="AI23" i="18"/>
  <c r="AI28" i="18"/>
  <c r="W28" i="18"/>
  <c r="AK33" i="18"/>
  <c r="AK25" i="15"/>
  <c r="AN6" i="15"/>
  <c r="AK48" i="16"/>
  <c r="AN32" i="5"/>
  <c r="AG28" i="18"/>
  <c r="AM28" i="18" s="1"/>
  <c r="AJ3" i="18"/>
  <c r="AG12" i="18"/>
  <c r="Y14" i="18"/>
  <c r="T51" i="18"/>
  <c r="Y44" i="18"/>
  <c r="R45" i="18"/>
  <c r="AG45" i="18" s="1"/>
  <c r="Y11" i="18"/>
  <c r="W7" i="18"/>
  <c r="AE7" i="18" s="1"/>
  <c r="AI7" i="18"/>
  <c r="Y40" i="18"/>
  <c r="Y23" i="18"/>
  <c r="Y36" i="18"/>
  <c r="W31" i="18"/>
  <c r="Z49" i="18"/>
  <c r="Z51" i="18" s="1"/>
  <c r="AG10" i="18"/>
  <c r="Y5" i="18"/>
  <c r="AI40" i="18"/>
  <c r="W30" i="18"/>
  <c r="AE30" i="18" s="1"/>
  <c r="AI39" i="18"/>
  <c r="AI10" i="18"/>
  <c r="Y4" i="18"/>
  <c r="AG39" i="18"/>
  <c r="AM39" i="18" s="1"/>
  <c r="W40" i="18"/>
  <c r="AE40" i="18" s="1"/>
  <c r="AI30" i="18"/>
  <c r="AG40" i="18"/>
  <c r="AM40" i="18" s="1"/>
  <c r="AG34" i="18"/>
  <c r="AG31" i="18"/>
  <c r="AI45" i="17"/>
  <c r="W45" i="17"/>
  <c r="AJ8" i="18"/>
  <c r="AI34" i="18"/>
  <c r="Y33" i="18"/>
  <c r="Y16" i="18"/>
  <c r="Y3" i="18"/>
  <c r="Y30" i="18"/>
  <c r="Y8" i="18"/>
  <c r="Y24" i="18"/>
  <c r="Y47" i="18"/>
  <c r="W34" i="18"/>
  <c r="AG7" i="18"/>
  <c r="Y7" i="18"/>
  <c r="AJ12" i="18"/>
  <c r="Y10" i="18"/>
  <c r="W32" i="18"/>
  <c r="W12" i="18"/>
  <c r="AI32" i="18"/>
  <c r="X51" i="18"/>
  <c r="AJ13" i="18"/>
  <c r="AK13" i="18"/>
  <c r="AG20" i="18"/>
  <c r="AK20" i="18"/>
  <c r="W20" i="18"/>
  <c r="AJ20" i="18"/>
  <c r="AG4" i="18"/>
  <c r="W6" i="18"/>
  <c r="W4" i="18"/>
  <c r="AE4" i="18" s="1"/>
  <c r="AG6" i="18"/>
  <c r="W47" i="17"/>
  <c r="AI12" i="18"/>
  <c r="AE10" i="18"/>
  <c r="AG47" i="17"/>
  <c r="AM47" i="17" s="1"/>
  <c r="AK12" i="18"/>
  <c r="AG44" i="17"/>
  <c r="AG32" i="18"/>
  <c r="AM32" i="18" s="1"/>
  <c r="AK32" i="18"/>
  <c r="AJ32" i="18"/>
  <c r="AJ18" i="18"/>
  <c r="Y38" i="17"/>
  <c r="Y12" i="17"/>
  <c r="Y6" i="17"/>
  <c r="R18" i="18"/>
  <c r="AI18" i="18" s="1"/>
  <c r="S51" i="18"/>
  <c r="AE23" i="18"/>
  <c r="R33" i="18"/>
  <c r="AG33" i="18" s="1"/>
  <c r="AK41" i="18"/>
  <c r="AG14" i="18"/>
  <c r="R41" i="18"/>
  <c r="AI41" i="18" s="1"/>
  <c r="AG11" i="18"/>
  <c r="AM11" i="18" s="1"/>
  <c r="W14" i="18"/>
  <c r="AE14" i="18" s="1"/>
  <c r="AK11" i="18"/>
  <c r="AJ11" i="18"/>
  <c r="W11" i="18"/>
  <c r="AE11" i="18" s="1"/>
  <c r="Y8" i="17"/>
  <c r="W29" i="17"/>
  <c r="W6" i="17"/>
  <c r="AE6" i="17" s="1"/>
  <c r="AL6" i="17" s="1" a="1"/>
  <c r="AL6" i="17" s="1"/>
  <c r="Q51" i="18"/>
  <c r="AI10" i="17"/>
  <c r="AJ38" i="18"/>
  <c r="AK35" i="18"/>
  <c r="R35" i="18"/>
  <c r="AJ17" i="18"/>
  <c r="AK17" i="18"/>
  <c r="AJ29" i="18"/>
  <c r="AK29" i="18"/>
  <c r="AJ44" i="18"/>
  <c r="AK44" i="18"/>
  <c r="AJ19" i="18"/>
  <c r="R44" i="18"/>
  <c r="AG19" i="18"/>
  <c r="R22" i="18"/>
  <c r="AK22" i="18"/>
  <c r="AK16" i="18"/>
  <c r="R16" i="18"/>
  <c r="R36" i="18"/>
  <c r="AK36" i="18"/>
  <c r="AJ37" i="18"/>
  <c r="AK37" i="18"/>
  <c r="AK19" i="18"/>
  <c r="AK47" i="18"/>
  <c r="AJ47" i="18"/>
  <c r="R47" i="18"/>
  <c r="W19" i="18"/>
  <c r="AJ33" i="18"/>
  <c r="P26" i="18"/>
  <c r="AK3" i="18"/>
  <c r="AK45" i="18"/>
  <c r="AJ45" i="18"/>
  <c r="AK8" i="18"/>
  <c r="R8" i="18"/>
  <c r="P49" i="18"/>
  <c r="R37" i="18"/>
  <c r="W37" i="18" s="1"/>
  <c r="R38" i="18"/>
  <c r="AG38" i="18" s="1"/>
  <c r="AM38" i="18" s="1"/>
  <c r="R15" i="18"/>
  <c r="AK15" i="18"/>
  <c r="Y36" i="17"/>
  <c r="W16" i="17"/>
  <c r="Y46" i="17"/>
  <c r="J12" i="6"/>
  <c r="Y30" i="17"/>
  <c r="AI29" i="17"/>
  <c r="AI12" i="17"/>
  <c r="Y17" i="17"/>
  <c r="AI16" i="17"/>
  <c r="Y31" i="17"/>
  <c r="W12" i="17"/>
  <c r="AE12" i="17" s="1"/>
  <c r="AL12" i="17" s="1" a="1"/>
  <c r="AL12" i="17" s="1"/>
  <c r="AP12" i="17" s="1"/>
  <c r="W4" i="17"/>
  <c r="AI6" i="17"/>
  <c r="W20" i="17"/>
  <c r="AI20" i="17"/>
  <c r="AG41" i="17"/>
  <c r="AM41" i="17" s="1"/>
  <c r="AG20" i="17"/>
  <c r="AM20" i="17" s="1"/>
  <c r="AI41" i="17"/>
  <c r="AI35" i="17"/>
  <c r="AG35" i="17"/>
  <c r="AI33" i="17"/>
  <c r="AI4" i="17"/>
  <c r="AG7" i="17"/>
  <c r="AI7" i="17"/>
  <c r="Y10" i="17"/>
  <c r="AG4" i="17"/>
  <c r="AG19" i="17"/>
  <c r="AM19" i="17" s="1"/>
  <c r="W33" i="17"/>
  <c r="W28" i="17"/>
  <c r="Y42" i="17"/>
  <c r="AJ48" i="17"/>
  <c r="AI28" i="17"/>
  <c r="Y18" i="17"/>
  <c r="AG14" i="17"/>
  <c r="W19" i="17"/>
  <c r="AG28" i="17"/>
  <c r="AM28" i="17" s="1"/>
  <c r="W39" i="17"/>
  <c r="AI14" i="17"/>
  <c r="R49" i="17"/>
  <c r="AI39" i="17"/>
  <c r="AE35" i="17"/>
  <c r="AL35" i="17" s="1" a="1"/>
  <c r="AL35" i="17" s="1"/>
  <c r="Y35" i="17"/>
  <c r="W10" i="17"/>
  <c r="AE10" i="17" s="1"/>
  <c r="AL10" i="17" s="1" a="1"/>
  <c r="AL10" i="17" s="1"/>
  <c r="AM10" i="17" s="1"/>
  <c r="AJ25" i="17"/>
  <c r="AI31" i="17"/>
  <c r="W31" i="17"/>
  <c r="AE31" i="17" s="1"/>
  <c r="AL31" i="17" s="1" a="1"/>
  <c r="AL31" i="17" s="1"/>
  <c r="AI44" i="17"/>
  <c r="W44" i="17"/>
  <c r="AI43" i="17"/>
  <c r="W43" i="17"/>
  <c r="AG18" i="17"/>
  <c r="AM18" i="17" s="1"/>
  <c r="W18" i="17"/>
  <c r="AE18" i="17" s="1"/>
  <c r="AL18" i="17" s="1" a="1"/>
  <c r="AL18" i="17" s="1"/>
  <c r="AP18" i="17" s="1"/>
  <c r="AG11" i="17"/>
  <c r="AM11" i="17" s="1"/>
  <c r="AI11" i="17"/>
  <c r="AN20" i="15"/>
  <c r="AP11" i="19"/>
  <c r="AN11" i="19"/>
  <c r="AP23" i="5"/>
  <c r="AP46" i="1"/>
  <c r="AN46" i="1"/>
  <c r="AP7" i="1"/>
  <c r="AN7" i="1"/>
  <c r="AP17" i="16"/>
  <c r="AN17" i="16"/>
  <c r="AP44" i="19"/>
  <c r="AN44" i="19"/>
  <c r="AP16" i="19"/>
  <c r="AN16" i="19"/>
  <c r="AP8" i="5"/>
  <c r="AN8" i="5"/>
  <c r="AP14" i="19"/>
  <c r="AN14" i="19"/>
  <c r="AP17" i="15"/>
  <c r="AN17" i="15"/>
  <c r="AP17" i="5"/>
  <c r="AN17" i="5"/>
  <c r="AP14" i="5"/>
  <c r="AN14" i="5"/>
  <c r="AP16" i="1"/>
  <c r="AN16" i="1"/>
  <c r="AM16" i="1"/>
  <c r="AP15" i="1"/>
  <c r="AN15" i="1"/>
  <c r="AP47" i="16"/>
  <c r="AN47" i="16"/>
  <c r="AP11" i="16"/>
  <c r="AN11" i="16"/>
  <c r="AP24" i="19"/>
  <c r="AN24" i="19"/>
  <c r="AN6" i="5"/>
  <c r="AP5" i="1"/>
  <c r="AN5" i="1"/>
  <c r="AP36" i="16"/>
  <c r="AN36" i="16"/>
  <c r="AP29" i="16"/>
  <c r="AN29" i="16"/>
  <c r="I59" i="17"/>
  <c r="J59" i="17" s="1"/>
  <c r="J58" i="17"/>
  <c r="J60" i="17"/>
  <c r="U51" i="16"/>
  <c r="Y26" i="16"/>
  <c r="AP42" i="19"/>
  <c r="AN42" i="19"/>
  <c r="AP15" i="19"/>
  <c r="AN15" i="19"/>
  <c r="AP20" i="19"/>
  <c r="AN20" i="19"/>
  <c r="AN10" i="15"/>
  <c r="AP43" i="1"/>
  <c r="AN43" i="1"/>
  <c r="AP11" i="15"/>
  <c r="AN11" i="15"/>
  <c r="AP38" i="1"/>
  <c r="AN38" i="1"/>
  <c r="AP36" i="1"/>
  <c r="AN36" i="1"/>
  <c r="AP39" i="16"/>
  <c r="AN39" i="16"/>
  <c r="AP23" i="16"/>
  <c r="AN23" i="16"/>
  <c r="AP23" i="19"/>
  <c r="AN23" i="19"/>
  <c r="AP46" i="19"/>
  <c r="AN46" i="19"/>
  <c r="AP33" i="19"/>
  <c r="AN33" i="19"/>
  <c r="AP32" i="19"/>
  <c r="AN32" i="19"/>
  <c r="AP12" i="19"/>
  <c r="AN12" i="19"/>
  <c r="AP39" i="19"/>
  <c r="AN39" i="19"/>
  <c r="AP22" i="5"/>
  <c r="AN22" i="5"/>
  <c r="AP33" i="16"/>
  <c r="AN33" i="16"/>
  <c r="AP34" i="19"/>
  <c r="AN34" i="19"/>
  <c r="AN20" i="5"/>
  <c r="AP12" i="5"/>
  <c r="AN12" i="5"/>
  <c r="AP9" i="5"/>
  <c r="AN9" i="5"/>
  <c r="AP19" i="1"/>
  <c r="AN19" i="1"/>
  <c r="AP30" i="16"/>
  <c r="AN30" i="16"/>
  <c r="AP24" i="16"/>
  <c r="AN24" i="16"/>
  <c r="AP21" i="16"/>
  <c r="AN21" i="16"/>
  <c r="AP13" i="19"/>
  <c r="AN13" i="19"/>
  <c r="AP18" i="19"/>
  <c r="AN18" i="19"/>
  <c r="AP8" i="15"/>
  <c r="AN8" i="15"/>
  <c r="AP19" i="5"/>
  <c r="AN19" i="5"/>
  <c r="AP22" i="19"/>
  <c r="AN22" i="19"/>
  <c r="AP12" i="15"/>
  <c r="AN12" i="15"/>
  <c r="AP4" i="15"/>
  <c r="AN4" i="15"/>
  <c r="AP34" i="5"/>
  <c r="AN34" i="5"/>
  <c r="AN24" i="5"/>
  <c r="AP33" i="1"/>
  <c r="AN33" i="1"/>
  <c r="AP35" i="1"/>
  <c r="AN35" i="1"/>
  <c r="AP37" i="1"/>
  <c r="AN37" i="1"/>
  <c r="AP34" i="16"/>
  <c r="AN34" i="16"/>
  <c r="AP16" i="16"/>
  <c r="AN16" i="16"/>
  <c r="AP19" i="19"/>
  <c r="AN19" i="19"/>
  <c r="AP21" i="19"/>
  <c r="AN21" i="19"/>
  <c r="AP44" i="1"/>
  <c r="AN44" i="1"/>
  <c r="AP17" i="19"/>
  <c r="AN17" i="19"/>
  <c r="AP44" i="16"/>
  <c r="AN44" i="16"/>
  <c r="AP13" i="16"/>
  <c r="AN13" i="16"/>
  <c r="AP19" i="16"/>
  <c r="AN19" i="16"/>
  <c r="AP10" i="16"/>
  <c r="AN10" i="16"/>
  <c r="AP29" i="19"/>
  <c r="AN29" i="19"/>
  <c r="AI30" i="1"/>
  <c r="W30" i="1"/>
  <c r="AE30" i="1" s="1"/>
  <c r="O30" i="1"/>
  <c r="AG30" i="1"/>
  <c r="AM30" i="1" s="1"/>
  <c r="AG46" i="17"/>
  <c r="AM46" i="17" s="1"/>
  <c r="W46" i="17"/>
  <c r="AE46" i="17" s="1"/>
  <c r="AL46" i="17" s="1" a="1"/>
  <c r="AL46" i="17" s="1"/>
  <c r="AI46" i="17"/>
  <c r="AG36" i="17"/>
  <c r="AM36" i="17" s="1"/>
  <c r="W36" i="17"/>
  <c r="AE36" i="17" s="1"/>
  <c r="AL36" i="17" s="1" a="1"/>
  <c r="AL36" i="17" s="1"/>
  <c r="AI36" i="17"/>
  <c r="X51" i="16"/>
  <c r="Y51" i="16" s="1"/>
  <c r="M9" i="6"/>
  <c r="Y17" i="18"/>
  <c r="Y43" i="19"/>
  <c r="AG44" i="5"/>
  <c r="AM44" i="5" s="1"/>
  <c r="O44" i="5"/>
  <c r="AI44" i="5"/>
  <c r="W44" i="5"/>
  <c r="AE44" i="5" s="1"/>
  <c r="AI11" i="5"/>
  <c r="W11" i="5"/>
  <c r="AE11" i="5" s="1"/>
  <c r="O11" i="5"/>
  <c r="AG11" i="5"/>
  <c r="AM11" i="5" s="1"/>
  <c r="K51" i="5"/>
  <c r="E5" i="6"/>
  <c r="E23" i="6" s="1"/>
  <c r="AM12" i="5"/>
  <c r="W23" i="1"/>
  <c r="AE23" i="1" s="1"/>
  <c r="O23" i="1"/>
  <c r="AG23" i="1"/>
  <c r="AM23" i="1" s="1"/>
  <c r="AI23" i="1"/>
  <c r="AI37" i="16"/>
  <c r="O37" i="16"/>
  <c r="W37" i="16"/>
  <c r="AE37" i="16" s="1"/>
  <c r="AG37" i="16"/>
  <c r="U26" i="1"/>
  <c r="Y3" i="1"/>
  <c r="V3" i="1"/>
  <c r="AE3" i="1"/>
  <c r="C4" i="8" s="1"/>
  <c r="AG38" i="16"/>
  <c r="O38" i="16"/>
  <c r="W38" i="16"/>
  <c r="AE38" i="16" s="1"/>
  <c r="AI38" i="16"/>
  <c r="W37" i="17"/>
  <c r="AG37" i="17"/>
  <c r="AI37" i="17"/>
  <c r="Y49" i="16"/>
  <c r="V40" i="16"/>
  <c r="V21" i="16"/>
  <c r="V6" i="16"/>
  <c r="V13" i="16"/>
  <c r="V7" i="16"/>
  <c r="AI23" i="17"/>
  <c r="W23" i="17"/>
  <c r="AG23" i="17"/>
  <c r="AM23" i="17" s="1"/>
  <c r="Q51" i="16"/>
  <c r="G9" i="6"/>
  <c r="U26" i="17"/>
  <c r="Y3" i="17"/>
  <c r="K51" i="16"/>
  <c r="E9" i="6"/>
  <c r="AN7" i="16"/>
  <c r="U49" i="19"/>
  <c r="AE28" i="19"/>
  <c r="Y28" i="19"/>
  <c r="Y38" i="19"/>
  <c r="AI13" i="18"/>
  <c r="W13" i="18"/>
  <c r="AG13" i="18"/>
  <c r="AN40" i="19"/>
  <c r="AG46" i="18"/>
  <c r="W46" i="18"/>
  <c r="AI46" i="18"/>
  <c r="AI31" i="19"/>
  <c r="W31" i="19"/>
  <c r="AE31" i="19" s="1"/>
  <c r="AL31" i="19" s="1" a="1"/>
  <c r="AL31" i="19" s="1"/>
  <c r="AG31" i="19"/>
  <c r="AM31" i="19" s="1"/>
  <c r="AI38" i="19"/>
  <c r="W38" i="19"/>
  <c r="AE38" i="19" s="1"/>
  <c r="AL38" i="19" s="1" a="1"/>
  <c r="AL38" i="19" s="1"/>
  <c r="AG38" i="19"/>
  <c r="AM38" i="19" s="1"/>
  <c r="AI4" i="19"/>
  <c r="W4" i="19"/>
  <c r="AE4" i="19" s="1"/>
  <c r="AL4" i="19" s="1" a="1"/>
  <c r="AL4" i="19" s="1"/>
  <c r="AG4" i="19"/>
  <c r="AM4" i="19" s="1"/>
  <c r="AG42" i="18"/>
  <c r="AI42" i="18"/>
  <c r="W42" i="18"/>
  <c r="AE42" i="18" s="1"/>
  <c r="AI6" i="19"/>
  <c r="W6" i="19"/>
  <c r="AE6" i="19" s="1"/>
  <c r="AL6" i="19" s="1" a="1"/>
  <c r="AL6" i="19" s="1"/>
  <c r="AG6" i="19"/>
  <c r="M4" i="7"/>
  <c r="G4" i="7" s="1"/>
  <c r="L5" i="7"/>
  <c r="M5" i="7" s="1"/>
  <c r="E33" i="10"/>
  <c r="AM15" i="19"/>
  <c r="AI43" i="15"/>
  <c r="W43" i="15"/>
  <c r="AE43" i="15" s="1"/>
  <c r="O43" i="15"/>
  <c r="AG43" i="15"/>
  <c r="AM43" i="15" s="1"/>
  <c r="Y19" i="15"/>
  <c r="AE19" i="15"/>
  <c r="AI40" i="16"/>
  <c r="W40" i="16"/>
  <c r="AE40" i="16" s="1"/>
  <c r="O40" i="16"/>
  <c r="AG40" i="16"/>
  <c r="AM40" i="16" s="1"/>
  <c r="AP35" i="16"/>
  <c r="AN35" i="16"/>
  <c r="Q51" i="15"/>
  <c r="G3" i="6"/>
  <c r="AI29" i="5"/>
  <c r="O29" i="5"/>
  <c r="W29" i="5"/>
  <c r="AG29" i="5"/>
  <c r="AM29" i="5" s="1"/>
  <c r="Y39" i="5"/>
  <c r="AG30" i="5"/>
  <c r="AM30" i="5" s="1"/>
  <c r="O30" i="5"/>
  <c r="AI30" i="5"/>
  <c r="W30" i="5"/>
  <c r="AE30" i="5" s="1"/>
  <c r="AP21" i="5"/>
  <c r="AN21" i="5"/>
  <c r="S51" i="5"/>
  <c r="H5" i="6"/>
  <c r="Y26" i="5"/>
  <c r="AI39" i="15"/>
  <c r="W39" i="15"/>
  <c r="AE39" i="15" s="1"/>
  <c r="O39" i="15"/>
  <c r="AG39" i="15"/>
  <c r="AM39" i="15" s="1"/>
  <c r="AG44" i="15"/>
  <c r="AM44" i="15" s="1"/>
  <c r="AI44" i="15"/>
  <c r="W44" i="15"/>
  <c r="AE44" i="15" s="1"/>
  <c r="O44" i="15"/>
  <c r="AG28" i="15"/>
  <c r="R49" i="15"/>
  <c r="AI28" i="15"/>
  <c r="O28" i="15"/>
  <c r="W28" i="15"/>
  <c r="Y21" i="15"/>
  <c r="AP5" i="15"/>
  <c r="AN5" i="15"/>
  <c r="W35" i="5"/>
  <c r="AE35" i="5" s="1"/>
  <c r="C39" i="7" s="1"/>
  <c r="O35" i="5"/>
  <c r="AI35" i="5"/>
  <c r="AG35" i="5"/>
  <c r="AM35" i="5" s="1"/>
  <c r="AL35" i="5" a="1"/>
  <c r="AL35" i="5" s="1"/>
  <c r="Y29" i="5"/>
  <c r="AE29" i="5"/>
  <c r="Y31" i="5"/>
  <c r="AE10" i="5"/>
  <c r="Y10" i="5"/>
  <c r="AI45" i="1"/>
  <c r="W45" i="1"/>
  <c r="AE45" i="1" s="1"/>
  <c r="C49" i="8" s="1"/>
  <c r="O45" i="1"/>
  <c r="AG45" i="1"/>
  <c r="AL45" i="1" a="1"/>
  <c r="AL45" i="1" s="1"/>
  <c r="AG17" i="1"/>
  <c r="AM17" i="1" s="1"/>
  <c r="O17" i="1"/>
  <c r="W17" i="1"/>
  <c r="AE17" i="1" s="1"/>
  <c r="AI17" i="1"/>
  <c r="AG6" i="1"/>
  <c r="AI6" i="1"/>
  <c r="O6" i="1"/>
  <c r="W6" i="1"/>
  <c r="AE6" i="1" s="1"/>
  <c r="O42" i="16"/>
  <c r="AI42" i="16"/>
  <c r="W42" i="16"/>
  <c r="AE42" i="16" s="1"/>
  <c r="AG42" i="16"/>
  <c r="AM42" i="16" s="1"/>
  <c r="I51" i="1"/>
  <c r="AG45" i="16"/>
  <c r="O45" i="16"/>
  <c r="AI45" i="16"/>
  <c r="W45" i="16"/>
  <c r="AE45" i="16" s="1"/>
  <c r="S51" i="1"/>
  <c r="AI22" i="16"/>
  <c r="O22" i="16"/>
  <c r="AG22" i="16"/>
  <c r="AM22" i="16" s="1"/>
  <c r="W22" i="16"/>
  <c r="AE22" i="16" s="1"/>
  <c r="Y20" i="17"/>
  <c r="AJ48" i="16"/>
  <c r="AG14" i="16"/>
  <c r="AI14" i="16"/>
  <c r="O14" i="16"/>
  <c r="W14" i="16"/>
  <c r="AE14" i="16" s="1"/>
  <c r="AG22" i="17"/>
  <c r="AM22" i="17" s="1"/>
  <c r="AI22" i="17"/>
  <c r="W22" i="17"/>
  <c r="V17" i="16"/>
  <c r="P51" i="16"/>
  <c r="AA26" i="16"/>
  <c r="F9" i="6"/>
  <c r="AG5" i="17"/>
  <c r="AM5" i="17" s="1"/>
  <c r="AI5" i="17"/>
  <c r="W5" i="17"/>
  <c r="S51" i="17"/>
  <c r="H11" i="6"/>
  <c r="P51" i="17"/>
  <c r="AA26" i="17" s="1"/>
  <c r="F11" i="6"/>
  <c r="Y47" i="17"/>
  <c r="AK48" i="17"/>
  <c r="Y37" i="18"/>
  <c r="Y29" i="18"/>
  <c r="AI21" i="18"/>
  <c r="W21" i="18"/>
  <c r="AE21" i="18" s="1"/>
  <c r="AG21" i="18"/>
  <c r="AM21" i="18" s="1"/>
  <c r="Y35" i="19"/>
  <c r="AE35" i="19"/>
  <c r="AL35" i="19" s="1" a="1"/>
  <c r="AL35" i="19" s="1"/>
  <c r="AI40" i="17"/>
  <c r="W40" i="17"/>
  <c r="AG40" i="17"/>
  <c r="AM40" i="17" s="1"/>
  <c r="AN10" i="19"/>
  <c r="AI8" i="19"/>
  <c r="W8" i="19"/>
  <c r="AE8" i="19" s="1"/>
  <c r="AL8" i="19" s="1" a="1"/>
  <c r="AL8" i="19" s="1"/>
  <c r="AG8" i="19"/>
  <c r="AM8" i="19" s="1"/>
  <c r="AM12" i="19"/>
  <c r="AE36" i="19"/>
  <c r="AL36" i="19" s="1" a="1"/>
  <c r="AL36" i="19" s="1"/>
  <c r="AG36" i="5"/>
  <c r="AM36" i="5" s="1"/>
  <c r="O36" i="5"/>
  <c r="W36" i="5"/>
  <c r="AE36" i="5" s="1"/>
  <c r="AI36" i="5"/>
  <c r="Q51" i="5"/>
  <c r="G5" i="6"/>
  <c r="X51" i="5"/>
  <c r="M5" i="6"/>
  <c r="Z51" i="1"/>
  <c r="L7" i="6"/>
  <c r="W31" i="16"/>
  <c r="AE31" i="16" s="1"/>
  <c r="O31" i="16"/>
  <c r="AG31" i="16"/>
  <c r="AI31" i="16"/>
  <c r="AI48" i="16" s="1"/>
  <c r="AI42" i="17"/>
  <c r="W42" i="17"/>
  <c r="AE42" i="17" s="1"/>
  <c r="AL42" i="17" s="1" a="1"/>
  <c r="AL42" i="17" s="1"/>
  <c r="AG42" i="17"/>
  <c r="AM42" i="17" s="1"/>
  <c r="AI41" i="15"/>
  <c r="W41" i="15"/>
  <c r="AE41" i="15" s="1"/>
  <c r="O41" i="15"/>
  <c r="AG41" i="15"/>
  <c r="AM41" i="15" s="1"/>
  <c r="AG30" i="15"/>
  <c r="AM30" i="15" s="1"/>
  <c r="AI30" i="15"/>
  <c r="W30" i="15"/>
  <c r="AE30" i="15" s="1"/>
  <c r="O30" i="15"/>
  <c r="AL45" i="5" a="1"/>
  <c r="AL45" i="5" s="1"/>
  <c r="W45" i="5"/>
  <c r="AE45" i="5" s="1"/>
  <c r="C31" i="7" s="1"/>
  <c r="AG45" i="5"/>
  <c r="AI45" i="5"/>
  <c r="O45" i="5"/>
  <c r="AI37" i="15"/>
  <c r="W37" i="15"/>
  <c r="AE37" i="15" s="1"/>
  <c r="O37" i="15"/>
  <c r="AG37" i="15"/>
  <c r="AM37" i="15" s="1"/>
  <c r="W13" i="15"/>
  <c r="AE13" i="15" s="1"/>
  <c r="O13" i="15"/>
  <c r="AG13" i="15"/>
  <c r="AM13" i="15" s="1"/>
  <c r="AI13" i="15"/>
  <c r="AK48" i="5"/>
  <c r="AK48" i="1"/>
  <c r="AN7" i="5"/>
  <c r="AM15" i="5"/>
  <c r="AI11" i="1"/>
  <c r="W11" i="1"/>
  <c r="O11" i="1"/>
  <c r="AG11" i="1"/>
  <c r="AM11" i="1" s="1"/>
  <c r="X51" i="1"/>
  <c r="M7" i="6"/>
  <c r="W10" i="1"/>
  <c r="AE10" i="1" s="1"/>
  <c r="C22" i="8" s="1"/>
  <c r="O10" i="1"/>
  <c r="AG10" i="1"/>
  <c r="AM10" i="1" s="1"/>
  <c r="AI10" i="1"/>
  <c r="AA49" i="16"/>
  <c r="Q10" i="6" s="1"/>
  <c r="F10" i="6"/>
  <c r="AG13" i="17"/>
  <c r="AI13" i="17"/>
  <c r="W13" i="17"/>
  <c r="AM19" i="16"/>
  <c r="AG38" i="17"/>
  <c r="AM38" i="17" s="1"/>
  <c r="AI38" i="17"/>
  <c r="W38" i="17"/>
  <c r="AE38" i="17" s="1"/>
  <c r="AL38" i="17" s="1" a="1"/>
  <c r="AL38" i="17" s="1"/>
  <c r="AI12" i="16"/>
  <c r="W12" i="16"/>
  <c r="AE12" i="16" s="1"/>
  <c r="O12" i="16"/>
  <c r="AG12" i="16"/>
  <c r="AK25" i="17"/>
  <c r="AG17" i="17"/>
  <c r="AM17" i="17" s="1"/>
  <c r="AI17" i="17"/>
  <c r="W17" i="17"/>
  <c r="AE17" i="17" s="1"/>
  <c r="AL17" i="17" s="1" a="1"/>
  <c r="AL17" i="17" s="1"/>
  <c r="Y23" i="17"/>
  <c r="AI29" i="18"/>
  <c r="W29" i="18"/>
  <c r="AG29" i="18"/>
  <c r="AM29" i="18" s="1"/>
  <c r="AI9" i="18"/>
  <c r="W9" i="18"/>
  <c r="AG9" i="18"/>
  <c r="O15" i="16"/>
  <c r="AI15" i="16"/>
  <c r="W15" i="16"/>
  <c r="AE15" i="16" s="1"/>
  <c r="C22" i="9" s="1"/>
  <c r="AG15" i="16"/>
  <c r="AM15" i="16" s="1"/>
  <c r="AL15" i="16" a="1"/>
  <c r="AL15" i="16" s="1"/>
  <c r="V4" i="16"/>
  <c r="AK48" i="19"/>
  <c r="AP30" i="19"/>
  <c r="AN30" i="19"/>
  <c r="X51" i="19"/>
  <c r="I51" i="19"/>
  <c r="L32" i="10"/>
  <c r="AG46" i="15"/>
  <c r="AM46" i="15" s="1"/>
  <c r="AI46" i="15"/>
  <c r="W46" i="15"/>
  <c r="AE46" i="15" s="1"/>
  <c r="O46" i="15"/>
  <c r="W41" i="5"/>
  <c r="AE41" i="5" s="1"/>
  <c r="AG41" i="5"/>
  <c r="AM41" i="5" s="1"/>
  <c r="AI41" i="5"/>
  <c r="O41" i="5"/>
  <c r="Y11" i="1"/>
  <c r="AE11" i="1"/>
  <c r="Y24" i="17"/>
  <c r="AJ25" i="19"/>
  <c r="AG42" i="15"/>
  <c r="AM42" i="15" s="1"/>
  <c r="AI42" i="15"/>
  <c r="W42" i="15"/>
  <c r="AE42" i="15" s="1"/>
  <c r="O42" i="15"/>
  <c r="X51" i="15"/>
  <c r="M3" i="6"/>
  <c r="W24" i="15"/>
  <c r="AE24" i="15" s="1"/>
  <c r="C21" i="11" s="1"/>
  <c r="O24" i="15"/>
  <c r="AL24" i="15" a="1"/>
  <c r="AL24" i="15" s="1"/>
  <c r="AI24" i="15"/>
  <c r="AG24" i="15"/>
  <c r="AM24" i="15" s="1"/>
  <c r="AP18" i="5"/>
  <c r="AN18" i="5"/>
  <c r="AM28" i="5"/>
  <c r="R26" i="5"/>
  <c r="AG3" i="5"/>
  <c r="O3" i="5"/>
  <c r="W3" i="5"/>
  <c r="AI3" i="5"/>
  <c r="AI25" i="5" s="1"/>
  <c r="AI35" i="15"/>
  <c r="W35" i="15"/>
  <c r="AE35" i="15" s="1"/>
  <c r="C37" i="11" s="1"/>
  <c r="O35" i="15"/>
  <c r="AG35" i="15"/>
  <c r="AM35" i="15" s="1"/>
  <c r="AL35" i="15" a="1"/>
  <c r="AL35" i="15" s="1"/>
  <c r="AG40" i="15"/>
  <c r="AM40" i="15" s="1"/>
  <c r="AI40" i="15"/>
  <c r="W40" i="15"/>
  <c r="AE40" i="15" s="1"/>
  <c r="O40" i="15"/>
  <c r="AM6" i="15"/>
  <c r="Z51" i="15"/>
  <c r="L3" i="6"/>
  <c r="P51" i="15"/>
  <c r="F3" i="6"/>
  <c r="K51" i="15"/>
  <c r="AM5" i="15"/>
  <c r="F6" i="6"/>
  <c r="T51" i="5"/>
  <c r="I5" i="6"/>
  <c r="W33" i="5"/>
  <c r="AE33" i="5" s="1"/>
  <c r="O33" i="5"/>
  <c r="AI33" i="5"/>
  <c r="AG33" i="5"/>
  <c r="AM33" i="5" s="1"/>
  <c r="R49" i="5"/>
  <c r="AK25" i="5"/>
  <c r="AM14" i="5"/>
  <c r="AM38" i="1"/>
  <c r="Q51" i="1"/>
  <c r="G7" i="6"/>
  <c r="U49" i="1"/>
  <c r="V11" i="1" s="1"/>
  <c r="Y28" i="1"/>
  <c r="V28" i="1"/>
  <c r="V18" i="1"/>
  <c r="Y18" i="1"/>
  <c r="AE18" i="1"/>
  <c r="P51" i="1"/>
  <c r="AA49" i="1" s="1"/>
  <c r="Q8" i="6" s="1"/>
  <c r="AE8" i="6" s="1"/>
  <c r="AA26" i="1"/>
  <c r="F7" i="6"/>
  <c r="AN41" i="1"/>
  <c r="AE21" i="1"/>
  <c r="AG46" i="16"/>
  <c r="AM46" i="16" s="1"/>
  <c r="W46" i="16"/>
  <c r="AE46" i="16" s="1"/>
  <c r="C47" i="9" s="1"/>
  <c r="AI46" i="16"/>
  <c r="O46" i="16"/>
  <c r="V13" i="1"/>
  <c r="Y13" i="1"/>
  <c r="AE13" i="1"/>
  <c r="V45" i="16"/>
  <c r="AK25" i="16"/>
  <c r="AG32" i="16"/>
  <c r="AM32" i="16" s="1"/>
  <c r="O32" i="16"/>
  <c r="W32" i="16"/>
  <c r="AE32" i="16" s="1"/>
  <c r="AI32" i="16"/>
  <c r="AM33" i="16"/>
  <c r="AE8" i="16"/>
  <c r="Y8" i="16"/>
  <c r="V8" i="16"/>
  <c r="S51" i="16"/>
  <c r="H9" i="6"/>
  <c r="AG20" i="16"/>
  <c r="AM20" i="16" s="1"/>
  <c r="AI20" i="16"/>
  <c r="W20" i="16"/>
  <c r="AE20" i="16" s="1"/>
  <c r="O20" i="16"/>
  <c r="V22" i="16"/>
  <c r="V16" i="16"/>
  <c r="Y13" i="17"/>
  <c r="AI32" i="17"/>
  <c r="AG32" i="17"/>
  <c r="AM32" i="17" s="1"/>
  <c r="W32" i="17"/>
  <c r="AJ25" i="16"/>
  <c r="V18" i="16"/>
  <c r="AM7" i="16"/>
  <c r="W15" i="17"/>
  <c r="AG15" i="17"/>
  <c r="AM15" i="17" s="1"/>
  <c r="AI15" i="17"/>
  <c r="X51" i="17"/>
  <c r="M11" i="6"/>
  <c r="Y9" i="18"/>
  <c r="AI45" i="19"/>
  <c r="W45" i="19"/>
  <c r="AE45" i="19" s="1"/>
  <c r="AL45" i="19" s="1" a="1"/>
  <c r="AL45" i="19" s="1"/>
  <c r="AG45" i="19"/>
  <c r="AJ48" i="19"/>
  <c r="V10" i="16"/>
  <c r="P51" i="19"/>
  <c r="AA26" i="19"/>
  <c r="Q13" i="6" s="1"/>
  <c r="AE13" i="6" s="1"/>
  <c r="AM14" i="19"/>
  <c r="L33" i="8"/>
  <c r="M33" i="8" s="1"/>
  <c r="G30" i="8" s="1"/>
  <c r="K26" i="12"/>
  <c r="L4" i="12"/>
  <c r="M4" i="12" s="1"/>
  <c r="G4" i="12" s="1"/>
  <c r="K50" i="7"/>
  <c r="L30" i="7"/>
  <c r="M30" i="7" s="1"/>
  <c r="AG32" i="15"/>
  <c r="AM32" i="15" s="1"/>
  <c r="AI32" i="15"/>
  <c r="O32" i="15"/>
  <c r="W32" i="15"/>
  <c r="AE32" i="15" s="1"/>
  <c r="W15" i="15"/>
  <c r="AE15" i="15" s="1"/>
  <c r="O15" i="15"/>
  <c r="AG15" i="15"/>
  <c r="AM15" i="15" s="1"/>
  <c r="AI15" i="15"/>
  <c r="AG43" i="5"/>
  <c r="AM43" i="5" s="1"/>
  <c r="W43" i="5"/>
  <c r="AE43" i="5" s="1"/>
  <c r="AI43" i="5"/>
  <c r="O43" i="5"/>
  <c r="AG24" i="17"/>
  <c r="AM24" i="17" s="1"/>
  <c r="AI24" i="17"/>
  <c r="W24" i="17"/>
  <c r="AI17" i="18"/>
  <c r="W17" i="18"/>
  <c r="AG17" i="18"/>
  <c r="AM17" i="18" s="1"/>
  <c r="U26" i="18"/>
  <c r="AM4" i="15"/>
  <c r="AI33" i="15"/>
  <c r="AG33" i="15"/>
  <c r="AM33" i="15" s="1"/>
  <c r="O33" i="15"/>
  <c r="W33" i="15"/>
  <c r="AE33" i="15" s="1"/>
  <c r="C36" i="11" s="1"/>
  <c r="AL33" i="15" a="1"/>
  <c r="AL33" i="15" s="1"/>
  <c r="AG38" i="15"/>
  <c r="AM38" i="15" s="1"/>
  <c r="AI38" i="15"/>
  <c r="W38" i="15"/>
  <c r="AE38" i="15" s="1"/>
  <c r="O38" i="15"/>
  <c r="Y3" i="15"/>
  <c r="U26" i="15"/>
  <c r="AI39" i="5"/>
  <c r="AI48" i="5" s="1"/>
  <c r="O39" i="5"/>
  <c r="W39" i="5"/>
  <c r="AE39" i="5" s="1"/>
  <c r="AG39" i="5"/>
  <c r="AM39" i="5" s="1"/>
  <c r="R26" i="15"/>
  <c r="AI3" i="15"/>
  <c r="W3" i="15"/>
  <c r="W26" i="15" s="1"/>
  <c r="O3" i="15"/>
  <c r="AG3" i="15"/>
  <c r="W21" i="15"/>
  <c r="AE21" i="15" s="1"/>
  <c r="O21" i="15"/>
  <c r="AI21" i="15"/>
  <c r="AG21" i="15"/>
  <c r="AM21" i="15" s="1"/>
  <c r="AG42" i="5"/>
  <c r="AI42" i="5"/>
  <c r="W42" i="5"/>
  <c r="AE42" i="5" s="1"/>
  <c r="O42" i="5"/>
  <c r="I51" i="5"/>
  <c r="Z51" i="5"/>
  <c r="L5" i="6"/>
  <c r="P51" i="5"/>
  <c r="AA26" i="5" s="1"/>
  <c r="F5" i="6"/>
  <c r="R49" i="1"/>
  <c r="AI28" i="1"/>
  <c r="W28" i="1"/>
  <c r="O28" i="1"/>
  <c r="AG28" i="1"/>
  <c r="AG42" i="1"/>
  <c r="AM42" i="1" s="1"/>
  <c r="W42" i="1"/>
  <c r="AE42" i="1" s="1"/>
  <c r="AI42" i="1"/>
  <c r="O42" i="1"/>
  <c r="AG29" i="1"/>
  <c r="AM29" i="1" s="1"/>
  <c r="AI29" i="1"/>
  <c r="W29" i="1"/>
  <c r="AE29" i="1" s="1"/>
  <c r="C33" i="8" s="1"/>
  <c r="O29" i="1"/>
  <c r="AI39" i="1"/>
  <c r="W39" i="1"/>
  <c r="AE39" i="1" s="1"/>
  <c r="O39" i="1"/>
  <c r="AG39" i="1"/>
  <c r="AM39" i="1" s="1"/>
  <c r="V43" i="16"/>
  <c r="W9" i="1"/>
  <c r="AE9" i="1" s="1"/>
  <c r="O9" i="1"/>
  <c r="AI9" i="1"/>
  <c r="AG9" i="1"/>
  <c r="AM9" i="1" s="1"/>
  <c r="J58" i="16"/>
  <c r="V39" i="16"/>
  <c r="V36" i="16"/>
  <c r="V32" i="16"/>
  <c r="V41" i="16"/>
  <c r="AM13" i="16"/>
  <c r="AD49" i="16"/>
  <c r="AI8" i="17"/>
  <c r="W8" i="17"/>
  <c r="AE8" i="17" s="1"/>
  <c r="AL8" i="17" s="1" a="1"/>
  <c r="AL8" i="17" s="1"/>
  <c r="AG8" i="17"/>
  <c r="V9" i="16"/>
  <c r="Z51" i="16"/>
  <c r="L9" i="6"/>
  <c r="T51" i="17"/>
  <c r="I11" i="6"/>
  <c r="AG21" i="17"/>
  <c r="AM21" i="17" s="1"/>
  <c r="AI21" i="17"/>
  <c r="W21" i="17"/>
  <c r="J58" i="18"/>
  <c r="U49" i="18"/>
  <c r="Y28" i="18"/>
  <c r="AE4" i="16"/>
  <c r="AI37" i="19"/>
  <c r="W37" i="19"/>
  <c r="AE37" i="19" s="1"/>
  <c r="AL37" i="19" s="1" a="1"/>
  <c r="AL37" i="19" s="1"/>
  <c r="AG37" i="19"/>
  <c r="AM37" i="19" s="1"/>
  <c r="AI43" i="18"/>
  <c r="W43" i="18"/>
  <c r="AG43" i="18"/>
  <c r="AM43" i="18" s="1"/>
  <c r="AM42" i="19"/>
  <c r="U49" i="17"/>
  <c r="V3" i="17" s="1"/>
  <c r="Y9" i="19"/>
  <c r="AE9" i="19"/>
  <c r="AL9" i="19" s="1" a="1"/>
  <c r="AL9" i="19" s="1"/>
  <c r="L6" i="7"/>
  <c r="AM16" i="19"/>
  <c r="K26" i="8"/>
  <c r="L4" i="8"/>
  <c r="M4" i="8" s="1"/>
  <c r="G4" i="8" s="1"/>
  <c r="AE18" i="15"/>
  <c r="Y18" i="15"/>
  <c r="V18" i="15"/>
  <c r="AM44" i="1"/>
  <c r="C51" i="1"/>
  <c r="AP28" i="16"/>
  <c r="AI5" i="19"/>
  <c r="W5" i="19"/>
  <c r="AE5" i="19" s="1"/>
  <c r="AL5" i="19" s="1" a="1"/>
  <c r="AL5" i="19" s="1"/>
  <c r="AG5" i="19"/>
  <c r="AI47" i="15"/>
  <c r="W47" i="15"/>
  <c r="AE47" i="15" s="1"/>
  <c r="O47" i="15"/>
  <c r="AG47" i="15"/>
  <c r="AM47" i="15" s="1"/>
  <c r="AG36" i="15"/>
  <c r="AM36" i="15" s="1"/>
  <c r="AI36" i="15"/>
  <c r="O36" i="15"/>
  <c r="W36" i="15"/>
  <c r="AE36" i="15" s="1"/>
  <c r="W22" i="15"/>
  <c r="AE22" i="15" s="1"/>
  <c r="C19" i="11" s="1"/>
  <c r="O22" i="15"/>
  <c r="AI22" i="15"/>
  <c r="AG22" i="15"/>
  <c r="AM22" i="15" s="1"/>
  <c r="AI47" i="5"/>
  <c r="O47" i="5"/>
  <c r="W47" i="5"/>
  <c r="AE47" i="5" s="1"/>
  <c r="C47" i="7" s="1"/>
  <c r="AG47" i="5"/>
  <c r="AM47" i="5" s="1"/>
  <c r="U49" i="15"/>
  <c r="V19" i="15" s="1"/>
  <c r="AD49" i="15"/>
  <c r="Y28" i="15"/>
  <c r="W31" i="5"/>
  <c r="W49" i="5" s="1"/>
  <c r="K6" i="6" s="1"/>
  <c r="O31" i="5"/>
  <c r="AI31" i="5"/>
  <c r="AG31" i="5"/>
  <c r="AM31" i="5" s="1"/>
  <c r="W37" i="5"/>
  <c r="AE37" i="5" s="1"/>
  <c r="O37" i="5"/>
  <c r="AG37" i="5"/>
  <c r="AM37" i="5" s="1"/>
  <c r="AI37" i="5"/>
  <c r="AE16" i="5"/>
  <c r="AE4" i="5"/>
  <c r="Y4" i="5"/>
  <c r="AE34" i="1"/>
  <c r="V34" i="1"/>
  <c r="Y34" i="1"/>
  <c r="AM7" i="5"/>
  <c r="AM6" i="5"/>
  <c r="AM9" i="5"/>
  <c r="AK25" i="1"/>
  <c r="AG3" i="1"/>
  <c r="O43" i="16"/>
  <c r="W43" i="16"/>
  <c r="AE43" i="16" s="1"/>
  <c r="AI43" i="16"/>
  <c r="AG43" i="16"/>
  <c r="AM43" i="16" s="1"/>
  <c r="AL4" i="1" a="1"/>
  <c r="AL4" i="1" s="1"/>
  <c r="O4" i="1"/>
  <c r="W4" i="1"/>
  <c r="AE4" i="1" s="1"/>
  <c r="C25" i="8" s="1"/>
  <c r="AI4" i="1"/>
  <c r="AI25" i="1" s="1"/>
  <c r="AG4" i="1"/>
  <c r="R49" i="16"/>
  <c r="AM44" i="16"/>
  <c r="AG18" i="16"/>
  <c r="AM18" i="16" s="1"/>
  <c r="AI18" i="16"/>
  <c r="W18" i="16"/>
  <c r="AE18" i="16" s="1"/>
  <c r="O18" i="16"/>
  <c r="AG3" i="17"/>
  <c r="R26" i="17"/>
  <c r="AI3" i="17"/>
  <c r="W3" i="17"/>
  <c r="AE3" i="16"/>
  <c r="C4" i="9" s="1"/>
  <c r="Y5" i="16"/>
  <c r="AD26" i="16"/>
  <c r="AD51" i="16" s="1"/>
  <c r="V5" i="16"/>
  <c r="AI47" i="19"/>
  <c r="W47" i="19"/>
  <c r="AE47" i="19" s="1"/>
  <c r="AL47" i="19" s="1" a="1"/>
  <c r="AL47" i="19" s="1"/>
  <c r="AG47" i="19"/>
  <c r="AM47" i="19" s="1"/>
  <c r="AI41" i="19"/>
  <c r="W41" i="19"/>
  <c r="AE41" i="19" s="1"/>
  <c r="AL41" i="19" s="1" a="1"/>
  <c r="AL41" i="19" s="1"/>
  <c r="AG41" i="19"/>
  <c r="AM41" i="19" s="1"/>
  <c r="AA49" i="19"/>
  <c r="Q14" i="6" s="1"/>
  <c r="AM13" i="19"/>
  <c r="AI5" i="18"/>
  <c r="W5" i="18"/>
  <c r="AE5" i="18" s="1"/>
  <c r="AG5" i="18"/>
  <c r="AG9" i="19"/>
  <c r="U26" i="19"/>
  <c r="AI47" i="1"/>
  <c r="O47" i="1"/>
  <c r="W47" i="1"/>
  <c r="AE47" i="1" s="1"/>
  <c r="AG47" i="1"/>
  <c r="AM47" i="1" s="1"/>
  <c r="AG22" i="1"/>
  <c r="AM22" i="1" s="1"/>
  <c r="O22" i="1"/>
  <c r="W22" i="1"/>
  <c r="AE22" i="1" s="1"/>
  <c r="C19" i="8" s="1"/>
  <c r="AI22" i="1"/>
  <c r="AI31" i="15"/>
  <c r="AG31" i="15"/>
  <c r="AM31" i="15" s="1"/>
  <c r="O31" i="15"/>
  <c r="W31" i="15"/>
  <c r="AE31" i="15" s="1"/>
  <c r="AI45" i="15"/>
  <c r="W45" i="15"/>
  <c r="AE45" i="15" s="1"/>
  <c r="C49" i="11" s="1"/>
  <c r="O45" i="15"/>
  <c r="AG45" i="15"/>
  <c r="AM45" i="15" s="1"/>
  <c r="AL45" i="15" a="1"/>
  <c r="AL45" i="15" s="1"/>
  <c r="AI29" i="15"/>
  <c r="AG29" i="15"/>
  <c r="AM29" i="15" s="1"/>
  <c r="W29" i="15"/>
  <c r="AE29" i="15" s="1"/>
  <c r="O29" i="15"/>
  <c r="AG34" i="15"/>
  <c r="AI34" i="15"/>
  <c r="O34" i="15"/>
  <c r="W34" i="15"/>
  <c r="AE34" i="15" s="1"/>
  <c r="AA49" i="15"/>
  <c r="Q4" i="6" s="1"/>
  <c r="F4" i="6"/>
  <c r="AG40" i="5"/>
  <c r="AM40" i="5" s="1"/>
  <c r="O40" i="5"/>
  <c r="AI40" i="5"/>
  <c r="W40" i="5"/>
  <c r="AE40" i="5" s="1"/>
  <c r="U49" i="5"/>
  <c r="U51" i="5" s="1"/>
  <c r="AD49" i="5"/>
  <c r="Y28" i="5"/>
  <c r="AE28" i="5"/>
  <c r="C32" i="7" s="1"/>
  <c r="AI5" i="5"/>
  <c r="W5" i="5"/>
  <c r="AE5" i="5" s="1"/>
  <c r="O5" i="5"/>
  <c r="AG5" i="5"/>
  <c r="AI31" i="1"/>
  <c r="W31" i="1"/>
  <c r="AE31" i="1" s="1"/>
  <c r="O31" i="1"/>
  <c r="AG31" i="1"/>
  <c r="AM31" i="1" s="1"/>
  <c r="AD26" i="5"/>
  <c r="AD51" i="5" s="1"/>
  <c r="W32" i="1"/>
  <c r="AE32" i="1" s="1"/>
  <c r="O32" i="1"/>
  <c r="AG32" i="1"/>
  <c r="AM32" i="1" s="1"/>
  <c r="AI32" i="1"/>
  <c r="AG14" i="1"/>
  <c r="AM14" i="1" s="1"/>
  <c r="O14" i="1"/>
  <c r="AI14" i="1"/>
  <c r="W14" i="1"/>
  <c r="AJ25" i="1"/>
  <c r="Y14" i="1"/>
  <c r="AE14" i="1"/>
  <c r="V14" i="1"/>
  <c r="AN8" i="1"/>
  <c r="T51" i="1"/>
  <c r="I7" i="6"/>
  <c r="J7" i="6" s="1"/>
  <c r="W41" i="16"/>
  <c r="AE41" i="16" s="1"/>
  <c r="O41" i="16"/>
  <c r="AG41" i="16"/>
  <c r="AM41" i="16" s="1"/>
  <c r="AL41" i="16" a="1"/>
  <c r="AL41" i="16" s="1"/>
  <c r="AI41" i="16"/>
  <c r="J10" i="6"/>
  <c r="AG48" i="16"/>
  <c r="AM28" i="16"/>
  <c r="AG34" i="17"/>
  <c r="AM34" i="17" s="1"/>
  <c r="AI34" i="17"/>
  <c r="W34" i="17"/>
  <c r="AM5" i="1"/>
  <c r="T51" i="16"/>
  <c r="I9" i="6"/>
  <c r="V31" i="16"/>
  <c r="V28" i="16"/>
  <c r="Q51" i="17"/>
  <c r="G11" i="6"/>
  <c r="W5" i="16"/>
  <c r="W26" i="16" s="1"/>
  <c r="O5" i="16"/>
  <c r="AG5" i="16"/>
  <c r="AM5" i="16" s="1"/>
  <c r="AI5" i="16"/>
  <c r="AI25" i="16" s="1"/>
  <c r="AI6" i="16"/>
  <c r="O6" i="16"/>
  <c r="AG6" i="16"/>
  <c r="W6" i="16"/>
  <c r="AE6" i="16" s="1"/>
  <c r="AG30" i="17"/>
  <c r="AM30" i="17" s="1"/>
  <c r="AI30" i="17"/>
  <c r="W30" i="17"/>
  <c r="AE30" i="17" s="1"/>
  <c r="AG9" i="16"/>
  <c r="AI9" i="16"/>
  <c r="W9" i="16"/>
  <c r="AE9" i="16" s="1"/>
  <c r="O9" i="16"/>
  <c r="Y9" i="17"/>
  <c r="V15" i="16"/>
  <c r="V3" i="16"/>
  <c r="AG9" i="17"/>
  <c r="AI9" i="17"/>
  <c r="W9" i="17"/>
  <c r="AI43" i="19"/>
  <c r="W43" i="19"/>
  <c r="AE43" i="19" s="1"/>
  <c r="AL43" i="19" s="1" a="1"/>
  <c r="AL43" i="19" s="1"/>
  <c r="AG43" i="19"/>
  <c r="AM43" i="19" s="1"/>
  <c r="Z51" i="17"/>
  <c r="L11" i="6"/>
  <c r="R49" i="19"/>
  <c r="R26" i="19"/>
  <c r="W3" i="19"/>
  <c r="AI3" i="19"/>
  <c r="AG3" i="19"/>
  <c r="F12" i="6"/>
  <c r="AG7" i="19"/>
  <c r="AI7" i="19"/>
  <c r="W7" i="19"/>
  <c r="AE7" i="19" s="1"/>
  <c r="AL7" i="19" s="1" a="1"/>
  <c r="AL7" i="19" s="1"/>
  <c r="M30" i="9"/>
  <c r="L31" i="9"/>
  <c r="L30" i="11"/>
  <c r="M30" i="11" s="1"/>
  <c r="K50" i="11"/>
  <c r="L30" i="12"/>
  <c r="K50" i="12"/>
  <c r="G37" i="38" l="1"/>
  <c r="F31" i="25"/>
  <c r="E32" i="25"/>
  <c r="F7" i="25"/>
  <c r="E8" i="25"/>
  <c r="AL40" i="18" a="1"/>
  <c r="AL40" i="18" s="1"/>
  <c r="AP40" i="18" s="1"/>
  <c r="C40" i="12"/>
  <c r="AL42" i="18" a="1"/>
  <c r="AL42" i="18" s="1"/>
  <c r="C37" i="12"/>
  <c r="AL30" i="18" a="1"/>
  <c r="AL30" i="18" s="1"/>
  <c r="AP30" i="18" s="1"/>
  <c r="C44" i="12"/>
  <c r="AL39" i="18" a="1"/>
  <c r="AL39" i="18" s="1"/>
  <c r="AP39" i="18" s="1"/>
  <c r="C39" i="12"/>
  <c r="AL5" i="18" a="1"/>
  <c r="AL5" i="18" s="1"/>
  <c r="C8" i="12"/>
  <c r="AL10" i="18" a="1"/>
  <c r="AL10" i="18" s="1"/>
  <c r="AP10" i="18" s="1"/>
  <c r="C17" i="12"/>
  <c r="AL11" i="18" a="1"/>
  <c r="AL11" i="18" s="1"/>
  <c r="AP11" i="18" s="1"/>
  <c r="C23" i="12"/>
  <c r="AL24" i="18" a="1"/>
  <c r="AL24" i="18" s="1"/>
  <c r="AP24" i="18" s="1"/>
  <c r="C22" i="12"/>
  <c r="AL23" i="18" a="1"/>
  <c r="AL23" i="18" s="1"/>
  <c r="AP23" i="18" s="1"/>
  <c r="C21" i="12"/>
  <c r="AL4" i="18" a="1"/>
  <c r="AL4" i="18" s="1"/>
  <c r="AP4" i="18" s="1"/>
  <c r="C16" i="12"/>
  <c r="AL7" i="18" a="1"/>
  <c r="AL7" i="18" s="1"/>
  <c r="AP7" i="18" s="1"/>
  <c r="C6" i="12"/>
  <c r="AL21" i="18" a="1"/>
  <c r="AL21" i="18" s="1"/>
  <c r="C19" i="12"/>
  <c r="AL14" i="18" a="1"/>
  <c r="AL14" i="18" s="1"/>
  <c r="AP14" i="18" s="1"/>
  <c r="C10" i="12"/>
  <c r="F20" i="39"/>
  <c r="E21" i="39"/>
  <c r="M43" i="39"/>
  <c r="G43" i="39" s="1"/>
  <c r="L44" i="39"/>
  <c r="M20" i="39"/>
  <c r="G20" i="39" s="1"/>
  <c r="L21" i="39"/>
  <c r="F43" i="39"/>
  <c r="E44" i="39"/>
  <c r="J28" i="6"/>
  <c r="M23" i="6"/>
  <c r="M15" i="38"/>
  <c r="L16" i="38"/>
  <c r="F39" i="38"/>
  <c r="E40" i="38"/>
  <c r="M39" i="38"/>
  <c r="L40" i="38"/>
  <c r="F14" i="38"/>
  <c r="E15" i="38"/>
  <c r="F23" i="6"/>
  <c r="L23" i="6"/>
  <c r="G23" i="6"/>
  <c r="I23" i="6"/>
  <c r="L5" i="12"/>
  <c r="M5" i="12" s="1"/>
  <c r="G5" i="12" s="1"/>
  <c r="L7" i="10"/>
  <c r="M7" i="10" s="1"/>
  <c r="E7" i="10"/>
  <c r="E8" i="10" s="1"/>
  <c r="AI48" i="19"/>
  <c r="AI25" i="19"/>
  <c r="R51" i="19"/>
  <c r="J14" i="6"/>
  <c r="AE14" i="6" s="1"/>
  <c r="H23" i="6"/>
  <c r="D13" i="6"/>
  <c r="M37" i="25"/>
  <c r="L38" i="25"/>
  <c r="M13" i="25"/>
  <c r="L14" i="25"/>
  <c r="E27" i="6"/>
  <c r="E29" i="6" s="1"/>
  <c r="F28" i="6"/>
  <c r="J9" i="6"/>
  <c r="I27" i="6"/>
  <c r="I29" i="6" s="1"/>
  <c r="M27" i="6"/>
  <c r="M29" i="6" s="1"/>
  <c r="D10" i="6"/>
  <c r="H27" i="6"/>
  <c r="H29" i="6" s="1"/>
  <c r="F27" i="6"/>
  <c r="D8" i="6"/>
  <c r="L27" i="6"/>
  <c r="L29" i="6" s="1"/>
  <c r="G27" i="6"/>
  <c r="G29" i="6" s="1"/>
  <c r="D4" i="6"/>
  <c r="AA52" i="18"/>
  <c r="AM10" i="18"/>
  <c r="AM7" i="17"/>
  <c r="AM8" i="17"/>
  <c r="AM14" i="17"/>
  <c r="AM6" i="17"/>
  <c r="AM9" i="17"/>
  <c r="AM12" i="17"/>
  <c r="AM35" i="17"/>
  <c r="AM7" i="19"/>
  <c r="AL6" i="16" a="1"/>
  <c r="AL6" i="16" s="1"/>
  <c r="C25" i="9"/>
  <c r="AL43" i="16" a="1"/>
  <c r="AL43" i="16" s="1"/>
  <c r="C43" i="9"/>
  <c r="AL8" i="16" a="1"/>
  <c r="AL8" i="16" s="1"/>
  <c r="C7" i="9"/>
  <c r="AL12" i="16" a="1"/>
  <c r="AL12" i="16" s="1"/>
  <c r="C9" i="9"/>
  <c r="AL22" i="16" a="1"/>
  <c r="AL22" i="16" s="1"/>
  <c r="C17" i="9"/>
  <c r="AL20" i="16" a="1"/>
  <c r="AL20" i="16" s="1"/>
  <c r="C15" i="9"/>
  <c r="AL14" i="16" a="1"/>
  <c r="AL14" i="16" s="1"/>
  <c r="C8" i="9"/>
  <c r="AL40" i="16" a="1"/>
  <c r="AL40" i="16" s="1"/>
  <c r="C40" i="9"/>
  <c r="AL38" i="16" a="1"/>
  <c r="AL38" i="16" s="1"/>
  <c r="C48" i="9"/>
  <c r="AL37" i="16" a="1"/>
  <c r="AL37" i="16" s="1"/>
  <c r="C31" i="9"/>
  <c r="AL9" i="16" a="1"/>
  <c r="AL9" i="16" s="1"/>
  <c r="C24" i="9"/>
  <c r="AE49" i="16"/>
  <c r="C41" i="9"/>
  <c r="AL18" i="16" a="1"/>
  <c r="AL18" i="16" s="1"/>
  <c r="C14" i="9"/>
  <c r="AL32" i="16" a="1"/>
  <c r="AL32" i="16" s="1"/>
  <c r="C36" i="9"/>
  <c r="AL46" i="16" a="1"/>
  <c r="AL46" i="16" s="1"/>
  <c r="AL31" i="16" a="1"/>
  <c r="AL31" i="16" s="1"/>
  <c r="C32" i="9"/>
  <c r="AL42" i="16" a="1"/>
  <c r="AL42" i="16" s="1"/>
  <c r="C42" i="9"/>
  <c r="AL4" i="16" a="1"/>
  <c r="AL4" i="16" s="1"/>
  <c r="AM4" i="16" s="1"/>
  <c r="C11" i="9"/>
  <c r="AL45" i="16" a="1"/>
  <c r="AL45" i="16" s="1"/>
  <c r="C30" i="9"/>
  <c r="AL14" i="1" a="1"/>
  <c r="AL14" i="1" s="1"/>
  <c r="C12" i="8"/>
  <c r="AL39" i="1" a="1"/>
  <c r="AL39" i="1" s="1"/>
  <c r="C42" i="8"/>
  <c r="AL17" i="1" a="1"/>
  <c r="AL17" i="1" s="1"/>
  <c r="C14" i="8"/>
  <c r="AN12" i="1"/>
  <c r="AL23" i="1" a="1"/>
  <c r="AL23" i="1" s="1"/>
  <c r="C20" i="8"/>
  <c r="AL42" i="1" a="1"/>
  <c r="AL42" i="1" s="1"/>
  <c r="C45" i="8"/>
  <c r="AN24" i="1"/>
  <c r="AL18" i="1" a="1"/>
  <c r="AL18" i="1" s="1"/>
  <c r="C15" i="8"/>
  <c r="AL32" i="1" a="1"/>
  <c r="AL32" i="1" s="1"/>
  <c r="C36" i="8"/>
  <c r="AL22" i="1" a="1"/>
  <c r="AL22" i="1" s="1"/>
  <c r="AP22" i="1" s="1"/>
  <c r="AL11" i="1" a="1"/>
  <c r="AL11" i="1" s="1"/>
  <c r="C10" i="8"/>
  <c r="AL10" i="1" a="1"/>
  <c r="AL10" i="1" s="1"/>
  <c r="AL6" i="1" a="1"/>
  <c r="AL6" i="1" s="1"/>
  <c r="C5" i="8"/>
  <c r="AL30" i="1" a="1"/>
  <c r="AL30" i="1" s="1"/>
  <c r="C34" i="8"/>
  <c r="AN20" i="1"/>
  <c r="AL34" i="1" a="1"/>
  <c r="AL34" i="1" s="1"/>
  <c r="C38" i="8"/>
  <c r="AL9" i="1" a="1"/>
  <c r="AL9" i="1" s="1"/>
  <c r="AP9" i="1" s="1"/>
  <c r="C24" i="8"/>
  <c r="AL13" i="1" a="1"/>
  <c r="AL13" i="1" s="1"/>
  <c r="C23" i="8"/>
  <c r="C26" i="8" s="1"/>
  <c r="AL21" i="1" a="1"/>
  <c r="AL21" i="1" s="1"/>
  <c r="C18" i="8"/>
  <c r="AM45" i="1"/>
  <c r="AL47" i="1" a="1"/>
  <c r="AL47" i="1" s="1"/>
  <c r="C48" i="8"/>
  <c r="AL29" i="1" a="1"/>
  <c r="AL29" i="1" s="1"/>
  <c r="AN29" i="1" s="1"/>
  <c r="AN40" i="1"/>
  <c r="AL31" i="1" a="1"/>
  <c r="AL31" i="1" s="1"/>
  <c r="C35" i="8"/>
  <c r="AL33" i="5" a="1"/>
  <c r="AL33" i="5" s="1"/>
  <c r="C37" i="7"/>
  <c r="AL41" i="5" a="1"/>
  <c r="AL41" i="5" s="1"/>
  <c r="C44" i="7"/>
  <c r="AN13" i="5"/>
  <c r="AL39" i="5" a="1"/>
  <c r="AL39" i="5" s="1"/>
  <c r="C42" i="7"/>
  <c r="AL36" i="5" a="1"/>
  <c r="AL36" i="5" s="1"/>
  <c r="C40" i="7"/>
  <c r="AP13" i="5"/>
  <c r="AL37" i="5" a="1"/>
  <c r="AL37" i="5" s="1"/>
  <c r="AP37" i="5" s="1"/>
  <c r="C48" i="7"/>
  <c r="AL40" i="5" a="1"/>
  <c r="AL40" i="5" s="1"/>
  <c r="C43" i="7"/>
  <c r="AL4" i="5" a="1"/>
  <c r="AL4" i="5" s="1"/>
  <c r="AN4" i="5" s="1"/>
  <c r="C12" i="7"/>
  <c r="AL16" i="5" a="1"/>
  <c r="AL16" i="5" s="1"/>
  <c r="AM16" i="5" s="1"/>
  <c r="C7" i="7"/>
  <c r="AL47" i="5" a="1"/>
  <c r="AL47" i="5" s="1"/>
  <c r="AL43" i="5" a="1"/>
  <c r="AL43" i="5" s="1"/>
  <c r="C45" i="7"/>
  <c r="AL10" i="5" a="1"/>
  <c r="AL10" i="5" s="1"/>
  <c r="C24" i="7"/>
  <c r="AL11" i="5" a="1"/>
  <c r="AL11" i="5" s="1"/>
  <c r="C14" i="7"/>
  <c r="AN15" i="5"/>
  <c r="AL30" i="5" a="1"/>
  <c r="AL30" i="5" s="1"/>
  <c r="C34" i="7"/>
  <c r="AL5" i="5" a="1"/>
  <c r="AL5" i="5" s="1"/>
  <c r="C9" i="7"/>
  <c r="AL42" i="5" a="1"/>
  <c r="AL42" i="5" s="1"/>
  <c r="C30" i="7"/>
  <c r="AN46" i="5"/>
  <c r="AL29" i="5" a="1"/>
  <c r="AL29" i="5" s="1"/>
  <c r="AP29" i="5" s="1"/>
  <c r="C33" i="7"/>
  <c r="AL44" i="5" a="1"/>
  <c r="AL44" i="5" s="1"/>
  <c r="C46" i="7"/>
  <c r="AN38" i="5"/>
  <c r="AL42" i="15" a="1"/>
  <c r="AL42" i="15" s="1"/>
  <c r="C48" i="11"/>
  <c r="AL34" i="15" a="1"/>
  <c r="AL34" i="15" s="1"/>
  <c r="C30" i="11"/>
  <c r="AL47" i="15" a="1"/>
  <c r="AL47" i="15" s="1"/>
  <c r="C45" i="11"/>
  <c r="AL36" i="15" a="1"/>
  <c r="AL36" i="15" s="1"/>
  <c r="AP36" i="15" s="1"/>
  <c r="C38" i="11"/>
  <c r="AL38" i="15" a="1"/>
  <c r="AL38" i="15" s="1"/>
  <c r="C40" i="11"/>
  <c r="AL37" i="15" a="1"/>
  <c r="AL37" i="15" s="1"/>
  <c r="AN37" i="15" s="1"/>
  <c r="C39" i="11"/>
  <c r="AL18" i="15" a="1"/>
  <c r="AL18" i="15" s="1"/>
  <c r="C16" i="11"/>
  <c r="AL32" i="15" a="1"/>
  <c r="AL32" i="15" s="1"/>
  <c r="C35" i="11"/>
  <c r="AN14" i="15"/>
  <c r="AP16" i="15"/>
  <c r="AP20" i="15"/>
  <c r="AL39" i="15" a="1"/>
  <c r="AL39" i="15" s="1"/>
  <c r="C41" i="11"/>
  <c r="AL15" i="15" a="1"/>
  <c r="AL15" i="15" s="1"/>
  <c r="C23" i="11"/>
  <c r="AL21" i="15" a="1"/>
  <c r="AL21" i="15" s="1"/>
  <c r="C18" i="11"/>
  <c r="AL46" i="15" a="1"/>
  <c r="AL46" i="15" s="1"/>
  <c r="AP46" i="15" s="1"/>
  <c r="C46" i="11"/>
  <c r="AL44" i="15" a="1"/>
  <c r="AL44" i="15" s="1"/>
  <c r="C47" i="11"/>
  <c r="AN23" i="15"/>
  <c r="AN9" i="15"/>
  <c r="AL30" i="15" a="1"/>
  <c r="AL30" i="15" s="1"/>
  <c r="C33" i="11"/>
  <c r="AL29" i="15" a="1"/>
  <c r="AL29" i="15" s="1"/>
  <c r="C32" i="11"/>
  <c r="AL31" i="15" a="1"/>
  <c r="AL31" i="15" s="1"/>
  <c r="AN31" i="15" s="1"/>
  <c r="C34" i="11"/>
  <c r="AL19" i="15" a="1"/>
  <c r="AL19" i="15" s="1"/>
  <c r="C17" i="11"/>
  <c r="AL22" i="15" a="1"/>
  <c r="AL22" i="15" s="1"/>
  <c r="AL40" i="15" a="1"/>
  <c r="AL40" i="15" s="1"/>
  <c r="AP40" i="15" s="1"/>
  <c r="C42" i="11"/>
  <c r="AL13" i="15" a="1"/>
  <c r="AL13" i="15" s="1"/>
  <c r="C22" i="11"/>
  <c r="AL41" i="15" a="1"/>
  <c r="AL41" i="15" s="1"/>
  <c r="AN41" i="15" s="1"/>
  <c r="C43" i="11"/>
  <c r="AL43" i="15" a="1"/>
  <c r="AL43" i="15" s="1"/>
  <c r="C44" i="11"/>
  <c r="K51" i="18"/>
  <c r="L5" i="9"/>
  <c r="L34" i="8"/>
  <c r="M34" i="8" s="1"/>
  <c r="G4" i="11"/>
  <c r="L6" i="11"/>
  <c r="AE34" i="18"/>
  <c r="AE43" i="18"/>
  <c r="AE28" i="18"/>
  <c r="AE13" i="18"/>
  <c r="AE12" i="18"/>
  <c r="AM45" i="5"/>
  <c r="AM48" i="5" s="1"/>
  <c r="W45" i="18"/>
  <c r="AE45" i="18" s="1"/>
  <c r="R51" i="17"/>
  <c r="AI45" i="18"/>
  <c r="AE20" i="18"/>
  <c r="AN40" i="18"/>
  <c r="AE32" i="18"/>
  <c r="U51" i="18"/>
  <c r="Y51" i="18" s="1"/>
  <c r="AE46" i="18"/>
  <c r="AE31" i="18"/>
  <c r="AN11" i="18"/>
  <c r="AG37" i="18"/>
  <c r="AE45" i="17"/>
  <c r="AL45" i="17" s="1" a="1"/>
  <c r="AL45" i="17" s="1"/>
  <c r="AP45" i="17" s="1"/>
  <c r="AE6" i="18"/>
  <c r="AE19" i="18"/>
  <c r="AG18" i="18"/>
  <c r="AI37" i="18"/>
  <c r="AN30" i="18"/>
  <c r="AE29" i="17"/>
  <c r="AL29" i="17" s="1" a="1"/>
  <c r="AL29" i="17" s="1"/>
  <c r="AN29" i="17" s="1"/>
  <c r="AN23" i="18"/>
  <c r="AE21" i="17"/>
  <c r="AL21" i="17" s="1" a="1"/>
  <c r="AL21" i="17" s="1"/>
  <c r="AP21" i="17" s="1"/>
  <c r="AE43" i="17"/>
  <c r="AL43" i="17" s="1" a="1"/>
  <c r="AL43" i="17" s="1"/>
  <c r="AP43" i="17" s="1"/>
  <c r="P51" i="18"/>
  <c r="W18" i="18"/>
  <c r="AE18" i="18" s="1"/>
  <c r="AE28" i="17"/>
  <c r="AL28" i="17" s="1" a="1"/>
  <c r="AL28" i="17" s="1"/>
  <c r="AP28" i="17" s="1"/>
  <c r="W33" i="18"/>
  <c r="AE33" i="18" s="1"/>
  <c r="AI33" i="18"/>
  <c r="AE47" i="17"/>
  <c r="AL47" i="17" s="1" a="1"/>
  <c r="AL47" i="17" s="1"/>
  <c r="AN47" i="17" s="1"/>
  <c r="AE15" i="17"/>
  <c r="AL15" i="17" s="1" a="1"/>
  <c r="AL15" i="17" s="1"/>
  <c r="AP15" i="17" s="1"/>
  <c r="AN7" i="18"/>
  <c r="AM7" i="18"/>
  <c r="AN39" i="18"/>
  <c r="AN14" i="18"/>
  <c r="AN10" i="18"/>
  <c r="AM14" i="18"/>
  <c r="AM4" i="18"/>
  <c r="AN4" i="18"/>
  <c r="AD26" i="18"/>
  <c r="AJ25" i="18"/>
  <c r="AE32" i="17"/>
  <c r="AL32" i="17" s="1" a="1"/>
  <c r="AL32" i="17" s="1"/>
  <c r="AN32" i="17" s="1"/>
  <c r="AJ48" i="18"/>
  <c r="AN24" i="18"/>
  <c r="W41" i="18"/>
  <c r="AE41" i="18" s="1"/>
  <c r="AE9" i="18"/>
  <c r="AK25" i="18"/>
  <c r="AE34" i="17"/>
  <c r="AL34" i="17" s="1" a="1"/>
  <c r="AL34" i="17" s="1"/>
  <c r="AP34" i="17" s="1"/>
  <c r="AD49" i="18"/>
  <c r="AG41" i="18"/>
  <c r="AM41" i="18" s="1"/>
  <c r="AE5" i="17"/>
  <c r="AL5" i="17" s="1" a="1"/>
  <c r="AL5" i="17" s="1"/>
  <c r="AP5" i="17" s="1"/>
  <c r="AE37" i="18"/>
  <c r="W38" i="18"/>
  <c r="AE38" i="18" s="1"/>
  <c r="AE16" i="17"/>
  <c r="AL16" i="17" s="1" a="1"/>
  <c r="AL16" i="17" s="1"/>
  <c r="AP16" i="17" s="1"/>
  <c r="AE40" i="17"/>
  <c r="AL40" i="17" s="1" a="1"/>
  <c r="AL40" i="17" s="1"/>
  <c r="AP40" i="17" s="1"/>
  <c r="AE33" i="17"/>
  <c r="AL33" i="17" s="1" a="1"/>
  <c r="AL33" i="17" s="1"/>
  <c r="AP33" i="17" s="1"/>
  <c r="AE17" i="18"/>
  <c r="AI38" i="18"/>
  <c r="AP6" i="17"/>
  <c r="AN6" i="17"/>
  <c r="R49" i="18"/>
  <c r="AK48" i="18"/>
  <c r="AG3" i="18"/>
  <c r="AI3" i="18"/>
  <c r="W3" i="18"/>
  <c r="AE3" i="18" s="1"/>
  <c r="C4" i="12" s="1"/>
  <c r="AI22" i="18"/>
  <c r="AG22" i="18"/>
  <c r="AM22" i="18" s="1"/>
  <c r="W22" i="18"/>
  <c r="AE22" i="18" s="1"/>
  <c r="R26" i="18"/>
  <c r="W8" i="18"/>
  <c r="AE8" i="18" s="1"/>
  <c r="AG8" i="18"/>
  <c r="AI8" i="18"/>
  <c r="W44" i="18"/>
  <c r="AE44" i="18" s="1"/>
  <c r="AI44" i="18"/>
  <c r="AG44" i="18"/>
  <c r="AG35" i="18"/>
  <c r="AI35" i="18"/>
  <c r="W35" i="18"/>
  <c r="AE35" i="18" s="1"/>
  <c r="AE39" i="17"/>
  <c r="AL39" i="17" s="1" a="1"/>
  <c r="AL39" i="17" s="1"/>
  <c r="AN39" i="17" s="1"/>
  <c r="W47" i="18"/>
  <c r="AL47" i="18" s="1" a="1"/>
  <c r="AL47" i="18" s="1"/>
  <c r="AI47" i="18"/>
  <c r="AG47" i="18"/>
  <c r="AM47" i="18" s="1"/>
  <c r="AE44" i="17"/>
  <c r="AL44" i="17" s="1" a="1"/>
  <c r="AL44" i="17" s="1"/>
  <c r="AP44" i="17" s="1"/>
  <c r="AI36" i="18"/>
  <c r="AG36" i="18"/>
  <c r="AM36" i="18" s="1"/>
  <c r="W36" i="18"/>
  <c r="AE36" i="18" s="1"/>
  <c r="AG15" i="18"/>
  <c r="AI15" i="18"/>
  <c r="W15" i="18"/>
  <c r="AE15" i="18" s="1"/>
  <c r="AI16" i="18"/>
  <c r="AG16" i="18"/>
  <c r="W16" i="18"/>
  <c r="AE16" i="18" s="1"/>
  <c r="AE9" i="17"/>
  <c r="AL9" i="17" s="1" a="1"/>
  <c r="AL9" i="17" s="1"/>
  <c r="AP9" i="17" s="1"/>
  <c r="AN12" i="17"/>
  <c r="AP41" i="17"/>
  <c r="AN7" i="17"/>
  <c r="AE22" i="17"/>
  <c r="AL22" i="17" s="1" a="1"/>
  <c r="AL22" i="17" s="1"/>
  <c r="AP22" i="17" s="1"/>
  <c r="AE37" i="17"/>
  <c r="AL37" i="17" s="1" a="1"/>
  <c r="AL37" i="17" s="1"/>
  <c r="AP37" i="17" s="1"/>
  <c r="AE19" i="17"/>
  <c r="AL19" i="17" s="1" a="1"/>
  <c r="AL19" i="17" s="1"/>
  <c r="AP19" i="17" s="1"/>
  <c r="AE4" i="17"/>
  <c r="AL4" i="17" s="1" a="1"/>
  <c r="AL4" i="17" s="1"/>
  <c r="AP4" i="17" s="1"/>
  <c r="AE13" i="17"/>
  <c r="AL13" i="17" s="1" a="1"/>
  <c r="AL13" i="17" s="1"/>
  <c r="AN13" i="17" s="1"/>
  <c r="AE20" i="17"/>
  <c r="AL20" i="17" s="1" a="1"/>
  <c r="AL20" i="17" s="1"/>
  <c r="AP20" i="17" s="1"/>
  <c r="AN35" i="17"/>
  <c r="AP35" i="17"/>
  <c r="AE23" i="17"/>
  <c r="AL23" i="17" s="1" a="1"/>
  <c r="AL23" i="17" s="1"/>
  <c r="AP23" i="17" s="1"/>
  <c r="AN14" i="17"/>
  <c r="AD49" i="17"/>
  <c r="AN18" i="17"/>
  <c r="AN11" i="17"/>
  <c r="AP11" i="17"/>
  <c r="AE24" i="17"/>
  <c r="AL24" i="17" s="1" a="1"/>
  <c r="AL24" i="17" s="1"/>
  <c r="AP24" i="17" s="1"/>
  <c r="V9" i="17"/>
  <c r="AP31" i="17"/>
  <c r="AN31" i="17"/>
  <c r="AP10" i="17"/>
  <c r="AN10" i="17"/>
  <c r="AA49" i="17"/>
  <c r="Q12" i="6" s="1"/>
  <c r="AE12" i="6" s="1"/>
  <c r="AI48" i="17"/>
  <c r="AP37" i="19"/>
  <c r="AN37" i="19"/>
  <c r="AP6" i="16"/>
  <c r="AN6" i="16"/>
  <c r="K9" i="6"/>
  <c r="AP31" i="1"/>
  <c r="AN31" i="1"/>
  <c r="AP20" i="16"/>
  <c r="AN20" i="16"/>
  <c r="AP41" i="5"/>
  <c r="AN41" i="5"/>
  <c r="AP37" i="15"/>
  <c r="AP30" i="15"/>
  <c r="AN30" i="15"/>
  <c r="AP44" i="15"/>
  <c r="AN44" i="15"/>
  <c r="AE49" i="19"/>
  <c r="AL28" i="19" a="1"/>
  <c r="AL28" i="19" s="1"/>
  <c r="AP11" i="5"/>
  <c r="AN11" i="5"/>
  <c r="AP8" i="16"/>
  <c r="AN8" i="16"/>
  <c r="AM8" i="16"/>
  <c r="AP36" i="5"/>
  <c r="AN36" i="5"/>
  <c r="AP40" i="16"/>
  <c r="AN40" i="16"/>
  <c r="AP9" i="16"/>
  <c r="AN9" i="16"/>
  <c r="AP4" i="5"/>
  <c r="AP42" i="5"/>
  <c r="AN42" i="5"/>
  <c r="AP45" i="16"/>
  <c r="AN45" i="16"/>
  <c r="AP30" i="1"/>
  <c r="AN30" i="1"/>
  <c r="AP5" i="18"/>
  <c r="AN5" i="18"/>
  <c r="AP14" i="1"/>
  <c r="AN14" i="1"/>
  <c r="AP43" i="5"/>
  <c r="AN43" i="5"/>
  <c r="AP32" i="16"/>
  <c r="AN32" i="16"/>
  <c r="AP42" i="17"/>
  <c r="AN42" i="17"/>
  <c r="AP21" i="18"/>
  <c r="AN21" i="18"/>
  <c r="AP6" i="1"/>
  <c r="AN6" i="1"/>
  <c r="AP38" i="19"/>
  <c r="AN38" i="19"/>
  <c r="AP23" i="1"/>
  <c r="AN23" i="1"/>
  <c r="AP47" i="15"/>
  <c r="AN47" i="15"/>
  <c r="AP15" i="15"/>
  <c r="AN15" i="15"/>
  <c r="AP38" i="17"/>
  <c r="AN38" i="17"/>
  <c r="AP17" i="1"/>
  <c r="AN17" i="1"/>
  <c r="AP40" i="5"/>
  <c r="AN40" i="5"/>
  <c r="AN47" i="1"/>
  <c r="AP47" i="1"/>
  <c r="AB6" i="6"/>
  <c r="AP39" i="1"/>
  <c r="AN39" i="1"/>
  <c r="AP11" i="1"/>
  <c r="AN11" i="1"/>
  <c r="AN12" i="16"/>
  <c r="AP12" i="16"/>
  <c r="AP38" i="16"/>
  <c r="AN38" i="16"/>
  <c r="AP31" i="15"/>
  <c r="AP42" i="18"/>
  <c r="AN42" i="18"/>
  <c r="AP32" i="1"/>
  <c r="AN32" i="1"/>
  <c r="AP5" i="5"/>
  <c r="AN5" i="5"/>
  <c r="AP42" i="1"/>
  <c r="AN42" i="1"/>
  <c r="Q5" i="6"/>
  <c r="AN8" i="19"/>
  <c r="AP8" i="19"/>
  <c r="AP35" i="19"/>
  <c r="AN35" i="19"/>
  <c r="AP22" i="16"/>
  <c r="AN22" i="16"/>
  <c r="AP37" i="16"/>
  <c r="AN37" i="16"/>
  <c r="AP18" i="1"/>
  <c r="AN18" i="1"/>
  <c r="AP33" i="5"/>
  <c r="AN33" i="5"/>
  <c r="AP13" i="15"/>
  <c r="AN13" i="15"/>
  <c r="AP14" i="16"/>
  <c r="AN14" i="16"/>
  <c r="AP30" i="5"/>
  <c r="AN30" i="5"/>
  <c r="AP4" i="19"/>
  <c r="AN4" i="19"/>
  <c r="AP21" i="15"/>
  <c r="AN21" i="15"/>
  <c r="AP31" i="16"/>
  <c r="AN31" i="16"/>
  <c r="AL48" i="16"/>
  <c r="AP42" i="16"/>
  <c r="AN42" i="16"/>
  <c r="AP43" i="19"/>
  <c r="AN43" i="19"/>
  <c r="AP41" i="19"/>
  <c r="AN41" i="19"/>
  <c r="AP9" i="19"/>
  <c r="AN9" i="19"/>
  <c r="AP39" i="5"/>
  <c r="AN39" i="5"/>
  <c r="AP43" i="15"/>
  <c r="AN43" i="15"/>
  <c r="AP31" i="19"/>
  <c r="AN31" i="19"/>
  <c r="AG48" i="1"/>
  <c r="AM28" i="1"/>
  <c r="AM48" i="1" s="1"/>
  <c r="AM45" i="16"/>
  <c r="AG25" i="19"/>
  <c r="V28" i="5"/>
  <c r="W26" i="17"/>
  <c r="AG25" i="1"/>
  <c r="AP34" i="1"/>
  <c r="AN34" i="1"/>
  <c r="AE28" i="15"/>
  <c r="C31" i="11" s="1"/>
  <c r="AI25" i="15"/>
  <c r="V3" i="15"/>
  <c r="AP38" i="15"/>
  <c r="AN38" i="15"/>
  <c r="AD49" i="1"/>
  <c r="W26" i="5"/>
  <c r="AE3" i="5"/>
  <c r="C4" i="7" s="1"/>
  <c r="I59" i="19"/>
  <c r="J59" i="19" s="1"/>
  <c r="J58" i="19"/>
  <c r="J60" i="19"/>
  <c r="V29" i="5"/>
  <c r="W49" i="15"/>
  <c r="K4" i="6" s="1"/>
  <c r="Y4" i="6" s="1"/>
  <c r="Z4" i="6" s="1"/>
  <c r="AD26" i="19"/>
  <c r="Y49" i="5"/>
  <c r="V23" i="5"/>
  <c r="V21" i="5"/>
  <c r="V19" i="5"/>
  <c r="V17" i="5"/>
  <c r="V9" i="5"/>
  <c r="V6" i="5"/>
  <c r="V22" i="5"/>
  <c r="V15" i="5"/>
  <c r="V38" i="5"/>
  <c r="V20" i="5"/>
  <c r="V12" i="5"/>
  <c r="V14" i="5"/>
  <c r="V32" i="5"/>
  <c r="V35" i="5"/>
  <c r="V44" i="5"/>
  <c r="V3" i="5"/>
  <c r="V7" i="5"/>
  <c r="V33" i="5"/>
  <c r="V34" i="5"/>
  <c r="V46" i="5"/>
  <c r="V41" i="5"/>
  <c r="V11" i="5"/>
  <c r="V18" i="5"/>
  <c r="V16" i="5"/>
  <c r="V45" i="5"/>
  <c r="V42" i="5"/>
  <c r="V43" i="5"/>
  <c r="V47" i="5"/>
  <c r="V5" i="5"/>
  <c r="V24" i="5"/>
  <c r="V30" i="5"/>
  <c r="V37" i="5"/>
  <c r="V40" i="5"/>
  <c r="V36" i="5"/>
  <c r="V13" i="5"/>
  <c r="V8" i="5"/>
  <c r="W51" i="15"/>
  <c r="K3" i="6"/>
  <c r="AP46" i="17"/>
  <c r="AN46" i="17"/>
  <c r="AP7" i="19"/>
  <c r="AN7" i="19"/>
  <c r="AG48" i="17"/>
  <c r="AE5" i="16"/>
  <c r="AP47" i="5"/>
  <c r="AN47" i="5"/>
  <c r="AP18" i="15"/>
  <c r="AN18" i="15"/>
  <c r="Y49" i="18"/>
  <c r="W49" i="1"/>
  <c r="K8" i="6" s="1"/>
  <c r="Y8" i="6" s="1"/>
  <c r="Z8" i="6" s="1"/>
  <c r="U51" i="15"/>
  <c r="Y51" i="15" s="1"/>
  <c r="Y26" i="15"/>
  <c r="AP32" i="15"/>
  <c r="AN32" i="15"/>
  <c r="W49" i="19"/>
  <c r="K14" i="6" s="1"/>
  <c r="AE28" i="1"/>
  <c r="C32" i="8" s="1"/>
  <c r="AP35" i="15"/>
  <c r="AN35" i="15"/>
  <c r="AM31" i="16"/>
  <c r="AE29" i="18"/>
  <c r="I59" i="1"/>
  <c r="J59" i="1" s="1"/>
  <c r="J58" i="1"/>
  <c r="J60" i="1"/>
  <c r="AP45" i="1"/>
  <c r="AN45" i="1"/>
  <c r="AP10" i="5"/>
  <c r="AN10" i="5"/>
  <c r="J5" i="6"/>
  <c r="Y49" i="19"/>
  <c r="U51" i="1"/>
  <c r="Y51" i="1" s="1"/>
  <c r="Y26" i="1"/>
  <c r="AP44" i="5"/>
  <c r="AN44" i="5"/>
  <c r="AP41" i="16"/>
  <c r="AN41" i="16"/>
  <c r="AI25" i="17"/>
  <c r="AP18" i="16"/>
  <c r="AN18" i="16"/>
  <c r="AP4" i="1"/>
  <c r="AN4" i="1"/>
  <c r="V4" i="5"/>
  <c r="AI48" i="1"/>
  <c r="I59" i="5"/>
  <c r="J59" i="5" s="1"/>
  <c r="J60" i="5"/>
  <c r="J58" i="5"/>
  <c r="AP33" i="15"/>
  <c r="AN33" i="15"/>
  <c r="AA52" i="19"/>
  <c r="AK51" i="19" s="1"/>
  <c r="AP45" i="19"/>
  <c r="AN45" i="19"/>
  <c r="AP46" i="16"/>
  <c r="AN46" i="16"/>
  <c r="AA52" i="1"/>
  <c r="AK51" i="1" s="1"/>
  <c r="Q7" i="6"/>
  <c r="AE7" i="6" s="1"/>
  <c r="AG25" i="5"/>
  <c r="L31" i="7"/>
  <c r="AP17" i="17"/>
  <c r="AN17" i="17"/>
  <c r="AE10" i="6"/>
  <c r="L35" i="8"/>
  <c r="Q11" i="6"/>
  <c r="V20" i="17"/>
  <c r="W26" i="1"/>
  <c r="AE31" i="5"/>
  <c r="AP35" i="5"/>
  <c r="AN35" i="5"/>
  <c r="AI48" i="15"/>
  <c r="AP39" i="15"/>
  <c r="AN39" i="15"/>
  <c r="AP19" i="15"/>
  <c r="AN19" i="15"/>
  <c r="L5" i="8"/>
  <c r="AE3" i="17"/>
  <c r="AM37" i="16"/>
  <c r="M30" i="12"/>
  <c r="L31" i="12"/>
  <c r="AM5" i="5"/>
  <c r="AN40" i="15"/>
  <c r="AD49" i="19"/>
  <c r="V26" i="16"/>
  <c r="V51" i="16" s="1"/>
  <c r="AP34" i="15"/>
  <c r="AN34" i="15"/>
  <c r="Y26" i="19"/>
  <c r="U51" i="19"/>
  <c r="AP47" i="19"/>
  <c r="AN47" i="19"/>
  <c r="Y49" i="15"/>
  <c r="V9" i="15"/>
  <c r="V24" i="15"/>
  <c r="V5" i="15"/>
  <c r="V10" i="15"/>
  <c r="V7" i="15"/>
  <c r="V23" i="15"/>
  <c r="V47" i="15"/>
  <c r="V22" i="15"/>
  <c r="V15" i="15"/>
  <c r="V12" i="15"/>
  <c r="V32" i="15"/>
  <c r="V38" i="15"/>
  <c r="V33" i="15"/>
  <c r="V11" i="15"/>
  <c r="V35" i="15"/>
  <c r="V37" i="15"/>
  <c r="V17" i="15"/>
  <c r="V45" i="15"/>
  <c r="V41" i="15"/>
  <c r="V36" i="15"/>
  <c r="V40" i="15"/>
  <c r="V39" i="15"/>
  <c r="V13" i="15"/>
  <c r="V42" i="15"/>
  <c r="V46" i="15"/>
  <c r="V29" i="15"/>
  <c r="V14" i="15"/>
  <c r="V4" i="15"/>
  <c r="V16" i="15"/>
  <c r="V20" i="15"/>
  <c r="V44" i="15"/>
  <c r="V6" i="15"/>
  <c r="V30" i="15"/>
  <c r="V34" i="15"/>
  <c r="V43" i="15"/>
  <c r="V8" i="15"/>
  <c r="V31" i="15"/>
  <c r="AP8" i="17"/>
  <c r="AN8" i="17"/>
  <c r="AD26" i="15"/>
  <c r="AD51" i="15" s="1"/>
  <c r="Y26" i="18"/>
  <c r="W49" i="17"/>
  <c r="AA49" i="5"/>
  <c r="Q6" i="6" s="1"/>
  <c r="D6" i="6" s="1"/>
  <c r="AP24" i="15"/>
  <c r="AN24" i="15"/>
  <c r="AP42" i="15"/>
  <c r="AN42" i="15"/>
  <c r="Y51" i="19"/>
  <c r="AP15" i="16"/>
  <c r="AN15" i="16"/>
  <c r="V23" i="17"/>
  <c r="AP41" i="15"/>
  <c r="J11" i="6"/>
  <c r="AA52" i="16"/>
  <c r="AK51" i="16" s="1"/>
  <c r="Q9" i="6"/>
  <c r="AM6" i="1"/>
  <c r="V31" i="5"/>
  <c r="V21" i="15"/>
  <c r="V39" i="5"/>
  <c r="AG25" i="16"/>
  <c r="AP29" i="15"/>
  <c r="AN29" i="15"/>
  <c r="AN43" i="16"/>
  <c r="AP43" i="16"/>
  <c r="AK51" i="15"/>
  <c r="Q3" i="6"/>
  <c r="D3" i="6" s="1"/>
  <c r="Y51" i="5"/>
  <c r="M31" i="9"/>
  <c r="L32" i="9"/>
  <c r="AL30" i="17" a="1"/>
  <c r="AL30" i="17" s="1"/>
  <c r="AM9" i="16"/>
  <c r="V49" i="16"/>
  <c r="AL28" i="5" a="1"/>
  <c r="AL28" i="5" s="1"/>
  <c r="AM34" i="15"/>
  <c r="AM9" i="19"/>
  <c r="AL3" i="16"/>
  <c r="V28" i="15"/>
  <c r="AP22" i="15"/>
  <c r="AN22" i="15"/>
  <c r="AP4" i="16"/>
  <c r="AN4" i="16"/>
  <c r="AE3" i="15"/>
  <c r="C25" i="11" s="1"/>
  <c r="Y49" i="1"/>
  <c r="V40" i="1"/>
  <c r="V36" i="1"/>
  <c r="V45" i="1"/>
  <c r="V9" i="1"/>
  <c r="V10" i="1"/>
  <c r="V6" i="1"/>
  <c r="V22" i="1"/>
  <c r="V32" i="1"/>
  <c r="V43" i="1"/>
  <c r="V42" i="1"/>
  <c r="V4" i="1"/>
  <c r="V26" i="1" s="1"/>
  <c r="V33" i="1"/>
  <c r="V39" i="1"/>
  <c r="V24" i="1"/>
  <c r="V38" i="1"/>
  <c r="V7" i="1"/>
  <c r="V19" i="1"/>
  <c r="V47" i="1"/>
  <c r="V41" i="1"/>
  <c r="V12" i="1"/>
  <c r="V17" i="1"/>
  <c r="V46" i="1"/>
  <c r="V23" i="1"/>
  <c r="V5" i="1"/>
  <c r="V30" i="1"/>
  <c r="V37" i="1"/>
  <c r="V21" i="1"/>
  <c r="V15" i="1"/>
  <c r="V29" i="1"/>
  <c r="V49" i="1" s="1"/>
  <c r="V20" i="1"/>
  <c r="V8" i="1"/>
  <c r="V35" i="1"/>
  <c r="V31" i="1"/>
  <c r="V44" i="1"/>
  <c r="V16" i="1"/>
  <c r="AG48" i="15"/>
  <c r="AM28" i="15"/>
  <c r="AD26" i="17"/>
  <c r="AM38" i="16"/>
  <c r="AM42" i="5"/>
  <c r="AM14" i="16"/>
  <c r="V10" i="5"/>
  <c r="F33" i="10"/>
  <c r="E34" i="10"/>
  <c r="W26" i="19"/>
  <c r="AE3" i="19"/>
  <c r="AM5" i="18"/>
  <c r="AG25" i="17"/>
  <c r="AP16" i="5"/>
  <c r="AN16" i="5"/>
  <c r="AP5" i="19"/>
  <c r="AN5" i="19"/>
  <c r="Y49" i="17"/>
  <c r="V19" i="17"/>
  <c r="V18" i="17"/>
  <c r="V10" i="17"/>
  <c r="V8" i="17"/>
  <c r="V17" i="17"/>
  <c r="V38" i="17"/>
  <c r="V33" i="17"/>
  <c r="V6" i="17"/>
  <c r="V11" i="17"/>
  <c r="V39" i="17"/>
  <c r="V30" i="17"/>
  <c r="V40" i="17"/>
  <c r="V14" i="17"/>
  <c r="V7" i="17"/>
  <c r="V44" i="17"/>
  <c r="V16" i="17"/>
  <c r="V29" i="17"/>
  <c r="V5" i="17"/>
  <c r="V42" i="17"/>
  <c r="V41" i="17"/>
  <c r="V35" i="17"/>
  <c r="V22" i="17"/>
  <c r="V4" i="17"/>
  <c r="V26" i="17" s="1"/>
  <c r="V46" i="17"/>
  <c r="V31" i="17"/>
  <c r="V45" i="17"/>
  <c r="V37" i="17"/>
  <c r="V36" i="17"/>
  <c r="V32" i="17"/>
  <c r="V15" i="17"/>
  <c r="V28" i="17"/>
  <c r="V34" i="17"/>
  <c r="V21" i="17"/>
  <c r="V43" i="17"/>
  <c r="V12" i="17"/>
  <c r="AG25" i="15"/>
  <c r="V13" i="17"/>
  <c r="W49" i="16"/>
  <c r="K10" i="6" s="1"/>
  <c r="AB10" i="6" s="1"/>
  <c r="M32" i="10"/>
  <c r="L33" i="10"/>
  <c r="AM12" i="16"/>
  <c r="AP10" i="1"/>
  <c r="AN10" i="1"/>
  <c r="AP45" i="5"/>
  <c r="AN45" i="5"/>
  <c r="AN36" i="19"/>
  <c r="AP36" i="19"/>
  <c r="V47" i="17"/>
  <c r="AP6" i="19"/>
  <c r="AN6" i="19"/>
  <c r="AM42" i="18"/>
  <c r="AG48" i="19"/>
  <c r="U51" i="17"/>
  <c r="Y51" i="17" s="1"/>
  <c r="Y26" i="17"/>
  <c r="AD26" i="1"/>
  <c r="AE4" i="6"/>
  <c r="AP21" i="1"/>
  <c r="AN21" i="1"/>
  <c r="AP45" i="15"/>
  <c r="AN45" i="15"/>
  <c r="AM6" i="16"/>
  <c r="AM4" i="1"/>
  <c r="AM5" i="19"/>
  <c r="M6" i="7"/>
  <c r="G6" i="7" s="1"/>
  <c r="L7" i="7"/>
  <c r="AM45" i="19"/>
  <c r="AM48" i="19" s="1"/>
  <c r="AP13" i="1"/>
  <c r="AN13" i="1"/>
  <c r="AG48" i="5"/>
  <c r="V24" i="17"/>
  <c r="L31" i="11"/>
  <c r="AM6" i="19"/>
  <c r="AE26" i="1"/>
  <c r="AL3" i="1"/>
  <c r="AP36" i="17"/>
  <c r="AN36" i="17"/>
  <c r="F32" i="25" l="1"/>
  <c r="E33" i="25"/>
  <c r="F8" i="25"/>
  <c r="E11" i="25"/>
  <c r="E9" i="25"/>
  <c r="AL29" i="18" a="1"/>
  <c r="AL29" i="18" s="1"/>
  <c r="C43" i="12"/>
  <c r="AL36" i="18" a="1"/>
  <c r="AL36" i="18" s="1"/>
  <c r="C45" i="12"/>
  <c r="AL35" i="18" a="1"/>
  <c r="AL35" i="18" s="1"/>
  <c r="C33" i="12"/>
  <c r="AL34" i="18" a="1"/>
  <c r="AL34" i="18" s="1"/>
  <c r="AM34" i="18" s="1"/>
  <c r="C34" i="12"/>
  <c r="AL38" i="18" a="1"/>
  <c r="AL38" i="18" s="1"/>
  <c r="AP38" i="18" s="1"/>
  <c r="C47" i="12"/>
  <c r="AL41" i="18" a="1"/>
  <c r="AL41" i="18" s="1"/>
  <c r="AP41" i="18" s="1"/>
  <c r="C41" i="12"/>
  <c r="AL37" i="18" a="1"/>
  <c r="AL37" i="18" s="1"/>
  <c r="C31" i="12"/>
  <c r="AL33" i="18" a="1"/>
  <c r="AL33" i="18" s="1"/>
  <c r="AP33" i="18" s="1"/>
  <c r="C36" i="12"/>
  <c r="AL31" i="18" a="1"/>
  <c r="AL31" i="18" s="1"/>
  <c r="AM31" i="18" s="1"/>
  <c r="C35" i="12"/>
  <c r="AL45" i="18" a="1"/>
  <c r="AL45" i="18" s="1"/>
  <c r="AP45" i="18" s="1"/>
  <c r="C30" i="12"/>
  <c r="AL46" i="18" a="1"/>
  <c r="AL46" i="18" s="1"/>
  <c r="AP46" i="18" s="1"/>
  <c r="C49" i="12"/>
  <c r="AL44" i="18" a="1"/>
  <c r="AL44" i="18" s="1"/>
  <c r="C32" i="12"/>
  <c r="AL32" i="18" a="1"/>
  <c r="AL32" i="18" s="1"/>
  <c r="AP32" i="18" s="1"/>
  <c r="C38" i="12"/>
  <c r="AL43" i="18" a="1"/>
  <c r="AL43" i="18" s="1"/>
  <c r="AP43" i="18" s="1"/>
  <c r="C46" i="12"/>
  <c r="AL28" i="18" a="1"/>
  <c r="AL28" i="18" s="1"/>
  <c r="C48" i="12"/>
  <c r="AE49" i="18"/>
  <c r="AL8" i="18" a="1"/>
  <c r="AL8" i="18" s="1"/>
  <c r="C7" i="12"/>
  <c r="AL9" i="18" a="1"/>
  <c r="AL9" i="18" s="1"/>
  <c r="AN9" i="18" s="1"/>
  <c r="C24" i="12"/>
  <c r="AL16" i="18" a="1"/>
  <c r="AL16" i="18" s="1"/>
  <c r="C12" i="12"/>
  <c r="AL22" i="18" a="1"/>
  <c r="AL22" i="18" s="1"/>
  <c r="C20" i="12"/>
  <c r="AL18" i="18" a="1"/>
  <c r="AL18" i="18" s="1"/>
  <c r="AP18" i="18" s="1"/>
  <c r="C15" i="12"/>
  <c r="AL12" i="18" a="1"/>
  <c r="AL12" i="18" s="1"/>
  <c r="AM12" i="18" s="1"/>
  <c r="C11" i="12"/>
  <c r="AL15" i="18" a="1"/>
  <c r="AL15" i="18" s="1"/>
  <c r="C25" i="12"/>
  <c r="AL17" i="18" a="1"/>
  <c r="AL17" i="18" s="1"/>
  <c r="AP17" i="18" s="1"/>
  <c r="C18" i="12"/>
  <c r="AL19" i="18" a="1"/>
  <c r="AL19" i="18" s="1"/>
  <c r="AP19" i="18" s="1"/>
  <c r="C13" i="12"/>
  <c r="AL13" i="18" a="1"/>
  <c r="AL13" i="18" s="1"/>
  <c r="AP13" i="18" s="1"/>
  <c r="C14" i="12"/>
  <c r="AL6" i="18" a="1"/>
  <c r="AL6" i="18" s="1"/>
  <c r="AP6" i="18" s="1"/>
  <c r="C5" i="12"/>
  <c r="AL20" i="18" a="1"/>
  <c r="AL20" i="18" s="1"/>
  <c r="AN20" i="18" s="1"/>
  <c r="C9" i="12"/>
  <c r="C26" i="12"/>
  <c r="F44" i="39"/>
  <c r="E45" i="39"/>
  <c r="M21" i="39"/>
  <c r="G21" i="39" s="1"/>
  <c r="L22" i="39"/>
  <c r="M44" i="39"/>
  <c r="G44" i="39" s="1"/>
  <c r="L45" i="39"/>
  <c r="F21" i="39"/>
  <c r="E22" i="39"/>
  <c r="Y5" i="6"/>
  <c r="Y3" i="6"/>
  <c r="Z3" i="6" s="1"/>
  <c r="R31" i="6"/>
  <c r="V31" i="6"/>
  <c r="N31" i="6"/>
  <c r="W31" i="6"/>
  <c r="O31" i="6"/>
  <c r="P31" i="6"/>
  <c r="U31" i="6"/>
  <c r="Q31" i="6"/>
  <c r="D14" i="6"/>
  <c r="Y14" i="6"/>
  <c r="Y12" i="6"/>
  <c r="Y9" i="6"/>
  <c r="L31" i="6"/>
  <c r="M31" i="6"/>
  <c r="AB14" i="6"/>
  <c r="Y10" i="6"/>
  <c r="Z10" i="6" s="1"/>
  <c r="Y7" i="6"/>
  <c r="Z7" i="6" s="1"/>
  <c r="Y6" i="6"/>
  <c r="Z6" i="6" s="1"/>
  <c r="F15" i="38"/>
  <c r="E16" i="38"/>
  <c r="M40" i="38"/>
  <c r="L41" i="38"/>
  <c r="F40" i="38"/>
  <c r="E41" i="38"/>
  <c r="M16" i="38"/>
  <c r="L17" i="38"/>
  <c r="J27" i="6"/>
  <c r="J29" i="6" s="1"/>
  <c r="F29" i="6"/>
  <c r="Q23" i="6"/>
  <c r="I25" i="6"/>
  <c r="L6" i="12"/>
  <c r="M6" i="12" s="1"/>
  <c r="G6" i="12" s="1"/>
  <c r="L8" i="10"/>
  <c r="F7" i="10"/>
  <c r="L9" i="10"/>
  <c r="M8" i="10"/>
  <c r="G8" i="10" s="1"/>
  <c r="L11" i="10"/>
  <c r="Z14" i="6"/>
  <c r="J23" i="6"/>
  <c r="W51" i="19"/>
  <c r="K13" i="6"/>
  <c r="M14" i="25"/>
  <c r="L15" i="25"/>
  <c r="M38" i="25"/>
  <c r="L39" i="25"/>
  <c r="AB9" i="6"/>
  <c r="AE9" i="6"/>
  <c r="X28" i="6"/>
  <c r="Q28" i="6"/>
  <c r="Z5" i="6"/>
  <c r="D5" i="6"/>
  <c r="D9" i="6"/>
  <c r="D11" i="6"/>
  <c r="D7" i="6"/>
  <c r="Q27" i="6"/>
  <c r="AM18" i="18"/>
  <c r="V49" i="17"/>
  <c r="V51" i="17" s="1"/>
  <c r="AM4" i="17"/>
  <c r="AM35" i="18"/>
  <c r="AM37" i="17"/>
  <c r="AM45" i="17"/>
  <c r="AM13" i="17"/>
  <c r="AM44" i="17"/>
  <c r="AM46" i="18"/>
  <c r="AL5" i="16" a="1"/>
  <c r="AL5" i="16" s="1"/>
  <c r="C12" i="9"/>
  <c r="C50" i="9"/>
  <c r="D30" i="9"/>
  <c r="D36" i="9"/>
  <c r="D31" i="9"/>
  <c r="D40" i="9"/>
  <c r="AM48" i="16"/>
  <c r="D48" i="9"/>
  <c r="D43" i="9"/>
  <c r="D41" i="9"/>
  <c r="D8" i="8"/>
  <c r="D13" i="8"/>
  <c r="D22" i="8"/>
  <c r="D11" i="8"/>
  <c r="D6" i="8"/>
  <c r="D19" i="8"/>
  <c r="D4" i="8"/>
  <c r="D9" i="8"/>
  <c r="D16" i="8"/>
  <c r="D7" i="8"/>
  <c r="D17" i="8"/>
  <c r="D25" i="8"/>
  <c r="D21" i="8"/>
  <c r="AD51" i="1"/>
  <c r="AN9" i="1"/>
  <c r="D38" i="8"/>
  <c r="D14" i="8"/>
  <c r="D20" i="8"/>
  <c r="D18" i="8"/>
  <c r="D15" i="8"/>
  <c r="AN22" i="1"/>
  <c r="AP29" i="1"/>
  <c r="D23" i="8"/>
  <c r="D5" i="8"/>
  <c r="D10" i="8"/>
  <c r="C50" i="8"/>
  <c r="D12" i="8"/>
  <c r="D24" i="8"/>
  <c r="C26" i="7"/>
  <c r="D4" i="7"/>
  <c r="AN37" i="5"/>
  <c r="D24" i="7"/>
  <c r="AN29" i="5"/>
  <c r="D9" i="7"/>
  <c r="D14" i="7"/>
  <c r="D7" i="7"/>
  <c r="AL31" i="5" a="1"/>
  <c r="AL31" i="5" s="1"/>
  <c r="C35" i="7"/>
  <c r="D12" i="7"/>
  <c r="D34" i="11"/>
  <c r="D47" i="11"/>
  <c r="D40" i="11"/>
  <c r="AN36" i="15"/>
  <c r="D41" i="11"/>
  <c r="C50" i="11"/>
  <c r="D30" i="11"/>
  <c r="D43" i="11"/>
  <c r="C26" i="11"/>
  <c r="D16" i="11" s="1"/>
  <c r="AN46" i="15"/>
  <c r="D33" i="11"/>
  <c r="D12" i="6"/>
  <c r="D28" i="6" s="1"/>
  <c r="X31" i="6"/>
  <c r="L6" i="9"/>
  <c r="M5" i="9"/>
  <c r="G5" i="9" s="1"/>
  <c r="G31" i="8"/>
  <c r="AN43" i="18"/>
  <c r="G5" i="7"/>
  <c r="AP34" i="18"/>
  <c r="AN34" i="18"/>
  <c r="M6" i="11"/>
  <c r="L7" i="11"/>
  <c r="AP20" i="18"/>
  <c r="AN13" i="18"/>
  <c r="AM20" i="18"/>
  <c r="AP12" i="18"/>
  <c r="AM13" i="18"/>
  <c r="AN12" i="18"/>
  <c r="AP49" i="16"/>
  <c r="AE49" i="5"/>
  <c r="AM45" i="18"/>
  <c r="AN45" i="18"/>
  <c r="AN18" i="18"/>
  <c r="AN32" i="18"/>
  <c r="R51" i="18"/>
  <c r="AN45" i="17"/>
  <c r="AN21" i="17"/>
  <c r="AN28" i="17"/>
  <c r="AP31" i="18"/>
  <c r="AP47" i="17"/>
  <c r="AN31" i="18"/>
  <c r="AN46" i="18"/>
  <c r="AM37" i="18"/>
  <c r="AN6" i="18"/>
  <c r="AM6" i="18"/>
  <c r="AN33" i="18"/>
  <c r="AN19" i="18"/>
  <c r="AP29" i="17"/>
  <c r="AM19" i="18"/>
  <c r="AK51" i="18"/>
  <c r="AN15" i="17"/>
  <c r="AN43" i="17"/>
  <c r="AE26" i="18"/>
  <c r="AE51" i="18" s="1"/>
  <c r="AM33" i="18"/>
  <c r="AP32" i="17"/>
  <c r="AN41" i="18"/>
  <c r="AN38" i="18"/>
  <c r="AN44" i="17"/>
  <c r="AN37" i="18"/>
  <c r="AP37" i="18"/>
  <c r="AP9" i="18"/>
  <c r="AN5" i="17"/>
  <c r="AM9" i="18"/>
  <c r="AN17" i="18"/>
  <c r="AN22" i="17"/>
  <c r="AN40" i="17"/>
  <c r="AN37" i="17"/>
  <c r="AN34" i="17"/>
  <c r="AN20" i="17"/>
  <c r="AN9" i="17"/>
  <c r="AN33" i="17"/>
  <c r="AI48" i="18"/>
  <c r="AM8" i="18"/>
  <c r="AE49" i="17"/>
  <c r="AP39" i="17"/>
  <c r="AM44" i="18"/>
  <c r="AG25" i="18"/>
  <c r="W49" i="18"/>
  <c r="AN16" i="17"/>
  <c r="AG48" i="18"/>
  <c r="W26" i="18"/>
  <c r="AP22" i="18"/>
  <c r="AN22" i="18"/>
  <c r="AM16" i="18"/>
  <c r="AP35" i="18"/>
  <c r="AN35" i="18"/>
  <c r="AN44" i="18"/>
  <c r="AP44" i="18"/>
  <c r="AP8" i="18"/>
  <c r="AN8" i="18"/>
  <c r="AP16" i="18"/>
  <c r="AN16" i="18"/>
  <c r="AN15" i="18"/>
  <c r="AP15" i="18"/>
  <c r="AP47" i="18"/>
  <c r="AN47" i="18"/>
  <c r="AI25" i="18"/>
  <c r="AN36" i="18"/>
  <c r="AP36" i="18"/>
  <c r="AM15" i="18"/>
  <c r="AP13" i="17"/>
  <c r="AN4" i="17"/>
  <c r="AN19" i="17"/>
  <c r="AN24" i="17"/>
  <c r="AN23" i="17"/>
  <c r="AD51" i="17"/>
  <c r="AK51" i="17"/>
  <c r="V51" i="1"/>
  <c r="AP28" i="18"/>
  <c r="AL48" i="18"/>
  <c r="AN28" i="18"/>
  <c r="AL25" i="1"/>
  <c r="AP3" i="1"/>
  <c r="AN3" i="1"/>
  <c r="V49" i="18"/>
  <c r="V49" i="15"/>
  <c r="M31" i="7"/>
  <c r="L32" i="7"/>
  <c r="AB3" i="6"/>
  <c r="V26" i="5"/>
  <c r="AE49" i="15"/>
  <c r="AL28" i="15" a="1"/>
  <c r="AL28" i="15" s="1"/>
  <c r="AE5" i="6"/>
  <c r="W51" i="16"/>
  <c r="AE26" i="19"/>
  <c r="AE51" i="19" s="1"/>
  <c r="AL3" i="19"/>
  <c r="AE3" i="6"/>
  <c r="AM48" i="15"/>
  <c r="AL25" i="16"/>
  <c r="AN3" i="16"/>
  <c r="AP3" i="16"/>
  <c r="AM3" i="16"/>
  <c r="AM25" i="16" s="1"/>
  <c r="AP30" i="17"/>
  <c r="AN30" i="17"/>
  <c r="AL48" i="17"/>
  <c r="M5" i="8"/>
  <c r="G5" i="8" s="1"/>
  <c r="L6" i="8"/>
  <c r="V26" i="18"/>
  <c r="AD51" i="19"/>
  <c r="AA52" i="5"/>
  <c r="AK51" i="5" s="1"/>
  <c r="AL48" i="19"/>
  <c r="AP28" i="19"/>
  <c r="AP49" i="19" s="1"/>
  <c r="AN28" i="19"/>
  <c r="AN48" i="19" s="1"/>
  <c r="AE26" i="17"/>
  <c r="AL3" i="17"/>
  <c r="AM3" i="17" s="1"/>
  <c r="AM25" i="17" s="1"/>
  <c r="M7" i="7"/>
  <c r="L8" i="7"/>
  <c r="AE26" i="16"/>
  <c r="AE51" i="16" s="1"/>
  <c r="L33" i="9"/>
  <c r="M32" i="9"/>
  <c r="M35" i="8"/>
  <c r="L36" i="8"/>
  <c r="AB8" i="6"/>
  <c r="F8" i="10"/>
  <c r="E9" i="10"/>
  <c r="E11" i="10"/>
  <c r="V26" i="15"/>
  <c r="V51" i="15" s="1"/>
  <c r="W51" i="1"/>
  <c r="AL48" i="5"/>
  <c r="AP28" i="5"/>
  <c r="AN28" i="5"/>
  <c r="M33" i="10"/>
  <c r="L34" i="10"/>
  <c r="M31" i="11"/>
  <c r="L32" i="11"/>
  <c r="AE26" i="15"/>
  <c r="AL3" i="15"/>
  <c r="M31" i="12"/>
  <c r="L32" i="12"/>
  <c r="AP31" i="5"/>
  <c r="AN31" i="5"/>
  <c r="AB4" i="6"/>
  <c r="AM3" i="1"/>
  <c r="AM25" i="1" s="1"/>
  <c r="AN48" i="16"/>
  <c r="AP29" i="18"/>
  <c r="AN29" i="18"/>
  <c r="AE49" i="1"/>
  <c r="AE51" i="1" s="1"/>
  <c r="AL28" i="1" a="1"/>
  <c r="AL28" i="1" s="1"/>
  <c r="AE26" i="5"/>
  <c r="AE51" i="5" s="1"/>
  <c r="AL3" i="5"/>
  <c r="AE6" i="6"/>
  <c r="AP5" i="16"/>
  <c r="AN5" i="16"/>
  <c r="W51" i="5"/>
  <c r="AB5" i="6"/>
  <c r="W51" i="17"/>
  <c r="K11" i="6"/>
  <c r="K31" i="6" s="1"/>
  <c r="F34" i="10"/>
  <c r="E35" i="10"/>
  <c r="AE11" i="6"/>
  <c r="V49" i="5"/>
  <c r="G38" i="38" l="1"/>
  <c r="F33" i="25"/>
  <c r="E34" i="25"/>
  <c r="E10" i="25"/>
  <c r="F10" i="25" s="1"/>
  <c r="F9" i="25"/>
  <c r="F11" i="25"/>
  <c r="E12" i="25"/>
  <c r="C50" i="12"/>
  <c r="D48" i="12" s="1"/>
  <c r="D25" i="12"/>
  <c r="D7" i="12"/>
  <c r="D14" i="12"/>
  <c r="D16" i="12"/>
  <c r="D12" i="12"/>
  <c r="D5" i="12"/>
  <c r="D6" i="12"/>
  <c r="D10" i="12"/>
  <c r="D21" i="12"/>
  <c r="D17" i="12"/>
  <c r="D20" i="12"/>
  <c r="D9" i="12"/>
  <c r="D18" i="12"/>
  <c r="D22" i="12"/>
  <c r="D23" i="12"/>
  <c r="D8" i="12"/>
  <c r="D11" i="12"/>
  <c r="D24" i="12"/>
  <c r="D15" i="12"/>
  <c r="D19" i="12"/>
  <c r="D13" i="12"/>
  <c r="D4" i="12"/>
  <c r="F22" i="39"/>
  <c r="E23" i="39"/>
  <c r="M45" i="39"/>
  <c r="G45" i="39" s="1"/>
  <c r="L46" i="39"/>
  <c r="M22" i="39"/>
  <c r="G22" i="39" s="1"/>
  <c r="L23" i="39"/>
  <c r="F45" i="39"/>
  <c r="E46" i="39"/>
  <c r="Z9" i="6"/>
  <c r="AD9" i="6" s="1"/>
  <c r="Y11" i="6"/>
  <c r="Z13" i="6"/>
  <c r="AC13" i="6" s="1"/>
  <c r="AB13" i="6"/>
  <c r="Y13" i="6"/>
  <c r="Z11" i="6"/>
  <c r="AA3" i="6" s="1"/>
  <c r="Y28" i="6"/>
  <c r="Z12" i="6"/>
  <c r="AD12" i="6" s="1"/>
  <c r="AC14" i="6"/>
  <c r="AD14" i="6"/>
  <c r="Q25" i="6"/>
  <c r="M17" i="38"/>
  <c r="L18" i="38"/>
  <c r="F41" i="38"/>
  <c r="E42" i="38"/>
  <c r="M41" i="38"/>
  <c r="L42" i="38"/>
  <c r="F16" i="38"/>
  <c r="E17" i="38"/>
  <c r="D23" i="6"/>
  <c r="X23" i="6"/>
  <c r="X25" i="6" s="1"/>
  <c r="D27" i="6"/>
  <c r="D29" i="6" s="1"/>
  <c r="Q29" i="6"/>
  <c r="K27" i="6"/>
  <c r="L7" i="12"/>
  <c r="L8" i="12" s="1"/>
  <c r="G7" i="10"/>
  <c r="M9" i="10"/>
  <c r="G9" i="10" s="1"/>
  <c r="L10" i="10"/>
  <c r="M10" i="10" s="1"/>
  <c r="M11" i="10"/>
  <c r="L12" i="10"/>
  <c r="K23" i="6"/>
  <c r="M39" i="25"/>
  <c r="L40" i="25"/>
  <c r="M15" i="25"/>
  <c r="L16" i="25"/>
  <c r="S25" i="6"/>
  <c r="T25" i="6"/>
  <c r="U25" i="6"/>
  <c r="R25" i="6"/>
  <c r="V25" i="6"/>
  <c r="X27" i="6"/>
  <c r="X29" i="6" s="1"/>
  <c r="K28" i="6"/>
  <c r="L25" i="6"/>
  <c r="AM48" i="17"/>
  <c r="E30" i="9"/>
  <c r="F30" i="9" s="1"/>
  <c r="D42" i="9"/>
  <c r="D46" i="9"/>
  <c r="D47" i="9"/>
  <c r="D38" i="9"/>
  <c r="D49" i="9"/>
  <c r="D39" i="9"/>
  <c r="D33" i="9"/>
  <c r="D34" i="9"/>
  <c r="D45" i="9"/>
  <c r="D44" i="9"/>
  <c r="D37" i="9"/>
  <c r="D35" i="9"/>
  <c r="D32" i="9"/>
  <c r="C26" i="9"/>
  <c r="D48" i="8"/>
  <c r="D44" i="8"/>
  <c r="D31" i="8"/>
  <c r="D47" i="8"/>
  <c r="D33" i="8"/>
  <c r="D40" i="8"/>
  <c r="D30" i="8"/>
  <c r="D37" i="8"/>
  <c r="D41" i="8"/>
  <c r="D49" i="8"/>
  <c r="D39" i="8"/>
  <c r="D46" i="8"/>
  <c r="D43" i="8"/>
  <c r="AN25" i="1"/>
  <c r="D42" i="8"/>
  <c r="E4" i="8"/>
  <c r="F4" i="8" s="1"/>
  <c r="D26" i="8"/>
  <c r="D45" i="8"/>
  <c r="D34" i="8"/>
  <c r="D35" i="8"/>
  <c r="D32" i="8"/>
  <c r="D36" i="8"/>
  <c r="E4" i="7"/>
  <c r="F4" i="7" s="1"/>
  <c r="C50" i="7"/>
  <c r="D8" i="7"/>
  <c r="D23" i="7"/>
  <c r="D19" i="7"/>
  <c r="D16" i="7"/>
  <c r="D25" i="7"/>
  <c r="D20" i="7"/>
  <c r="D13" i="7"/>
  <c r="D21" i="7"/>
  <c r="D15" i="7"/>
  <c r="D22" i="7"/>
  <c r="D10" i="7"/>
  <c r="D5" i="7"/>
  <c r="E5" i="7" s="1"/>
  <c r="F5" i="7" s="1"/>
  <c r="D6" i="7"/>
  <c r="D18" i="7"/>
  <c r="D17" i="7"/>
  <c r="D11" i="7"/>
  <c r="D18" i="11"/>
  <c r="D22" i="11"/>
  <c r="D32" i="11"/>
  <c r="D49" i="11"/>
  <c r="D36" i="11"/>
  <c r="D37" i="11"/>
  <c r="D44" i="11"/>
  <c r="E30" i="11"/>
  <c r="F30" i="11" s="1"/>
  <c r="D35" i="11"/>
  <c r="D23" i="11"/>
  <c r="D39" i="11"/>
  <c r="D12" i="11"/>
  <c r="D6" i="11"/>
  <c r="D7" i="11"/>
  <c r="D4" i="11"/>
  <c r="D9" i="11"/>
  <c r="D11" i="11"/>
  <c r="D24" i="11"/>
  <c r="D5" i="11"/>
  <c r="D8" i="11"/>
  <c r="D19" i="11"/>
  <c r="D21" i="11"/>
  <c r="D13" i="11"/>
  <c r="D20" i="11"/>
  <c r="D14" i="11"/>
  <c r="D15" i="11"/>
  <c r="D10" i="11"/>
  <c r="D48" i="11"/>
  <c r="D38" i="11"/>
  <c r="D42" i="11"/>
  <c r="D17" i="11"/>
  <c r="D45" i="11"/>
  <c r="D46" i="11"/>
  <c r="D25" i="11"/>
  <c r="D31" i="11"/>
  <c r="E31" i="11" s="1"/>
  <c r="F31" i="11" s="1"/>
  <c r="AB12" i="6"/>
  <c r="AB11" i="6"/>
  <c r="M6" i="9"/>
  <c r="L7" i="9"/>
  <c r="G32" i="8"/>
  <c r="G30" i="11"/>
  <c r="M7" i="11"/>
  <c r="G7" i="11" s="1"/>
  <c r="L8" i="11"/>
  <c r="AE51" i="15"/>
  <c r="AE51" i="17"/>
  <c r="AM48" i="18"/>
  <c r="AL3" i="18"/>
  <c r="W51" i="18"/>
  <c r="AN48" i="17"/>
  <c r="AP49" i="17"/>
  <c r="V51" i="18"/>
  <c r="M25" i="6"/>
  <c r="AP26" i="1"/>
  <c r="AL25" i="15"/>
  <c r="AP3" i="15"/>
  <c r="AN3" i="15"/>
  <c r="AN25" i="15" s="1"/>
  <c r="AM3" i="15"/>
  <c r="AM25" i="15" s="1"/>
  <c r="L35" i="10"/>
  <c r="M34" i="10"/>
  <c r="F11" i="10"/>
  <c r="E12" i="10"/>
  <c r="M8" i="7"/>
  <c r="L11" i="7"/>
  <c r="L9" i="7"/>
  <c r="M32" i="7"/>
  <c r="L33" i="7"/>
  <c r="AC9" i="6"/>
  <c r="E10" i="10"/>
  <c r="F10" i="10" s="1"/>
  <c r="F9" i="10"/>
  <c r="M6" i="8"/>
  <c r="L7" i="8"/>
  <c r="AP26" i="16"/>
  <c r="AP51" i="16" s="1"/>
  <c r="K59" i="16" s="1"/>
  <c r="L59" i="16" s="1"/>
  <c r="AD10" i="6"/>
  <c r="AC10" i="6"/>
  <c r="AD6" i="6"/>
  <c r="AC6" i="6"/>
  <c r="AN48" i="5"/>
  <c r="AN25" i="16"/>
  <c r="AE23" i="6"/>
  <c r="AL48" i="15"/>
  <c r="AP28" i="15"/>
  <c r="AP49" i="15" s="1"/>
  <c r="AN28" i="15"/>
  <c r="AN48" i="15" s="1"/>
  <c r="M36" i="8"/>
  <c r="L37" i="8"/>
  <c r="AL25" i="5"/>
  <c r="AP3" i="5"/>
  <c r="AN3" i="5"/>
  <c r="AN25" i="5" s="1"/>
  <c r="AM3" i="5"/>
  <c r="AM25" i="5" s="1"/>
  <c r="AC4" i="6"/>
  <c r="AD4" i="6"/>
  <c r="AP49" i="5"/>
  <c r="AN48" i="18"/>
  <c r="L34" i="9"/>
  <c r="M33" i="9"/>
  <c r="G33" i="9" s="1"/>
  <c r="AP3" i="17"/>
  <c r="AL25" i="17"/>
  <c r="AN3" i="17"/>
  <c r="AN25" i="17" s="1"/>
  <c r="V51" i="5"/>
  <c r="AL48" i="1"/>
  <c r="AP28" i="1"/>
  <c r="AP49" i="1" s="1"/>
  <c r="AN28" i="1"/>
  <c r="AN48" i="1" s="1"/>
  <c r="AB7" i="6"/>
  <c r="AL25" i="19"/>
  <c r="AP3" i="19"/>
  <c r="AN3" i="19"/>
  <c r="AN25" i="19" s="1"/>
  <c r="AM3" i="19"/>
  <c r="AM25" i="19" s="1"/>
  <c r="AD3" i="6"/>
  <c r="AC3" i="6"/>
  <c r="AP49" i="18"/>
  <c r="M32" i="11"/>
  <c r="L33" i="11"/>
  <c r="F35" i="10"/>
  <c r="E36" i="10"/>
  <c r="AC8" i="6"/>
  <c r="AD8" i="6"/>
  <c r="M32" i="12"/>
  <c r="L33" i="12"/>
  <c r="G39" i="38" l="1"/>
  <c r="F34" i="25"/>
  <c r="E35" i="25"/>
  <c r="F12" i="25"/>
  <c r="E13" i="25"/>
  <c r="D35" i="12"/>
  <c r="D30" i="12"/>
  <c r="D34" i="12"/>
  <c r="D42" i="12"/>
  <c r="D47" i="12"/>
  <c r="D31" i="12"/>
  <c r="D36" i="12"/>
  <c r="D32" i="12"/>
  <c r="D39" i="12"/>
  <c r="D43" i="12"/>
  <c r="D37" i="12"/>
  <c r="D49" i="12"/>
  <c r="D40" i="12"/>
  <c r="D38" i="12"/>
  <c r="D44" i="12"/>
  <c r="D46" i="12"/>
  <c r="D33" i="12"/>
  <c r="D41" i="12"/>
  <c r="D45" i="12"/>
  <c r="E4" i="12"/>
  <c r="F4" i="12" s="1"/>
  <c r="D26" i="12"/>
  <c r="E5" i="12"/>
  <c r="F5" i="12" s="1"/>
  <c r="F46" i="39"/>
  <c r="E47" i="39"/>
  <c r="M23" i="39"/>
  <c r="G23" i="39" s="1"/>
  <c r="L24" i="39"/>
  <c r="M46" i="39"/>
  <c r="G46" i="39" s="1"/>
  <c r="L47" i="39"/>
  <c r="F23" i="39"/>
  <c r="E24" i="39"/>
  <c r="Y23" i="6"/>
  <c r="Z27" i="6"/>
  <c r="Z23" i="6"/>
  <c r="AA27" i="6" s="1"/>
  <c r="AC12" i="6"/>
  <c r="Y31" i="6"/>
  <c r="Z28" i="6"/>
  <c r="AA13" i="6"/>
  <c r="AA23" i="6" s="1"/>
  <c r="Z31" i="6"/>
  <c r="AD13" i="6"/>
  <c r="Y29" i="6"/>
  <c r="G39" i="25"/>
  <c r="G30" i="25"/>
  <c r="F17" i="38"/>
  <c r="E18" i="38"/>
  <c r="M42" i="38"/>
  <c r="L43" i="38"/>
  <c r="F42" i="38"/>
  <c r="E43" i="38"/>
  <c r="M18" i="38"/>
  <c r="L19" i="38"/>
  <c r="K29" i="6"/>
  <c r="M7" i="12"/>
  <c r="G6" i="10"/>
  <c r="M12" i="10"/>
  <c r="L13" i="10"/>
  <c r="M16" i="25"/>
  <c r="L17" i="25"/>
  <c r="M40" i="25"/>
  <c r="L41" i="25"/>
  <c r="D50" i="9"/>
  <c r="D18" i="9"/>
  <c r="D23" i="9"/>
  <c r="D21" i="9"/>
  <c r="D19" i="9"/>
  <c r="D4" i="9"/>
  <c r="D22" i="9"/>
  <c r="D20" i="9"/>
  <c r="D13" i="9"/>
  <c r="D5" i="9"/>
  <c r="D16" i="9"/>
  <c r="D6" i="9"/>
  <c r="D10" i="9"/>
  <c r="D9" i="9"/>
  <c r="D25" i="9"/>
  <c r="D17" i="9"/>
  <c r="D11" i="9"/>
  <c r="D14" i="9"/>
  <c r="D15" i="9"/>
  <c r="D24" i="9"/>
  <c r="D8" i="9"/>
  <c r="D7" i="9"/>
  <c r="D12" i="9"/>
  <c r="E31" i="9"/>
  <c r="F31" i="9" s="1"/>
  <c r="E30" i="8"/>
  <c r="F30" i="8" s="1"/>
  <c r="D50" i="8"/>
  <c r="AP51" i="1"/>
  <c r="K59" i="1" s="1"/>
  <c r="L59" i="1" s="1"/>
  <c r="E5" i="8"/>
  <c r="D49" i="7"/>
  <c r="D36" i="7"/>
  <c r="D47" i="7"/>
  <c r="D39" i="7"/>
  <c r="D31" i="7"/>
  <c r="D38" i="7"/>
  <c r="D32" i="7"/>
  <c r="D41" i="7"/>
  <c r="D42" i="7"/>
  <c r="D30" i="7"/>
  <c r="D34" i="7"/>
  <c r="D46" i="7"/>
  <c r="D45" i="7"/>
  <c r="D33" i="7"/>
  <c r="D40" i="7"/>
  <c r="D43" i="7"/>
  <c r="D48" i="7"/>
  <c r="D44" i="7"/>
  <c r="D37" i="7"/>
  <c r="D26" i="7"/>
  <c r="E6" i="7"/>
  <c r="D35" i="7"/>
  <c r="E5" i="11"/>
  <c r="F5" i="11" s="1"/>
  <c r="E32" i="11"/>
  <c r="D50" i="11"/>
  <c r="E4" i="11"/>
  <c r="F4" i="11" s="1"/>
  <c r="D26" i="11"/>
  <c r="M7" i="9"/>
  <c r="L8" i="9"/>
  <c r="G33" i="8"/>
  <c r="G7" i="7"/>
  <c r="G30" i="7"/>
  <c r="G31" i="11"/>
  <c r="L9" i="11"/>
  <c r="M8" i="11"/>
  <c r="L11" i="11"/>
  <c r="AC11" i="6"/>
  <c r="AL25" i="18"/>
  <c r="AP3" i="18"/>
  <c r="AP26" i="18" s="1"/>
  <c r="AP51" i="18" s="1"/>
  <c r="K59" i="18" s="1"/>
  <c r="L59" i="18" s="1"/>
  <c r="AN3" i="18"/>
  <c r="AN25" i="18" s="1"/>
  <c r="AM3" i="18"/>
  <c r="AM25" i="18" s="1"/>
  <c r="AD11" i="6"/>
  <c r="M34" i="9"/>
  <c r="L35" i="9"/>
  <c r="M8" i="12"/>
  <c r="L9" i="12"/>
  <c r="L11" i="12"/>
  <c r="M33" i="7"/>
  <c r="L34" i="7"/>
  <c r="L36" i="10"/>
  <c r="M35" i="10"/>
  <c r="K25" i="6"/>
  <c r="AB23" i="6"/>
  <c r="AP26" i="5"/>
  <c r="AP51" i="5" s="1"/>
  <c r="K59" i="5" s="1"/>
  <c r="L59" i="5" s="1"/>
  <c r="AP26" i="19"/>
  <c r="AP51" i="19" s="1"/>
  <c r="K59" i="19" s="1"/>
  <c r="L59" i="19" s="1"/>
  <c r="F36" i="10"/>
  <c r="E37" i="10"/>
  <c r="M33" i="12"/>
  <c r="L34" i="12"/>
  <c r="M37" i="8"/>
  <c r="L38" i="8"/>
  <c r="M9" i="7"/>
  <c r="G9" i="7" s="1"/>
  <c r="L10" i="7"/>
  <c r="M10" i="7" s="1"/>
  <c r="AD7" i="6"/>
  <c r="AC7" i="6"/>
  <c r="AD5" i="6"/>
  <c r="AC5" i="6"/>
  <c r="M11" i="7"/>
  <c r="G11" i="7" s="1"/>
  <c r="L12" i="7"/>
  <c r="AP26" i="15"/>
  <c r="AP51" i="15"/>
  <c r="K59" i="15" s="1"/>
  <c r="L59" i="15" s="1"/>
  <c r="M33" i="11"/>
  <c r="L34" i="11"/>
  <c r="M7" i="8"/>
  <c r="L8" i="8"/>
  <c r="AP26" i="17"/>
  <c r="AP51" i="17" s="1"/>
  <c r="K59" i="17" s="1"/>
  <c r="L59" i="17" s="1"/>
  <c r="F12" i="10"/>
  <c r="E13" i="10"/>
  <c r="G40" i="38" l="1"/>
  <c r="G12" i="38"/>
  <c r="E36" i="25"/>
  <c r="F35" i="25"/>
  <c r="F13" i="25"/>
  <c r="E14" i="25"/>
  <c r="E30" i="12"/>
  <c r="F30" i="12" s="1"/>
  <c r="D50" i="12"/>
  <c r="E6" i="12"/>
  <c r="Z29" i="6"/>
  <c r="F24" i="39"/>
  <c r="E25" i="39"/>
  <c r="F25" i="39" s="1"/>
  <c r="M47" i="39"/>
  <c r="G47" i="39" s="1"/>
  <c r="L48" i="39"/>
  <c r="M24" i="39"/>
  <c r="G24" i="39" s="1"/>
  <c r="L25" i="39"/>
  <c r="M25" i="39" s="1"/>
  <c r="G25" i="39" s="1"/>
  <c r="F47" i="39"/>
  <c r="E48" i="39"/>
  <c r="AE52" i="18"/>
  <c r="AE52" i="37"/>
  <c r="G40" i="25"/>
  <c r="G31" i="25"/>
  <c r="M19" i="38"/>
  <c r="L20" i="38"/>
  <c r="F43" i="38"/>
  <c r="E44" i="38"/>
  <c r="L44" i="38"/>
  <c r="M43" i="38"/>
  <c r="F18" i="38"/>
  <c r="E19" i="38"/>
  <c r="G33" i="12"/>
  <c r="G11" i="10"/>
  <c r="G30" i="10"/>
  <c r="L14" i="10"/>
  <c r="M13" i="10"/>
  <c r="G13" i="10" s="1"/>
  <c r="M41" i="25"/>
  <c r="L42" i="25"/>
  <c r="M17" i="25"/>
  <c r="G17" i="25" s="1"/>
  <c r="L18" i="25"/>
  <c r="E4" i="9"/>
  <c r="F4" i="9" s="1"/>
  <c r="D26" i="9"/>
  <c r="E5" i="9"/>
  <c r="F5" i="9" s="1"/>
  <c r="E32" i="9"/>
  <c r="F5" i="8"/>
  <c r="E6" i="8"/>
  <c r="E31" i="8"/>
  <c r="E7" i="7"/>
  <c r="F6" i="7"/>
  <c r="E31" i="7"/>
  <c r="F31" i="7" s="1"/>
  <c r="E30" i="7"/>
  <c r="F30" i="7" s="1"/>
  <c r="D50" i="7"/>
  <c r="F32" i="11"/>
  <c r="E33" i="11"/>
  <c r="E6" i="11"/>
  <c r="L9" i="9"/>
  <c r="L11" i="9"/>
  <c r="M8" i="9"/>
  <c r="G6" i="8"/>
  <c r="G34" i="8"/>
  <c r="G31" i="7"/>
  <c r="G8" i="11"/>
  <c r="G6" i="11"/>
  <c r="G32" i="11"/>
  <c r="L12" i="11"/>
  <c r="M11" i="11"/>
  <c r="L10" i="11"/>
  <c r="M10" i="11" s="1"/>
  <c r="M9" i="11"/>
  <c r="AC23" i="6"/>
  <c r="Z25" i="6"/>
  <c r="AD23" i="6"/>
  <c r="M11" i="12"/>
  <c r="L12" i="12"/>
  <c r="M34" i="11"/>
  <c r="L35" i="11"/>
  <c r="F37" i="10"/>
  <c r="E38" i="10"/>
  <c r="M9" i="12"/>
  <c r="L10" i="12"/>
  <c r="M10" i="12" s="1"/>
  <c r="G10" i="12" s="1"/>
  <c r="F13" i="10"/>
  <c r="E14" i="10"/>
  <c r="M38" i="8"/>
  <c r="L39" i="8"/>
  <c r="M34" i="12"/>
  <c r="L35" i="12"/>
  <c r="L13" i="7"/>
  <c r="M12" i="7"/>
  <c r="M36" i="10"/>
  <c r="L37" i="10"/>
  <c r="M35" i="9"/>
  <c r="L36" i="9"/>
  <c r="M8" i="8"/>
  <c r="L11" i="8"/>
  <c r="L9" i="8"/>
  <c r="M34" i="7"/>
  <c r="L35" i="7"/>
  <c r="G19" i="38" l="1"/>
  <c r="G13" i="38"/>
  <c r="F36" i="25"/>
  <c r="E37" i="25"/>
  <c r="F14" i="25"/>
  <c r="E15" i="25"/>
  <c r="E31" i="12"/>
  <c r="F6" i="12"/>
  <c r="E7" i="12"/>
  <c r="F48" i="39"/>
  <c r="E49" i="39"/>
  <c r="F49" i="39" s="1"/>
  <c r="M48" i="39"/>
  <c r="G48" i="39" s="1"/>
  <c r="L49" i="39"/>
  <c r="M49" i="39" s="1"/>
  <c r="G49" i="39" s="1"/>
  <c r="G41" i="25"/>
  <c r="G32" i="25"/>
  <c r="F19" i="38"/>
  <c r="E20" i="38"/>
  <c r="M44" i="38"/>
  <c r="L45" i="38"/>
  <c r="F44" i="38"/>
  <c r="E45" i="38"/>
  <c r="M20" i="38"/>
  <c r="L21" i="38"/>
  <c r="G8" i="12"/>
  <c r="G12" i="10"/>
  <c r="G31" i="10"/>
  <c r="M14" i="10"/>
  <c r="L15" i="10"/>
  <c r="M18" i="25"/>
  <c r="L19" i="25"/>
  <c r="M42" i="25"/>
  <c r="L43" i="25"/>
  <c r="E6" i="9"/>
  <c r="F32" i="9"/>
  <c r="E33" i="9"/>
  <c r="F31" i="8"/>
  <c r="E32" i="8"/>
  <c r="E7" i="8"/>
  <c r="F6" i="8"/>
  <c r="F7" i="7"/>
  <c r="E8" i="7"/>
  <c r="E32" i="7"/>
  <c r="F6" i="11"/>
  <c r="E7" i="11"/>
  <c r="F33" i="11"/>
  <c r="E34" i="11"/>
  <c r="G35" i="9"/>
  <c r="G30" i="9"/>
  <c r="L12" i="9"/>
  <c r="M11" i="9"/>
  <c r="G11" i="9" s="1"/>
  <c r="M9" i="9"/>
  <c r="G9" i="9" s="1"/>
  <c r="L10" i="9"/>
  <c r="M10" i="9" s="1"/>
  <c r="G7" i="8"/>
  <c r="G35" i="8"/>
  <c r="G8" i="7"/>
  <c r="G32" i="7"/>
  <c r="G9" i="11"/>
  <c r="G5" i="11"/>
  <c r="G33" i="11"/>
  <c r="M12" i="11"/>
  <c r="L13" i="11"/>
  <c r="E39" i="10"/>
  <c r="F38" i="10"/>
  <c r="M11" i="8"/>
  <c r="L12" i="8"/>
  <c r="M35" i="7"/>
  <c r="L36" i="7"/>
  <c r="M37" i="10"/>
  <c r="L38" i="10"/>
  <c r="M13" i="7"/>
  <c r="L14" i="7"/>
  <c r="M12" i="12"/>
  <c r="L13" i="12"/>
  <c r="M39" i="8"/>
  <c r="L40" i="8"/>
  <c r="M35" i="11"/>
  <c r="L36" i="11"/>
  <c r="M36" i="9"/>
  <c r="L37" i="9"/>
  <c r="M9" i="8"/>
  <c r="G9" i="8" s="1"/>
  <c r="L10" i="8"/>
  <c r="M10" i="8" s="1"/>
  <c r="M35" i="12"/>
  <c r="G35" i="12" s="1"/>
  <c r="L36" i="12"/>
  <c r="F14" i="10"/>
  <c r="E15" i="10"/>
  <c r="G44" i="38" l="1"/>
  <c r="G41" i="38"/>
  <c r="G20" i="38"/>
  <c r="G14" i="38"/>
  <c r="F37" i="25"/>
  <c r="E38" i="25"/>
  <c r="F15" i="25"/>
  <c r="E16" i="25"/>
  <c r="F31" i="12"/>
  <c r="E32" i="12"/>
  <c r="F7" i="12"/>
  <c r="E8" i="12"/>
  <c r="G18" i="25"/>
  <c r="G10" i="25"/>
  <c r="G33" i="25"/>
  <c r="M21" i="38"/>
  <c r="L22" i="38"/>
  <c r="M45" i="38"/>
  <c r="L46" i="38"/>
  <c r="F20" i="38"/>
  <c r="E21" i="38"/>
  <c r="F45" i="38"/>
  <c r="E46" i="38"/>
  <c r="G11" i="12"/>
  <c r="G14" i="10"/>
  <c r="G10" i="10"/>
  <c r="G37" i="10"/>
  <c r="G32" i="10"/>
  <c r="M15" i="10"/>
  <c r="L16" i="10"/>
  <c r="M43" i="25"/>
  <c r="L44" i="25"/>
  <c r="L20" i="25"/>
  <c r="M19" i="25"/>
  <c r="F33" i="9"/>
  <c r="E34" i="9"/>
  <c r="F6" i="9"/>
  <c r="E7" i="9"/>
  <c r="F7" i="8"/>
  <c r="E8" i="8"/>
  <c r="F32" i="8"/>
  <c r="E33" i="8"/>
  <c r="F32" i="7"/>
  <c r="E33" i="7"/>
  <c r="E9" i="7"/>
  <c r="E11" i="7"/>
  <c r="F8" i="7"/>
  <c r="F34" i="11"/>
  <c r="E35" i="11"/>
  <c r="F7" i="11"/>
  <c r="E8" i="11"/>
  <c r="G10" i="9"/>
  <c r="G7" i="9"/>
  <c r="G31" i="9"/>
  <c r="M12" i="9"/>
  <c r="L13" i="9"/>
  <c r="G8" i="8"/>
  <c r="G36" i="8"/>
  <c r="G10" i="7"/>
  <c r="G33" i="7"/>
  <c r="G10" i="11"/>
  <c r="G34" i="11"/>
  <c r="M13" i="11"/>
  <c r="L14" i="11"/>
  <c r="F15" i="10"/>
  <c r="E16" i="10"/>
  <c r="M37" i="9"/>
  <c r="L38" i="9"/>
  <c r="M36" i="12"/>
  <c r="G36" i="12" s="1"/>
  <c r="L37" i="12"/>
  <c r="M36" i="11"/>
  <c r="G36" i="11" s="1"/>
  <c r="L37" i="11"/>
  <c r="M14" i="7"/>
  <c r="L15" i="7"/>
  <c r="M36" i="7"/>
  <c r="L37" i="7"/>
  <c r="M12" i="8"/>
  <c r="L13" i="8"/>
  <c r="M13" i="12"/>
  <c r="L14" i="12"/>
  <c r="E40" i="10"/>
  <c r="F39" i="10"/>
  <c r="M40" i="8"/>
  <c r="L41" i="8"/>
  <c r="M38" i="10"/>
  <c r="L39" i="10"/>
  <c r="G42" i="38" l="1"/>
  <c r="G21" i="38"/>
  <c r="G15" i="38"/>
  <c r="F38" i="25"/>
  <c r="E39" i="25"/>
  <c r="F16" i="25"/>
  <c r="E17" i="25"/>
  <c r="F32" i="12"/>
  <c r="E33" i="12"/>
  <c r="E9" i="12"/>
  <c r="E11" i="12"/>
  <c r="F8" i="12"/>
  <c r="G19" i="25"/>
  <c r="G11" i="25"/>
  <c r="G34" i="25"/>
  <c r="F46" i="38"/>
  <c r="E47" i="38"/>
  <c r="F21" i="38"/>
  <c r="E22" i="38"/>
  <c r="M46" i="38"/>
  <c r="L47" i="38"/>
  <c r="M22" i="38"/>
  <c r="L23" i="38"/>
  <c r="G12" i="12"/>
  <c r="G15" i="10"/>
  <c r="G33" i="10"/>
  <c r="L17" i="10"/>
  <c r="M16" i="10"/>
  <c r="M44" i="25"/>
  <c r="L45" i="25"/>
  <c r="M20" i="25"/>
  <c r="L21" i="25"/>
  <c r="F7" i="9"/>
  <c r="E8" i="9"/>
  <c r="E35" i="9"/>
  <c r="F34" i="9"/>
  <c r="F8" i="8"/>
  <c r="E9" i="8"/>
  <c r="E11" i="8"/>
  <c r="E34" i="8"/>
  <c r="F33" i="8"/>
  <c r="F11" i="7"/>
  <c r="E12" i="7"/>
  <c r="E10" i="7"/>
  <c r="F10" i="7" s="1"/>
  <c r="F9" i="7"/>
  <c r="F33" i="7"/>
  <c r="E34" i="7"/>
  <c r="F8" i="11"/>
  <c r="E11" i="11"/>
  <c r="E9" i="11"/>
  <c r="F35" i="11"/>
  <c r="E36" i="11"/>
  <c r="G8" i="9"/>
  <c r="G32" i="9"/>
  <c r="M13" i="9"/>
  <c r="L14" i="9"/>
  <c r="G40" i="8"/>
  <c r="G37" i="8"/>
  <c r="G12" i="7"/>
  <c r="G34" i="7"/>
  <c r="G11" i="11"/>
  <c r="G35" i="11"/>
  <c r="M14" i="11"/>
  <c r="L15" i="11"/>
  <c r="M13" i="8"/>
  <c r="L14" i="8"/>
  <c r="M39" i="10"/>
  <c r="L40" i="10"/>
  <c r="M38" i="9"/>
  <c r="L39" i="9"/>
  <c r="M41" i="8"/>
  <c r="L42" i="8"/>
  <c r="F40" i="10"/>
  <c r="E41" i="10"/>
  <c r="M37" i="7"/>
  <c r="L38" i="7"/>
  <c r="M37" i="11"/>
  <c r="G37" i="11" s="1"/>
  <c r="L38" i="11"/>
  <c r="F16" i="10"/>
  <c r="E17" i="10"/>
  <c r="M14" i="12"/>
  <c r="L15" i="12"/>
  <c r="M15" i="7"/>
  <c r="L16" i="7"/>
  <c r="M37" i="12"/>
  <c r="G37" i="12" s="1"/>
  <c r="L38" i="12"/>
  <c r="G46" i="38" l="1"/>
  <c r="G43" i="38"/>
  <c r="G22" i="38"/>
  <c r="G16" i="38"/>
  <c r="F39" i="25"/>
  <c r="E40" i="25"/>
  <c r="F17" i="25"/>
  <c r="E18" i="25"/>
  <c r="F33" i="12"/>
  <c r="E34" i="12"/>
  <c r="F11" i="12"/>
  <c r="E12" i="12"/>
  <c r="E10" i="12"/>
  <c r="F10" i="12" s="1"/>
  <c r="F9" i="12"/>
  <c r="G20" i="25"/>
  <c r="G12" i="25"/>
  <c r="G44" i="25"/>
  <c r="G35" i="25"/>
  <c r="M23" i="38"/>
  <c r="L24" i="38"/>
  <c r="F22" i="38"/>
  <c r="E23" i="38"/>
  <c r="M47" i="38"/>
  <c r="L48" i="38"/>
  <c r="E48" i="38"/>
  <c r="F47" i="38"/>
  <c r="G14" i="12"/>
  <c r="G7" i="12"/>
  <c r="G39" i="10"/>
  <c r="G34" i="10"/>
  <c r="M17" i="10"/>
  <c r="L18" i="10"/>
  <c r="M21" i="25"/>
  <c r="G21" i="25" s="1"/>
  <c r="L22" i="25"/>
  <c r="M45" i="25"/>
  <c r="L46" i="25"/>
  <c r="F35" i="9"/>
  <c r="E36" i="9"/>
  <c r="F8" i="9"/>
  <c r="E9" i="9"/>
  <c r="E11" i="9"/>
  <c r="E35" i="8"/>
  <c r="F34" i="8"/>
  <c r="F11" i="8"/>
  <c r="E12" i="8"/>
  <c r="F9" i="8"/>
  <c r="E10" i="8"/>
  <c r="F10" i="8" s="1"/>
  <c r="F34" i="7"/>
  <c r="E35" i="7"/>
  <c r="F12" i="7"/>
  <c r="E13" i="7"/>
  <c r="E37" i="11"/>
  <c r="F36" i="11"/>
  <c r="F9" i="11"/>
  <c r="E10" i="11"/>
  <c r="F10" i="11" s="1"/>
  <c r="F11" i="11"/>
  <c r="E12" i="11"/>
  <c r="G6" i="9"/>
  <c r="G34" i="9"/>
  <c r="L15" i="9"/>
  <c r="M14" i="9"/>
  <c r="G10" i="8"/>
  <c r="G38" i="8"/>
  <c r="G13" i="7"/>
  <c r="G35" i="7"/>
  <c r="G12" i="11"/>
  <c r="L16" i="11"/>
  <c r="M15" i="11"/>
  <c r="M38" i="12"/>
  <c r="L39" i="12"/>
  <c r="M38" i="7"/>
  <c r="L39" i="7"/>
  <c r="M42" i="8"/>
  <c r="L43" i="8"/>
  <c r="M15" i="12"/>
  <c r="L16" i="12"/>
  <c r="F17" i="10"/>
  <c r="E18" i="10"/>
  <c r="M38" i="11"/>
  <c r="G38" i="11" s="1"/>
  <c r="L39" i="11"/>
  <c r="M16" i="7"/>
  <c r="L17" i="7"/>
  <c r="M39" i="9"/>
  <c r="L40" i="9"/>
  <c r="M40" i="10"/>
  <c r="L41" i="10"/>
  <c r="M14" i="8"/>
  <c r="L15" i="8"/>
  <c r="F41" i="10"/>
  <c r="E42" i="10"/>
  <c r="G45" i="38" l="1"/>
  <c r="G23" i="38"/>
  <c r="G17" i="38"/>
  <c r="F40" i="25"/>
  <c r="E41" i="25"/>
  <c r="F18" i="25"/>
  <c r="E19" i="25"/>
  <c r="F34" i="12"/>
  <c r="E35" i="12"/>
  <c r="F12" i="12"/>
  <c r="E13" i="12"/>
  <c r="G45" i="25"/>
  <c r="G37" i="25"/>
  <c r="M48" i="38"/>
  <c r="L49" i="38"/>
  <c r="M49" i="38" s="1"/>
  <c r="G49" i="38" s="1"/>
  <c r="F23" i="38"/>
  <c r="E24" i="38"/>
  <c r="F48" i="38"/>
  <c r="E49" i="38"/>
  <c r="F49" i="38" s="1"/>
  <c r="M24" i="38"/>
  <c r="L25" i="38"/>
  <c r="M25" i="38" s="1"/>
  <c r="G25" i="38" s="1"/>
  <c r="G35" i="10"/>
  <c r="M18" i="10"/>
  <c r="L19" i="10"/>
  <c r="M46" i="25"/>
  <c r="L47" i="25"/>
  <c r="M22" i="25"/>
  <c r="L23" i="25"/>
  <c r="F9" i="9"/>
  <c r="E10" i="9"/>
  <c r="F10" i="9" s="1"/>
  <c r="E12" i="9"/>
  <c r="F11" i="9"/>
  <c r="F36" i="9"/>
  <c r="E37" i="9"/>
  <c r="F12" i="8"/>
  <c r="E13" i="8"/>
  <c r="F35" i="8"/>
  <c r="E36" i="8"/>
  <c r="F13" i="7"/>
  <c r="E14" i="7"/>
  <c r="F35" i="7"/>
  <c r="E36" i="7"/>
  <c r="F12" i="11"/>
  <c r="E13" i="11"/>
  <c r="F37" i="11"/>
  <c r="E38" i="11"/>
  <c r="G12" i="9"/>
  <c r="G39" i="9"/>
  <c r="G36" i="9"/>
  <c r="M15" i="9"/>
  <c r="L16" i="9"/>
  <c r="G11" i="8"/>
  <c r="G39" i="8"/>
  <c r="G36" i="7"/>
  <c r="M16" i="11"/>
  <c r="L17" i="11"/>
  <c r="M16" i="12"/>
  <c r="G16" i="12" s="1"/>
  <c r="L17" i="12"/>
  <c r="M39" i="11"/>
  <c r="G39" i="11" s="1"/>
  <c r="L40" i="11"/>
  <c r="M15" i="8"/>
  <c r="L16" i="8"/>
  <c r="F18" i="10"/>
  <c r="E19" i="10"/>
  <c r="M39" i="7"/>
  <c r="L40" i="7"/>
  <c r="M41" i="10"/>
  <c r="L42" i="10"/>
  <c r="F42" i="10"/>
  <c r="E43" i="10"/>
  <c r="M40" i="9"/>
  <c r="L41" i="9"/>
  <c r="M17" i="7"/>
  <c r="L18" i="7"/>
  <c r="M43" i="8"/>
  <c r="L44" i="8"/>
  <c r="M39" i="12"/>
  <c r="L40" i="12"/>
  <c r="G48" i="38" l="1"/>
  <c r="G47" i="38"/>
  <c r="G24" i="38"/>
  <c r="G18" i="38"/>
  <c r="F41" i="25"/>
  <c r="E42" i="25"/>
  <c r="E20" i="25"/>
  <c r="F19" i="25"/>
  <c r="F35" i="12"/>
  <c r="E36" i="12"/>
  <c r="E14" i="12"/>
  <c r="F13" i="12"/>
  <c r="G22" i="25"/>
  <c r="G13" i="25"/>
  <c r="G46" i="25"/>
  <c r="G38" i="25"/>
  <c r="F24" i="38"/>
  <c r="E25" i="38"/>
  <c r="F25" i="38" s="1"/>
  <c r="G30" i="12"/>
  <c r="G36" i="10"/>
  <c r="L20" i="10"/>
  <c r="M19" i="10"/>
  <c r="L24" i="25"/>
  <c r="M23" i="25"/>
  <c r="M47" i="25"/>
  <c r="L48" i="25"/>
  <c r="E38" i="9"/>
  <c r="F37" i="9"/>
  <c r="E13" i="9"/>
  <c r="F12" i="9"/>
  <c r="F36" i="8"/>
  <c r="E37" i="8"/>
  <c r="F13" i="8"/>
  <c r="E14" i="8"/>
  <c r="F36" i="7"/>
  <c r="E37" i="7"/>
  <c r="F14" i="7"/>
  <c r="E15" i="7"/>
  <c r="F38" i="11"/>
  <c r="E39" i="11"/>
  <c r="F13" i="11"/>
  <c r="E14" i="11"/>
  <c r="G37" i="9"/>
  <c r="L17" i="9"/>
  <c r="M16" i="9"/>
  <c r="G41" i="8"/>
  <c r="G14" i="7"/>
  <c r="G37" i="7"/>
  <c r="G13" i="11"/>
  <c r="L18" i="11"/>
  <c r="M17" i="11"/>
  <c r="M40" i="11"/>
  <c r="G40" i="11" s="1"/>
  <c r="L41" i="11"/>
  <c r="M18" i="7"/>
  <c r="L19" i="7"/>
  <c r="M40" i="7"/>
  <c r="L41" i="7"/>
  <c r="M40" i="12"/>
  <c r="L41" i="12"/>
  <c r="L42" i="9"/>
  <c r="M41" i="9"/>
  <c r="M16" i="8"/>
  <c r="L17" i="8"/>
  <c r="M42" i="10"/>
  <c r="L43" i="10"/>
  <c r="M44" i="8"/>
  <c r="L45" i="8"/>
  <c r="F43" i="10"/>
  <c r="E44" i="10"/>
  <c r="F19" i="10"/>
  <c r="E20" i="10"/>
  <c r="M17" i="12"/>
  <c r="L18" i="12"/>
  <c r="F42" i="25" l="1"/>
  <c r="E43" i="25"/>
  <c r="F20" i="25"/>
  <c r="E21" i="25"/>
  <c r="F36" i="12"/>
  <c r="E37" i="12"/>
  <c r="F14" i="12"/>
  <c r="E15" i="12"/>
  <c r="G23" i="25"/>
  <c r="G14" i="25"/>
  <c r="G47" i="25"/>
  <c r="G42" i="25"/>
  <c r="G17" i="12"/>
  <c r="G15" i="12"/>
  <c r="G31" i="12"/>
  <c r="G16" i="10"/>
  <c r="G38" i="10"/>
  <c r="M20" i="10"/>
  <c r="L21" i="10"/>
  <c r="M48" i="25"/>
  <c r="L49" i="25"/>
  <c r="M49" i="25" s="1"/>
  <c r="G49" i="25" s="1"/>
  <c r="M24" i="25"/>
  <c r="L25" i="25"/>
  <c r="M25" i="25" s="1"/>
  <c r="F38" i="9"/>
  <c r="E39" i="9"/>
  <c r="F13" i="9"/>
  <c r="E14" i="9"/>
  <c r="F14" i="8"/>
  <c r="E15" i="8"/>
  <c r="F37" i="8"/>
  <c r="E38" i="8"/>
  <c r="F15" i="7"/>
  <c r="E16" i="7"/>
  <c r="F37" i="7"/>
  <c r="E38" i="7"/>
  <c r="F14" i="11"/>
  <c r="E15" i="11"/>
  <c r="E40" i="11"/>
  <c r="F39" i="11"/>
  <c r="G38" i="9"/>
  <c r="M17" i="9"/>
  <c r="L18" i="9"/>
  <c r="G12" i="8"/>
  <c r="G42" i="8"/>
  <c r="G15" i="7"/>
  <c r="G38" i="7"/>
  <c r="M18" i="11"/>
  <c r="L19" i="11"/>
  <c r="M17" i="8"/>
  <c r="L18" i="8"/>
  <c r="M18" i="12"/>
  <c r="L19" i="12"/>
  <c r="L44" i="10"/>
  <c r="M43" i="10"/>
  <c r="M41" i="11"/>
  <c r="G41" i="11" s="1"/>
  <c r="L42" i="11"/>
  <c r="M19" i="7"/>
  <c r="L20" i="7"/>
  <c r="M42" i="9"/>
  <c r="L43" i="9"/>
  <c r="F44" i="10"/>
  <c r="E45" i="10"/>
  <c r="M41" i="12"/>
  <c r="L42" i="12"/>
  <c r="M41" i="7"/>
  <c r="L42" i="7"/>
  <c r="F20" i="10"/>
  <c r="E21" i="10"/>
  <c r="M45" i="8"/>
  <c r="L46" i="8"/>
  <c r="F43" i="25" l="1"/>
  <c r="E44" i="25"/>
  <c r="F21" i="25"/>
  <c r="E22" i="25"/>
  <c r="F37" i="12"/>
  <c r="E38" i="12"/>
  <c r="E16" i="12"/>
  <c r="F15" i="12"/>
  <c r="G24" i="25"/>
  <c r="G15" i="25"/>
  <c r="G25" i="25"/>
  <c r="G16" i="25"/>
  <c r="G48" i="25"/>
  <c r="G43" i="25"/>
  <c r="G13" i="12"/>
  <c r="G32" i="12"/>
  <c r="G17" i="10"/>
  <c r="G40" i="10"/>
  <c r="M21" i="10"/>
  <c r="L22" i="10"/>
  <c r="F14" i="9"/>
  <c r="E15" i="9"/>
  <c r="F39" i="9"/>
  <c r="E40" i="9"/>
  <c r="F38" i="8"/>
  <c r="E39" i="8"/>
  <c r="F15" i="8"/>
  <c r="E16" i="8"/>
  <c r="F38" i="7"/>
  <c r="E39" i="7"/>
  <c r="F16" i="7"/>
  <c r="E17" i="7"/>
  <c r="F40" i="11"/>
  <c r="E41" i="11"/>
  <c r="E16" i="11"/>
  <c r="F15" i="11"/>
  <c r="G41" i="9"/>
  <c r="M18" i="9"/>
  <c r="L19" i="9"/>
  <c r="G13" i="8"/>
  <c r="G43" i="8"/>
  <c r="G16" i="7"/>
  <c r="G39" i="7"/>
  <c r="G14" i="11"/>
  <c r="L20" i="11"/>
  <c r="M19" i="11"/>
  <c r="M42" i="7"/>
  <c r="L43" i="7"/>
  <c r="F45" i="10"/>
  <c r="E46" i="10"/>
  <c r="M42" i="12"/>
  <c r="L43" i="12"/>
  <c r="M19" i="12"/>
  <c r="L20" i="12"/>
  <c r="M46" i="8"/>
  <c r="L47" i="8"/>
  <c r="M43" i="9"/>
  <c r="L44" i="9"/>
  <c r="M18" i="8"/>
  <c r="L19" i="8"/>
  <c r="M44" i="10"/>
  <c r="L45" i="10"/>
  <c r="F21" i="10"/>
  <c r="E22" i="10"/>
  <c r="L21" i="7"/>
  <c r="M20" i="7"/>
  <c r="M42" i="11"/>
  <c r="G42" i="11" s="1"/>
  <c r="L43" i="11"/>
  <c r="F44" i="25" l="1"/>
  <c r="E45" i="25"/>
  <c r="F22" i="25"/>
  <c r="E23" i="25"/>
  <c r="E39" i="12"/>
  <c r="F38" i="12"/>
  <c r="E17" i="12"/>
  <c r="F16" i="12"/>
  <c r="G9" i="12"/>
  <c r="G34" i="12"/>
  <c r="G18" i="10"/>
  <c r="G41" i="10"/>
  <c r="L23" i="10"/>
  <c r="M22" i="10"/>
  <c r="E41" i="9"/>
  <c r="F40" i="9"/>
  <c r="F15" i="9"/>
  <c r="E16" i="9"/>
  <c r="F16" i="8"/>
  <c r="E17" i="8"/>
  <c r="F39" i="8"/>
  <c r="E40" i="8"/>
  <c r="F17" i="7"/>
  <c r="E18" i="7"/>
  <c r="E40" i="7"/>
  <c r="F39" i="7"/>
  <c r="E17" i="11"/>
  <c r="F16" i="11"/>
  <c r="E42" i="11"/>
  <c r="F41" i="11"/>
  <c r="G42" i="9"/>
  <c r="M19" i="9"/>
  <c r="L20" i="9"/>
  <c r="G14" i="8"/>
  <c r="G46" i="8"/>
  <c r="G44" i="8"/>
  <c r="G17" i="7"/>
  <c r="G40" i="7"/>
  <c r="G15" i="11"/>
  <c r="M20" i="11"/>
  <c r="L21" i="11"/>
  <c r="M47" i="8"/>
  <c r="L48" i="8"/>
  <c r="M43" i="7"/>
  <c r="L44" i="7"/>
  <c r="M43" i="12"/>
  <c r="L44" i="12"/>
  <c r="M19" i="8"/>
  <c r="L20" i="8"/>
  <c r="M43" i="11"/>
  <c r="G43" i="11" s="1"/>
  <c r="L44" i="11"/>
  <c r="F22" i="10"/>
  <c r="E23" i="10"/>
  <c r="M44" i="9"/>
  <c r="L45" i="9"/>
  <c r="M20" i="12"/>
  <c r="L21" i="12"/>
  <c r="F46" i="10"/>
  <c r="E47" i="10"/>
  <c r="M45" i="10"/>
  <c r="L46" i="10"/>
  <c r="M21" i="7"/>
  <c r="L22" i="7"/>
  <c r="F45" i="25" l="1"/>
  <c r="E46" i="25"/>
  <c r="E24" i="25"/>
  <c r="F23" i="25"/>
  <c r="E40" i="12"/>
  <c r="F39" i="12"/>
  <c r="F17" i="12"/>
  <c r="E18" i="12"/>
  <c r="G38" i="12"/>
  <c r="G19" i="10"/>
  <c r="G42" i="10"/>
  <c r="M23" i="10"/>
  <c r="L24" i="10"/>
  <c r="F16" i="9"/>
  <c r="E17" i="9"/>
  <c r="F41" i="9"/>
  <c r="E42" i="9"/>
  <c r="E41" i="8"/>
  <c r="F40" i="8"/>
  <c r="E18" i="8"/>
  <c r="F17" i="8"/>
  <c r="F40" i="7"/>
  <c r="E41" i="7"/>
  <c r="F18" i="7"/>
  <c r="E19" i="7"/>
  <c r="E43" i="11"/>
  <c r="F42" i="11"/>
  <c r="F17" i="11"/>
  <c r="E18" i="11"/>
  <c r="G13" i="9"/>
  <c r="G43" i="9"/>
  <c r="M20" i="9"/>
  <c r="L21" i="9"/>
  <c r="G15" i="8"/>
  <c r="G47" i="8"/>
  <c r="G45" i="8"/>
  <c r="G18" i="7"/>
  <c r="G41" i="7"/>
  <c r="G16" i="11"/>
  <c r="M21" i="11"/>
  <c r="L22" i="11"/>
  <c r="E48" i="10"/>
  <c r="F47" i="10"/>
  <c r="M44" i="11"/>
  <c r="G44" i="11" s="1"/>
  <c r="L45" i="11"/>
  <c r="M44" i="7"/>
  <c r="L45" i="7"/>
  <c r="M22" i="7"/>
  <c r="L23" i="7"/>
  <c r="F23" i="10"/>
  <c r="E24" i="10"/>
  <c r="M48" i="8"/>
  <c r="G48" i="8" s="1"/>
  <c r="L49" i="8"/>
  <c r="M49" i="8" s="1"/>
  <c r="G49" i="8" s="1"/>
  <c r="M46" i="10"/>
  <c r="L47" i="10"/>
  <c r="M21" i="12"/>
  <c r="L22" i="12"/>
  <c r="M20" i="8"/>
  <c r="L21" i="8"/>
  <c r="M45" i="9"/>
  <c r="L46" i="9"/>
  <c r="M44" i="12"/>
  <c r="L45" i="12"/>
  <c r="E47" i="25" l="1"/>
  <c r="F46" i="25"/>
  <c r="E25" i="25"/>
  <c r="F25" i="25" s="1"/>
  <c r="F24" i="25"/>
  <c r="E41" i="12"/>
  <c r="F40" i="12"/>
  <c r="F18" i="12"/>
  <c r="E19" i="12"/>
  <c r="G18" i="12"/>
  <c r="G44" i="12"/>
  <c r="G23" i="10"/>
  <c r="G20" i="10"/>
  <c r="G46" i="10"/>
  <c r="G43" i="10"/>
  <c r="M24" i="10"/>
  <c r="L25" i="10"/>
  <c r="M25" i="10" s="1"/>
  <c r="F42" i="9"/>
  <c r="E43" i="9"/>
  <c r="F17" i="9"/>
  <c r="E18" i="9"/>
  <c r="F18" i="8"/>
  <c r="E19" i="8"/>
  <c r="E42" i="8"/>
  <c r="F41" i="8"/>
  <c r="F19" i="7"/>
  <c r="E20" i="7"/>
  <c r="F41" i="7"/>
  <c r="E42" i="7"/>
  <c r="F18" i="11"/>
  <c r="E19" i="11"/>
  <c r="F43" i="11"/>
  <c r="E44" i="11"/>
  <c r="G20" i="9"/>
  <c r="G14" i="9"/>
  <c r="G44" i="9"/>
  <c r="M21" i="9"/>
  <c r="L22" i="9"/>
  <c r="G16" i="8"/>
  <c r="G19" i="7"/>
  <c r="G44" i="7"/>
  <c r="G42" i="7"/>
  <c r="G17" i="11"/>
  <c r="M22" i="11"/>
  <c r="L23" i="11"/>
  <c r="M45" i="7"/>
  <c r="L46" i="7"/>
  <c r="M21" i="8"/>
  <c r="L22" i="8"/>
  <c r="M46" i="9"/>
  <c r="G46" i="9" s="1"/>
  <c r="L47" i="9"/>
  <c r="M22" i="12"/>
  <c r="L23" i="12"/>
  <c r="M23" i="7"/>
  <c r="L24" i="7"/>
  <c r="M45" i="11"/>
  <c r="G45" i="11" s="1"/>
  <c r="L46" i="11"/>
  <c r="M45" i="12"/>
  <c r="G39" i="12" s="1"/>
  <c r="L46" i="12"/>
  <c r="M47" i="10"/>
  <c r="L48" i="10"/>
  <c r="F48" i="10"/>
  <c r="E49" i="10"/>
  <c r="F49" i="10" s="1"/>
  <c r="F24" i="10"/>
  <c r="E25" i="10"/>
  <c r="F25" i="10" s="1"/>
  <c r="E48" i="25" l="1"/>
  <c r="F47" i="25"/>
  <c r="E42" i="12"/>
  <c r="F41" i="12"/>
  <c r="E20" i="12"/>
  <c r="F19" i="12"/>
  <c r="G19" i="12"/>
  <c r="G24" i="10"/>
  <c r="G21" i="10"/>
  <c r="G25" i="10"/>
  <c r="G22" i="10"/>
  <c r="G47" i="10"/>
  <c r="G44" i="10"/>
  <c r="E19" i="9"/>
  <c r="F18" i="9"/>
  <c r="E44" i="9"/>
  <c r="F43" i="9"/>
  <c r="E43" i="8"/>
  <c r="F42" i="8"/>
  <c r="F19" i="8"/>
  <c r="E20" i="8"/>
  <c r="F42" i="7"/>
  <c r="E43" i="7"/>
  <c r="E21" i="7"/>
  <c r="F20" i="7"/>
  <c r="E45" i="11"/>
  <c r="F44" i="11"/>
  <c r="E20" i="11"/>
  <c r="F19" i="11"/>
  <c r="G21" i="9"/>
  <c r="G15" i="9"/>
  <c r="G45" i="9"/>
  <c r="L23" i="9"/>
  <c r="M22" i="9"/>
  <c r="G17" i="8"/>
  <c r="G23" i="7"/>
  <c r="G20" i="7"/>
  <c r="G43" i="7"/>
  <c r="G22" i="11"/>
  <c r="G18" i="11"/>
  <c r="L24" i="11"/>
  <c r="M23" i="11"/>
  <c r="M46" i="7"/>
  <c r="L47" i="7"/>
  <c r="M46" i="12"/>
  <c r="G40" i="12" s="1"/>
  <c r="L47" i="12"/>
  <c r="M23" i="12"/>
  <c r="L24" i="12"/>
  <c r="M48" i="10"/>
  <c r="L49" i="10"/>
  <c r="M49" i="10" s="1"/>
  <c r="G49" i="10" s="1"/>
  <c r="M46" i="11"/>
  <c r="G46" i="11" s="1"/>
  <c r="L47" i="11"/>
  <c r="M47" i="9"/>
  <c r="G47" i="9" s="1"/>
  <c r="L48" i="9"/>
  <c r="M24" i="7"/>
  <c r="L25" i="7"/>
  <c r="M25" i="7" s="1"/>
  <c r="M22" i="8"/>
  <c r="L23" i="8"/>
  <c r="E49" i="25" l="1"/>
  <c r="F49" i="25" s="1"/>
  <c r="F48" i="25"/>
  <c r="F42" i="12"/>
  <c r="E43" i="12"/>
  <c r="E21" i="12"/>
  <c r="F20" i="12"/>
  <c r="G23" i="12"/>
  <c r="G20" i="12"/>
  <c r="G48" i="10"/>
  <c r="G45" i="10"/>
  <c r="F44" i="9"/>
  <c r="E45" i="9"/>
  <c r="F19" i="9"/>
  <c r="E20" i="9"/>
  <c r="F20" i="8"/>
  <c r="E21" i="8"/>
  <c r="F43" i="8"/>
  <c r="E44" i="8"/>
  <c r="F21" i="7"/>
  <c r="E22" i="7"/>
  <c r="E44" i="7"/>
  <c r="F43" i="7"/>
  <c r="E21" i="11"/>
  <c r="F20" i="11"/>
  <c r="E46" i="11"/>
  <c r="F45" i="11"/>
  <c r="G22" i="9"/>
  <c r="G16" i="9"/>
  <c r="L24" i="9"/>
  <c r="M23" i="9"/>
  <c r="G22" i="8"/>
  <c r="G18" i="8"/>
  <c r="G24" i="7"/>
  <c r="G21" i="7"/>
  <c r="G25" i="7"/>
  <c r="G22" i="7"/>
  <c r="G45" i="7"/>
  <c r="G23" i="11"/>
  <c r="G19" i="11"/>
  <c r="M24" i="11"/>
  <c r="L25" i="11"/>
  <c r="M25" i="11" s="1"/>
  <c r="M47" i="12"/>
  <c r="G41" i="12" s="1"/>
  <c r="L48" i="12"/>
  <c r="M23" i="8"/>
  <c r="L24" i="8"/>
  <c r="L49" i="9"/>
  <c r="M49" i="9" s="1"/>
  <c r="M48" i="9"/>
  <c r="G48" i="9" s="1"/>
  <c r="M24" i="12"/>
  <c r="L25" i="12"/>
  <c r="M25" i="12" s="1"/>
  <c r="M47" i="7"/>
  <c r="G47" i="7" s="1"/>
  <c r="L48" i="7"/>
  <c r="M47" i="11"/>
  <c r="G47" i="11" s="1"/>
  <c r="L48" i="11"/>
  <c r="E44" i="12" l="1"/>
  <c r="F43" i="12"/>
  <c r="F21" i="12"/>
  <c r="E22" i="12"/>
  <c r="G24" i="12"/>
  <c r="G21" i="12"/>
  <c r="G25" i="12"/>
  <c r="G22" i="12"/>
  <c r="G47" i="12"/>
  <c r="G43" i="12"/>
  <c r="E21" i="9"/>
  <c r="F20" i="9"/>
  <c r="F45" i="9"/>
  <c r="E46" i="9"/>
  <c r="F44" i="8"/>
  <c r="E45" i="8"/>
  <c r="F21" i="8"/>
  <c r="E22" i="8"/>
  <c r="E45" i="7"/>
  <c r="F44" i="7"/>
  <c r="F22" i="7"/>
  <c r="E23" i="7"/>
  <c r="F46" i="11"/>
  <c r="E47" i="11"/>
  <c r="F21" i="11"/>
  <c r="E22" i="11"/>
  <c r="G23" i="9"/>
  <c r="G17" i="9"/>
  <c r="G49" i="9"/>
  <c r="G40" i="9"/>
  <c r="L25" i="9"/>
  <c r="M25" i="9" s="1"/>
  <c r="M24" i="9"/>
  <c r="G23" i="8"/>
  <c r="G19" i="8"/>
  <c r="G46" i="7"/>
  <c r="G25" i="11"/>
  <c r="G21" i="11"/>
  <c r="G24" i="11"/>
  <c r="G20" i="11"/>
  <c r="M48" i="7"/>
  <c r="G48" i="7" s="1"/>
  <c r="L49" i="7"/>
  <c r="M49" i="7" s="1"/>
  <c r="G49" i="7" s="1"/>
  <c r="M48" i="12"/>
  <c r="G46" i="12" s="1"/>
  <c r="L49" i="12"/>
  <c r="M49" i="12" s="1"/>
  <c r="M48" i="11"/>
  <c r="G48" i="11" s="1"/>
  <c r="L49" i="11"/>
  <c r="M49" i="11" s="1"/>
  <c r="G49" i="11" s="1"/>
  <c r="M24" i="8"/>
  <c r="L25" i="8"/>
  <c r="M25" i="8" s="1"/>
  <c r="F44" i="12" l="1"/>
  <c r="E45" i="12"/>
  <c r="E23" i="12"/>
  <c r="F22" i="12"/>
  <c r="G49" i="12"/>
  <c r="G42" i="12"/>
  <c r="G48" i="12"/>
  <c r="G45" i="12"/>
  <c r="E22" i="9"/>
  <c r="F21" i="9"/>
  <c r="F46" i="9"/>
  <c r="E47" i="9"/>
  <c r="F22" i="8"/>
  <c r="E23" i="8"/>
  <c r="F45" i="8"/>
  <c r="E46" i="8"/>
  <c r="E24" i="7"/>
  <c r="F23" i="7"/>
  <c r="E46" i="7"/>
  <c r="F45" i="7"/>
  <c r="E23" i="11"/>
  <c r="F22" i="11"/>
  <c r="F47" i="11"/>
  <c r="E48" i="11"/>
  <c r="G24" i="9"/>
  <c r="G18" i="9"/>
  <c r="G25" i="9"/>
  <c r="G19" i="9"/>
  <c r="G25" i="8"/>
  <c r="G21" i="8"/>
  <c r="G24" i="8"/>
  <c r="G20" i="8"/>
  <c r="F45" i="12" l="1"/>
  <c r="E46" i="12"/>
  <c r="F23" i="12"/>
  <c r="E24" i="12"/>
  <c r="F47" i="9"/>
  <c r="E48" i="9"/>
  <c r="F22" i="9"/>
  <c r="E23" i="9"/>
  <c r="E47" i="8"/>
  <c r="F46" i="8"/>
  <c r="F23" i="8"/>
  <c r="E24" i="8"/>
  <c r="E47" i="7"/>
  <c r="F46" i="7"/>
  <c r="F24" i="7"/>
  <c r="E25" i="7"/>
  <c r="F25" i="7" s="1"/>
  <c r="F48" i="11"/>
  <c r="E49" i="11"/>
  <c r="F49" i="11" s="1"/>
  <c r="F23" i="11"/>
  <c r="E24" i="11"/>
  <c r="F46" i="12" l="1"/>
  <c r="E47" i="12"/>
  <c r="E25" i="12"/>
  <c r="F25" i="12" s="1"/>
  <c r="F24" i="12"/>
  <c r="F23" i="9"/>
  <c r="E24" i="9"/>
  <c r="E49" i="9"/>
  <c r="F49" i="9" s="1"/>
  <c r="F48" i="9"/>
  <c r="E25" i="8"/>
  <c r="F25" i="8" s="1"/>
  <c r="F24" i="8"/>
  <c r="F47" i="8"/>
  <c r="E48" i="8"/>
  <c r="F47" i="7"/>
  <c r="E48" i="7"/>
  <c r="F24" i="11"/>
  <c r="E25" i="11"/>
  <c r="F25" i="11" s="1"/>
  <c r="F47" i="12" l="1"/>
  <c r="E48" i="12"/>
  <c r="E25" i="9"/>
  <c r="F25" i="9" s="1"/>
  <c r="F24" i="9"/>
  <c r="E49" i="8"/>
  <c r="F49" i="8" s="1"/>
  <c r="F48" i="8"/>
  <c r="F48" i="7"/>
  <c r="E49" i="7"/>
  <c r="F49" i="7" s="1"/>
  <c r="AK51" i="36"/>
  <c r="F48" i="12" l="1"/>
  <c r="E49" i="12"/>
  <c r="F49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5B05890-B3FD-4392-882C-B68BDF590E8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E16DF686-EADB-4D65-B0F3-823631D2531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5611DE8F-10D9-4D53-BDCC-46919F243BD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C0911F6A-2A49-4F1B-9843-9BD46788FD9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D697F00-E215-4A36-B564-7803F68151DD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3FD0BBA-5252-4D85-BCC1-09413ADA089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2C8FDC9-5A46-44EE-AFDC-F8385C1AFEF1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085F07D-BD45-4131-8655-81E5CC375BF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132BDB6-C1B2-4078-BA08-DCB8671EF68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6AF7131-1C27-4244-80B9-1FA47E06E92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1601F41-9C98-4C1B-B9E2-096041EAE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0694F98-23E4-49FD-A34B-7EAC8974AD7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B06A3E2-14FD-4E90-8ADD-36EB94F531A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3D954D5-7B08-43CA-B33F-5A1BAED553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2ED20679-003E-44B1-BAFC-DF9B1E378A5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BD43F1D-D79B-4240-BA10-12666944FD2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59FD583-03A0-4C25-8820-84DE629C51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301132C-9847-4C5F-9F14-CE410762BAAF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640AEC-FA07-446C-9431-C120E9E87C0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AF943C78-3FB8-46D5-BEE9-0D4844147C6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249B91-2982-40FB-9E67-3161CA0207E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2AEA512-21FD-4DAC-AFD2-4F6A30899749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ED3030F-0784-4FCE-9CC4-0BA72C24976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996B3460-8F06-4CBA-9D3C-1E720BE95B8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248F548-D341-42A6-A4F5-5609C43EDE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8015F36-F29D-461A-88D6-524606A8564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ABA7133-D2FB-4BED-B385-C119BE5B1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2F43F6-D409-488C-8488-2A05259B7F5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33D41C-C690-45DB-9BE0-21159AA7B2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1ED83FA-29E2-43F9-A15E-784D877C23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D2288A9-7A59-4E9E-93B0-843E37203F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8F25401-4A41-4F55-9A84-68AB17CFEAB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1418321-C28E-4423-81AB-8E62D338854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3313CEBC-8F3E-4754-BC69-A20C600B96B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82A6B38-4C84-4A55-82C7-102BB3C319B3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E4B7C12C-365D-4983-ADF1-CB4D2387230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05865-E699-4731-B860-4570EFEF76CA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675EC1C7-90FF-43D8-8A6C-A4059DFEAC4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1B97DAF7-3158-4955-9F9E-4C1C12BBA049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96BBBA-4DF1-438F-B53D-72F3236A100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01040AF-D9DE-4BF9-8693-FBC0D448BC48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7B49FD6E-C41F-4D33-B0F7-2CD18296D61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E4CB5D81-796E-40BC-B5AD-28048117FC2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257B98B3-9755-43E1-8CF3-FD230C237C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A9038A5-D1ED-47C4-9E63-C4CF6E1ADA7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C906735-A429-4DFF-B670-F80DF9A77C3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184827E-6123-41D4-9C42-335A93BA67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ADB285F-7BDC-4E0D-B43B-3375F47A2D0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87FA4552-94F8-4C5B-87B9-8D2AF1FF7A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89313AD0-44A7-4E69-A66F-E610CD95CD9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C04BAE1-9B31-45A5-9428-B50FE1BD2B7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1247380-49E0-4BF1-9569-30D54268355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E2C8B3E-651A-4CCF-83D4-C4EB57EFF06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3B4D1A4D-3DDE-4B35-8A37-D7DB83EEECC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2EC6962-5C45-4830-9F2A-E05C9381D91B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1D7D1074-9A20-4D30-96EB-6564F9F3EB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65C82C7-E17D-45FB-8026-9EE06D4951E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D556824-FCB9-4C6E-8691-25722EF5C907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774A989-FF65-4E83-9EE0-AEDB61BC571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0B7AA00-561E-4BAD-AB71-6F06A057A16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6B9D1AD-C561-4A82-B150-C1EE0936A69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A3B4513A-7D62-4CF5-9996-82E7C39E93D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0F6A03-EDE9-4A5A-8ED7-067B20D1AF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0778D029-2E0E-4AD7-BBE1-C30171E4472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3A0C78E3-589A-42CE-A76C-542C4F8086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1A762B6-30D3-47C6-B1BA-834361E8EC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080C12-29DB-44E8-AD9C-3C72862DAA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9E8FCF2-1AD9-4AC5-B479-073E21F75CE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684F3B4-EB2F-4754-BA4D-14F148BBE8F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73808A1-3C7B-4C10-BAB2-359B327BF590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3B489E0D-ED53-4741-A046-897B31D63DC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EA1577A-587A-47A0-9A20-F39B542C75D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E68617C-E83E-4DA9-B91F-095DF16B5FBD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B0B1710-1542-4894-838B-43CA9D1C66F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4172B0E-CF70-46E6-95AB-DA2A1A00BBC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3EBF5343-6F09-4DC7-95CC-D0A27D8F240A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195D650-6F87-4062-9016-AF2912AA8516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0DB74CDA-121B-4BA1-9B3D-9F0CEE587E26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34E04989-719E-4EF9-832D-9F947D9E993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0D07405-1B7A-4553-B18C-E51F6218E37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BAD6BE3-2A06-4045-9845-307C50F5E8F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60C4904-4C80-4164-B608-088CED485B9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378076E-55D6-4CD9-9176-13B4BEB3AC2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701DBB-F6EE-43CF-B5BF-9BE007D32D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F7337E-B3D8-40AD-B127-B51967C6A1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3B0C1F5A-23AD-4D39-84E5-7D7C4E1015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BA7D5BA-58E2-496A-9B92-912B829DA48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A15F0149-7615-4CD7-AF8D-9696BB1C99B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3204E92-520B-4F92-9D52-E2E7BCB71CD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C247336-524E-4B76-9FFE-F809DD89F6F2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12BD2C8C-18B6-4BD6-A2A3-FE95DA6D74F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076EBE-093A-4103-9F65-548413F43BE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2CBD5D7-3724-459F-9B91-A3D4BCAA8213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2569E63-A576-4415-92B3-E1B3A11CB9A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6AA9400-7320-4FC8-8EB6-4FF6A7B4983E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3DADC32D-CC32-40E6-A303-F64E4682B2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B8127CD3-E56B-4B38-BB12-1815477AC87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F49A68B4-1A2F-4253-A565-2DA3591B8BF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E8D72D6-FA53-47AE-B79D-487094B995F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3672E78-5A93-4E1F-BC30-664CCCFCA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3A89389-FD57-448B-BBC8-80C91CDF28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B6917FF2-0C77-4CBA-8980-1E6100092D4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84129C9-2CA2-4AEC-9D13-5B19F3F38EA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A01890B9-CFCE-4CB5-ACF0-B6F8321FFB5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EF3F711A-458B-4B49-A4B5-7CC8DD0FF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CD157C90-FAEC-4C3D-B589-94038BA29CE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297799E9-20C2-4E37-B069-E71D958D7E8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86ED89A-58DC-48A1-99F7-F9A7268F9EA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93295459-92A3-4C75-A470-B39D23DEBFD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9E47585-CA90-4F25-8E2E-6C79FAE5312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D367F9-9B66-4F20-9DE9-AC2D15C97C0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0728A470-163B-4D41-B012-FA69DB723C16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3840E92C-1B76-4519-AD29-392E60F4321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B60F74C-F808-4D07-89FE-227CF1E0060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7F17D267-C30A-40DA-A2B8-8CFA18FB25D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CC3A05C-4CC0-4EF9-8FFC-BD52AE3AE95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ED42801-B480-4757-B310-F06823D085B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0190618-B70B-4DF3-8F64-6DFD1F97725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8A2DC4F-C30A-4DF9-9B50-B083A2542D3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DCDCB05-FD86-42A8-8002-360C9AC0FE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D64B2A4-E8B7-46B4-9AE1-A7FC95ADD45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EEBDA25A-0075-4D29-ACF5-728AF0AD1A9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D2067AF-17DB-48F4-B72E-F0C9B954AE1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113D348-7F09-49E4-996F-3D328409F5F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7F9F073-B564-440E-9D9B-CBB937536E2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E90D46-4D99-4FF1-8A72-114BA67B3A8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7A29C1B3-DF24-46D9-9C0D-F624A955E95E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4931CEA-04D1-4EC1-9F36-B6DFDCE185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CBD16482-0C20-4FE2-B14D-A7DCB81131D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AF87E3-FBCC-44AE-BB94-8145702391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4909B35-4DF5-44FA-8C43-5E098979F290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B36FCA2-3DD9-4D5E-8CB7-BF53EC47F98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631189E7-25E5-455E-8C5A-473D1134D89D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90D6B30-A6F4-4C58-B2B1-84DD0A3BB5E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BC6548E-A9A9-4F07-9FF1-AEFD2E50A9F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CA423A-3E48-49E4-B474-0A440F003D3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36D6F3D-4582-406A-BBBE-5EC98A77D5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36EB8A2E-856C-4C5F-BFEC-13C1B4C55AB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7F6B5C5-C5F7-46CE-BA82-E9993F33C5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2EE214A9-CC81-473F-9924-872E22F2A74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D95825D-7A9F-428B-B8EE-58BED618CCE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DBDF2CF-8750-492B-9372-8C9EEA10536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128AE831-1F4F-44B4-914F-22D7CA8C9D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37961F5-3D33-40B5-8D8B-6A9F4C4E0DF3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3CCDA2E-4277-4CF6-85AB-1037163D2FC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9F844F4-A7E1-4FBF-B437-984062AF47E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C55E028-C971-4A37-97CA-BDC8342C8234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A277D3A-162F-4753-BFE1-67E28E985AF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C8A8F335-DE92-4102-88FC-00B4053D04C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4BE0D96D-EE80-425F-A5DD-59624D7F820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7DE3645-4A57-4639-924B-0B717651B1BC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33DE158-E3C3-4D4F-AB03-2F9B5937D33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97A94D9-85E9-42DB-88D9-CA7578FFB1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FEE660C-C476-4A1F-A058-E31781C3099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0054CE2-5F84-40EC-BD2C-CE7B170EFDC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B260914-019A-4C7A-BB73-44B6A341C76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65DD028-C557-419E-BA92-8312A5B322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4DFBFAA-C22A-4AE6-AA0F-CE907BC196B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6FCDE50-0D6E-4225-9386-C872B349A24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2399FEC-C230-4CE9-BB90-ED1BDDF9A3C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489D2EE-A80F-4FCE-9091-2E19DDCDB1C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8DC7AF5A-600A-436F-BDAA-192DB91C42B5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  <comment ref="AR2" authorId="1" shapeId="0" xr:uid="{4C74EE26-B3DB-4A27-832C-5EAFFF61B3C2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План 2026 февраль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5C8DDBD-CBCE-4102-AE83-D284BBA390C3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80D49664-892E-4C1C-9C48-A68A13D5DE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FAE5075-5882-4C3B-ADF4-6AF685FF090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66F77D41-4044-49DD-A19F-13A9F8AA591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482BB12-1FA4-4AE0-B889-611335C1120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1E10A48-4B7E-4E27-B4DE-2423EC498D2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1C50696F-BC63-4430-91AB-CC2AC1A76F1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A2847B1-988D-4F96-B5F1-514D51CE02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CFEC307F-5AC3-483E-970B-AF02966409F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9C818C3F-E80F-4568-BD95-D47D3A981D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AE63950-A405-4183-963E-AF713E9E3E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86D0730-55DA-438A-A64D-75F7C12C667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E4DF602-3BCC-4271-A636-D8481282C80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6521789-7175-49CB-A666-3A5DBC3FD1B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D591B56-A735-4E89-8F0E-1E731FF88E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DD23CCCC-C21C-4DAE-9CBF-97E2085C312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EB7A9DEA-DDFD-4765-ABE3-6FEA228B00B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D4E2705-58A3-4FF3-B736-AF012C73A94E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1D3B0AA-4112-4B84-BFD0-8599CA1EA7C5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5260A6F4-0910-4F73-9A29-0A1B4BA5BDD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78322F40-B5F3-4222-BC44-233B778277B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77A4303-F233-41A7-85F9-D47DB95B4BB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A65EB0-504F-4921-BA8B-6ABAEEF34BAA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8EEE30D-808C-45CD-A860-CB1A7FC0D6BB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CB7B392-90A2-4E75-9C7E-18CC467887CF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0339B7A-AA4C-49DA-B5D1-F1E3640A9C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A357ACD1-0D2F-4B31-9E5E-35327ADDB6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201B9A5-5051-45C5-96B0-122B9C9B3C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1572B0EA-2D3D-45DF-BC1C-55F5C0308B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7504EA1-9AB1-49D0-AC54-38120460D7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912FF2A-DEED-4FB6-BB3A-814330816A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C6B238-5C8B-41DD-B268-698DD93227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1D402F8-EFFE-46C6-AC6C-3B373C867FB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4195D451-E472-451F-86F4-6964D19DFB9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C33292E-B76F-40F2-927F-8EF6A2E04F8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9ADC813-A5CE-4BE3-93B0-F0A703ED2CB6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96EAE60-4ED5-490B-ACAE-0A71D3E6F91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EBCB41-61A0-469F-954F-8FAA8357C91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E114969-771C-4E69-A210-0B6101088DF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9B1E18A-0AD9-488A-8C47-5E38F70D7D62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87856A8-6E49-4C3A-A7B5-EAA05C49EF3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BA609BC-FA67-42B7-ABD1-645F665D849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72A1E54-5DD8-4971-80A0-611F92D22EA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4DAAE44E-ECCC-4AED-8703-649DD50362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5609225-ED31-4657-89E0-5740045AEFC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629D5DF-093F-45AB-8DC4-B7E877A27DE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C72580EC-7E16-4FB4-B499-C1946676289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ADF4534A-CB9F-496E-ADA8-4515547D9F8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0C2EFFF-0873-474F-A710-70993BE84BC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B2918490-711C-4C31-BD7F-81A1C4214A7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430D39AE-E289-46FD-9C00-58F99C07567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1D153B5C-AF57-4451-8652-978CA16BF61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DBFB065-B238-4B79-8375-4087CAD1DDD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1289A59C-8851-42C7-870F-DB6603E9F6C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BEF08232-FB9D-44DD-B6B1-2A7D02515E3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07077049-E6B9-48E5-8723-B329743B7E0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E306FDF2-9F0B-48E8-B746-EC07438A3E58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FB205305-5781-46FA-9F68-F515A37563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9669F87-5329-4FF1-A3E5-687C4C7D286C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7383A50-0B86-4779-9BE7-E6489E3A1E6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FFA5401-4F3E-4536-BFEE-52B7228C3E4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DF3B31B2-7E71-40B0-96BB-1181572F353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F77D5C-1342-4239-BB3B-3B96D0A1A1A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8159B684-123D-40E5-9724-FBAFCA2BB14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994D1F0F-38E9-4F60-90F6-042D9E8669C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D2E7462C-1218-493F-ACDD-6C7772BD70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7C2174B-AB36-4011-BE1D-22F82339D5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0A27522B-7578-4F51-8F68-01F7DDAD3A7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B70EF4EA-6C95-47EB-8776-344E6FA976F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7E3D4D7-AC8A-4FD8-99B2-793330E2B3B7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5799C9F-9967-44A3-BBA4-CEF78C252C4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0ED22B3-C232-4654-8AAA-161066EBDB1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40157E4-EA56-41A4-BA0C-C69A78DAD641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D3B34B3F-9A80-4D7C-AA7B-022F8A31385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97C8FA3-3E67-4AB8-ACAF-3D9EA88A5C7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4E2E5F8-CC8A-4828-8652-CFA9479E7FE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7E65F52-3157-4A6B-93DE-FE2C940DF0A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B61657A0-361B-4530-AF3F-02C7A0FD3E5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A6396EC4-741C-4819-97A4-00375FF894C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7C70F12-3D0E-45FC-9A9B-6A4D05E72E8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F5E09C08-D128-4703-8656-74967C04B0C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5769D4C-CB18-4EDD-ACBA-A7EBFBE7AD0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558A4E2-9B09-4B3A-AE33-7FFFBEE0391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90E851B-E022-49B1-B6FA-945B98A991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DFC3414-7DCD-4250-A52E-90D25467FFB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452490DF-AEE6-4557-B17E-834BAD5629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FA1BCC1-BB1B-431D-94B4-F4B4EACD0F8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6A18AC3E-3C3F-4E1F-B253-FE93DC4AC4A6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E654CE6-985B-4739-80E5-2234E1188A8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0DC8F6AA-E144-46C5-B0D6-2894BC56A81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F4D0618B-4D19-4533-B8D0-C9741DF8B67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42EAC99-34B2-4E25-8F76-2BB7CCCAEB1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2BB50D86-3416-49AA-9014-D9C576E2AA5D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911A6B18-9BFA-492C-AAFD-24A969E13421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233858ED-ACD6-4988-AAB3-07B08CD93E7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67047AF9-27C4-4CAE-A887-74BC83B7DC6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9DD8C73-DE34-43E5-A438-DDC543D8DC86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95B4F86-3A27-47E5-9EC9-E1B7402A7D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D427B9F1-6613-4536-9426-07FD3E81CD7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66832324-CA79-461B-8211-FC1E8F60637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714698C-71FA-435D-ADB7-91A30887C4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797BA5FC-146D-4333-AD01-E22C92E4802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99B1808-9319-47C5-A533-74E7164513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41CCCA1-8706-4CBE-BD86-0FA99A772A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5F72AD3-FE14-44BA-BC20-471422681C5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058D80E-3E60-46A0-8DFF-CCCD94AA9EF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46EEBB5F-A601-4E0C-9F77-2E9935CB106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C5C338-C47A-470C-BC0F-F5334BD42DA7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<sst xmlns="http://schemas.openxmlformats.org/spreadsheetml/2006/main" count="49173" uniqueCount="1477">
  <si>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</si>
  <si>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</si>
  <si>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</si>
  <si>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</si>
  <si>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</si>
  <si>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</si>
  <si>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</si>
  <si>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</si>
  <si>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</si>
  <si>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</si>
  <si>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</si>
  <si>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</si>
  <si>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</si>
  <si>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</si>
  <si>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</si>
  <si>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</si>
  <si>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</si>
  <si>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</si>
  <si>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</si>
  <si>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</si>
  <si>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</si>
  <si>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</si>
  <si>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</si>
  <si>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</si>
  <si>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</si>
  <si>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</si>
  <si>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</si>
  <si>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</si>
  <si>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</si>
  <si>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</si>
  <si>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</si>
  <si>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</si>
  <si>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</si>
  <si>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</si>
  <si>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</si>
  <si>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</si>
  <si>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</si>
  <si>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</si>
  <si>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</si>
  <si>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</si>
  <si>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</si>
  <si>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</si>
  <si>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</si>
  <si>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th желтый Сул</t>
  </si>
  <si>
    <t>flip желтые Сул</t>
  </si>
  <si>
    <t>MR8854 C2</t>
  </si>
  <si>
    <t>MR 1819 черн</t>
  </si>
  <si>
    <t>MR 1819 корич</t>
  </si>
  <si>
    <t>MR Р1874 черн</t>
  </si>
  <si>
    <t>MR Р1874 корич</t>
  </si>
  <si>
    <t>MR Р1886 черн глянец</t>
  </si>
  <si>
    <t>MR Р1886 корич</t>
  </si>
  <si>
    <t>lux1</t>
  </si>
  <si>
    <t>lux2</t>
  </si>
  <si>
    <t>lux3</t>
  </si>
  <si>
    <t>lux4</t>
  </si>
  <si>
    <t>lux5</t>
  </si>
  <si>
    <t>lux6</t>
  </si>
  <si>
    <t>lux7</t>
  </si>
  <si>
    <t>lux8</t>
  </si>
  <si>
    <t>Итого очки</t>
  </si>
  <si>
    <t>tunika02 оливковая с руч вышивкой</t>
  </si>
  <si>
    <t>tunika03 черная распашная</t>
  </si>
  <si>
    <t>tunika05 белая распашная</t>
  </si>
  <si>
    <t>tunika06 белая</t>
  </si>
  <si>
    <t>tunika06 черная</t>
  </si>
  <si>
    <t>tunika07 кружево</t>
  </si>
  <si>
    <t>tunika08 белая</t>
  </si>
  <si>
    <t>tunika08 черная</t>
  </si>
  <si>
    <t>tunika08 зеленая</t>
  </si>
  <si>
    <t>tunika09 кимоно</t>
  </si>
  <si>
    <t>tunika10 кимоно ч/б</t>
  </si>
  <si>
    <t>tunika11 халат зеленая</t>
  </si>
  <si>
    <t>tunika12 халат белая</t>
  </si>
  <si>
    <t>tunika13 халат черная</t>
  </si>
  <si>
    <t>tunika14 халат с разрезами белая</t>
  </si>
  <si>
    <t>tunika14 халат с разрезами черный</t>
  </si>
  <si>
    <t>tunika15 кимоно бирюза</t>
  </si>
  <si>
    <t>tunika15 кимоно песочная</t>
  </si>
  <si>
    <t>tunika16 сетка белая</t>
  </si>
  <si>
    <t>tunika16 сетка черная</t>
  </si>
  <si>
    <t>Итого туники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</si>
  <si>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</si>
  <si>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</si>
  <si>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</si>
  <si>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</si>
  <si>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</si>
  <si>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</si>
  <si>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</si>
  <si>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r>
      <t xml:space="preserve">Остаток на 19.01
</t>
    </r>
    <r>
      <rPr>
        <i/>
        <sz val="9"/>
        <rFont val="Calibri"/>
        <family val="2"/>
        <charset val="204"/>
      </rPr>
      <t>Отчет 23</t>
    </r>
  </si>
  <si>
    <t>05-11.01</t>
  </si>
  <si>
    <r>
      <t xml:space="preserve">Остаток на 
</t>
    </r>
    <r>
      <rPr>
        <i/>
        <sz val="9"/>
        <rFont val="Calibri"/>
        <family val="2"/>
        <charset val="204"/>
      </rPr>
      <t>Отчет 23</t>
    </r>
  </si>
  <si>
    <t>Период: 12.01.2026-18.01.2026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</si>
  <si>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</si>
  <si>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</si>
  <si>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</si>
  <si>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</si>
  <si>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</si>
  <si>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</si>
  <si>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</si>
  <si>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</si>
  <si>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</si>
  <si>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</si>
  <si>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</si>
  <si>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</si>
  <si>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</si>
  <si>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</si>
  <si>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</si>
  <si>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</si>
  <si>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0103264281-0181-1</t>
  </si>
  <si>
    <t>Услуги доставки</t>
  </si>
  <si>
    <t>2638219896</t>
  </si>
  <si>
    <t>Очки солнцезащитные мужские поляризационные Anti UV антибликовые антифары для водителя унисекс</t>
  </si>
  <si>
    <t>Ozon</t>
  </si>
  <si>
    <t>FBO</t>
  </si>
  <si>
    <t>Услуги агентов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</si>
  <si>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</si>
  <si>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</si>
  <si>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</si>
  <si>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</si>
  <si>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60611070-0087-1</t>
  </si>
  <si>
    <t>Обработка возвратов Ozon</t>
  </si>
  <si>
    <t>2000036158001</t>
  </si>
  <si>
    <t>Услуги FBO</t>
  </si>
  <si>
    <t>Обработка товара в составе грузоместа: Поштучная приёмка</t>
  </si>
  <si>
    <t/>
  </si>
  <si>
    <t>77808503-0161-1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</si>
  <si>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</si>
  <si>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</si>
  <si>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</si>
  <si>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</si>
  <si>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</si>
  <si>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</si>
  <si>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08555851-0044-1</t>
  </si>
  <si>
    <t>0153008936-0307</t>
  </si>
  <si>
    <t>Эквайринг</t>
  </si>
  <si>
    <t>0127857458-0049-1</t>
  </si>
  <si>
    <t>05325060-0558-1</t>
  </si>
  <si>
    <t>2638382749</t>
  </si>
  <si>
    <t>0100213717-0154-3</t>
  </si>
  <si>
    <t>33482380-0247-1</t>
  </si>
  <si>
    <t>2638638550</t>
  </si>
  <si>
    <t>28988576-0154-2</t>
  </si>
  <si>
    <t>0151530101-0180-2</t>
  </si>
  <si>
    <t>42859609-0114-1</t>
  </si>
  <si>
    <t>99868495-0084-1</t>
  </si>
  <si>
    <t>0108356832-0013</t>
  </si>
  <si>
    <t>35724378-0566-17</t>
  </si>
  <si>
    <t>66322950-0020</t>
  </si>
  <si>
    <t>2638691131</t>
  </si>
  <si>
    <t>19111971</t>
  </si>
  <si>
    <t>Продвижение и реклама</t>
  </si>
  <si>
    <t>Оплата за клик</t>
  </si>
  <si>
    <t>20593640</t>
  </si>
  <si>
    <t>20593654</t>
  </si>
  <si>
    <t>16934514</t>
  </si>
  <si>
    <t>Продвижение с оплатой за заказ</t>
  </si>
  <si>
    <t>91634700-0282-1</t>
  </si>
  <si>
    <t>68067882-0402</t>
  </si>
  <si>
    <t>0144474459-0153-1</t>
  </si>
  <si>
    <t>72340081-0386-9</t>
  </si>
  <si>
    <t>56100335-0160</t>
  </si>
  <si>
    <t>2638291563</t>
  </si>
  <si>
    <t>Очки солнцезащитные поляризационные Anti UV антибликовые антифары для водителя унисекс</t>
  </si>
  <si>
    <t>97034028-0075-1</t>
  </si>
  <si>
    <t>0165897670-0250</t>
  </si>
  <si>
    <t>0142589833-0033-1</t>
  </si>
  <si>
    <t>0124583527-0390-1</t>
  </si>
  <si>
    <t>93974310-0157-1</t>
  </si>
  <si>
    <t>0215105872-0043-1</t>
  </si>
  <si>
    <t>97883458-0093-3</t>
  </si>
  <si>
    <t>97883458-0093-1</t>
  </si>
  <si>
    <t>0213975542-0010-1</t>
  </si>
  <si>
    <t>51385598-0029</t>
  </si>
  <si>
    <t>26003617-0142-4</t>
  </si>
  <si>
    <t>43831445-0325-2</t>
  </si>
  <si>
    <t>2774721190</t>
  </si>
  <si>
    <t>Туника туника</t>
  </si>
  <si>
    <t>58647820-0052-1</t>
  </si>
  <si>
    <t>20739177</t>
  </si>
  <si>
    <t>20739201</t>
  </si>
  <si>
    <t>0118403641-0021</t>
  </si>
  <si>
    <t>43257839-0046</t>
  </si>
  <si>
    <t>0153770983-0274-1</t>
  </si>
  <si>
    <t>20097776-1612</t>
  </si>
  <si>
    <t>2774719012</t>
  </si>
  <si>
    <t>31303284-0430-5</t>
  </si>
  <si>
    <t>46750151-0484-3</t>
  </si>
  <si>
    <t>46750151-0484-2</t>
  </si>
  <si>
    <t>44950304-0138-1</t>
  </si>
  <si>
    <t>17005874-0285</t>
  </si>
  <si>
    <t>46599668-0091-5</t>
  </si>
  <si>
    <t>66322950-0020-2</t>
  </si>
  <si>
    <t>08568836-1261</t>
  </si>
  <si>
    <t>2774722656</t>
  </si>
  <si>
    <t>77635420-0069-1</t>
  </si>
  <si>
    <t>20801740</t>
  </si>
  <si>
    <t>0131743144-0241-1</t>
  </si>
  <si>
    <t>2730130553</t>
  </si>
  <si>
    <t>40717750-0175-5</t>
  </si>
  <si>
    <t>46886763-0733-1</t>
  </si>
  <si>
    <t>0124572346-0041</t>
  </si>
  <si>
    <t>0193163725-0016-1</t>
  </si>
  <si>
    <t>0138485355-0178</t>
  </si>
  <si>
    <t>0144954621-0043-3</t>
  </si>
  <si>
    <t>92998328-0304-1</t>
  </si>
  <si>
    <t>0166180590-0021-5</t>
  </si>
  <si>
    <t>59568014-0171</t>
  </si>
  <si>
    <t>0101152923-0597</t>
  </si>
  <si>
    <t>68067882-0402-3</t>
  </si>
  <si>
    <t>43257839-0046-1</t>
  </si>
  <si>
    <t>0177236617-0075-1</t>
  </si>
  <si>
    <t>0105352797-0129</t>
  </si>
  <si>
    <t>3064334311</t>
  </si>
  <si>
    <t>Очки солнцезащитные мужские поляризационные polarized. Очки для вождения антибликовые. Антифары.</t>
  </si>
  <si>
    <t>0230892157-0005</t>
  </si>
  <si>
    <t>0220975795-0020</t>
  </si>
  <si>
    <t>68466395-0277</t>
  </si>
  <si>
    <t>20097776-1612-9</t>
  </si>
  <si>
    <t>75524489-0247-1</t>
  </si>
  <si>
    <t>0176416587-0028</t>
  </si>
  <si>
    <t>72810980-0242-3</t>
  </si>
  <si>
    <t>0165897670-0250-1</t>
  </si>
  <si>
    <t>59555459-0243</t>
  </si>
  <si>
    <t>0113896106-0049-1</t>
  </si>
  <si>
    <t>34449371-0283</t>
  </si>
  <si>
    <t>0116804094-0174-1</t>
  </si>
  <si>
    <t>2730129805</t>
  </si>
  <si>
    <t>34840943-0647-1</t>
  </si>
  <si>
    <t>41900492-0066</t>
  </si>
  <si>
    <t>61796330-0640-4</t>
  </si>
  <si>
    <t>72162540-0135</t>
  </si>
  <si>
    <t>84423816-0164-3</t>
  </si>
  <si>
    <t>49123880-0353-1</t>
  </si>
  <si>
    <t>33063926-0058-1</t>
  </si>
  <si>
    <t>0108356832-0013-6</t>
  </si>
  <si>
    <t>0187007626-0017</t>
  </si>
  <si>
    <t>47461856-1064-5</t>
  </si>
  <si>
    <t>29634528-0190-5</t>
  </si>
  <si>
    <t>0157684946-0819-1</t>
  </si>
  <si>
    <t>14513208-0348-1</t>
  </si>
  <si>
    <t>0183123126-0008</t>
  </si>
  <si>
    <t>0183055508-0028-1</t>
  </si>
  <si>
    <t>77529663-0078-5</t>
  </si>
  <si>
    <t>35493850-0080</t>
  </si>
  <si>
    <t>0124572346-0041-1</t>
  </si>
  <si>
    <t>36408880-0102-1</t>
  </si>
  <si>
    <t>95512621-0226</t>
  </si>
  <si>
    <t>2638569317</t>
  </si>
  <si>
    <t>05175876-1028</t>
  </si>
  <si>
    <t>0230892157-0005-2</t>
  </si>
  <si>
    <t>0237963230-0013-9</t>
  </si>
  <si>
    <t>59568014-0171-5</t>
  </si>
  <si>
    <t>52837439-0160-1</t>
  </si>
  <si>
    <t>0101152923-0597-3</t>
  </si>
  <si>
    <t>08568836-1261-1</t>
  </si>
  <si>
    <t>40833420-0020</t>
  </si>
  <si>
    <t>58148731-0135</t>
  </si>
  <si>
    <t>61471129-0041-1</t>
  </si>
  <si>
    <t>35564776-0599-3</t>
  </si>
  <si>
    <t>11844035-0099</t>
  </si>
  <si>
    <t>61677512-0437</t>
  </si>
  <si>
    <t>33342366-0205-5</t>
  </si>
  <si>
    <t>48829610-0240-1</t>
  </si>
  <si>
    <t>0142425096-0135-1</t>
  </si>
  <si>
    <t>33419294-0090</t>
  </si>
  <si>
    <t>34449371-0283-1</t>
  </si>
  <si>
    <t>0188169649-0040</t>
  </si>
  <si>
    <t>0119590248-0049-1</t>
  </si>
  <si>
    <t>51385598-0029-3</t>
  </si>
  <si>
    <t>73420462-0070</t>
  </si>
  <si>
    <t>82240074-0241</t>
  </si>
  <si>
    <t>38198515-0630-1</t>
  </si>
  <si>
    <t>0153008936-0307-1</t>
  </si>
  <si>
    <t>0107911134-0051-3</t>
  </si>
  <si>
    <t>42700756-0153-1</t>
  </si>
  <si>
    <t>0173342711-0065</t>
  </si>
  <si>
    <t>68466395-0277-1</t>
  </si>
  <si>
    <t>0124409790-0097-2</t>
  </si>
  <si>
    <t>88978393-0144-1</t>
  </si>
  <si>
    <t>11844035-0099-2</t>
  </si>
  <si>
    <t>0176416587-0028-1</t>
  </si>
  <si>
    <t>84987269-0202</t>
  </si>
  <si>
    <t>40833420-0020-1</t>
  </si>
  <si>
    <t>0102163066-0244</t>
  </si>
  <si>
    <t>0220975795-0020-1</t>
  </si>
  <si>
    <t>45164735-0457-3</t>
  </si>
  <si>
    <t>0154960510-0132-1</t>
  </si>
  <si>
    <t>23461394-0082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</si>
  <si>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</si>
  <si>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</si>
  <si>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</si>
  <si>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</si>
  <si>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</si>
  <si>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</si>
  <si>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</si>
  <si>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</si>
  <si>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</si>
  <si>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</si>
  <si>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</si>
  <si>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</si>
  <si>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</si>
  <si>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</si>
  <si>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Данные для построения диаграмм</t>
  </si>
  <si>
    <t>Месяц</t>
  </si>
  <si>
    <t>Даты</t>
  </si>
  <si>
    <t>Нед</t>
  </si>
  <si>
    <t>Заказы</t>
  </si>
  <si>
    <t>Возвраты</t>
  </si>
  <si>
    <t>Общая</t>
  </si>
  <si>
    <t>По магазину</t>
  </si>
  <si>
    <t>По очкам</t>
  </si>
  <si>
    <t>По туникам</t>
  </si>
  <si>
    <t>% от выручки за весь период</t>
  </si>
  <si>
    <t>Январь</t>
  </si>
  <si>
    <t>01-04.01 очки</t>
  </si>
  <si>
    <t>01-04.01 туники</t>
  </si>
  <si>
    <t>05-11.01 очки</t>
  </si>
  <si>
    <t>05-11.01 туники</t>
  </si>
  <si>
    <t>12-18.01 очки</t>
  </si>
  <si>
    <t>12-18.01 туники</t>
  </si>
  <si>
    <t>19-25.01 очки</t>
  </si>
  <si>
    <t>19-25.01 туники</t>
  </si>
  <si>
    <t>26-31.01 очки</t>
  </si>
  <si>
    <t>26-31.01 туники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</si>
  <si>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</si>
  <si>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</si>
  <si>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</si>
  <si>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</si>
  <si>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</si>
  <si>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</si>
  <si>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</si>
  <si>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</si>
  <si>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</si>
  <si>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</si>
  <si>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ТУНИКИ</t>
  </si>
  <si>
    <t>01-04.01</t>
  </si>
  <si>
    <t>19-25.01</t>
  </si>
  <si>
    <t>26-31.01</t>
  </si>
  <si>
    <t>01-31.01</t>
  </si>
  <si>
    <t>Период: 01.01.2026-04.01.2026</t>
  </si>
  <si>
    <t>56811586-0707-1</t>
  </si>
  <si>
    <t>57032574-0077</t>
  </si>
  <si>
    <t>0210542443-0036</t>
  </si>
  <si>
    <t>49259799-0024</t>
  </si>
  <si>
    <t>05135867-0100</t>
  </si>
  <si>
    <t>0111827137-0297-3</t>
  </si>
  <si>
    <t>71935577-0128</t>
  </si>
  <si>
    <t>20438351</t>
  </si>
  <si>
    <t>20438348</t>
  </si>
  <si>
    <t>20438344</t>
  </si>
  <si>
    <t>20378056</t>
  </si>
  <si>
    <t>18511336</t>
  </si>
  <si>
    <t>0157080893-0021-1</t>
  </si>
  <si>
    <t>44179084-0150-3</t>
  </si>
  <si>
    <t>0149240462-0089-2</t>
  </si>
  <si>
    <t>2807226072</t>
  </si>
  <si>
    <t>PRADA Очки солнцезащитные</t>
  </si>
  <si>
    <t>0170556624-0054-1</t>
  </si>
  <si>
    <t>2774719501</t>
  </si>
  <si>
    <t>0172680701-0097-19</t>
  </si>
  <si>
    <t>68098877-0034</t>
  </si>
  <si>
    <t>87693492-0003-2</t>
  </si>
  <si>
    <t>91008861-0068-1</t>
  </si>
  <si>
    <t>85058011-0032-1</t>
  </si>
  <si>
    <t>0188699056-0211-1</t>
  </si>
  <si>
    <t>40526787-0325-1</t>
  </si>
  <si>
    <t>0123462059-0039-1</t>
  </si>
  <si>
    <t>0238688085-0002</t>
  </si>
  <si>
    <t>92998328-0304</t>
  </si>
  <si>
    <t>0159871525-0013-1</t>
  </si>
  <si>
    <t>56227821-0076</t>
  </si>
  <si>
    <t>71867573-0214-3</t>
  </si>
  <si>
    <t>63153572-0114-1</t>
  </si>
  <si>
    <t>46761374-0249-1</t>
  </si>
  <si>
    <t>2000038312045</t>
  </si>
  <si>
    <t>Кросс-докинг</t>
  </si>
  <si>
    <t>0132100573-0033-1</t>
  </si>
  <si>
    <t>63421818-0042-3</t>
  </si>
  <si>
    <t>62111598-0190-1</t>
  </si>
  <si>
    <t>86637976-0039-1</t>
  </si>
  <si>
    <t>0164572275-0058</t>
  </si>
  <si>
    <t>66191844-0111</t>
  </si>
  <si>
    <t>0105810442-0014-1</t>
  </si>
  <si>
    <t>0208738904-0013</t>
  </si>
  <si>
    <t>40456334-0211</t>
  </si>
  <si>
    <t>0165897670-0232-1</t>
  </si>
  <si>
    <t>0106222895-0011-4</t>
  </si>
  <si>
    <t>0189042859-0362-1</t>
  </si>
  <si>
    <t>0162217932-0006</t>
  </si>
  <si>
    <t>82411247-0077</t>
  </si>
  <si>
    <t>0179025826-0016-5</t>
  </si>
  <si>
    <t>31605980-0196-3</t>
  </si>
  <si>
    <t>65878571-0388-1</t>
  </si>
  <si>
    <t>0210542443-0036-1</t>
  </si>
  <si>
    <t>57203790-0122</t>
  </si>
  <si>
    <t>39240182-0134</t>
  </si>
  <si>
    <t>0112774705-0197-13</t>
  </si>
  <si>
    <t>0130764969-0077-1</t>
  </si>
  <si>
    <t>68098877-0034-1</t>
  </si>
  <si>
    <t>0125643023-0186</t>
  </si>
  <si>
    <t>71935577-0128-1</t>
  </si>
  <si>
    <t>0223103017-0006-1</t>
  </si>
  <si>
    <t>49259799-0024-1</t>
  </si>
  <si>
    <t>40456334-0211-1</t>
  </si>
  <si>
    <t>56625267-0018-2</t>
  </si>
  <si>
    <t>Период: 05.01.2026-11.01.2026</t>
  </si>
  <si>
    <t>49171039-0395-1</t>
  </si>
  <si>
    <t>0162217932-0006-1</t>
  </si>
  <si>
    <t>0149081967-0021-1</t>
  </si>
  <si>
    <t>73963987-0784</t>
  </si>
  <si>
    <t>0163008306-0077</t>
  </si>
  <si>
    <t>0163008306-0078</t>
  </si>
  <si>
    <t>2730130141</t>
  </si>
  <si>
    <t>0104872745-0640-3</t>
  </si>
  <si>
    <t>42934660-0451-1</t>
  </si>
  <si>
    <t>24756582-0649-2</t>
  </si>
  <si>
    <t>0125643023-0186-1</t>
  </si>
  <si>
    <t>28508058-0160-9</t>
  </si>
  <si>
    <t>Возврат выручки</t>
  </si>
  <si>
    <t>Возврат вознаграждения</t>
  </si>
  <si>
    <t>32917263-0451-9</t>
  </si>
  <si>
    <t>75880161-0612</t>
  </si>
  <si>
    <t>66191844-0111-1</t>
  </si>
  <si>
    <t>94240403-0059-1</t>
  </si>
  <si>
    <t>0127747794-0068-2</t>
  </si>
  <si>
    <t>42308593-0355</t>
  </si>
  <si>
    <t>0164572275-0058-1</t>
  </si>
  <si>
    <t>66192443-0084-2</t>
  </si>
  <si>
    <t>0134073374-0051-1</t>
  </si>
  <si>
    <t>2730131249</t>
  </si>
  <si>
    <t>57203790-0122-2</t>
  </si>
  <si>
    <t>98759900-0289-1</t>
  </si>
  <si>
    <t>80796983-0465-2</t>
  </si>
  <si>
    <t>0140812680-0091-1</t>
  </si>
  <si>
    <t>0132065471-0854-1</t>
  </si>
  <si>
    <t>0211133537-0018-1</t>
  </si>
  <si>
    <t>15183950-0046-2</t>
  </si>
  <si>
    <t>26003617-0142</t>
  </si>
  <si>
    <t>75880161-0612-1</t>
  </si>
  <si>
    <t>0140489010-0188-3</t>
  </si>
  <si>
    <t>2774718796</t>
  </si>
  <si>
    <t>07631730-0202</t>
  </si>
  <si>
    <t>0144529110-0096-1</t>
  </si>
  <si>
    <t>0194358010-0005</t>
  </si>
  <si>
    <t>78929051-0076-1</t>
  </si>
  <si>
    <t>0130620811-0096</t>
  </si>
  <si>
    <t>44836357-0067-1</t>
  </si>
  <si>
    <t>20541726</t>
  </si>
  <si>
    <t>0153060785-0080-2</t>
  </si>
  <si>
    <t>0100165334-0245-5</t>
  </si>
  <si>
    <t>0116782557-0055-5</t>
  </si>
  <si>
    <t>0159871525-0014-1</t>
  </si>
  <si>
    <t>38260903-0109-3</t>
  </si>
  <si>
    <t>57495858-0409</t>
  </si>
  <si>
    <t>78523511-0092-1</t>
  </si>
  <si>
    <t>0116804094-0174</t>
  </si>
  <si>
    <t>65804880-0149-1</t>
  </si>
  <si>
    <t>41755937-0339-1</t>
  </si>
  <si>
    <t>0127130484-0021-1</t>
  </si>
  <si>
    <t>42308593-0355-2</t>
  </si>
  <si>
    <t>48614940-0552-1</t>
  </si>
  <si>
    <t>0151530101-0180</t>
  </si>
  <si>
    <t>0142333057-0096-2</t>
  </si>
  <si>
    <t>30333530-0378</t>
  </si>
  <si>
    <t>86105759-0086-1</t>
  </si>
  <si>
    <t>70968706-0503</t>
  </si>
  <si>
    <t>42859609-0114</t>
  </si>
  <si>
    <t>45364407-0355-1</t>
  </si>
  <si>
    <t>51442196-0092-3</t>
  </si>
  <si>
    <t>67155194-0020-1</t>
  </si>
  <si>
    <t>0221370601-0006-1</t>
  </si>
  <si>
    <t>89416611-0088-1</t>
  </si>
  <si>
    <t>44068944-0069-1</t>
  </si>
  <si>
    <t>2774710913</t>
  </si>
  <si>
    <t>87202836-0174</t>
  </si>
  <si>
    <t>71867573-0214-1</t>
  </si>
  <si>
    <t>20406355-0079-1</t>
  </si>
  <si>
    <t>20406355-0078-1</t>
  </si>
  <si>
    <t>18227455-0097-3</t>
  </si>
  <si>
    <t>40831756-0107</t>
  </si>
  <si>
    <t>3064334128</t>
  </si>
  <si>
    <t>0238688085-0002-1</t>
  </si>
  <si>
    <t>73963987-0784-1</t>
  </si>
  <si>
    <t>0194358010-0005-1</t>
  </si>
  <si>
    <t>0159209967-0119-1</t>
  </si>
  <si>
    <t>50041323-0231-6</t>
  </si>
  <si>
    <t>0163008306-0078-1</t>
  </si>
  <si>
    <t>0163008306-0077-1</t>
  </si>
  <si>
    <t>67075976-0183-11</t>
  </si>
  <si>
    <t>2730129638</t>
  </si>
  <si>
    <t>0130620811-0096-2</t>
  </si>
  <si>
    <t>29221615-0038-1</t>
  </si>
  <si>
    <t>29221615-0037-1</t>
  </si>
  <si>
    <t>0173167667-0057-1</t>
  </si>
  <si>
    <t>0160178653-0109-11</t>
  </si>
  <si>
    <t>0197513991-0035-1</t>
  </si>
  <si>
    <t>0208738904-0013-2</t>
  </si>
  <si>
    <t>57032574-0077-11</t>
  </si>
  <si>
    <t>05135867-0100-7</t>
  </si>
  <si>
    <t>44495062-0074-1</t>
  </si>
  <si>
    <t>33482380-0247</t>
  </si>
  <si>
    <t>77808503-0161</t>
  </si>
  <si>
    <t>62314855-0026-1</t>
  </si>
  <si>
    <t>65287027-0174-1</t>
  </si>
  <si>
    <t>44719005-0574-2</t>
  </si>
  <si>
    <t>49766203-0025-6</t>
  </si>
  <si>
    <t>Другие услуги</t>
  </si>
  <si>
    <t>Обеспечение материалами для упаковки товара</t>
  </si>
  <si>
    <t>2774712116</t>
  </si>
  <si>
    <t>Упаковка товара партнёрами</t>
  </si>
  <si>
    <t>87202836-0174-10</t>
  </si>
  <si>
    <t>30333530-0378-1</t>
  </si>
  <si>
    <t>70968706-0503-1</t>
  </si>
  <si>
    <t>45682227-0307-7</t>
  </si>
  <si>
    <t>36408880-0102</t>
  </si>
  <si>
    <t>0145875258-0005</t>
  </si>
  <si>
    <t>0213975542-0010</t>
  </si>
  <si>
    <t>56227821-0076-1</t>
  </si>
  <si>
    <t>62984535-0072-1</t>
  </si>
  <si>
    <t>0120123416-0213-1</t>
  </si>
  <si>
    <t>0115768785-0227-1</t>
  </si>
  <si>
    <t>55512479-0273-1</t>
  </si>
  <si>
    <t>51200758-0108-2</t>
  </si>
  <si>
    <t>0141729346-0245-1</t>
  </si>
  <si>
    <t>0139490163-0018-7</t>
  </si>
  <si>
    <t>29021939-0538-1</t>
  </si>
  <si>
    <t>57495858-0409-1</t>
  </si>
  <si>
    <t>86474754-0076-4</t>
  </si>
  <si>
    <t>0183816176-0211-3</t>
  </si>
  <si>
    <t>66883395-0276-9</t>
  </si>
  <si>
    <t>81223361-0152-7</t>
  </si>
  <si>
    <t>43724409-0699-1</t>
  </si>
  <si>
    <t>43724409-0700-1</t>
  </si>
  <si>
    <t>0152902131-0030-2</t>
  </si>
  <si>
    <t>39240182-0134-1</t>
  </si>
  <si>
    <t>97883458-0093</t>
  </si>
  <si>
    <t>40008233-0126-5</t>
  </si>
  <si>
    <t>0104869050-0454-1</t>
  </si>
  <si>
    <t>0145875258-0005-1</t>
  </si>
  <si>
    <t>82953781-0060-2</t>
  </si>
  <si>
    <t>0207872609-0014-1</t>
  </si>
  <si>
    <t>0142984437-0039-1</t>
  </si>
  <si>
    <t>36464093-0767-1</t>
  </si>
  <si>
    <t>Период: 19.01.2026-25.01.2026</t>
  </si>
  <si>
    <t>0171945135-0045-1</t>
  </si>
  <si>
    <t>0128455698-0330</t>
  </si>
  <si>
    <t>78204523-0125-1</t>
  </si>
  <si>
    <t>13964430-0466-3</t>
  </si>
  <si>
    <t>0120146709-0190</t>
  </si>
  <si>
    <t>0173342711-0065-1</t>
  </si>
  <si>
    <t>0159853015-0055-11</t>
  </si>
  <si>
    <t>77565802-0141-3</t>
  </si>
  <si>
    <t>73420462-0070-1</t>
  </si>
  <si>
    <t>84987269-0202-1</t>
  </si>
  <si>
    <t>41900492-0066-1</t>
  </si>
  <si>
    <t>0129103753-0067-1</t>
  </si>
  <si>
    <t>17005874-0285-1</t>
  </si>
  <si>
    <t>0113259299-0013-1</t>
  </si>
  <si>
    <t>0161274694-0088</t>
  </si>
  <si>
    <t>0206448772-0061-1</t>
  </si>
  <si>
    <t>05175876-1028-1</t>
  </si>
  <si>
    <t>0139834762-0036</t>
  </si>
  <si>
    <t>69262373-0078-2</t>
  </si>
  <si>
    <t>0111487652-0864</t>
  </si>
  <si>
    <t>21211361</t>
  </si>
  <si>
    <t>0197210201-0028</t>
  </si>
  <si>
    <t>53087133-0213-1</t>
  </si>
  <si>
    <t>57659039-0155-1</t>
  </si>
  <si>
    <t>0118503826-0145</t>
  </si>
  <si>
    <t>50598151-0227</t>
  </si>
  <si>
    <t>14338774-0909-1</t>
  </si>
  <si>
    <t>33419294-0090-1</t>
  </si>
  <si>
    <t>46185052-0750-1</t>
  </si>
  <si>
    <t>35493850-0080-1</t>
  </si>
  <si>
    <t>0208999452-0040</t>
  </si>
  <si>
    <t>58148731-0135-1</t>
  </si>
  <si>
    <t>0138485355-0178-2</t>
  </si>
  <si>
    <t>82923582-0351</t>
  </si>
  <si>
    <t>38193259-0079-1</t>
  </si>
  <si>
    <t>86193616-0159-5</t>
  </si>
  <si>
    <t>06465343-0139</t>
  </si>
  <si>
    <t>23461394-0082-3</t>
  </si>
  <si>
    <t>0187007626-0017-1</t>
  </si>
  <si>
    <t>28271841-0371-1</t>
  </si>
  <si>
    <t>0183123126-0008-1</t>
  </si>
  <si>
    <t>0128455698-0330-1</t>
  </si>
  <si>
    <t>61677512-0437-2</t>
  </si>
  <si>
    <t>0202434933-0068-4</t>
  </si>
  <si>
    <t>35543832-0294-1</t>
  </si>
  <si>
    <t>0175795587-0188</t>
  </si>
  <si>
    <t>0207576121-0013-1</t>
  </si>
  <si>
    <t>46792880-0014-5</t>
  </si>
  <si>
    <t>45164735-0457-1</t>
  </si>
  <si>
    <t>30360653-0676</t>
  </si>
  <si>
    <t>72265358-0188-1</t>
  </si>
  <si>
    <t>0200872345-0103-1</t>
  </si>
  <si>
    <t>92125986-0020-39</t>
  </si>
  <si>
    <t>18483854-0071</t>
  </si>
  <si>
    <t>0135243394-0056</t>
  </si>
  <si>
    <t>88120238-0156</t>
  </si>
  <si>
    <t>24795485-0713-2</t>
  </si>
  <si>
    <t>2774719022</t>
  </si>
  <si>
    <t>0112494339-0303-1</t>
  </si>
  <si>
    <t>32650757-0166</t>
  </si>
  <si>
    <t>42175668-0038-1</t>
  </si>
  <si>
    <t>0123290575-0289-1</t>
  </si>
  <si>
    <t>60076939-0230-1</t>
  </si>
  <si>
    <t>19227081-1107-1</t>
  </si>
  <si>
    <t>28642636-0151-1</t>
  </si>
  <si>
    <t>06465343-0139-4</t>
  </si>
  <si>
    <t>0180880269-0005-1</t>
  </si>
  <si>
    <t>0130734440-0100-1</t>
  </si>
  <si>
    <t>0132182652-0181-1</t>
  </si>
  <si>
    <t>0188169649-0040-1</t>
  </si>
  <si>
    <t>40017988-0433</t>
  </si>
  <si>
    <t>0196670039-0051-3</t>
  </si>
  <si>
    <t>0123852950-0208-7</t>
  </si>
  <si>
    <t>49355946-0071-3</t>
  </si>
  <si>
    <t>50598151-0227-1</t>
  </si>
  <si>
    <t>46825030-0241</t>
  </si>
  <si>
    <t>72443377-0134</t>
  </si>
  <si>
    <t>2807226228</t>
  </si>
  <si>
    <t>Ray Ban Очки солнцезащитные</t>
  </si>
  <si>
    <t>0153963524-0014</t>
  </si>
  <si>
    <t>72162540-0135-1</t>
  </si>
  <si>
    <t>59182886-0105</t>
  </si>
  <si>
    <t>79512592-0150-2</t>
  </si>
  <si>
    <t>0188214717-0040-1</t>
  </si>
  <si>
    <t>0111487652-0864-1</t>
  </si>
  <si>
    <t>07734955-0160-1</t>
  </si>
  <si>
    <t>75701674-0400</t>
  </si>
  <si>
    <t>0208999452-0040-1</t>
  </si>
  <si>
    <t>88135021-0063</t>
  </si>
  <si>
    <t>0173458151-0162</t>
  </si>
  <si>
    <t>49455994-0606-1</t>
  </si>
  <si>
    <t>45224885-0245-5</t>
  </si>
  <si>
    <t>82923582-0350-1</t>
  </si>
  <si>
    <t>49845155-0061-7</t>
  </si>
  <si>
    <t>23305375-0163</t>
  </si>
  <si>
    <t>0207337905-0007</t>
  </si>
  <si>
    <t>0232492944-0037-1</t>
  </si>
  <si>
    <t>0158438518-0380</t>
  </si>
  <si>
    <t>49455994-0606-2</t>
  </si>
  <si>
    <t>0118503826-0145-1</t>
  </si>
  <si>
    <t>09507279-0369</t>
  </si>
  <si>
    <t>0138046507-0097</t>
  </si>
  <si>
    <t>0159378945-0060-1</t>
  </si>
  <si>
    <t>0138154825-0038-7</t>
  </si>
  <si>
    <t>37464608-0218-1</t>
  </si>
  <si>
    <t>0156140080-0077</t>
  </si>
  <si>
    <t>94027624-0018-1</t>
  </si>
  <si>
    <t>0161274694-0088-3</t>
  </si>
  <si>
    <t>37464608-0218-2</t>
  </si>
  <si>
    <t>68206245-0311-1</t>
  </si>
  <si>
    <t>59182886-0105-3</t>
  </si>
  <si>
    <t>66844692-0138-1</t>
  </si>
  <si>
    <t>44719062-0156-1</t>
  </si>
  <si>
    <t>40831756-0107-3</t>
  </si>
  <si>
    <t>0138061797-0121-1</t>
  </si>
  <si>
    <t>0121359071-0055-1</t>
  </si>
  <si>
    <t>78695649-0155</t>
  </si>
  <si>
    <t>0114532130-0078-3</t>
  </si>
  <si>
    <t>92519604-0047-1</t>
  </si>
  <si>
    <t>0121359071-0058-1</t>
  </si>
  <si>
    <t>75701674-0400-2</t>
  </si>
  <si>
    <t>99533201-0289-1</t>
  </si>
  <si>
    <t>0109521225-0188-1</t>
  </si>
  <si>
    <t>0221639245-0023-1</t>
  </si>
  <si>
    <t>71474199-0050-11</t>
  </si>
  <si>
    <t>0212012294-0016</t>
  </si>
  <si>
    <t>21696547</t>
  </si>
  <si>
    <t>59221243-0244-7</t>
  </si>
  <si>
    <t>73785297-0092-3</t>
  </si>
  <si>
    <t>79351549-0017-1</t>
  </si>
  <si>
    <t>2774710430</t>
  </si>
  <si>
    <t>63747600-0248</t>
  </si>
  <si>
    <t>0173624388-0029-1</t>
  </si>
  <si>
    <t>2000040360185</t>
  </si>
  <si>
    <t>61968686-0024-1</t>
  </si>
  <si>
    <t>61968686-0024-3</t>
  </si>
  <si>
    <t>2730130733</t>
  </si>
  <si>
    <t>0120146709-0190-3</t>
  </si>
  <si>
    <t>84891659-0414-1</t>
  </si>
  <si>
    <t>0197513991-0038-1</t>
  </si>
  <si>
    <t>0156046778-0145-1</t>
  </si>
  <si>
    <t>2807226016</t>
  </si>
  <si>
    <t>Saint Laurent Очки солнцезащитные</t>
  </si>
  <si>
    <t>59127363-0120-1</t>
  </si>
  <si>
    <t>46825030-0241-3</t>
  </si>
  <si>
    <t>0120836498-0714</t>
  </si>
  <si>
    <t>13006878-0190-1</t>
  </si>
  <si>
    <t>09196040-0112</t>
  </si>
  <si>
    <t>0162489387-0077</t>
  </si>
  <si>
    <t>71647250-0100-1</t>
  </si>
  <si>
    <t>68752546-0060-1</t>
  </si>
  <si>
    <t>0189567619-0018-7</t>
  </si>
  <si>
    <t>31186059-0728-1</t>
  </si>
  <si>
    <t>2774714412</t>
  </si>
  <si>
    <t>Туника туника пляжная</t>
  </si>
  <si>
    <t>99217510-0083-6</t>
  </si>
  <si>
    <t>13033517-1103</t>
  </si>
  <si>
    <t>0161952246-0151</t>
  </si>
  <si>
    <t>0142679212-0088</t>
  </si>
  <si>
    <t>0111209471-0016</t>
  </si>
  <si>
    <t>32065398-0087</t>
  </si>
  <si>
    <t>0112562804-0040-1</t>
  </si>
  <si>
    <t>38988234-0445</t>
  </si>
  <si>
    <t>45576121-0281-1</t>
  </si>
  <si>
    <t>0179514033-0151</t>
  </si>
  <si>
    <t>21835290</t>
  </si>
  <si>
    <t>0157337020-0002-1</t>
  </si>
  <si>
    <t>0144016556-0123</t>
  </si>
  <si>
    <t>32650757-0166-1</t>
  </si>
  <si>
    <t>17588401-3212-1</t>
  </si>
  <si>
    <t>0105352797-0129-2</t>
  </si>
  <si>
    <t>0105352797-0129-5</t>
  </si>
  <si>
    <t>0105352797-0129-3</t>
  </si>
  <si>
    <t>0160646065-0133</t>
  </si>
  <si>
    <t>2774719433</t>
  </si>
  <si>
    <t>40017988-0433-1</t>
  </si>
  <si>
    <t>68235324-0080-1</t>
  </si>
  <si>
    <t>2774720465</t>
  </si>
  <si>
    <t>13033517-1103-3</t>
  </si>
  <si>
    <t>49171577-0676-1</t>
  </si>
  <si>
    <t>22028593526</t>
  </si>
  <si>
    <t>Временное размещение товара партнерами</t>
  </si>
  <si>
    <t>82923582-0351-1</t>
  </si>
  <si>
    <t>49973084-0018-1</t>
  </si>
  <si>
    <t>0175795587-0188-1</t>
  </si>
  <si>
    <t>0207337905-0007-73</t>
  </si>
  <si>
    <t>60557151-0100-3</t>
  </si>
  <si>
    <t>33029906-0870-5</t>
  </si>
  <si>
    <t>58020253-1087</t>
  </si>
  <si>
    <t>41360952-0025-9</t>
  </si>
  <si>
    <t>70600112-0171</t>
  </si>
  <si>
    <t>86193616-0161-7</t>
  </si>
  <si>
    <t>88120238-0156-1</t>
  </si>
  <si>
    <t>0144903865-0073-2</t>
  </si>
  <si>
    <t>0118403641-0021-4</t>
  </si>
  <si>
    <t>45946431-0394-1</t>
  </si>
  <si>
    <t>35914755-0174</t>
  </si>
  <si>
    <t>0172569457-0023</t>
  </si>
  <si>
    <t>0198416395-0066-1</t>
  </si>
  <si>
    <t>2000040360675</t>
  </si>
  <si>
    <t>0180859110-0067-2</t>
  </si>
  <si>
    <t>83616092-0159</t>
  </si>
  <si>
    <t>Баллы за отзывы</t>
  </si>
  <si>
    <t>Заказы, шт
31 день</t>
  </si>
  <si>
    <t>Заказы, шт
4 дня</t>
  </si>
  <si>
    <t>Пополнение рекламного кабинета</t>
  </si>
  <si>
    <t>Налог 1%</t>
  </si>
  <si>
    <t>Период: 26.01.2026-31.01.2026</t>
  </si>
  <si>
    <t>0210291295-0112</t>
  </si>
  <si>
    <t>62430987-0432-7</t>
  </si>
  <si>
    <t>82240074-0241-3</t>
  </si>
  <si>
    <t>0128458914-0040-1</t>
  </si>
  <si>
    <t>92316737-0156-1</t>
  </si>
  <si>
    <t>91483942-0053-1</t>
  </si>
  <si>
    <t>62557603-0011-1</t>
  </si>
  <si>
    <t>30360653-0676-4</t>
  </si>
  <si>
    <t>88135021-0063-1</t>
  </si>
  <si>
    <t>26929806-0057</t>
  </si>
  <si>
    <t>32425513-0172-1</t>
  </si>
  <si>
    <t>64787076-0165</t>
  </si>
  <si>
    <t>75599048-0041</t>
  </si>
  <si>
    <t>41621639-0440</t>
  </si>
  <si>
    <t>0213804235-0019</t>
  </si>
  <si>
    <t>0198851846-0129</t>
  </si>
  <si>
    <t>0161952246-0151-1</t>
  </si>
  <si>
    <t>15865055-0161</t>
  </si>
  <si>
    <t>2000040361068</t>
  </si>
  <si>
    <t>0144016556-0123-1</t>
  </si>
  <si>
    <t>18483854-0071-3</t>
  </si>
  <si>
    <t>0101768289-0085</t>
  </si>
  <si>
    <t>0130274898-0073-1</t>
  </si>
  <si>
    <t>0134077728-0736-1</t>
  </si>
  <si>
    <t>2774708536</t>
  </si>
  <si>
    <t>0142679212-0088-1</t>
  </si>
  <si>
    <t>75669491-0206-1</t>
  </si>
  <si>
    <t>32893098-0193-1</t>
  </si>
  <si>
    <t>56100335-0160-1</t>
  </si>
  <si>
    <t>09196040-0112-2</t>
  </si>
  <si>
    <t>0173458151-0162-6</t>
  </si>
  <si>
    <t>17588401-3209-2</t>
  </si>
  <si>
    <t>2000040361719</t>
  </si>
  <si>
    <t>0123809415-0099</t>
  </si>
  <si>
    <t>0109331574-0081</t>
  </si>
  <si>
    <t>11184683-0249</t>
  </si>
  <si>
    <t>0189674849-0588</t>
  </si>
  <si>
    <t>0183448123-0088-1</t>
  </si>
  <si>
    <t>37683892-0504-1</t>
  </si>
  <si>
    <t>89678994-0445-1</t>
  </si>
  <si>
    <t>0122148464-0197-5</t>
  </si>
  <si>
    <t>36583835-0338-1</t>
  </si>
  <si>
    <t>72443377-0134-1</t>
  </si>
  <si>
    <t>0102163066-0244-1</t>
  </si>
  <si>
    <t>0117319312-0047-1</t>
  </si>
  <si>
    <t>0179514033-0151-1</t>
  </si>
  <si>
    <t>71674870-0028-1</t>
  </si>
  <si>
    <t>0210291295-0112-1</t>
  </si>
  <si>
    <t>0157267956-0043-1</t>
  </si>
  <si>
    <t>73699677-0055-1</t>
  </si>
  <si>
    <t>63747600-0248-2</t>
  </si>
  <si>
    <t>0156140080-0077-1</t>
  </si>
  <si>
    <t>59555459-0243-1</t>
  </si>
  <si>
    <t>59221243-0247-5</t>
  </si>
  <si>
    <t>0212012294-0016-2</t>
  </si>
  <si>
    <t>58020253-1087-1</t>
  </si>
  <si>
    <t>33836134-0200-1</t>
  </si>
  <si>
    <t>43118593-0187-2</t>
  </si>
  <si>
    <t>26929806-0057-2</t>
  </si>
  <si>
    <t>07857168-0378-1</t>
  </si>
  <si>
    <t>70600112-0171-1</t>
  </si>
  <si>
    <t>0120836498-0714-1</t>
  </si>
  <si>
    <t>09507279-0369-3</t>
  </si>
  <si>
    <t>01675008-0174-1</t>
  </si>
  <si>
    <t>0172569457-0023-3</t>
  </si>
  <si>
    <t>33497796-0323</t>
  </si>
  <si>
    <t>45130710-0215</t>
  </si>
  <si>
    <t>36771383-0217-2</t>
  </si>
  <si>
    <t>2774721668</t>
  </si>
  <si>
    <t>85902660-0138</t>
  </si>
  <si>
    <t>0193577930-0108-1</t>
  </si>
  <si>
    <t>38396971-0325-1</t>
  </si>
  <si>
    <t>0111209471-0016-1</t>
  </si>
  <si>
    <t>2000040360809</t>
  </si>
  <si>
    <t>64787076-0165-1</t>
  </si>
  <si>
    <t>0146188276-0096-1</t>
  </si>
  <si>
    <t>0224777767-0002-9</t>
  </si>
  <si>
    <t>83616092-0159-1</t>
  </si>
  <si>
    <t>0137664843-0043-1</t>
  </si>
  <si>
    <t>41654089-1047-1</t>
  </si>
  <si>
    <t>41654089-1048-1</t>
  </si>
  <si>
    <t>0135928493-0130-1</t>
  </si>
  <si>
    <t>15865055-0161-5</t>
  </si>
  <si>
    <t>42960853-0205-4</t>
  </si>
  <si>
    <t>0159352878-0027-1</t>
  </si>
  <si>
    <t>43416685-0248-3</t>
  </si>
  <si>
    <t>39678204-0606-1</t>
  </si>
  <si>
    <t>48357858-0308-2</t>
  </si>
  <si>
    <t>0139416879-0045-2</t>
  </si>
  <si>
    <t>59302878-0091</t>
  </si>
  <si>
    <t>85902660-0138-1</t>
  </si>
  <si>
    <t>75599048-0041-2</t>
  </si>
  <si>
    <t>11184683-0249-1</t>
  </si>
  <si>
    <t>0134310609-0233-1</t>
  </si>
  <si>
    <t>0183263802-0132-1</t>
  </si>
  <si>
    <t>0165912325-0738-1</t>
  </si>
  <si>
    <t>0127548385-0103-1</t>
  </si>
  <si>
    <t>0151848143-0624-1</t>
  </si>
  <si>
    <t>39434545-0334-1</t>
  </si>
  <si>
    <t>46233715-0569-1</t>
  </si>
  <si>
    <t>17214765-0071</t>
  </si>
  <si>
    <t>0176484364-0005-1</t>
  </si>
  <si>
    <t>89074553-0080</t>
  </si>
  <si>
    <t>82411247-0077-1</t>
  </si>
  <si>
    <t>0213804235-0019-3</t>
  </si>
  <si>
    <t>88418041-0080</t>
  </si>
  <si>
    <t>0126511431-0037-1</t>
  </si>
  <si>
    <t>0135243394-0056-1</t>
  </si>
  <si>
    <t>95512621-0226-1</t>
  </si>
  <si>
    <t>0173166915-0119-1</t>
  </si>
  <si>
    <t>0109331574-0081-7</t>
  </si>
  <si>
    <t>0101768289-0085-1</t>
  </si>
  <si>
    <t>62349708-0025-1</t>
  </si>
  <si>
    <t>73733042-0078-1</t>
  </si>
  <si>
    <t>55712021-0048-1</t>
  </si>
  <si>
    <t>23380237-0132-3</t>
  </si>
  <si>
    <t>34356848-0047-1</t>
  </si>
  <si>
    <t>0100183055-0076-1</t>
  </si>
  <si>
    <t>0138046507-0097-1</t>
  </si>
  <si>
    <t>89825823-0035</t>
  </si>
  <si>
    <t>0106471619-0332-5</t>
  </si>
  <si>
    <t>0158438518-0380-1</t>
  </si>
  <si>
    <t>0137755968-0272-1</t>
  </si>
  <si>
    <t>0137755968-0258-1</t>
  </si>
  <si>
    <t>57561678-0394-1</t>
  </si>
  <si>
    <t>50872551-0108-3</t>
  </si>
  <si>
    <t>71696631-0289-1</t>
  </si>
  <si>
    <t>21368594-0194-1</t>
  </si>
  <si>
    <t>0157061105-0174-1</t>
  </si>
  <si>
    <t>49913009-1262-1</t>
  </si>
  <si>
    <t>91266826-0145-1</t>
  </si>
  <si>
    <t>0128240847-0029-1</t>
  </si>
  <si>
    <t>0233748130-0004-8</t>
  </si>
  <si>
    <t>0147706080-0144</t>
  </si>
  <si>
    <t>63553250-0251-1</t>
  </si>
  <si>
    <t>0161294289-0009</t>
  </si>
  <si>
    <t>0198851846-0129-3</t>
  </si>
  <si>
    <t>73120192-0204-1</t>
  </si>
  <si>
    <t>03701389-0293-1</t>
  </si>
  <si>
    <t>40618729-0158-1</t>
  </si>
  <si>
    <t>29884959-0191-1</t>
  </si>
  <si>
    <t>80420194-0531-2</t>
  </si>
  <si>
    <t>37743967-0330-4</t>
  </si>
  <si>
    <t>2774708622</t>
  </si>
  <si>
    <t>50127676-0752-7</t>
  </si>
  <si>
    <t>2774709606</t>
  </si>
  <si>
    <t>50127676-0752-1</t>
  </si>
  <si>
    <t>79595013-0074-1</t>
  </si>
  <si>
    <t>78695649-0155-1</t>
  </si>
  <si>
    <t>0189674849-0588-1</t>
  </si>
  <si>
    <t>42440134-0343</t>
  </si>
  <si>
    <t>57374577-0027-1</t>
  </si>
  <si>
    <t>70363613-0166-19</t>
  </si>
  <si>
    <t>0150744151-0052-1</t>
  </si>
  <si>
    <t>0128385792-0080-1</t>
  </si>
  <si>
    <t>13868147-0323-2</t>
  </si>
  <si>
    <t>0105979564-0642-1</t>
  </si>
  <si>
    <t>41621639-0440-1</t>
  </si>
  <si>
    <t>31186616-0249-1</t>
  </si>
  <si>
    <t>0119248945-0036-1</t>
  </si>
  <si>
    <t>46133214-0106-2</t>
  </si>
  <si>
    <t>78360647-0488</t>
  </si>
  <si>
    <t>38690321-0285</t>
  </si>
  <si>
    <t>57106161-0299-1</t>
  </si>
  <si>
    <t>09218232-0325-3</t>
  </si>
  <si>
    <t>51181942-0211</t>
  </si>
  <si>
    <t>0198958026-0306-1</t>
  </si>
  <si>
    <t>17588401-3216-2</t>
  </si>
  <si>
    <t>58892877-0498-1</t>
  </si>
  <si>
    <t>33594293-0164-3</t>
  </si>
  <si>
    <t>0134326875-0040</t>
  </si>
  <si>
    <t>0239387046-0001-2</t>
  </si>
  <si>
    <t>34685127-0582-3</t>
  </si>
  <si>
    <t>89074553-0080-5</t>
  </si>
  <si>
    <t>89825823-0035-1</t>
  </si>
  <si>
    <t>0161294289-0009-4</t>
  </si>
  <si>
    <t>38988234-0445-1</t>
  </si>
  <si>
    <t>0223426375-0027-1</t>
  </si>
  <si>
    <t>52466974-0147-2</t>
  </si>
  <si>
    <t>0147706080-0144-1</t>
  </si>
  <si>
    <t>13413392-0121-2</t>
  </si>
  <si>
    <t>39972474-0068-1</t>
  </si>
  <si>
    <t>42440134-0343-2</t>
  </si>
  <si>
    <t>0175606368-0011-1</t>
  </si>
  <si>
    <t>05554310-1864-1</t>
  </si>
  <si>
    <t>55846497-0452</t>
  </si>
  <si>
    <t>40625776-0409-5</t>
  </si>
  <si>
    <t>80139260-0515-1</t>
  </si>
  <si>
    <t>январь очки</t>
  </si>
  <si>
    <t>январь туники</t>
  </si>
  <si>
    <t>ЕАЭС</t>
  </si>
  <si>
    <t>01.02 очки</t>
  </si>
  <si>
    <t>01.02 туники</t>
  </si>
  <si>
    <t>02-08.02 очки</t>
  </si>
  <si>
    <t>02-08.02 туники</t>
  </si>
  <si>
    <t>09-15.02 очки</t>
  </si>
  <si>
    <t>09-15.02 туники</t>
  </si>
  <si>
    <t>16-22.02 очки</t>
  </si>
  <si>
    <t>16-22.02 туники</t>
  </si>
  <si>
    <t>23-28.02 очки</t>
  </si>
  <si>
    <t>23-28.02 туники</t>
  </si>
  <si>
    <t>02-08.02</t>
  </si>
  <si>
    <t>01.02</t>
  </si>
  <si>
    <r>
      <t xml:space="preserve">Остаток на 02.02
</t>
    </r>
    <r>
      <rPr>
        <i/>
        <sz val="9"/>
        <rFont val="Calibri"/>
        <family val="2"/>
        <charset val="204"/>
      </rPr>
      <t>Отчет 23</t>
    </r>
  </si>
  <si>
    <t>Заказы, шт
01.02</t>
  </si>
  <si>
    <t>Период: 01.02.2026-01.02.2026</t>
  </si>
  <si>
    <t>49959461-0113-5</t>
  </si>
  <si>
    <t>49959461-0113-3</t>
  </si>
  <si>
    <t>49959461-0113-1</t>
  </si>
  <si>
    <t>32117962-0739</t>
  </si>
  <si>
    <t>52719890-0494-1</t>
  </si>
  <si>
    <t>18898417-0469-2</t>
  </si>
  <si>
    <t>41937990-0148-3</t>
  </si>
  <si>
    <t>2774719029</t>
  </si>
  <si>
    <t>41937990-0148-1</t>
  </si>
  <si>
    <t>49493042-0166</t>
  </si>
  <si>
    <t>0123809415-0099-1</t>
  </si>
  <si>
    <t>09183174-0046-1</t>
  </si>
  <si>
    <t>36052129-0117</t>
  </si>
  <si>
    <t>59300428-0074</t>
  </si>
  <si>
    <t>44695537-1474-1</t>
  </si>
  <si>
    <t>63843107-0105-11</t>
  </si>
  <si>
    <t>32065398-0087-6</t>
  </si>
  <si>
    <t>43441377-0376</t>
  </si>
  <si>
    <t>47376017-0397-1</t>
  </si>
  <si>
    <t>0211937541-0012</t>
  </si>
  <si>
    <t>70548337-0887-1</t>
  </si>
  <si>
    <t>90342061-0078-2</t>
  </si>
  <si>
    <t>63562286-0172</t>
  </si>
  <si>
    <t>76979922-0135</t>
  </si>
  <si>
    <t>64214118-0468-3</t>
  </si>
  <si>
    <t>39876065-0203-5</t>
  </si>
  <si>
    <t>23305375-0163-3</t>
  </si>
  <si>
    <t>61638380-0396-1</t>
  </si>
  <si>
    <t>48608610-0649-1</t>
  </si>
  <si>
    <t>0127942606-0022-1</t>
  </si>
  <si>
    <t>07131171-0407-2</t>
  </si>
  <si>
    <t>28993288-0811-11</t>
  </si>
  <si>
    <t>0136617054-0085-1</t>
  </si>
  <si>
    <t>57177110-0788</t>
  </si>
  <si>
    <t>0226164291-0004</t>
  </si>
  <si>
    <t>Заказы, шт
26.01-01.02</t>
  </si>
  <si>
    <t>26.01-01.02</t>
  </si>
  <si>
    <t>Заказы, шт
26-31.01</t>
  </si>
  <si>
    <t>число дней</t>
  </si>
  <si>
    <t>январь итого</t>
  </si>
  <si>
    <t>Прибыль до вычета налогов</t>
  </si>
  <si>
    <t>Прибыль после вычета налогов</t>
  </si>
  <si>
    <t>09-15.02</t>
  </si>
  <si>
    <t>16-22.02</t>
  </si>
  <si>
    <t>23-28.02</t>
  </si>
  <si>
    <t>23.02-01.03</t>
  </si>
  <si>
    <r>
      <t xml:space="preserve">Остаток на 02.03
</t>
    </r>
    <r>
      <rPr>
        <i/>
        <sz val="9"/>
        <rFont val="Calibri"/>
        <family val="2"/>
        <charset val="204"/>
      </rPr>
      <t>Отчет 23</t>
    </r>
  </si>
  <si>
    <t>01.03</t>
  </si>
  <si>
    <t>Заказы, шт
6 дней</t>
  </si>
  <si>
    <t>Заказы, шт
01.03</t>
  </si>
  <si>
    <t>01-28.02</t>
  </si>
  <si>
    <t>Заказы, шт
28 дней</t>
  </si>
  <si>
    <t>Февраль</t>
  </si>
  <si>
    <r>
      <t xml:space="preserve">Остаток на 09.02
</t>
    </r>
    <r>
      <rPr>
        <i/>
        <sz val="9"/>
        <rFont val="Calibri"/>
        <family val="2"/>
        <charset val="204"/>
      </rPr>
      <t>Отчет 23</t>
    </r>
  </si>
  <si>
    <t>Период: 02.02.2026-08.02.2026</t>
  </si>
  <si>
    <t>05201083-0174-1</t>
  </si>
  <si>
    <t>0153756094-0153-1</t>
  </si>
  <si>
    <t>41127142-1861-1</t>
  </si>
  <si>
    <t>45614214-0134</t>
  </si>
  <si>
    <t>32117962-0738-3</t>
  </si>
  <si>
    <t>80368846-0077-3</t>
  </si>
  <si>
    <t>45526241-0158-5</t>
  </si>
  <si>
    <t>85400418-0431-2</t>
  </si>
  <si>
    <t>0187697583-0041-1</t>
  </si>
  <si>
    <t>35914755-0174-1</t>
  </si>
  <si>
    <t>58449540-0291-1</t>
  </si>
  <si>
    <t>0163261352-0364-1</t>
  </si>
  <si>
    <t>88459943-0028-3</t>
  </si>
  <si>
    <t>66164901-0340-1</t>
  </si>
  <si>
    <t>05087693-0563-3</t>
  </si>
  <si>
    <t>36052129-0117-2</t>
  </si>
  <si>
    <t>0105164955-0130-3</t>
  </si>
  <si>
    <t>43321577-0169-1</t>
  </si>
  <si>
    <t>49845155-0058-1</t>
  </si>
  <si>
    <t>22078083-1420</t>
  </si>
  <si>
    <t>48644233-0502-1</t>
  </si>
  <si>
    <t>0112612905-0087-1</t>
  </si>
  <si>
    <t>38690321-0285-1</t>
  </si>
  <si>
    <t>22223211-0104-1</t>
  </si>
  <si>
    <t>68289260-0053-5</t>
  </si>
  <si>
    <t>40012098-0083-1</t>
  </si>
  <si>
    <t>49493042-0166-1</t>
  </si>
  <si>
    <t>39511481-0507</t>
  </si>
  <si>
    <t>03997860-1725-2</t>
  </si>
  <si>
    <t>50329980-0399</t>
  </si>
  <si>
    <t>0222087871-0014-1</t>
  </si>
  <si>
    <t>0184448034-0137-3</t>
  </si>
  <si>
    <t>24044292-0444-1</t>
  </si>
  <si>
    <t>0117364507-0275-1</t>
  </si>
  <si>
    <t>58010725-0168-1</t>
  </si>
  <si>
    <t>78360647-0488-1</t>
  </si>
  <si>
    <t>0136886393-0160-1</t>
  </si>
  <si>
    <t>0211937541-0012-1</t>
  </si>
  <si>
    <t>20674406-0049-2</t>
  </si>
  <si>
    <t>70108309-0077</t>
  </si>
  <si>
    <t>73131036-0145</t>
  </si>
  <si>
    <t>0162071031-0049-1</t>
  </si>
  <si>
    <t>51868640-0535-1</t>
  </si>
  <si>
    <t>0134326875-0040-1</t>
  </si>
  <si>
    <t>0154130006-0005-1</t>
  </si>
  <si>
    <t>0114260830-0121-1</t>
  </si>
  <si>
    <t>59327320-0255-1</t>
  </si>
  <si>
    <t>41981107-0847-7</t>
  </si>
  <si>
    <t>75520411-0217</t>
  </si>
  <si>
    <t>59813332-0551-1</t>
  </si>
  <si>
    <t>30363842-0499</t>
  </si>
  <si>
    <t>0189219051-0039</t>
  </si>
  <si>
    <t>56263550-0550-1</t>
  </si>
  <si>
    <t>52798106-0138-1</t>
  </si>
  <si>
    <t>56263550-0549-1</t>
  </si>
  <si>
    <t>0138339958-0201</t>
  </si>
  <si>
    <t>41718616-0340-1</t>
  </si>
  <si>
    <t>0133090086-1147-1</t>
  </si>
  <si>
    <t>43261747-0240-4</t>
  </si>
  <si>
    <t>18767268-0558-1</t>
  </si>
  <si>
    <t>67832042-0363</t>
  </si>
  <si>
    <t>06169094-0634-1</t>
  </si>
  <si>
    <t>36771383-0218-1</t>
  </si>
  <si>
    <t>0133814489-0065</t>
  </si>
  <si>
    <t>39511481-0507-1</t>
  </si>
  <si>
    <t>0161404484-0030</t>
  </si>
  <si>
    <t>07792359-0419-1</t>
  </si>
  <si>
    <t>51181942-0211-2</t>
  </si>
  <si>
    <t>57177110-0788-5</t>
  </si>
  <si>
    <t>0135197140-0198-1</t>
  </si>
  <si>
    <t>71146548-0087-1</t>
  </si>
  <si>
    <t>19802259-0459-5</t>
  </si>
  <si>
    <t>47235193-0150</t>
  </si>
  <si>
    <t>13427060-0406</t>
  </si>
  <si>
    <t>36048958-0263-9</t>
  </si>
  <si>
    <t>87049385-0175</t>
  </si>
  <si>
    <t>0212743740-0185-1</t>
  </si>
  <si>
    <t>87049385-0176</t>
  </si>
  <si>
    <t>80146667-0224</t>
  </si>
  <si>
    <t>0100036125-0064</t>
  </si>
  <si>
    <t>42514675-0594-7</t>
  </si>
  <si>
    <t>26186974015</t>
  </si>
  <si>
    <t>22069353444</t>
  </si>
  <si>
    <t>0153915139-0455</t>
  </si>
  <si>
    <t>0129795040-0118-3</t>
  </si>
  <si>
    <t>0159304545-0014</t>
  </si>
  <si>
    <t>45614214-0134-1</t>
  </si>
  <si>
    <t>63843107-0107-1</t>
  </si>
  <si>
    <t>0120588006-0288-1</t>
  </si>
  <si>
    <t>56866389-0229-1</t>
  </si>
  <si>
    <t>2774719500</t>
  </si>
  <si>
    <t>70047195-0048-1</t>
  </si>
  <si>
    <t>17214765-0071-2</t>
  </si>
  <si>
    <t>40297452-0105-1</t>
  </si>
  <si>
    <t>80236217-0179</t>
  </si>
  <si>
    <t>57833052-0605-1</t>
  </si>
  <si>
    <t>0206137447-0060-3</t>
  </si>
  <si>
    <t>0121835218-0153</t>
  </si>
  <si>
    <t>0107233959-0090</t>
  </si>
  <si>
    <t>36375885-0134-1</t>
  </si>
  <si>
    <t>68480988-0113-9</t>
  </si>
  <si>
    <t>57735335-0183</t>
  </si>
  <si>
    <t>0174378828-0037</t>
  </si>
  <si>
    <t>48530268-0264-9</t>
  </si>
  <si>
    <t>58635850-0441-2</t>
  </si>
  <si>
    <t>58635850-0441-1</t>
  </si>
  <si>
    <t>0239064933-0010</t>
  </si>
  <si>
    <t>0137925048-0133-1</t>
  </si>
  <si>
    <t>66294653-0114</t>
  </si>
  <si>
    <t>42903520-0092-1</t>
  </si>
  <si>
    <t>0174255529-0154-2</t>
  </si>
  <si>
    <t>30363842-0499-5</t>
  </si>
  <si>
    <t>0180620147-0047</t>
  </si>
  <si>
    <t>76040707-0007</t>
  </si>
  <si>
    <t>70548337-0886-1</t>
  </si>
  <si>
    <t>07694505-0077</t>
  </si>
  <si>
    <t>73131036-0145-1</t>
  </si>
  <si>
    <t>76979922-0135-8</t>
  </si>
  <si>
    <t>17875485-0876-2</t>
  </si>
  <si>
    <t>0189219051-0039-1</t>
  </si>
  <si>
    <t>0128840157-0043</t>
  </si>
  <si>
    <t>0193477553-0025</t>
  </si>
  <si>
    <t>0157729401-0313-1</t>
  </si>
  <si>
    <t>41981107-0847-1</t>
  </si>
  <si>
    <t>0153915139-0455-1</t>
  </si>
  <si>
    <t>50329980-0399-1</t>
  </si>
  <si>
    <t>86930753-0330-4</t>
  </si>
  <si>
    <t>12725050-0735-1</t>
  </si>
  <si>
    <t>98413978-0203-1</t>
  </si>
  <si>
    <t>32231240-0347</t>
  </si>
  <si>
    <t>67832042-0363-2</t>
  </si>
  <si>
    <t>73873039-1119-1</t>
  </si>
  <si>
    <t>0151214901-0047-5</t>
  </si>
  <si>
    <t>89153264-0401-1</t>
  </si>
  <si>
    <t>80236217-0179-1</t>
  </si>
  <si>
    <t>43441377-0376-1</t>
  </si>
  <si>
    <t>55193697-0330</t>
  </si>
  <si>
    <t>43261747-0240-5</t>
  </si>
  <si>
    <t>0122085749-0335-1</t>
  </si>
  <si>
    <t>19283316-0202</t>
  </si>
  <si>
    <t>13607596-0638</t>
  </si>
  <si>
    <t>0213667323-0165-4</t>
  </si>
  <si>
    <t>40973819-0280</t>
  </si>
  <si>
    <t>31588995-0205-1</t>
  </si>
  <si>
    <t>0129681101-0123-3</t>
  </si>
  <si>
    <t>33698538-0795-2</t>
  </si>
  <si>
    <t>0224165140-0008</t>
  </si>
  <si>
    <t>0173377375-0327</t>
  </si>
  <si>
    <t>0151187861-0111-1</t>
  </si>
  <si>
    <t>51255501-0157</t>
  </si>
  <si>
    <t>75520411-0217-2</t>
  </si>
  <si>
    <t>0127844147-1094-1</t>
  </si>
  <si>
    <t>0122196673-0043-1</t>
  </si>
  <si>
    <t>0133814489-0065-2</t>
  </si>
  <si>
    <t>0153963524-0014-5</t>
  </si>
  <si>
    <t>80146667-0224-1</t>
  </si>
  <si>
    <t>0131346556-0585-1</t>
  </si>
  <si>
    <t>88425382-0012-1</t>
  </si>
  <si>
    <t>44697840-0296-2</t>
  </si>
  <si>
    <t>0210507770-0033-1</t>
  </si>
  <si>
    <t>09717326-0377-1</t>
  </si>
  <si>
    <t>71919987-0121</t>
  </si>
  <si>
    <t>0107233959-0090-4</t>
  </si>
  <si>
    <t>56866389-0229-2</t>
  </si>
  <si>
    <t>0129795040-0118-5</t>
  </si>
  <si>
    <t>0124125460-0133-5</t>
  </si>
  <si>
    <t>75783863-0082-2</t>
  </si>
  <si>
    <t>97439414-0152-7</t>
  </si>
  <si>
    <t>13427060-0406-1</t>
  </si>
  <si>
    <t>74148131-0030-5</t>
  </si>
  <si>
    <t>0176407393-0016-3</t>
  </si>
  <si>
    <t>45130710-0215-1</t>
  </si>
  <si>
    <t>28212425-0382-5</t>
  </si>
  <si>
    <t>56684219-0226</t>
  </si>
  <si>
    <t>56746770-0039-1</t>
  </si>
  <si>
    <t>20885268-0474-1</t>
  </si>
  <si>
    <t>65187322-0214</t>
  </si>
  <si>
    <t>0158193704-0089-1</t>
  </si>
  <si>
    <t>22440997</t>
  </si>
  <si>
    <t>0123880131-0248-1</t>
  </si>
  <si>
    <t>73396063-0252-2</t>
  </si>
  <si>
    <t>48399123-0071-1</t>
  </si>
  <si>
    <t>81820013-0075</t>
  </si>
  <si>
    <t>0138185856-0088</t>
  </si>
  <si>
    <t>33410256-1193-1</t>
  </si>
  <si>
    <t>89567601-0182-1</t>
  </si>
  <si>
    <t>29882489-0209-7</t>
  </si>
  <si>
    <t>38510106-0174-1</t>
  </si>
  <si>
    <t>60781769-0394-1</t>
  </si>
  <si>
    <t>08082461-2831</t>
  </si>
  <si>
    <t>47684780-0404-11</t>
  </si>
  <si>
    <t>47684780-0404-7</t>
  </si>
  <si>
    <t>82535860-0210</t>
  </si>
  <si>
    <t>0141534832-0086-1</t>
  </si>
  <si>
    <t>34457706-0138-1</t>
  </si>
  <si>
    <t>51984915-0223-1</t>
  </si>
  <si>
    <t>33464807-0180</t>
  </si>
  <si>
    <t>32013830-0516-3</t>
  </si>
  <si>
    <t>61205137-0152</t>
  </si>
  <si>
    <t>76040707-0007-3</t>
  </si>
  <si>
    <t>62833533-0280-3</t>
  </si>
  <si>
    <t>70108309-0077-1</t>
  </si>
  <si>
    <t>32117962-0739-2</t>
  </si>
  <si>
    <t>03177252-0185</t>
  </si>
  <si>
    <t>03177252-0186</t>
  </si>
  <si>
    <t>60318744-0162-1</t>
  </si>
  <si>
    <t>62476858-1208-2</t>
  </si>
  <si>
    <t>0126086492-0576-1</t>
  </si>
  <si>
    <t>56684219-0226-1</t>
  </si>
  <si>
    <t>0213276650-0004</t>
  </si>
  <si>
    <t>57878466-0162-5</t>
  </si>
  <si>
    <t>59302878-0091-1</t>
  </si>
  <si>
    <t>0151214901-0047-3</t>
  </si>
  <si>
    <t>0123364516-1945-1</t>
  </si>
  <si>
    <t>0160646065-0133-1</t>
  </si>
  <si>
    <t>36802304-0213</t>
  </si>
  <si>
    <t>51255501-0157-6</t>
  </si>
  <si>
    <t>0125310601-0221-1</t>
  </si>
  <si>
    <t>90181112-0235-11</t>
  </si>
  <si>
    <t>33720729-0960-3</t>
  </si>
  <si>
    <t>44014975-0257-2</t>
  </si>
  <si>
    <t>06223532-0102-1</t>
  </si>
  <si>
    <t>66294653-0114-1</t>
  </si>
  <si>
    <t>0118874576-0130-1</t>
  </si>
  <si>
    <t>41718616-0353-7</t>
  </si>
  <si>
    <t>17875485-0876-1</t>
  </si>
  <si>
    <t>13607596-0638-5</t>
  </si>
  <si>
    <t>04927035-1832-1</t>
  </si>
  <si>
    <t>0226164291-0004-1</t>
  </si>
  <si>
    <t>82569704-0131-1</t>
  </si>
  <si>
    <t>0222082652-0078-1</t>
  </si>
  <si>
    <t>0131346556-0585-2</t>
  </si>
  <si>
    <t>65187322-0214-5</t>
  </si>
  <si>
    <t>38097474-0082-3</t>
  </si>
  <si>
    <t>04353260-0312</t>
  </si>
  <si>
    <t>33497796-0323-3</t>
  </si>
  <si>
    <t>33497796-0323-7</t>
  </si>
  <si>
    <t>0127575901-0103</t>
  </si>
  <si>
    <t>0145428044-0032-1</t>
  </si>
  <si>
    <t>14159332-0481-11</t>
  </si>
  <si>
    <t>0240044848-0005-1</t>
  </si>
  <si>
    <t>82535860-0210-1</t>
  </si>
  <si>
    <t>03177252-0186-1</t>
  </si>
  <si>
    <t>74435494-0238-2</t>
  </si>
  <si>
    <t>0143891447-0045-1</t>
  </si>
  <si>
    <t>6 неделя очки</t>
  </si>
  <si>
    <t>5 неделя очки</t>
  </si>
  <si>
    <t>% выкупа</t>
  </si>
  <si>
    <t>Заказы, руб.</t>
  </si>
  <si>
    <t>7 неделя очки</t>
  </si>
  <si>
    <t>Примерная налогооблагаемая база</t>
  </si>
  <si>
    <t>0133599288-0119-2</t>
  </si>
  <si>
    <t>26563664-0683-7</t>
  </si>
  <si>
    <t>56050686-0042-3</t>
  </si>
  <si>
    <t>0121771033-0301-3</t>
  </si>
  <si>
    <t>0173377375-0327-1</t>
  </si>
  <si>
    <t>81588126-0255-1</t>
  </si>
  <si>
    <t>61205137-0152-1</t>
  </si>
  <si>
    <t>91621103-0830-1</t>
  </si>
  <si>
    <t>0174378828-0037-1</t>
  </si>
  <si>
    <t>57352095-0782-1</t>
  </si>
  <si>
    <t>67827378-0278-11</t>
  </si>
  <si>
    <t>0215355646-0068-1</t>
  </si>
  <si>
    <t>34349343-0138</t>
  </si>
  <si>
    <t>71919987-0121-7</t>
  </si>
  <si>
    <t>0224165140-0008-1</t>
  </si>
  <si>
    <t>47475055-0437-1</t>
  </si>
  <si>
    <t>0128840157-0043-19</t>
  </si>
  <si>
    <t>95023858-0072-1</t>
  </si>
  <si>
    <t>96004137-0138-1</t>
  </si>
  <si>
    <t>0182826244-0028-5</t>
  </si>
  <si>
    <t>05882010-0218-1</t>
  </si>
  <si>
    <t>31540286-0871-4</t>
  </si>
  <si>
    <t>89996362-0058-7</t>
  </si>
  <si>
    <t>0123296636-0070-1</t>
  </si>
  <si>
    <t>0147648419-0127-3</t>
  </si>
  <si>
    <t>22495853</t>
  </si>
  <si>
    <t>0122731512-0155-1</t>
  </si>
  <si>
    <t>25481312-0419-4</t>
  </si>
  <si>
    <t>68893746-0147-1</t>
  </si>
  <si>
    <t>67848651-0298-4</t>
  </si>
  <si>
    <t>0105058849-0075-2</t>
  </si>
  <si>
    <t>42996837-0101-3</t>
  </si>
  <si>
    <t>0239064933-0010-1</t>
  </si>
  <si>
    <t>06873525-0392-2</t>
  </si>
  <si>
    <t>40695672-0043-1</t>
  </si>
  <si>
    <t>07694505-0077-2</t>
  </si>
  <si>
    <t>0171219796-0099</t>
  </si>
  <si>
    <t>0159304545-0014-3</t>
  </si>
  <si>
    <t>0121543633-0046-1</t>
  </si>
  <si>
    <t>61959493-0626-3</t>
  </si>
  <si>
    <t>95893594-0170</t>
  </si>
  <si>
    <t>0145626901-0519-1</t>
  </si>
  <si>
    <t>80738310-0086-1</t>
  </si>
  <si>
    <t>04353260-0312-3</t>
  </si>
  <si>
    <t>19283316-0202-11</t>
  </si>
  <si>
    <t>2000041851445</t>
  </si>
  <si>
    <t>0145328098-0045</t>
  </si>
  <si>
    <t>0121835218-0153-5</t>
  </si>
  <si>
    <t>16188489-0169</t>
  </si>
  <si>
    <t>0160222928-0070-1</t>
  </si>
  <si>
    <t>81820013-0075-3</t>
  </si>
  <si>
    <t>38060128-0267-1</t>
  </si>
  <si>
    <t>Другие услуги и штрафы</t>
  </si>
  <si>
    <t>30938049-0379-1</t>
  </si>
  <si>
    <t>55611408-0121-5</t>
  </si>
  <si>
    <t>62476858-1208-1</t>
  </si>
  <si>
    <t>62476858-1208-3</t>
  </si>
  <si>
    <t>69482599-0187-2</t>
  </si>
  <si>
    <t>62901548-0272-4</t>
  </si>
  <si>
    <t>40973819-0280-3</t>
  </si>
  <si>
    <t>98719992-0145-3</t>
  </si>
  <si>
    <t>0129673806-0243</t>
  </si>
  <si>
    <t>0138185856-0088-1</t>
  </si>
  <si>
    <t>0144132648-0080</t>
  </si>
  <si>
    <t>0213276650-0004-1</t>
  </si>
  <si>
    <t>0163852427-0095</t>
  </si>
  <si>
    <t>0129512545-0006</t>
  </si>
  <si>
    <t>0212416521-0035-1</t>
  </si>
  <si>
    <t>67880701-0418-1</t>
  </si>
  <si>
    <t>0125798088-0111-1</t>
  </si>
  <si>
    <t>0112728688-0186</t>
  </si>
  <si>
    <t>0180672736-0075-1</t>
  </si>
  <si>
    <t>38522162-0165-3</t>
  </si>
  <si>
    <t>31573646-0250-3</t>
  </si>
  <si>
    <t>49467897-0519-2</t>
  </si>
  <si>
    <t>88813014-0041-2</t>
  </si>
  <si>
    <t>0142545157-0173-1</t>
  </si>
  <si>
    <t>05536729-0330-1</t>
  </si>
  <si>
    <t>0221553852-0027</t>
  </si>
  <si>
    <t>0243617952-0001</t>
  </si>
  <si>
    <t>55229698-0092-1</t>
  </si>
  <si>
    <t>47235193-0150-1</t>
  </si>
  <si>
    <t>2000041849214</t>
  </si>
  <si>
    <t>26569043-0309-3</t>
  </si>
  <si>
    <t>38586412-0979</t>
  </si>
  <si>
    <t>63562286-0172-5</t>
  </si>
  <si>
    <t>0172094199-0058</t>
  </si>
  <si>
    <t>36510735-0275-1</t>
  </si>
  <si>
    <t>73496758-0526</t>
  </si>
  <si>
    <t>89402329-0709-2</t>
  </si>
  <si>
    <t>28696252-0393-1</t>
  </si>
  <si>
    <t>22559356</t>
  </si>
  <si>
    <t>74148131-0030-3</t>
  </si>
  <si>
    <t>0130772301-0038-1</t>
  </si>
  <si>
    <t>12852721-0212-1</t>
  </si>
  <si>
    <t>0141984146-0371-1</t>
  </si>
  <si>
    <t>0145328098-0045-1</t>
  </si>
  <si>
    <t>0122851920-0059-1</t>
  </si>
  <si>
    <t>0190442545-0694-1</t>
  </si>
  <si>
    <t>10649708-0395-9</t>
  </si>
  <si>
    <t>0127575901-0103-3</t>
  </si>
  <si>
    <t>75761106-0262-1</t>
  </si>
  <si>
    <t>37513097-0444-7</t>
  </si>
  <si>
    <t>57735335-0183-4</t>
  </si>
  <si>
    <t>57735335-0183-3</t>
  </si>
  <si>
    <t>0230614869-0008-1</t>
  </si>
  <si>
    <t>Логистика - отмена начисления</t>
  </si>
  <si>
    <t>Доставка до места выдачи - отмена начисления</t>
  </si>
  <si>
    <t>56970207-0949-2</t>
  </si>
  <si>
    <t>0161071236-0870-1</t>
  </si>
  <si>
    <t>0119894583-0079</t>
  </si>
  <si>
    <t>0177757391-0075-1</t>
  </si>
  <si>
    <t>0214670279-0041</t>
  </si>
  <si>
    <t>0160182612-0096</t>
  </si>
  <si>
    <t>32231240-0347-1</t>
  </si>
  <si>
    <t>0137035776-0017</t>
  </si>
  <si>
    <t>0106987683-0051-1</t>
  </si>
  <si>
    <t>0180189642-0040-4</t>
  </si>
  <si>
    <t>73496758-0526-5</t>
  </si>
  <si>
    <t>33464807-0180-5</t>
  </si>
  <si>
    <t>0209905801-0064</t>
  </si>
  <si>
    <t>25047287-0351-1</t>
  </si>
  <si>
    <t>55193697-0330-1</t>
  </si>
  <si>
    <t>22590021</t>
  </si>
  <si>
    <t>22580971</t>
  </si>
  <si>
    <t>22580964</t>
  </si>
  <si>
    <t>58343331-0196-3</t>
  </si>
  <si>
    <t>0129512545-0006-1</t>
  </si>
  <si>
    <t>02193003-0503-1</t>
  </si>
  <si>
    <t>06739187-1731-1</t>
  </si>
  <si>
    <t>68761381-0361-1</t>
  </si>
  <si>
    <t>0160182612-0096-1</t>
  </si>
  <si>
    <t>0149676557-0046-1</t>
  </si>
  <si>
    <t>0206940396-0106</t>
  </si>
  <si>
    <t>93139899-0163-3</t>
  </si>
  <si>
    <t>0100036125-0064-1</t>
  </si>
  <si>
    <t>0193486677-0012-3</t>
  </si>
  <si>
    <t>0172094199-0061</t>
  </si>
  <si>
    <t>0121898671-0001</t>
  </si>
  <si>
    <t>86273315-0692-1</t>
  </si>
  <si>
    <t>96979917-0107-1</t>
  </si>
  <si>
    <t>22425598-0485-3</t>
  </si>
  <si>
    <t>0144132648-0080-1</t>
  </si>
  <si>
    <t>87525042-0249-2</t>
  </si>
  <si>
    <t>0178162417-0070-1</t>
  </si>
  <si>
    <t>24232484-0265-4</t>
  </si>
  <si>
    <t>16695853-0240-2</t>
  </si>
  <si>
    <t>14005761-0644-1</t>
  </si>
  <si>
    <t>80880428-0157-1</t>
  </si>
  <si>
    <t>26243655-0305</t>
  </si>
  <si>
    <t>88418041-0080-1</t>
  </si>
  <si>
    <t>26648689-0327-1</t>
  </si>
  <si>
    <t>0212092301-0068</t>
  </si>
  <si>
    <t>0211858719-0008-1</t>
  </si>
  <si>
    <t>0169786084-0371</t>
  </si>
  <si>
    <t>32342115-0054-3</t>
  </si>
  <si>
    <t>35204807-1267-3</t>
  </si>
  <si>
    <t>38502769-0507-7</t>
  </si>
  <si>
    <t>65793028-0312-2</t>
  </si>
  <si>
    <t>56320527-0197-3</t>
  </si>
  <si>
    <t>89172775-0009-1</t>
  </si>
  <si>
    <t>45665263-0194-7</t>
  </si>
  <si>
    <t>0243617952-0001-5</t>
  </si>
  <si>
    <t>0215979306-0059</t>
  </si>
  <si>
    <t>0135170750-0336-5</t>
  </si>
  <si>
    <t>0147701842-0792</t>
  </si>
  <si>
    <t>14530120-1216-1</t>
  </si>
  <si>
    <t>0106084823-0515</t>
  </si>
  <si>
    <t>14530120-1216-2</t>
  </si>
  <si>
    <t>86282548-0139-1</t>
  </si>
  <si>
    <t>85520719-0016</t>
  </si>
  <si>
    <t>0119894583-0079-1</t>
  </si>
  <si>
    <t>0146008021-0084-1</t>
  </si>
  <si>
    <t>0142350200-0156-1</t>
  </si>
  <si>
    <t>0107022497-0035-3</t>
  </si>
  <si>
    <t>0162018552-0110-1</t>
  </si>
  <si>
    <t>0150429721-0366-2</t>
  </si>
  <si>
    <t>80848328-0297-2</t>
  </si>
  <si>
    <t>0209905801-0064-17</t>
  </si>
  <si>
    <t>61343070-0313-1</t>
  </si>
  <si>
    <t>59582977-0131-1</t>
  </si>
  <si>
    <t>03177252-0185-1</t>
  </si>
  <si>
    <t>0238403425-0016</t>
  </si>
  <si>
    <t>0142892314-0513-9</t>
  </si>
  <si>
    <t>96587726-0147-1</t>
  </si>
  <si>
    <t>49227337-0226-1</t>
  </si>
  <si>
    <t>61471129-0049-1</t>
  </si>
  <si>
    <t>87795038-0301</t>
  </si>
  <si>
    <t>33099711-0060-3</t>
  </si>
  <si>
    <t>16188489-0169-11</t>
  </si>
  <si>
    <t>36802304-0213-7</t>
  </si>
  <si>
    <t>0131546994-0033</t>
  </si>
  <si>
    <t>0146400575-0176-1</t>
  </si>
  <si>
    <t>72624505-0833-2</t>
  </si>
  <si>
    <t>64854614-0392-37</t>
  </si>
  <si>
    <t>66763511-0029</t>
  </si>
  <si>
    <t>63522622-0058-4</t>
  </si>
  <si>
    <t>44403917-0151-2</t>
  </si>
  <si>
    <t>0211657204-0134-1</t>
  </si>
  <si>
    <t>40842157-0113</t>
  </si>
  <si>
    <t>0127107383-0134</t>
  </si>
  <si>
    <t>0169786084-0371-1</t>
  </si>
  <si>
    <t>34349343-0138-11</t>
  </si>
  <si>
    <t>34349343-0138-21</t>
  </si>
  <si>
    <t>0190549174-0033-3</t>
  </si>
  <si>
    <t>85413338-0077-1</t>
  </si>
  <si>
    <t>0136355720-0172</t>
  </si>
  <si>
    <t>20363463-2002</t>
  </si>
  <si>
    <t>0166152853-0286-1</t>
  </si>
  <si>
    <t>41993886-0259</t>
  </si>
  <si>
    <t>72409336-0127</t>
  </si>
  <si>
    <t>10411114-0453-1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</si>
</sst>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69" formatCode="#,##0.00_ ;\-#,##0.00\ "/>
    <numFmt numFmtId="170" formatCode="#,##0_ ;\-#,##0\ "/>
    <numFmt numFmtId="171" formatCode="_-* #,##0\ &quot;₽&quot;_-;\-* #,##0\ &quot;₽&quot;_-;_-* &quot;-&quot;??\ &quot;₽&quot;_-;_-@_-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i/>
      <sz val="9"/>
      <name val="Calibri"/>
      <family val="2"/>
      <charset val="204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theme="6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6"/>
      </bottom>
      <diagonal/>
    </border>
    <border>
      <left/>
      <right style="thin">
        <color indexed="64"/>
      </right>
      <top style="medium">
        <color indexed="64"/>
      </top>
      <bottom style="thin">
        <color theme="6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theme="6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6" fillId="0" borderId="0"/>
  </cellStyleXfs>
  <cellXfs count="383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10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left" vertical="top"/>
    </xf>
    <xf numFmtId="1" fontId="12" fillId="0" borderId="0" xfId="1" applyNumberFormat="1" applyFont="1" applyFill="1" applyBorder="1"/>
    <xf numFmtId="164" fontId="12" fillId="0" borderId="0" xfId="1" applyNumberFormat="1" applyFont="1"/>
    <xf numFmtId="164" fontId="12" fillId="0" borderId="0" xfId="1" applyNumberFormat="1" applyFont="1" applyFill="1"/>
    <xf numFmtId="164" fontId="14" fillId="0" borderId="8" xfId="6" applyNumberFormat="1" applyFont="1" applyBorder="1"/>
    <xf numFmtId="0" fontId="12" fillId="0" borderId="0" xfId="0" applyFont="1"/>
    <xf numFmtId="43" fontId="12" fillId="0" borderId="0" xfId="1" applyFont="1"/>
    <xf numFmtId="164" fontId="12" fillId="0" borderId="7" xfId="1" applyNumberFormat="1" applyFont="1" applyBorder="1"/>
    <xf numFmtId="164" fontId="12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5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2" fillId="0" borderId="0" xfId="1" applyNumberFormat="1" applyFont="1" applyBorder="1"/>
    <xf numFmtId="164" fontId="6" fillId="0" borderId="0" xfId="1" applyNumberFormat="1" applyFont="1" applyFill="1" applyBorder="1"/>
    <xf numFmtId="164" fontId="14" fillId="0" borderId="0" xfId="6" applyNumberFormat="1" applyFont="1" applyBorder="1"/>
    <xf numFmtId="166" fontId="17" fillId="5" borderId="9" xfId="8" applyNumberFormat="1" applyFont="1" applyFill="1" applyBorder="1"/>
    <xf numFmtId="166" fontId="17" fillId="5" borderId="0" xfId="8" applyNumberFormat="1" applyFont="1" applyFill="1" applyBorder="1"/>
    <xf numFmtId="9" fontId="17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8" fillId="6" borderId="7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left" vertical="top"/>
    </xf>
    <xf numFmtId="1" fontId="15" fillId="6" borderId="0" xfId="1" applyNumberFormat="1" applyFont="1" applyFill="1" applyBorder="1"/>
    <xf numFmtId="164" fontId="12" fillId="6" borderId="0" xfId="1" applyNumberFormat="1" applyFont="1" applyFill="1"/>
    <xf numFmtId="164" fontId="14" fillId="6" borderId="0" xfId="6" applyNumberFormat="1" applyFont="1" applyFill="1" applyBorder="1"/>
    <xf numFmtId="0" fontId="12" fillId="6" borderId="0" xfId="0" applyFont="1" applyFill="1"/>
    <xf numFmtId="43" fontId="12" fillId="6" borderId="0" xfId="1" applyFont="1" applyFill="1"/>
    <xf numFmtId="164" fontId="12" fillId="6" borderId="7" xfId="1" applyNumberFormat="1" applyFont="1" applyFill="1" applyBorder="1"/>
    <xf numFmtId="1" fontId="15" fillId="6" borderId="9" xfId="1" applyNumberFormat="1" applyFont="1" applyFill="1" applyBorder="1"/>
    <xf numFmtId="9" fontId="15" fillId="6" borderId="6" xfId="2" applyFont="1" applyFill="1" applyBorder="1"/>
    <xf numFmtId="9" fontId="6" fillId="6" borderId="0" xfId="2" applyFont="1" applyFill="1"/>
    <xf numFmtId="1" fontId="15" fillId="6" borderId="7" xfId="1" applyNumberFormat="1" applyFont="1" applyFill="1" applyBorder="1"/>
    <xf numFmtId="1" fontId="15" fillId="6" borderId="6" xfId="1" applyNumberFormat="1" applyFont="1" applyFill="1" applyBorder="1"/>
    <xf numFmtId="164" fontId="6" fillId="0" borderId="0" xfId="7" applyNumberFormat="1" applyFont="1" applyFill="1"/>
    <xf numFmtId="166" fontId="19" fillId="6" borderId="11" xfId="9" applyNumberFormat="1" applyFont="1" applyFill="1" applyBorder="1" applyAlignment="1">
      <alignment horizontal="center" vertical="center"/>
    </xf>
    <xf numFmtId="166" fontId="19" fillId="6" borderId="12" xfId="9" applyNumberFormat="1" applyFont="1" applyFill="1" applyBorder="1" applyAlignment="1">
      <alignment horizontal="center" vertical="center"/>
    </xf>
    <xf numFmtId="1" fontId="19" fillId="6" borderId="12" xfId="9" applyNumberFormat="1" applyFont="1" applyFill="1" applyBorder="1" applyAlignment="1">
      <alignment horizontal="center" vertical="center"/>
    </xf>
    <xf numFmtId="166" fontId="19" fillId="6" borderId="8" xfId="9" applyNumberFormat="1" applyFont="1" applyFill="1" applyBorder="1" applyAlignment="1">
      <alignment horizontal="center" vertical="center"/>
    </xf>
    <xf numFmtId="166" fontId="19" fillId="6" borderId="13" xfId="9" applyNumberFormat="1" applyFont="1" applyFill="1" applyBorder="1" applyAlignment="1">
      <alignment horizontal="center" vertical="center"/>
    </xf>
    <xf numFmtId="166" fontId="20" fillId="0" borderId="14" xfId="9" applyNumberFormat="1" applyFont="1" applyFill="1" applyBorder="1" applyAlignment="1">
      <alignment horizontal="center" vertical="center"/>
    </xf>
    <xf numFmtId="166" fontId="19" fillId="6" borderId="10" xfId="9" applyNumberFormat="1" applyFont="1" applyFill="1" applyBorder="1" applyAlignment="1">
      <alignment horizontal="center" vertical="center"/>
    </xf>
    <xf numFmtId="1" fontId="21" fillId="0" borderId="0" xfId="1" applyNumberFormat="1" applyFont="1" applyFill="1" applyBorder="1"/>
    <xf numFmtId="164" fontId="12" fillId="0" borderId="0" xfId="6" applyNumberFormat="1" applyFont="1" applyBorder="1"/>
    <xf numFmtId="166" fontId="17" fillId="7" borderId="9" xfId="8" applyNumberFormat="1" applyFont="1" applyFill="1" applyBorder="1"/>
    <xf numFmtId="166" fontId="17" fillId="7" borderId="0" xfId="8" applyNumberFormat="1" applyFont="1" applyFill="1" applyBorder="1"/>
    <xf numFmtId="9" fontId="17" fillId="7" borderId="0" xfId="2" applyFont="1" applyFill="1" applyBorder="1"/>
    <xf numFmtId="0" fontId="18" fillId="8" borderId="7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left" vertical="top"/>
    </xf>
    <xf numFmtId="1" fontId="12" fillId="8" borderId="0" xfId="1" applyNumberFormat="1" applyFont="1" applyFill="1" applyBorder="1"/>
    <xf numFmtId="164" fontId="12" fillId="8" borderId="0" xfId="1" applyNumberFormat="1" applyFont="1" applyFill="1"/>
    <xf numFmtId="164" fontId="12" fillId="8" borderId="0" xfId="6" applyNumberFormat="1" applyFont="1" applyFill="1" applyBorder="1"/>
    <xf numFmtId="0" fontId="12" fillId="8" borderId="0" xfId="0" applyFont="1" applyFill="1"/>
    <xf numFmtId="43" fontId="12" fillId="8" borderId="0" xfId="1" applyFont="1" applyFill="1"/>
    <xf numFmtId="164" fontId="12" fillId="8" borderId="7" xfId="1" applyNumberFormat="1" applyFont="1" applyFill="1" applyBorder="1"/>
    <xf numFmtId="1" fontId="12" fillId="8" borderId="7" xfId="1" applyNumberFormat="1" applyFont="1" applyFill="1" applyBorder="1"/>
    <xf numFmtId="9" fontId="12" fillId="8" borderId="6" xfId="2" applyFont="1" applyFill="1" applyBorder="1"/>
    <xf numFmtId="9" fontId="6" fillId="8" borderId="0" xfId="2" applyFont="1" applyFill="1"/>
    <xf numFmtId="166" fontId="19" fillId="8" borderId="11" xfId="9" applyNumberFormat="1" applyFont="1" applyFill="1" applyBorder="1" applyAlignment="1">
      <alignment horizontal="center" vertical="center"/>
    </xf>
    <xf numFmtId="166" fontId="19" fillId="8" borderId="12" xfId="9" applyNumberFormat="1" applyFont="1" applyFill="1" applyBorder="1" applyAlignment="1">
      <alignment horizontal="center" vertical="center"/>
    </xf>
    <xf numFmtId="1" fontId="19" fillId="8" borderId="12" xfId="9" applyNumberFormat="1" applyFont="1" applyFill="1" applyBorder="1" applyAlignment="1">
      <alignment horizontal="center" vertical="center"/>
    </xf>
    <xf numFmtId="166" fontId="19" fillId="8" borderId="8" xfId="9" applyNumberFormat="1" applyFont="1" applyFill="1" applyBorder="1" applyAlignment="1">
      <alignment horizontal="center" vertical="center"/>
    </xf>
    <xf numFmtId="166" fontId="19" fillId="8" borderId="13" xfId="9" applyNumberFormat="1" applyFont="1" applyFill="1" applyBorder="1" applyAlignment="1">
      <alignment horizontal="center" vertical="center"/>
    </xf>
    <xf numFmtId="166" fontId="19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1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2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5" fillId="9" borderId="7" xfId="9" applyNumberFormat="1" applyFont="1" applyFill="1" applyBorder="1" applyAlignment="1">
      <alignment horizontal="center" vertical="center"/>
    </xf>
    <xf numFmtId="166" fontId="15" fillId="9" borderId="3" xfId="9" applyNumberFormat="1" applyFont="1" applyFill="1" applyBorder="1" applyAlignment="1">
      <alignment horizontal="left" indent="1"/>
    </xf>
    <xf numFmtId="2" fontId="15" fillId="9" borderId="3" xfId="9" applyNumberFormat="1" applyFont="1" applyFill="1" applyBorder="1"/>
    <xf numFmtId="166" fontId="15" fillId="9" borderId="3" xfId="9" applyNumberFormat="1" applyFont="1" applyFill="1" applyBorder="1"/>
    <xf numFmtId="2" fontId="15" fillId="9" borderId="2" xfId="9" applyNumberFormat="1" applyFont="1" applyFill="1" applyBorder="1"/>
    <xf numFmtId="2" fontId="15" fillId="9" borderId="4" xfId="9" applyNumberFormat="1" applyFont="1" applyFill="1" applyBorder="1"/>
    <xf numFmtId="9" fontId="15" fillId="9" borderId="5" xfId="2" applyFont="1" applyFill="1" applyBorder="1"/>
    <xf numFmtId="9" fontId="15" fillId="9" borderId="3" xfId="2" applyFont="1" applyFill="1" applyBorder="1"/>
    <xf numFmtId="165" fontId="19" fillId="4" borderId="3" xfId="9" applyFont="1" applyFill="1" applyBorder="1"/>
    <xf numFmtId="166" fontId="15" fillId="0" borderId="3" xfId="9" applyNumberFormat="1" applyFont="1" applyFill="1" applyBorder="1"/>
    <xf numFmtId="166" fontId="15" fillId="9" borderId="5" xfId="9" applyNumberFormat="1" applyFont="1" applyFill="1" applyBorder="1"/>
    <xf numFmtId="164" fontId="15" fillId="0" borderId="0" xfId="1" applyNumberFormat="1" applyFont="1" applyFill="1"/>
    <xf numFmtId="166" fontId="15" fillId="9" borderId="2" xfId="9" applyNumberFormat="1" applyFont="1" applyFill="1" applyBorder="1" applyAlignment="1"/>
    <xf numFmtId="166" fontId="15" fillId="9" borderId="3" xfId="9" applyNumberFormat="1" applyFont="1" applyFill="1" applyBorder="1" applyAlignment="1"/>
    <xf numFmtId="166" fontId="15" fillId="9" borderId="4" xfId="9" applyNumberFormat="1" applyFont="1" applyFill="1" applyBorder="1" applyAlignment="1"/>
    <xf numFmtId="166" fontId="15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6" fontId="24" fillId="0" borderId="0" xfId="9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5" fontId="24" fillId="0" borderId="0" xfId="9" applyFont="1" applyFill="1" applyAlignment="1">
      <alignment horizontal="center" vertical="center"/>
    </xf>
    <xf numFmtId="166" fontId="22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3" fillId="0" borderId="0" xfId="1" applyNumberFormat="1" applyFont="1" applyFill="1" applyAlignment="1">
      <alignment horizontal="center" vertical="center"/>
    </xf>
    <xf numFmtId="166" fontId="25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left" vertical="top"/>
    </xf>
    <xf numFmtId="166" fontId="26" fillId="0" borderId="0" xfId="9" applyNumberFormat="1" applyFont="1" applyFill="1" applyAlignment="1">
      <alignment horizontal="center" vertical="center"/>
    </xf>
    <xf numFmtId="166" fontId="27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left" vertical="top"/>
    </xf>
    <xf numFmtId="0" fontId="13" fillId="0" borderId="0" xfId="0" applyFont="1" applyAlignment="1">
      <alignment horizontal="left" indent="1"/>
    </xf>
    <xf numFmtId="2" fontId="6" fillId="0" borderId="0" xfId="3" applyNumberFormat="1" applyFont="1"/>
    <xf numFmtId="166" fontId="15" fillId="0" borderId="0" xfId="9" applyNumberFormat="1" applyFont="1" applyAlignment="1">
      <alignment horizontal="center" vertical="center"/>
    </xf>
    <xf numFmtId="166" fontId="15" fillId="0" borderId="0" xfId="9" applyNumberFormat="1" applyFont="1" applyAlignment="1">
      <alignment horizontal="center" vertical="center" wrapText="1"/>
    </xf>
    <xf numFmtId="166" fontId="15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6" fillId="0" borderId="0" xfId="3" applyFont="1"/>
    <xf numFmtId="0" fontId="15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5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3" fillId="0" borderId="0" xfId="3" applyNumberFormat="1" applyFont="1"/>
    <xf numFmtId="0" fontId="23" fillId="0" borderId="0" xfId="3" applyFont="1"/>
    <xf numFmtId="0" fontId="15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3" xfId="0" applyNumberFormat="1" applyFont="1" applyFill="1" applyBorder="1" applyAlignment="1">
      <alignment horizontal="center" vertical="center" wrapText="1"/>
    </xf>
    <xf numFmtId="1" fontId="34" fillId="3" borderId="23" xfId="0" applyNumberFormat="1" applyFont="1" applyFill="1" applyBorder="1" applyAlignment="1">
      <alignment horizontal="center" vertical="center" wrapText="1"/>
    </xf>
    <xf numFmtId="0" fontId="34" fillId="15" borderId="23" xfId="0" applyFont="1" applyFill="1" applyBorder="1" applyAlignment="1">
      <alignment horizontal="center" vertical="center" wrapText="1"/>
    </xf>
    <xf numFmtId="0" fontId="34" fillId="7" borderId="23" xfId="0" applyFont="1" applyFill="1" applyBorder="1" applyAlignment="1">
      <alignment horizontal="center" vertical="center" wrapText="1"/>
    </xf>
    <xf numFmtId="1" fontId="34" fillId="3" borderId="25" xfId="0" applyNumberFormat="1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6" borderId="26" xfId="0" applyFont="1" applyFill="1" applyBorder="1" applyAlignment="1">
      <alignment horizontal="center" vertical="center" wrapText="1"/>
    </xf>
    <xf numFmtId="0" fontId="34" fillId="19" borderId="26" xfId="0" applyFont="1" applyFill="1" applyBorder="1" applyAlignment="1">
      <alignment horizontal="center" vertical="center" wrapText="1"/>
    </xf>
    <xf numFmtId="169" fontId="37" fillId="0" borderId="27" xfId="6" applyNumberFormat="1" applyFont="1" applyFill="1" applyBorder="1"/>
    <xf numFmtId="170" fontId="36" fillId="0" borderId="27" xfId="6" applyNumberFormat="1" applyFont="1" applyFill="1" applyBorder="1"/>
    <xf numFmtId="3" fontId="36" fillId="0" borderId="27" xfId="6" applyNumberFormat="1" applyFont="1" applyFill="1" applyBorder="1"/>
    <xf numFmtId="3" fontId="36" fillId="0" borderId="27" xfId="6" applyNumberFormat="1" applyFont="1" applyBorder="1"/>
    <xf numFmtId="4" fontId="36" fillId="0" borderId="27" xfId="6" applyNumberFormat="1" applyFont="1" applyBorder="1"/>
    <xf numFmtId="4" fontId="36" fillId="0" borderId="27" xfId="6" applyNumberFormat="1" applyFont="1" applyFill="1" applyBorder="1"/>
    <xf numFmtId="4" fontId="34" fillId="0" borderId="27" xfId="6" applyNumberFormat="1" applyFont="1" applyBorder="1"/>
    <xf numFmtId="4" fontId="36" fillId="2" borderId="27" xfId="6" applyNumberFormat="1" applyFont="1" applyFill="1" applyBorder="1"/>
    <xf numFmtId="9" fontId="36" fillId="0" borderId="0" xfId="11" applyFont="1" applyBorder="1"/>
    <xf numFmtId="171" fontId="36" fillId="0" borderId="0" xfId="12" applyNumberFormat="1" applyFont="1" applyBorder="1"/>
    <xf numFmtId="49" fontId="36" fillId="2" borderId="28" xfId="13" applyNumberFormat="1" applyFont="1" applyFill="1" applyBorder="1" applyAlignment="1">
      <alignment horizontal="center"/>
    </xf>
    <xf numFmtId="49" fontId="36" fillId="2" borderId="29" xfId="0" applyNumberFormat="1" applyFont="1" applyFill="1" applyBorder="1"/>
    <xf numFmtId="49" fontId="36" fillId="2" borderId="30" xfId="13" applyNumberFormat="1" applyFont="1" applyFill="1" applyBorder="1" applyAlignment="1">
      <alignment horizontal="center"/>
    </xf>
    <xf numFmtId="170" fontId="36" fillId="0" borderId="30" xfId="6" applyNumberFormat="1" applyFont="1" applyFill="1" applyBorder="1"/>
    <xf numFmtId="3" fontId="36" fillId="0" borderId="30" xfId="6" applyNumberFormat="1" applyFont="1" applyFill="1" applyBorder="1"/>
    <xf numFmtId="3" fontId="36" fillId="0" borderId="30" xfId="6" applyNumberFormat="1" applyFont="1" applyBorder="1"/>
    <xf numFmtId="4" fontId="36" fillId="0" borderId="30" xfId="6" applyNumberFormat="1" applyFont="1" applyBorder="1"/>
    <xf numFmtId="4" fontId="36" fillId="0" borderId="30" xfId="6" applyNumberFormat="1" applyFont="1" applyFill="1" applyBorder="1"/>
    <xf numFmtId="4" fontId="34" fillId="0" borderId="30" xfId="6" applyNumberFormat="1" applyFont="1" applyBorder="1"/>
    <xf numFmtId="4" fontId="36" fillId="2" borderId="30" xfId="6" applyNumberFormat="1" applyFont="1" applyFill="1" applyBorder="1"/>
    <xf numFmtId="49" fontId="36" fillId="2" borderId="31" xfId="0" applyNumberFormat="1" applyFont="1" applyFill="1" applyBorder="1"/>
    <xf numFmtId="49" fontId="36" fillId="2" borderId="30" xfId="0" applyNumberFormat="1" applyFont="1" applyFill="1" applyBorder="1"/>
    <xf numFmtId="49" fontId="36" fillId="2" borderId="29" xfId="13" applyNumberFormat="1" applyFont="1" applyFill="1" applyBorder="1" applyAlignment="1">
      <alignment horizontal="center"/>
    </xf>
    <xf numFmtId="49" fontId="36" fillId="2" borderId="31" xfId="13" applyNumberFormat="1" applyFont="1" applyFill="1" applyBorder="1" applyAlignment="1">
      <alignment horizontal="center"/>
    </xf>
    <xf numFmtId="49" fontId="36" fillId="2" borderId="24" xfId="0" applyNumberFormat="1" applyFont="1" applyFill="1" applyBorder="1"/>
    <xf numFmtId="49" fontId="36" fillId="2" borderId="24" xfId="13" applyNumberFormat="1" applyFont="1" applyFill="1" applyBorder="1" applyAlignment="1">
      <alignment horizontal="center"/>
    </xf>
    <xf numFmtId="169" fontId="37" fillId="0" borderId="28" xfId="6" applyNumberFormat="1" applyFont="1" applyFill="1" applyBorder="1"/>
    <xf numFmtId="49" fontId="36" fillId="2" borderId="27" xfId="0" applyNumberFormat="1" applyFont="1" applyFill="1" applyBorder="1"/>
    <xf numFmtId="49" fontId="36" fillId="2" borderId="27" xfId="13" applyNumberFormat="1" applyFont="1" applyFill="1" applyBorder="1" applyAlignment="1">
      <alignment horizontal="center"/>
    </xf>
    <xf numFmtId="169" fontId="37" fillId="0" borderId="29" xfId="6" applyNumberFormat="1" applyFont="1" applyFill="1" applyBorder="1"/>
    <xf numFmtId="49" fontId="34" fillId="0" borderId="34" xfId="0" applyNumberFormat="1" applyFont="1" applyBorder="1" applyAlignment="1">
      <alignment horizontal="left" vertical="center"/>
    </xf>
    <xf numFmtId="49" fontId="38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171" fontId="34" fillId="0" borderId="34" xfId="0" applyNumberFormat="1" applyFont="1" applyBorder="1" applyAlignment="1">
      <alignment horizontal="center" vertical="center"/>
    </xf>
    <xf numFmtId="9" fontId="34" fillId="0" borderId="0" xfId="1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1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0" fontId="40" fillId="0" borderId="38" xfId="0" applyFont="1" applyBorder="1" applyAlignment="1">
      <alignment horizontal="center" vertical="center" wrapText="1"/>
    </xf>
    <xf numFmtId="0" fontId="39" fillId="20" borderId="39" xfId="0" applyFont="1" applyFill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39" fillId="21" borderId="39" xfId="0" applyFont="1" applyFill="1" applyBorder="1" applyAlignment="1">
      <alignment horizontal="center" vertical="center" wrapText="1"/>
    </xf>
    <xf numFmtId="0" fontId="41" fillId="0" borderId="40" xfId="0" applyFont="1" applyBorder="1" applyAlignment="1">
      <alignment vertical="top" wrapText="1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41" fillId="22" borderId="40" xfId="0" applyFont="1" applyFill="1" applyBorder="1" applyAlignment="1">
      <alignment horizontal="center" wrapText="1"/>
    </xf>
    <xf numFmtId="9" fontId="41" fillId="0" borderId="40" xfId="0" applyNumberFormat="1" applyFont="1" applyBorder="1" applyAlignment="1">
      <alignment horizontal="center" vertical="center" wrapText="1"/>
    </xf>
    <xf numFmtId="0" fontId="41" fillId="23" borderId="40" xfId="0" applyFont="1" applyFill="1" applyBorder="1" applyAlignment="1">
      <alignment horizontal="center" wrapText="1"/>
    </xf>
    <xf numFmtId="0" fontId="41" fillId="24" borderId="40" xfId="0" applyFont="1" applyFill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2" fontId="15" fillId="4" borderId="3" xfId="9" applyNumberFormat="1" applyFont="1" applyFill="1" applyBorder="1"/>
    <xf numFmtId="165" fontId="27" fillId="0" borderId="0" xfId="9" applyNumberFormat="1" applyFont="1" applyFill="1" applyAlignment="1">
      <alignment horizontal="center" vertical="center"/>
    </xf>
    <xf numFmtId="165" fontId="15" fillId="9" borderId="5" xfId="9" applyNumberFormat="1" applyFont="1" applyFill="1" applyBorder="1"/>
    <xf numFmtId="166" fontId="21" fillId="0" borderId="0" xfId="9" applyNumberFormat="1" applyFont="1" applyAlignment="1">
      <alignment horizontal="center" vertical="center"/>
    </xf>
    <xf numFmtId="4" fontId="36" fillId="0" borderId="41" xfId="6" applyNumberFormat="1" applyFont="1" applyBorder="1"/>
    <xf numFmtId="44" fontId="34" fillId="0" borderId="34" xfId="0" applyNumberFormat="1" applyFont="1" applyBorder="1" applyAlignment="1">
      <alignment horizontal="center" vertical="center"/>
    </xf>
    <xf numFmtId="169" fontId="36" fillId="0" borderId="0" xfId="0" applyNumberFormat="1" applyFont="1"/>
    <xf numFmtId="10" fontId="34" fillId="0" borderId="0" xfId="11" applyNumberFormat="1" applyFont="1" applyAlignment="1">
      <alignment horizontal="center" vertical="center"/>
    </xf>
    <xf numFmtId="44" fontId="34" fillId="0" borderId="24" xfId="0" applyNumberFormat="1" applyFont="1" applyBorder="1" applyAlignment="1">
      <alignment horizontal="center" vertical="center"/>
    </xf>
    <xf numFmtId="4" fontId="36" fillId="4" borderId="43" xfId="6" applyNumberFormat="1" applyFont="1" applyFill="1" applyBorder="1"/>
    <xf numFmtId="4" fontId="36" fillId="4" borderId="44" xfId="6" applyNumberFormat="1" applyFont="1" applyFill="1" applyBorder="1"/>
    <xf numFmtId="169" fontId="37" fillId="0" borderId="6" xfId="6" applyNumberFormat="1" applyFont="1" applyFill="1" applyBorder="1"/>
    <xf numFmtId="170" fontId="36" fillId="0" borderId="6" xfId="6" applyNumberFormat="1" applyFont="1" applyFill="1" applyBorder="1"/>
    <xf numFmtId="3" fontId="36" fillId="0" borderId="6" xfId="6" applyNumberFormat="1" applyFont="1" applyFill="1" applyBorder="1"/>
    <xf numFmtId="3" fontId="36" fillId="0" borderId="6" xfId="6" applyNumberFormat="1" applyFont="1" applyBorder="1"/>
    <xf numFmtId="4" fontId="36" fillId="0" borderId="24" xfId="6" applyNumberFormat="1" applyFont="1" applyBorder="1"/>
    <xf numFmtId="4" fontId="36" fillId="0" borderId="6" xfId="6" applyNumberFormat="1" applyFont="1" applyFill="1" applyBorder="1"/>
    <xf numFmtId="4" fontId="36" fillId="0" borderId="6" xfId="6" applyNumberFormat="1" applyFont="1" applyBorder="1"/>
    <xf numFmtId="4" fontId="34" fillId="0" borderId="6" xfId="6" applyNumberFormat="1" applyFont="1" applyBorder="1"/>
    <xf numFmtId="4" fontId="36" fillId="2" borderId="6" xfId="6" applyNumberFormat="1" applyFont="1" applyFill="1" applyBorder="1"/>
    <xf numFmtId="4" fontId="36" fillId="4" borderId="9" xfId="6" applyNumberFormat="1" applyFont="1" applyFill="1" applyBorder="1"/>
    <xf numFmtId="49" fontId="36" fillId="2" borderId="28" xfId="0" applyNumberFormat="1" applyFont="1" applyFill="1" applyBorder="1"/>
    <xf numFmtId="169" fontId="37" fillId="0" borderId="31" xfId="6" applyNumberFormat="1" applyFont="1" applyFill="1" applyBorder="1"/>
    <xf numFmtId="170" fontId="36" fillId="0" borderId="31" xfId="6" applyNumberFormat="1" applyFont="1" applyFill="1" applyBorder="1"/>
    <xf numFmtId="3" fontId="36" fillId="0" borderId="31" xfId="6" applyNumberFormat="1" applyFont="1" applyFill="1" applyBorder="1"/>
    <xf numFmtId="3" fontId="36" fillId="0" borderId="31" xfId="6" applyNumberFormat="1" applyFont="1" applyBorder="1"/>
    <xf numFmtId="4" fontId="36" fillId="0" borderId="31" xfId="6" applyNumberFormat="1" applyFont="1" applyBorder="1"/>
    <xf numFmtId="4" fontId="36" fillId="0" borderId="31" xfId="6" applyNumberFormat="1" applyFont="1" applyFill="1" applyBorder="1"/>
    <xf numFmtId="4" fontId="34" fillId="0" borderId="31" xfId="6" applyNumberFormat="1" applyFont="1" applyBorder="1"/>
    <xf numFmtId="4" fontId="36" fillId="2" borderId="31" xfId="6" applyNumberFormat="1" applyFont="1" applyFill="1" applyBorder="1"/>
    <xf numFmtId="170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48" xfId="6" applyNumberFormat="1" applyFont="1" applyFill="1" applyBorder="1"/>
    <xf numFmtId="169" fontId="37" fillId="0" borderId="24" xfId="6" applyNumberFormat="1" applyFont="1" applyFill="1" applyBorder="1"/>
    <xf numFmtId="170" fontId="36" fillId="0" borderId="24" xfId="6" applyNumberFormat="1" applyFont="1" applyFill="1" applyBorder="1"/>
    <xf numFmtId="3" fontId="36" fillId="0" borderId="24" xfId="6" applyNumberFormat="1" applyFont="1" applyFill="1" applyBorder="1"/>
    <xf numFmtId="3" fontId="36" fillId="0" borderId="24" xfId="6" applyNumberFormat="1" applyFont="1" applyBorder="1"/>
    <xf numFmtId="4" fontId="36" fillId="0" borderId="24" xfId="6" applyNumberFormat="1" applyFont="1" applyFill="1" applyBorder="1"/>
    <xf numFmtId="4" fontId="34" fillId="0" borderId="24" xfId="6" applyNumberFormat="1" applyFont="1" applyBorder="1"/>
    <xf numFmtId="4" fontId="36" fillId="2" borderId="24" xfId="6" applyNumberFormat="1" applyFont="1" applyFill="1" applyBorder="1"/>
    <xf numFmtId="0" fontId="12" fillId="0" borderId="0" xfId="3" applyFont="1" applyAlignment="1">
      <alignment vertical="center"/>
    </xf>
    <xf numFmtId="0" fontId="12" fillId="2" borderId="0" xfId="3" applyFont="1" applyFill="1" applyAlignment="1">
      <alignment horizontal="left" vertical="center" wrapText="1"/>
    </xf>
    <xf numFmtId="49" fontId="34" fillId="0" borderId="0" xfId="0" applyNumberFormat="1" applyFont="1"/>
    <xf numFmtId="0" fontId="34" fillId="0" borderId="0" xfId="0" applyFont="1" applyAlignment="1">
      <alignment horizontal="center"/>
    </xf>
    <xf numFmtId="169" fontId="34" fillId="0" borderId="0" xfId="0" applyNumberFormat="1" applyFont="1"/>
    <xf numFmtId="4" fontId="34" fillId="12" borderId="30" xfId="6" applyNumberFormat="1" applyFont="1" applyFill="1" applyBorder="1"/>
    <xf numFmtId="4" fontId="34" fillId="12" borderId="42" xfId="6" applyNumberFormat="1" applyFont="1" applyFill="1" applyBorder="1"/>
    <xf numFmtId="4" fontId="34" fillId="12" borderId="29" xfId="6" applyNumberFormat="1" applyFont="1" applyFill="1" applyBorder="1"/>
    <xf numFmtId="4" fontId="34" fillId="12" borderId="28" xfId="6" applyNumberFormat="1" applyFont="1" applyFill="1" applyBorder="1"/>
    <xf numFmtId="4" fontId="34" fillId="12" borderId="31" xfId="6" applyNumberFormat="1" applyFont="1" applyFill="1" applyBorder="1"/>
    <xf numFmtId="4" fontId="34" fillId="12" borderId="24" xfId="6" applyNumberFormat="1" applyFont="1" applyFill="1" applyBorder="1"/>
    <xf numFmtId="4" fontId="34" fillId="0" borderId="29" xfId="6" applyNumberFormat="1" applyFont="1" applyFill="1" applyBorder="1"/>
    <xf numFmtId="4" fontId="34" fillId="0" borderId="42" xfId="6" applyNumberFormat="1" applyFont="1" applyFill="1" applyBorder="1"/>
    <xf numFmtId="4" fontId="34" fillId="0" borderId="41" xfId="6" applyNumberFormat="1" applyFont="1" applyFill="1" applyBorder="1"/>
    <xf numFmtId="4" fontId="34" fillId="0" borderId="6" xfId="6" applyNumberFormat="1" applyFont="1" applyFill="1" applyBorder="1"/>
    <xf numFmtId="4" fontId="34" fillId="12" borderId="27" xfId="6" applyNumberFormat="1" applyFont="1" applyFill="1" applyBorder="1"/>
    <xf numFmtId="170" fontId="36" fillId="0" borderId="29" xfId="6" applyNumberFormat="1" applyFont="1" applyFill="1" applyBorder="1"/>
    <xf numFmtId="3" fontId="36" fillId="0" borderId="29" xfId="6" applyNumberFormat="1" applyFont="1" applyFill="1" applyBorder="1"/>
    <xf numFmtId="3" fontId="36" fillId="0" borderId="29" xfId="6" applyNumberFormat="1" applyFont="1" applyBorder="1"/>
    <xf numFmtId="4" fontId="36" fillId="0" borderId="29" xfId="6" applyNumberFormat="1" applyFont="1" applyBorder="1"/>
    <xf numFmtId="4" fontId="36" fillId="0" borderId="29" xfId="6" applyNumberFormat="1" applyFont="1" applyFill="1" applyBorder="1"/>
    <xf numFmtId="4" fontId="34" fillId="0" borderId="29" xfId="6" applyNumberFormat="1" applyFont="1" applyBorder="1"/>
    <xf numFmtId="4" fontId="36" fillId="2" borderId="29" xfId="6" applyNumberFormat="1" applyFont="1" applyFill="1" applyBorder="1"/>
    <xf numFmtId="4" fontId="36" fillId="4" borderId="53" xfId="6" applyNumberFormat="1" applyFont="1" applyFill="1" applyBorder="1"/>
    <xf numFmtId="2" fontId="15" fillId="6" borderId="0" xfId="1" applyNumberFormat="1" applyFont="1" applyFill="1" applyBorder="1"/>
    <xf numFmtId="10" fontId="36" fillId="0" borderId="0" xfId="11" applyNumberFormat="1" applyFont="1" applyBorder="1"/>
    <xf numFmtId="49" fontId="36" fillId="0" borderId="0" xfId="0" applyNumberFormat="1" applyFont="1" applyAlignment="1">
      <alignment horizontal="left"/>
    </xf>
    <xf numFmtId="2" fontId="4" fillId="2" borderId="0" xfId="3" applyNumberFormat="1" applyFont="1" applyFill="1" applyAlignment="1">
      <alignment vertical="center" wrapText="1"/>
    </xf>
    <xf numFmtId="2" fontId="7" fillId="3" borderId="4" xfId="4" applyNumberFormat="1" applyFont="1" applyFill="1" applyBorder="1" applyAlignment="1">
      <alignment horizontal="center" vertical="center" wrapText="1"/>
    </xf>
    <xf numFmtId="2" fontId="6" fillId="0" borderId="7" xfId="1" applyNumberFormat="1" applyFont="1" applyBorder="1"/>
    <xf numFmtId="2" fontId="12" fillId="8" borderId="7" xfId="1" applyNumberFormat="1" applyFont="1" applyFill="1" applyBorder="1"/>
    <xf numFmtId="2" fontId="6" fillId="0" borderId="7" xfId="1" applyNumberFormat="1" applyFont="1" applyFill="1" applyBorder="1"/>
    <xf numFmtId="2" fontId="24" fillId="0" borderId="0" xfId="9" applyNumberFormat="1" applyFont="1" applyAlignment="1">
      <alignment horizontal="center" vertical="center"/>
    </xf>
    <xf numFmtId="2" fontId="6" fillId="0" borderId="0" xfId="9" applyNumberFormat="1" applyFont="1" applyAlignment="1">
      <alignment horizontal="center" vertical="center"/>
    </xf>
    <xf numFmtId="2" fontId="6" fillId="0" borderId="0" xfId="4" applyNumberFormat="1" applyFont="1"/>
    <xf numFmtId="9" fontId="6" fillId="0" borderId="0" xfId="2" applyFont="1" applyBorder="1" applyAlignment="1">
      <alignment horizontal="center" vertical="center"/>
    </xf>
    <xf numFmtId="9" fontId="6" fillId="0" borderId="0" xfId="3" applyNumberFormat="1" applyFont="1" applyAlignment="1">
      <alignment horizontal="center"/>
    </xf>
    <xf numFmtId="164" fontId="6" fillId="0" borderId="0" xfId="3" applyNumberFormat="1" applyFont="1" applyAlignment="1">
      <alignment horizontal="center" vertical="center"/>
    </xf>
    <xf numFmtId="4" fontId="36" fillId="0" borderId="48" xfId="6" applyNumberFormat="1" applyFont="1" applyFill="1" applyBorder="1"/>
    <xf numFmtId="4" fontId="36" fillId="0" borderId="53" xfId="6" applyNumberFormat="1" applyFont="1" applyFill="1" applyBorder="1"/>
    <xf numFmtId="4" fontId="36" fillId="0" borderId="43" xfId="6" applyNumberFormat="1" applyFont="1" applyFill="1" applyBorder="1"/>
    <xf numFmtId="4" fontId="36" fillId="0" borderId="44" xfId="6" applyNumberFormat="1" applyFont="1" applyFill="1" applyBorder="1"/>
    <xf numFmtId="4" fontId="36" fillId="0" borderId="9" xfId="6" applyNumberFormat="1" applyFont="1" applyFill="1" applyBorder="1"/>
    <xf numFmtId="164" fontId="6" fillId="0" borderId="0" xfId="1" applyNumberFormat="1" applyFont="1" applyFill="1" applyAlignment="1">
      <alignment horizontal="right" vertical="center"/>
    </xf>
    <xf numFmtId="164" fontId="6" fillId="4" borderId="0" xfId="7" applyNumberFormat="1" applyFont="1" applyFill="1"/>
    <xf numFmtId="43" fontId="6" fillId="0" borderId="0" xfId="7" applyNumberFormat="1" applyFont="1" applyFill="1"/>
    <xf numFmtId="2" fontId="4" fillId="0" borderId="1" xfId="3" applyNumberFormat="1" applyFont="1" applyBorder="1" applyAlignment="1">
      <alignment vertical="center"/>
    </xf>
    <xf numFmtId="4" fontId="37" fillId="0" borderId="27" xfId="6" applyNumberFormat="1" applyFont="1" applyFill="1" applyBorder="1"/>
    <xf numFmtId="4" fontId="37" fillId="0" borderId="28" xfId="6" applyNumberFormat="1" applyFont="1" applyFill="1" applyBorder="1"/>
    <xf numFmtId="0" fontId="34" fillId="5" borderId="18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3" xfId="0" applyFont="1" applyFill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3" xfId="0" applyFont="1" applyFill="1" applyBorder="1" applyAlignment="1">
      <alignment horizontal="center" vertical="center" wrapText="1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51" xfId="0" applyFont="1" applyFill="1" applyBorder="1" applyAlignment="1">
      <alignment horizontal="center" vertical="center" wrapText="1"/>
    </xf>
    <xf numFmtId="0" fontId="34" fillId="12" borderId="52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9" xfId="0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 wrapText="1"/>
    </xf>
    <xf numFmtId="49" fontId="36" fillId="2" borderId="7" xfId="0" applyNumberFormat="1" applyFont="1" applyFill="1" applyBorder="1" applyAlignment="1">
      <alignment horizontal="center" vertical="center"/>
    </xf>
    <xf numFmtId="49" fontId="36" fillId="2" borderId="33" xfId="0" applyNumberFormat="1" applyFont="1" applyFill="1" applyBorder="1" applyAlignment="1">
      <alignment horizontal="center" vertical="center"/>
    </xf>
    <xf numFmtId="2" fontId="34" fillId="12" borderId="45" xfId="0" applyNumberFormat="1" applyFont="1" applyFill="1" applyBorder="1" applyAlignment="1">
      <alignment horizontal="center" vertical="center"/>
    </xf>
    <xf numFmtId="2" fontId="34" fillId="12" borderId="46" xfId="0" applyNumberFormat="1" applyFont="1" applyFill="1" applyBorder="1" applyAlignment="1">
      <alignment horizontal="center" vertical="center"/>
    </xf>
    <xf numFmtId="2" fontId="34" fillId="12" borderId="4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3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49" fontId="36" fillId="2" borderId="32" xfId="0" applyNumberFormat="1" applyFont="1" applyFill="1" applyBorder="1" applyAlignment="1">
      <alignment horizontal="center" vertical="center"/>
    </xf>
    <xf numFmtId="49" fontId="36" fillId="2" borderId="48" xfId="0" applyNumberFormat="1" applyFont="1" applyFill="1" applyBorder="1" applyAlignment="1"/>
    <xf numFmtId="49" fontId="36" fillId="2" borderId="49" xfId="0" applyNumberFormat="1" applyFont="1" applyFill="1" applyBorder="1" applyAlignment="1"/>
    <xf numFmtId="0" fontId="39" fillId="6" borderId="35" xfId="0" applyFont="1" applyFill="1" applyBorder="1" applyAlignment="1">
      <alignment horizontal="center" vertical="center" wrapText="1"/>
    </xf>
    <xf numFmtId="0" fontId="39" fillId="6" borderId="36" xfId="0" applyFont="1" applyFill="1" applyBorder="1" applyAlignment="1">
      <alignment horizontal="center" vertical="center" wrapText="1"/>
    </xf>
    <xf numFmtId="0" fontId="39" fillId="6" borderId="37" xfId="0" applyFont="1" applyFill="1" applyBorder="1" applyAlignment="1">
      <alignment horizontal="center" vertical="center" wrapText="1"/>
    </xf>
    <xf numFmtId="0" fontId="39" fillId="25" borderId="35" xfId="0" applyFont="1" applyFill="1" applyBorder="1" applyAlignment="1">
      <alignment horizontal="center" vertical="center" wrapText="1"/>
    </xf>
    <xf numFmtId="0" fontId="39" fillId="25" borderId="36" xfId="0" applyFont="1" applyFill="1" applyBorder="1" applyAlignment="1">
      <alignment horizontal="center" vertical="center" wrapText="1"/>
    </xf>
    <xf numFmtId="0" fontId="39" fillId="25" borderId="37" xfId="0" applyFont="1" applyFill="1" applyBorder="1" applyAlignment="1">
      <alignment horizontal="center" vertical="center" wrapText="1"/>
    </xf>
  </cellXfs>
  <cellStyles count="14">
    <cellStyle name="Денежный" xfId="12" builtinId="4"/>
    <cellStyle name="Обычный" xfId="0" builtinId="0"/>
    <cellStyle name="Обычный 2 2" xfId="3" xr:uid="{D4DDD38B-0C19-492A-A0CA-3C644F54CDE9}"/>
    <cellStyle name="Обычный 4" xfId="13" xr:uid="{EEAC5ABD-BD88-49FE-8F64-0F510071B4EA}"/>
    <cellStyle name="Процентный" xfId="2" builtinId="5"/>
    <cellStyle name="Процентный 2" xfId="11" xr:uid="{52A73127-2C72-4160-B600-97EDBA263AE0}"/>
    <cellStyle name="Процентный 2 2" xfId="5" xr:uid="{52C36198-712D-4232-97AF-AD084F3832DC}"/>
    <cellStyle name="Финансовый" xfId="1" builtinId="3"/>
    <cellStyle name="Финансовый 2" xfId="6" xr:uid="{4E32FC13-4540-4DB6-8BD3-80394FC25B2E}"/>
    <cellStyle name="Финансовый 2 2" xfId="4" xr:uid="{103EC034-7604-4AB9-B37A-3B993E3938BA}"/>
    <cellStyle name="Финансовый 3" xfId="8" xr:uid="{A3B43EA8-C581-4BAC-A04D-5801683D07F6}"/>
    <cellStyle name="Финансовый 3 2" xfId="9" xr:uid="{1E9FA496-D9D8-4C50-AC0E-9DA32CEA2E19}"/>
    <cellStyle name="Финансовый 8 2" xfId="7" xr:uid="{E079D418-C0E9-476B-995D-EC2F01C7912D}"/>
    <cellStyle name="Финансовый 8 2 2 2" xfId="10" xr:uid="{07DADBA1-0A11-4169-A86F-7C7B8D7587F4}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8712-6077-4CFA-88CE-668D795AB07E}">
  <dimension ref="A1:AJ34"/>
  <sheetViews>
    <sheetView tabSelected="1" zoomScale="50" zoomScaleNormal="50" workbookViewId="0">
      <pane xSplit="3" ySplit="2" topLeftCell="S6" activePane="bottomRight" state="frozen"/>
      <selection pane="topRight" activeCell="D1" sqref="D1"/>
      <selection pane="bottomLeft" activeCell="A3" sqref="A3"/>
      <selection pane="bottomRight" activeCell="AH9" sqref="AH9"/>
    </sheetView>
  </sheetViews>
  <sheetFormatPr defaultColWidth="12.08984375" defaultRowHeight="13.5" outlineLevelCol="1"/>
  <cols>
    <col min="1" max="1" width="12.453125" style="226" customWidth="1"/>
    <col min="2" max="2" width="13.81640625" style="226" customWidth="1"/>
    <col min="3" max="3" width="5.7265625" style="227" customWidth="1"/>
    <col min="4" max="4" width="17" style="228" customWidth="1"/>
    <col min="5" max="5" width="10.453125" style="228" customWidth="1"/>
    <col min="6" max="6" width="11.1796875" style="228" customWidth="1"/>
    <col min="7" max="7" width="12.08984375" style="228"/>
    <col min="8" max="8" width="18.36328125" style="228" customWidth="1"/>
    <col min="9" max="9" width="20.81640625" style="228" customWidth="1"/>
    <col min="10" max="10" width="17.90625" style="228" customWidth="1"/>
    <col min="11" max="13" width="16.54296875" style="228" customWidth="1"/>
    <col min="14" max="14" width="11.36328125" style="228" hidden="1" customWidth="1" outlineLevel="1"/>
    <col min="15" max="15" width="19.7265625" style="228" hidden="1" customWidth="1" outlineLevel="1"/>
    <col min="16" max="16" width="10.26953125" style="228" hidden="1" customWidth="1" outlineLevel="1"/>
    <col min="17" max="17" width="15.81640625" style="228" bestFit="1" customWidth="1" collapsed="1"/>
    <col min="18" max="18" width="14.453125" style="228" customWidth="1"/>
    <col min="19" max="20" width="17.36328125" style="228" customWidth="1"/>
    <col min="21" max="21" width="22.81640625" style="228" customWidth="1"/>
    <col min="22" max="22" width="17.1796875" style="228" customWidth="1"/>
    <col min="23" max="23" width="16.81640625" style="228" customWidth="1"/>
    <col min="24" max="24" width="15.7265625" style="228" customWidth="1"/>
    <col min="25" max="27" width="16.90625" style="228" customWidth="1"/>
    <col min="28" max="28" width="18.26953125" style="228" customWidth="1"/>
    <col min="29" max="29" width="19.54296875" style="198" customWidth="1"/>
    <col min="30" max="31" width="18.26953125" style="198" customWidth="1"/>
    <col min="32" max="16384" width="12.08984375" style="228"/>
  </cols>
  <sheetData>
    <row r="1" spans="1:36" s="180" customFormat="1" ht="19.25" customHeight="1" thickBot="1">
      <c r="A1" s="366" t="s">
        <v>289</v>
      </c>
      <c r="B1" s="367"/>
      <c r="C1" s="367"/>
      <c r="D1" s="368" t="s">
        <v>290</v>
      </c>
      <c r="E1" s="370" t="s">
        <v>291</v>
      </c>
      <c r="F1" s="371"/>
      <c r="G1" s="372"/>
      <c r="H1" s="373" t="s">
        <v>128</v>
      </c>
      <c r="I1" s="373"/>
      <c r="J1" s="373"/>
      <c r="K1" s="352" t="s">
        <v>21</v>
      </c>
      <c r="L1" s="345" t="s">
        <v>292</v>
      </c>
      <c r="M1" s="345" t="s">
        <v>293</v>
      </c>
      <c r="N1" s="345" t="s">
        <v>294</v>
      </c>
      <c r="O1" s="345" t="s">
        <v>295</v>
      </c>
      <c r="P1" s="345" t="s">
        <v>27</v>
      </c>
      <c r="Q1" s="345" t="s">
        <v>296</v>
      </c>
      <c r="R1" s="348" t="s">
        <v>1317</v>
      </c>
      <c r="S1" s="350" t="s">
        <v>115</v>
      </c>
      <c r="T1" s="350" t="s">
        <v>123</v>
      </c>
      <c r="U1" s="348" t="s">
        <v>297</v>
      </c>
      <c r="V1" s="350" t="s">
        <v>750</v>
      </c>
      <c r="W1" s="350" t="s">
        <v>943</v>
      </c>
      <c r="X1" s="352" t="s">
        <v>298</v>
      </c>
      <c r="Y1" s="359" t="s">
        <v>999</v>
      </c>
      <c r="Z1" s="354" t="s">
        <v>1000</v>
      </c>
      <c r="AA1" s="356" t="s">
        <v>300</v>
      </c>
      <c r="AB1" s="358" t="s">
        <v>301</v>
      </c>
      <c r="AC1" s="347" t="s">
        <v>35</v>
      </c>
      <c r="AD1" s="347" t="s">
        <v>36</v>
      </c>
      <c r="AE1" s="347" t="s">
        <v>302</v>
      </c>
      <c r="AG1" s="181" t="s">
        <v>303</v>
      </c>
    </row>
    <row r="2" spans="1:36" s="180" customFormat="1" ht="31" customHeight="1" thickBot="1">
      <c r="A2" s="182" t="s">
        <v>304</v>
      </c>
      <c r="B2" s="182" t="s">
        <v>305</v>
      </c>
      <c r="C2" s="183" t="s">
        <v>306</v>
      </c>
      <c r="D2" s="369"/>
      <c r="E2" s="184" t="s">
        <v>307</v>
      </c>
      <c r="F2" s="184" t="s">
        <v>127</v>
      </c>
      <c r="G2" s="184" t="s">
        <v>308</v>
      </c>
      <c r="H2" s="185" t="s">
        <v>127</v>
      </c>
      <c r="I2" s="185" t="s">
        <v>308</v>
      </c>
      <c r="J2" s="185" t="s">
        <v>309</v>
      </c>
      <c r="K2" s="353"/>
      <c r="L2" s="346"/>
      <c r="M2" s="346"/>
      <c r="N2" s="346"/>
      <c r="O2" s="346"/>
      <c r="P2" s="346"/>
      <c r="Q2" s="346"/>
      <c r="R2" s="349"/>
      <c r="S2" s="351"/>
      <c r="T2" s="351"/>
      <c r="U2" s="349"/>
      <c r="V2" s="351"/>
      <c r="W2" s="351"/>
      <c r="X2" s="353"/>
      <c r="Y2" s="360"/>
      <c r="Z2" s="355"/>
      <c r="AA2" s="357"/>
      <c r="AB2" s="358"/>
      <c r="AC2" s="347"/>
      <c r="AD2" s="347"/>
      <c r="AE2" s="347"/>
      <c r="AG2" s="186" t="s">
        <v>306</v>
      </c>
      <c r="AH2" s="187" t="s">
        <v>310</v>
      </c>
      <c r="AI2" s="188" t="s">
        <v>311</v>
      </c>
      <c r="AJ2" s="189" t="s">
        <v>312</v>
      </c>
    </row>
    <row r="3" spans="1:36" s="199" customFormat="1" ht="27" customHeight="1">
      <c r="A3" s="374" t="s">
        <v>314</v>
      </c>
      <c r="B3" s="272" t="s">
        <v>315</v>
      </c>
      <c r="C3" s="200"/>
      <c r="D3" s="216">
        <f>J3-SUM(L3:T3)+U3+V3</f>
        <v>6689.7486206896574</v>
      </c>
      <c r="E3" s="281">
        <f>'Юнит 01-04.01'!K$26</f>
        <v>44</v>
      </c>
      <c r="F3" s="281">
        <f>'Юнит 01-04.01'!P$26</f>
        <v>28</v>
      </c>
      <c r="G3" s="281">
        <f>'Юнит 01-04.01'!Q$26</f>
        <v>0</v>
      </c>
      <c r="H3" s="282">
        <f>'Юнит 01-04.01'!S$26</f>
        <v>45978</v>
      </c>
      <c r="I3" s="283">
        <f>'Юнит 01-04.01'!T$26</f>
        <v>0</v>
      </c>
      <c r="J3" s="283">
        <f>H3+I3</f>
        <v>45978</v>
      </c>
      <c r="K3" s="284">
        <f>'Юнит 01-04.01'!W$26</f>
        <v>4528.66</v>
      </c>
      <c r="L3" s="285">
        <f>'Юнит 01-04.01'!Z$26</f>
        <v>3709.3399999999997</v>
      </c>
      <c r="M3" s="284">
        <f>'Юнит 01-04.01'!X$26</f>
        <v>19770.54</v>
      </c>
      <c r="N3" s="284"/>
      <c r="O3" s="286"/>
      <c r="P3" s="284"/>
      <c r="Q3" s="287">
        <f>'Юнит 01-04.01'!AA$26</f>
        <v>14387.481379310344</v>
      </c>
      <c r="R3" s="285"/>
      <c r="S3" s="285">
        <v>808.39</v>
      </c>
      <c r="T3" s="285">
        <v>612.5</v>
      </c>
      <c r="U3" s="285"/>
      <c r="V3" s="285"/>
      <c r="W3" s="344">
        <v>2545</v>
      </c>
      <c r="X3" s="334">
        <f>2656.15*J3/SUM($J$3:$J$12)</f>
        <v>193.86959000271457</v>
      </c>
      <c r="Y3" s="308">
        <f>J3-SUM(L3:T3)-K3-V3+U3+W3</f>
        <v>4706.0886206896575</v>
      </c>
      <c r="Z3" s="304">
        <f>Y3-X3</f>
        <v>4512.2190306869434</v>
      </c>
      <c r="AA3" s="363">
        <f>SUM(Z3:Z12)</f>
        <v>53230.010000000038</v>
      </c>
      <c r="AB3" s="198">
        <f t="shared" ref="AB3:AB12" si="0">K3/J3</f>
        <v>9.8496237330897379E-2</v>
      </c>
      <c r="AC3" s="198">
        <f t="shared" ref="AC3:AC12" si="1">Z3/K3</f>
        <v>0.99636957304963136</v>
      </c>
      <c r="AD3" s="198">
        <f t="shared" ref="AD3:AD12" si="2">Z3/J3</f>
        <v>9.8138653936381381E-2</v>
      </c>
      <c r="AE3" s="198">
        <f t="shared" ref="AE3:AE23" si="3">Q3/J3</f>
        <v>0.3129209921986677</v>
      </c>
    </row>
    <row r="4" spans="1:36" s="199" customFormat="1" ht="27" customHeight="1">
      <c r="A4" s="361"/>
      <c r="B4" s="211" t="s">
        <v>316</v>
      </c>
      <c r="C4" s="202"/>
      <c r="D4" s="219">
        <f t="shared" ref="D4:D12" si="4">J4-SUM(L4:T4)+U4+V4+W4</f>
        <v>1720.7513793103449</v>
      </c>
      <c r="E4" s="203">
        <f>'Юнит 01-04.01'!K$49</f>
        <v>5</v>
      </c>
      <c r="F4" s="203">
        <f>'Юнит 01-04.01'!P$49</f>
        <v>1</v>
      </c>
      <c r="G4" s="203">
        <f>'Юнит 01-04.01'!Q$49</f>
        <v>0</v>
      </c>
      <c r="H4" s="204">
        <f>'Юнит 01-04.01'!S$49</f>
        <v>4247</v>
      </c>
      <c r="I4" s="205">
        <f>'Юнит 01-04.01'!T$49</f>
        <v>0</v>
      </c>
      <c r="J4" s="205">
        <f t="shared" ref="J4:J12" si="5">H4+I4</f>
        <v>4247</v>
      </c>
      <c r="K4" s="206">
        <f>'Юнит 01-04.01'!W$49</f>
        <v>597</v>
      </c>
      <c r="L4" s="207">
        <f>'Юнит 01-04.01'!Z$49</f>
        <v>186.2</v>
      </c>
      <c r="M4" s="206">
        <f>'Юнит 01-04.01'!X$49</f>
        <v>1826.21</v>
      </c>
      <c r="N4" s="206"/>
      <c r="O4" s="208"/>
      <c r="P4" s="206"/>
      <c r="Q4" s="209">
        <f>'Юнит 01-04.01'!AA$49</f>
        <v>513.83862068965516</v>
      </c>
      <c r="R4" s="207"/>
      <c r="S4" s="207"/>
      <c r="T4" s="207"/>
      <c r="U4" s="207"/>
      <c r="V4" s="207"/>
      <c r="W4" s="207"/>
      <c r="X4" s="335">
        <f t="shared" ref="X4:X12" si="6">2656.15*J4/SUM($J$3:$J$12)</f>
        <v>17.907785217746071</v>
      </c>
      <c r="Y4" s="307">
        <f t="shared" ref="Y4:Y14" si="7">J4-SUM(L4:T4)-K4-V4+U4+W4</f>
        <v>1123.7513793103449</v>
      </c>
      <c r="Z4" s="301">
        <f t="shared" ref="Z4:Z12" si="8">Y4-X4</f>
        <v>1105.8435940925988</v>
      </c>
      <c r="AA4" s="364"/>
      <c r="AB4" s="198">
        <f t="shared" si="0"/>
        <v>0.1405698139863433</v>
      </c>
      <c r="AC4" s="198">
        <f t="shared" si="1"/>
        <v>1.8523343284633145</v>
      </c>
      <c r="AD4" s="198">
        <f t="shared" si="2"/>
        <v>0.26038229199260626</v>
      </c>
      <c r="AE4" s="198">
        <f t="shared" si="3"/>
        <v>0.12098860859186605</v>
      </c>
    </row>
    <row r="5" spans="1:36" s="199" customFormat="1" ht="27" customHeight="1">
      <c r="A5" s="361"/>
      <c r="B5" s="210" t="s">
        <v>317</v>
      </c>
      <c r="C5" s="213"/>
      <c r="D5" s="190">
        <f t="shared" si="4"/>
        <v>15120.023666666661</v>
      </c>
      <c r="E5" s="191">
        <f>'Юнит 05-11.01'!K$26</f>
        <v>74</v>
      </c>
      <c r="F5" s="191">
        <f>'Юнит 05-11.01'!P$26</f>
        <v>58</v>
      </c>
      <c r="G5" s="191">
        <f>'Юнит 05-11.01'!Q$26</f>
        <v>4</v>
      </c>
      <c r="H5" s="192">
        <f>'Юнит 05-11.01'!S$26</f>
        <v>92160.000000000015</v>
      </c>
      <c r="I5" s="193">
        <f>'Юнит 05-11.01'!T$26</f>
        <v>-6799</v>
      </c>
      <c r="J5" s="193">
        <f t="shared" si="5"/>
        <v>85361.000000000015</v>
      </c>
      <c r="K5" s="194">
        <f>'Юнит 05-11.01'!W$26</f>
        <v>7651.7999999999993</v>
      </c>
      <c r="L5" s="195">
        <f>'Юнит 05-11.01'!Z$26</f>
        <v>9950.2700000000059</v>
      </c>
      <c r="M5" s="194">
        <f>'Юнит 05-11.01'!X$26</f>
        <v>36705.23000000001</v>
      </c>
      <c r="N5" s="194"/>
      <c r="O5" s="196"/>
      <c r="P5" s="194"/>
      <c r="Q5" s="197">
        <f>'Юнит 05-11.01'!AA$26</f>
        <v>20346.216333333334</v>
      </c>
      <c r="R5" s="195">
        <v>5</v>
      </c>
      <c r="S5" s="195">
        <v>1918.46</v>
      </c>
      <c r="T5" s="195">
        <v>1315.8</v>
      </c>
      <c r="U5" s="195"/>
      <c r="V5" s="195"/>
      <c r="W5" s="195"/>
      <c r="X5" s="336">
        <f t="shared" si="6"/>
        <v>359.930881556869</v>
      </c>
      <c r="Y5" s="308">
        <f t="shared" si="7"/>
        <v>7468.2236666666613</v>
      </c>
      <c r="Z5" s="302">
        <f t="shared" si="8"/>
        <v>7108.292785109792</v>
      </c>
      <c r="AA5" s="364"/>
      <c r="AB5" s="198">
        <f t="shared" si="0"/>
        <v>8.9640468129473627E-2</v>
      </c>
      <c r="AC5" s="198">
        <f t="shared" si="1"/>
        <v>0.92897001818000902</v>
      </c>
      <c r="AD5" s="198">
        <f t="shared" si="2"/>
        <v>8.3273307307901626E-2</v>
      </c>
      <c r="AE5" s="198">
        <f t="shared" si="3"/>
        <v>0.23835494351440739</v>
      </c>
    </row>
    <row r="6" spans="1:36" s="199" customFormat="1" ht="27" customHeight="1">
      <c r="A6" s="361"/>
      <c r="B6" s="201" t="s">
        <v>318</v>
      </c>
      <c r="C6" s="202"/>
      <c r="D6" s="219">
        <f t="shared" si="4"/>
        <v>4389.7863333333335</v>
      </c>
      <c r="E6" s="203">
        <f>'Юнит 05-11.01'!K$49</f>
        <v>4</v>
      </c>
      <c r="F6" s="203">
        <f>'Юнит 05-11.01'!P$49</f>
        <v>2</v>
      </c>
      <c r="G6" s="203">
        <f>'Юнит 05-11.01'!Q$49</f>
        <v>0</v>
      </c>
      <c r="H6" s="204">
        <f>'Юнит 05-11.01'!S$49</f>
        <v>10524</v>
      </c>
      <c r="I6" s="205">
        <f>'Юнит 05-11.01'!T$49</f>
        <v>0</v>
      </c>
      <c r="J6" s="205">
        <f t="shared" si="5"/>
        <v>10524</v>
      </c>
      <c r="K6" s="206">
        <f>'Юнит 05-11.01'!W$49</f>
        <v>1329</v>
      </c>
      <c r="L6" s="207">
        <f>'Юнит 05-11.01'!Z$49</f>
        <v>907.30000000000007</v>
      </c>
      <c r="M6" s="206">
        <f>'Юнит 05-11.01'!X$49</f>
        <v>4525.32</v>
      </c>
      <c r="N6" s="206"/>
      <c r="O6" s="208"/>
      <c r="P6" s="206"/>
      <c r="Q6" s="209">
        <f>'Юнит 05-11.01'!AA$49</f>
        <v>701.59366666666676</v>
      </c>
      <c r="R6" s="207"/>
      <c r="S6" s="207"/>
      <c r="T6" s="207"/>
      <c r="U6" s="207"/>
      <c r="V6" s="207"/>
      <c r="W6" s="207"/>
      <c r="X6" s="337">
        <f t="shared" si="6"/>
        <v>44.375213475761633</v>
      </c>
      <c r="Y6" s="307">
        <f t="shared" si="7"/>
        <v>3060.7863333333335</v>
      </c>
      <c r="Z6" s="303">
        <f t="shared" si="8"/>
        <v>3016.411119857572</v>
      </c>
      <c r="AA6" s="364"/>
      <c r="AB6" s="321">
        <f t="shared" si="0"/>
        <v>0.12628278221208666</v>
      </c>
      <c r="AC6" s="321">
        <f t="shared" si="1"/>
        <v>2.2696848155436959</v>
      </c>
      <c r="AD6" s="321">
        <f t="shared" si="2"/>
        <v>0.28662211325138465</v>
      </c>
      <c r="AE6" s="321">
        <f t="shared" si="3"/>
        <v>6.6666064867604222E-2</v>
      </c>
    </row>
    <row r="7" spans="1:36" s="199" customFormat="1" ht="27" customHeight="1">
      <c r="A7" s="361"/>
      <c r="B7" s="217" t="s">
        <v>319</v>
      </c>
      <c r="C7" s="218"/>
      <c r="D7" s="190">
        <f t="shared" si="4"/>
        <v>25837.297540983607</v>
      </c>
      <c r="E7" s="191">
        <f>'Юнит 12-18.01'!K$26</f>
        <v>96</v>
      </c>
      <c r="F7" s="191">
        <f>'Юнит 12-18.01'!P$26</f>
        <v>56</v>
      </c>
      <c r="G7" s="191">
        <f>'Юнит 12-18.01'!Q$26</f>
        <v>0</v>
      </c>
      <c r="H7" s="192">
        <f>'Юнит 12-18.01'!S$26</f>
        <v>91762.000000000015</v>
      </c>
      <c r="I7" s="193">
        <f>'Юнит 12-18.01'!T$26</f>
        <v>0</v>
      </c>
      <c r="J7" s="193">
        <f>H7+I7</f>
        <v>91762.000000000015</v>
      </c>
      <c r="K7" s="194">
        <f>'Юнит 12-18.01'!W$26</f>
        <v>7841.91</v>
      </c>
      <c r="L7" s="195">
        <f>'Юнит 12-18.01'!Z$26</f>
        <v>9811.6400000000031</v>
      </c>
      <c r="M7" s="194">
        <f>'Юнит 12-18.01'!X$26</f>
        <v>39457.660000000011</v>
      </c>
      <c r="N7" s="194"/>
      <c r="O7" s="196"/>
      <c r="P7" s="194"/>
      <c r="Q7" s="197">
        <f>'Юнит 12-18.01'!AA$26</f>
        <v>22526.532459016395</v>
      </c>
      <c r="R7" s="195"/>
      <c r="S7" s="195">
        <v>2168.87</v>
      </c>
      <c r="T7" s="195">
        <v>800</v>
      </c>
      <c r="U7" s="195"/>
      <c r="V7" s="195">
        <v>7000</v>
      </c>
      <c r="W7" s="343">
        <v>1840</v>
      </c>
      <c r="X7" s="336">
        <f t="shared" si="6"/>
        <v>386.92116485773846</v>
      </c>
      <c r="Y7" s="308">
        <f t="shared" si="7"/>
        <v>3995.3875409836073</v>
      </c>
      <c r="Z7" s="302">
        <f t="shared" si="8"/>
        <v>3608.4663761258689</v>
      </c>
      <c r="AA7" s="364"/>
      <c r="AB7" s="321">
        <f t="shared" si="0"/>
        <v>8.5459231490159313E-2</v>
      </c>
      <c r="AC7" s="321">
        <f t="shared" si="1"/>
        <v>0.46015146515655869</v>
      </c>
      <c r="AD7" s="321">
        <f t="shared" si="2"/>
        <v>3.9324190581350324E-2</v>
      </c>
      <c r="AE7" s="321">
        <f t="shared" si="3"/>
        <v>0.24548868223247522</v>
      </c>
    </row>
    <row r="8" spans="1:36" s="199" customFormat="1" ht="27" customHeight="1">
      <c r="A8" s="361"/>
      <c r="B8" s="211" t="s">
        <v>320</v>
      </c>
      <c r="C8" s="202"/>
      <c r="D8" s="219">
        <f t="shared" si="4"/>
        <v>8441.1124590163945</v>
      </c>
      <c r="E8" s="203">
        <f>'Юнит 12-18.01'!K$49</f>
        <v>30</v>
      </c>
      <c r="F8" s="203">
        <f>'Юнит 12-18.01'!P$49</f>
        <v>5</v>
      </c>
      <c r="G8" s="203">
        <f>'Юнит 12-18.01'!Q$49</f>
        <v>0</v>
      </c>
      <c r="H8" s="204">
        <f>'Юнит 12-18.01'!S$49</f>
        <v>21020</v>
      </c>
      <c r="I8" s="205">
        <f>'Юнит 12-18.01'!T$49</f>
        <v>0</v>
      </c>
      <c r="J8" s="205">
        <f t="shared" si="5"/>
        <v>21020</v>
      </c>
      <c r="K8" s="206">
        <f>'Юнит 12-18.01'!W$49</f>
        <v>3435</v>
      </c>
      <c r="L8" s="207">
        <f>'Юнит 12-18.01'!Z$49</f>
        <v>1528.99</v>
      </c>
      <c r="M8" s="206">
        <f>'Юнит 12-18.01'!X$49</f>
        <v>9038.5999999999985</v>
      </c>
      <c r="N8" s="206"/>
      <c r="O8" s="208"/>
      <c r="P8" s="206"/>
      <c r="Q8" s="209">
        <f>'Юнит 12-18.01'!AA$49</f>
        <v>2011.2975409836067</v>
      </c>
      <c r="R8" s="207"/>
      <c r="S8" s="207"/>
      <c r="T8" s="207"/>
      <c r="U8" s="207"/>
      <c r="V8" s="207"/>
      <c r="W8" s="207"/>
      <c r="X8" s="337">
        <f t="shared" si="6"/>
        <v>88.632362909588508</v>
      </c>
      <c r="Y8" s="307">
        <f t="shared" si="7"/>
        <v>5006.1124590163945</v>
      </c>
      <c r="Z8" s="303">
        <f t="shared" si="8"/>
        <v>4917.4800961068058</v>
      </c>
      <c r="AA8" s="364"/>
      <c r="AB8" s="321">
        <f t="shared" si="0"/>
        <v>0.16341579448144625</v>
      </c>
      <c r="AC8" s="321">
        <f t="shared" si="1"/>
        <v>1.4315808140048925</v>
      </c>
      <c r="AD8" s="321">
        <f t="shared" si="2"/>
        <v>0.23394291608500503</v>
      </c>
      <c r="AE8" s="321">
        <f t="shared" si="3"/>
        <v>9.5684944861256269E-2</v>
      </c>
    </row>
    <row r="9" spans="1:36" s="199" customFormat="1" ht="27" customHeight="1">
      <c r="A9" s="361"/>
      <c r="B9" s="210" t="s">
        <v>321</v>
      </c>
      <c r="C9" s="213"/>
      <c r="D9" s="190">
        <f t="shared" si="4"/>
        <v>15283.413414634197</v>
      </c>
      <c r="E9" s="191">
        <f>'Юнит 19-25.01'!K$26</f>
        <v>119</v>
      </c>
      <c r="F9" s="191">
        <f>'Юнит 19-25.01'!P$26</f>
        <v>64</v>
      </c>
      <c r="G9" s="191">
        <f>'Юнит 19-25.01'!Q$26</f>
        <v>1</v>
      </c>
      <c r="H9" s="192">
        <f>'Юнит 19-25.01'!S$26</f>
        <v>104586.00000000003</v>
      </c>
      <c r="I9" s="193">
        <f>'Юнит 19-25.01'!T$26</f>
        <v>-1670</v>
      </c>
      <c r="J9" s="193">
        <f t="shared" si="5"/>
        <v>102916.00000000003</v>
      </c>
      <c r="K9" s="194">
        <f>'Юнит 19-25.01'!W$26</f>
        <v>9494.9799999999977</v>
      </c>
      <c r="L9" s="195">
        <f>'Юнит 19-25.01'!Z$26</f>
        <v>12870.130000000006</v>
      </c>
      <c r="M9" s="194">
        <f>'Юнит 19-25.01'!X$26</f>
        <v>44253.879999999983</v>
      </c>
      <c r="N9" s="194"/>
      <c r="O9" s="196"/>
      <c r="P9" s="194"/>
      <c r="Q9" s="197">
        <f>'Юнит 19-25.01'!AA$26</f>
        <v>31721.256585365853</v>
      </c>
      <c r="R9" s="195">
        <v>15</v>
      </c>
      <c r="S9" s="195">
        <v>3536.42</v>
      </c>
      <c r="T9" s="195">
        <v>2235.9</v>
      </c>
      <c r="U9" s="195"/>
      <c r="V9" s="195">
        <v>7000</v>
      </c>
      <c r="W9" s="195"/>
      <c r="X9" s="336">
        <f t="shared" si="6"/>
        <v>433.95281927703206</v>
      </c>
      <c r="Y9" s="308">
        <f t="shared" si="7"/>
        <v>-8211.5665853658011</v>
      </c>
      <c r="Z9" s="302">
        <f t="shared" si="8"/>
        <v>-8645.5194046428333</v>
      </c>
      <c r="AA9" s="364"/>
      <c r="AB9" s="321">
        <f t="shared" si="0"/>
        <v>9.2259512612227396E-2</v>
      </c>
      <c r="AC9" s="321">
        <f t="shared" si="1"/>
        <v>-0.91053582046964132</v>
      </c>
      <c r="AD9" s="321">
        <f t="shared" si="2"/>
        <v>-8.4005591012503697E-2</v>
      </c>
      <c r="AE9" s="321">
        <f t="shared" si="3"/>
        <v>0.30822473264959621</v>
      </c>
    </row>
    <row r="10" spans="1:36" s="199" customFormat="1" ht="27" customHeight="1">
      <c r="A10" s="361"/>
      <c r="B10" s="201" t="s">
        <v>322</v>
      </c>
      <c r="C10" s="212"/>
      <c r="D10" s="219">
        <f t="shared" si="4"/>
        <v>20301.696585365848</v>
      </c>
      <c r="E10" s="203">
        <f>'Юнит 19-25.01'!K$49</f>
        <v>66</v>
      </c>
      <c r="F10" s="203">
        <f>'Юнит 19-25.01'!P$49</f>
        <v>18</v>
      </c>
      <c r="G10" s="203">
        <f>'Юнит 19-25.01'!Q$49</f>
        <v>4</v>
      </c>
      <c r="H10" s="204">
        <f>'Юнит 19-25.01'!S$49</f>
        <v>80413</v>
      </c>
      <c r="I10" s="205">
        <f>'Юнит 19-25.01'!T$49</f>
        <v>-17932</v>
      </c>
      <c r="J10" s="205">
        <f t="shared" si="5"/>
        <v>62481</v>
      </c>
      <c r="K10" s="206">
        <f>'Юнит 19-25.01'!W$49</f>
        <v>9468</v>
      </c>
      <c r="L10" s="207">
        <f>'Юнит 19-25.01'!Z$49</f>
        <v>6390.8700000000008</v>
      </c>
      <c r="M10" s="206">
        <f>'Юнит 19-25.01'!X$49</f>
        <v>26866.83</v>
      </c>
      <c r="N10" s="206"/>
      <c r="O10" s="208"/>
      <c r="P10" s="206"/>
      <c r="Q10" s="209">
        <f>'Юнит 19-25.01'!AA$49</f>
        <v>8921.6034146341462</v>
      </c>
      <c r="R10" s="207"/>
      <c r="S10" s="207"/>
      <c r="T10" s="207"/>
      <c r="U10" s="207"/>
      <c r="V10" s="207"/>
      <c r="W10" s="207"/>
      <c r="X10" s="337">
        <f t="shared" si="6"/>
        <v>263.45569300447193</v>
      </c>
      <c r="Y10" s="307">
        <f t="shared" si="7"/>
        <v>10833.696585365848</v>
      </c>
      <c r="Z10" s="303">
        <f t="shared" si="8"/>
        <v>10570.240892361375</v>
      </c>
      <c r="AA10" s="364"/>
      <c r="AB10" s="321">
        <f t="shared" si="0"/>
        <v>0.15153406635617228</v>
      </c>
      <c r="AC10" s="321">
        <f t="shared" si="1"/>
        <v>1.1164175002494059</v>
      </c>
      <c r="AD10" s="321">
        <f t="shared" si="2"/>
        <v>0.16917528356398545</v>
      </c>
      <c r="AE10" s="321">
        <f t="shared" si="3"/>
        <v>0.14278906250914913</v>
      </c>
    </row>
    <row r="11" spans="1:36" s="199" customFormat="1" ht="27" customHeight="1">
      <c r="A11" s="361"/>
      <c r="B11" s="210" t="s">
        <v>323</v>
      </c>
      <c r="C11" s="213"/>
      <c r="D11" s="273">
        <f>J11-SUM(L11:T11)+U11+V11+W11</f>
        <v>17829.041739130422</v>
      </c>
      <c r="E11" s="274">
        <f>'Юнит 26-31.01'!K$26</f>
        <v>100</v>
      </c>
      <c r="F11" s="274">
        <f>'Юнит 26-31.01'!P$26</f>
        <v>72</v>
      </c>
      <c r="G11" s="274">
        <f>'Юнит 26-31.01'!Q$26</f>
        <v>3</v>
      </c>
      <c r="H11" s="275">
        <f>'Юнит 26-31.01'!S$26</f>
        <v>120331</v>
      </c>
      <c r="I11" s="276">
        <f>'Юнит 26-31.01'!T$26</f>
        <v>-4419</v>
      </c>
      <c r="J11" s="276">
        <f t="shared" si="5"/>
        <v>115912</v>
      </c>
      <c r="K11" s="277">
        <f>'Юнит 26-31.01'!W$26</f>
        <v>10470.939999999999</v>
      </c>
      <c r="L11" s="278">
        <f>'Юнит 26-31.01'!Z$26</f>
        <v>13196.610000000011</v>
      </c>
      <c r="M11" s="277">
        <f>'Юнит 26-31.01'!X$26</f>
        <v>49842.16</v>
      </c>
      <c r="N11" s="277"/>
      <c r="O11" s="279"/>
      <c r="P11" s="277"/>
      <c r="Q11" s="280">
        <f>'Юнит 26-31.01'!AA$26</f>
        <v>25632.258260869567</v>
      </c>
      <c r="R11" s="278">
        <v>25</v>
      </c>
      <c r="S11" s="278">
        <v>2141.4299999999998</v>
      </c>
      <c r="T11" s="278">
        <v>7245.5</v>
      </c>
      <c r="U11" s="280"/>
      <c r="V11" s="280"/>
      <c r="W11" s="278"/>
      <c r="X11" s="338">
        <f t="shared" si="6"/>
        <v>488.75140102646162</v>
      </c>
      <c r="Y11" s="308">
        <f t="shared" si="7"/>
        <v>7358.1017391304231</v>
      </c>
      <c r="Z11" s="305">
        <f t="shared" si="8"/>
        <v>6869.3503381039618</v>
      </c>
      <c r="AA11" s="364"/>
      <c r="AB11" s="321">
        <f t="shared" si="0"/>
        <v>9.0335254330871681E-2</v>
      </c>
      <c r="AC11" s="321">
        <f t="shared" si="1"/>
        <v>0.65603950916574472</v>
      </c>
      <c r="AD11" s="321">
        <f t="shared" si="2"/>
        <v>5.926349591158777E-2</v>
      </c>
      <c r="AE11" s="321">
        <f t="shared" si="3"/>
        <v>0.2211355015949131</v>
      </c>
    </row>
    <row r="12" spans="1:36" s="199" customFormat="1" ht="27" customHeight="1" thickBot="1">
      <c r="A12" s="362"/>
      <c r="B12" s="214" t="s">
        <v>324</v>
      </c>
      <c r="C12" s="215"/>
      <c r="D12" s="289">
        <f t="shared" si="4"/>
        <v>33880.578260869566</v>
      </c>
      <c r="E12" s="290">
        <f>'Юнит 26-31.01'!K$49</f>
        <v>60</v>
      </c>
      <c r="F12" s="290">
        <f>'Юнит 26-31.01'!P$49</f>
        <v>20</v>
      </c>
      <c r="G12" s="290">
        <f>'Юнит 26-31.01'!Q$49</f>
        <v>0</v>
      </c>
      <c r="H12" s="291">
        <f>'Юнит 26-31.01'!S$49</f>
        <v>89730</v>
      </c>
      <c r="I12" s="292">
        <f>'Юнит 26-31.01'!T$49</f>
        <v>0</v>
      </c>
      <c r="J12" s="292">
        <f t="shared" si="5"/>
        <v>89730</v>
      </c>
      <c r="K12" s="255">
        <f>'Юнит 26-31.01'!W$49</f>
        <v>13335</v>
      </c>
      <c r="L12" s="293">
        <f>'Юнит 26-31.01'!Z$49</f>
        <v>8653.99</v>
      </c>
      <c r="M12" s="266">
        <f>'Юнит 26-31.01'!X$49</f>
        <v>38583.9</v>
      </c>
      <c r="N12" s="266"/>
      <c r="O12" s="294"/>
      <c r="P12" s="266"/>
      <c r="Q12" s="295">
        <f>'Юнит 26-31.01'!AA$49</f>
        <v>7120.0717391304361</v>
      </c>
      <c r="R12" s="293"/>
      <c r="S12" s="293">
        <v>1491.46</v>
      </c>
      <c r="T12" s="293"/>
      <c r="U12" s="295"/>
      <c r="V12" s="295"/>
      <c r="W12" s="293"/>
      <c r="X12" s="338">
        <f t="shared" si="6"/>
        <v>378.35308867161643</v>
      </c>
      <c r="Y12" s="309">
        <f t="shared" si="7"/>
        <v>20545.578260869566</v>
      </c>
      <c r="Z12" s="306">
        <f t="shared" si="8"/>
        <v>20167.225172197948</v>
      </c>
      <c r="AA12" s="365"/>
      <c r="AB12" s="321">
        <f t="shared" si="0"/>
        <v>0.14861250417920427</v>
      </c>
      <c r="AC12" s="321">
        <f t="shared" si="1"/>
        <v>1.5123528438093699</v>
      </c>
      <c r="AD12" s="321">
        <f t="shared" si="2"/>
        <v>0.22475454332105146</v>
      </c>
      <c r="AE12" s="321">
        <f t="shared" si="3"/>
        <v>7.9349958086820868E-2</v>
      </c>
    </row>
    <row r="13" spans="1:36" s="199" customFormat="1" ht="27" customHeight="1">
      <c r="A13" s="361" t="s">
        <v>1011</v>
      </c>
      <c r="B13" s="375" t="s">
        <v>944</v>
      </c>
      <c r="C13" s="376"/>
      <c r="D13" s="216">
        <f>J13-SUM(L13:T13)+U13+V13</f>
        <v>-2468.0211111111112</v>
      </c>
      <c r="E13" s="281">
        <f>'Юнит 01.02'!K$26</f>
        <v>19</v>
      </c>
      <c r="F13" s="281">
        <f>'Юнит 01.02'!P$26</f>
        <v>8</v>
      </c>
      <c r="G13" s="281">
        <f>'Юнит 01.02'!Q$26</f>
        <v>1</v>
      </c>
      <c r="H13" s="282">
        <f>'Юнит 01.02'!S$26</f>
        <v>13169</v>
      </c>
      <c r="I13" s="283">
        <f>'Юнит 01.02'!T$26</f>
        <v>-1655</v>
      </c>
      <c r="J13" s="283">
        <f>H13+I13</f>
        <v>11514</v>
      </c>
      <c r="K13" s="284">
        <f>'Юнит 01.02'!W$26</f>
        <v>1054.6799999999998</v>
      </c>
      <c r="L13" s="285">
        <f>'Юнит 01.02'!Z$26</f>
        <v>1614.84</v>
      </c>
      <c r="M13" s="284">
        <f>'Юнит 01.02'!X$26</f>
        <v>4951.0199999999995</v>
      </c>
      <c r="N13" s="284"/>
      <c r="O13" s="286"/>
      <c r="P13" s="284"/>
      <c r="Q13" s="287">
        <f>'Юнит 01.02'!AA$26</f>
        <v>7028.3911111111111</v>
      </c>
      <c r="R13" s="285"/>
      <c r="S13" s="285">
        <v>387.77</v>
      </c>
      <c r="T13" s="285">
        <v>0</v>
      </c>
      <c r="U13" s="287"/>
      <c r="V13" s="287"/>
      <c r="W13" s="344">
        <v>902</v>
      </c>
      <c r="X13" s="288">
        <f>'Юнит 01.02'!AD26</f>
        <v>52.608637413394916</v>
      </c>
      <c r="Y13" s="308">
        <f>J13-SUM(L13:T13)-K13-V13+U13+W13</f>
        <v>-2620.701111111111</v>
      </c>
      <c r="Z13" s="304">
        <f>J13-SUM(L13:T13)-K13-X13+U13+W13-V13</f>
        <v>-2673.3097485245057</v>
      </c>
      <c r="AA13" s="363">
        <f>SUM(Z13:Z22)</f>
        <v>49852.369999999981</v>
      </c>
      <c r="AB13" s="321">
        <f t="shared" ref="AB13:AB18" si="9">K13/J13</f>
        <v>9.1599791558103161E-2</v>
      </c>
      <c r="AC13" s="321">
        <f t="shared" ref="AC13:AC14" si="10">Z13/K13</f>
        <v>-2.5347117121065215</v>
      </c>
      <c r="AD13" s="321">
        <f t="shared" ref="AD13:AD16" si="11">Z13/J13</f>
        <v>-0.23217906448884018</v>
      </c>
      <c r="AE13" s="321">
        <f t="shared" ref="AE13:AE16" si="12">Q13/J13</f>
        <v>0.61042132283403783</v>
      </c>
    </row>
    <row r="14" spans="1:36" s="199" customFormat="1" ht="27" customHeight="1">
      <c r="A14" s="361"/>
      <c r="B14" s="211" t="s">
        <v>945</v>
      </c>
      <c r="C14" s="202"/>
      <c r="D14" s="219">
        <f t="shared" ref="D14" si="13">J14-SUM(L14:T14)+U14+V14+W14</f>
        <v>42.021111111111168</v>
      </c>
      <c r="E14" s="312">
        <f>'Юнит 01.02'!K$49</f>
        <v>7</v>
      </c>
      <c r="F14" s="312">
        <f>'Юнит 01.02'!P$49</f>
        <v>1</v>
      </c>
      <c r="G14" s="312">
        <f>'Юнит 01.02'!Q$49</f>
        <v>0</v>
      </c>
      <c r="H14" s="313">
        <f>'Юнит 01.02'!S$49</f>
        <v>4940</v>
      </c>
      <c r="I14" s="314">
        <f>'Юнит 01.02'!T$49</f>
        <v>0</v>
      </c>
      <c r="J14" s="314">
        <f t="shared" ref="J14" si="14">H14+I14</f>
        <v>4940</v>
      </c>
      <c r="K14" s="315">
        <f>'Юнит 01.02'!W$49</f>
        <v>687</v>
      </c>
      <c r="L14" s="316">
        <f>'Юнит 01.02'!Z$49</f>
        <v>1483.67</v>
      </c>
      <c r="M14" s="315">
        <f>'Юнит 01.02'!X$49</f>
        <v>2124.1999999999998</v>
      </c>
      <c r="N14" s="315"/>
      <c r="O14" s="317"/>
      <c r="P14" s="315"/>
      <c r="Q14" s="318">
        <f>'Юнит 01.02'!AA$49</f>
        <v>878.54888888888888</v>
      </c>
      <c r="R14" s="316">
        <v>5</v>
      </c>
      <c r="S14" s="316">
        <v>406.56</v>
      </c>
      <c r="T14" s="316"/>
      <c r="U14" s="318"/>
      <c r="V14" s="318"/>
      <c r="W14" s="316"/>
      <c r="X14" s="319">
        <f>'Юнит 01.02'!AD49</f>
        <v>22.57136258660508</v>
      </c>
      <c r="Y14" s="307">
        <f t="shared" si="7"/>
        <v>-644.97888888888883</v>
      </c>
      <c r="Z14" s="303">
        <f t="shared" ref="Z14" si="15">J14-SUM(L14:T14)-K14-X14+U14+W14-V14</f>
        <v>-667.55025147549395</v>
      </c>
      <c r="AA14" s="364"/>
      <c r="AB14" s="321">
        <f t="shared" si="9"/>
        <v>0.13906882591093117</v>
      </c>
      <c r="AC14" s="321">
        <f t="shared" si="10"/>
        <v>-0.97168886677655597</v>
      </c>
      <c r="AD14" s="321">
        <f t="shared" si="11"/>
        <v>-0.13513162985333885</v>
      </c>
      <c r="AE14" s="321">
        <f t="shared" si="12"/>
        <v>0.17784390463337832</v>
      </c>
    </row>
    <row r="15" spans="1:36" s="199" customFormat="1" ht="27" customHeight="1">
      <c r="A15" s="361"/>
      <c r="B15" s="210" t="s">
        <v>946</v>
      </c>
      <c r="C15" s="213"/>
      <c r="D15" s="190">
        <f>J15-SUM(L15:T15)+U15+V15</f>
        <v>11894.962471910083</v>
      </c>
      <c r="E15" s="191">
        <f>'Юнит 02-08.02'!K$26</f>
        <v>131</v>
      </c>
      <c r="F15" s="191">
        <f>'Юнит 02-08.02'!P$26</f>
        <v>65</v>
      </c>
      <c r="G15" s="191">
        <f>'Юнит 02-08.02'!Q$26</f>
        <v>5</v>
      </c>
      <c r="H15" s="192">
        <f>'Юнит 02-08.02'!S$26</f>
        <v>119817.99999999999</v>
      </c>
      <c r="I15" s="193">
        <f>'Юнит 02-08.02'!T$26</f>
        <v>-9187</v>
      </c>
      <c r="J15" s="193">
        <f>H15+I15</f>
        <v>110630.99999999999</v>
      </c>
      <c r="K15" s="194">
        <f>'Юнит 02-08.02'!W$26</f>
        <v>9043.7200000000012</v>
      </c>
      <c r="L15" s="195">
        <f>'Юнит 02-08.02'!Z$26</f>
        <v>13862.810000000014</v>
      </c>
      <c r="M15" s="194">
        <f>'Юнит 02-08.02'!X$26</f>
        <v>47571.33</v>
      </c>
      <c r="N15" s="194"/>
      <c r="O15" s="196"/>
      <c r="P15" s="194"/>
      <c r="Q15" s="197">
        <f>'Юнит 02-08.02'!AA$26</f>
        <v>34221.47752808989</v>
      </c>
      <c r="R15" s="195"/>
      <c r="S15" s="195">
        <v>3080.42</v>
      </c>
      <c r="T15" s="195">
        <v>0</v>
      </c>
      <c r="U15" s="197"/>
      <c r="V15" s="197"/>
      <c r="W15" s="195"/>
      <c r="X15" s="260">
        <f>'Юнит 02-08.02'!AD26</f>
        <v>495.41892476678106</v>
      </c>
      <c r="Y15" s="310">
        <f>J15-SUM(L15:T15)-K15-V15+U15+W15</f>
        <v>2851.2424719100818</v>
      </c>
      <c r="Z15" s="311">
        <f>J15-SUM(L15:T15)-K15-X15+U15+W15-V15</f>
        <v>2355.8235471433009</v>
      </c>
      <c r="AA15" s="364"/>
      <c r="AB15" s="321">
        <f t="shared" si="9"/>
        <v>8.1746707523207798E-2</v>
      </c>
      <c r="AC15" s="321">
        <f>Z15/K15</f>
        <v>0.26049275598352234</v>
      </c>
      <c r="AD15" s="321">
        <f>Z15/J15</f>
        <v>2.129442513529934E-2</v>
      </c>
      <c r="AE15" s="321">
        <f t="shared" si="12"/>
        <v>0.30932991230387408</v>
      </c>
    </row>
    <row r="16" spans="1:36" s="199" customFormat="1" ht="27" customHeight="1">
      <c r="A16" s="361"/>
      <c r="B16" s="201" t="s">
        <v>947</v>
      </c>
      <c r="C16" s="202"/>
      <c r="D16" s="219">
        <f t="shared" ref="D16:D18" si="16">J16-SUM(L16:T16)+U16+V16+W16</f>
        <v>36220.937528089882</v>
      </c>
      <c r="E16" s="203">
        <f>'Юнит 02-08.02'!K$49</f>
        <v>68</v>
      </c>
      <c r="F16" s="203">
        <f>'Юнит 02-08.02'!P$49</f>
        <v>24</v>
      </c>
      <c r="G16" s="203">
        <f>'Юнит 02-08.02'!Q$49</f>
        <v>1</v>
      </c>
      <c r="H16" s="204">
        <f>'Юнит 02-08.02'!S$49</f>
        <v>114048</v>
      </c>
      <c r="I16" s="205">
        <f>'Юнит 02-08.02'!T$49</f>
        <v>-4178</v>
      </c>
      <c r="J16" s="205">
        <f t="shared" ref="J16" si="17">H16+I16</f>
        <v>109870</v>
      </c>
      <c r="K16" s="206">
        <f>'Юнит 02-08.02'!W$49</f>
        <v>14496</v>
      </c>
      <c r="L16" s="207">
        <f>'Юнит 02-08.02'!Z$49</f>
        <v>11481.360000000002</v>
      </c>
      <c r="M16" s="206">
        <f>'Юнит 02-08.02'!X$49</f>
        <v>47244.100000000006</v>
      </c>
      <c r="N16" s="206"/>
      <c r="O16" s="208"/>
      <c r="P16" s="206"/>
      <c r="Q16" s="209">
        <f>'Юнит 02-08.02'!AA$49</f>
        <v>12635.622471910112</v>
      </c>
      <c r="R16" s="207">
        <v>20</v>
      </c>
      <c r="S16" s="207">
        <v>2267.98</v>
      </c>
      <c r="T16" s="207">
        <v>0</v>
      </c>
      <c r="U16" s="209"/>
      <c r="V16" s="209"/>
      <c r="W16" s="207"/>
      <c r="X16" s="261">
        <f>'Юнит 02-08.02'!AD49</f>
        <v>492.01107523321889</v>
      </c>
      <c r="Y16" s="307">
        <f t="shared" ref="Y16" si="18">J16-SUM(L16:T16)-K16-V16+U16+W16</f>
        <v>21724.937528089882</v>
      </c>
      <c r="Z16" s="301">
        <f t="shared" ref="Z16" si="19">J16-SUM(L16:T16)-K16-X16+U16+W16-V16</f>
        <v>21232.926452856664</v>
      </c>
      <c r="AA16" s="364"/>
      <c r="AB16" s="321">
        <f t="shared" si="9"/>
        <v>0.13193774460726312</v>
      </c>
      <c r="AC16" s="321">
        <f>Z16/K16</f>
        <v>1.4647438226308405</v>
      </c>
      <c r="AD16" s="321">
        <f t="shared" si="11"/>
        <v>0.19325499638533417</v>
      </c>
      <c r="AE16" s="321">
        <f t="shared" si="12"/>
        <v>0.11500521044789398</v>
      </c>
    </row>
    <row r="17" spans="1:31" s="199" customFormat="1" ht="27" customHeight="1">
      <c r="A17" s="361"/>
      <c r="B17" s="217" t="s">
        <v>948</v>
      </c>
      <c r="C17" s="218"/>
      <c r="D17" s="190">
        <f>J17-SUM(L17:T17)+U17+V17</f>
        <v>16731.717560975623</v>
      </c>
      <c r="E17" s="191">
        <f>'Юнит 09-15.02'!K$26</f>
        <v>121</v>
      </c>
      <c r="F17" s="191">
        <f>'Юнит 09-15.02'!P$26</f>
        <v>60</v>
      </c>
      <c r="G17" s="191">
        <f>'Юнит 09-15.02'!Q$26</f>
        <v>2</v>
      </c>
      <c r="H17" s="192">
        <f>'Юнит 09-15.02'!S$26</f>
        <v>125456.00000000003</v>
      </c>
      <c r="I17" s="193">
        <f>'Юнит 09-15.02'!T$26</f>
        <v>-4877</v>
      </c>
      <c r="J17" s="193">
        <f>H17+I17</f>
        <v>120579.00000000003</v>
      </c>
      <c r="K17" s="194">
        <f>'Юнит 09-15.02'!W$26</f>
        <v>7423.19</v>
      </c>
      <c r="L17" s="195">
        <f>'Юнит 09-15.02'!Z$26</f>
        <v>13659.900000000018</v>
      </c>
      <c r="M17" s="194">
        <f>'Юнит 09-15.02'!X$26</f>
        <v>51848.97</v>
      </c>
      <c r="N17" s="194"/>
      <c r="O17" s="196"/>
      <c r="P17" s="194"/>
      <c r="Q17" s="197">
        <f>'Юнит 09-15.02'!AA$26</f>
        <v>32650.368292682924</v>
      </c>
      <c r="R17" s="195"/>
      <c r="S17" s="195">
        <v>3309.41</v>
      </c>
      <c r="T17" s="195">
        <f>3250.8*F17/(F17+F18)</f>
        <v>2378.6341463414633</v>
      </c>
      <c r="U17" s="197"/>
      <c r="V17" s="197"/>
      <c r="W17" s="195"/>
      <c r="X17" s="260">
        <f>'Юнит 09-15.02'!AD26</f>
        <v>529.24793636514926</v>
      </c>
      <c r="Y17" s="310">
        <f>J17-SUM(L17:T17)-K17-V17+U17+W17</f>
        <v>9308.5275609756245</v>
      </c>
      <c r="Z17" s="311">
        <f>J17-SUM(L17:T17)-K17-X17+U17+W17-V17</f>
        <v>8779.2796246104754</v>
      </c>
      <c r="AA17" s="364"/>
      <c r="AB17" s="321">
        <f t="shared" si="9"/>
        <v>6.1562875790975191E-2</v>
      </c>
      <c r="AC17" s="321">
        <f>Z17/K17</f>
        <v>1.182682866073814</v>
      </c>
      <c r="AD17" s="321">
        <f>Z17/J17</f>
        <v>7.280935838421676E-2</v>
      </c>
      <c r="AE17" s="321">
        <f t="shared" ref="AE17:AE18" si="20">Q17/J17</f>
        <v>0.27077988947232035</v>
      </c>
    </row>
    <row r="18" spans="1:31" s="199" customFormat="1" ht="27" customHeight="1">
      <c r="A18" s="361"/>
      <c r="B18" s="211" t="s">
        <v>949</v>
      </c>
      <c r="C18" s="202"/>
      <c r="D18" s="219">
        <f t="shared" si="16"/>
        <v>34546.81243902439</v>
      </c>
      <c r="E18" s="203">
        <f>'Юнит 09-15.02'!K$49</f>
        <v>54</v>
      </c>
      <c r="F18" s="203">
        <f>'Юнит 09-15.02'!P$49</f>
        <v>22</v>
      </c>
      <c r="G18" s="203">
        <f>'Юнит 09-15.02'!Q$49</f>
        <v>2</v>
      </c>
      <c r="H18" s="204">
        <f>'Юнит 09-15.02'!S$49</f>
        <v>110799</v>
      </c>
      <c r="I18" s="205">
        <f>'Юнит 09-15.02'!T$49</f>
        <v>-9047</v>
      </c>
      <c r="J18" s="205">
        <f t="shared" ref="J18" si="21">H18+I18</f>
        <v>101752</v>
      </c>
      <c r="K18" s="206">
        <f>'Юнит 09-15.02'!W$49</f>
        <v>13275</v>
      </c>
      <c r="L18" s="207">
        <f>'Юнит 09-15.02'!Z$49</f>
        <v>8720.9900000000016</v>
      </c>
      <c r="M18" s="206">
        <f>'Юнит 09-15.02'!X$49</f>
        <v>43753.36</v>
      </c>
      <c r="N18" s="206"/>
      <c r="O18" s="208"/>
      <c r="P18" s="206"/>
      <c r="Q18" s="209">
        <f>'Юнит 09-15.02'!AA$49</f>
        <v>11971.801707317072</v>
      </c>
      <c r="R18" s="207">
        <v>25</v>
      </c>
      <c r="S18" s="207">
        <v>1861.87</v>
      </c>
      <c r="T18" s="207">
        <f>3250.8*F18/(F17+F18)</f>
        <v>872.16585365853666</v>
      </c>
      <c r="U18" s="209"/>
      <c r="V18" s="209"/>
      <c r="W18" s="207"/>
      <c r="X18" s="261">
        <f>'Юнит 09-15.02'!AD49</f>
        <v>446.61206363485064</v>
      </c>
      <c r="Y18" s="307">
        <f t="shared" ref="Y18" si="22">J18-SUM(L18:T18)-K18-V18+U18+W18</f>
        <v>21271.81243902439</v>
      </c>
      <c r="Z18" s="301">
        <f t="shared" ref="Z18" si="23">J18-SUM(L18:T18)-K18-X18+U18+W18-V18</f>
        <v>20825.200375389541</v>
      </c>
      <c r="AA18" s="364"/>
      <c r="AB18" s="321">
        <f t="shared" si="9"/>
        <v>0.13046426605865241</v>
      </c>
      <c r="AC18" s="321">
        <f t="shared" ref="AC18" si="24">Z18/K18</f>
        <v>1.5687533239464815</v>
      </c>
      <c r="AD18" s="321">
        <f t="shared" ref="AD18" si="25">Z18/J18</f>
        <v>0.20466625103574909</v>
      </c>
      <c r="AE18" s="321">
        <f t="shared" si="20"/>
        <v>0.11765667217663606</v>
      </c>
    </row>
    <row r="19" spans="1:31" s="199" customFormat="1" ht="27" customHeight="1">
      <c r="A19" s="361"/>
      <c r="B19" s="210" t="s">
        <v>950</v>
      </c>
      <c r="C19" s="213"/>
      <c r="D19" s="190"/>
      <c r="E19" s="191"/>
      <c r="F19" s="191"/>
      <c r="G19" s="191"/>
      <c r="H19" s="192"/>
      <c r="I19" s="193"/>
      <c r="J19" s="193"/>
      <c r="K19" s="194"/>
      <c r="L19" s="195"/>
      <c r="M19" s="194"/>
      <c r="N19" s="194"/>
      <c r="O19" s="196"/>
      <c r="P19" s="194"/>
      <c r="Q19" s="197"/>
      <c r="R19" s="195"/>
      <c r="S19" s="195"/>
      <c r="T19" s="195"/>
      <c r="U19" s="197"/>
      <c r="V19" s="197"/>
      <c r="W19" s="195"/>
      <c r="X19" s="260" t="e">
        <f ca="1">'Юнит 16-22.02'!AD26</f>
        <v>#DIV/0!</v>
      </c>
      <c r="Y19" s="308"/>
      <c r="Z19" s="302"/>
      <c r="AA19" s="364"/>
      <c r="AB19" s="198"/>
      <c r="AC19" s="198"/>
      <c r="AD19" s="198"/>
      <c r="AE19" s="198"/>
    </row>
    <row r="20" spans="1:31" s="199" customFormat="1" ht="27" customHeight="1">
      <c r="A20" s="361"/>
      <c r="B20" s="201" t="s">
        <v>951</v>
      </c>
      <c r="C20" s="212"/>
      <c r="D20" s="219"/>
      <c r="E20" s="203"/>
      <c r="F20" s="203"/>
      <c r="G20" s="203"/>
      <c r="H20" s="204"/>
      <c r="I20" s="205"/>
      <c r="J20" s="205"/>
      <c r="K20" s="206"/>
      <c r="L20" s="207"/>
      <c r="M20" s="206"/>
      <c r="N20" s="206"/>
      <c r="O20" s="208"/>
      <c r="P20" s="206"/>
      <c r="Q20" s="209"/>
      <c r="R20" s="207"/>
      <c r="S20" s="207"/>
      <c r="T20" s="207"/>
      <c r="U20" s="209"/>
      <c r="V20" s="209"/>
      <c r="W20" s="207"/>
      <c r="X20" s="261" t="e">
        <f ca="1">'Юнит 16-22.02'!AD49</f>
        <v>#DIV/0!</v>
      </c>
      <c r="Y20" s="307"/>
      <c r="Z20" s="303"/>
      <c r="AA20" s="364"/>
      <c r="AB20" s="198"/>
      <c r="AC20" s="321">
        <f>(Z11+Z13)/(K11+K13)</f>
        <v>0.36406202786309594</v>
      </c>
      <c r="AD20" s="321">
        <f>(Z11+Z13)/(J11+J13)</f>
        <v>3.2929234140438024E-2</v>
      </c>
      <c r="AE20" s="198"/>
    </row>
    <row r="21" spans="1:31" s="199" customFormat="1" ht="27" customHeight="1">
      <c r="A21" s="361"/>
      <c r="B21" s="217" t="s">
        <v>952</v>
      </c>
      <c r="C21" s="218"/>
      <c r="D21" s="262"/>
      <c r="E21" s="263"/>
      <c r="F21" s="263"/>
      <c r="G21" s="263"/>
      <c r="H21" s="264"/>
      <c r="I21" s="265"/>
      <c r="J21" s="265"/>
      <c r="K21" s="194"/>
      <c r="L21" s="267"/>
      <c r="M21" s="268"/>
      <c r="N21" s="268"/>
      <c r="O21" s="269"/>
      <c r="P21" s="268"/>
      <c r="Q21" s="270"/>
      <c r="R21" s="267"/>
      <c r="S21" s="267"/>
      <c r="T21" s="267"/>
      <c r="U21" s="270"/>
      <c r="V21" s="270"/>
      <c r="W21" s="267"/>
      <c r="X21" s="271" t="e">
        <f ca="1">'Юнит 23-28.02'!AD26</f>
        <v>#DIV/0!</v>
      </c>
      <c r="Y21" s="308"/>
      <c r="Z21" s="305"/>
      <c r="AA21" s="364"/>
      <c r="AB21" s="198"/>
      <c r="AC21" s="198"/>
      <c r="AD21" s="198"/>
      <c r="AE21" s="198"/>
    </row>
    <row r="22" spans="1:31" s="199" customFormat="1" ht="27" customHeight="1" thickBot="1">
      <c r="A22" s="362"/>
      <c r="B22" s="214" t="s">
        <v>953</v>
      </c>
      <c r="C22" s="215"/>
      <c r="D22" s="262"/>
      <c r="E22" s="263"/>
      <c r="F22" s="263"/>
      <c r="G22" s="263"/>
      <c r="H22" s="264"/>
      <c r="I22" s="265"/>
      <c r="J22" s="265"/>
      <c r="K22" s="266"/>
      <c r="L22" s="267"/>
      <c r="M22" s="268"/>
      <c r="N22" s="268"/>
      <c r="O22" s="269"/>
      <c r="P22" s="268"/>
      <c r="Q22" s="270"/>
      <c r="R22" s="267"/>
      <c r="S22" s="267"/>
      <c r="T22" s="267"/>
      <c r="U22" s="270"/>
      <c r="V22" s="270"/>
      <c r="W22" s="267"/>
      <c r="X22" s="271" t="e">
        <f ca="1">'Юнит 23-28.02'!AD49</f>
        <v>#DIV/0!</v>
      </c>
      <c r="Y22" s="309"/>
      <c r="Z22" s="306"/>
      <c r="AA22" s="365"/>
      <c r="AB22" s="198"/>
      <c r="AC22" s="198"/>
      <c r="AD22" s="198"/>
      <c r="AE22" s="198"/>
    </row>
    <row r="23" spans="1:31" s="225" customFormat="1" ht="22" customHeight="1" thickBot="1">
      <c r="A23" s="220" t="s">
        <v>299</v>
      </c>
      <c r="B23" s="221"/>
      <c r="C23" s="222"/>
      <c r="D23" s="223">
        <f t="shared" ref="D23:AA23" si="26">SUM(D3:D22)</f>
        <v>246461.88</v>
      </c>
      <c r="E23" s="223">
        <f t="shared" si="26"/>
        <v>998</v>
      </c>
      <c r="F23" s="223">
        <f t="shared" si="26"/>
        <v>504</v>
      </c>
      <c r="G23" s="223">
        <f t="shared" si="26"/>
        <v>23</v>
      </c>
      <c r="H23" s="223">
        <f t="shared" si="26"/>
        <v>1148981</v>
      </c>
      <c r="I23" s="223">
        <f t="shared" si="26"/>
        <v>-59764</v>
      </c>
      <c r="J23" s="223">
        <f t="shared" si="26"/>
        <v>1089217</v>
      </c>
      <c r="K23" s="223">
        <f t="shared" si="26"/>
        <v>114131.87999999999</v>
      </c>
      <c r="L23" s="223">
        <f t="shared" si="26"/>
        <v>118028.91000000008</v>
      </c>
      <c r="M23" s="223">
        <f t="shared" si="26"/>
        <v>468363.31000000006</v>
      </c>
      <c r="N23" s="223">
        <f t="shared" si="26"/>
        <v>0</v>
      </c>
      <c r="O23" s="223">
        <f t="shared" si="26"/>
        <v>0</v>
      </c>
      <c r="P23" s="223">
        <f t="shared" si="26"/>
        <v>0</v>
      </c>
      <c r="Q23" s="223">
        <f t="shared" si="26"/>
        <v>233268.36</v>
      </c>
      <c r="R23" s="223">
        <f t="shared" si="26"/>
        <v>95</v>
      </c>
      <c r="S23" s="223">
        <f t="shared" si="26"/>
        <v>23379.039999999997</v>
      </c>
      <c r="T23" s="223">
        <f t="shared" si="26"/>
        <v>15460.5</v>
      </c>
      <c r="U23" s="223">
        <f t="shared" si="26"/>
        <v>0</v>
      </c>
      <c r="V23" s="223">
        <f t="shared" si="26"/>
        <v>14000</v>
      </c>
      <c r="W23" s="223">
        <f t="shared" si="26"/>
        <v>5287</v>
      </c>
      <c r="X23" s="223" t="e">
        <f t="shared" ca="1" si="26"/>
        <v>#DIV/0!</v>
      </c>
      <c r="Y23" s="223">
        <f t="shared" si="26"/>
        <v>107777.00000000001</v>
      </c>
      <c r="Z23" s="259">
        <f t="shared" si="26"/>
        <v>103082.38</v>
      </c>
      <c r="AA23" s="256">
        <f t="shared" si="26"/>
        <v>103082.38000000002</v>
      </c>
      <c r="AB23" s="224">
        <f>K23/J23</f>
        <v>0.10478341781297941</v>
      </c>
      <c r="AC23" s="224">
        <f>Z23/K23</f>
        <v>0.90318655926810298</v>
      </c>
      <c r="AD23" s="224">
        <f>Z23/J23</f>
        <v>9.4638974602856918E-2</v>
      </c>
      <c r="AE23" s="224">
        <f t="shared" si="3"/>
        <v>0.21416151235245134</v>
      </c>
    </row>
    <row r="24" spans="1:31">
      <c r="H24" s="229" t="s">
        <v>313</v>
      </c>
      <c r="J24" s="230"/>
      <c r="M24" s="230"/>
      <c r="R24" s="230"/>
      <c r="S24" s="230"/>
      <c r="T24" s="230"/>
      <c r="X24" s="230"/>
    </row>
    <row r="25" spans="1:31" s="227" customFormat="1">
      <c r="A25" s="231"/>
      <c r="B25" s="231"/>
      <c r="D25" s="232"/>
      <c r="E25" s="232"/>
      <c r="F25" s="232"/>
      <c r="G25" s="232"/>
      <c r="I25" s="233">
        <f>-I23/H23</f>
        <v>5.2014785274952326E-2</v>
      </c>
      <c r="J25" s="234">
        <v>0</v>
      </c>
      <c r="K25" s="258">
        <f>K23/$J$23</f>
        <v>0.10478341781297941</v>
      </c>
      <c r="L25" s="258">
        <f>L23/$J$23</f>
        <v>0.10836124482082089</v>
      </c>
      <c r="M25" s="258">
        <f>M23/$J$23</f>
        <v>0.43000000000000005</v>
      </c>
      <c r="N25" s="258"/>
      <c r="O25" s="258"/>
      <c r="P25" s="258"/>
      <c r="Q25" s="258">
        <f>Q23/$J$23</f>
        <v>0.21416151235245134</v>
      </c>
      <c r="R25" s="258">
        <f t="shared" ref="R25:V25" si="27">R23/$J$23</f>
        <v>8.7218616676015893E-5</v>
      </c>
      <c r="S25" s="258">
        <f t="shared" si="27"/>
        <v>2.1464079242244655E-2</v>
      </c>
      <c r="T25" s="258">
        <f t="shared" si="27"/>
        <v>1.4194141295995196E-2</v>
      </c>
      <c r="U25" s="258">
        <f t="shared" si="27"/>
        <v>0</v>
      </c>
      <c r="V25" s="258">
        <f t="shared" si="27"/>
        <v>1.2853269825939184E-2</v>
      </c>
      <c r="W25" s="225"/>
      <c r="X25" s="233" t="e">
        <f ca="1">X23/$J$23</f>
        <v>#DIV/0!</v>
      </c>
      <c r="Y25" s="233"/>
      <c r="Z25" s="233">
        <f>Z23/K23</f>
        <v>0.90318655926810298</v>
      </c>
      <c r="AA25" s="181" t="s">
        <v>35</v>
      </c>
      <c r="AB25" s="225"/>
      <c r="AC25" s="235"/>
      <c r="AD25" s="235"/>
      <c r="AE25" s="235"/>
    </row>
    <row r="27" spans="1:31">
      <c r="A27" s="226" t="s">
        <v>941</v>
      </c>
      <c r="D27" s="257">
        <f>D3+D5+D7+D9+D11</f>
        <v>80759.524982104544</v>
      </c>
      <c r="E27" s="257">
        <f t="shared" ref="E27:X27" si="28">E3+E5+E7+E9+E11</f>
        <v>433</v>
      </c>
      <c r="F27" s="257">
        <f t="shared" si="28"/>
        <v>278</v>
      </c>
      <c r="G27" s="257">
        <f t="shared" si="28"/>
        <v>8</v>
      </c>
      <c r="H27" s="257">
        <f t="shared" si="28"/>
        <v>454817</v>
      </c>
      <c r="I27" s="257">
        <f t="shared" si="28"/>
        <v>-12888</v>
      </c>
      <c r="J27" s="257">
        <f>J3+J5+J7+J9+J11</f>
        <v>441929</v>
      </c>
      <c r="K27" s="257">
        <f>K3+K5+K7+K9+K11</f>
        <v>39988.289999999994</v>
      </c>
      <c r="L27" s="257">
        <f t="shared" si="28"/>
        <v>49537.99000000002</v>
      </c>
      <c r="M27" s="257">
        <f t="shared" si="28"/>
        <v>190029.47</v>
      </c>
      <c r="N27" s="257">
        <f t="shared" ref="N27:Q27" si="29">N3+N5+N7+N9+N11</f>
        <v>0</v>
      </c>
      <c r="O27" s="257">
        <f t="shared" si="29"/>
        <v>0</v>
      </c>
      <c r="P27" s="257">
        <f t="shared" si="29"/>
        <v>0</v>
      </c>
      <c r="Q27" s="257">
        <f t="shared" si="29"/>
        <v>114613.74501789549</v>
      </c>
      <c r="R27" s="257">
        <f t="shared" si="28"/>
        <v>45</v>
      </c>
      <c r="S27" s="257">
        <f t="shared" si="28"/>
        <v>10573.57</v>
      </c>
      <c r="T27" s="257">
        <f t="shared" si="28"/>
        <v>12209.7</v>
      </c>
      <c r="U27" s="257">
        <f t="shared" si="28"/>
        <v>0</v>
      </c>
      <c r="V27" s="257">
        <f t="shared" si="28"/>
        <v>14000</v>
      </c>
      <c r="W27" s="257">
        <f t="shared" si="28"/>
        <v>4385</v>
      </c>
      <c r="X27" s="257">
        <f t="shared" si="28"/>
        <v>1863.4258567208158</v>
      </c>
      <c r="Y27" s="257">
        <f>Y3+Y5+Y7+Y9+Y11</f>
        <v>15316.234982104548</v>
      </c>
      <c r="Z27" s="257">
        <f>Z3+Z5+Z7+Z9+Z11</f>
        <v>13452.809125383734</v>
      </c>
      <c r="AA27" s="258">
        <f>Z23/J23</f>
        <v>9.4638974602856918E-2</v>
      </c>
    </row>
    <row r="28" spans="1:31">
      <c r="A28" s="226" t="s">
        <v>942</v>
      </c>
      <c r="D28" s="257">
        <f>D4+D6+D8+D10+D12</f>
        <v>68733.925017895497</v>
      </c>
      <c r="E28" s="257">
        <f>E4+E6+E8+E10+E12</f>
        <v>165</v>
      </c>
      <c r="F28" s="257">
        <f>F4+F6+F8+F10+F12</f>
        <v>46</v>
      </c>
      <c r="G28" s="257">
        <f>G4+G6+G8+G10+G12</f>
        <v>4</v>
      </c>
      <c r="H28" s="257">
        <f>H4+H6+H8+H10+H12</f>
        <v>205934</v>
      </c>
      <c r="I28" s="257">
        <f>I4+I6+I8+I10+I12</f>
        <v>-17932</v>
      </c>
      <c r="J28" s="257">
        <f>J4+J6+J8+J10+J12</f>
        <v>188002</v>
      </c>
      <c r="K28" s="257">
        <f>K4+K6+K8+K10+K12</f>
        <v>28164</v>
      </c>
      <c r="L28" s="257">
        <f t="shared" ref="L28:X28" si="30">L4+L6+L8+L10+L12</f>
        <v>17667.349999999999</v>
      </c>
      <c r="M28" s="257">
        <f t="shared" si="30"/>
        <v>80840.86</v>
      </c>
      <c r="N28" s="257">
        <f t="shared" si="30"/>
        <v>0</v>
      </c>
      <c r="O28" s="257">
        <f t="shared" si="30"/>
        <v>0</v>
      </c>
      <c r="P28" s="257">
        <f t="shared" si="30"/>
        <v>0</v>
      </c>
      <c r="Q28" s="257">
        <f t="shared" si="30"/>
        <v>19268.404982104512</v>
      </c>
      <c r="R28" s="257">
        <f t="shared" si="30"/>
        <v>0</v>
      </c>
      <c r="S28" s="257">
        <f t="shared" si="30"/>
        <v>1491.46</v>
      </c>
      <c r="T28" s="257">
        <f t="shared" si="30"/>
        <v>0</v>
      </c>
      <c r="U28" s="257">
        <f t="shared" si="30"/>
        <v>0</v>
      </c>
      <c r="V28" s="257">
        <f t="shared" si="30"/>
        <v>0</v>
      </c>
      <c r="W28" s="257">
        <f t="shared" si="30"/>
        <v>0</v>
      </c>
      <c r="X28" s="257">
        <f t="shared" si="30"/>
        <v>792.72414327918455</v>
      </c>
      <c r="Y28" s="257">
        <f>Y4+Y6+Y8+Y10+Y12</f>
        <v>40569.925017895483</v>
      </c>
      <c r="Z28" s="257">
        <f>Z4+Z6+Z8+Z10+Z12</f>
        <v>39777.200874616297</v>
      </c>
    </row>
    <row r="29" spans="1:31">
      <c r="A29" s="298" t="s">
        <v>998</v>
      </c>
      <c r="B29" s="298"/>
      <c r="C29" s="299"/>
      <c r="D29" s="300">
        <f t="shared" ref="D29:Z29" si="31">D27+D28</f>
        <v>149493.45000000004</v>
      </c>
      <c r="E29" s="300">
        <f t="shared" si="31"/>
        <v>598</v>
      </c>
      <c r="F29" s="300">
        <f t="shared" si="31"/>
        <v>324</v>
      </c>
      <c r="G29" s="300">
        <f t="shared" si="31"/>
        <v>12</v>
      </c>
      <c r="H29" s="300">
        <f t="shared" si="31"/>
        <v>660751</v>
      </c>
      <c r="I29" s="300">
        <f t="shared" si="31"/>
        <v>-30820</v>
      </c>
      <c r="J29" s="300">
        <f t="shared" si="31"/>
        <v>629931</v>
      </c>
      <c r="K29" s="300">
        <f t="shared" si="31"/>
        <v>68152.289999999994</v>
      </c>
      <c r="L29" s="300">
        <f t="shared" si="31"/>
        <v>67205.340000000026</v>
      </c>
      <c r="M29" s="300">
        <f t="shared" si="31"/>
        <v>270870.33</v>
      </c>
      <c r="N29" s="300">
        <f t="shared" si="31"/>
        <v>0</v>
      </c>
      <c r="O29" s="300">
        <f t="shared" si="31"/>
        <v>0</v>
      </c>
      <c r="P29" s="300">
        <f t="shared" si="31"/>
        <v>0</v>
      </c>
      <c r="Q29" s="300">
        <f t="shared" si="31"/>
        <v>133882.15</v>
      </c>
      <c r="R29" s="300">
        <f t="shared" si="31"/>
        <v>45</v>
      </c>
      <c r="S29" s="300">
        <f t="shared" si="31"/>
        <v>12065.029999999999</v>
      </c>
      <c r="T29" s="300">
        <f t="shared" si="31"/>
        <v>12209.7</v>
      </c>
      <c r="U29" s="300">
        <f t="shared" si="31"/>
        <v>0</v>
      </c>
      <c r="V29" s="300">
        <f t="shared" si="31"/>
        <v>14000</v>
      </c>
      <c r="W29" s="300">
        <f t="shared" si="31"/>
        <v>4385</v>
      </c>
      <c r="X29" s="300">
        <f t="shared" si="31"/>
        <v>2656.1500000000005</v>
      </c>
      <c r="Y29" s="300">
        <f t="shared" si="31"/>
        <v>55886.160000000033</v>
      </c>
      <c r="Z29" s="300">
        <f t="shared" si="31"/>
        <v>53230.010000000031</v>
      </c>
    </row>
    <row r="31" spans="1:31">
      <c r="A31" s="226" t="s">
        <v>1260</v>
      </c>
      <c r="I31" s="258"/>
      <c r="J31" s="258"/>
      <c r="K31" s="258">
        <f t="shared" ref="K31:Q31" si="32">(K11+K13)/($J$11+$J$13)</f>
        <v>9.044951579740397E-2</v>
      </c>
      <c r="L31" s="258">
        <f t="shared" si="32"/>
        <v>0.11623569758134142</v>
      </c>
      <c r="M31" s="258">
        <f t="shared" si="32"/>
        <v>0.43</v>
      </c>
      <c r="N31" s="258">
        <f t="shared" si="32"/>
        <v>0</v>
      </c>
      <c r="O31" s="258">
        <f t="shared" si="32"/>
        <v>0</v>
      </c>
      <c r="P31" s="258">
        <f t="shared" si="32"/>
        <v>0</v>
      </c>
      <c r="Q31" s="258">
        <f t="shared" si="32"/>
        <v>0.25631071658829968</v>
      </c>
      <c r="R31" s="258">
        <f>(R11+S11+T11+R13+S13+T13)/($J$11+$J$13)</f>
        <v>7.690502723149123E-2</v>
      </c>
      <c r="S31" s="258"/>
      <c r="T31" s="258"/>
      <c r="U31" s="258">
        <f t="shared" ref="U31:Z31" si="33">(U11+U13)/($J$11+$J$13)</f>
        <v>0</v>
      </c>
      <c r="V31" s="258">
        <f t="shared" si="33"/>
        <v>0</v>
      </c>
      <c r="W31" s="258">
        <f t="shared" si="33"/>
        <v>7.0786181783937347E-3</v>
      </c>
      <c r="X31" s="258">
        <f t="shared" si="33"/>
        <v>4.2484268394194008E-3</v>
      </c>
      <c r="Y31" s="258">
        <f t="shared" si="33"/>
        <v>3.7177660979857419E-2</v>
      </c>
      <c r="Z31" s="258">
        <f t="shared" si="33"/>
        <v>3.2929234140438024E-2</v>
      </c>
    </row>
    <row r="32" spans="1:31" s="227" customFormat="1">
      <c r="A32" s="322" t="s">
        <v>1259</v>
      </c>
      <c r="B32" s="231"/>
      <c r="D32" s="232"/>
      <c r="E32" s="232"/>
      <c r="F32" s="232"/>
      <c r="G32" s="232"/>
      <c r="I32" s="258"/>
      <c r="J32" s="258"/>
      <c r="K32" s="258">
        <f>K15/$J$15</f>
        <v>8.1746707523207798E-2</v>
      </c>
      <c r="L32" s="258">
        <f>L15/$J$15</f>
        <v>0.1253067404253782</v>
      </c>
      <c r="M32" s="258">
        <f>M15/$J$15</f>
        <v>0.43000000000000005</v>
      </c>
      <c r="N32" s="258"/>
      <c r="O32" s="258"/>
      <c r="P32" s="258"/>
      <c r="Q32" s="258">
        <f>Q15/$J$15</f>
        <v>0.30932991230387408</v>
      </c>
      <c r="R32" s="258">
        <f>(R15+S15+T15)/$J$15</f>
        <v>2.7844094331606877E-2</v>
      </c>
      <c r="S32" s="258"/>
      <c r="T32" s="258"/>
      <c r="U32" s="258">
        <f>U15/$J$15</f>
        <v>0</v>
      </c>
      <c r="V32" s="258">
        <f>V15/$J$15</f>
        <v>0</v>
      </c>
      <c r="W32" s="258"/>
      <c r="X32" s="258">
        <f>X15/$J$15</f>
        <v>4.4781202806336478E-3</v>
      </c>
      <c r="Y32" s="258"/>
      <c r="Z32" s="258">
        <f>Z15/K15</f>
        <v>0.26049275598352234</v>
      </c>
      <c r="AA32" s="181"/>
      <c r="AB32" s="225"/>
      <c r="AC32" s="235"/>
      <c r="AD32" s="235"/>
      <c r="AE32" s="235"/>
    </row>
    <row r="33" spans="1:26">
      <c r="A33" s="322" t="s">
        <v>1263</v>
      </c>
      <c r="K33" s="258">
        <f>K17/$J$17</f>
        <v>6.1562875790975191E-2</v>
      </c>
      <c r="L33" s="258">
        <f>L17/$J$17</f>
        <v>0.1132858955539523</v>
      </c>
      <c r="M33" s="258">
        <f>M17/$J$17</f>
        <v>0.42999999999999988</v>
      </c>
      <c r="N33" s="258"/>
      <c r="O33" s="258"/>
      <c r="P33" s="258"/>
      <c r="Q33" s="258">
        <f>Q17/$J$17</f>
        <v>0.27077988947232035</v>
      </c>
      <c r="R33" s="258">
        <f>(R17+S17+T17)/$J$17</f>
        <v>4.7172759322448035E-2</v>
      </c>
      <c r="S33" s="258"/>
      <c r="T33" s="258"/>
      <c r="U33" s="258">
        <f>U17/$J$17</f>
        <v>0</v>
      </c>
      <c r="V33" s="258">
        <f>V17/$J$17</f>
        <v>0</v>
      </c>
      <c r="W33" s="258"/>
      <c r="X33" s="258">
        <f>X17/$J$17</f>
        <v>4.3892214760874538E-3</v>
      </c>
      <c r="Y33" s="258"/>
      <c r="Z33" s="258">
        <f>Z17/K17</f>
        <v>1.182682866073814</v>
      </c>
    </row>
    <row r="34" spans="1:26"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</row>
  </sheetData>
  <mergeCells count="30">
    <mergeCell ref="A13:A22"/>
    <mergeCell ref="AA13:AA22"/>
    <mergeCell ref="P1:P2"/>
    <mergeCell ref="K1:K2"/>
    <mergeCell ref="L1:L2"/>
    <mergeCell ref="M1:M2"/>
    <mergeCell ref="N1:N2"/>
    <mergeCell ref="O1:O2"/>
    <mergeCell ref="A1:C1"/>
    <mergeCell ref="D1:D2"/>
    <mergeCell ref="E1:G1"/>
    <mergeCell ref="H1:J1"/>
    <mergeCell ref="V1:V2"/>
    <mergeCell ref="A3:A12"/>
    <mergeCell ref="AA3:AA12"/>
    <mergeCell ref="B13:C13"/>
    <mergeCell ref="Q1:Q2"/>
    <mergeCell ref="AE1:AE2"/>
    <mergeCell ref="R1:R2"/>
    <mergeCell ref="S1:S2"/>
    <mergeCell ref="T1:T2"/>
    <mergeCell ref="U1:U2"/>
    <mergeCell ref="W1:W2"/>
    <mergeCell ref="X1:X2"/>
    <mergeCell ref="Z1:Z2"/>
    <mergeCell ref="AA1:AA2"/>
    <mergeCell ref="AB1:AB2"/>
    <mergeCell ref="AC1:AC2"/>
    <mergeCell ref="AD1:AD2"/>
    <mergeCell ref="Y1:Y2"/>
  </mergeCells>
  <conditionalFormatting sqref="J2">
    <cfRule type="dataBar" priority="1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{D78342A6-125A-4E15-9C02-0A122F54D111}</x14:id>
        </ext>
      </extLst>
    </cfRule>
  </conditionalFormatting>
  <conditionalFormatting sqref="AC23">
    <cfRule type="dataBar" priority="1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{3C37F72D-B023-45A5-9C29-7E6C55A36317}</x14:id>
        </ext>
      </extLst>
    </cfRule>
  </conditionalFormatting>
  <conditionalFormatting sqref="AD23">
    <cfRule type="dataBar" priority="1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{98ACD8DE-54B4-4431-A8CA-FFAC56989E08}</x14:id>
        </ext>
      </extLst>
    </cfRule>
  </conditionalFormatting>
  <conditionalFormatting sqref="AE23">
    <cfRule type="dataBar" priority="1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{5BE70C1B-AEE5-4D9F-B3FB-E95F3C75B038}</x14:id>
        </ext>
      </extLst>
    </cfRule>
  </conditionalFormatting>
  <conditionalFormatting sqref="AH2">
    <cfRule type="dataBar" priority="1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{B6337D42-04AC-433A-9337-ADDD6E5D3065}</x14:id>
        </ext>
      </extLst>
    </cfRule>
  </conditionalFormatting>
  <conditionalFormatting sqref="AI2">
    <cfRule type="dataBar" priority="1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{83F812FE-6FB4-41EC-96C9-CEB987BEC36D}</x14:id>
        </ext>
      </extLst>
    </cfRule>
  </conditionalFormatting>
  <conditionalFormatting sqref="AJ2">
    <cfRule type="dataBar" priority="1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{2FCF6C32-0FF7-4971-B8E2-DC307B82176B}</x14:id>
        </ext>
      </extLst>
    </cfRule>
  </conditionalFormatting>
  <conditionalFormatting sqref="L7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{F9BAF1AA-98D9-40E9-AD1C-10E64E649DF4}</x14:id>
        </ext>
      </extLst>
    </cfRule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{B225B31C-4D69-40FF-98A5-A9CEFD212FB5}</x14:id>
        </ext>
      </extLst>
    </cfRule>
  </conditionalFormatting>
  <conditionalFormatting sqref="M7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{81B0E8B6-72D7-4A07-8753-7C06214007E4}</x14:id>
        </ext>
      </extLst>
    </cfRule>
    <cfRule type="dataBar" priority="6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{E20561D9-1F8A-47C5-921F-4139396E7A87}</x14:id>
        </ext>
      </extLst>
    </cfRule>
  </conditionalFormatting>
  <conditionalFormatting sqref="L7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{C72CC3CE-1A84-4C88-BE67-5F5AC318F409}</x14:id>
        </ext>
      </extLst>
    </cfRule>
  </conditionalFormatting>
  <conditionalFormatting sqref="M7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{6499AD3A-05BA-4DF4-A584-E0146AF9968B}</x14:id>
        </ext>
      </extLst>
    </cfRule>
  </conditionalFormatting>
  <conditionalFormatting sqref="J7">
    <cfRule type="dataBar" priority="6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{E204C6C2-4D5F-475E-9F54-4187FDBAA064}</x14:id>
        </ext>
      </extLst>
    </cfRule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{E9E01380-93D0-46F6-96D0-69449AAA49E8}</x14:id>
        </ext>
      </extLst>
    </cfRule>
  </conditionalFormatting>
  <conditionalFormatting sqref="J7"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{E20AB099-B09A-4C80-BFD6-BCA4DDA8B4FF}</x14:id>
        </ext>
      </extLst>
    </cfRule>
  </conditionalFormatting>
  <conditionalFormatting sqref="J7">
    <cfRule type="dataBar" priority="6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{49828341-9A39-4189-B64F-BAA4C40D5883}</x14:id>
        </ext>
      </extLst>
    </cfRule>
  </conditionalFormatting>
  <conditionalFormatting sqref="L7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{3F02F469-C06F-4B4C-9DCC-1FF0878A855E}</x14:id>
        </ext>
      </extLst>
    </cfRule>
  </conditionalFormatting>
  <conditionalFormatting sqref="M7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{A1EA5A6D-985C-4E46-871B-4F94A7409F98}</x14:id>
        </ext>
      </extLst>
    </cfRule>
  </conditionalFormatting>
  <conditionalFormatting sqref="L7"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{FAFBCD81-AD08-44BC-8832-F607FF9B23AC}</x14:id>
        </ext>
      </extLst>
    </cfRule>
  </conditionalFormatting>
  <conditionalFormatting sqref="M7">
    <cfRule type="dataBar" priority="6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{E201BD5E-E341-48E9-B32B-4A86B95F1880}</x14:id>
        </ext>
      </extLst>
    </cfRule>
  </conditionalFormatting>
  <conditionalFormatting sqref="J7"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{06D1C775-7818-4B59-B18F-31CD6C9777DB}</x14:id>
        </ext>
      </extLst>
    </cfRule>
  </conditionalFormatting>
  <conditionalFormatting sqref="J7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{D715AB88-12B9-47B1-9CEA-B8B7BC24B3EE}</x14:id>
        </ext>
      </extLst>
    </cfRule>
  </conditionalFormatting>
  <conditionalFormatting sqref="L7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{7E9328DD-EFCB-4A34-BAEF-0C9FECCFC087}</x14:id>
        </ext>
      </extLst>
    </cfRule>
  </conditionalFormatting>
  <conditionalFormatting sqref="M7">
    <cfRule type="dataBar" priority="6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{F94D1392-9E08-49BC-ACB3-EB77F9CFC733}</x14:id>
        </ext>
      </extLst>
    </cfRule>
  </conditionalFormatting>
  <conditionalFormatting sqref="J7">
    <cfRule type="dataBar" priority="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{6CD5DA82-586D-41E2-8DEB-909817DC561D}</x14:id>
        </ext>
      </extLst>
    </cfRule>
  </conditionalFormatting>
  <conditionalFormatting sqref="L7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{A2D62FF5-1047-4101-A3F0-436E0888CE83}</x14:id>
        </ext>
      </extLst>
    </cfRule>
  </conditionalFormatting>
  <conditionalFormatting sqref="M7">
    <cfRule type="dataBar" priority="6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{7F7A04C6-B525-49DC-BAC4-789AE6230757}</x14:id>
        </ext>
      </extLst>
    </cfRule>
  </conditionalFormatting>
  <conditionalFormatting sqref="L7">
    <cfRule type="dataBar" priority="7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{AF8C494B-BAE8-4124-B53D-2ABE89ED36D5}</x14:id>
        </ext>
      </extLst>
    </cfRule>
  </conditionalFormatting>
  <conditionalFormatting sqref="M7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{B68540D6-EB50-43F9-816D-E56D08BD5BC8}</x14:id>
        </ext>
      </extLst>
    </cfRule>
  </conditionalFormatting>
  <conditionalFormatting sqref="J7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{CB4A446C-730D-4985-B459-C3738ADF981A}</x14:id>
        </ext>
      </extLst>
    </cfRule>
  </conditionalFormatting>
  <conditionalFormatting sqref="L8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{8D79F5D8-2EB4-4754-95D4-0FB12C4A33A9}</x14:id>
        </ext>
      </extLst>
    </cfRule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{8C619180-B090-4226-8CF2-D0AD071CD955}</x14:id>
        </ext>
      </extLst>
    </cfRule>
  </conditionalFormatting>
  <conditionalFormatting sqref="M8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{F7992C98-EF89-43E9-A089-397C12BABDE2}</x14:id>
        </ext>
      </extLst>
    </cfRule>
    <cfRule type="dataBar" priority="6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{D19266C0-278C-4EF1-B1A6-163024DEE6C0}</x14:id>
        </ext>
      </extLst>
    </cfRule>
  </conditionalFormatting>
  <conditionalFormatting sqref="L8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{FD1F1A78-F20E-4DCA-A5BB-A51E367E727F}</x14:id>
        </ext>
      </extLst>
    </cfRule>
  </conditionalFormatting>
  <conditionalFormatting sqref="M8">
    <cfRule type="dataBar" priority="6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{EC458D37-148A-44F9-B51A-B05528BA2843}</x14:id>
        </ext>
      </extLst>
    </cfRule>
  </conditionalFormatting>
  <conditionalFormatting sqref="J8">
    <cfRule type="dataBar" priority="6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{F57C2E36-133C-4E6B-99FC-E25F46A1DE36}</x14:id>
        </ext>
      </extLst>
    </cfRule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{0E2060FC-C1AD-4C0A-9FA9-4FE1D308DDDB}</x14:id>
        </ext>
      </extLst>
    </cfRule>
  </conditionalFormatting>
  <conditionalFormatting sqref="J8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{6051DEE3-7D7C-416B-8D9F-6458FCE4C6FE}</x14:id>
        </ext>
      </extLst>
    </cfRule>
  </conditionalFormatting>
  <conditionalFormatting sqref="J8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{CE9CDCDB-8BD7-4895-A9F1-3FC5296DF486}</x14:id>
        </ext>
      </extLst>
    </cfRule>
  </conditionalFormatting>
  <conditionalFormatting sqref="L8">
    <cfRule type="dataBar" priority="6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{3209E209-B5B8-49C1-B122-DE3738D18F3A}</x14:id>
        </ext>
      </extLst>
    </cfRule>
  </conditionalFormatting>
  <conditionalFormatting sqref="M8">
    <cfRule type="dataBar" priority="6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{F1C82DAD-8D70-403D-A882-EB1C76BC15E1}</x14:id>
        </ext>
      </extLst>
    </cfRule>
  </conditionalFormatting>
  <conditionalFormatting sqref="L8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{E3453E2F-CF2F-4BD7-BB07-3AA9B907557E}</x14:id>
        </ext>
      </extLst>
    </cfRule>
  </conditionalFormatting>
  <conditionalFormatting sqref="M8">
    <cfRule type="dataBar" priority="6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{4D31B55F-CABA-4B00-9E3E-0A7ADAD2C83C}</x14:id>
        </ext>
      </extLst>
    </cfRule>
  </conditionalFormatting>
  <conditionalFormatting sqref="J8"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{D144B314-AFEE-4059-A25E-7435F8B85CB7}</x14:id>
        </ext>
      </extLst>
    </cfRule>
  </conditionalFormatting>
  <conditionalFormatting sqref="J8">
    <cfRule type="dataBar" priority="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{D2E108EA-E076-4F3E-BEC5-121CD8CC5B71}</x14:id>
        </ext>
      </extLst>
    </cfRule>
  </conditionalFormatting>
  <conditionalFormatting sqref="L8"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{53D944EA-F441-478A-A7F3-FC9F52BACBD3}</x14:id>
        </ext>
      </extLst>
    </cfRule>
  </conditionalFormatting>
  <conditionalFormatting sqref="M8">
    <cfRule type="dataBar" priority="6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{377342C7-8871-4D19-9427-605CC4FF1CD5}</x14:id>
        </ext>
      </extLst>
    </cfRule>
  </conditionalFormatting>
  <conditionalFormatting sqref="J8"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{E14EAD07-3D18-48B5-88ED-B574C149E20E}</x14:id>
        </ext>
      </extLst>
    </cfRule>
  </conditionalFormatting>
  <conditionalFormatting sqref="L8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{C1D2E8A7-1C02-452D-9284-333805A93B98}</x14:id>
        </ext>
      </extLst>
    </cfRule>
  </conditionalFormatting>
  <conditionalFormatting sqref="M8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{577A89F4-6CEA-4A6D-B945-227B3FAA056F}</x14:id>
        </ext>
      </extLst>
    </cfRule>
  </conditionalFormatting>
  <conditionalFormatting sqref="L8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{B06F3788-F785-4935-9DDE-0ECE4FADEC9C}</x14:id>
        </ext>
      </extLst>
    </cfRule>
  </conditionalFormatting>
  <conditionalFormatting sqref="M8">
    <cfRule type="dataBar" priority="6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{7BAA31FB-F7A6-46F4-9376-80374157164B}</x14:id>
        </ext>
      </extLst>
    </cfRule>
  </conditionalFormatting>
  <conditionalFormatting sqref="J8">
    <cfRule type="dataBar" priority="6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{9429D5B1-BD8A-44BF-B336-970AB0730505}</x14:id>
        </ext>
      </extLst>
    </cfRule>
  </conditionalFormatting>
  <conditionalFormatting sqref="AC3:AC19 AC21:AC22">
    <cfRule type="dataBar" priority="1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{C9909558-65B3-46F3-B704-D16B81784788}</x14:id>
        </ext>
      </extLst>
    </cfRule>
  </conditionalFormatting>
  <conditionalFormatting sqref="AD3:AD19 AD21:AD22">
    <cfRule type="dataBar" priority="1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{7B223F50-3339-4650-9FBF-062065217AD8}</x14:id>
        </ext>
      </extLst>
    </cfRule>
  </conditionalFormatting>
  <conditionalFormatting sqref="AE3:AE22">
    <cfRule type="dataBar" priority="1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{46E99D84-FCF1-4EC2-9355-97F6BC21AFB0}</x14:id>
        </ext>
      </extLst>
    </cfRule>
  </conditionalFormatting>
  <conditionalFormatting sqref="L3">
    <cfRule type="dataBar" priority="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{2ADD1807-2EDC-492E-818A-D2C90025DAA1}</x14:id>
        </ext>
      </extLst>
    </cfRule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{F65D139F-5E42-4C62-AD61-48D3A110A05A}</x14:id>
        </ext>
      </extLst>
    </cfRule>
  </conditionalFormatting>
  <conditionalFormatting sqref="M3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{D9C6B5BF-C33E-4A4E-8D80-4E39906C7F3A}</x14:id>
        </ext>
      </extLst>
    </cfRule>
    <cfRule type="dataBar" priority="5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{6742C972-C413-459E-ACEB-8AE571676AC2}</x14:id>
        </ext>
      </extLst>
    </cfRule>
  </conditionalFormatting>
  <conditionalFormatting sqref="L3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{AFB2ACF1-82FB-4186-BE6C-0E1E12F57835}</x14:id>
        </ext>
      </extLst>
    </cfRule>
  </conditionalFormatting>
  <conditionalFormatting sqref="M3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{89F812B8-7E9F-4B70-88A8-D65D33BE23BD}</x14:id>
        </ext>
      </extLst>
    </cfRule>
  </conditionalFormatting>
  <conditionalFormatting sqref="J3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{38D6CDAC-FCBF-4AF4-8812-D125F324BA0A}</x14:id>
        </ext>
      </extLst>
    </cfRule>
    <cfRule type="dataBar" priority="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{35072977-A399-4F7D-B203-736976B551BE}</x14:id>
        </ext>
      </extLst>
    </cfRule>
  </conditionalFormatting>
  <conditionalFormatting sqref="J3"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{1366E70E-980A-4986-800A-D7B329E3EF91}</x14:id>
        </ext>
      </extLst>
    </cfRule>
  </conditionalFormatting>
  <conditionalFormatting sqref="J3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{111C5A47-D2B7-44B7-BF23-27F2E0AD7AD5}</x14:id>
        </ext>
      </extLst>
    </cfRule>
  </conditionalFormatting>
  <conditionalFormatting sqref="L3"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{AA7EAE2B-056E-434D-9385-29B18AB070E8}</x14:id>
        </ext>
      </extLst>
    </cfRule>
  </conditionalFormatting>
  <conditionalFormatting sqref="M3">
    <cfRule type="dataBar" priority="5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{7B56A8EB-8E0B-4BCD-B8DA-BE3BFDF2C560}</x14:id>
        </ext>
      </extLst>
    </cfRule>
  </conditionalFormatting>
  <conditionalFormatting sqref="L3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{30FDBFC4-FBE2-4048-995F-A44E6B65FF94}</x14:id>
        </ext>
      </extLst>
    </cfRule>
  </conditionalFormatting>
  <conditionalFormatting sqref="M3">
    <cfRule type="dataBar" priority="5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{D18B53E3-D2F2-4DD4-B220-C5BB39D5453A}</x14:id>
        </ext>
      </extLst>
    </cfRule>
  </conditionalFormatting>
  <conditionalFormatting sqref="J3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{2CCCDED8-71B6-41CC-9FF5-D919C3FDF025}</x14:id>
        </ext>
      </extLst>
    </cfRule>
  </conditionalFormatting>
  <conditionalFormatting sqref="J3"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{D4B9684D-BE31-42F4-B4E1-BA2F2C8CC333}</x14:id>
        </ext>
      </extLst>
    </cfRule>
  </conditionalFormatting>
  <conditionalFormatting sqref="L3">
    <cfRule type="dataBar" priority="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{DBB00386-9A43-4AB3-B187-72A8A4FA9D8E}</x14:id>
        </ext>
      </extLst>
    </cfRule>
  </conditionalFormatting>
  <conditionalFormatting sqref="M3">
    <cfRule type="dataBar" priority="5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{3E918ABE-0ED2-486D-BD1E-5AF2E22ACA9F}</x14:id>
        </ext>
      </extLst>
    </cfRule>
  </conditionalFormatting>
  <conditionalFormatting sqref="J3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{D0E4A141-60F6-4996-A9CF-9DB7CBABB17C}</x14:id>
        </ext>
      </extLst>
    </cfRule>
  </conditionalFormatting>
  <conditionalFormatting sqref="L3"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{8B94AF8A-53FA-41EA-BF83-61915CAE10C2}</x14:id>
        </ext>
      </extLst>
    </cfRule>
  </conditionalFormatting>
  <conditionalFormatting sqref="M3">
    <cfRule type="dataBar" priority="5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{84EAC0DA-D1E5-4A25-BCFF-5CEBD70AF8C0}</x14:id>
        </ext>
      </extLst>
    </cfRule>
  </conditionalFormatting>
  <conditionalFormatting sqref="L3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{F6816B9B-8721-4EED-A647-9907002AA769}</x14:id>
        </ext>
      </extLst>
    </cfRule>
  </conditionalFormatting>
  <conditionalFormatting sqref="M3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{58084DC0-DD85-467E-89A5-4FA683B6D4C8}</x14:id>
        </ext>
      </extLst>
    </cfRule>
  </conditionalFormatting>
  <conditionalFormatting sqref="J3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{FE627B28-5D70-4D63-8D46-D49781FF52E5}</x14:id>
        </ext>
      </extLst>
    </cfRule>
  </conditionalFormatting>
  <conditionalFormatting sqref="L4">
    <cfRule type="dataBar" priority="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{68D338C7-943E-4A68-A2B5-84CEF8499213}</x14:id>
        </ext>
      </extLst>
    </cfRule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{B0E1B3A3-4AC5-47DA-859C-B3E8E437239D}</x14:id>
        </ext>
      </extLst>
    </cfRule>
  </conditionalFormatting>
  <conditionalFormatting sqref="M4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{3947DE54-9A56-45BA-B6BD-89F4BF85BFBF}</x14:id>
        </ext>
      </extLst>
    </cfRule>
    <cfRule type="dataBar" priority="5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{933535E2-2608-47BA-9195-B0E98FFC37E7}</x14:id>
        </ext>
      </extLst>
    </cfRule>
  </conditionalFormatting>
  <conditionalFormatting sqref="L4"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{43DDE493-7AC4-40BC-AA04-54D54F01C123}</x14:id>
        </ext>
      </extLst>
    </cfRule>
  </conditionalFormatting>
  <conditionalFormatting sqref="M4">
    <cfRule type="dataBar" priority="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{8AA9EEFF-FA18-4BEE-927A-63F48EAB54C1}</x14:id>
        </ext>
      </extLst>
    </cfRule>
  </conditionalFormatting>
  <conditionalFormatting sqref="J4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{EBB45341-09C2-47A6-9A8A-9C634DC06476}</x14:id>
        </ext>
      </extLst>
    </cfRule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{69C6EEB8-DD83-46CB-B07D-3CDA3F1421AA}</x14:id>
        </ext>
      </extLst>
    </cfRule>
  </conditionalFormatting>
  <conditionalFormatting sqref="J4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{61AB8BFC-D984-4ADC-9AD9-E7B15749DF97}</x14:id>
        </ext>
      </extLst>
    </cfRule>
  </conditionalFormatting>
  <conditionalFormatting sqref="J4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{71BB7C18-1C17-4AD6-B03B-0C62BCAB6B51}</x14:id>
        </ext>
      </extLst>
    </cfRule>
  </conditionalFormatting>
  <conditionalFormatting sqref="L4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{6E9F0020-10EC-4DBA-A979-FC544130D072}</x14:id>
        </ext>
      </extLst>
    </cfRule>
  </conditionalFormatting>
  <conditionalFormatting sqref="M4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{1FEC2EB7-7D77-408D-96C5-F93C2F618319}</x14:id>
        </ext>
      </extLst>
    </cfRule>
  </conditionalFormatting>
  <conditionalFormatting sqref="L4"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{206D022A-7514-443E-8AB5-2311678CA63D}</x14:id>
        </ext>
      </extLst>
    </cfRule>
  </conditionalFormatting>
  <conditionalFormatting sqref="M4">
    <cfRule type="dataBar" priority="4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{8FA508EF-4E98-4561-B240-8A961DC81A68}</x14:id>
        </ext>
      </extLst>
    </cfRule>
  </conditionalFormatting>
  <conditionalFormatting sqref="J4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{FB5DCF4D-A5B7-41D1-8209-2E9E91AFB4EC}</x14:id>
        </ext>
      </extLst>
    </cfRule>
  </conditionalFormatting>
  <conditionalFormatting sqref="J4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{DC128F62-7883-44B2-9FD5-99A3D778A5BE}</x14:id>
        </ext>
      </extLst>
    </cfRule>
  </conditionalFormatting>
  <conditionalFormatting sqref="L4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{1BD236EF-8ADF-41DE-B813-5DDFCD065929}</x14:id>
        </ext>
      </extLst>
    </cfRule>
  </conditionalFormatting>
  <conditionalFormatting sqref="M4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{8D1EA4D9-B0DC-48C2-8335-044D8BAB40DC}</x14:id>
        </ext>
      </extLst>
    </cfRule>
  </conditionalFormatting>
  <conditionalFormatting sqref="J4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{3B447F48-5FB8-4E72-8137-38BABE3EE946}</x14:id>
        </ext>
      </extLst>
    </cfRule>
  </conditionalFormatting>
  <conditionalFormatting sqref="L4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{FEFB73A8-0AA8-4E06-9D5B-DB82FAB97018}</x14:id>
        </ext>
      </extLst>
    </cfRule>
  </conditionalFormatting>
  <conditionalFormatting sqref="M4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{36FE158A-7ED9-447A-A6D0-BAE89D7ED451}</x14:id>
        </ext>
      </extLst>
    </cfRule>
  </conditionalFormatting>
  <conditionalFormatting sqref="L4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{52B7D997-E031-4F34-A568-13234D48136A}</x14:id>
        </ext>
      </extLst>
    </cfRule>
  </conditionalFormatting>
  <conditionalFormatting sqref="M4">
    <cfRule type="dataBar" priority="5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{1763571F-ED4A-47A2-9C04-B35FA56BEF54}</x14:id>
        </ext>
      </extLst>
    </cfRule>
  </conditionalFormatting>
  <conditionalFormatting sqref="J4">
    <cfRule type="dataBar" priority="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{C03EFD16-205A-493D-AA28-3F838BBAFEA8}</x14:id>
        </ext>
      </extLst>
    </cfRule>
  </conditionalFormatting>
  <conditionalFormatting sqref="L5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{C1696124-1D02-4C7E-B971-4EC006FF52BA}</x14:id>
        </ext>
      </extLst>
    </cfRule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{E6554E1D-31B3-4DA6-B339-D47314412F6C}</x14:id>
        </ext>
      </extLst>
    </cfRule>
  </conditionalFormatting>
  <conditionalFormatting sqref="M5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{36FFB113-2171-408A-A532-F2C0168666E3}</x14:id>
        </ext>
      </extLst>
    </cfRule>
    <cfRule type="dataBar" priority="4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{6426172F-D9BD-4F21-81BE-E100BF7C65E3}</x14:id>
        </ext>
      </extLst>
    </cfRule>
  </conditionalFormatting>
  <conditionalFormatting sqref="L5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{9D6070D9-8595-42DC-8182-8C3449A83ED1}</x14:id>
        </ext>
      </extLst>
    </cfRule>
  </conditionalFormatting>
  <conditionalFormatting sqref="M5">
    <cfRule type="dataBar" priority="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{74A03963-7935-4823-AC48-093FD8578D3F}</x14:id>
        </ext>
      </extLst>
    </cfRule>
  </conditionalFormatting>
  <conditionalFormatting sqref="J5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{0F2332D9-71FF-4C3D-BF89-F7B235490C12}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{CA937F10-55EB-4521-9B34-F3F59F70E6FC}</x14:id>
        </ext>
      </extLst>
    </cfRule>
  </conditionalFormatting>
  <conditionalFormatting sqref="J5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{2F96C53B-726C-41BE-80EC-96A120E3BDEF}</x14:id>
        </ext>
      </extLst>
    </cfRule>
  </conditionalFormatting>
  <conditionalFormatting sqref="J5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{1388C645-79CA-4F4D-A0FB-909B50BF4A0B}</x14:id>
        </ext>
      </extLst>
    </cfRule>
  </conditionalFormatting>
  <conditionalFormatting sqref="L5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{2C871CE5-A61F-453B-BE17-E7BA43F4DD7C}</x14:id>
        </ext>
      </extLst>
    </cfRule>
  </conditionalFormatting>
  <conditionalFormatting sqref="M5">
    <cfRule type="dataBar" priority="4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{087B1345-7528-4899-B44A-54FA26BB94B8}</x14:id>
        </ext>
      </extLst>
    </cfRule>
  </conditionalFormatting>
  <conditionalFormatting sqref="L5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{68B09A7D-6E94-4B7A-A5F5-F93874E32D6E}</x14:id>
        </ext>
      </extLst>
    </cfRule>
  </conditionalFormatting>
  <conditionalFormatting sqref="M5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{57FA3627-91CE-4557-8668-64EB678BF1EF}</x14:id>
        </ext>
      </extLst>
    </cfRule>
  </conditionalFormatting>
  <conditionalFormatting sqref="J5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{E9B9CE74-A80E-4B3E-8921-315A8EB2CA40}</x14:id>
        </ext>
      </extLst>
    </cfRule>
  </conditionalFormatting>
  <conditionalFormatting sqref="J5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{84165CC6-62DE-4A17-A351-097BC60F78A8}</x14:id>
        </ext>
      </extLst>
    </cfRule>
  </conditionalFormatting>
  <conditionalFormatting sqref="L5"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{B68D9014-9A94-4CD5-97CF-30B98AF02E72}</x14:id>
        </ext>
      </extLst>
    </cfRule>
  </conditionalFormatting>
  <conditionalFormatting sqref="M5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{645B223B-6179-426D-943F-4C68BA7D927D}</x14:id>
        </ext>
      </extLst>
    </cfRule>
  </conditionalFormatting>
  <conditionalFormatting sqref="J5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{ADFAC602-D866-459D-A795-55149D886E5C}</x14:id>
        </ext>
      </extLst>
    </cfRule>
  </conditionalFormatting>
  <conditionalFormatting sqref="L5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{41737CA3-3D1D-406B-8AD4-955887E2AFB9}</x14:id>
        </ext>
      </extLst>
    </cfRule>
  </conditionalFormatting>
  <conditionalFormatting sqref="M5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{DB15719F-AC3E-490B-97A4-1A98C8E0AA77}</x14:id>
        </ext>
      </extLst>
    </cfRule>
  </conditionalFormatting>
  <conditionalFormatting sqref="L5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{486254D8-48ED-448E-BFBC-1327A30084CD}</x14:id>
        </ext>
      </extLst>
    </cfRule>
  </conditionalFormatting>
  <conditionalFormatting sqref="M5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{13A15ED8-AC1A-4A00-B754-EECA0C3A7CD9}</x14:id>
        </ext>
      </extLst>
    </cfRule>
  </conditionalFormatting>
  <conditionalFormatting sqref="J5"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{27B3EA09-B566-4F1E-BF4F-6F049456296B}</x14:id>
        </ext>
      </extLst>
    </cfRule>
  </conditionalFormatting>
  <conditionalFormatting sqref="L6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{E603EFAC-028F-43A2-9B16-50AD09BD20DC}</x14:id>
        </ext>
      </extLst>
    </cfRule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{C51FA2BB-EAC9-4203-9D2D-AAA1E997B215}</x14:id>
        </ext>
      </extLst>
    </cfRule>
  </conditionalFormatting>
  <conditionalFormatting sqref="M6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{28D6FAA4-2A39-4B7D-8CD4-94B598ABB79C}</x14:id>
        </ext>
      </extLst>
    </cfRule>
    <cfRule type="dataBar" priority="4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{73D755E9-ED5F-4FF6-9A55-CD2B7409DB30}</x14:id>
        </ext>
      </extLst>
    </cfRule>
  </conditionalFormatting>
  <conditionalFormatting sqref="L6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{A9319C33-4BF4-427E-B8D7-7EF439977841}</x14:id>
        </ext>
      </extLst>
    </cfRule>
  </conditionalFormatting>
  <conditionalFormatting sqref="M6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{337AA6BD-1FF8-413C-ACFC-07440819B305}</x14:id>
        </ext>
      </extLst>
    </cfRule>
  </conditionalFormatting>
  <conditionalFormatting sqref="J6"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{3D461DC0-F3C1-4537-8E21-EA44A730FF8A}</x14:id>
        </ext>
      </extLst>
    </cfRule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{6CFCBE1E-3484-423B-94F1-C4ADDA46C487}</x14:id>
        </ext>
      </extLst>
    </cfRule>
  </conditionalFormatting>
  <conditionalFormatting sqref="J6"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{A48082A0-CCE5-471C-B2CF-C8CDE9ECB2B2}</x14:id>
        </ext>
      </extLst>
    </cfRule>
  </conditionalFormatting>
  <conditionalFormatting sqref="J6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{18F47928-E83E-46FE-875F-97DF922B396E}</x14:id>
        </ext>
      </extLst>
    </cfRule>
  </conditionalFormatting>
  <conditionalFormatting sqref="L6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{9076FFFE-696D-48D9-BA70-4EB8AA925B5E}</x14:id>
        </ext>
      </extLst>
    </cfRule>
  </conditionalFormatting>
  <conditionalFormatting sqref="M6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{6DBCF8AB-5D94-4131-850E-4FF6E95656B2}</x14:id>
        </ext>
      </extLst>
    </cfRule>
  </conditionalFormatting>
  <conditionalFormatting sqref="L6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{3387B08E-0895-43C5-B469-D08D892ED757}</x14:id>
        </ext>
      </extLst>
    </cfRule>
  </conditionalFormatting>
  <conditionalFormatting sqref="M6">
    <cfRule type="dataBar" priority="4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{470CAB81-187F-46CD-A5E2-D14D089BF81C}</x14:id>
        </ext>
      </extLst>
    </cfRule>
  </conditionalFormatting>
  <conditionalFormatting sqref="J6"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{607A0446-80A8-4749-8DAE-D26633B05B58}</x14:id>
        </ext>
      </extLst>
    </cfRule>
  </conditionalFormatting>
  <conditionalFormatting sqref="J6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{4FEF7F70-A2B1-4FCD-9CAF-AD194427722D}</x14:id>
        </ext>
      </extLst>
    </cfRule>
  </conditionalFormatting>
  <conditionalFormatting sqref="L6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{C7F90091-23A9-48BD-B930-C77246CEFC14}</x14:id>
        </ext>
      </extLst>
    </cfRule>
  </conditionalFormatting>
  <conditionalFormatting sqref="M6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{FC3379B7-4433-47BA-93EB-64C9D33E45D3}</x14:id>
        </ext>
      </extLst>
    </cfRule>
  </conditionalFormatting>
  <conditionalFormatting sqref="J6"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{B7389864-3D49-4734-A948-6727DEC3C030}</x14:id>
        </ext>
      </extLst>
    </cfRule>
  </conditionalFormatting>
  <conditionalFormatting sqref="L6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{B2425343-05D4-40BD-ABE9-3467FC2E6720}</x14:id>
        </ext>
      </extLst>
    </cfRule>
  </conditionalFormatting>
  <conditionalFormatting sqref="M6">
    <cfRule type="dataBar" priority="4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{9CED8CA0-2F51-46E8-92BC-33A1C96512DC}</x14:id>
        </ext>
      </extLst>
    </cfRule>
  </conditionalFormatting>
  <conditionalFormatting sqref="L6"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{897CFAE3-1DD8-40D2-8DF0-ABF5235583DB}</x14:id>
        </ext>
      </extLst>
    </cfRule>
  </conditionalFormatting>
  <conditionalFormatting sqref="M6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{A8854C42-FDBA-4044-AAF8-08FB9E42B204}</x14:id>
        </ext>
      </extLst>
    </cfRule>
  </conditionalFormatting>
  <conditionalFormatting sqref="J6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{32745749-F365-4E75-A07F-037CEFB8DE77}</x14:id>
        </ext>
      </extLst>
    </cfRule>
  </conditionalFormatting>
  <conditionalFormatting sqref="L9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{AD01D383-DA6B-4004-9002-1CC8E0A8D523}</x14:id>
        </ext>
      </extLst>
    </cfRule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{8630DFA6-7FFB-48A9-8023-5F926C645616}</x14:id>
        </ext>
      </extLst>
    </cfRule>
  </conditionalFormatting>
  <conditionalFormatting sqref="M9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{385E437C-6F04-4D60-8025-2CDD63E61CD5}</x14:id>
        </ext>
      </extLst>
    </cfRule>
    <cfRule type="dataBar" priority="4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{B396E72B-C4AF-411F-81B1-BC250187BE3D}</x14:id>
        </ext>
      </extLst>
    </cfRule>
  </conditionalFormatting>
  <conditionalFormatting sqref="L9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{6C7A2300-2478-41ED-B371-FC8BEB1F00E2}</x14:id>
        </ext>
      </extLst>
    </cfRule>
  </conditionalFormatting>
  <conditionalFormatting sqref="M9">
    <cfRule type="dataBar" priority="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{5B7F2C59-FA9B-4DA7-B4FC-B1854AD50B0F}</x14:id>
        </ext>
      </extLst>
    </cfRule>
  </conditionalFormatting>
  <conditionalFormatting sqref="J9"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{E4B56B49-613B-402D-915B-D191DE8A6738}</x14:id>
        </ext>
      </extLst>
    </cfRule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{59908ABB-82C6-4A94-840D-1F875EEA1463}</x14:id>
        </ext>
      </extLst>
    </cfRule>
  </conditionalFormatting>
  <conditionalFormatting sqref="J9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{E1FFEEC8-1CD5-4A4C-A99A-0ED5D47DE287}</x14:id>
        </ext>
      </extLst>
    </cfRule>
  </conditionalFormatting>
  <conditionalFormatting sqref="J9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{F4380733-A770-40BE-9606-78EEA75B1EF9}</x14:id>
        </ext>
      </extLst>
    </cfRule>
  </conditionalFormatting>
  <conditionalFormatting sqref="L9"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{1FB4DB5A-269B-40C6-9A3E-6E0E9C5FE833}</x14:id>
        </ext>
      </extLst>
    </cfRule>
  </conditionalFormatting>
  <conditionalFormatting sqref="M9">
    <cfRule type="dataBar" priority="4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{DCD35DA2-595D-489A-8BB7-45E3D3C8BEC5}</x14:id>
        </ext>
      </extLst>
    </cfRule>
  </conditionalFormatting>
  <conditionalFormatting sqref="L9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{C35DD395-5512-4F63-8656-BC2CF24EDEF0}</x14:id>
        </ext>
      </extLst>
    </cfRule>
  </conditionalFormatting>
  <conditionalFormatting sqref="M9">
    <cfRule type="dataBar" priority="4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{8BFECAB4-C3C6-4EA3-9A0F-77A9CB85CF42}</x14:id>
        </ext>
      </extLst>
    </cfRule>
  </conditionalFormatting>
  <conditionalFormatting sqref="J9">
    <cfRule type="dataBar" priority="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{1E9B7BD2-7C08-41AB-994E-D5AC87C460E1}</x14:id>
        </ext>
      </extLst>
    </cfRule>
  </conditionalFormatting>
  <conditionalFormatting sqref="J9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{0562A4A2-62BD-417C-A042-7764D9978166}</x14:id>
        </ext>
      </extLst>
    </cfRule>
  </conditionalFormatting>
  <conditionalFormatting sqref="L9">
    <cfRule type="dataBar" priority="4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{A096046F-19CB-44A3-B50F-BC4A185339F1}</x14:id>
        </ext>
      </extLst>
    </cfRule>
  </conditionalFormatting>
  <conditionalFormatting sqref="M9">
    <cfRule type="dataBar" priority="4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{A24A833C-2263-4469-9902-B7E599C8BF23}</x14:id>
        </ext>
      </extLst>
    </cfRule>
  </conditionalFormatting>
  <conditionalFormatting sqref="J9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{B177257C-931A-4354-9581-771E0A3004D2}</x14:id>
        </ext>
      </extLst>
    </cfRule>
  </conditionalFormatting>
  <conditionalFormatting sqref="L9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{3B36B61B-1A49-4A27-9E92-C4BC6F327DFB}</x14:id>
        </ext>
      </extLst>
    </cfRule>
  </conditionalFormatting>
  <conditionalFormatting sqref="M9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{CB7DB412-7645-4148-9E2F-FA0CD3F02EB9}</x14:id>
        </ext>
      </extLst>
    </cfRule>
  </conditionalFormatting>
  <conditionalFormatting sqref="L9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{75D1F6F1-3001-4EBD-9931-647A057ED918}</x14:id>
        </ext>
      </extLst>
    </cfRule>
  </conditionalFormatting>
  <conditionalFormatting sqref="M9">
    <cfRule type="dataBar" priority="4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{AF5C1FE4-296C-42EF-8139-CCA5DEF651DD}</x14:id>
        </ext>
      </extLst>
    </cfRule>
  </conditionalFormatting>
  <conditionalFormatting sqref="J9">
    <cfRule type="dataBar" priority="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{5712BABA-B4B5-4CBE-8662-DF595ADBBBC2}</x14:id>
        </ext>
      </extLst>
    </cfRule>
  </conditionalFormatting>
  <conditionalFormatting sqref="L10"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{D4B45D91-F63E-4833-B2BA-D5296C43CA94}</x14:id>
        </ext>
      </extLst>
    </cfRule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{F3CD0666-C8BE-410E-AEF6-786E7C0609EE}</x14:id>
        </ext>
      </extLst>
    </cfRule>
  </conditionalFormatting>
  <conditionalFormatting sqref="M10">
    <cfRule type="dataBar" priority="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{E9AFAAD3-06B1-43A6-8530-6CC77D193D2A}</x14:id>
        </ext>
      </extLst>
    </cfRule>
    <cfRule type="dataBar" priority="40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{F7892CA1-5636-4175-9BB0-9C43015F2CF1}</x14:id>
        </ext>
      </extLst>
    </cfRule>
  </conditionalFormatting>
  <conditionalFormatting sqref="L10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{FF126878-D5C2-44A1-A54C-7A2687962C43}</x14:id>
        </ext>
      </extLst>
    </cfRule>
  </conditionalFormatting>
  <conditionalFormatting sqref="M10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{329BC627-5E9D-4D33-9709-E006E796C537}</x14:id>
        </ext>
      </extLst>
    </cfRule>
  </conditionalFormatting>
  <conditionalFormatting sqref="J10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{DA8F2735-A7E6-4E35-AF3A-0DE327510B6B}</x14:id>
        </ext>
      </extLst>
    </cfRule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{98647B2D-5A10-4D9D-B6C8-DF529FD8ADD8}</x14:id>
        </ext>
      </extLst>
    </cfRule>
  </conditionalFormatting>
  <conditionalFormatting sqref="J10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{88DD44EB-F8C6-4870-AD7D-B6E1F069ACAC}</x14:id>
        </ext>
      </extLst>
    </cfRule>
  </conditionalFormatting>
  <conditionalFormatting sqref="J10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{69CACA99-E9B2-4385-B6B1-B36E0304A31C}</x14:id>
        </ext>
      </extLst>
    </cfRule>
  </conditionalFormatting>
  <conditionalFormatting sqref="L10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{52B93E46-FBCF-49D4-B2B0-1970965572EB}</x14:id>
        </ext>
      </extLst>
    </cfRule>
  </conditionalFormatting>
  <conditionalFormatting sqref="M10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{BE8A64B1-AE18-41B3-B370-8DB500F0C91E}</x14:id>
        </ext>
      </extLst>
    </cfRule>
  </conditionalFormatting>
  <conditionalFormatting sqref="L10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{184F856C-4440-4E73-A0FD-7C08540FA6A8}</x14:id>
        </ext>
      </extLst>
    </cfRule>
  </conditionalFormatting>
  <conditionalFormatting sqref="M10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{25322AED-28BC-4DB3-9546-E523EBCB9890}</x14:id>
        </ext>
      </extLst>
    </cfRule>
  </conditionalFormatting>
  <conditionalFormatting sqref="J10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{7F7B5F0D-06BE-44F6-B235-ABFC15EF65C7}</x14:id>
        </ext>
      </extLst>
    </cfRule>
  </conditionalFormatting>
  <conditionalFormatting sqref="J10"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{82204A16-D655-4F95-82FE-FEFD2A7E0762}</x14:id>
        </ext>
      </extLst>
    </cfRule>
  </conditionalFormatting>
  <conditionalFormatting sqref="L10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{96C96386-FC5C-4CE4-A1C3-21239517904D}</x14:id>
        </ext>
      </extLst>
    </cfRule>
  </conditionalFormatting>
  <conditionalFormatting sqref="M10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{F00845BB-8BCA-41F5-97ED-AFB2479D23FE}</x14:id>
        </ext>
      </extLst>
    </cfRule>
  </conditionalFormatting>
  <conditionalFormatting sqref="J10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{E81E6475-F8B5-4EC3-A94C-DCE3441E4295}</x14:id>
        </ext>
      </extLst>
    </cfRule>
  </conditionalFormatting>
  <conditionalFormatting sqref="L10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{D2F0916B-4A25-4C39-A71D-C54BEF2A3137}</x14:id>
        </ext>
      </extLst>
    </cfRule>
  </conditionalFormatting>
  <conditionalFormatting sqref="M10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{A49A914D-15A0-477C-8238-2321328EA082}</x14:id>
        </ext>
      </extLst>
    </cfRule>
  </conditionalFormatting>
  <conditionalFormatting sqref="L10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{B439303A-321A-45BD-8964-D3D4EB22F4E8}</x14:id>
        </ext>
      </extLst>
    </cfRule>
  </conditionalFormatting>
  <conditionalFormatting sqref="M10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{A3B0D7AC-C14E-4A15-9663-A7F817ECA5B2}</x14:id>
        </ext>
      </extLst>
    </cfRule>
  </conditionalFormatting>
  <conditionalFormatting sqref="J10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{491D64FD-635B-4AE0-98E7-757656AAF589}</x14:id>
        </ext>
      </extLst>
    </cfRule>
  </conditionalFormatting>
  <conditionalFormatting sqref="L11">
    <cfRule type="dataBar" priority="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{4914AAD3-716A-4AB8-912A-5A8ACC572D73}</x14:id>
        </ext>
      </extLst>
    </cfRule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{2D05845B-4075-423C-B84C-1D1A1A9BA4F1}</x14:id>
        </ext>
      </extLst>
    </cfRule>
  </conditionalFormatting>
  <conditionalFormatting sqref="M11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{ECD3ED26-A611-48FF-9EA5-23AEF9E5C0ED}</x14:id>
        </ext>
      </extLst>
    </cfRule>
    <cfRule type="dataBar" priority="3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{F6B34835-2412-4D54-A2BF-F63786FA302D}</x14:id>
        </ext>
      </extLst>
    </cfRule>
  </conditionalFormatting>
  <conditionalFormatting sqref="L11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{71BA0B55-CAA7-49E2-88EF-88A70526A031}</x14:id>
        </ext>
      </extLst>
    </cfRule>
  </conditionalFormatting>
  <conditionalFormatting sqref="M11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{B9949387-1E31-46E0-9D73-FAAEABAF38ED}</x14:id>
        </ext>
      </extLst>
    </cfRule>
  </conditionalFormatting>
  <conditionalFormatting sqref="J11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{106FBC2E-34C3-4D48-AB4E-534ACB0C2248}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{D350F332-DADB-4EF0-9593-D8EFA305CE17}</x14:id>
        </ext>
      </extLst>
    </cfRule>
  </conditionalFormatting>
  <conditionalFormatting sqref="J11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{15C44ED3-BAEE-44E1-9212-D7322D632746}</x14:id>
        </ext>
      </extLst>
    </cfRule>
  </conditionalFormatting>
  <conditionalFormatting sqref="J11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{E174E955-208C-4BD6-845D-E6CF5EF43DB0}</x14:id>
        </ext>
      </extLst>
    </cfRule>
  </conditionalFormatting>
  <conditionalFormatting sqref="L11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{95BC8845-FC86-445F-BDB6-A9ED1EA19368}</x14:id>
        </ext>
      </extLst>
    </cfRule>
  </conditionalFormatting>
  <conditionalFormatting sqref="M11">
    <cfRule type="dataBar" priority="3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{632D418A-AFAB-4D18-A5AB-522FDB9708E5}</x14:id>
        </ext>
      </extLst>
    </cfRule>
  </conditionalFormatting>
  <conditionalFormatting sqref="L11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{62CD0D3F-73D1-4545-9FF6-989BAB45D578}</x14:id>
        </ext>
      </extLst>
    </cfRule>
  </conditionalFormatting>
  <conditionalFormatting sqref="M11">
    <cfRule type="dataBar" priority="3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{4BEFCA89-89C2-4B35-8355-2DEA397F6493}</x14:id>
        </ext>
      </extLst>
    </cfRule>
  </conditionalFormatting>
  <conditionalFormatting sqref="J11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{66EBA31B-8E33-4FE0-9D71-2FEDD8AB7D28}</x14:id>
        </ext>
      </extLst>
    </cfRule>
  </conditionalFormatting>
  <conditionalFormatting sqref="J11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{4F38842E-2A81-4E37-93B2-073C49C610F0}</x14:id>
        </ext>
      </extLst>
    </cfRule>
  </conditionalFormatting>
  <conditionalFormatting sqref="L11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{0DBF9F70-9A1B-4674-92BC-629FA0695386}</x14:id>
        </ext>
      </extLst>
    </cfRule>
  </conditionalFormatting>
  <conditionalFormatting sqref="M11">
    <cfRule type="dataBar" priority="3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{042C8C08-A849-424A-A841-12E45B65250D}</x14:id>
        </ext>
      </extLst>
    </cfRule>
  </conditionalFormatting>
  <conditionalFormatting sqref="J11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{258BCA29-EFC0-49F2-B625-35B897B13758}</x14:id>
        </ext>
      </extLst>
    </cfRule>
  </conditionalFormatting>
  <conditionalFormatting sqref="L11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{67F74588-B3F3-492D-A568-3CD4BDC7C460}</x14:id>
        </ext>
      </extLst>
    </cfRule>
  </conditionalFormatting>
  <conditionalFormatting sqref="M11">
    <cfRule type="dataBar" priority="3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{7DCB7EBD-21ED-4613-B868-514C10196321}</x14:id>
        </ext>
      </extLst>
    </cfRule>
  </conditionalFormatting>
  <conditionalFormatting sqref="L11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{607C9594-1C0F-40C9-8FEA-7F0567941BAC}</x14:id>
        </ext>
      </extLst>
    </cfRule>
  </conditionalFormatting>
  <conditionalFormatting sqref="M11">
    <cfRule type="dataBar" priority="3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{AC629C25-053C-47DD-9B9E-124CDB50ED19}</x14:id>
        </ext>
      </extLst>
    </cfRule>
  </conditionalFormatting>
  <conditionalFormatting sqref="J11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{0A3DE2F7-D579-4717-B185-24C3F4CFE517}</x14:id>
        </ext>
      </extLst>
    </cfRule>
  </conditionalFormatting>
  <conditionalFormatting sqref="L21:L22 L12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{C3957F16-6490-4FAA-AFDC-8BF04A3E045B}</x14:id>
        </ext>
      </extLst>
    </cfRule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{33F2904F-3BDE-430D-B0D2-2D4623BF5AED}</x14:id>
        </ext>
      </extLst>
    </cfRule>
  </conditionalFormatting>
  <conditionalFormatting sqref="M21:M22 M12">
    <cfRule type="dataBar" priority="3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{861E1473-ED01-4E44-9E30-5418A5F01269}</x14:id>
        </ext>
      </extLst>
    </cfRule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{DC0F27FE-E27E-458A-8AD8-F77FC035E71F}</x14:id>
        </ext>
      </extLst>
    </cfRule>
  </conditionalFormatting>
  <conditionalFormatting sqref="L21:L22 L12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{5C4F5D29-0FFC-48A9-88D4-B7D865A5E32C}</x14:id>
        </ext>
      </extLst>
    </cfRule>
  </conditionalFormatting>
  <conditionalFormatting sqref="M21:M22 M12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{F5F3E7A5-4ADB-4AE8-90EF-6B95AB3A1455}</x14:id>
        </ext>
      </extLst>
    </cfRule>
  </conditionalFormatting>
  <conditionalFormatting sqref="J21:J22 J12"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{1D454341-9F0B-4C83-BE4A-A6274042DE28}</x14:id>
        </ext>
      </extLst>
    </cfRule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{06C3AC14-E625-485A-B654-92D284BC6138}</x14:id>
        </ext>
      </extLst>
    </cfRule>
  </conditionalFormatting>
  <conditionalFormatting sqref="J21:J22 J12"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{A3C384E4-E330-44D8-8B5D-8FE3B2766215}</x14:id>
        </ext>
      </extLst>
    </cfRule>
  </conditionalFormatting>
  <conditionalFormatting sqref="J21:J22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{2B39508D-BA60-469E-A774-190447F2D58A}</x14:id>
        </ext>
      </extLst>
    </cfRule>
  </conditionalFormatting>
  <conditionalFormatting sqref="L21:L22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{D4DE3395-08E5-44A3-99F6-B31BCDF754ED}</x14:id>
        </ext>
      </extLst>
    </cfRule>
  </conditionalFormatting>
  <conditionalFormatting sqref="M21:M22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{7683FADA-8B49-47B2-8F77-AC7F96669BB0}</x14:id>
        </ext>
      </extLst>
    </cfRule>
  </conditionalFormatting>
  <conditionalFormatting sqref="L21:L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{5E84C0A7-BF52-40FD-A3E4-4F8C341804FB}</x14:id>
        </ext>
      </extLst>
    </cfRule>
  </conditionalFormatting>
  <conditionalFormatting sqref="M21:M22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{40641DD5-9F07-4B39-9F31-8594A0240642}</x14:id>
        </ext>
      </extLst>
    </cfRule>
  </conditionalFormatting>
  <conditionalFormatting sqref="J21:J22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{CB3F2B39-F7F9-45F4-BDE5-0AB9B09BB599}</x14:id>
        </ext>
      </extLst>
    </cfRule>
  </conditionalFormatting>
  <conditionalFormatting sqref="J21:J22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{F82F9CD2-8FEE-49FE-B967-8ECC619D7EBD}</x14:id>
        </ext>
      </extLst>
    </cfRule>
  </conditionalFormatting>
  <conditionalFormatting sqref="L21:L22"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{C39E8199-1C43-46F3-A397-BFD6C2DFF8F2}</x14:id>
        </ext>
      </extLst>
    </cfRule>
  </conditionalFormatting>
  <conditionalFormatting sqref="M21:M22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{CE74E839-0010-459A-B75A-646BEC4843E0}</x14:id>
        </ext>
      </extLst>
    </cfRule>
  </conditionalFormatting>
  <conditionalFormatting sqref="J21:J22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{13DA1E3F-9EC5-496B-A114-0B9345D0A6A7}</x14:id>
        </ext>
      </extLst>
    </cfRule>
  </conditionalFormatting>
  <conditionalFormatting sqref="L21:L22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{E55C39DA-16AB-44B0-8DB7-7311A8C686A7}</x14:id>
        </ext>
      </extLst>
    </cfRule>
  </conditionalFormatting>
  <conditionalFormatting sqref="M21:M22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{6E912CCF-2721-4B23-B2FF-0DF9CF818CF3}</x14:id>
        </ext>
      </extLst>
    </cfRule>
  </conditionalFormatting>
  <conditionalFormatting sqref="L21:L22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{2D187512-AF02-494C-98C0-611932FCDB22}</x14:id>
        </ext>
      </extLst>
    </cfRule>
  </conditionalFormatting>
  <conditionalFormatting sqref="M21:M22">
    <cfRule type="dataBar" priority="3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{356F95E6-7296-4B0E-83DE-B19F591F6FA4}</x14:id>
        </ext>
      </extLst>
    </cfRule>
  </conditionalFormatting>
  <conditionalFormatting sqref="J21:J22"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{34F83905-3BE4-400D-A38C-5F1756A5962A}</x14:id>
        </ext>
      </extLst>
    </cfRule>
  </conditionalFormatting>
  <conditionalFormatting sqref="L19">
    <cfRule type="dataBar" priority="1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{EB2CC9F2-A2F2-4D3D-908F-9ECF946B02B3}</x14:id>
        </ext>
      </extLst>
    </cfRule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{FBA8F0AB-9920-4B27-9DAE-2F8B153FCA75}</x14:id>
        </ext>
      </extLst>
    </cfRule>
  </conditionalFormatting>
  <conditionalFormatting sqref="M19">
    <cfRule type="dataBar" priority="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{4562270B-D9A3-40D8-8590-67536913BAFA}</x14:id>
        </ext>
      </extLst>
    </cfRule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{7257E96B-534A-4984-9586-81922EF7575B}</x14:id>
        </ext>
      </extLst>
    </cfRule>
  </conditionalFormatting>
  <conditionalFormatting sqref="L19"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{64EDC337-9CF8-4588-B25D-CAFE4BB4946D}</x14:id>
        </ext>
      </extLst>
    </cfRule>
  </conditionalFormatting>
  <conditionalFormatting sqref="M19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{D322F95A-6EDF-428F-8B98-115FEC3FA48F}</x14:id>
        </ext>
      </extLst>
    </cfRule>
  </conditionalFormatting>
  <conditionalFormatting sqref="J19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{E8805253-3FE4-4A30-8DF6-388C80E85806}</x14:id>
        </ext>
      </extLst>
    </cfRule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{B56B5650-0232-432A-9635-9AFB21697A63}</x14:id>
        </ext>
      </extLst>
    </cfRule>
  </conditionalFormatting>
  <conditionalFormatting sqref="J19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{39917CF3-94FE-467E-A460-3660C1E07400}</x14:id>
        </ext>
      </extLst>
    </cfRule>
  </conditionalFormatting>
  <conditionalFormatting sqref="J19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{4D63619B-C635-478F-A8DA-5EC809FD6ED9}</x14:id>
        </ext>
      </extLst>
    </cfRule>
  </conditionalFormatting>
  <conditionalFormatting sqref="L19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{61633D19-48A7-4AEE-99E9-BE14F2A7A58A}</x14:id>
        </ext>
      </extLst>
    </cfRule>
  </conditionalFormatting>
  <conditionalFormatting sqref="M19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{CDFB12F2-1055-4DD7-A128-8A2E7F20AC16}</x14:id>
        </ext>
      </extLst>
    </cfRule>
  </conditionalFormatting>
  <conditionalFormatting sqref="L19"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{9D95CCAE-9CE6-4054-BA12-EEF9FA36A347}</x14:id>
        </ext>
      </extLst>
    </cfRule>
  </conditionalFormatting>
  <conditionalFormatting sqref="M19">
    <cfRule type="dataBar" priority="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{846A5F18-8BDB-4C28-9EF2-D5C35BBE9E1B}</x14:id>
        </ext>
      </extLst>
    </cfRule>
  </conditionalFormatting>
  <conditionalFormatting sqref="J19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{671F1E6E-A587-4E7D-B166-36CF7D9AB769}</x14:id>
        </ext>
      </extLst>
    </cfRule>
  </conditionalFormatting>
  <conditionalFormatting sqref="J19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{29B5BF0C-3BF5-410F-91C8-C1FABD60A34D}</x14:id>
        </ext>
      </extLst>
    </cfRule>
  </conditionalFormatting>
  <conditionalFormatting sqref="L19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{FFF284B3-9F4B-4D51-8D37-FD637D5CE3FB}</x14:id>
        </ext>
      </extLst>
    </cfRule>
  </conditionalFormatting>
  <conditionalFormatting sqref="M19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{BFF801F5-2632-4FE6-9334-45AA83D43FB8}</x14:id>
        </ext>
      </extLst>
    </cfRule>
  </conditionalFormatting>
  <conditionalFormatting sqref="J19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{67E79EC8-34F0-4A98-BE69-D7BB81BD41E2}</x14:id>
        </ext>
      </extLst>
    </cfRule>
  </conditionalFormatting>
  <conditionalFormatting sqref="L19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{B348606C-0C89-4C73-80C6-81285AA40550}</x14:id>
        </ext>
      </extLst>
    </cfRule>
  </conditionalFormatting>
  <conditionalFormatting sqref="M19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{1E395CE1-653B-494B-8D51-89024DAC9C9F}</x14:id>
        </ext>
      </extLst>
    </cfRule>
  </conditionalFormatting>
  <conditionalFormatting sqref="L1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{25A772F9-459A-4467-913E-E5E40E6E6360}</x14:id>
        </ext>
      </extLst>
    </cfRule>
  </conditionalFormatting>
  <conditionalFormatting sqref="M19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{1AB572CB-C49F-49A5-B57C-14B98D2B18B1}</x14:id>
        </ext>
      </extLst>
    </cfRule>
  </conditionalFormatting>
  <conditionalFormatting sqref="J19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{DF6E6032-4367-495C-BC15-85EBCD0F3061}</x14:id>
        </ext>
      </extLst>
    </cfRule>
  </conditionalFormatting>
  <conditionalFormatting sqref="L20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{7B59B435-DAB3-4225-BEC0-558D37B24809}</x14:id>
        </ext>
      </extLst>
    </cfRule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{D372C59C-6631-421C-85D6-AE5609419291}</x14:id>
        </ext>
      </extLst>
    </cfRule>
  </conditionalFormatting>
  <conditionalFormatting sqref="M20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{01BF964C-EC01-4A30-9CFF-3095CC66630D}</x14:id>
        </ext>
      </extLst>
    </cfRule>
    <cfRule type="dataBar" priority="1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{6D3E9F13-C348-45BE-A410-411A5C695BB7}</x14:id>
        </ext>
      </extLst>
    </cfRule>
  </conditionalFormatting>
  <conditionalFormatting sqref="L20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{9C07A8E8-0244-4209-9281-F3D0D1E01355}</x14:id>
        </ext>
      </extLst>
    </cfRule>
  </conditionalFormatting>
  <conditionalFormatting sqref="M20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{104B1ABF-CD87-471F-A9FC-EA5BBEE26DEE}</x14:id>
        </ext>
      </extLst>
    </cfRule>
  </conditionalFormatting>
  <conditionalFormatting sqref="J20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{602617F2-7627-4F07-9895-2A113D9C588E}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{D7D7E56E-3428-4340-A8C3-2E96A79D7CF0}</x14:id>
        </ext>
      </extLst>
    </cfRule>
  </conditionalFormatting>
  <conditionalFormatting sqref="J20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{8F67F242-86AF-4852-BF21-C7D04BA9E3E2}</x14:id>
        </ext>
      </extLst>
    </cfRule>
  </conditionalFormatting>
  <conditionalFormatting sqref="J20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{A13AEAE7-F797-49FE-BC24-0802A745FD29}</x14:id>
        </ext>
      </extLst>
    </cfRule>
  </conditionalFormatting>
  <conditionalFormatting sqref="L20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{824BC54C-0FB0-4F40-8587-9A76A1A543EA}</x14:id>
        </ext>
      </extLst>
    </cfRule>
  </conditionalFormatting>
  <conditionalFormatting sqref="M20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{FF09322D-18DA-457D-9F61-755C434E4D07}</x14:id>
        </ext>
      </extLst>
    </cfRule>
  </conditionalFormatting>
  <conditionalFormatting sqref="L20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{34F8DB70-491D-40CE-84CC-25BE027AB9FC}</x14:id>
        </ext>
      </extLst>
    </cfRule>
  </conditionalFormatting>
  <conditionalFormatting sqref="M20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{6D6DFFA3-AE15-4795-9C05-5C1C84FF78C4}</x14:id>
        </ext>
      </extLst>
    </cfRule>
  </conditionalFormatting>
  <conditionalFormatting sqref="J20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{3731DA63-A98A-45DA-8F58-08389EA35D96}</x14:id>
        </ext>
      </extLst>
    </cfRule>
  </conditionalFormatting>
  <conditionalFormatting sqref="J20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{A5626F9B-EDFA-457E-B015-6F20C1E2D951}</x14:id>
        </ext>
      </extLst>
    </cfRule>
  </conditionalFormatting>
  <conditionalFormatting sqref="L2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{045AB630-2230-4755-B6A1-A887C0AF81FA}</x14:id>
        </ext>
      </extLst>
    </cfRule>
  </conditionalFormatting>
  <conditionalFormatting sqref="M20">
    <cfRule type="dataBar" priority="1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{42A6BA14-ABF9-4B67-B787-C4A187D46CBB}</x14:id>
        </ext>
      </extLst>
    </cfRule>
  </conditionalFormatting>
  <conditionalFormatting sqref="J20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{7603E7AB-D8D9-4460-8F89-5F179D2FFB40}</x14:id>
        </ext>
      </extLst>
    </cfRule>
  </conditionalFormatting>
  <conditionalFormatting sqref="L20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{04A9563B-1878-45D4-993A-E28161514FAB}</x14:id>
        </ext>
      </extLst>
    </cfRule>
  </conditionalFormatting>
  <conditionalFormatting sqref="M20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{32CE8D04-B7F8-4775-BFA8-F320965ADA71}</x14:id>
        </ext>
      </extLst>
    </cfRule>
  </conditionalFormatting>
  <conditionalFormatting sqref="L20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{A1C24E2B-1825-4107-9192-2D2CABB9A2C8}</x14:id>
        </ext>
      </extLst>
    </cfRule>
  </conditionalFormatting>
  <conditionalFormatting sqref="M20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{0BD8B3FB-E117-47A4-8EBB-4D32490342AC}</x14:id>
        </ext>
      </extLst>
    </cfRule>
  </conditionalFormatting>
  <conditionalFormatting sqref="J20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{81D71D2B-AC59-4064-9CE1-EDBB93DB30CF}</x14:id>
        </ext>
      </extLst>
    </cfRule>
  </conditionalFormatting>
  <conditionalFormatting sqref="L1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{50397A57-A417-4F07-B7DC-7722C44D01F0}</x14:id>
        </ext>
      </extLst>
    </cfRule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{2B43FF30-C0E2-48BE-AAFC-F1A6BCE78365}</x14:id>
        </ext>
      </extLst>
    </cfRule>
  </conditionalFormatting>
  <conditionalFormatting sqref="M13">
    <cfRule type="dataBar" priority="1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{A48C0901-8BDB-4B80-8DBE-6E1B2F05FBB7}</x14:id>
        </ext>
      </extLst>
    </cfRule>
    <cfRule type="dataBar" priority="1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{AD8D7E89-B6A6-484F-B404-7E7632E6D050}</x14:id>
        </ext>
      </extLst>
    </cfRule>
  </conditionalFormatting>
  <conditionalFormatting sqref="L13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{ED26ACD4-96B6-4193-BA7D-08F03A7B0C39}</x14:id>
        </ext>
      </extLst>
    </cfRule>
  </conditionalFormatting>
  <conditionalFormatting sqref="M13">
    <cfRule type="dataBar" priority="1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{926DB793-A594-4B61-A986-87CD893B9E93}</x14:id>
        </ext>
      </extLst>
    </cfRule>
  </conditionalFormatting>
  <conditionalFormatting sqref="J13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{7A341EF9-EAC4-43AC-9958-1AF7CF1CD0AF}</x14:id>
        </ext>
      </extLst>
    </cfRule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{25CA1446-A993-456A-8870-1740CCC497D4}</x14:id>
        </ext>
      </extLst>
    </cfRule>
  </conditionalFormatting>
  <conditionalFormatting sqref="J13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{E5AA3AF0-13D5-4B55-AB9D-8AE3E14D74EC}</x14:id>
        </ext>
      </extLst>
    </cfRule>
  </conditionalFormatting>
  <conditionalFormatting sqref="J13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{CDF3344C-4916-4E9D-9684-492795A747C1}</x14:id>
        </ext>
      </extLst>
    </cfRule>
  </conditionalFormatting>
  <conditionalFormatting sqref="L13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{6DFC2678-9D14-491C-B4E0-7FAC3EF74BDB}</x14:id>
        </ext>
      </extLst>
    </cfRule>
  </conditionalFormatting>
  <conditionalFormatting sqref="M13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{D9BBBA4F-5154-42DA-BAB4-9CC197250F06}</x14:id>
        </ext>
      </extLst>
    </cfRule>
  </conditionalFormatting>
  <conditionalFormatting sqref="L1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{5BE8D6F5-4C95-4319-ACEF-D8739BB91BFA}</x14:id>
        </ext>
      </extLst>
    </cfRule>
  </conditionalFormatting>
  <conditionalFormatting sqref="M13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{963AED20-F230-4519-824D-152E3BD6427E}</x14:id>
        </ext>
      </extLst>
    </cfRule>
  </conditionalFormatting>
  <conditionalFormatting sqref="J13"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{58723E67-00E0-415D-AA8E-AEA26156FD56}</x14:id>
        </ext>
      </extLst>
    </cfRule>
  </conditionalFormatting>
  <conditionalFormatting sqref="J13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{05EDEDB8-E44E-492A-86ED-FDA22401830B}</x14:id>
        </ext>
      </extLst>
    </cfRule>
  </conditionalFormatting>
  <conditionalFormatting sqref="L13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{6779C6E4-8070-432B-96C0-326C4367365C}</x14:id>
        </ext>
      </extLst>
    </cfRule>
  </conditionalFormatting>
  <conditionalFormatting sqref="M13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{0EFBBBFE-65B2-4BFA-AA51-D0EB32823023}</x14:id>
        </ext>
      </extLst>
    </cfRule>
  </conditionalFormatting>
  <conditionalFormatting sqref="J13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{0612D11B-EFDF-4C97-A957-B705BCA950B6}</x14:id>
        </ext>
      </extLst>
    </cfRule>
  </conditionalFormatting>
  <conditionalFormatting sqref="L13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{089B84E1-9E3B-452F-BCFB-31E70DBA9BA6}</x14:id>
        </ext>
      </extLst>
    </cfRule>
  </conditionalFormatting>
  <conditionalFormatting sqref="M13">
    <cfRule type="dataBar" priority="1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{FD3D2914-7B54-43C0-9E4D-CBBD23FA75B4}</x14:id>
        </ext>
      </extLst>
    </cfRule>
  </conditionalFormatting>
  <conditionalFormatting sqref="L13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{1569D22F-DA51-4459-B300-44C70A2A60BD}</x14:id>
        </ext>
      </extLst>
    </cfRule>
  </conditionalFormatting>
  <conditionalFormatting sqref="M13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{E49C6232-7B75-4F79-BB9F-CA950EBF7457}</x14:id>
        </ext>
      </extLst>
    </cfRule>
  </conditionalFormatting>
  <conditionalFormatting sqref="J13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{3165E6C8-4769-4766-BB14-A7AB17A2691B}</x14:id>
        </ext>
      </extLst>
    </cfRule>
  </conditionalFormatting>
  <conditionalFormatting sqref="L14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{3FE7F034-DE95-4472-B874-FA700D786BC7}</x14:id>
        </ext>
      </extLst>
    </cfRule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{8447E187-FC40-4D32-A13D-5091885C63F6}</x14:id>
        </ext>
      </extLst>
    </cfRule>
  </conditionalFormatting>
  <conditionalFormatting sqref="M14">
    <cfRule type="dataBar" priority="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{30FFD064-B9B0-49AA-BF72-F8B2C04914B8}</x14:id>
        </ext>
      </extLst>
    </cfRule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{D5F0C4D6-C890-40A7-84D6-102D5CB2FD6E}</x14:id>
        </ext>
      </extLst>
    </cfRule>
  </conditionalFormatting>
  <conditionalFormatting sqref="L14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{CF12295F-4928-4BAA-B5F1-3DECEAD1F037}</x14:id>
        </ext>
      </extLst>
    </cfRule>
  </conditionalFormatting>
  <conditionalFormatting sqref="M14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{DAD98F3D-B417-49DD-9E05-F35BBE78F2F5}</x14:id>
        </ext>
      </extLst>
    </cfRule>
  </conditionalFormatting>
  <conditionalFormatting sqref="J14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{717E6B08-70EC-474D-8755-5AF308CB228C}</x14:id>
        </ext>
      </extLst>
    </cfRule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{C09E880A-AAC0-469E-9A51-5C968CBC93DC}</x14:id>
        </ext>
      </extLst>
    </cfRule>
  </conditionalFormatting>
  <conditionalFormatting sqref="J14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{F8611AD6-5887-4AA6-BC0C-E694F0F71077}</x14:id>
        </ext>
      </extLst>
    </cfRule>
  </conditionalFormatting>
  <conditionalFormatting sqref="J14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{95126BFC-444F-4971-8480-9524EDB975B5}</x14:id>
        </ext>
      </extLst>
    </cfRule>
  </conditionalFormatting>
  <conditionalFormatting sqref="L14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{E5A6DE34-DC96-4111-92B4-49ED61A04A83}</x14:id>
        </ext>
      </extLst>
    </cfRule>
  </conditionalFormatting>
  <conditionalFormatting sqref="M14">
    <cfRule type="dataBar" priority="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{6E3594C5-6B21-4F9F-AB74-3529E8221841}</x14:id>
        </ext>
      </extLst>
    </cfRule>
  </conditionalFormatting>
  <conditionalFormatting sqref="L14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{5F8C7167-EEC9-4BD7-A2A3-D013244A1BE4}</x14:id>
        </ext>
      </extLst>
    </cfRule>
  </conditionalFormatting>
  <conditionalFormatting sqref="M14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{1166D6F9-CC82-4CBD-AD39-0C3ADEBD8E97}</x14:id>
        </ext>
      </extLst>
    </cfRule>
  </conditionalFormatting>
  <conditionalFormatting sqref="J1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{8418B53E-2550-4F35-9B8E-2FF1B5B12ECA}</x14:id>
        </ext>
      </extLst>
    </cfRule>
  </conditionalFormatting>
  <conditionalFormatting sqref="J14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{BA8AEAFD-D162-4118-A9EE-8A8EF3CACAFB}</x14:id>
        </ext>
      </extLst>
    </cfRule>
  </conditionalFormatting>
  <conditionalFormatting sqref="L14"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{CC4C97BB-83A9-4C10-A528-46E5160F1CE1}</x14:id>
        </ext>
      </extLst>
    </cfRule>
  </conditionalFormatting>
  <conditionalFormatting sqref="M14">
    <cfRule type="dataBar" priority="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{B4E46C3E-F412-47E8-A235-AA2F1469D07E}</x14:id>
        </ext>
      </extLst>
    </cfRule>
  </conditionalFormatting>
  <conditionalFormatting sqref="J14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{C7FF9816-760C-4B0B-861D-FC664B0E5A6D}</x14:id>
        </ext>
      </extLst>
    </cfRule>
  </conditionalFormatting>
  <conditionalFormatting sqref="L14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{B67CC6FB-9F68-46BB-ABB6-BF20CFAE4756}</x14:id>
        </ext>
      </extLst>
    </cfRule>
  </conditionalFormatting>
  <conditionalFormatting sqref="M14">
    <cfRule type="dataBar" priority="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{AB6C3207-82EA-4E8A-BF13-B64A1A52992E}</x14:id>
        </ext>
      </extLst>
    </cfRule>
  </conditionalFormatting>
  <conditionalFormatting sqref="L14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{0171D147-E116-422A-AF35-C60F0EDA15AF}</x14:id>
        </ext>
      </extLst>
    </cfRule>
  </conditionalFormatting>
  <conditionalFormatting sqref="M14">
    <cfRule type="dataBar" priority="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{74BD42F0-3F32-4797-A640-F8B276CE1732}</x14:id>
        </ext>
      </extLst>
    </cfRule>
  </conditionalFormatting>
  <conditionalFormatting sqref="J14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{7F5F721F-68F6-406C-B761-4F12FE37E547}</x14:id>
        </ext>
      </extLst>
    </cfRule>
  </conditionalFormatting>
  <conditionalFormatting sqref="L15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{5B65522C-570A-44E8-A9F5-10520105AEF7}</x14:id>
        </ext>
      </extLst>
    </cfRule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{6241B65B-7157-4EFA-8B3F-B94A5212E998}</x14:id>
        </ext>
      </extLst>
    </cfRule>
  </conditionalFormatting>
  <conditionalFormatting sqref="M15">
    <cfRule type="dataBar" priority="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{43C35F51-03ED-490F-A3AD-C315C185389A}</x14:id>
        </ext>
      </extLst>
    </cfRule>
    <cfRule type="dataBar" priority="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{85DE76D6-8D05-4C0A-BB93-1AB97CB334D9}</x14:id>
        </ext>
      </extLst>
    </cfRule>
  </conditionalFormatting>
  <conditionalFormatting sqref="L15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{569C498D-6277-4A2E-ACB9-7BD198250EE4}</x14:id>
        </ext>
      </extLst>
    </cfRule>
  </conditionalFormatting>
  <conditionalFormatting sqref="M15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{41256A84-A60E-4C4B-9B6E-8383EDC198C1}</x14:id>
        </ext>
      </extLst>
    </cfRule>
  </conditionalFormatting>
  <conditionalFormatting sqref="J15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{9D3BF3FB-9FE6-4DAB-B45F-F81D15253B00}</x14:id>
        </ext>
      </extLst>
    </cfRule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{BE137188-6C42-413D-95ED-495211EC63C8}</x14:id>
        </ext>
      </extLst>
    </cfRule>
  </conditionalFormatting>
  <conditionalFormatting sqref="J15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{A87A5BE7-43DB-48D9-83E4-4C289E78FC43}</x14:id>
        </ext>
      </extLst>
    </cfRule>
  </conditionalFormatting>
  <conditionalFormatting sqref="J15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{2D43F40C-ECF0-480E-9E54-389CD5A5E347}</x14:id>
        </ext>
      </extLst>
    </cfRule>
  </conditionalFormatting>
  <conditionalFormatting sqref="L15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{F7E75980-6BCA-4AF0-9B57-26D0104574B5}</x14:id>
        </ext>
      </extLst>
    </cfRule>
  </conditionalFormatting>
  <conditionalFormatting sqref="M15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{72BFBB5C-5E2B-4E37-83BB-5843CD2FEF47}</x14:id>
        </ext>
      </extLst>
    </cfRule>
  </conditionalFormatting>
  <conditionalFormatting sqref="L15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{A83F3BFD-25BE-472D-9D4C-04BAFB952769}</x14:id>
        </ext>
      </extLst>
    </cfRule>
  </conditionalFormatting>
  <conditionalFormatting sqref="M15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{C2DC78D9-7E0E-4186-A3D3-C5C20EE3D493}</x14:id>
        </ext>
      </extLst>
    </cfRule>
  </conditionalFormatting>
  <conditionalFormatting sqref="J15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{1E7BC3FE-14FD-4632-AB40-21C06494C348}</x14:id>
        </ext>
      </extLst>
    </cfRule>
  </conditionalFormatting>
  <conditionalFormatting sqref="J1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{C41736C2-4A95-4C22-8539-B27DDA69EE9C}</x14:id>
        </ext>
      </extLst>
    </cfRule>
  </conditionalFormatting>
  <conditionalFormatting sqref="L15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{DD699791-9A41-4D72-A461-CA613797C31A}</x14:id>
        </ext>
      </extLst>
    </cfRule>
  </conditionalFormatting>
  <conditionalFormatting sqref="M15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{62348969-CAEB-4987-8FDF-3DC8CAB86F04}</x14:id>
        </ext>
      </extLst>
    </cfRule>
  </conditionalFormatting>
  <conditionalFormatting sqref="J15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{2955DE12-CF15-4E52-902E-7FD00C44E901}</x14:id>
        </ext>
      </extLst>
    </cfRule>
  </conditionalFormatting>
  <conditionalFormatting sqref="L15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{5264E21F-9E61-4ABE-ABFB-E7B848781B6F}</x14:id>
        </ext>
      </extLst>
    </cfRule>
  </conditionalFormatting>
  <conditionalFormatting sqref="M15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{EEF4C419-16C4-42B2-9C3D-1C937E182252}</x14:id>
        </ext>
      </extLst>
    </cfRule>
  </conditionalFormatting>
  <conditionalFormatting sqref="L15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{01BB927C-41B4-42D0-89CF-AAEB461C3445}</x14:id>
        </ext>
      </extLst>
    </cfRule>
  </conditionalFormatting>
  <conditionalFormatting sqref="M15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{9F571E72-FB35-4134-8E2A-8E3FDC167A39}</x14:id>
        </ext>
      </extLst>
    </cfRule>
  </conditionalFormatting>
  <conditionalFormatting sqref="J15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{C8989DAC-20E3-4728-B526-9ACD9090D364}</x14:id>
        </ext>
      </extLst>
    </cfRule>
  </conditionalFormatting>
  <conditionalFormatting sqref="L16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{A507CF50-CF53-4D32-ABB9-702C07967130}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{82F22EAD-ED0B-418A-BE06-10BB0BC339BD}</x14:id>
        </ext>
      </extLst>
    </cfRule>
  </conditionalFormatting>
  <conditionalFormatting sqref="M16">
    <cfRule type="dataBar" priority="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{BF2E4309-3308-4815-8AE5-38E5E8FA148A}</x14:id>
        </ext>
      </extLst>
    </cfRule>
    <cfRule type="dataBar" priority="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{A8B2141A-FF47-4440-B619-964F418B414A}</x14:id>
        </ext>
      </extLst>
    </cfRule>
  </conditionalFormatting>
  <conditionalFormatting sqref="L16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{00EFEA0E-70B7-4558-B65D-76A9B7EB127A}</x14:id>
        </ext>
      </extLst>
    </cfRule>
  </conditionalFormatting>
  <conditionalFormatting sqref="M16">
    <cfRule type="dataBar" priority="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{ACF2E4B7-7B0E-4736-B513-F7F2E0180F73}</x14:id>
        </ext>
      </extLst>
    </cfRule>
  </conditionalFormatting>
  <conditionalFormatting sqref="J16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{6F357AE2-9037-4FFE-BDD9-8D5C3BD29204}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{22505DDF-941A-409A-87E4-0E38912A1C34}</x14:id>
        </ext>
      </extLst>
    </cfRule>
  </conditionalFormatting>
  <conditionalFormatting sqref="J16"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{497B400E-C4E5-445F-8DB1-C079337E9C48}</x14:id>
        </ext>
      </extLst>
    </cfRule>
  </conditionalFormatting>
  <conditionalFormatting sqref="J16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{64D3A258-52CA-4574-8D0E-F0E094984B6E}</x14:id>
        </ext>
      </extLst>
    </cfRule>
  </conditionalFormatting>
  <conditionalFormatting sqref="L16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{C11F109B-B418-465B-A0BA-4C8883070533}</x14:id>
        </ext>
      </extLst>
    </cfRule>
  </conditionalFormatting>
  <conditionalFormatting sqref="M16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{DD954D2B-5952-4474-8B85-E84DF1AB06E1}</x14:id>
        </ext>
      </extLst>
    </cfRule>
  </conditionalFormatting>
  <conditionalFormatting sqref="L16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{671C7A58-E4AB-4B99-910C-BB47CAC50DE8}</x14:id>
        </ext>
      </extLst>
    </cfRule>
  </conditionalFormatting>
  <conditionalFormatting sqref="M16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{1C90D7FF-0B67-4989-B81A-983805198C59}</x14:id>
        </ext>
      </extLst>
    </cfRule>
  </conditionalFormatting>
  <conditionalFormatting sqref="J16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{3EC3377D-D0DF-4030-A95D-79C70CDBFB01}</x14:id>
        </ext>
      </extLst>
    </cfRule>
  </conditionalFormatting>
  <conditionalFormatting sqref="J16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{58B78D63-52E3-4AB6-ADD4-3DAD5362204C}</x14:id>
        </ext>
      </extLst>
    </cfRule>
  </conditionalFormatting>
  <conditionalFormatting sqref="L16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{294F5E9B-638A-42CB-B001-34A8E595B253}</x14:id>
        </ext>
      </extLst>
    </cfRule>
  </conditionalFormatting>
  <conditionalFormatting sqref="M16">
    <cfRule type="dataBar" priority="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{959C5A66-F932-4038-9CF6-117BB581E993}</x14:id>
        </ext>
      </extLst>
    </cfRule>
  </conditionalFormatting>
  <conditionalFormatting sqref="J16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{EC7DCF45-98BA-455A-9A6E-195E0097868C}</x14:id>
        </ext>
      </extLst>
    </cfRule>
  </conditionalFormatting>
  <conditionalFormatting sqref="L16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{4A93D2A1-B4CE-4A80-8C99-A04786A94251}</x14:id>
        </ext>
      </extLst>
    </cfRule>
  </conditionalFormatting>
  <conditionalFormatting sqref="M16">
    <cfRule type="dataBar" priority="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{42AEBDBF-118F-4740-B291-EA36EA0A6203}</x14:id>
        </ext>
      </extLst>
    </cfRule>
  </conditionalFormatting>
  <conditionalFormatting sqref="L16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{29B97338-2F96-4711-82C2-2B77FAA9A732}</x14:id>
        </ext>
      </extLst>
    </cfRule>
  </conditionalFormatting>
  <conditionalFormatting sqref="M16"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{F1926A45-82FE-49EE-9512-C6D2543E2594}</x14:id>
        </ext>
      </extLst>
    </cfRule>
  </conditionalFormatting>
  <conditionalFormatting sqref="J16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{AA3B4BE9-06F7-4689-8260-F5839DB858AD}</x14:id>
        </ext>
      </extLst>
    </cfRule>
  </conditionalFormatting>
  <conditionalFormatting sqref="L17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{3564FCF4-2AF6-459A-A5FF-9ABE94C072C0}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{9D3B2E23-B363-4376-BC08-8DB7F5D60474}</x14:id>
        </ext>
      </extLst>
    </cfRule>
  </conditionalFormatting>
  <conditionalFormatting sqref="M17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{D65BC08C-17E5-414F-8A38-131883956745}</x14:id>
        </ext>
      </extLst>
    </cfRule>
    <cfRule type="dataBar" priority="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{BB749168-A265-4A9A-8EBA-67640F5EC1E0}</x14:id>
        </ext>
      </extLst>
    </cfRule>
  </conditionalFormatting>
  <conditionalFormatting sqref="L17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{B5D6CD31-1B10-40EB-B02C-9BC98C65CB06}</x14:id>
        </ext>
      </extLst>
    </cfRule>
  </conditionalFormatting>
  <conditionalFormatting sqref="M17">
    <cfRule type="dataBar" priority="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{E396C147-8F47-4F4C-B0EB-62471BE61AFB}</x14:id>
        </ext>
      </extLst>
    </cfRule>
  </conditionalFormatting>
  <conditionalFormatting sqref="J17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{CAE96383-653D-4D59-9339-7A6358505515}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{B6C4DEBA-F69C-455A-A40D-5971FEE841D8}</x14:id>
        </ext>
      </extLst>
    </cfRule>
  </conditionalFormatting>
  <conditionalFormatting sqref="J17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{1FCE8A2A-87F2-46AF-8A0F-EFEF30BD42D5}</x14:id>
        </ext>
      </extLst>
    </cfRule>
  </conditionalFormatting>
  <conditionalFormatting sqref="J17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{DF8650F6-4D42-4774-9DCC-CD14C63BAB69}</x14:id>
        </ext>
      </extLst>
    </cfRule>
  </conditionalFormatting>
  <conditionalFormatting sqref="L1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{2C78D951-7A0F-49C5-BA0F-F43993E0C3F0}</x14:id>
        </ext>
      </extLst>
    </cfRule>
  </conditionalFormatting>
  <conditionalFormatting sqref="M17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{3A05EEC7-B09D-4B6E-B6A5-274305474CC7}</x14:id>
        </ext>
      </extLst>
    </cfRule>
  </conditionalFormatting>
  <conditionalFormatting sqref="L17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{B37F43F2-7488-49FD-A2E9-408815C07FF9}</x14:id>
        </ext>
      </extLst>
    </cfRule>
  </conditionalFormatting>
  <conditionalFormatting sqref="M17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{E6DFAF47-C8D7-4F64-B14F-DEF750907EC1}</x14:id>
        </ext>
      </extLst>
    </cfRule>
  </conditionalFormatting>
  <conditionalFormatting sqref="J17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{53809C05-E93D-491F-8E5D-A2C9B295065F}</x14:id>
        </ext>
      </extLst>
    </cfRule>
  </conditionalFormatting>
  <conditionalFormatting sqref="J17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{78DBC3BC-43E7-4169-963F-B02908169647}</x14:id>
        </ext>
      </extLst>
    </cfRule>
  </conditionalFormatting>
  <conditionalFormatting sqref="L17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{DD0A1F6B-BFF9-45C7-BD17-3CBEA171837F}</x14:id>
        </ext>
      </extLst>
    </cfRule>
  </conditionalFormatting>
  <conditionalFormatting sqref="M17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{38853F00-6870-4AC5-888D-75016623FD54}</x14:id>
        </ext>
      </extLst>
    </cfRule>
  </conditionalFormatting>
  <conditionalFormatting sqref="J17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{D971F2B9-2343-45D6-9609-42EF9100AD75}</x14:id>
        </ext>
      </extLst>
    </cfRule>
  </conditionalFormatting>
  <conditionalFormatting sqref="L1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{B84E3AC7-1A99-452B-B05A-4D3CD4A1DE20}</x14:id>
        </ext>
      </extLst>
    </cfRule>
  </conditionalFormatting>
  <conditionalFormatting sqref="M17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{1B971AA4-E0F7-4333-BB01-480C010B8045}</x14:id>
        </ext>
      </extLst>
    </cfRule>
  </conditionalFormatting>
  <conditionalFormatting sqref="L17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{6D305E8C-2713-4221-94B5-82D742EE5EBA}</x14:id>
        </ext>
      </extLst>
    </cfRule>
  </conditionalFormatting>
  <conditionalFormatting sqref="M17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{06BCAD03-7919-4379-A47E-FA8022BF7963}</x14:id>
        </ext>
      </extLst>
    </cfRule>
  </conditionalFormatting>
  <conditionalFormatting sqref="J17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{5623050D-77EC-4790-8947-7B969516D316}</x14:id>
        </ext>
      </extLst>
    </cfRule>
  </conditionalFormatting>
  <conditionalFormatting sqref="L1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{D0B7ADDA-F3D0-4407-918D-F9C43A6335CC}</x14:id>
        </ext>
      </extLst>
    </cfRule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{12CD4D24-1824-4BC6-9A1E-ED44B9C67519}</x14:id>
        </ext>
      </extLst>
    </cfRule>
  </conditionalFormatting>
  <conditionalFormatting sqref="M18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{F4FED097-9C66-4DFE-AEEF-EE68F34DD216}</x14:id>
        </ext>
      </extLst>
    </cfRule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{5E58D75E-E13D-4176-A73E-5326F86B6BB2}</x14:id>
        </ext>
      </extLst>
    </cfRule>
  </conditionalFormatting>
  <conditionalFormatting sqref="L18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{3211E29D-20EE-40BD-BE72-34497E270A6E}</x14:id>
        </ext>
      </extLst>
    </cfRule>
  </conditionalFormatting>
  <conditionalFormatting sqref="M18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{8434C427-8095-48C5-AA9A-642B87981151}</x14:id>
        </ext>
      </extLst>
    </cfRule>
  </conditionalFormatting>
  <conditionalFormatting sqref="J18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{A15ABF4D-81D3-4C66-B31B-C496E59B1F12}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{4BBE5C12-EC20-4D3C-9319-CA108D88C37C}</x14:id>
        </ext>
      </extLst>
    </cfRule>
  </conditionalFormatting>
  <conditionalFormatting sqref="J1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{B064B496-5647-4992-AC16-E299E2CC0F6A}</x14:id>
        </ext>
      </extLst>
    </cfRule>
  </conditionalFormatting>
  <conditionalFormatting sqref="J1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{75DFF9D0-093B-4C6D-8DC2-26602E8E9494}</x14:id>
        </ext>
      </extLst>
    </cfRule>
  </conditionalFormatting>
  <conditionalFormatting sqref="L18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{ED3C3D50-2F67-4184-A090-404E0AEEEF89}</x14:id>
        </ext>
      </extLst>
    </cfRule>
  </conditionalFormatting>
  <conditionalFormatting sqref="M1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{C8C1CCF2-A312-4352-ACBC-9A1AFC1C927A}</x14:id>
        </ext>
      </extLst>
    </cfRule>
  </conditionalFormatting>
  <conditionalFormatting sqref="L1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{4DE0C07C-79F4-4EE1-B81B-528BD33932C0}</x14:id>
        </ext>
      </extLst>
    </cfRule>
  </conditionalFormatting>
  <conditionalFormatting sqref="M18">
    <cfRule type="dataBar" priority="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{340CA202-F30F-4450-A18B-629FD94E3FF1}</x14:id>
        </ext>
      </extLst>
    </cfRule>
  </conditionalFormatting>
  <conditionalFormatting sqref="J1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{223F5FA0-C885-4E15-B9DA-99B41DD23B56}</x14:id>
        </ext>
      </extLst>
    </cfRule>
  </conditionalFormatting>
  <conditionalFormatting sqref="J18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{43336699-8EA2-40F3-A148-B0406913C183}</x14:id>
        </ext>
      </extLst>
    </cfRule>
  </conditionalFormatting>
  <conditionalFormatting sqref="L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{94A3C04F-40BC-42E6-9A46-C2E04260B70F}</x14:id>
        </ext>
      </extLst>
    </cfRule>
  </conditionalFormatting>
  <conditionalFormatting sqref="M18">
    <cfRule type="dataBar" priority="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{1E9BDA6A-3B6D-4246-90D5-EB9975117600}</x14:id>
        </ext>
      </extLst>
    </cfRule>
  </conditionalFormatting>
  <conditionalFormatting sqref="J1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{657B605B-D0D9-43BC-8EEB-C8B079197FF5}</x14:id>
        </ext>
      </extLst>
    </cfRule>
  </conditionalFormatting>
  <conditionalFormatting sqref="L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{CE3D5F14-9A5D-4073-9964-AEAABC379BEE}</x14:id>
        </ext>
      </extLst>
    </cfRule>
  </conditionalFormatting>
  <conditionalFormatting sqref="M18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{F55007CE-292D-4AED-966B-349136784F86}</x14:id>
        </ext>
      </extLst>
    </cfRule>
  </conditionalFormatting>
  <conditionalFormatting sqref="L1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{27D8D9D5-C3BC-44AA-B706-81377B1AE489}</x14:id>
        </ext>
      </extLst>
    </cfRule>
  </conditionalFormatting>
  <conditionalFormatting sqref="M18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{C3F5F97A-3427-4C40-93C8-96BCC562F921}</x14:id>
        </ext>
      </extLst>
    </cfRule>
  </conditionalFormatting>
  <conditionalFormatting sqref="J1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{03D928AA-CAF7-4FFB-82D3-5679261B94FE}</x14:id>
        </ext>
      </extLst>
    </cfRule>
  </conditionalFormatting>
  <conditionalFormatting sqref="AC2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{FF113ADA-A093-45A8-AEFE-FE8353ABE2F8}</x14:id>
        </ext>
      </extLst>
    </cfRule>
  </conditionalFormatting>
  <conditionalFormatting sqref="AD2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{E1454641-EAD0-4066-A1B6-89DB938A40E8}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8342A6-125A-4E15-9C02-0A122F54D1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3C37F72D-B023-45A5-9C29-7E6C55A36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AC23</xm:sqref>
        </x14:conditionalFormatting>
        <x14:conditionalFormatting xmlns:xm="http://schemas.microsoft.com/office/excel/2006/main">
          <x14:cfRule type="dataBar" id="{98ACD8DE-54B4-4431-A8CA-FFAC56989E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AD23</xm:sqref>
        </x14:conditionalFormatting>
        <x14:conditionalFormatting xmlns:xm="http://schemas.microsoft.com/office/excel/2006/main">
          <x14:cfRule type="dataBar" id="{5BE70C1B-AEE5-4D9F-B3FB-E95F3C75B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AE23</xm:sqref>
        </x14:conditionalFormatting>
        <x14:conditionalFormatting xmlns:xm="http://schemas.microsoft.com/office/excel/2006/main">
          <x14:cfRule type="dataBar" id="{B6337D42-04AC-433A-9337-ADDD6E5D30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</xm:sqref>
        </x14:conditionalFormatting>
        <x14:conditionalFormatting xmlns:xm="http://schemas.microsoft.com/office/excel/2006/main">
          <x14:cfRule type="dataBar" id="{83F812FE-6FB4-41EC-96C9-CEB987BEC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</xm:sqref>
        </x14:conditionalFormatting>
        <x14:conditionalFormatting xmlns:xm="http://schemas.microsoft.com/office/excel/2006/main">
          <x14:cfRule type="dataBar" id="{2FCF6C32-0FF7-4971-B8E2-DC307B8217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AJ2</xm:sqref>
        </x14:conditionalFormatting>
        <x14:conditionalFormatting xmlns:xm="http://schemas.microsoft.com/office/excel/2006/main">
          <x14:cfRule type="dataBar" id="{F9BAF1AA-98D9-40E9-AD1C-10E64E649D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225B31C-4D69-40FF-98A5-A9CEFD212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1B0E8B6-72D7-4A07-8753-7C0621400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20561D9-1F8A-47C5-921F-4139396E7A8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72CC3CE-1A84-4C88-BE67-5F5AC318F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499AD3A-05BA-4DF4-A584-E0146AF99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204C6C2-4D5F-475E-9F54-4187FDBAA0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01380-93D0-46F6-96D0-69449AAA4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E20AB099-B09A-4C80-BFD6-BCA4DDA8B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9828341-9A39-4189-B64F-BAA4C40D5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3F02F469-C06F-4B4C-9DCC-1FF0878A85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1EA5A6D-985C-4E46-871B-4F94A7409F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FAFBCD81-AD08-44BC-8832-F607FF9B23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201BD5E-E341-48E9-B32B-4A86B95F18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06D1C775-7818-4B59-B18F-31CD6C9777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715AB88-12B9-47B1-9CEA-B8B7BC24B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7E9328DD-EFCB-4A34-BAEF-0C9FECCFC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94D1392-9E08-49BC-ACB3-EB77F9CFC7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6CD5DA82-586D-41E2-8DEB-909817DC5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A2D62FF5-1047-4101-A3F0-436E0888CE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7A04C6-B525-49DC-BAC4-789AE62307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AF8C494B-BAE8-4124-B53D-2ABE89ED36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68540D6-EB50-43F9-816D-E56D08BD5B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B4A446C-730D-4985-B459-C3738ADF9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D79F5D8-2EB4-4754-95D4-0FB12C4A33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C619180-B090-4226-8CF2-D0AD071CD9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992C98-EF89-43E9-A089-397C12BABD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19266C0-278C-4EF1-B1A6-163024DEE6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D1F1A78-F20E-4DCA-A5BB-A51E367E7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C458D37-148A-44F9-B51A-B05528BA28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57C2E36-133C-4E6B-99FC-E25F46A1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2060FC-C1AD-4C0A-9FA9-4FE1D308DD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6051DEE3-7D7C-416B-8D9F-6458FCE4C6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E9CDCDB-8BD7-4895-A9F1-3FC5296DF4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3209E209-B5B8-49C1-B122-DE3738D18F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1C82DAD-8D70-403D-A882-EB1C76BC15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3453E2F-CF2F-4BD7-BB07-3AA9B90755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D31B55F-CABA-4B00-9E3E-0A7ADAD2C8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144B314-AFEE-4059-A25E-7435F8B8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D2E108EA-E076-4F3E-BEC5-121CD8CC5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53D944EA-F441-478A-A7F3-FC9F52BACB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77342C7-8871-4D19-9427-605CC4FF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E14EAD07-3D18-48B5-88ED-B574C149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1D2E8A7-1C02-452D-9284-333805A93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77A89F4-6CEA-4A6D-B945-227B3FAA05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B06F3788-F785-4935-9DDE-0ECE4FADE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BAA31FB-F7A6-46F4-9376-8037415716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9429D5B1-BD8A-44BF-B336-970AB07305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C9909558-65B3-46F3-B704-D16B81784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AC3:AC19 AC21:AC22</xm:sqref>
        </x14:conditionalFormatting>
        <x14:conditionalFormatting xmlns:xm="http://schemas.microsoft.com/office/excel/2006/main">
          <x14:cfRule type="dataBar" id="{7B223F50-3339-4650-9FBF-062065217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AD3:AD19 AD21:AD22</xm:sqref>
        </x14:conditionalFormatting>
        <x14:conditionalFormatting xmlns:xm="http://schemas.microsoft.com/office/excel/2006/main">
          <x14:cfRule type="dataBar" id="{46E99D84-FCF1-4EC2-9355-97F6BC21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AE3:AE22</xm:sqref>
        </x14:conditionalFormatting>
        <x14:conditionalFormatting xmlns:xm="http://schemas.microsoft.com/office/excel/2006/main">
          <x14:cfRule type="dataBar" id="{2ADD1807-2EDC-492E-818A-D2C90025D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65D139F-5E42-4C62-AD61-48D3A110A0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9C6B5BF-C33E-4A4E-8D80-4E39906C7F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42C972-C413-459E-ACEB-8AE571676A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AFB2ACF1-82FB-4186-BE6C-0E1E12F5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9F812B8-7E9F-4B70-88A8-D65D33BE23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8D6CDAC-FCBF-4AF4-8812-D125F324B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2977-A399-4F7D-B203-736976B55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366E70E-980A-4986-800A-D7B329E3EF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111C5A47-D2B7-44B7-BF23-27F2E0AD7A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AA7EAE2B-056E-434D-9385-29B18AB0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B56A8EB-8E0B-4BCD-B8DA-BE3BFDF2C5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30FDBFC4-FBE2-4048-995F-A44E6B65F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D18B53E3-D2F2-4DD4-B220-C5BB39D545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CCCDED8-71B6-41CC-9FF5-D919C3FDF0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4B9684D-BE31-42F4-B4E1-BA2F2C8CC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BB00386-9A43-4AB3-B187-72A8A4FA9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3E918ABE-0ED2-486D-BD1E-5AF2E22ACA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0E4A141-60F6-4996-A9CF-9DB7CBABB1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8B94AF8A-53FA-41EA-BF83-61915CAE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84EAC0DA-D1E5-4A25-BCFF-5CEBD70AF8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6816B9B-8721-4EED-A647-9907002AA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8084DC0-DD85-467E-89A5-4FA683B6D4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E627B28-5D70-4D63-8D46-D49781FF5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68D338C7-943E-4A68-A2B5-84CEF84992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E1B3A3-4AC5-47DA-859C-B3E8E4372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947DE54-9A56-45BA-B6BD-89F4BF85BF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33535E2-2608-47BA-9195-B0E98FFC37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3DDE493-7AC4-40BC-AA04-54D54F01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AA9EEFF-FA18-4BEE-927A-63F48EAB54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BB45341-09C2-47A6-9A8A-9C634DC06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C6EEB8-DD83-46CB-B07D-3CDA3F142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1AB8BFC-D984-4ADC-9AD9-E7B15749DF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71BB7C18-1C17-4AD6-B03B-0C62BCAB6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6E9F0020-10EC-4DBA-A979-FC544130D0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FEC2EB7-7D77-408D-96C5-F93C2F6183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206D022A-7514-443E-8AB5-2311678CA6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FA508EF-4E98-4561-B240-8A961DC81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FB5DCF4D-A5B7-41D1-8209-2E9E91AFB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DC128F62-7883-44B2-9FD5-99A3D778A5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BD236EF-8ADF-41DE-B813-5DDFCD0659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8D1EA4D9-B0DC-48C2-8335-044D8BAB40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3B447F48-5FB8-4E72-8137-38BABE3EE9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EFB73A8-0AA8-4E06-9D5B-DB82FAB970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6FE158A-7ED9-447A-A6D0-BAE89D7ED4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52B7D997-E031-4F34-A568-13234D481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763571F-ED4A-47A2-9C04-B35FA56BEF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03EFD16-205A-493D-AA28-3F838BBAF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C1696124-1D02-4C7E-B971-4EC006FF52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554E1D-31B3-4DA6-B339-D47314412F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FFB113-2171-408A-A532-F2C0168666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426172F-D9BD-4F21-81BE-E100BF7C65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9D6070D9-8595-42DC-8182-8C3449A83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4A03963-7935-4823-AC48-093FD8578D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F2332D9-71FF-4C3D-BF89-F7B23549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937F10-55EB-4521-9B34-F3F59F70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F96C53B-726C-41BE-80EC-96A120E3BD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1388C645-79CA-4F4D-A0FB-909B50BF4A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2C871CE5-A61F-453B-BE17-E7BA43F4D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087B1345-7528-4899-B44A-54FA26BB9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68B09A7D-6E94-4B7A-A5F5-F93874E32D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7FA3627-91CE-4557-8668-64EB678BF1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9B9CE74-A80E-4B3E-8921-315A8EB2CA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84165CC6-62DE-4A17-A351-097BC60F7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68D9014-9A94-4CD5-97CF-30B98AF02E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45B223B-6179-426D-943F-4C68BA7D92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ADFAC602-D866-459D-A795-55149D886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1737CA3-3D1D-406B-8AD4-955887E2A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B15719F-AC3E-490B-97A4-1A98C8E0AA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86254D8-48ED-448E-BFBC-1327A3008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3A15ED8-AC1A-4A00-B754-EECA0C3A7C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27B3EA09-B566-4F1E-BF4F-6F0494562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603EFAC-028F-43A2-9B16-50AD09BD20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51FA2BB-EAC9-4203-9D2D-AAA1E997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8D6FAA4-2A39-4B7D-8CD4-94B598ABB7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D755E9-ED5F-4FF6-9A55-CD2B7409DB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A9319C33-4BF4-427E-B8D7-7EF439977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37AA6BD-1FF8-413C-ACFC-07440819B3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D461DC0-F3C1-4537-8E21-EA44A730F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FCBE1E-3484-423B-94F1-C4ADDA46C4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48082A0-CCE5-471C-B2CF-C8CDE9ECB2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18F47928-E83E-46FE-875F-97DF922B39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076FFFE-696D-48D9-BA70-4EB8AA925B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DBCF8AB-5D94-4131-850E-4FF6E95656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387B08E-0895-43C5-B469-D08D892ED7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70CAB81-187F-46CD-A5E2-D14D089BF8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607A0446-80A8-4749-8DAE-D26633B05B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FEF7F70-A2B1-4FCD-9CAF-AD19442772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C7F90091-23A9-48BD-B930-C77246CEFC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C3379B7-4433-47BA-93EB-64C9D33E45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B7389864-3D49-4734-A948-6727DEC3C0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B2425343-05D4-40BD-ABE9-3467FC2E6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CED8CA0-2F51-46E8-92BC-33A1C96512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97CFAE3-1DD8-40D2-8DF0-ABF5235583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8854C42-FDBA-4044-AAF8-08FB9E42B2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32745749-F365-4E75-A07F-037CEFB8DE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AD01D383-DA6B-4004-9002-1CC8E0A8D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630DFA6-7FFB-48A9-8023-5F926C645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85E437C-6F04-4D60-8025-2CDD63E61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396E72B-C4AF-411F-81B1-BC250187BE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C7A2300-2478-41ED-B371-FC8BEB1F00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B7F2C59-FA9B-4DA7-B4FC-B1854AD50B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E4B56B49-613B-402D-915B-D191DE8A6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908ABB-82C6-4A94-840D-1F875EEA1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1FFEEC8-1CD5-4A4C-A99A-0ED5D47DE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F4380733-A770-40BE-9606-78EEA75B1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1FB4DB5A-269B-40C6-9A3E-6E0E9C5FE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CD35DA2-595D-489A-8BB7-45E3D3C8BE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C35DD395-5512-4F63-8656-BC2CF24ED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FECAB4-C3C6-4EA3-9A0F-77A9CB85CF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1E9B7BD2-7C08-41AB-994E-D5AC87C46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0562A4A2-62BD-417C-A042-7764D9978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096046F-19CB-44A3-B50F-BC4A185339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24A833C-2263-4469-9902-B7E599C8BF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177257C-931A-4354-9581-771E0A30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B36B61B-1A49-4A27-9E92-C4BC6F327D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CB7DB412-7645-4148-9E2F-FA0CD3F02E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5D1F6F1-3001-4EBD-9931-647A057ED9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F5C1FE4-296C-42EF-8139-CCA5DEF65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5712BABA-B4B5-4CBE-8662-DF595ADBB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D4B45D91-F63E-4833-B2BA-D5296C43CA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3CD0666-C8BE-410E-AEF6-786E7C0609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AFAAD3-06B1-43A6-8530-6CC77D193D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892CA1-5636-4175-9BB0-9C43015F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FF126878-D5C2-44A1-A54C-7A2687962C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329BC627-5E9D-4D33-9709-E006E796C5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DA8F2735-A7E6-4E35-AF3A-0DE327510B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647B2D-5A10-4D9D-B6C8-DF529FD8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8DD44EB-F8C6-4870-AD7D-B6E1F069A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69CACA99-E9B2-4385-B6B1-B36E0304A3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2B93E46-FBCF-49D4-B2B0-1970965572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8A64B1-AE18-41B3-B370-8DB500F0C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84F856C-4440-4E73-A0FD-7C08540FA6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5322AED-28BC-4DB3-9546-E523EBCB98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F7B5F0D-06BE-44F6-B235-ABFC15EF65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2204A16-D655-4F95-82FE-FEFD2A7E07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6C96386-FC5C-4CE4-A1C3-2123951790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00845BB-8BCA-41F5-97ED-AFB2479D23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81E6475-F8B5-4EC3-A94C-DCE3441E42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F0916B-4A25-4C39-A71D-C54BEF2A3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49A914D-15A0-477C-8238-2321328EA0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B439303A-321A-45BD-8964-D3D4EB22F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3B0D7AC-C14E-4A15-9663-A7F817ECA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491D64FD-635B-4AE0-98E7-757656AAF5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914AAD3-716A-4AB8-912A-5A8ACC572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D05845B-4075-423C-B84C-1D1A1A9BA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D3ED26-A611-48FF-9EA5-23AEF9E5C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B34835-2412-4D54-A2BF-F63786FA30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1BA0B55-CAA7-49E2-88EF-88A70526A0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9949387-1E31-46E0-9D73-FAAEABAF38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106FBC2E-34C3-4D48-AB4E-534ACB0C22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50F332-DADB-4EF0-9593-D8EFA305CE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15C44ED3-BAEE-44E1-9212-D7322D6327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174E955-208C-4BD6-845D-E6CF5EF43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95BC8845-FC86-445F-BDB6-A9ED1EA193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32D418A-AFAB-4D18-A5AB-522FDB9708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2CD0D3F-73D1-4545-9FF6-989BAB45D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BEFCA89-89C2-4B35-8355-2DEA397F6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6EBA31B-8E33-4FE0-9D71-2FEDD8AB7D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4F38842E-2A81-4E37-93B2-073C49C610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0DBF9F70-9A1B-4674-92BC-629FA0695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42C8C08-A849-424A-A841-12E45B6525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58BCA29-EFC0-49F2-B625-35B897B13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67F74588-B3F3-492D-A568-3CD4BDC7C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DCB7EBD-21ED-4613-B868-514C101963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07C9594-1C0F-40C9-8FEA-7F0567941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C629C25-053C-47DD-9B9E-124CDB50ED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0A3DE2F7-D579-4717-B185-24C3F4CFE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C3957F16-6490-4FAA-AFDC-8BF04A3E04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3F2904F-3BDE-430D-B0D2-2D4623BF5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 L12</xm:sqref>
        </x14:conditionalFormatting>
        <x14:conditionalFormatting xmlns:xm="http://schemas.microsoft.com/office/excel/2006/main">
          <x14:cfRule type="dataBar" id="{861E1473-ED01-4E44-9E30-5418A5F012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C0F27FE-E27E-458A-8AD8-F77FC035E7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5C4F5D29-0FFC-48A9-88D4-B7D865A5E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 L12</xm:sqref>
        </x14:conditionalFormatting>
        <x14:conditionalFormatting xmlns:xm="http://schemas.microsoft.com/office/excel/2006/main">
          <x14:cfRule type="dataBar" id="{F5F3E7A5-4ADB-4AE8-90EF-6B95AB3A14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 M12</xm:sqref>
        </x14:conditionalFormatting>
        <x14:conditionalFormatting xmlns:xm="http://schemas.microsoft.com/office/excel/2006/main">
          <x14:cfRule type="dataBar" id="{1D454341-9F0B-4C83-BE4A-A6274042D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C3AC14-E625-485A-B654-92D284BC61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 J12</xm:sqref>
        </x14:conditionalFormatting>
        <x14:conditionalFormatting xmlns:xm="http://schemas.microsoft.com/office/excel/2006/main">
          <x14:cfRule type="dataBar" id="{A3C384E4-E330-44D8-8B5D-8FE3B27662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 J12</xm:sqref>
        </x14:conditionalFormatting>
        <x14:conditionalFormatting xmlns:xm="http://schemas.microsoft.com/office/excel/2006/main">
          <x14:cfRule type="dataBar" id="{2B39508D-BA60-469E-A774-190447F2D5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D4DE3395-08E5-44A3-99F6-B31BCDF75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7683FADA-8B49-47B2-8F77-AC7F96669B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5E84C0A7-BF52-40FD-A3E4-4F8C34180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40641DD5-9F07-4B39-9F31-8594A024064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CB3F2B39-F7F9-45F4-BDE5-0AB9B09BB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F82F9CD2-8FEE-49FE-B967-8ECC619D7E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C39E8199-1C43-46F3-A397-BFD6C2DFF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CE74E839-0010-459A-B75A-646BEC4843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13DA1E3F-9EC5-496B-A114-0B9345D0A6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E55C39DA-16AB-44B0-8DB7-7311A8C68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6E912CCF-2721-4B23-B2FF-0DF9CF818C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2D187512-AF02-494C-98C0-611932FCDB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L21:L22</xm:sqref>
        </x14:conditionalFormatting>
        <x14:conditionalFormatting xmlns:xm="http://schemas.microsoft.com/office/excel/2006/main">
          <x14:cfRule type="dataBar" id="{356F95E6-7296-4B0E-83DE-B19F591F6F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M21:M22</xm:sqref>
        </x14:conditionalFormatting>
        <x14:conditionalFormatting xmlns:xm="http://schemas.microsoft.com/office/excel/2006/main">
          <x14:cfRule type="dataBar" id="{34F83905-3BE4-400D-A38C-5F1756A596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J21:J22</xm:sqref>
        </x14:conditionalFormatting>
        <x14:conditionalFormatting xmlns:xm="http://schemas.microsoft.com/office/excel/2006/main">
          <x14:cfRule type="dataBar" id="{EB2CC9F2-A2F2-4D3D-908F-9ECF946B02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A8F0AB-9920-4B27-9DAE-2F8B153FCA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4562270B-D9A3-40D8-8590-67536913BA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57E96B-534A-4984-9586-81922EF7575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4EDC337-9CF8-4588-B25D-CAFE4BB494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322F95A-6EDF-428F-8B98-115FEC3FA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E8805253-3FE4-4A30-8DF6-388C80E858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6B5650-0232-432A-9635-9AFB21697A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39917CF3-94FE-467E-A460-3660C1E07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4D63619B-C635-478F-A8DA-5EC809FD6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61633D19-48A7-4AEE-99E9-BE14F2A7A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DFB12F2-1055-4DD7-A128-8A2E7F20AC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9D95CCAE-9CE6-4054-BA12-EEF9FA36A3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6A5F18-8BDB-4C28-9EF2-D5C35BBE9E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71F1E6E-A587-4E7D-B166-36CF7D9AB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29B5BF0C-3BF5-410F-91C8-C1FABD60A3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FFF284B3-9F4B-4D51-8D37-FD637D5CE3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FF801F5-2632-4FE6-9334-45AA83D43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67E79EC8-34F0-4A98-BE69-D7BB81BD41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B348606C-0C89-4C73-80C6-81285AA40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E395CE1-653B-494B-8D51-89024DAC9C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25A772F9-459A-4467-913E-E5E40E6E63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AB572CB-C49F-49A5-B57C-14B98D2B1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M19</xm:sqref>
        </x14:conditionalFormatting>
        <x14:conditionalFormatting xmlns:xm="http://schemas.microsoft.com/office/excel/2006/main">
          <x14:cfRule type="dataBar" id="{DF6E6032-4367-495C-BC15-85EBCD0F30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7B59B435-DAB3-4225-BEC0-558D37B248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372C59C-6631-421C-85D6-AE56094192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BF964C-EC01-4A30-9CFF-3095CC6663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D3E9F13-C348-45BE-A410-411A5C695B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9C07A8E8-0244-4209-9281-F3D0D1E013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04B1ABF-CD87-471F-A9FC-EA5BBEE26D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602617F2-7627-4F07-9895-2A113D9C5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7E56E-3428-4340-A8C3-2E96A79D7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F67F242-86AF-4852-BF21-C7D04BA9E3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A13AEAE7-F797-49FE-BC24-0802A745F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824BC54C-0FB0-4F40-8587-9A76A1A54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F09322D-18DA-457D-9F61-755C434E4D0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4F8DB70-491D-40CE-84CC-25BE027AB9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D6DFFA3-AE15-4795-9C05-5C1C84FF78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3731DA63-A98A-45DA-8F58-08389EA35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A5626F9B-EDFA-457E-B015-6F20C1E2D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045AB630-2230-4755-B6A1-A887C0AF8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2A6BA14-ABF9-4B67-B787-C4A187D46C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7603E7AB-D8D9-4460-8F89-5F179D2FFB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04A9563B-1878-45D4-993A-E28161514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32CE8D04-B7F8-4775-BFA8-F320965ADA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A1C24E2B-1825-4107-9192-2D2CABB9A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BD8B3FB-E117-47A4-8EBB-4D32490342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M20</xm:sqref>
        </x14:conditionalFormatting>
        <x14:conditionalFormatting xmlns:xm="http://schemas.microsoft.com/office/excel/2006/main">
          <x14:cfRule type="dataBar" id="{81D71D2B-AC59-4064-9CE1-EDBB93DB30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50397A57-A417-4F07-B7DC-7722C44D01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B43FF30-C0E2-48BE-AAFC-F1A6BCE78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A48C0901-8BDB-4B80-8DBE-6E1B2F05FB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8D7E89-B6A6-484F-B404-7E7632E6D05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ED26ACD4-96B6-4193-BA7D-08F03A7B0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26DB793-A594-4B61-A986-87CD893B9E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7A341EF9-EAC4-43AC-9958-1AF7CF1CD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CA1446-A993-456A-8870-1740CCC497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E5AA3AF0-13D5-4B55-AB9D-8AE3E14D74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CDF3344C-4916-4E9D-9684-492795A747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DFC2678-9D14-491C-B4E0-7FAC3EF74B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D9BBBA4F-5154-42DA-BAB4-9CC197250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BE8D6F5-4C95-4319-ACEF-D8739BB91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63AED20-F230-4519-824D-152E3BD642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58723E67-00E0-415D-AA8E-AEA26156FD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5EDEDB8-E44E-492A-86ED-FDA224018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6779C6E4-8070-432B-96C0-326C43673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EFBBBFE-65B2-4BFA-AA51-D0EB328230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0612D11B-EFDF-4C97-A957-B705BCA95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089B84E1-9E3B-452F-BCFB-31E70DBA9B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D3D2914-7B54-43C0-9E4D-CBBD23FA75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1569D22F-DA51-4459-B300-44C70A2A60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E49C6232-7B75-4F79-BB9F-CA950EBF74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  <x14:conditionalFormatting xmlns:xm="http://schemas.microsoft.com/office/excel/2006/main">
          <x14:cfRule type="dataBar" id="{3165E6C8-4769-4766-BB14-A7AB17A269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3FE7F034-DE95-4472-B874-FA700D786B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47E187-FC40-4D32-A13D-5091885C63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30FFD064-B9B0-49AA-BF72-F8B2C04914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5F0C4D6-C890-40A7-84D6-102D5CB2FD6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F12295F-4928-4BAA-B5F1-3DECEAD1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AD98F3D-B417-49DD-9E05-F35BBE78F2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17E6B08-70EC-474D-8755-5AF308CB2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E880A-AAC0-469E-9A51-5C968CBC9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F8611AD6-5887-4AA6-BC0C-E694F0F710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95126BFC-444F-4971-8480-9524EDB975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E5A6DE34-DC96-4111-92B4-49ED61A04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3594C5-6B21-4F9F-AB74-3529E82218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5F8C7167-EEC9-4BD7-A2A3-D013244A1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166D6F9-CC82-4CBD-AD39-0C3ADEBD8E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8418B53E-2550-4F35-9B8E-2FF1B5B12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A8AEAFD-D162-4118-A9EE-8A8EF3CAC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CC4C97BB-83A9-4C10-A528-46E5160F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4E46C3E-F412-47E8-A235-AA2F1469D07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C7FF9816-760C-4B0B-861D-FC664B0E5A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B67CC6FB-9F68-46BB-ABB6-BF20CFAE4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AB6C3207-82EA-4E8A-BF13-B64A1A5299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0171D147-E116-422A-AF35-C60F0EDA15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74BD42F0-3F32-4797-A640-F8B276CE17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7F5F721F-68F6-406C-B761-4F12FE37E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5B65522C-570A-44E8-A9F5-10520105A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241B65B-7157-4EFA-8B3F-B94A5212E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3C35F51-03ED-490F-A3AD-C315C18538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DE76D6-8D05-4C0A-BB93-1AB97CB334D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569C498D-6277-4A2E-ACB9-7BD198250E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256A84-A60E-4C4B-9B6E-8383EDC198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9D3BF3FB-9FE6-4DAB-B45F-F81D15253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137188-6C42-413D-95ED-495211EC63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87A5BE7-43DB-48D9-83E4-4C289E78FC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2D43F40C-ECF0-480E-9E54-389CD5A5E3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F7E75980-6BCA-4AF0-9B57-26D010457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72BFBB5C-5E2B-4E37-83BB-5843CD2FEF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A83F3BFD-25BE-472D-9D4C-04BAFB952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2DC78D9-7E0E-4186-A3D3-C5C20EE3D4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1E7BC3FE-14FD-4632-AB40-21C06494C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C41736C2-4A95-4C22-8539-B27DDA69EE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DD699791-9A41-4D72-A461-CA613797C3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62348969-CAEB-4987-8FDF-3DC8CAB86F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2955DE12-CF15-4E52-902E-7FD00C44E9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5264E21F-9E61-4ABE-ABFB-E7B848781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EF4C419-16C4-42B2-9C3D-1C937E1822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01BB927C-41B4-42D0-89CF-AAEB461C3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F571E72-FB35-4134-8E2A-8E3FDC167A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M15</xm:sqref>
        </x14:conditionalFormatting>
        <x14:conditionalFormatting xmlns:xm="http://schemas.microsoft.com/office/excel/2006/main">
          <x14:cfRule type="dataBar" id="{C8989DAC-20E3-4728-B526-9ACD9090D3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A507CF50-CF53-4D32-ABB9-702C079671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2F22EAD-ED0B-418A-BE06-10BB0BC339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BF2E4309-3308-4815-8AE5-38E5E8FA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8B2141A-FF47-4440-B619-964F418B414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00EFEA0E-70B7-4558-B65D-76A9B7EB1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ACF2E4B7-7B0E-4736-B513-F7F2E0180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F357AE2-9037-4FFE-BDD9-8D5C3BD292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05DDF-941A-409A-87E4-0E38912A1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97B400E-C4E5-445F-8DB1-C079337E9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64D3A258-52CA-4574-8D0E-F0E094984B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C11F109B-B418-465B-A0BA-4C88830705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DD954D2B-5952-4474-8B85-E84DF1AB06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71C7A58-E4AB-4B99-910C-BB47CAC50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1C90D7FF-0B67-4989-B81A-983805198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3EC3377D-D0DF-4030-A95D-79C70CDBFB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58B78D63-52E3-4AB6-ADD4-3DAD53622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294F5E9B-638A-42CB-B001-34A8E595B2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959C5A66-F932-4038-9CF6-117BB581E9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EC7DCF45-98BA-455A-9A6E-195E0097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4A93D2A1-B4CE-4A80-8C99-A04786A94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42AEBDBF-118F-4740-B291-EA36EA0A62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29B97338-2F96-4711-82C2-2B77FAA9A7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F1926A45-82FE-49EE-9512-C6D2543E25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AA3B4BE9-06F7-4689-8260-F5839DB858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</xm:sqref>
        </x14:conditionalFormatting>
        <x14:conditionalFormatting xmlns:xm="http://schemas.microsoft.com/office/excel/2006/main">
          <x14:cfRule type="dataBar" id="{3564FCF4-2AF6-459A-A5FF-9ABE94C072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D3B2E23-B363-4376-BC08-8DB7F5D60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65BC08C-17E5-414F-8A38-1318839567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749168-A265-4A9A-8EBA-67640F5EC1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5D6CD31-1B10-40EB-B02C-9BC98C65C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96C147-8F47-4F4C-B0EB-62471BE61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CAE96383-653D-4D59-9339-7A6358505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C4DEBA-F69C-455A-A40D-5971FEE841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1FCE8A2A-87F2-46AF-8A0F-EFEF30BD4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F8650F6-4D42-4774-9DCC-CD14C63BA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2C78D951-7A0F-49C5-BA0F-F43993E0C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A05EEC7-B09D-4B6E-B6A5-274305474C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B37F43F2-7488-49FD-A2E9-408815C07F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6DFAF47-C8D7-4F64-B14F-DEF750907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3809C05-E93D-491F-8E5D-A2C9B29506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78DBC3BC-43E7-4169-963F-B029081696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D0A1F6B-BFF9-45C7-BD17-3CBEA17183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853F00-6870-4AC5-888D-75016623FD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D971F2B9-2343-45D6-9609-42EF9100AD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B84E3AC7-1A99-452B-B05A-4D3CD4A1D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971AA4-E0F7-4333-BB01-480C010B80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6D305E8C-2713-4221-94B5-82D742EE5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6BCAD03-7919-4379-A47E-FA8022BF79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M17</xm:sqref>
        </x14:conditionalFormatting>
        <x14:conditionalFormatting xmlns:xm="http://schemas.microsoft.com/office/excel/2006/main">
          <x14:cfRule type="dataBar" id="{5623050D-77EC-4790-8947-7B969516D3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J17</xm:sqref>
        </x14:conditionalFormatting>
        <x14:conditionalFormatting xmlns:xm="http://schemas.microsoft.com/office/excel/2006/main">
          <x14:cfRule type="dataBar" id="{D0B7ADDA-F3D0-4407-918D-F9C43A6335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CD4D24-1824-4BC6-9A1E-ED44B9C67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4FED097-9C66-4DFE-AEEF-EE68F34DD2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58D75E-E13D-4176-A73E-5326F86B6BB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3211E29D-20EE-40BD-BE72-34497E270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434C427-8095-48C5-AA9A-642B8798115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A15ABF4D-81D3-4C66-B31B-C496E59B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BE5C12-EC20-4D3C-9319-CA108D88C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B064B496-5647-4992-AC16-E299E2CC0F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75DFF9D0-093B-4C6D-8DC2-26602E8E94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ED3C3D50-2F67-4184-A090-404E0AEEE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8C1CCF2-A312-4352-ACBC-9A1AFC1C92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4DE0C07C-79F4-4EE1-B81B-528BD3393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40CA202-F30F-4450-A18B-629FD94E3F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23F5FA0-C885-4E15-B9DA-99B41DD23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43336699-8EA2-40F3-A148-B0406913C1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94A3C04F-40BC-42E6-9A46-C2E04260B7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E9BDA6A-3B6D-4246-90D5-EB99751176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657B605B-D0D9-43BC-8EEB-C8B079197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E3D5F14-9A5D-4073-9964-AEAABC379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55007CE-292D-4AED-966B-349136784F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27D8D9D5-C3BC-44AA-B706-81377B1A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3F5F97A-3427-4C40-93C8-96BCC562F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M18</xm:sqref>
        </x14:conditionalFormatting>
        <x14:conditionalFormatting xmlns:xm="http://schemas.microsoft.com/office/excel/2006/main">
          <x14:cfRule type="dataBar" id="{03D928AA-CAF7-4FFB-82D3-5679261B94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FF113ADA-A093-45A8-AEFE-FE8353ABE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AC20</xm:sqref>
        </x14:conditionalFormatting>
        <x14:conditionalFormatting xmlns:xm="http://schemas.microsoft.com/office/excel/2006/main">
          <x14:cfRule type="dataBar" id="{E1454641-EAD0-4066-A1B6-89DB938A4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FEC0-7469-46C2-A1D1-30B1ED1A5149}">
  <dimension ref="B1:Q50"/>
  <sheetViews>
    <sheetView zoomScale="90" zoomScaleNormal="90" workbookViewId="0">
      <selection activeCell="B9" sqref="B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/>
      <c r="D4" s="242" t="e">
        <f>C4/C$26</f>
        <v>#DIV/0!</v>
      </c>
      <c r="E4" s="242" t="e">
        <f>D4</f>
        <v>#DIV/0!</v>
      </c>
      <c r="F4" s="243" t="e">
        <f t="shared" ref="F4:F12" si="0">IF(AND(E4&lt;=0),"C",IF(E4&lt;=0.8,"A",IF(E4&lt;=0.95,"B","C")))</f>
        <v>#DIV/0!</v>
      </c>
      <c r="G4" s="243" t="e">
        <f>VLOOKUP(B$4:B$25,I$4:M$25,5,0)</f>
        <v>#DIV/0!</v>
      </c>
      <c r="I4" s="240" t="s">
        <v>38</v>
      </c>
      <c r="J4" s="241"/>
      <c r="K4" s="242" t="e">
        <f>J4/J$26</f>
        <v>#DIV/0!</v>
      </c>
      <c r="L4" s="242" t="e">
        <f>K4</f>
        <v>#DIV/0!</v>
      </c>
      <c r="M4" s="243" t="e">
        <f t="shared" ref="M4:M12" si="1">_xlfn.IFS(L4&lt;80%,"A",L4&lt;=95%,"B",L4&gt;95%,"C")</f>
        <v>#DIV/0!</v>
      </c>
    </row>
    <row r="5" spans="2:17" ht="28.5" customHeight="1" outlineLevel="1" thickBot="1">
      <c r="B5" s="240" t="s">
        <v>39</v>
      </c>
      <c r="C5" s="241"/>
      <c r="D5" s="242" t="e">
        <f>C5/C$26</f>
        <v>#DIV/0!</v>
      </c>
      <c r="E5" s="242" t="e">
        <f>D5+E4</f>
        <v>#DIV/0!</v>
      </c>
      <c r="F5" s="243" t="e">
        <f t="shared" si="0"/>
        <v>#DIV/0!</v>
      </c>
      <c r="G5" s="243" t="e">
        <f>VLOOKUP(B$4:B$25,I$4:M$25,5,0)</f>
        <v>#DIV/0!</v>
      </c>
      <c r="I5" s="240" t="s">
        <v>39</v>
      </c>
      <c r="J5" s="241"/>
      <c r="K5" s="242" t="e">
        <f>J5/J$26</f>
        <v>#DIV/0!</v>
      </c>
      <c r="L5" s="242" t="e">
        <f>K5+L4</f>
        <v>#DIV/0!</v>
      </c>
      <c r="M5" s="243" t="e">
        <f t="shared" si="1"/>
        <v>#DIV/0!</v>
      </c>
    </row>
    <row r="6" spans="2:17" ht="28.5" customHeight="1" outlineLevel="1" thickBot="1">
      <c r="B6" s="240" t="s">
        <v>40</v>
      </c>
      <c r="C6" s="241"/>
      <c r="D6" s="242" t="e">
        <f>C6/C$26</f>
        <v>#DIV/0!</v>
      </c>
      <c r="E6" s="242" t="e">
        <f t="shared" ref="E6:E25" si="2">D6+E5</f>
        <v>#DIV/0!</v>
      </c>
      <c r="F6" s="243" t="e">
        <f t="shared" si="0"/>
        <v>#DIV/0!</v>
      </c>
      <c r="G6" s="243" t="e">
        <f>VLOOKUP(B$4:B$25,I$4:M$25,5,0)</f>
        <v>#DIV/0!</v>
      </c>
      <c r="I6" s="240" t="s">
        <v>40</v>
      </c>
      <c r="J6" s="241"/>
      <c r="K6" s="242" t="e">
        <f>J6/J$26</f>
        <v>#DIV/0!</v>
      </c>
      <c r="L6" s="242" t="e">
        <f t="shared" ref="L6:L25" si="3">K6+L5</f>
        <v>#DIV/0!</v>
      </c>
      <c r="M6" s="243" t="e">
        <f t="shared" si="1"/>
        <v>#DIV/0!</v>
      </c>
    </row>
    <row r="7" spans="2:17" ht="28.5" customHeight="1" outlineLevel="1" thickBot="1">
      <c r="B7" s="240" t="s">
        <v>41</v>
      </c>
      <c r="C7" s="241"/>
      <c r="D7" s="242" t="e">
        <f>C7/C$26</f>
        <v>#DIV/0!</v>
      </c>
      <c r="E7" s="242" t="e">
        <f t="shared" si="2"/>
        <v>#DIV/0!</v>
      </c>
      <c r="F7" s="243" t="e">
        <f t="shared" si="0"/>
        <v>#DIV/0!</v>
      </c>
      <c r="G7" s="243" t="e">
        <f>VLOOKUP(B$4:B$25,I$4:M$25,5,0)</f>
        <v>#DIV/0!</v>
      </c>
      <c r="I7" s="240" t="s">
        <v>41</v>
      </c>
      <c r="J7" s="241"/>
      <c r="K7" s="242" t="e">
        <f>J7/J$26</f>
        <v>#DIV/0!</v>
      </c>
      <c r="L7" s="242" t="e">
        <f t="shared" si="3"/>
        <v>#DIV/0!</v>
      </c>
      <c r="M7" s="243" t="e">
        <f t="shared" si="1"/>
        <v>#DIV/0!</v>
      </c>
    </row>
    <row r="8" spans="2:17" ht="28.5" customHeight="1" outlineLevel="1" thickBot="1">
      <c r="B8" s="240" t="s">
        <v>42</v>
      </c>
      <c r="C8" s="241"/>
      <c r="D8" s="242" t="e">
        <f>C8/C$26</f>
        <v>#DIV/0!</v>
      </c>
      <c r="E8" s="242" t="e">
        <f t="shared" si="2"/>
        <v>#DIV/0!</v>
      </c>
      <c r="F8" s="243" t="e">
        <f t="shared" si="0"/>
        <v>#DIV/0!</v>
      </c>
      <c r="G8" s="243" t="e">
        <f>VLOOKUP(B$4:B$25,I$4:M$25,5,0)</f>
        <v>#DIV/0!</v>
      </c>
      <c r="I8" s="240" t="s">
        <v>42</v>
      </c>
      <c r="J8" s="241"/>
      <c r="K8" s="242" t="e">
        <f>J8/J$26</f>
        <v>#DIV/0!</v>
      </c>
      <c r="L8" s="242" t="e">
        <f t="shared" si="3"/>
        <v>#DIV/0!</v>
      </c>
      <c r="M8" s="243" t="e">
        <f t="shared" si="1"/>
        <v>#DIV/0!</v>
      </c>
    </row>
    <row r="9" spans="2:17" ht="28.5" customHeight="1" outlineLevel="1" thickBot="1">
      <c r="B9" s="240" t="s">
        <v>43</v>
      </c>
      <c r="C9" s="241"/>
      <c r="D9" s="242" t="e">
        <f t="shared" ref="D9:D25" si="4">C9/C$26</f>
        <v>#DIV/0!</v>
      </c>
      <c r="E9" s="242" t="e">
        <f t="shared" si="2"/>
        <v>#DIV/0!</v>
      </c>
      <c r="F9" s="243" t="e">
        <f t="shared" si="0"/>
        <v>#DIV/0!</v>
      </c>
      <c r="G9" s="243" t="e">
        <f t="shared" ref="G9:G25" si="5">VLOOKUP(B$4:B$25,I$4:M$25,5,0)</f>
        <v>#DIV/0!</v>
      </c>
      <c r="I9" s="240" t="s">
        <v>43</v>
      </c>
      <c r="J9" s="241"/>
      <c r="K9" s="242" t="e">
        <f t="shared" ref="K9:K25" si="6">J9/J$26</f>
        <v>#DIV/0!</v>
      </c>
      <c r="L9" s="242" t="e">
        <f t="shared" si="3"/>
        <v>#DIV/0!</v>
      </c>
      <c r="M9" s="243" t="e">
        <f t="shared" si="1"/>
        <v>#DIV/0!</v>
      </c>
    </row>
    <row r="10" spans="2:17" ht="28.5" customHeight="1" outlineLevel="1" thickBot="1">
      <c r="B10" s="240" t="s">
        <v>44</v>
      </c>
      <c r="C10" s="241"/>
      <c r="D10" s="242" t="e">
        <f t="shared" si="4"/>
        <v>#DIV/0!</v>
      </c>
      <c r="E10" s="242" t="e">
        <f t="shared" si="2"/>
        <v>#DIV/0!</v>
      </c>
      <c r="F10" s="243" t="e">
        <f t="shared" si="0"/>
        <v>#DIV/0!</v>
      </c>
      <c r="G10" s="243" t="e">
        <f t="shared" si="5"/>
        <v>#DIV/0!</v>
      </c>
      <c r="I10" s="240" t="s">
        <v>44</v>
      </c>
      <c r="J10" s="241"/>
      <c r="K10" s="242" t="e">
        <f t="shared" si="6"/>
        <v>#DIV/0!</v>
      </c>
      <c r="L10" s="242" t="e">
        <f t="shared" si="3"/>
        <v>#DIV/0!</v>
      </c>
      <c r="M10" s="243" t="e">
        <f t="shared" si="1"/>
        <v>#DIV/0!</v>
      </c>
    </row>
    <row r="11" spans="2:17" ht="28.5" customHeight="1" outlineLevel="1" thickBot="1">
      <c r="B11" s="240" t="s">
        <v>45</v>
      </c>
      <c r="C11" s="241"/>
      <c r="D11" s="242" t="e">
        <f t="shared" si="4"/>
        <v>#DIV/0!</v>
      </c>
      <c r="E11" s="242" t="e">
        <f>D11+E8</f>
        <v>#DIV/0!</v>
      </c>
      <c r="F11" s="243" t="e">
        <f t="shared" si="0"/>
        <v>#DIV/0!</v>
      </c>
      <c r="G11" s="243" t="e">
        <f t="shared" si="5"/>
        <v>#DIV/0!</v>
      </c>
      <c r="I11" s="240" t="s">
        <v>45</v>
      </c>
      <c r="J11" s="241"/>
      <c r="K11" s="242" t="e">
        <f t="shared" si="6"/>
        <v>#DIV/0!</v>
      </c>
      <c r="L11" s="242" t="e">
        <f>K11+L8</f>
        <v>#DIV/0!</v>
      </c>
      <c r="M11" s="243" t="e">
        <f t="shared" si="1"/>
        <v>#DIV/0!</v>
      </c>
    </row>
    <row r="12" spans="2:17" ht="28.5" customHeight="1" outlineLevel="1" thickBot="1">
      <c r="B12" s="240" t="s">
        <v>46</v>
      </c>
      <c r="C12" s="241"/>
      <c r="D12" s="242" t="e">
        <f t="shared" si="4"/>
        <v>#DIV/0!</v>
      </c>
      <c r="E12" s="242" t="e">
        <f t="shared" si="2"/>
        <v>#DIV/0!</v>
      </c>
      <c r="F12" s="243" t="e">
        <f t="shared" si="0"/>
        <v>#DIV/0!</v>
      </c>
      <c r="G12" s="243" t="e">
        <f t="shared" si="5"/>
        <v>#DIV/0!</v>
      </c>
      <c r="I12" s="240" t="s">
        <v>46</v>
      </c>
      <c r="J12" s="241"/>
      <c r="K12" s="242" t="e">
        <f t="shared" si="6"/>
        <v>#DIV/0!</v>
      </c>
      <c r="L12" s="242" t="e">
        <f t="shared" si="3"/>
        <v>#DIV/0!</v>
      </c>
      <c r="M12" s="243" t="e">
        <f t="shared" si="1"/>
        <v>#DIV/0!</v>
      </c>
    </row>
    <row r="13" spans="2:17" ht="15" outlineLevel="1" thickBot="1">
      <c r="B13" s="240" t="s">
        <v>47</v>
      </c>
      <c r="C13" s="241"/>
      <c r="D13" s="242" t="e">
        <f t="shared" si="4"/>
        <v>#DIV/0!</v>
      </c>
      <c r="E13" s="242" t="e">
        <f t="shared" si="2"/>
        <v>#DIV/0!</v>
      </c>
      <c r="F13" s="243" t="e">
        <f>IF(AND(E13&lt;=0),"C",IF(E13&lt;=0.8,"A",IF(E13&lt;=0.95,"B","C")))</f>
        <v>#DIV/0!</v>
      </c>
      <c r="G13" s="243" t="e">
        <f t="shared" si="5"/>
        <v>#DIV/0!</v>
      </c>
      <c r="I13" s="240" t="s">
        <v>47</v>
      </c>
      <c r="J13" s="241"/>
      <c r="K13" s="242" t="e">
        <f t="shared" si="6"/>
        <v>#DIV/0!</v>
      </c>
      <c r="L13" s="242" t="e">
        <f t="shared" si="3"/>
        <v>#DIV/0!</v>
      </c>
      <c r="M13" s="243" t="e">
        <f>_xlfn.IFS(L13&lt;80%,"A",L13&lt;=95%,"B",L13&gt;95%,"C")</f>
        <v>#DIV/0!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/>
      <c r="D14" s="242" t="e">
        <f t="shared" si="4"/>
        <v>#DIV/0!</v>
      </c>
      <c r="E14" s="242" t="e">
        <f t="shared" si="2"/>
        <v>#DIV/0!</v>
      </c>
      <c r="F14" s="243" t="e">
        <f t="shared" ref="F14:F25" si="7">IF(AND(E14&lt;=0),"C",IF(E14&lt;=0.8,"A",IF(E14&lt;=0.95,"B","C")))</f>
        <v>#DIV/0!</v>
      </c>
      <c r="G14" s="243" t="e">
        <f t="shared" si="5"/>
        <v>#DIV/0!</v>
      </c>
      <c r="I14" s="240" t="s">
        <v>48</v>
      </c>
      <c r="J14" s="241"/>
      <c r="K14" s="242" t="e">
        <f t="shared" si="6"/>
        <v>#DIV/0!</v>
      </c>
      <c r="L14" s="242" t="e">
        <f t="shared" si="3"/>
        <v>#DIV/0!</v>
      </c>
      <c r="M14" s="243" t="e">
        <f t="shared" ref="M14:M25" si="8">_xlfn.IFS(L14&lt;80%,"A",L14&lt;=95%,"B",L14&gt;95%,"C")</f>
        <v>#DIV/0!</v>
      </c>
      <c r="P14" s="246" t="s">
        <v>333</v>
      </c>
      <c r="Q14" s="245">
        <v>0.15</v>
      </c>
    </row>
    <row r="15" spans="2:17" ht="15" outlineLevel="1" thickBot="1">
      <c r="B15" s="240" t="s">
        <v>49</v>
      </c>
      <c r="C15" s="241"/>
      <c r="D15" s="242" t="e">
        <f t="shared" si="4"/>
        <v>#DIV/0!</v>
      </c>
      <c r="E15" s="242" t="e">
        <f t="shared" si="2"/>
        <v>#DIV/0!</v>
      </c>
      <c r="F15" s="243" t="e">
        <f t="shared" si="7"/>
        <v>#DIV/0!</v>
      </c>
      <c r="G15" s="243" t="e">
        <f t="shared" si="5"/>
        <v>#DIV/0!</v>
      </c>
      <c r="I15" s="240" t="s">
        <v>49</v>
      </c>
      <c r="J15" s="241"/>
      <c r="K15" s="242" t="e">
        <f t="shared" si="6"/>
        <v>#DIV/0!</v>
      </c>
      <c r="L15" s="242" t="e">
        <f t="shared" si="3"/>
        <v>#DIV/0!</v>
      </c>
      <c r="M15" s="243" t="e">
        <f t="shared" si="8"/>
        <v>#DIV/0!</v>
      </c>
      <c r="P15" s="247" t="s">
        <v>334</v>
      </c>
      <c r="Q15" s="245">
        <v>0.05</v>
      </c>
    </row>
    <row r="16" spans="2:17" ht="26.5" outlineLevel="1" thickBot="1">
      <c r="B16" s="240" t="s">
        <v>50</v>
      </c>
      <c r="C16" s="241"/>
      <c r="D16" s="242" t="e">
        <f t="shared" si="4"/>
        <v>#DIV/0!</v>
      </c>
      <c r="E16" s="242" t="e">
        <f t="shared" si="2"/>
        <v>#DIV/0!</v>
      </c>
      <c r="F16" s="243" t="e">
        <f t="shared" si="7"/>
        <v>#DIV/0!</v>
      </c>
      <c r="G16" s="243" t="e">
        <f t="shared" si="5"/>
        <v>#DIV/0!</v>
      </c>
      <c r="I16" s="240" t="s">
        <v>50</v>
      </c>
      <c r="J16" s="241"/>
      <c r="K16" s="242" t="e">
        <f t="shared" si="6"/>
        <v>#DIV/0!</v>
      </c>
      <c r="L16" s="242" t="e">
        <f t="shared" si="3"/>
        <v>#DIV/0!</v>
      </c>
      <c r="M16" s="243" t="e">
        <f t="shared" si="8"/>
        <v>#DIV/0!</v>
      </c>
      <c r="P16" s="248"/>
      <c r="Q16" s="242"/>
    </row>
    <row r="17" spans="2:17" ht="15" outlineLevel="1" thickBot="1">
      <c r="B17" s="240" t="s">
        <v>51</v>
      </c>
      <c r="C17" s="241"/>
      <c r="D17" s="242" t="e">
        <f t="shared" si="4"/>
        <v>#DIV/0!</v>
      </c>
      <c r="E17" s="242" t="e">
        <f t="shared" si="2"/>
        <v>#DIV/0!</v>
      </c>
      <c r="F17" s="243" t="e">
        <f t="shared" si="7"/>
        <v>#DIV/0!</v>
      </c>
      <c r="G17" s="243" t="e">
        <f t="shared" si="5"/>
        <v>#DIV/0!</v>
      </c>
      <c r="I17" s="240" t="s">
        <v>51</v>
      </c>
      <c r="J17" s="241"/>
      <c r="K17" s="242" t="e">
        <f t="shared" si="6"/>
        <v>#DIV/0!</v>
      </c>
      <c r="L17" s="242" t="e">
        <f t="shared" si="3"/>
        <v>#DIV/0!</v>
      </c>
      <c r="M17" s="243" t="e">
        <f t="shared" si="8"/>
        <v>#DIV/0!</v>
      </c>
      <c r="P17" s="248"/>
      <c r="Q17" s="242"/>
    </row>
    <row r="18" spans="2:17" ht="15" outlineLevel="1" thickBot="1">
      <c r="B18" s="240" t="s">
        <v>52</v>
      </c>
      <c r="C18" s="241"/>
      <c r="D18" s="242" t="e">
        <f t="shared" si="4"/>
        <v>#DIV/0!</v>
      </c>
      <c r="E18" s="242" t="e">
        <f t="shared" si="2"/>
        <v>#DIV/0!</v>
      </c>
      <c r="F18" s="243" t="e">
        <f t="shared" si="7"/>
        <v>#DIV/0!</v>
      </c>
      <c r="G18" s="243" t="e">
        <f t="shared" si="5"/>
        <v>#DIV/0!</v>
      </c>
      <c r="I18" s="240" t="s">
        <v>52</v>
      </c>
      <c r="J18" s="241"/>
      <c r="K18" s="242" t="e">
        <f t="shared" si="6"/>
        <v>#DIV/0!</v>
      </c>
      <c r="L18" s="242" t="e">
        <f t="shared" si="3"/>
        <v>#DIV/0!</v>
      </c>
      <c r="M18" s="243" t="e">
        <f t="shared" si="8"/>
        <v>#DIV/0!</v>
      </c>
      <c r="P18" s="248"/>
      <c r="Q18" s="242"/>
    </row>
    <row r="19" spans="2:17" ht="15" outlineLevel="1" thickBot="1">
      <c r="B19" s="240" t="s">
        <v>53</v>
      </c>
      <c r="C19" s="241"/>
      <c r="D19" s="242" t="e">
        <f t="shared" si="4"/>
        <v>#DIV/0!</v>
      </c>
      <c r="E19" s="242" t="e">
        <f t="shared" si="2"/>
        <v>#DIV/0!</v>
      </c>
      <c r="F19" s="243" t="e">
        <f t="shared" si="7"/>
        <v>#DIV/0!</v>
      </c>
      <c r="G19" s="243" t="e">
        <f t="shared" si="5"/>
        <v>#DIV/0!</v>
      </c>
      <c r="I19" s="240" t="s">
        <v>53</v>
      </c>
      <c r="J19" s="241"/>
      <c r="K19" s="242" t="e">
        <f t="shared" si="6"/>
        <v>#DIV/0!</v>
      </c>
      <c r="L19" s="242" t="e">
        <f t="shared" si="3"/>
        <v>#DIV/0!</v>
      </c>
      <c r="M19" s="243" t="e">
        <f t="shared" si="8"/>
        <v>#DIV/0!</v>
      </c>
      <c r="P19" s="248"/>
      <c r="Q19" s="242"/>
    </row>
    <row r="20" spans="2:17" ht="15" outlineLevel="1" thickBot="1">
      <c r="B20" s="240" t="s">
        <v>54</v>
      </c>
      <c r="C20" s="241"/>
      <c r="D20" s="242" t="e">
        <f t="shared" si="4"/>
        <v>#DIV/0!</v>
      </c>
      <c r="E20" s="242" t="e">
        <f t="shared" si="2"/>
        <v>#DIV/0!</v>
      </c>
      <c r="F20" s="243" t="e">
        <f t="shared" si="7"/>
        <v>#DIV/0!</v>
      </c>
      <c r="G20" s="243" t="e">
        <f t="shared" si="5"/>
        <v>#DIV/0!</v>
      </c>
      <c r="I20" s="240" t="s">
        <v>54</v>
      </c>
      <c r="J20" s="241"/>
      <c r="K20" s="242" t="e">
        <f t="shared" si="6"/>
        <v>#DIV/0!</v>
      </c>
      <c r="L20" s="242" t="e">
        <f t="shared" si="3"/>
        <v>#DIV/0!</v>
      </c>
      <c r="M20" s="243" t="e">
        <f t="shared" si="8"/>
        <v>#DIV/0!</v>
      </c>
      <c r="P20" s="248"/>
      <c r="Q20" s="242"/>
    </row>
    <row r="21" spans="2:17" ht="15" outlineLevel="1" thickBot="1">
      <c r="B21" s="240" t="s">
        <v>55</v>
      </c>
      <c r="C21" s="241"/>
      <c r="D21" s="242" t="e">
        <f t="shared" si="4"/>
        <v>#DIV/0!</v>
      </c>
      <c r="E21" s="242" t="e">
        <f t="shared" si="2"/>
        <v>#DIV/0!</v>
      </c>
      <c r="F21" s="243" t="e">
        <f t="shared" si="7"/>
        <v>#DIV/0!</v>
      </c>
      <c r="G21" s="243" t="e">
        <f t="shared" si="5"/>
        <v>#DIV/0!</v>
      </c>
      <c r="I21" s="240" t="s">
        <v>55</v>
      </c>
      <c r="J21" s="241"/>
      <c r="K21" s="242" t="e">
        <f t="shared" si="6"/>
        <v>#DIV/0!</v>
      </c>
      <c r="L21" s="242" t="e">
        <f t="shared" si="3"/>
        <v>#DIV/0!</v>
      </c>
      <c r="M21" s="243" t="e">
        <f t="shared" si="8"/>
        <v>#DIV/0!</v>
      </c>
      <c r="P21" s="248"/>
      <c r="Q21" s="242"/>
    </row>
    <row r="22" spans="2:17" ht="15" outlineLevel="1" thickBot="1">
      <c r="B22" s="240" t="s">
        <v>56</v>
      </c>
      <c r="C22" s="241"/>
      <c r="D22" s="242" t="e">
        <f t="shared" si="4"/>
        <v>#DIV/0!</v>
      </c>
      <c r="E22" s="242" t="e">
        <f t="shared" si="2"/>
        <v>#DIV/0!</v>
      </c>
      <c r="F22" s="243" t="e">
        <f t="shared" si="7"/>
        <v>#DIV/0!</v>
      </c>
      <c r="G22" s="243" t="e">
        <f t="shared" si="5"/>
        <v>#DIV/0!</v>
      </c>
      <c r="I22" s="240" t="s">
        <v>56</v>
      </c>
      <c r="J22" s="241"/>
      <c r="K22" s="242" t="e">
        <f t="shared" si="6"/>
        <v>#DIV/0!</v>
      </c>
      <c r="L22" s="242" t="e">
        <f t="shared" si="3"/>
        <v>#DIV/0!</v>
      </c>
      <c r="M22" s="243" t="e">
        <f t="shared" si="8"/>
        <v>#DIV/0!</v>
      </c>
      <c r="P22" s="248"/>
      <c r="Q22" s="242"/>
    </row>
    <row r="23" spans="2:17" ht="15" outlineLevel="1" thickBot="1">
      <c r="B23" s="240" t="s">
        <v>57</v>
      </c>
      <c r="C23" s="241"/>
      <c r="D23" s="242" t="e">
        <f t="shared" si="4"/>
        <v>#DIV/0!</v>
      </c>
      <c r="E23" s="242" t="e">
        <f t="shared" si="2"/>
        <v>#DIV/0!</v>
      </c>
      <c r="F23" s="243" t="e">
        <f t="shared" si="7"/>
        <v>#DIV/0!</v>
      </c>
      <c r="G23" s="243" t="e">
        <f t="shared" si="5"/>
        <v>#DIV/0!</v>
      </c>
      <c r="I23" s="240" t="s">
        <v>57</v>
      </c>
      <c r="J23" s="241"/>
      <c r="K23" s="242" t="e">
        <f t="shared" si="6"/>
        <v>#DIV/0!</v>
      </c>
      <c r="L23" s="242" t="e">
        <f t="shared" si="3"/>
        <v>#DIV/0!</v>
      </c>
      <c r="M23" s="243" t="e">
        <f t="shared" si="8"/>
        <v>#DIV/0!</v>
      </c>
      <c r="P23" s="248"/>
      <c r="Q23" s="242"/>
    </row>
    <row r="24" spans="2:17" ht="15" outlineLevel="1" thickBot="1">
      <c r="B24" s="240" t="s">
        <v>58</v>
      </c>
      <c r="C24" s="241"/>
      <c r="D24" s="242" t="e">
        <f t="shared" si="4"/>
        <v>#DIV/0!</v>
      </c>
      <c r="E24" s="242" t="e">
        <f t="shared" si="2"/>
        <v>#DIV/0!</v>
      </c>
      <c r="F24" s="243" t="e">
        <f t="shared" si="7"/>
        <v>#DIV/0!</v>
      </c>
      <c r="G24" s="243" t="e">
        <f t="shared" si="5"/>
        <v>#DIV/0!</v>
      </c>
      <c r="I24" s="240" t="s">
        <v>58</v>
      </c>
      <c r="J24" s="241"/>
      <c r="K24" s="242" t="e">
        <f t="shared" si="6"/>
        <v>#DIV/0!</v>
      </c>
      <c r="L24" s="242" t="e">
        <f t="shared" si="3"/>
        <v>#DIV/0!</v>
      </c>
      <c r="M24" s="243" t="e">
        <f t="shared" si="8"/>
        <v>#DIV/0!</v>
      </c>
      <c r="P24" s="248"/>
      <c r="Q24" s="242"/>
    </row>
    <row r="25" spans="2:17" ht="15" outlineLevel="1" thickBot="1">
      <c r="B25" s="240" t="s">
        <v>59</v>
      </c>
      <c r="C25" s="241"/>
      <c r="D25" s="242" t="e">
        <f t="shared" si="4"/>
        <v>#DIV/0!</v>
      </c>
      <c r="E25" s="242" t="e">
        <f t="shared" si="2"/>
        <v>#DIV/0!</v>
      </c>
      <c r="F25" s="243" t="e">
        <f t="shared" si="7"/>
        <v>#DIV/0!</v>
      </c>
      <c r="G25" s="243" t="e">
        <f t="shared" si="5"/>
        <v>#DIV/0!</v>
      </c>
      <c r="I25" s="240" t="s">
        <v>59</v>
      </c>
      <c r="J25" s="241"/>
      <c r="K25" s="242" t="e">
        <f t="shared" si="6"/>
        <v>#DIV/0!</v>
      </c>
      <c r="L25" s="242" t="e">
        <f t="shared" si="3"/>
        <v>#DIV/0!</v>
      </c>
      <c r="M25" s="243" t="e">
        <f t="shared" si="8"/>
        <v>#DIV/0!</v>
      </c>
      <c r="P25" s="248"/>
      <c r="Q25" s="242"/>
    </row>
    <row r="26" spans="2:17" outlineLevel="1">
      <c r="C26" s="249">
        <f>SUM(C4:C25)</f>
        <v>0</v>
      </c>
      <c r="D26" s="250" t="e">
        <f>SUM(D4:D25)</f>
        <v>#DIV/0!</v>
      </c>
      <c r="J26" s="249">
        <f>SUM(J4:J25)</f>
        <v>0</v>
      </c>
      <c r="K26" s="250" t="e">
        <f>SUM(K4:K25)</f>
        <v>#DIV/0!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61</v>
      </c>
      <c r="C30" s="241"/>
      <c r="D30" s="242" t="e">
        <f>C30/C$50</f>
        <v>#DIV/0!</v>
      </c>
      <c r="E30" s="242" t="e">
        <f>D30</f>
        <v>#DIV/0!</v>
      </c>
      <c r="F30" s="243" t="e">
        <f t="shared" ref="F30:F36" si="9">IF(AND(E30&lt;=0),"C",IF(E30&lt;=0.8,"A",IF(E30&lt;=0.95,"B","C")))</f>
        <v>#DIV/0!</v>
      </c>
      <c r="G30" s="243" t="e">
        <f>VLOOKUP(B$30:B$50,I$30:M$50,5,0)</f>
        <v>#DIV/0!</v>
      </c>
      <c r="I30" s="240" t="s">
        <v>61</v>
      </c>
      <c r="J30" s="241"/>
      <c r="K30" s="242" t="e">
        <f>J30/J$50</f>
        <v>#DIV/0!</v>
      </c>
      <c r="L30" s="242" t="e">
        <f>K30</f>
        <v>#DIV/0!</v>
      </c>
      <c r="M30" s="243" t="e">
        <f t="shared" ref="M30:M36" si="10">_xlfn.IFS(L30&lt;80%,"A",L30&lt;=95%,"B",L30&gt;95%,"C")</f>
        <v>#DIV/0!</v>
      </c>
    </row>
    <row r="31" spans="2:17" ht="26.5" thickBot="1">
      <c r="B31" s="240" t="s">
        <v>62</v>
      </c>
      <c r="C31" s="241"/>
      <c r="D31" s="242" t="e">
        <f t="shared" ref="D31:D49" si="11">C31/C$50</f>
        <v>#DIV/0!</v>
      </c>
      <c r="E31" s="242" t="e">
        <f>D31+E30</f>
        <v>#DIV/0!</v>
      </c>
      <c r="F31" s="243" t="e">
        <f t="shared" si="9"/>
        <v>#DIV/0!</v>
      </c>
      <c r="G31" s="243" t="e">
        <f t="shared" ref="G31:G49" si="12">VLOOKUP(B$30:B$50,I$30:M$50,5,0)</f>
        <v>#DIV/0!</v>
      </c>
      <c r="I31" s="240" t="s">
        <v>62</v>
      </c>
      <c r="J31" s="241"/>
      <c r="K31" s="242" t="e">
        <f t="shared" ref="K31:K49" si="13">J31/J$50</f>
        <v>#DIV/0!</v>
      </c>
      <c r="L31" s="242" t="e">
        <f>K31+L30</f>
        <v>#DIV/0!</v>
      </c>
      <c r="M31" s="243" t="e">
        <f t="shared" si="10"/>
        <v>#DIV/0!</v>
      </c>
    </row>
    <row r="32" spans="2:17" ht="26.5" thickBot="1">
      <c r="B32" s="240" t="s">
        <v>63</v>
      </c>
      <c r="C32" s="241"/>
      <c r="D32" s="242" t="e">
        <f t="shared" si="11"/>
        <v>#DIV/0!</v>
      </c>
      <c r="E32" s="242" t="e">
        <f t="shared" ref="E32:E49" si="14">D32+E31</f>
        <v>#DIV/0!</v>
      </c>
      <c r="F32" s="243" t="e">
        <f t="shared" si="9"/>
        <v>#DIV/0!</v>
      </c>
      <c r="G32" s="243" t="e">
        <f t="shared" si="12"/>
        <v>#DIV/0!</v>
      </c>
      <c r="I32" s="240" t="s">
        <v>63</v>
      </c>
      <c r="J32" s="241"/>
      <c r="K32" s="242" t="e">
        <f t="shared" si="13"/>
        <v>#DIV/0!</v>
      </c>
      <c r="L32" s="242" t="e">
        <f t="shared" ref="L32:L49" si="15">K32+L31</f>
        <v>#DIV/0!</v>
      </c>
      <c r="M32" s="243" t="e">
        <f t="shared" si="10"/>
        <v>#DIV/0!</v>
      </c>
    </row>
    <row r="33" spans="2:13" ht="15" thickBot="1">
      <c r="B33" s="240" t="s">
        <v>64</v>
      </c>
      <c r="C33" s="241"/>
      <c r="D33" s="242" t="e">
        <f t="shared" si="11"/>
        <v>#DIV/0!</v>
      </c>
      <c r="E33" s="242" t="e">
        <f t="shared" si="14"/>
        <v>#DIV/0!</v>
      </c>
      <c r="F33" s="243" t="e">
        <f t="shared" si="9"/>
        <v>#DIV/0!</v>
      </c>
      <c r="G33" s="243" t="e">
        <f t="shared" si="12"/>
        <v>#DIV/0!</v>
      </c>
      <c r="I33" s="240" t="s">
        <v>64</v>
      </c>
      <c r="J33" s="241"/>
      <c r="K33" s="242" t="e">
        <f t="shared" si="13"/>
        <v>#DIV/0!</v>
      </c>
      <c r="L33" s="242" t="e">
        <f t="shared" si="15"/>
        <v>#DIV/0!</v>
      </c>
      <c r="M33" s="243" t="e">
        <f t="shared" si="10"/>
        <v>#DIV/0!</v>
      </c>
    </row>
    <row r="34" spans="2:13" ht="15" thickBot="1">
      <c r="B34" s="240" t="s">
        <v>65</v>
      </c>
      <c r="C34" s="241"/>
      <c r="D34" s="242" t="e">
        <f t="shared" si="11"/>
        <v>#DIV/0!</v>
      </c>
      <c r="E34" s="242" t="e">
        <f t="shared" si="14"/>
        <v>#DIV/0!</v>
      </c>
      <c r="F34" s="243" t="e">
        <f t="shared" si="9"/>
        <v>#DIV/0!</v>
      </c>
      <c r="G34" s="243" t="e">
        <f t="shared" si="12"/>
        <v>#DIV/0!</v>
      </c>
      <c r="I34" s="240" t="s">
        <v>65</v>
      </c>
      <c r="J34" s="241"/>
      <c r="K34" s="242" t="e">
        <f t="shared" si="13"/>
        <v>#DIV/0!</v>
      </c>
      <c r="L34" s="242" t="e">
        <f t="shared" si="15"/>
        <v>#DIV/0!</v>
      </c>
      <c r="M34" s="243" t="e">
        <f t="shared" si="10"/>
        <v>#DIV/0!</v>
      </c>
    </row>
    <row r="35" spans="2:13" ht="15" thickBot="1">
      <c r="B35" s="240" t="s">
        <v>66</v>
      </c>
      <c r="C35" s="241"/>
      <c r="D35" s="242" t="e">
        <f t="shared" si="11"/>
        <v>#DIV/0!</v>
      </c>
      <c r="E35" s="242" t="e">
        <f t="shared" si="14"/>
        <v>#DIV/0!</v>
      </c>
      <c r="F35" s="243" t="e">
        <f t="shared" si="9"/>
        <v>#DIV/0!</v>
      </c>
      <c r="G35" s="243" t="e">
        <f t="shared" si="12"/>
        <v>#DIV/0!</v>
      </c>
      <c r="I35" s="240" t="s">
        <v>66</v>
      </c>
      <c r="J35" s="241"/>
      <c r="K35" s="242" t="e">
        <f t="shared" si="13"/>
        <v>#DIV/0!</v>
      </c>
      <c r="L35" s="242" t="e">
        <f t="shared" si="15"/>
        <v>#DIV/0!</v>
      </c>
      <c r="M35" s="243" t="e">
        <f t="shared" si="10"/>
        <v>#DIV/0!</v>
      </c>
    </row>
    <row r="36" spans="2:13" ht="15" thickBot="1">
      <c r="B36" s="240" t="s">
        <v>67</v>
      </c>
      <c r="C36" s="241"/>
      <c r="D36" s="242" t="e">
        <f t="shared" si="11"/>
        <v>#DIV/0!</v>
      </c>
      <c r="E36" s="242" t="e">
        <f t="shared" si="14"/>
        <v>#DIV/0!</v>
      </c>
      <c r="F36" s="243" t="e">
        <f t="shared" si="9"/>
        <v>#DIV/0!</v>
      </c>
      <c r="G36" s="243" t="e">
        <f t="shared" si="12"/>
        <v>#DIV/0!</v>
      </c>
      <c r="I36" s="240" t="s">
        <v>67</v>
      </c>
      <c r="J36" s="241"/>
      <c r="K36" s="242" t="e">
        <f t="shared" si="13"/>
        <v>#DIV/0!</v>
      </c>
      <c r="L36" s="242" t="e">
        <f t="shared" si="15"/>
        <v>#DIV/0!</v>
      </c>
      <c r="M36" s="243" t="e">
        <f t="shared" si="10"/>
        <v>#DIV/0!</v>
      </c>
    </row>
    <row r="37" spans="2:13" ht="15" thickBot="1">
      <c r="B37" s="240" t="s">
        <v>68</v>
      </c>
      <c r="C37" s="241"/>
      <c r="D37" s="242" t="e">
        <f t="shared" si="11"/>
        <v>#DIV/0!</v>
      </c>
      <c r="E37" s="242" t="e">
        <f t="shared" si="14"/>
        <v>#DIV/0!</v>
      </c>
      <c r="F37" s="243" t="e">
        <f>IF(AND(E37&lt;=0),"C",IF(E37&lt;=0.8,"A",IF(E37&lt;=0.95,"B","C")))</f>
        <v>#DIV/0!</v>
      </c>
      <c r="G37" s="243" t="e">
        <f t="shared" si="12"/>
        <v>#DIV/0!</v>
      </c>
      <c r="I37" s="240" t="s">
        <v>68</v>
      </c>
      <c r="J37" s="241"/>
      <c r="K37" s="242" t="e">
        <f t="shared" si="13"/>
        <v>#DIV/0!</v>
      </c>
      <c r="L37" s="242" t="e">
        <f t="shared" si="15"/>
        <v>#DIV/0!</v>
      </c>
      <c r="M37" s="243" t="e">
        <f>_xlfn.IFS(L37&lt;80%,"A",L37&lt;=95%,"B",L37&gt;95%,"C")</f>
        <v>#DIV/0!</v>
      </c>
    </row>
    <row r="38" spans="2:13" ht="15" thickBot="1">
      <c r="B38" s="240" t="s">
        <v>69</v>
      </c>
      <c r="C38" s="241"/>
      <c r="D38" s="242" t="e">
        <f t="shared" si="11"/>
        <v>#DIV/0!</v>
      </c>
      <c r="E38" s="242" t="e">
        <f t="shared" si="14"/>
        <v>#DIV/0!</v>
      </c>
      <c r="F38" s="243" t="e">
        <f t="shared" ref="F38:F49" si="16">IF(AND(E38&lt;=0),"C",IF(E38&lt;=0.8,"A",IF(E38&lt;=0.95,"B","C")))</f>
        <v>#DIV/0!</v>
      </c>
      <c r="G38" s="243" t="e">
        <f t="shared" si="12"/>
        <v>#DIV/0!</v>
      </c>
      <c r="I38" s="240" t="s">
        <v>69</v>
      </c>
      <c r="J38" s="241"/>
      <c r="K38" s="242" t="e">
        <f t="shared" si="13"/>
        <v>#DIV/0!</v>
      </c>
      <c r="L38" s="242" t="e">
        <f t="shared" si="15"/>
        <v>#DIV/0!</v>
      </c>
      <c r="M38" s="243" t="e">
        <f t="shared" ref="M38:M49" si="17">_xlfn.IFS(L38&lt;80%,"A",L38&lt;=95%,"B",L38&gt;95%,"C")</f>
        <v>#DIV/0!</v>
      </c>
    </row>
    <row r="39" spans="2:13" ht="15" thickBot="1">
      <c r="B39" s="240" t="s">
        <v>70</v>
      </c>
      <c r="C39" s="241"/>
      <c r="D39" s="242" t="e">
        <f t="shared" si="11"/>
        <v>#DIV/0!</v>
      </c>
      <c r="E39" s="242" t="e">
        <f t="shared" si="14"/>
        <v>#DIV/0!</v>
      </c>
      <c r="F39" s="243" t="e">
        <f t="shared" si="16"/>
        <v>#DIV/0!</v>
      </c>
      <c r="G39" s="243" t="e">
        <f t="shared" si="12"/>
        <v>#DIV/0!</v>
      </c>
      <c r="I39" s="240" t="s">
        <v>70</v>
      </c>
      <c r="J39" s="241"/>
      <c r="K39" s="242" t="e">
        <f t="shared" si="13"/>
        <v>#DIV/0!</v>
      </c>
      <c r="L39" s="242" t="e">
        <f t="shared" si="15"/>
        <v>#DIV/0!</v>
      </c>
      <c r="M39" s="243" t="e">
        <f t="shared" si="17"/>
        <v>#DIV/0!</v>
      </c>
    </row>
    <row r="40" spans="2:13" ht="15" thickBot="1">
      <c r="B40" s="240" t="s">
        <v>71</v>
      </c>
      <c r="C40" s="241"/>
      <c r="D40" s="242" t="e">
        <f t="shared" si="11"/>
        <v>#DIV/0!</v>
      </c>
      <c r="E40" s="242" t="e">
        <f t="shared" si="14"/>
        <v>#DIV/0!</v>
      </c>
      <c r="F40" s="243" t="e">
        <f t="shared" si="16"/>
        <v>#DIV/0!</v>
      </c>
      <c r="G40" s="243" t="e">
        <f t="shared" si="12"/>
        <v>#DIV/0!</v>
      </c>
      <c r="I40" s="240" t="s">
        <v>71</v>
      </c>
      <c r="J40" s="241"/>
      <c r="K40" s="242" t="e">
        <f t="shared" si="13"/>
        <v>#DIV/0!</v>
      </c>
      <c r="L40" s="242" t="e">
        <f t="shared" si="15"/>
        <v>#DIV/0!</v>
      </c>
      <c r="M40" s="243" t="e">
        <f t="shared" si="17"/>
        <v>#DIV/0!</v>
      </c>
    </row>
    <row r="41" spans="2:13" ht="26.5" thickBot="1">
      <c r="B41" s="240" t="s">
        <v>72</v>
      </c>
      <c r="C41" s="241"/>
      <c r="D41" s="242" t="e">
        <f t="shared" si="11"/>
        <v>#DIV/0!</v>
      </c>
      <c r="E41" s="242" t="e">
        <f t="shared" si="14"/>
        <v>#DIV/0!</v>
      </c>
      <c r="F41" s="243" t="e">
        <f t="shared" si="16"/>
        <v>#DIV/0!</v>
      </c>
      <c r="G41" s="243" t="e">
        <f t="shared" si="12"/>
        <v>#DIV/0!</v>
      </c>
      <c r="I41" s="240" t="s">
        <v>72</v>
      </c>
      <c r="J41" s="241"/>
      <c r="K41" s="242" t="e">
        <f t="shared" si="13"/>
        <v>#DIV/0!</v>
      </c>
      <c r="L41" s="242" t="e">
        <f t="shared" si="15"/>
        <v>#DIV/0!</v>
      </c>
      <c r="M41" s="243" t="e">
        <f t="shared" si="17"/>
        <v>#DIV/0!</v>
      </c>
    </row>
    <row r="42" spans="2:13" ht="26.5" thickBot="1">
      <c r="B42" s="240" t="s">
        <v>73</v>
      </c>
      <c r="C42" s="241"/>
      <c r="D42" s="242" t="e">
        <f t="shared" si="11"/>
        <v>#DIV/0!</v>
      </c>
      <c r="E42" s="242" t="e">
        <f t="shared" si="14"/>
        <v>#DIV/0!</v>
      </c>
      <c r="F42" s="243" t="e">
        <f t="shared" si="16"/>
        <v>#DIV/0!</v>
      </c>
      <c r="G42" s="243" t="e">
        <f t="shared" si="12"/>
        <v>#DIV/0!</v>
      </c>
      <c r="I42" s="240" t="s">
        <v>73</v>
      </c>
      <c r="J42" s="241"/>
      <c r="K42" s="242" t="e">
        <f t="shared" si="13"/>
        <v>#DIV/0!</v>
      </c>
      <c r="L42" s="242" t="e">
        <f t="shared" si="15"/>
        <v>#DIV/0!</v>
      </c>
      <c r="M42" s="243" t="e">
        <f t="shared" si="17"/>
        <v>#DIV/0!</v>
      </c>
    </row>
    <row r="43" spans="2:13" ht="26.5" thickBot="1">
      <c r="B43" s="240" t="s">
        <v>74</v>
      </c>
      <c r="C43" s="241"/>
      <c r="D43" s="242" t="e">
        <f t="shared" si="11"/>
        <v>#DIV/0!</v>
      </c>
      <c r="E43" s="242" t="e">
        <f t="shared" si="14"/>
        <v>#DIV/0!</v>
      </c>
      <c r="F43" s="243" t="e">
        <f t="shared" si="16"/>
        <v>#DIV/0!</v>
      </c>
      <c r="G43" s="243" t="e">
        <f t="shared" si="12"/>
        <v>#DIV/0!</v>
      </c>
      <c r="I43" s="240" t="s">
        <v>74</v>
      </c>
      <c r="J43" s="241"/>
      <c r="K43" s="242" t="e">
        <f t="shared" si="13"/>
        <v>#DIV/0!</v>
      </c>
      <c r="L43" s="242" t="e">
        <f t="shared" si="15"/>
        <v>#DIV/0!</v>
      </c>
      <c r="M43" s="243" t="e">
        <f t="shared" si="17"/>
        <v>#DIV/0!</v>
      </c>
    </row>
    <row r="44" spans="2:13" ht="26.5" thickBot="1">
      <c r="B44" s="240" t="s">
        <v>75</v>
      </c>
      <c r="C44" s="241"/>
      <c r="D44" s="242" t="e">
        <f t="shared" si="11"/>
        <v>#DIV/0!</v>
      </c>
      <c r="E44" s="242" t="e">
        <f t="shared" si="14"/>
        <v>#DIV/0!</v>
      </c>
      <c r="F44" s="243" t="e">
        <f t="shared" si="16"/>
        <v>#DIV/0!</v>
      </c>
      <c r="G44" s="243" t="e">
        <f t="shared" si="12"/>
        <v>#DIV/0!</v>
      </c>
      <c r="I44" s="240" t="s">
        <v>75</v>
      </c>
      <c r="J44" s="241"/>
      <c r="K44" s="242" t="e">
        <f t="shared" si="13"/>
        <v>#DIV/0!</v>
      </c>
      <c r="L44" s="242" t="e">
        <f t="shared" si="15"/>
        <v>#DIV/0!</v>
      </c>
      <c r="M44" s="243" t="e">
        <f t="shared" si="17"/>
        <v>#DIV/0!</v>
      </c>
    </row>
    <row r="45" spans="2:13" ht="26.5" thickBot="1">
      <c r="B45" s="240" t="s">
        <v>76</v>
      </c>
      <c r="C45" s="241"/>
      <c r="D45" s="242" t="e">
        <f t="shared" si="11"/>
        <v>#DIV/0!</v>
      </c>
      <c r="E45" s="242" t="e">
        <f t="shared" si="14"/>
        <v>#DIV/0!</v>
      </c>
      <c r="F45" s="243" t="e">
        <f t="shared" si="16"/>
        <v>#DIV/0!</v>
      </c>
      <c r="G45" s="243" t="e">
        <f t="shared" si="12"/>
        <v>#DIV/0!</v>
      </c>
      <c r="I45" s="240" t="s">
        <v>76</v>
      </c>
      <c r="J45" s="241"/>
      <c r="K45" s="242" t="e">
        <f t="shared" si="13"/>
        <v>#DIV/0!</v>
      </c>
      <c r="L45" s="242" t="e">
        <f t="shared" si="15"/>
        <v>#DIV/0!</v>
      </c>
      <c r="M45" s="243" t="e">
        <f t="shared" si="17"/>
        <v>#DIV/0!</v>
      </c>
    </row>
    <row r="46" spans="2:13" ht="26.5" thickBot="1">
      <c r="B46" s="240" t="s">
        <v>77</v>
      </c>
      <c r="C46" s="241"/>
      <c r="D46" s="242" t="e">
        <f t="shared" si="11"/>
        <v>#DIV/0!</v>
      </c>
      <c r="E46" s="242" t="e">
        <f t="shared" si="14"/>
        <v>#DIV/0!</v>
      </c>
      <c r="F46" s="243" t="e">
        <f t="shared" si="16"/>
        <v>#DIV/0!</v>
      </c>
      <c r="G46" s="243" t="e">
        <f t="shared" si="12"/>
        <v>#DIV/0!</v>
      </c>
      <c r="I46" s="240" t="s">
        <v>77</v>
      </c>
      <c r="J46" s="241"/>
      <c r="K46" s="242" t="e">
        <f t="shared" si="13"/>
        <v>#DIV/0!</v>
      </c>
      <c r="L46" s="242" t="e">
        <f t="shared" si="15"/>
        <v>#DIV/0!</v>
      </c>
      <c r="M46" s="243" t="e">
        <f t="shared" si="17"/>
        <v>#DIV/0!</v>
      </c>
    </row>
    <row r="47" spans="2:13" ht="26.5" thickBot="1">
      <c r="B47" s="240" t="s">
        <v>78</v>
      </c>
      <c r="C47" s="241"/>
      <c r="D47" s="242" t="e">
        <f t="shared" si="11"/>
        <v>#DIV/0!</v>
      </c>
      <c r="E47" s="242" t="e">
        <f t="shared" si="14"/>
        <v>#DIV/0!</v>
      </c>
      <c r="F47" s="243" t="e">
        <f t="shared" si="16"/>
        <v>#DIV/0!</v>
      </c>
      <c r="G47" s="243" t="e">
        <f t="shared" si="12"/>
        <v>#DIV/0!</v>
      </c>
      <c r="I47" s="240" t="s">
        <v>78</v>
      </c>
      <c r="J47" s="241"/>
      <c r="K47" s="242" t="e">
        <f t="shared" si="13"/>
        <v>#DIV/0!</v>
      </c>
      <c r="L47" s="242" t="e">
        <f t="shared" si="15"/>
        <v>#DIV/0!</v>
      </c>
      <c r="M47" s="243" t="e">
        <f t="shared" si="17"/>
        <v>#DIV/0!</v>
      </c>
    </row>
    <row r="48" spans="2:13" ht="15" thickBot="1">
      <c r="B48" s="240" t="s">
        <v>79</v>
      </c>
      <c r="C48" s="241"/>
      <c r="D48" s="242" t="e">
        <f t="shared" si="11"/>
        <v>#DIV/0!</v>
      </c>
      <c r="E48" s="242" t="e">
        <f t="shared" si="14"/>
        <v>#DIV/0!</v>
      </c>
      <c r="F48" s="243" t="e">
        <f t="shared" si="16"/>
        <v>#DIV/0!</v>
      </c>
      <c r="G48" s="243" t="e">
        <f t="shared" si="12"/>
        <v>#DIV/0!</v>
      </c>
      <c r="I48" s="240" t="s">
        <v>79</v>
      </c>
      <c r="J48" s="241"/>
      <c r="K48" s="242" t="e">
        <f t="shared" si="13"/>
        <v>#DIV/0!</v>
      </c>
      <c r="L48" s="242" t="e">
        <f t="shared" si="15"/>
        <v>#DIV/0!</v>
      </c>
      <c r="M48" s="243" t="e">
        <f t="shared" si="17"/>
        <v>#DIV/0!</v>
      </c>
    </row>
    <row r="49" spans="2:13" ht="26.5" thickBot="1">
      <c r="B49" s="240" t="s">
        <v>80</v>
      </c>
      <c r="C49" s="241"/>
      <c r="D49" s="242" t="e">
        <f t="shared" si="11"/>
        <v>#DIV/0!</v>
      </c>
      <c r="E49" s="242" t="e">
        <f t="shared" si="14"/>
        <v>#DIV/0!</v>
      </c>
      <c r="F49" s="243" t="e">
        <f t="shared" si="16"/>
        <v>#DIV/0!</v>
      </c>
      <c r="G49" s="243" t="e">
        <f t="shared" si="12"/>
        <v>#DIV/0!</v>
      </c>
      <c r="I49" s="240" t="s">
        <v>80</v>
      </c>
      <c r="J49" s="241"/>
      <c r="K49" s="242" t="e">
        <f t="shared" si="13"/>
        <v>#DIV/0!</v>
      </c>
      <c r="L49" s="242" t="e">
        <f t="shared" si="15"/>
        <v>#DIV/0!</v>
      </c>
      <c r="M49" s="243" t="e">
        <f t="shared" si="17"/>
        <v>#DIV/0!</v>
      </c>
    </row>
    <row r="50" spans="2:13">
      <c r="C50" s="249">
        <f>SUM(C30:C49)</f>
        <v>0</v>
      </c>
      <c r="D50" s="250" t="e">
        <f>SUM(D30:D49)</f>
        <v>#DIV/0!</v>
      </c>
      <c r="J50" s="249">
        <f>SUM(J30:J49)</f>
        <v>0</v>
      </c>
      <c r="K50" s="250" t="e">
        <f>SUM(K30:K49)</f>
        <v>#DIV/0!</v>
      </c>
    </row>
  </sheetData>
  <mergeCells count="2">
    <mergeCell ref="B2:M2"/>
    <mergeCell ref="B28:M28"/>
  </mergeCells>
  <conditionalFormatting sqref="D4:D25 F4:G25 M4:M25 K4:K25">
    <cfRule type="cellIs" dxfId="263" priority="4" operator="equal">
      <formula>"C"</formula>
    </cfRule>
    <cfRule type="cellIs" dxfId="262" priority="5" operator="equal">
      <formula>"B"</formula>
    </cfRule>
    <cfRule type="cellIs" dxfId="261" priority="6" operator="equal">
      <formula>"A"</formula>
    </cfRule>
  </conditionalFormatting>
  <conditionalFormatting sqref="M30:M49 D30:D49 K30:K49 F30:G49">
    <cfRule type="cellIs" dxfId="260" priority="1" operator="equal">
      <formula>"C"</formula>
    </cfRule>
    <cfRule type="cellIs" dxfId="259" priority="2" operator="equal">
      <formula>"B"</formula>
    </cfRule>
    <cfRule type="cellIs" dxfId="258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9AB8-163D-45C9-B7AB-AE553D51AE69}">
  <dimension ref="B1:Q50"/>
  <sheetViews>
    <sheetView topLeftCell="A13" zoomScale="90" zoomScaleNormal="90" workbookViewId="0">
      <selection activeCell="O29" sqref="O2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09-15.02'!AE3</f>
        <v>18261.877417800682</v>
      </c>
      <c r="D4" s="242">
        <f>C4/C$26</f>
        <v>0.90506779796159986</v>
      </c>
      <c r="E4" s="242">
        <f>D4</f>
        <v>0.90506779796159986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09-15.02'!R3</f>
        <v>40</v>
      </c>
      <c r="K4" s="242">
        <f>J4/J$26</f>
        <v>0.68965517241379315</v>
      </c>
      <c r="L4" s="242">
        <f>K4</f>
        <v>0.68965517241379315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09-15.02'!AE7</f>
        <v>2261.0318988773847</v>
      </c>
      <c r="D5" s="242">
        <f>C5/C$26</f>
        <v>0.11205787417251978</v>
      </c>
      <c r="E5" s="242">
        <f>D5+E4</f>
        <v>1.0171256721341195</v>
      </c>
      <c r="F5" s="243" t="str">
        <f t="shared" si="0"/>
        <v>C</v>
      </c>
      <c r="G5" s="243" t="str">
        <f>VLOOKUP(B$4:B$25,I$4:M$25,5,0)</f>
        <v>A</v>
      </c>
      <c r="I5" s="240" t="s">
        <v>42</v>
      </c>
      <c r="J5" s="241">
        <f>'Юнит 09-15.02'!R7</f>
        <v>5</v>
      </c>
      <c r="K5" s="242">
        <f>J5/J$26</f>
        <v>8.6206896551724144E-2</v>
      </c>
      <c r="L5" s="242">
        <f>K5+L4</f>
        <v>0.77586206896551735</v>
      </c>
      <c r="M5" s="243" t="str">
        <f t="shared" si="1"/>
        <v>A</v>
      </c>
    </row>
    <row r="6" spans="2:17" ht="28.5" customHeight="1" outlineLevel="1" thickBot="1">
      <c r="B6" s="240" t="s">
        <v>44</v>
      </c>
      <c r="C6" s="241">
        <f>'Юнит 09-15.02'!AE9</f>
        <v>1236.5719648631994</v>
      </c>
      <c r="D6" s="242">
        <f>C6/C$26</f>
        <v>6.1285126367613643E-2</v>
      </c>
      <c r="E6" s="242">
        <f t="shared" ref="E6:E25" si="2">D6+E5</f>
        <v>1.0784107985017333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09-15.02'!R9</f>
        <v>5</v>
      </c>
      <c r="K6" s="242">
        <f>J6/J$26</f>
        <v>8.6206896551724144E-2</v>
      </c>
      <c r="L6" s="242">
        <f t="shared" ref="L6:L25" si="3">K6+L5</f>
        <v>0.86206896551724155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09-15.02'!AE4</f>
        <v>873.3015570478251</v>
      </c>
      <c r="D7" s="242">
        <f>C7/C$26</f>
        <v>4.3281262879536993E-2</v>
      </c>
      <c r="E7" s="242">
        <f t="shared" si="2"/>
        <v>1.1216920613812702</v>
      </c>
      <c r="F7" s="243" t="str">
        <f t="shared" si="0"/>
        <v>C</v>
      </c>
      <c r="G7" s="243" t="str">
        <f>VLOOKUP(B$4:B$25,I$4:M$25,5,0)</f>
        <v>B</v>
      </c>
      <c r="I7" s="240" t="s">
        <v>45</v>
      </c>
      <c r="J7" s="241">
        <f>'Юнит 09-15.02'!R10</f>
        <v>4</v>
      </c>
      <c r="K7" s="242">
        <f>J7/J$26</f>
        <v>6.8965517241379309E-2</v>
      </c>
      <c r="L7" s="242">
        <f t="shared" si="3"/>
        <v>0.93103448275862088</v>
      </c>
      <c r="M7" s="243" t="str">
        <f t="shared" si="1"/>
        <v>B</v>
      </c>
    </row>
    <row r="8" spans="2:17" ht="28.5" customHeight="1" outlineLevel="1" thickBot="1">
      <c r="B8" s="240" t="s">
        <v>45</v>
      </c>
      <c r="C8" s="241">
        <f>'Юнит 09-15.02'!AE10</f>
        <v>827.07560341999567</v>
      </c>
      <c r="D8" s="242">
        <f>C8/C$26</f>
        <v>4.0990281448578886E-2</v>
      </c>
      <c r="E8" s="242">
        <f t="shared" si="2"/>
        <v>1.1626823428298492</v>
      </c>
      <c r="F8" s="243" t="str">
        <f t="shared" si="0"/>
        <v>C</v>
      </c>
      <c r="G8" s="243" t="str">
        <f>VLOOKUP(B$4:B$25,I$4:M$25,5,0)</f>
        <v>B</v>
      </c>
      <c r="I8" s="240" t="s">
        <v>39</v>
      </c>
      <c r="J8" s="241">
        <f>'Юнит 09-15.02'!R4</f>
        <v>1</v>
      </c>
      <c r="K8" s="242">
        <f>J8/J$26</f>
        <v>1.7241379310344827E-2</v>
      </c>
      <c r="L8" s="242">
        <f t="shared" si="3"/>
        <v>0.94827586206896575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09-15.02'!AE12</f>
        <v>329.21307793335166</v>
      </c>
      <c r="D9" s="242">
        <f t="shared" ref="D9:D25" si="4">C9/C$26</f>
        <v>1.6315965149063142E-2</v>
      </c>
      <c r="E9" s="242">
        <f t="shared" si="2"/>
        <v>1.1789983079789124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40</v>
      </c>
      <c r="J9" s="241">
        <f>'Юнит 09-15.02'!R5</f>
        <v>1</v>
      </c>
      <c r="K9" s="242">
        <f t="shared" ref="K9:K25" si="6">J9/J$26</f>
        <v>1.7241379310344827E-2</v>
      </c>
      <c r="L9" s="242">
        <f t="shared" si="3"/>
        <v>0.96551724137931061</v>
      </c>
      <c r="M9" s="243" t="str">
        <f t="shared" si="1"/>
        <v>C</v>
      </c>
    </row>
    <row r="10" spans="2:17" ht="28.5" customHeight="1" outlineLevel="1" thickBot="1">
      <c r="B10" s="240" t="s">
        <v>40</v>
      </c>
      <c r="C10" s="241">
        <f>'Юнит 09-15.02'!AE5</f>
        <v>310.95155704782513</v>
      </c>
      <c r="D10" s="242">
        <f t="shared" si="4"/>
        <v>1.5410915021019749E-2</v>
      </c>
      <c r="E10" s="242">
        <f t="shared" si="2"/>
        <v>1.1944092229999321</v>
      </c>
      <c r="F10" s="243" t="str">
        <f t="shared" si="0"/>
        <v>C</v>
      </c>
      <c r="G10" s="243" t="str">
        <f t="shared" si="5"/>
        <v>C</v>
      </c>
      <c r="I10" s="240" t="s">
        <v>47</v>
      </c>
      <c r="J10" s="241">
        <f>'Юнит 09-15.02'!R12</f>
        <v>1</v>
      </c>
      <c r="K10" s="242">
        <f t="shared" si="6"/>
        <v>1.7241379310344827E-2</v>
      </c>
      <c r="L10" s="242">
        <f t="shared" si="3"/>
        <v>0.98275862068965547</v>
      </c>
      <c r="M10" s="243" t="str">
        <f t="shared" si="1"/>
        <v>C</v>
      </c>
    </row>
    <row r="11" spans="2:17" ht="28.5" customHeight="1" outlineLevel="1" thickBot="1">
      <c r="B11" s="240" t="s">
        <v>48</v>
      </c>
      <c r="C11" s="241">
        <f>'Юнит 09-15.02'!AE13</f>
        <v>142.47940134304275</v>
      </c>
      <c r="D11" s="242">
        <f t="shared" si="4"/>
        <v>7.0613505434407231E-3</v>
      </c>
      <c r="E11" s="242">
        <f>D11+E8</f>
        <v>1.1697436933732899</v>
      </c>
      <c r="F11" s="243" t="str">
        <f t="shared" si="0"/>
        <v>C</v>
      </c>
      <c r="G11" s="243" t="str">
        <f t="shared" si="5"/>
        <v>C</v>
      </c>
      <c r="I11" s="240" t="s">
        <v>48</v>
      </c>
      <c r="J11" s="241">
        <f>'Юнит 09-15.02'!R13</f>
        <v>1</v>
      </c>
      <c r="K11" s="242">
        <f t="shared" si="6"/>
        <v>1.7241379310344827E-2</v>
      </c>
      <c r="L11" s="242">
        <f>K11+L8</f>
        <v>0.96551724137931061</v>
      </c>
      <c r="M11" s="243" t="str">
        <f t="shared" si="1"/>
        <v>C</v>
      </c>
    </row>
    <row r="12" spans="2:17" ht="28.5" customHeight="1" outlineLevel="1" thickBot="1">
      <c r="B12" s="240" t="s">
        <v>52</v>
      </c>
      <c r="C12" s="241">
        <f>'Юнит 09-15.02'!AE17</f>
        <v>0</v>
      </c>
      <c r="D12" s="242">
        <f t="shared" si="4"/>
        <v>0</v>
      </c>
      <c r="E12" s="242">
        <f t="shared" si="2"/>
        <v>1.1697436933732899</v>
      </c>
      <c r="F12" s="243" t="str">
        <f t="shared" si="0"/>
        <v>C</v>
      </c>
      <c r="G12" s="243" t="str">
        <f t="shared" si="5"/>
        <v>C</v>
      </c>
      <c r="I12" s="240" t="s">
        <v>50</v>
      </c>
      <c r="J12" s="241">
        <f>'Юнит 09-15.02'!R15</f>
        <v>1</v>
      </c>
      <c r="K12" s="242">
        <f t="shared" si="6"/>
        <v>1.7241379310344827E-2</v>
      </c>
      <c r="L12" s="242">
        <f t="shared" si="3"/>
        <v>0.98275862068965547</v>
      </c>
      <c r="M12" s="243" t="str">
        <f t="shared" si="1"/>
        <v>C</v>
      </c>
    </row>
    <row r="13" spans="2:17" ht="15" outlineLevel="1" thickBot="1">
      <c r="B13" s="240" t="s">
        <v>53</v>
      </c>
      <c r="C13" s="241">
        <f>'Юнит 09-15.02'!AE18</f>
        <v>0</v>
      </c>
      <c r="D13" s="242">
        <f t="shared" si="4"/>
        <v>0</v>
      </c>
      <c r="E13" s="242">
        <f t="shared" si="2"/>
        <v>1.1697436933732899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41</v>
      </c>
      <c r="J13" s="241">
        <f>'Юнит 09-15.02'!R6</f>
        <v>0</v>
      </c>
      <c r="K13" s="242">
        <f t="shared" si="6"/>
        <v>0</v>
      </c>
      <c r="L13" s="242">
        <f t="shared" si="3"/>
        <v>0.98275862068965547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54</v>
      </c>
      <c r="C14" s="241">
        <f>'Юнит 09-15.02'!AE19</f>
        <v>0</v>
      </c>
      <c r="D14" s="242">
        <f t="shared" si="4"/>
        <v>0</v>
      </c>
      <c r="E14" s="242">
        <f t="shared" si="2"/>
        <v>1.1697436933732899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43</v>
      </c>
      <c r="J14" s="241">
        <f>'Юнит 09-15.02'!R8</f>
        <v>0</v>
      </c>
      <c r="K14" s="242">
        <f t="shared" si="6"/>
        <v>0</v>
      </c>
      <c r="L14" s="242">
        <f t="shared" si="3"/>
        <v>0.98275862068965547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56</v>
      </c>
      <c r="C15" s="241">
        <f>'Юнит 09-15.02'!AE21</f>
        <v>0</v>
      </c>
      <c r="D15" s="242">
        <f t="shared" si="4"/>
        <v>0</v>
      </c>
      <c r="E15" s="242">
        <f t="shared" si="2"/>
        <v>1.1697436933732899</v>
      </c>
      <c r="F15" s="243" t="str">
        <f t="shared" si="7"/>
        <v>C</v>
      </c>
      <c r="G15" s="243" t="str">
        <f t="shared" si="5"/>
        <v>C</v>
      </c>
      <c r="I15" s="240" t="s">
        <v>46</v>
      </c>
      <c r="J15" s="241">
        <f>'Юнит 09-15.02'!R11</f>
        <v>0</v>
      </c>
      <c r="K15" s="242">
        <f t="shared" si="6"/>
        <v>0</v>
      </c>
      <c r="L15" s="242">
        <f t="shared" si="3"/>
        <v>0.98275862068965547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57</v>
      </c>
      <c r="C16" s="241">
        <f>'Юнит 09-15.02'!AE22</f>
        <v>0</v>
      </c>
      <c r="D16" s="242">
        <f t="shared" si="4"/>
        <v>0</v>
      </c>
      <c r="E16" s="242">
        <f t="shared" si="2"/>
        <v>1.1697436933732899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09-15.02'!R14</f>
        <v>0</v>
      </c>
      <c r="K16" s="242">
        <f t="shared" si="6"/>
        <v>0</v>
      </c>
      <c r="L16" s="242">
        <f t="shared" si="3"/>
        <v>0.98275862068965547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58</v>
      </c>
      <c r="C17" s="241">
        <f>'Юнит 09-15.02'!AE23</f>
        <v>0</v>
      </c>
      <c r="D17" s="242">
        <f t="shared" si="4"/>
        <v>0</v>
      </c>
      <c r="E17" s="242">
        <f t="shared" si="2"/>
        <v>1.1697436933732899</v>
      </c>
      <c r="F17" s="243" t="str">
        <f t="shared" si="7"/>
        <v>C</v>
      </c>
      <c r="G17" s="243" t="str">
        <f t="shared" si="5"/>
        <v>C</v>
      </c>
      <c r="I17" s="240" t="s">
        <v>51</v>
      </c>
      <c r="J17" s="241">
        <f>'Юнит 09-15.02'!R16</f>
        <v>0</v>
      </c>
      <c r="K17" s="242">
        <f t="shared" si="6"/>
        <v>0</v>
      </c>
      <c r="L17" s="242">
        <f t="shared" si="3"/>
        <v>0.98275862068965547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59</v>
      </c>
      <c r="C18" s="241">
        <f>'Юнит 09-15.02'!AE24</f>
        <v>0</v>
      </c>
      <c r="D18" s="242">
        <f t="shared" si="4"/>
        <v>0</v>
      </c>
      <c r="E18" s="242">
        <f t="shared" si="2"/>
        <v>1.1697436933732899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09-15.02'!R17</f>
        <v>0</v>
      </c>
      <c r="K18" s="242">
        <f t="shared" si="6"/>
        <v>0</v>
      </c>
      <c r="L18" s="242">
        <f t="shared" si="3"/>
        <v>0.98275862068965547</v>
      </c>
      <c r="M18" s="243" t="str">
        <f t="shared" si="8"/>
        <v>C</v>
      </c>
      <c r="P18" s="248"/>
      <c r="Q18" s="242"/>
    </row>
    <row r="19" spans="2:17" ht="26.5" outlineLevel="1" thickBot="1">
      <c r="B19" s="240" t="s">
        <v>50</v>
      </c>
      <c r="C19" s="241">
        <f>'Юнит 09-15.02'!AE15</f>
        <v>-119.58736509978354</v>
      </c>
      <c r="D19" s="242">
        <f t="shared" si="4"/>
        <v>-5.9268097533821855E-3</v>
      </c>
      <c r="E19" s="242">
        <f t="shared" si="2"/>
        <v>1.1638168836199076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09-15.02'!R18</f>
        <v>0</v>
      </c>
      <c r="K19" s="242">
        <f t="shared" si="6"/>
        <v>0</v>
      </c>
      <c r="L19" s="242">
        <f t="shared" si="3"/>
        <v>0.98275862068965547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46</v>
      </c>
      <c r="C20" s="241">
        <f>'Юнит 09-15.02'!AE11</f>
        <v>-187.08</v>
      </c>
      <c r="D20" s="242">
        <f t="shared" si="4"/>
        <v>-9.2717785673893608E-3</v>
      </c>
      <c r="E20" s="242">
        <f t="shared" si="2"/>
        <v>1.1545451050525184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09-15.02'!R19</f>
        <v>0</v>
      </c>
      <c r="K20" s="242">
        <f t="shared" si="6"/>
        <v>0</v>
      </c>
      <c r="L20" s="242">
        <f t="shared" si="3"/>
        <v>0.98275862068965547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49</v>
      </c>
      <c r="C21" s="241">
        <f>'Юнит 09-15.02'!AE14</f>
        <v>-387.09</v>
      </c>
      <c r="D21" s="242">
        <f t="shared" si="4"/>
        <v>-1.9184374415494691E-2</v>
      </c>
      <c r="E21" s="242">
        <f t="shared" si="2"/>
        <v>1.1353607306370237</v>
      </c>
      <c r="F21" s="243" t="str">
        <f t="shared" si="7"/>
        <v>C</v>
      </c>
      <c r="G21" s="243" t="str">
        <f t="shared" si="5"/>
        <v>C</v>
      </c>
      <c r="I21" s="240" t="s">
        <v>56</v>
      </c>
      <c r="J21" s="241">
        <f>'Юнит 09-15.02'!R21</f>
        <v>0</v>
      </c>
      <c r="K21" s="242">
        <f t="shared" si="6"/>
        <v>0</v>
      </c>
      <c r="L21" s="242">
        <f t="shared" si="3"/>
        <v>0.98275862068965547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43</v>
      </c>
      <c r="C22" s="241">
        <f>'Юнит 09-15.02'!AE8</f>
        <v>-425.04</v>
      </c>
      <c r="D22" s="242">
        <f t="shared" si="4"/>
        <v>-2.1065195436621626E-2</v>
      </c>
      <c r="E22" s="242">
        <f t="shared" si="2"/>
        <v>1.114295535200402</v>
      </c>
      <c r="F22" s="243" t="str">
        <f t="shared" si="7"/>
        <v>C</v>
      </c>
      <c r="G22" s="243" t="str">
        <f t="shared" si="5"/>
        <v>C</v>
      </c>
      <c r="I22" s="240" t="s">
        <v>57</v>
      </c>
      <c r="J22" s="241">
        <f>'Юнит 09-15.02'!R22</f>
        <v>0</v>
      </c>
      <c r="K22" s="242">
        <f t="shared" si="6"/>
        <v>0</v>
      </c>
      <c r="L22" s="242">
        <f t="shared" si="3"/>
        <v>0.98275862068965547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09-15.02'!AE16</f>
        <v>-569.17999999999995</v>
      </c>
      <c r="D23" s="242">
        <f t="shared" si="4"/>
        <v>-2.8208846081818874E-2</v>
      </c>
      <c r="E23" s="242">
        <f t="shared" si="2"/>
        <v>1.0860866891185832</v>
      </c>
      <c r="F23" s="243" t="str">
        <f t="shared" si="7"/>
        <v>C</v>
      </c>
      <c r="G23" s="243" t="str">
        <f t="shared" si="5"/>
        <v>C</v>
      </c>
      <c r="I23" s="240" t="s">
        <v>58</v>
      </c>
      <c r="J23" s="241">
        <f>'Юнит 09-15.02'!R23</f>
        <v>0</v>
      </c>
      <c r="K23" s="242">
        <f t="shared" si="6"/>
        <v>0</v>
      </c>
      <c r="L23" s="242">
        <f t="shared" si="3"/>
        <v>0.98275862068965547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55</v>
      </c>
      <c r="C24" s="241">
        <f>'Юнит 09-15.02'!AE20</f>
        <v>-925.79032959866163</v>
      </c>
      <c r="D24" s="242">
        <f t="shared" si="4"/>
        <v>-4.5882632755341039E-2</v>
      </c>
      <c r="E24" s="242">
        <f t="shared" si="2"/>
        <v>1.0402040563632422</v>
      </c>
      <c r="F24" s="243" t="str">
        <f t="shared" si="7"/>
        <v>C</v>
      </c>
      <c r="G24" s="243" t="str">
        <f t="shared" si="5"/>
        <v>C</v>
      </c>
      <c r="I24" s="240" t="s">
        <v>59</v>
      </c>
      <c r="J24" s="241">
        <f>'Юнит 09-15.02'!R24</f>
        <v>0</v>
      </c>
      <c r="K24" s="242">
        <f t="shared" si="6"/>
        <v>0</v>
      </c>
      <c r="L24" s="242">
        <f t="shared" si="3"/>
        <v>0.98275862068965547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09-15.02'!AE6</f>
        <v>-1451.376293</v>
      </c>
      <c r="D25" s="242">
        <f t="shared" si="4"/>
        <v>-7.1930936533324885E-2</v>
      </c>
      <c r="E25" s="242">
        <f t="shared" si="2"/>
        <v>0.96827311982991726</v>
      </c>
      <c r="F25" s="243" t="str">
        <f t="shared" si="7"/>
        <v>C</v>
      </c>
      <c r="G25" s="243" t="str">
        <f t="shared" si="5"/>
        <v>C</v>
      </c>
      <c r="I25" s="240" t="s">
        <v>55</v>
      </c>
      <c r="J25" s="241">
        <f>'Юнит 09-15.02'!R20</f>
        <v>-1</v>
      </c>
      <c r="K25" s="242">
        <f t="shared" si="6"/>
        <v>-1.7241379310344827E-2</v>
      </c>
      <c r="L25" s="242">
        <f t="shared" si="3"/>
        <v>0.96551724137931061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20177.358490634859</v>
      </c>
      <c r="D26" s="250">
        <f>SUM(D4:D25)</f>
        <v>1.0000000000000002</v>
      </c>
      <c r="J26" s="249">
        <f>SUM(J4:J25)</f>
        <v>58</v>
      </c>
      <c r="K26" s="250">
        <f>SUM(K4:K25)</f>
        <v>1.0000000000000002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77</v>
      </c>
      <c r="C30" s="241">
        <f>'Юнит 09-15.02'!AE44</f>
        <v>7055.3882088682531</v>
      </c>
      <c r="D30" s="242">
        <f>C30/C$50</f>
        <v>0.39472444681644658</v>
      </c>
      <c r="E30" s="242">
        <f>D30</f>
        <v>0.39472444681644658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77</v>
      </c>
      <c r="J30" s="241">
        <f>'Юнит 09-15.02'!R44</f>
        <v>7</v>
      </c>
      <c r="K30" s="242">
        <f>J30/J$50</f>
        <v>0.35</v>
      </c>
      <c r="L30" s="242">
        <f>K30</f>
        <v>0.35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09-15.02'!AE37</f>
        <v>5645.1219712950515</v>
      </c>
      <c r="D31" s="242">
        <f t="shared" ref="D31:D49" si="11">C31/C$50</f>
        <v>0.31582495269785327</v>
      </c>
      <c r="E31" s="242">
        <f>D31+E30</f>
        <v>0.71054939951429985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78</v>
      </c>
      <c r="J31" s="241">
        <f>'Юнит 09-15.02'!R45</f>
        <v>4</v>
      </c>
      <c r="K31" s="242">
        <f t="shared" ref="K31:K49" si="13">J31/J$50</f>
        <v>0.2</v>
      </c>
      <c r="L31" s="242">
        <f>K31+L30</f>
        <v>0.55000000000000004</v>
      </c>
      <c r="M31" s="243" t="str">
        <f t="shared" si="10"/>
        <v>A</v>
      </c>
    </row>
    <row r="32" spans="2:17" ht="26.5" thickBot="1">
      <c r="B32" s="240" t="s">
        <v>78</v>
      </c>
      <c r="C32" s="241">
        <f>'Юнит 09-15.02'!AE45</f>
        <v>4691.1461693991159</v>
      </c>
      <c r="D32" s="242">
        <f t="shared" si="11"/>
        <v>0.26245332245838099</v>
      </c>
      <c r="E32" s="242">
        <f t="shared" ref="E32:E49" si="14">D32+E31</f>
        <v>0.9730027219726809</v>
      </c>
      <c r="F32" s="243" t="str">
        <f t="shared" si="9"/>
        <v>C</v>
      </c>
      <c r="G32" s="243" t="str">
        <f t="shared" si="12"/>
        <v>A</v>
      </c>
      <c r="I32" s="240" t="s">
        <v>70</v>
      </c>
      <c r="J32" s="241">
        <f>'Юнит 09-15.02'!R37</f>
        <v>3</v>
      </c>
      <c r="K32" s="242">
        <f t="shared" si="13"/>
        <v>0.15</v>
      </c>
      <c r="L32" s="242">
        <f t="shared" ref="L32:L49" si="15">K32+L31</f>
        <v>0.70000000000000007</v>
      </c>
      <c r="M32" s="243" t="str">
        <f t="shared" si="10"/>
        <v>A</v>
      </c>
    </row>
    <row r="33" spans="2:13" ht="26.5" thickBot="1">
      <c r="B33" s="240" t="s">
        <v>62</v>
      </c>
      <c r="C33" s="241">
        <f>'Юнит 09-15.02'!AE29</f>
        <v>1950.7438926195628</v>
      </c>
      <c r="D33" s="242">
        <f t="shared" si="11"/>
        <v>0.10913734029928517</v>
      </c>
      <c r="E33" s="242">
        <f t="shared" si="14"/>
        <v>1.0821400622719661</v>
      </c>
      <c r="F33" s="243" t="str">
        <f t="shared" si="9"/>
        <v>C</v>
      </c>
      <c r="G33" s="243" t="str">
        <f t="shared" si="12"/>
        <v>B</v>
      </c>
      <c r="I33" s="240" t="s">
        <v>66</v>
      </c>
      <c r="J33" s="241">
        <f>'Юнит 09-15.02'!R33</f>
        <v>2</v>
      </c>
      <c r="K33" s="242">
        <f t="shared" si="13"/>
        <v>0.1</v>
      </c>
      <c r="L33" s="242">
        <f t="shared" si="15"/>
        <v>0.8</v>
      </c>
      <c r="M33" s="243" t="str">
        <f t="shared" si="10"/>
        <v>B</v>
      </c>
    </row>
    <row r="34" spans="2:13" ht="26.5" thickBot="1">
      <c r="B34" s="240" t="s">
        <v>66</v>
      </c>
      <c r="C34" s="241">
        <f>'Юнит 09-15.02'!AE33</f>
        <v>1741.1319825395469</v>
      </c>
      <c r="D34" s="242">
        <f t="shared" si="11"/>
        <v>9.7410282509825127E-2</v>
      </c>
      <c r="E34" s="242">
        <f t="shared" si="14"/>
        <v>1.1795503447817912</v>
      </c>
      <c r="F34" s="243" t="str">
        <f t="shared" si="9"/>
        <v>C</v>
      </c>
      <c r="G34" s="243" t="str">
        <f t="shared" si="12"/>
        <v>B</v>
      </c>
      <c r="I34" s="240" t="s">
        <v>75</v>
      </c>
      <c r="J34" s="241">
        <f>'Юнит 09-15.02'!R42</f>
        <v>2</v>
      </c>
      <c r="K34" s="242">
        <f t="shared" si="13"/>
        <v>0.1</v>
      </c>
      <c r="L34" s="242">
        <f t="shared" si="15"/>
        <v>0.9</v>
      </c>
      <c r="M34" s="243" t="str">
        <f t="shared" si="10"/>
        <v>B</v>
      </c>
    </row>
    <row r="35" spans="2:13" ht="26.5" thickBot="1">
      <c r="B35" s="240" t="s">
        <v>64</v>
      </c>
      <c r="C35" s="241">
        <f>'Юнит 09-15.02'!AE31</f>
        <v>1628.706347652824</v>
      </c>
      <c r="D35" s="242">
        <f t="shared" si="11"/>
        <v>9.1120459012534114E-2</v>
      </c>
      <c r="E35" s="242">
        <f t="shared" si="14"/>
        <v>1.2706708037943253</v>
      </c>
      <c r="F35" s="243" t="str">
        <f t="shared" si="9"/>
        <v>C</v>
      </c>
      <c r="G35" s="243" t="str">
        <f t="shared" si="12"/>
        <v>C</v>
      </c>
      <c r="I35" s="240" t="s">
        <v>62</v>
      </c>
      <c r="J35" s="241">
        <f>'Юнит 09-15.02'!R29</f>
        <v>1</v>
      </c>
      <c r="K35" s="242">
        <f t="shared" si="13"/>
        <v>0.05</v>
      </c>
      <c r="L35" s="242">
        <f t="shared" si="15"/>
        <v>0.95000000000000007</v>
      </c>
      <c r="M35" s="243" t="str">
        <f t="shared" si="10"/>
        <v>B</v>
      </c>
    </row>
    <row r="36" spans="2:13" ht="26.5" thickBot="1">
      <c r="B36" s="240" t="s">
        <v>75</v>
      </c>
      <c r="C36" s="241">
        <f>'Юнит 09-15.02'!AE42</f>
        <v>1576.2626953056479</v>
      </c>
      <c r="D36" s="242">
        <f t="shared" si="11"/>
        <v>8.8186418949968412E-2</v>
      </c>
      <c r="E36" s="242">
        <f t="shared" si="14"/>
        <v>1.3588572227442937</v>
      </c>
      <c r="F36" s="243" t="str">
        <f t="shared" si="9"/>
        <v>C</v>
      </c>
      <c r="G36" s="243" t="str">
        <f t="shared" si="12"/>
        <v>B</v>
      </c>
      <c r="I36" s="240" t="s">
        <v>64</v>
      </c>
      <c r="J36" s="241">
        <f>'Юнит 09-15.02'!R31</f>
        <v>1</v>
      </c>
      <c r="K36" s="242">
        <f t="shared" si="13"/>
        <v>0.05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61</v>
      </c>
      <c r="C37" s="241">
        <f>'Юнит 09-15.02'!AE28</f>
        <v>0</v>
      </c>
      <c r="D37" s="242">
        <f t="shared" si="11"/>
        <v>0</v>
      </c>
      <c r="E37" s="242">
        <f t="shared" si="14"/>
        <v>1.3588572227442937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79</v>
      </c>
      <c r="J37" s="241">
        <f>'Юнит 09-15.02'!R46</f>
        <v>1</v>
      </c>
      <c r="K37" s="242">
        <f t="shared" si="13"/>
        <v>0.05</v>
      </c>
      <c r="L37" s="242">
        <f t="shared" si="15"/>
        <v>1.05</v>
      </c>
      <c r="M37" s="243" t="str">
        <f>_xlfn.IFS(L37&lt;80%,"A",L37&lt;=95%,"B",L37&gt;95%,"C")</f>
        <v>C</v>
      </c>
    </row>
    <row r="38" spans="2:13" ht="26.5" thickBot="1">
      <c r="B38" s="240" t="s">
        <v>65</v>
      </c>
      <c r="C38" s="241">
        <f>'Юнит 09-15.02'!AE32</f>
        <v>0</v>
      </c>
      <c r="D38" s="242">
        <f t="shared" si="11"/>
        <v>0</v>
      </c>
      <c r="E38" s="242">
        <f t="shared" si="14"/>
        <v>1.3588572227442937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61</v>
      </c>
      <c r="J38" s="241">
        <f>'Юнит 09-15.02'!R28</f>
        <v>0</v>
      </c>
      <c r="K38" s="242">
        <f t="shared" si="13"/>
        <v>0</v>
      </c>
      <c r="L38" s="242">
        <f t="shared" si="15"/>
        <v>1.05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67</v>
      </c>
      <c r="C39" s="241">
        <f>'Юнит 09-15.02'!AE34</f>
        <v>0</v>
      </c>
      <c r="D39" s="242">
        <f t="shared" si="11"/>
        <v>0</v>
      </c>
      <c r="E39" s="242">
        <f t="shared" si="14"/>
        <v>1.3588572227442937</v>
      </c>
      <c r="F39" s="243" t="str">
        <f t="shared" si="16"/>
        <v>C</v>
      </c>
      <c r="G39" s="243" t="str">
        <f t="shared" si="12"/>
        <v>C</v>
      </c>
      <c r="I39" s="240" t="s">
        <v>63</v>
      </c>
      <c r="J39" s="241">
        <f>'Юнит 09-15.02'!R30</f>
        <v>0</v>
      </c>
      <c r="K39" s="242">
        <f t="shared" si="13"/>
        <v>0</v>
      </c>
      <c r="L39" s="242">
        <f t="shared" si="15"/>
        <v>1.05</v>
      </c>
      <c r="M39" s="243" t="str">
        <f t="shared" si="17"/>
        <v>C</v>
      </c>
    </row>
    <row r="40" spans="2:13" ht="15" thickBot="1">
      <c r="B40" s="240" t="s">
        <v>68</v>
      </c>
      <c r="C40" s="241">
        <f>'Юнит 09-15.02'!AE35</f>
        <v>0</v>
      </c>
      <c r="D40" s="242">
        <f t="shared" si="11"/>
        <v>0</v>
      </c>
      <c r="E40" s="242">
        <f t="shared" si="14"/>
        <v>1.3588572227442937</v>
      </c>
      <c r="F40" s="243" t="str">
        <f t="shared" si="16"/>
        <v>C</v>
      </c>
      <c r="G40" s="243" t="str">
        <f t="shared" si="12"/>
        <v>C</v>
      </c>
      <c r="I40" s="240" t="s">
        <v>65</v>
      </c>
      <c r="J40" s="241">
        <f>'Юнит 09-15.02'!R32</f>
        <v>0</v>
      </c>
      <c r="K40" s="242">
        <f t="shared" si="13"/>
        <v>0</v>
      </c>
      <c r="L40" s="242">
        <f t="shared" si="15"/>
        <v>1.05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09-15.02'!AE39</f>
        <v>0</v>
      </c>
      <c r="D41" s="242">
        <f t="shared" si="11"/>
        <v>0</v>
      </c>
      <c r="E41" s="242">
        <f t="shared" si="14"/>
        <v>1.3588572227442937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09-15.02'!R34</f>
        <v>0</v>
      </c>
      <c r="K41" s="242">
        <f t="shared" si="13"/>
        <v>0</v>
      </c>
      <c r="L41" s="242">
        <f t="shared" si="15"/>
        <v>1.05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09-15.02'!AE40</f>
        <v>0</v>
      </c>
      <c r="D42" s="242">
        <f t="shared" si="11"/>
        <v>0</v>
      </c>
      <c r="E42" s="242">
        <f t="shared" si="14"/>
        <v>1.3588572227442937</v>
      </c>
      <c r="F42" s="243" t="str">
        <f t="shared" si="16"/>
        <v>C</v>
      </c>
      <c r="G42" s="243" t="str">
        <f t="shared" si="12"/>
        <v>C</v>
      </c>
      <c r="I42" s="240" t="s">
        <v>68</v>
      </c>
      <c r="J42" s="241">
        <f>'Юнит 09-15.02'!R35</f>
        <v>0</v>
      </c>
      <c r="K42" s="242">
        <f t="shared" si="13"/>
        <v>0</v>
      </c>
      <c r="L42" s="242">
        <f t="shared" si="15"/>
        <v>1.05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09-15.02'!AE41</f>
        <v>0</v>
      </c>
      <c r="D43" s="242">
        <f t="shared" si="11"/>
        <v>0</v>
      </c>
      <c r="E43" s="242">
        <f t="shared" si="14"/>
        <v>1.3588572227442937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'Юнит 09-15.02'!R36</f>
        <v>0</v>
      </c>
      <c r="K43" s="242">
        <f t="shared" si="13"/>
        <v>0</v>
      </c>
      <c r="L43" s="242">
        <f t="shared" si="15"/>
        <v>1.05</v>
      </c>
      <c r="M43" s="243" t="str">
        <f t="shared" si="17"/>
        <v>C</v>
      </c>
    </row>
    <row r="44" spans="2:13" ht="26.5" thickBot="1">
      <c r="B44" s="240" t="s">
        <v>63</v>
      </c>
      <c r="C44" s="241">
        <f>'Юнит 09-15.02'!AE30</f>
        <v>-113.88</v>
      </c>
      <c r="D44" s="242">
        <f t="shared" si="11"/>
        <v>-6.3711901702241712E-3</v>
      </c>
      <c r="E44" s="242">
        <f t="shared" si="14"/>
        <v>1.3524860325740695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09-15.02'!R39</f>
        <v>0</v>
      </c>
      <c r="K44" s="242">
        <f t="shared" si="13"/>
        <v>0</v>
      </c>
      <c r="L44" s="242">
        <f t="shared" si="15"/>
        <v>1.05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09-15.02'!AE43</f>
        <v>-113.88</v>
      </c>
      <c r="D45" s="242">
        <f t="shared" si="11"/>
        <v>-6.3711901702241712E-3</v>
      </c>
      <c r="E45" s="242">
        <f t="shared" si="14"/>
        <v>1.3461148424038454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09-15.02'!R40</f>
        <v>0</v>
      </c>
      <c r="K45" s="242">
        <f t="shared" si="13"/>
        <v>0</v>
      </c>
      <c r="L45" s="242">
        <f t="shared" si="15"/>
        <v>1.05</v>
      </c>
      <c r="M45" s="243" t="str">
        <f t="shared" si="17"/>
        <v>C</v>
      </c>
    </row>
    <row r="46" spans="2:13" ht="26.5" thickBot="1">
      <c r="B46" s="240" t="s">
        <v>69</v>
      </c>
      <c r="C46" s="241">
        <f>'Юнит 09-15.02'!AE36</f>
        <v>-227.76</v>
      </c>
      <c r="D46" s="242">
        <f t="shared" si="11"/>
        <v>-1.2742380340448342E-2</v>
      </c>
      <c r="E46" s="242">
        <f t="shared" si="14"/>
        <v>1.3333724620633971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09-15.02'!R41</f>
        <v>0</v>
      </c>
      <c r="K46" s="242">
        <f t="shared" si="13"/>
        <v>0</v>
      </c>
      <c r="L46" s="242">
        <f t="shared" si="15"/>
        <v>1.05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09-15.02'!AE47</f>
        <v>-227.76</v>
      </c>
      <c r="D47" s="242">
        <f t="shared" si="11"/>
        <v>-1.2742380340448342E-2</v>
      </c>
      <c r="E47" s="242">
        <f t="shared" si="14"/>
        <v>1.3206300817229488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09-15.02'!R43</f>
        <v>0</v>
      </c>
      <c r="K47" s="242">
        <f t="shared" si="13"/>
        <v>0</v>
      </c>
      <c r="L47" s="242">
        <f t="shared" si="15"/>
        <v>1.05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09-15.02'!AE38</f>
        <v>-1425.9351799344222</v>
      </c>
      <c r="D48" s="242">
        <f t="shared" si="11"/>
        <v>-7.9776116980813369E-2</v>
      </c>
      <c r="E48" s="242">
        <f t="shared" si="14"/>
        <v>1.2408539647421355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09-15.02'!R47</f>
        <v>0</v>
      </c>
      <c r="K48" s="242">
        <f t="shared" si="13"/>
        <v>0</v>
      </c>
      <c r="L48" s="242">
        <f t="shared" si="15"/>
        <v>1.05</v>
      </c>
      <c r="M48" s="243" t="str">
        <f t="shared" si="17"/>
        <v>C</v>
      </c>
    </row>
    <row r="49" spans="2:13" ht="15" thickBot="1">
      <c r="B49" s="240" t="s">
        <v>79</v>
      </c>
      <c r="C49" s="241">
        <f>'Юнит 09-15.02'!AE46</f>
        <v>-4305.0746833804369</v>
      </c>
      <c r="D49" s="242">
        <f t="shared" si="11"/>
        <v>-0.24085396474213538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71</v>
      </c>
      <c r="J49" s="241">
        <f>'Юнит 09-15.02'!R38</f>
        <v>-1</v>
      </c>
      <c r="K49" s="242">
        <f t="shared" si="13"/>
        <v>-0.05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17874.211404365145</v>
      </c>
      <c r="D50" s="250">
        <f>SUM(D30:D49)</f>
        <v>1</v>
      </c>
      <c r="J50" s="249">
        <f>SUM(J30:J49)</f>
        <v>20</v>
      </c>
      <c r="K50" s="250">
        <f>SUM(K30:K49)</f>
        <v>1</v>
      </c>
    </row>
  </sheetData>
  <sortState xmlns:xlrd2="http://schemas.microsoft.com/office/spreadsheetml/2017/richdata2" ref="I30:J49">
    <sortCondition descending="1" ref="J30:J49"/>
  </sortState>
  <mergeCells count="2">
    <mergeCell ref="B2:M2"/>
    <mergeCell ref="B28:M28"/>
  </mergeCells>
  <conditionalFormatting sqref="D4:D25 F4:G25 M4:M25 K4:K25">
    <cfRule type="cellIs" dxfId="257" priority="4" operator="equal">
      <formula>"C"</formula>
    </cfRule>
    <cfRule type="cellIs" dxfId="256" priority="5" operator="equal">
      <formula>"B"</formula>
    </cfRule>
    <cfRule type="cellIs" dxfId="255" priority="6" operator="equal">
      <formula>"A"</formula>
    </cfRule>
  </conditionalFormatting>
  <conditionalFormatting sqref="M30:M49 D30:D49 K30:K49 F30:G49">
    <cfRule type="cellIs" dxfId="254" priority="1" operator="equal">
      <formula>"C"</formula>
    </cfRule>
    <cfRule type="cellIs" dxfId="253" priority="2" operator="equal">
      <formula>"B"</formula>
    </cfRule>
    <cfRule type="cellIs" dxfId="252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0D14-7657-4C64-BBF9-46ACFCADD332}">
  <dimension ref="B1:Q50"/>
  <sheetViews>
    <sheetView topLeftCell="A19" zoomScale="90" zoomScaleNormal="90" workbookViewId="0">
      <selection activeCell="O24" sqref="O2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02-08.02'!AE3</f>
        <v>10282.201829667354</v>
      </c>
      <c r="D4" s="242">
        <f>C4/C$26</f>
        <v>0.80310383368515237</v>
      </c>
      <c r="E4" s="242">
        <f>D4</f>
        <v>0.80310383368515237</v>
      </c>
      <c r="F4" s="243" t="str">
        <f t="shared" ref="F4:F12" si="0">IF(AND(E4&lt;=0),"C",IF(E4&lt;=0.8,"A",IF(E4&lt;=0.95,"B","C")))</f>
        <v>B</v>
      </c>
      <c r="G4" s="243" t="str">
        <f>VLOOKUP(B$4:B$25,I$4:M$25,5,0)</f>
        <v>A</v>
      </c>
      <c r="I4" s="240" t="s">
        <v>38</v>
      </c>
      <c r="J4" s="241">
        <f>'Юнит 02-08.02'!R3</f>
        <v>38</v>
      </c>
      <c r="K4" s="242">
        <f>J4/J$26</f>
        <v>0.6333333333333333</v>
      </c>
      <c r="L4" s="242">
        <f>K4</f>
        <v>0.6333333333333333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44</v>
      </c>
      <c r="C5" s="241">
        <f>'Юнит 02-08.02'!AE9</f>
        <v>2101.7611984532496</v>
      </c>
      <c r="D5" s="242">
        <f>C5/C$26</f>
        <v>0.1641606052799211</v>
      </c>
      <c r="E5" s="242">
        <f>D5+E4</f>
        <v>0.96726443896507353</v>
      </c>
      <c r="F5" s="243" t="str">
        <f t="shared" si="0"/>
        <v>C</v>
      </c>
      <c r="G5" s="243" t="str">
        <f>VLOOKUP(B$4:B$25,I$4:M$25,5,0)</f>
        <v>B</v>
      </c>
      <c r="I5" s="240" t="s">
        <v>42</v>
      </c>
      <c r="J5" s="241">
        <f>'Юнит 02-08.02'!R7</f>
        <v>8</v>
      </c>
      <c r="K5" s="242">
        <f>J5/J$26</f>
        <v>0.13333333333333333</v>
      </c>
      <c r="L5" s="242">
        <f>K5+L4</f>
        <v>0.76666666666666661</v>
      </c>
      <c r="M5" s="243" t="str">
        <f t="shared" si="1"/>
        <v>A</v>
      </c>
    </row>
    <row r="6" spans="2:17" ht="28.5" customHeight="1" outlineLevel="1" thickBot="1">
      <c r="B6" s="240" t="s">
        <v>55</v>
      </c>
      <c r="C6" s="241">
        <f>'Юнит 02-08.02'!AE20</f>
        <v>647.32718690618196</v>
      </c>
      <c r="D6" s="242">
        <f>C6/C$26</f>
        <v>5.0560274352229727E-2</v>
      </c>
      <c r="E6" s="242">
        <f t="shared" ref="E6:E25" si="2">D6+E5</f>
        <v>1.0178247133173033</v>
      </c>
      <c r="F6" s="243" t="str">
        <f t="shared" si="0"/>
        <v>C</v>
      </c>
      <c r="G6" s="243" t="str">
        <f>VLOOKUP(B$4:B$25,I$4:M$25,5,0)</f>
        <v>B</v>
      </c>
      <c r="I6" s="240" t="s">
        <v>44</v>
      </c>
      <c r="J6" s="241">
        <f>'Юнит 02-08.02'!R9</f>
        <v>5</v>
      </c>
      <c r="K6" s="242">
        <f>J6/J$26</f>
        <v>8.3333333333333329E-2</v>
      </c>
      <c r="L6" s="242">
        <f t="shared" ref="L6:L25" si="3">K6+L5</f>
        <v>0.85</v>
      </c>
      <c r="M6" s="243" t="str">
        <f t="shared" si="1"/>
        <v>B</v>
      </c>
    </row>
    <row r="7" spans="2:17" ht="28.5" customHeight="1" outlineLevel="1" thickBot="1">
      <c r="B7" s="240" t="s">
        <v>39</v>
      </c>
      <c r="C7" s="241">
        <f>'Юнит 02-08.02'!AE4</f>
        <v>601.79719552292283</v>
      </c>
      <c r="D7" s="242">
        <f>C7/C$26</f>
        <v>4.700409920285218E-2</v>
      </c>
      <c r="E7" s="242">
        <f t="shared" si="2"/>
        <v>1.0648288125201555</v>
      </c>
      <c r="F7" s="243" t="str">
        <f t="shared" si="0"/>
        <v>C</v>
      </c>
      <c r="G7" s="243" t="str">
        <f>VLOOKUP(B$4:B$25,I$4:M$25,5,0)</f>
        <v>C</v>
      </c>
      <c r="I7" s="240" t="s">
        <v>48</v>
      </c>
      <c r="J7" s="241">
        <f>'Юнит 02-08.02'!R13</f>
        <v>3</v>
      </c>
      <c r="K7" s="242">
        <f>J7/J$26</f>
        <v>0.05</v>
      </c>
      <c r="L7" s="242">
        <f t="shared" si="3"/>
        <v>0.9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'Юнит 02-08.02'!AE5</f>
        <v>549.23742187110281</v>
      </c>
      <c r="D8" s="242">
        <f>C8/C$26</f>
        <v>4.2898854390830618E-2</v>
      </c>
      <c r="E8" s="242">
        <f t="shared" si="2"/>
        <v>1.1077276669109861</v>
      </c>
      <c r="F8" s="243" t="str">
        <f t="shared" si="0"/>
        <v>C</v>
      </c>
      <c r="G8" s="243" t="str">
        <f>VLOOKUP(B$4:B$25,I$4:M$25,5,0)</f>
        <v>B</v>
      </c>
      <c r="I8" s="240" t="s">
        <v>40</v>
      </c>
      <c r="J8" s="241">
        <f>'Юнит 02-08.02'!R5</f>
        <v>2</v>
      </c>
      <c r="K8" s="242">
        <f>J8/J$26</f>
        <v>3.3333333333333333E-2</v>
      </c>
      <c r="L8" s="242">
        <f t="shared" si="3"/>
        <v>0.93333333333333335</v>
      </c>
      <c r="M8" s="243" t="str">
        <f t="shared" si="1"/>
        <v>B</v>
      </c>
    </row>
    <row r="9" spans="2:17" ht="28.5" customHeight="1" outlineLevel="1" thickBot="1">
      <c r="B9" s="240" t="s">
        <v>43</v>
      </c>
      <c r="C9" s="241">
        <f>'Юнит 02-08.02'!AE8</f>
        <v>119.68725330043839</v>
      </c>
      <c r="D9" s="242">
        <f t="shared" ref="D9:D25" si="4">C9/C$26</f>
        <v>9.3483179537954715E-3</v>
      </c>
      <c r="E9" s="242">
        <f t="shared" si="2"/>
        <v>1.1170759848647815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43</v>
      </c>
      <c r="J9" s="241">
        <f>'Юнит 02-08.02'!R8</f>
        <v>2</v>
      </c>
      <c r="K9" s="242">
        <f t="shared" ref="K9:K25" si="6">J9/J$26</f>
        <v>3.3333333333333333E-2</v>
      </c>
      <c r="L9" s="242">
        <f t="shared" si="3"/>
        <v>0.96666666666666667</v>
      </c>
      <c r="M9" s="243" t="str">
        <f t="shared" si="1"/>
        <v>C</v>
      </c>
    </row>
    <row r="10" spans="2:17" ht="28.5" customHeight="1" outlineLevel="1" thickBot="1">
      <c r="B10" s="240" t="s">
        <v>51</v>
      </c>
      <c r="C10" s="241">
        <f>'Юнит 02-08.02'!AE16</f>
        <v>0</v>
      </c>
      <c r="D10" s="242">
        <f t="shared" si="4"/>
        <v>0</v>
      </c>
      <c r="E10" s="242">
        <f t="shared" si="2"/>
        <v>1.1170759848647815</v>
      </c>
      <c r="F10" s="243" t="str">
        <f t="shared" si="0"/>
        <v>C</v>
      </c>
      <c r="G10" s="243" t="str">
        <f t="shared" si="5"/>
        <v>B</v>
      </c>
      <c r="I10" s="240" t="s">
        <v>39</v>
      </c>
      <c r="J10" s="241">
        <f>'Юнит 02-08.02'!R4</f>
        <v>1</v>
      </c>
      <c r="K10" s="242">
        <f t="shared" si="6"/>
        <v>1.6666666666666666E-2</v>
      </c>
      <c r="L10" s="242">
        <f t="shared" si="3"/>
        <v>0.98333333333333339</v>
      </c>
      <c r="M10" s="243" t="str">
        <f t="shared" si="1"/>
        <v>C</v>
      </c>
    </row>
    <row r="11" spans="2:17" ht="28.5" customHeight="1" outlineLevel="1" thickBot="1">
      <c r="B11" s="240" t="s">
        <v>52</v>
      </c>
      <c r="C11" s="241">
        <f>'Юнит 02-08.02'!AE17</f>
        <v>0</v>
      </c>
      <c r="D11" s="242">
        <f t="shared" si="4"/>
        <v>0</v>
      </c>
      <c r="E11" s="242">
        <f>D11+E8</f>
        <v>1.1077276669109861</v>
      </c>
      <c r="F11" s="243" t="str">
        <f t="shared" si="0"/>
        <v>C</v>
      </c>
      <c r="G11" s="243" t="str">
        <f t="shared" si="5"/>
        <v>B</v>
      </c>
      <c r="I11" s="240" t="s">
        <v>55</v>
      </c>
      <c r="J11" s="241">
        <f>'Юнит 02-08.02'!R20</f>
        <v>1</v>
      </c>
      <c r="K11" s="242">
        <f t="shared" si="6"/>
        <v>1.6666666666666666E-2</v>
      </c>
      <c r="L11" s="242">
        <f>K11+L8</f>
        <v>0.95000000000000007</v>
      </c>
      <c r="M11" s="243" t="str">
        <f t="shared" si="1"/>
        <v>B</v>
      </c>
    </row>
    <row r="12" spans="2:17" ht="28.5" customHeight="1" outlineLevel="1" thickBot="1">
      <c r="B12" s="240" t="s">
        <v>53</v>
      </c>
      <c r="C12" s="241">
        <f>'Юнит 02-08.02'!AE18</f>
        <v>0</v>
      </c>
      <c r="D12" s="242">
        <f t="shared" si="4"/>
        <v>0</v>
      </c>
      <c r="E12" s="242">
        <f t="shared" si="2"/>
        <v>1.1077276669109861</v>
      </c>
      <c r="F12" s="243" t="str">
        <f t="shared" si="0"/>
        <v>C</v>
      </c>
      <c r="G12" s="243" t="str">
        <f t="shared" si="5"/>
        <v>B</v>
      </c>
      <c r="I12" s="240" t="s">
        <v>41</v>
      </c>
      <c r="J12" s="241">
        <f>'Юнит 02-08.02'!R6</f>
        <v>0</v>
      </c>
      <c r="K12" s="242">
        <f t="shared" si="6"/>
        <v>0</v>
      </c>
      <c r="L12" s="242">
        <f t="shared" si="3"/>
        <v>0.95000000000000007</v>
      </c>
      <c r="M12" s="243" t="str">
        <f t="shared" si="1"/>
        <v>B</v>
      </c>
    </row>
    <row r="13" spans="2:17" ht="15" outlineLevel="1" thickBot="1">
      <c r="B13" s="240" t="s">
        <v>56</v>
      </c>
      <c r="C13" s="241">
        <f>'Юнит 02-08.02'!AE21</f>
        <v>0</v>
      </c>
      <c r="D13" s="242">
        <f t="shared" si="4"/>
        <v>0</v>
      </c>
      <c r="E13" s="242">
        <f t="shared" si="2"/>
        <v>1.1077276669109861</v>
      </c>
      <c r="F13" s="243" t="str">
        <f>IF(AND(E13&lt;=0),"C",IF(E13&lt;=0.8,"A",IF(E13&lt;=0.95,"B","C")))</f>
        <v>C</v>
      </c>
      <c r="G13" s="243" t="str">
        <f t="shared" si="5"/>
        <v>B</v>
      </c>
      <c r="I13" s="240" t="s">
        <v>45</v>
      </c>
      <c r="J13" s="241">
        <f>'Юнит 02-08.02'!R10</f>
        <v>0</v>
      </c>
      <c r="K13" s="242">
        <f t="shared" si="6"/>
        <v>0</v>
      </c>
      <c r="L13" s="242">
        <f t="shared" si="3"/>
        <v>0.95000000000000007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57</v>
      </c>
      <c r="C14" s="241">
        <f>'Юнит 02-08.02'!AE22</f>
        <v>0</v>
      </c>
      <c r="D14" s="242">
        <f t="shared" si="4"/>
        <v>0</v>
      </c>
      <c r="E14" s="242">
        <f t="shared" si="2"/>
        <v>1.1077276669109861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46</v>
      </c>
      <c r="J14" s="241">
        <f>'Юнит 02-08.02'!R11</f>
        <v>0</v>
      </c>
      <c r="K14" s="242">
        <f t="shared" si="6"/>
        <v>0</v>
      </c>
      <c r="L14" s="242">
        <f t="shared" si="3"/>
        <v>0.95000000000000007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58</v>
      </c>
      <c r="C15" s="241">
        <f>'Юнит 02-08.02'!AE23</f>
        <v>0</v>
      </c>
      <c r="D15" s="242">
        <f t="shared" si="4"/>
        <v>0</v>
      </c>
      <c r="E15" s="242">
        <f t="shared" si="2"/>
        <v>1.1077276669109861</v>
      </c>
      <c r="F15" s="243" t="str">
        <f t="shared" si="7"/>
        <v>C</v>
      </c>
      <c r="G15" s="243" t="str">
        <f t="shared" si="5"/>
        <v>B</v>
      </c>
      <c r="I15" s="240" t="s">
        <v>47</v>
      </c>
      <c r="J15" s="241">
        <f>'Юнит 02-08.02'!R12</f>
        <v>0</v>
      </c>
      <c r="K15" s="242">
        <f t="shared" si="6"/>
        <v>0</v>
      </c>
      <c r="L15" s="242">
        <f t="shared" si="3"/>
        <v>0.95000000000000007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59</v>
      </c>
      <c r="C16" s="241">
        <f>'Юнит 02-08.02'!AE24</f>
        <v>0</v>
      </c>
      <c r="D16" s="242">
        <f t="shared" si="4"/>
        <v>0</v>
      </c>
      <c r="E16" s="242">
        <f t="shared" si="2"/>
        <v>1.1077276669109861</v>
      </c>
      <c r="F16" s="243" t="str">
        <f t="shared" si="7"/>
        <v>C</v>
      </c>
      <c r="G16" s="243" t="str">
        <f t="shared" si="5"/>
        <v>B</v>
      </c>
      <c r="I16" s="240" t="s">
        <v>49</v>
      </c>
      <c r="J16" s="241">
        <f>'Юнит 02-08.02'!R14</f>
        <v>0</v>
      </c>
      <c r="K16" s="242">
        <f t="shared" si="6"/>
        <v>0</v>
      </c>
      <c r="L16" s="242">
        <f t="shared" si="3"/>
        <v>0.95000000000000007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46</v>
      </c>
      <c r="C17" s="241">
        <f>'Юнит 02-08.02'!AE11</f>
        <v>-93.54</v>
      </c>
      <c r="D17" s="242">
        <f t="shared" si="4"/>
        <v>-7.3060550500144662E-3</v>
      </c>
      <c r="E17" s="242">
        <f t="shared" si="2"/>
        <v>1.1004216118609718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02-08.02'!R15</f>
        <v>0</v>
      </c>
      <c r="K17" s="242">
        <f t="shared" si="6"/>
        <v>0</v>
      </c>
      <c r="L17" s="242">
        <f t="shared" si="3"/>
        <v>0.95000000000000007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47</v>
      </c>
      <c r="C18" s="241">
        <f>'Юнит 02-08.02'!AE12</f>
        <v>-93.54</v>
      </c>
      <c r="D18" s="242">
        <f t="shared" si="4"/>
        <v>-7.3060550500144662E-3</v>
      </c>
      <c r="E18" s="242">
        <f t="shared" si="2"/>
        <v>1.0931155568109574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02-08.02'!R16</f>
        <v>0</v>
      </c>
      <c r="K18" s="242">
        <f t="shared" si="6"/>
        <v>0</v>
      </c>
      <c r="L18" s="242">
        <f t="shared" si="3"/>
        <v>0.95000000000000007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49</v>
      </c>
      <c r="C19" s="241">
        <f>'Юнит 02-08.02'!AE14</f>
        <v>-93.54</v>
      </c>
      <c r="D19" s="242">
        <f t="shared" si="4"/>
        <v>-7.3060550500144662E-3</v>
      </c>
      <c r="E19" s="242">
        <f t="shared" si="2"/>
        <v>1.085809501760943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02-08.02'!R17</f>
        <v>0</v>
      </c>
      <c r="K19" s="242">
        <f t="shared" si="6"/>
        <v>0</v>
      </c>
      <c r="L19" s="242">
        <f t="shared" si="3"/>
        <v>0.95000000000000007</v>
      </c>
      <c r="M19" s="243" t="str">
        <f t="shared" si="8"/>
        <v>B</v>
      </c>
      <c r="P19" s="248"/>
      <c r="Q19" s="242"/>
    </row>
    <row r="20" spans="2:17" ht="26.5" outlineLevel="1" thickBot="1">
      <c r="B20" s="240" t="s">
        <v>50</v>
      </c>
      <c r="C20" s="241">
        <f>'Юнит 02-08.02'!AE15</f>
        <v>-93.54</v>
      </c>
      <c r="D20" s="242">
        <f t="shared" si="4"/>
        <v>-7.3060550500144662E-3</v>
      </c>
      <c r="E20" s="242">
        <f t="shared" si="2"/>
        <v>1.0785034467109287</v>
      </c>
      <c r="F20" s="243" t="str">
        <f t="shared" si="7"/>
        <v>C</v>
      </c>
      <c r="G20" s="243" t="str">
        <f t="shared" si="5"/>
        <v>B</v>
      </c>
      <c r="I20" s="240" t="s">
        <v>53</v>
      </c>
      <c r="J20" s="241">
        <f>'Юнит 02-08.02'!R18</f>
        <v>0</v>
      </c>
      <c r="K20" s="242">
        <f t="shared" si="6"/>
        <v>0</v>
      </c>
      <c r="L20" s="242">
        <f t="shared" si="3"/>
        <v>0.95000000000000007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42</v>
      </c>
      <c r="C21" s="241">
        <f>'Юнит 02-08.02'!AE7</f>
        <v>-28.274503209505653</v>
      </c>
      <c r="D21" s="242">
        <f t="shared" si="4"/>
        <v>-2.2084143356901754E-3</v>
      </c>
      <c r="E21" s="242">
        <f t="shared" si="2"/>
        <v>1.0762950323752385</v>
      </c>
      <c r="F21" s="243" t="str">
        <f t="shared" si="7"/>
        <v>C</v>
      </c>
      <c r="G21" s="243" t="str">
        <f t="shared" si="5"/>
        <v>A</v>
      </c>
      <c r="I21" s="240" t="s">
        <v>54</v>
      </c>
      <c r="J21" s="241">
        <f>'Юнит 02-08.02'!R19</f>
        <v>0</v>
      </c>
      <c r="K21" s="242">
        <f t="shared" si="6"/>
        <v>0</v>
      </c>
      <c r="L21" s="242">
        <f t="shared" si="3"/>
        <v>0.95000000000000007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54</v>
      </c>
      <c r="C22" s="241">
        <f>'Юнит 02-08.02'!AE19</f>
        <v>-113.88</v>
      </c>
      <c r="D22" s="242">
        <f t="shared" si="4"/>
        <v>-8.8947353976442951E-3</v>
      </c>
      <c r="E22" s="242">
        <f t="shared" si="2"/>
        <v>1.0674002969775942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02-08.02'!R21</f>
        <v>0</v>
      </c>
      <c r="K22" s="242">
        <f t="shared" si="6"/>
        <v>0</v>
      </c>
      <c r="L22" s="242">
        <f t="shared" si="3"/>
        <v>0.95000000000000007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41</v>
      </c>
      <c r="C23" s="241">
        <f>'Юнит 02-08.02'!AE6</f>
        <v>-263.94</v>
      </c>
      <c r="D23" s="242">
        <f t="shared" si="4"/>
        <v>-2.0615353537532799E-2</v>
      </c>
      <c r="E23" s="242">
        <f t="shared" si="2"/>
        <v>1.0467849434400613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02-08.02'!R22</f>
        <v>0</v>
      </c>
      <c r="K23" s="242">
        <f t="shared" si="6"/>
        <v>0</v>
      </c>
      <c r="L23" s="242">
        <f t="shared" si="3"/>
        <v>0.95000000000000007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48</v>
      </c>
      <c r="C24" s="241">
        <f>'Юнит 02-08.02'!AE13</f>
        <v>-258.67858027854771</v>
      </c>
      <c r="D24" s="242">
        <f t="shared" si="4"/>
        <v>-2.0204403974499206E-2</v>
      </c>
      <c r="E24" s="242">
        <f t="shared" si="2"/>
        <v>1.026580539465562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02-08.02'!R23</f>
        <v>0</v>
      </c>
      <c r="K24" s="242">
        <f t="shared" si="6"/>
        <v>0</v>
      </c>
      <c r="L24" s="242">
        <f t="shared" si="3"/>
        <v>0.95000000000000007</v>
      </c>
      <c r="M24" s="243" t="str">
        <f t="shared" si="8"/>
        <v>B</v>
      </c>
      <c r="P24" s="248"/>
      <c r="Q24" s="242"/>
    </row>
    <row r="25" spans="2:17" ht="15" outlineLevel="1" thickBot="1">
      <c r="B25" s="240" t="s">
        <v>45</v>
      </c>
      <c r="C25" s="241">
        <f>'Юнит 02-08.02'!AE10</f>
        <v>-460</v>
      </c>
      <c r="D25" s="242">
        <f t="shared" si="4"/>
        <v>-3.5928857419357002E-2</v>
      </c>
      <c r="E25" s="242">
        <f t="shared" si="2"/>
        <v>0.99065168204620502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02-08.02'!R24</f>
        <v>0</v>
      </c>
      <c r="K25" s="242">
        <f t="shared" si="6"/>
        <v>0</v>
      </c>
      <c r="L25" s="242">
        <f t="shared" si="3"/>
        <v>0.95000000000000007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12803.079002233195</v>
      </c>
      <c r="D26" s="250">
        <f>SUM(D4:D25)</f>
        <v>1.0000000000000004</v>
      </c>
      <c r="J26" s="249">
        <f>SUM(J4:J25)</f>
        <v>60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23.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79</v>
      </c>
      <c r="C30" s="241">
        <f>'Юнит 02-08.02'!AE46</f>
        <v>7804.8634100485015</v>
      </c>
      <c r="D30" s="242">
        <f>C30/C$50</f>
        <v>0.48315586863672344</v>
      </c>
      <c r="E30" s="242">
        <f>D30</f>
        <v>0.48315586863672344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79</v>
      </c>
      <c r="J30" s="241">
        <f>'Юнит 02-08.02'!R46</f>
        <v>7</v>
      </c>
      <c r="K30" s="242">
        <f>J30/J$50</f>
        <v>0.30434782608695654</v>
      </c>
      <c r="L30" s="242">
        <f>K30</f>
        <v>0.30434782608695654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67</v>
      </c>
      <c r="C31" s="241">
        <f>'Юнит 02-08.02'!AE34</f>
        <v>3279.9222043890954</v>
      </c>
      <c r="D31" s="242">
        <f t="shared" ref="D31:D49" si="11">C31/C$50</f>
        <v>0.20304181873089852</v>
      </c>
      <c r="E31" s="242">
        <f>D31+E30</f>
        <v>0.68619768736762199</v>
      </c>
      <c r="F31" s="243" t="str">
        <f t="shared" si="9"/>
        <v>A</v>
      </c>
      <c r="G31" s="243" t="str">
        <f t="shared" ref="G31:G49" si="12">VLOOKUP(B$30:B$50,I$30:M$50,5,0)</f>
        <v>A</v>
      </c>
      <c r="I31" s="240" t="s">
        <v>77</v>
      </c>
      <c r="J31" s="241">
        <f>'Юнит 02-08.02'!R44</f>
        <v>6</v>
      </c>
      <c r="K31" s="242">
        <f t="shared" ref="K31:K49" si="13">J31/J$50</f>
        <v>0.2608695652173913</v>
      </c>
      <c r="L31" s="242">
        <f>K31+L30</f>
        <v>0.56521739130434789</v>
      </c>
      <c r="M31" s="243" t="str">
        <f t="shared" si="10"/>
        <v>A</v>
      </c>
    </row>
    <row r="32" spans="2:17" ht="15" thickBot="1">
      <c r="B32" s="240" t="s">
        <v>70</v>
      </c>
      <c r="C32" s="241">
        <f>'Юнит 02-08.02'!AE37</f>
        <v>3060.0831800309315</v>
      </c>
      <c r="D32" s="242">
        <f t="shared" si="11"/>
        <v>0.18943280225057571</v>
      </c>
      <c r="E32" s="242">
        <f t="shared" ref="E32:E49" si="14">D32+E31</f>
        <v>0.87563048961819767</v>
      </c>
      <c r="F32" s="243" t="str">
        <f t="shared" si="9"/>
        <v>B</v>
      </c>
      <c r="G32" s="243" t="str">
        <f t="shared" si="12"/>
        <v>A</v>
      </c>
      <c r="I32" s="240" t="s">
        <v>67</v>
      </c>
      <c r="J32" s="241">
        <f>'Юнит 02-08.02'!R34</f>
        <v>2</v>
      </c>
      <c r="K32" s="242">
        <f t="shared" si="13"/>
        <v>8.6956521739130432E-2</v>
      </c>
      <c r="L32" s="242">
        <f t="shared" ref="L32:L49" si="15">K32+L31</f>
        <v>0.65217391304347827</v>
      </c>
      <c r="M32" s="243" t="str">
        <f t="shared" si="10"/>
        <v>A</v>
      </c>
    </row>
    <row r="33" spans="2:13" ht="26.5" thickBot="1">
      <c r="B33" s="240" t="s">
        <v>76</v>
      </c>
      <c r="C33" s="241">
        <f>'Юнит 02-08.02'!AE43</f>
        <v>1455.7640827932753</v>
      </c>
      <c r="D33" s="242">
        <f t="shared" si="11"/>
        <v>9.0118292018611643E-2</v>
      </c>
      <c r="E33" s="242">
        <f t="shared" si="14"/>
        <v>0.96574878163680933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02-08.02'!R37</f>
        <v>2</v>
      </c>
      <c r="K33" s="242">
        <f t="shared" si="13"/>
        <v>8.6956521739130432E-2</v>
      </c>
      <c r="L33" s="242">
        <f t="shared" si="15"/>
        <v>0.73913043478260865</v>
      </c>
      <c r="M33" s="243" t="str">
        <f t="shared" si="10"/>
        <v>A</v>
      </c>
    </row>
    <row r="34" spans="2:13" ht="26.5" thickBot="1">
      <c r="B34" s="240" t="s">
        <v>77</v>
      </c>
      <c r="C34" s="241">
        <f>'Юнит 02-08.02'!AE44</f>
        <v>1463.1581854954945</v>
      </c>
      <c r="D34" s="242">
        <f t="shared" si="11"/>
        <v>9.0576019966711344E-2</v>
      </c>
      <c r="E34" s="242">
        <f t="shared" si="14"/>
        <v>1.0563248016035207</v>
      </c>
      <c r="F34" s="243" t="str">
        <f t="shared" si="9"/>
        <v>C</v>
      </c>
      <c r="G34" s="243" t="str">
        <f t="shared" si="12"/>
        <v>A</v>
      </c>
      <c r="I34" s="240" t="s">
        <v>78</v>
      </c>
      <c r="J34" s="241">
        <f>'Юнит 02-08.02'!R45</f>
        <v>2</v>
      </c>
      <c r="K34" s="242">
        <f t="shared" si="13"/>
        <v>8.6956521739130432E-2</v>
      </c>
      <c r="L34" s="242">
        <f t="shared" si="15"/>
        <v>0.82608695652173902</v>
      </c>
      <c r="M34" s="243" t="str">
        <f t="shared" si="10"/>
        <v>B</v>
      </c>
    </row>
    <row r="35" spans="2:13" ht="26.5" thickBot="1">
      <c r="B35" s="240" t="s">
        <v>72</v>
      </c>
      <c r="C35" s="241">
        <f>'Юнит 02-08.02'!AE39</f>
        <v>1145.3410571380628</v>
      </c>
      <c r="D35" s="242">
        <f t="shared" si="11"/>
        <v>7.0901721692449834E-2</v>
      </c>
      <c r="E35" s="242">
        <f t="shared" si="14"/>
        <v>1.1272265232959706</v>
      </c>
      <c r="F35" s="243" t="str">
        <f t="shared" si="9"/>
        <v>C</v>
      </c>
      <c r="G35" s="243" t="str">
        <f t="shared" si="12"/>
        <v>B</v>
      </c>
      <c r="I35" s="240" t="s">
        <v>71</v>
      </c>
      <c r="J35" s="241">
        <f>'Юнит 02-08.02'!R38</f>
        <v>1</v>
      </c>
      <c r="K35" s="242">
        <f t="shared" si="13"/>
        <v>4.3478260869565216E-2</v>
      </c>
      <c r="L35" s="242">
        <f t="shared" si="15"/>
        <v>0.86956521739130421</v>
      </c>
      <c r="M35" s="243" t="str">
        <f t="shared" si="10"/>
        <v>B</v>
      </c>
    </row>
    <row r="36" spans="2:13" ht="26.5" thickBot="1">
      <c r="B36" s="240" t="s">
        <v>78</v>
      </c>
      <c r="C36" s="241">
        <f>'Юнит 02-08.02'!AE45</f>
        <v>1169.3962362982475</v>
      </c>
      <c r="D36" s="242">
        <f t="shared" si="11"/>
        <v>7.2390844611293956E-2</v>
      </c>
      <c r="E36" s="242">
        <f t="shared" si="14"/>
        <v>1.1996173679072646</v>
      </c>
      <c r="F36" s="243" t="str">
        <f t="shared" si="9"/>
        <v>C</v>
      </c>
      <c r="G36" s="243" t="str">
        <f t="shared" si="12"/>
        <v>B</v>
      </c>
      <c r="I36" s="240" t="s">
        <v>72</v>
      </c>
      <c r="J36" s="241">
        <f>'Юнит 02-08.02'!R39</f>
        <v>1</v>
      </c>
      <c r="K36" s="242">
        <f t="shared" si="13"/>
        <v>4.3478260869565216E-2</v>
      </c>
      <c r="L36" s="242">
        <f t="shared" si="15"/>
        <v>0.9130434782608694</v>
      </c>
      <c r="M36" s="243" t="str">
        <f t="shared" si="10"/>
        <v>B</v>
      </c>
    </row>
    <row r="37" spans="2:13" ht="26.5" thickBot="1">
      <c r="B37" s="240" t="s">
        <v>71</v>
      </c>
      <c r="C37" s="241">
        <f>'Юнит 02-08.02'!AE38</f>
        <v>947.91203277989678</v>
      </c>
      <c r="D37" s="242">
        <f t="shared" si="11"/>
        <v>5.867998420053417E-2</v>
      </c>
      <c r="E37" s="242">
        <f t="shared" si="14"/>
        <v>1.2582973521077987</v>
      </c>
      <c r="F37" s="243" t="str">
        <f>IF(AND(E37&lt;=0),"C",IF(E37&lt;=0.8,"A",IF(E37&lt;=0.95,"B","C")))</f>
        <v>C</v>
      </c>
      <c r="G37" s="243" t="str">
        <f t="shared" si="12"/>
        <v>B</v>
      </c>
      <c r="I37" s="240" t="s">
        <v>75</v>
      </c>
      <c r="J37" s="241">
        <f>'Юнит 02-08.02'!R42</f>
        <v>1</v>
      </c>
      <c r="K37" s="242">
        <f t="shared" si="13"/>
        <v>4.3478260869565216E-2</v>
      </c>
      <c r="L37" s="242">
        <f t="shared" si="15"/>
        <v>0.95652173913043459</v>
      </c>
      <c r="M37" s="243" t="str">
        <f>_xlfn.IFS(L37&lt;80%,"A",L37&lt;=95%,"B",L37&gt;95%,"C")</f>
        <v>C</v>
      </c>
    </row>
    <row r="38" spans="2:13" ht="26.5" thickBot="1">
      <c r="B38" s="240" t="s">
        <v>63</v>
      </c>
      <c r="C38" s="241">
        <f>'Юнит 02-08.02'!AE30</f>
        <v>0</v>
      </c>
      <c r="D38" s="242">
        <f t="shared" si="11"/>
        <v>0</v>
      </c>
      <c r="E38" s="242">
        <f t="shared" si="14"/>
        <v>1.2582973521077987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76</v>
      </c>
      <c r="J38" s="241">
        <f>'Юнит 02-08.02'!R43</f>
        <v>1</v>
      </c>
      <c r="K38" s="242">
        <f t="shared" si="13"/>
        <v>4.3478260869565216E-2</v>
      </c>
      <c r="L38" s="242">
        <f t="shared" si="15"/>
        <v>0.99999999999999978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64</v>
      </c>
      <c r="C39" s="241">
        <f>'Юнит 02-08.02'!AE31</f>
        <v>0</v>
      </c>
      <c r="D39" s="242">
        <f t="shared" si="11"/>
        <v>0</v>
      </c>
      <c r="E39" s="242">
        <f t="shared" si="14"/>
        <v>1.2582973521077987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'Юнит 02-08.02'!R28</f>
        <v>0</v>
      </c>
      <c r="K39" s="242">
        <f t="shared" si="13"/>
        <v>0</v>
      </c>
      <c r="L39" s="242">
        <f t="shared" si="15"/>
        <v>0.99999999999999978</v>
      </c>
      <c r="M39" s="243" t="str">
        <f t="shared" si="17"/>
        <v>C</v>
      </c>
    </row>
    <row r="40" spans="2:13" ht="26.5" thickBot="1">
      <c r="B40" s="240" t="s">
        <v>65</v>
      </c>
      <c r="C40" s="241">
        <f>'Юнит 02-08.02'!AE32</f>
        <v>0</v>
      </c>
      <c r="D40" s="242">
        <f t="shared" si="11"/>
        <v>0</v>
      </c>
      <c r="E40" s="242">
        <f t="shared" si="14"/>
        <v>1.2582973521077987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'Юнит 02-08.02'!R29</f>
        <v>0</v>
      </c>
      <c r="K40" s="242">
        <f t="shared" si="13"/>
        <v>0</v>
      </c>
      <c r="L40" s="242">
        <f t="shared" si="15"/>
        <v>0.99999999999999978</v>
      </c>
      <c r="M40" s="243" t="str">
        <f t="shared" si="17"/>
        <v>C</v>
      </c>
    </row>
    <row r="41" spans="2:13" ht="26.5" thickBot="1">
      <c r="B41" s="240" t="s">
        <v>68</v>
      </c>
      <c r="C41" s="241">
        <f>'Юнит 02-08.02'!AE35</f>
        <v>0</v>
      </c>
      <c r="D41" s="242">
        <f t="shared" si="11"/>
        <v>0</v>
      </c>
      <c r="E41" s="242">
        <f t="shared" si="14"/>
        <v>1.2582973521077987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'Юнит 02-08.02'!R30</f>
        <v>0</v>
      </c>
      <c r="K41" s="242">
        <f t="shared" si="13"/>
        <v>0</v>
      </c>
      <c r="L41" s="242">
        <f t="shared" si="15"/>
        <v>0.99999999999999978</v>
      </c>
      <c r="M41" s="243" t="str">
        <f t="shared" si="17"/>
        <v>C</v>
      </c>
    </row>
    <row r="42" spans="2:13" ht="15" thickBot="1">
      <c r="B42" s="240" t="s">
        <v>73</v>
      </c>
      <c r="C42" s="241">
        <f>'Юнит 02-08.02'!AE40</f>
        <v>0</v>
      </c>
      <c r="D42" s="242">
        <f t="shared" si="11"/>
        <v>0</v>
      </c>
      <c r="E42" s="242">
        <f t="shared" si="14"/>
        <v>1.2582973521077987</v>
      </c>
      <c r="F42" s="243" t="str">
        <f t="shared" si="16"/>
        <v>C</v>
      </c>
      <c r="G42" s="243" t="str">
        <f t="shared" si="12"/>
        <v>C</v>
      </c>
      <c r="I42" s="240" t="s">
        <v>64</v>
      </c>
      <c r="J42" s="241">
        <f>'Юнит 02-08.02'!R31</f>
        <v>0</v>
      </c>
      <c r="K42" s="242">
        <f t="shared" si="13"/>
        <v>0</v>
      </c>
      <c r="L42" s="242">
        <f t="shared" si="15"/>
        <v>0.99999999999999978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02-08.02'!AE41</f>
        <v>0</v>
      </c>
      <c r="D43" s="242">
        <f t="shared" si="11"/>
        <v>0</v>
      </c>
      <c r="E43" s="242">
        <f t="shared" si="14"/>
        <v>1.2582973521077987</v>
      </c>
      <c r="F43" s="243" t="str">
        <f t="shared" si="16"/>
        <v>C</v>
      </c>
      <c r="G43" s="243" t="str">
        <f t="shared" si="12"/>
        <v>C</v>
      </c>
      <c r="I43" s="240" t="s">
        <v>65</v>
      </c>
      <c r="J43" s="241">
        <f>'Юнит 02-08.02'!R32</f>
        <v>0</v>
      </c>
      <c r="K43" s="242">
        <f t="shared" si="13"/>
        <v>0</v>
      </c>
      <c r="L43" s="242">
        <f t="shared" si="15"/>
        <v>0.99999999999999978</v>
      </c>
      <c r="M43" s="243" t="str">
        <f t="shared" si="17"/>
        <v>C</v>
      </c>
    </row>
    <row r="44" spans="2:13" ht="26.5" thickBot="1">
      <c r="B44" s="240" t="s">
        <v>61</v>
      </c>
      <c r="C44" s="241">
        <f>'Юнит 02-08.02'!AE28</f>
        <v>-113.88</v>
      </c>
      <c r="D44" s="242">
        <f t="shared" si="11"/>
        <v>-7.0496801070869921E-3</v>
      </c>
      <c r="E44" s="242">
        <f t="shared" si="14"/>
        <v>1.2512476720007117</v>
      </c>
      <c r="F44" s="243" t="str">
        <f t="shared" si="16"/>
        <v>C</v>
      </c>
      <c r="G44" s="243" t="str">
        <f t="shared" si="12"/>
        <v>C</v>
      </c>
      <c r="I44" s="240" t="s">
        <v>66</v>
      </c>
      <c r="J44" s="241">
        <f>'Юнит 02-08.02'!R33</f>
        <v>0</v>
      </c>
      <c r="K44" s="242">
        <f t="shared" si="13"/>
        <v>0</v>
      </c>
      <c r="L44" s="242">
        <f t="shared" si="15"/>
        <v>0.99999999999999978</v>
      </c>
      <c r="M44" s="243" t="str">
        <f t="shared" si="17"/>
        <v>C</v>
      </c>
    </row>
    <row r="45" spans="2:13" ht="26.5" thickBot="1">
      <c r="B45" s="240" t="s">
        <v>62</v>
      </c>
      <c r="C45" s="241">
        <f>'Юнит 02-08.02'!AE29</f>
        <v>-113.88</v>
      </c>
      <c r="D45" s="242">
        <f t="shared" si="11"/>
        <v>-7.0496801070869921E-3</v>
      </c>
      <c r="E45" s="242">
        <f t="shared" si="14"/>
        <v>1.2441979918936248</v>
      </c>
      <c r="F45" s="243" t="str">
        <f t="shared" si="16"/>
        <v>C</v>
      </c>
      <c r="G45" s="243" t="str">
        <f t="shared" si="12"/>
        <v>C</v>
      </c>
      <c r="I45" s="240" t="s">
        <v>68</v>
      </c>
      <c r="J45" s="241">
        <f>'Юнит 02-08.02'!R35</f>
        <v>0</v>
      </c>
      <c r="K45" s="242">
        <f t="shared" si="13"/>
        <v>0</v>
      </c>
      <c r="L45" s="242">
        <f t="shared" si="15"/>
        <v>0.99999999999999978</v>
      </c>
      <c r="M45" s="243" t="str">
        <f t="shared" si="17"/>
        <v>C</v>
      </c>
    </row>
    <row r="46" spans="2:13" ht="15" thickBot="1">
      <c r="B46" s="240" t="s">
        <v>69</v>
      </c>
      <c r="C46" s="241">
        <f>'Юнит 02-08.02'!AE36</f>
        <v>-113.88</v>
      </c>
      <c r="D46" s="242">
        <f t="shared" si="11"/>
        <v>-7.0496801070869921E-3</v>
      </c>
      <c r="E46" s="242">
        <f t="shared" si="14"/>
        <v>1.2371483117865378</v>
      </c>
      <c r="F46" s="243" t="str">
        <f t="shared" si="16"/>
        <v>C</v>
      </c>
      <c r="G46" s="243" t="str">
        <f t="shared" si="12"/>
        <v>C</v>
      </c>
      <c r="I46" s="240" t="s">
        <v>69</v>
      </c>
      <c r="J46" s="241">
        <f>'Юнит 02-08.02'!R36</f>
        <v>0</v>
      </c>
      <c r="K46" s="242">
        <f t="shared" si="13"/>
        <v>0</v>
      </c>
      <c r="L46" s="242">
        <f t="shared" si="15"/>
        <v>0.99999999999999978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02-08.02'!AE47</f>
        <v>-113.88</v>
      </c>
      <c r="D47" s="242">
        <f t="shared" si="11"/>
        <v>-7.0496801070869921E-3</v>
      </c>
      <c r="E47" s="242">
        <f t="shared" si="14"/>
        <v>1.2300986316794509</v>
      </c>
      <c r="F47" s="243" t="str">
        <f t="shared" si="16"/>
        <v>C</v>
      </c>
      <c r="G47" s="243" t="str">
        <f t="shared" si="12"/>
        <v>C</v>
      </c>
      <c r="I47" s="240" t="s">
        <v>73</v>
      </c>
      <c r="J47" s="241">
        <f>'Юнит 02-08.02'!R40</f>
        <v>0</v>
      </c>
      <c r="K47" s="242">
        <f t="shared" si="13"/>
        <v>0</v>
      </c>
      <c r="L47" s="242">
        <f t="shared" si="15"/>
        <v>0.99999999999999978</v>
      </c>
      <c r="M47" s="243" t="str">
        <f t="shared" si="17"/>
        <v>C</v>
      </c>
    </row>
    <row r="48" spans="2:13" ht="26.5" thickBot="1">
      <c r="B48" s="240" t="s">
        <v>66</v>
      </c>
      <c r="C48" s="241">
        <f>'Юнит 02-08.02'!AE33</f>
        <v>-227.76</v>
      </c>
      <c r="D48" s="242">
        <f t="shared" si="11"/>
        <v>-1.4099360214173984E-2</v>
      </c>
      <c r="E48" s="242">
        <f t="shared" si="14"/>
        <v>1.215999271465277</v>
      </c>
      <c r="F48" s="243" t="str">
        <f t="shared" si="16"/>
        <v>C</v>
      </c>
      <c r="G48" s="243" t="str">
        <f t="shared" si="12"/>
        <v>C</v>
      </c>
      <c r="I48" s="240" t="s">
        <v>74</v>
      </c>
      <c r="J48" s="241">
        <f>'Юнит 02-08.02'!R41</f>
        <v>0</v>
      </c>
      <c r="K48" s="242">
        <f t="shared" si="13"/>
        <v>0</v>
      </c>
      <c r="L48" s="242">
        <f t="shared" si="15"/>
        <v>0.99999999999999978</v>
      </c>
      <c r="M48" s="243" t="str">
        <f t="shared" si="17"/>
        <v>C</v>
      </c>
    </row>
    <row r="49" spans="2:13" ht="26.5" thickBot="1">
      <c r="B49" s="240" t="s">
        <v>75</v>
      </c>
      <c r="C49" s="241">
        <f>'Юнит 02-08.02'!AE42</f>
        <v>-3489.2359172067245</v>
      </c>
      <c r="D49" s="242">
        <f t="shared" si="11"/>
        <v>-0.21599927146527645</v>
      </c>
      <c r="E49" s="242">
        <f t="shared" si="14"/>
        <v>1.0000000000000004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02-08.02'!R47</f>
        <v>0</v>
      </c>
      <c r="K49" s="242">
        <f t="shared" si="13"/>
        <v>0</v>
      </c>
      <c r="L49" s="242">
        <f t="shared" si="15"/>
        <v>0.99999999999999978</v>
      </c>
      <c r="M49" s="243" t="str">
        <f t="shared" si="17"/>
        <v>C</v>
      </c>
    </row>
    <row r="50" spans="2:13">
      <c r="C50" s="249">
        <f>SUM(C30:C49)</f>
        <v>16153.924471766777</v>
      </c>
      <c r="D50" s="250">
        <f>SUM(D30:D49)</f>
        <v>1.0000000000000004</v>
      </c>
      <c r="J50" s="249">
        <f>SUM(J30:J49)</f>
        <v>23</v>
      </c>
      <c r="K50" s="250">
        <f>SUM(K30:K49)</f>
        <v>0.99999999999999978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51" priority="4" operator="equal">
      <formula>"C"</formula>
    </cfRule>
    <cfRule type="cellIs" dxfId="250" priority="5" operator="equal">
      <formula>"B"</formula>
    </cfRule>
    <cfRule type="cellIs" dxfId="249" priority="6" operator="equal">
      <formula>"A"</formula>
    </cfRule>
  </conditionalFormatting>
  <conditionalFormatting sqref="M30:M49 D30:D49 K30:K49 F30:G49">
    <cfRule type="cellIs" dxfId="248" priority="1" operator="equal">
      <formula>"C"</formula>
    </cfRule>
    <cfRule type="cellIs" dxfId="247" priority="2" operator="equal">
      <formula>"B"</formula>
    </cfRule>
    <cfRule type="cellIs" dxfId="246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72A2-E85A-4130-ABD1-13B7C1C760F2}">
  <dimension ref="B1:Q50"/>
  <sheetViews>
    <sheetView zoomScale="90" zoomScaleNormal="90" workbookViewId="0">
      <selection activeCell="J5" sqref="J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ЯНВАРЬ!AE3</f>
        <v>40731.919000560774</v>
      </c>
      <c r="D4" s="242">
        <f>C4/C$26</f>
        <v>0.63166594809592336</v>
      </c>
      <c r="E4" s="242">
        <f>D4</f>
        <v>0.63166594809592336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ЯНВАРЬ!R3</f>
        <v>174</v>
      </c>
      <c r="K4" s="242">
        <f>J4/J$26</f>
        <v>0.64444444444444449</v>
      </c>
      <c r="L4" s="242">
        <f>K4</f>
        <v>0.64444444444444449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ЯНВАРЬ!AE6</f>
        <v>7328.910100482316</v>
      </c>
      <c r="D5" s="242">
        <f>C5/C$26</f>
        <v>0.1136559008444266</v>
      </c>
      <c r="E5" s="242">
        <f>D5+E4</f>
        <v>0.74532184894034992</v>
      </c>
      <c r="F5" s="243" t="str">
        <f t="shared" si="0"/>
        <v>A</v>
      </c>
      <c r="G5" s="243" t="str">
        <f>VLOOKUP(B$4:B$25,I$4:M$25,5,0)</f>
        <v>A</v>
      </c>
      <c r="I5" s="240" t="s">
        <v>41</v>
      </c>
      <c r="J5" s="241">
        <f>ЯНВАРЬ!R6</f>
        <v>33</v>
      </c>
      <c r="K5" s="242">
        <f>J5/J$26</f>
        <v>0.12222222222222222</v>
      </c>
      <c r="L5" s="242">
        <f>K5+L4</f>
        <v>0.76666666666666672</v>
      </c>
      <c r="M5" s="243" t="str">
        <f t="shared" si="1"/>
        <v>A</v>
      </c>
    </row>
    <row r="6" spans="2:17" ht="28.5" customHeight="1" outlineLevel="1" thickBot="1">
      <c r="B6" s="240" t="s">
        <v>42</v>
      </c>
      <c r="C6" s="241">
        <f>ЯНВАРЬ!AE7</f>
        <v>5299.7732224332403</v>
      </c>
      <c r="D6" s="242">
        <f>C6/C$26</f>
        <v>8.2188277876021273E-2</v>
      </c>
      <c r="E6" s="242">
        <f t="shared" ref="E6:E25" si="2">D6+E5</f>
        <v>0.82751012681637115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ЯНВАРЬ!R7</f>
        <v>12</v>
      </c>
      <c r="K6" s="242">
        <f>J6/J$26</f>
        <v>4.4444444444444446E-2</v>
      </c>
      <c r="L6" s="242">
        <f t="shared" ref="L6:L25" si="3">K6+L5</f>
        <v>0.81111111111111112</v>
      </c>
      <c r="M6" s="243" t="str">
        <f t="shared" si="1"/>
        <v>B</v>
      </c>
    </row>
    <row r="7" spans="2:17" ht="28.5" customHeight="1" outlineLevel="1" thickBot="1">
      <c r="B7" s="240" t="s">
        <v>43</v>
      </c>
      <c r="C7" s="241">
        <f>ЯНВАРЬ!AE8</f>
        <v>1731.7420827995447</v>
      </c>
      <c r="D7" s="242">
        <f>C7/C$26</f>
        <v>2.6855658447472692E-2</v>
      </c>
      <c r="E7" s="242">
        <f t="shared" si="2"/>
        <v>0.85436578526384388</v>
      </c>
      <c r="F7" s="243" t="str">
        <f t="shared" si="0"/>
        <v>B</v>
      </c>
      <c r="G7" s="243" t="str">
        <f>VLOOKUP(B$4:B$25,I$4:M$25,5,0)</f>
        <v>B</v>
      </c>
      <c r="I7" s="240" t="s">
        <v>44</v>
      </c>
      <c r="J7" s="241">
        <f>ЯНВАРЬ!R9</f>
        <v>11</v>
      </c>
      <c r="K7" s="242">
        <f>J7/J$26</f>
        <v>4.0740740740740744E-2</v>
      </c>
      <c r="L7" s="242">
        <f t="shared" si="3"/>
        <v>0.85185185185185186</v>
      </c>
      <c r="M7" s="243" t="str">
        <f t="shared" si="1"/>
        <v>B</v>
      </c>
    </row>
    <row r="8" spans="2:17" ht="28.5" customHeight="1" outlineLevel="1" thickBot="1">
      <c r="B8" s="240" t="s">
        <v>40</v>
      </c>
      <c r="C8" s="241">
        <f>ЯНВАРЬ!AE5</f>
        <v>1728.3092522038128</v>
      </c>
      <c r="D8" s="242">
        <f>C8/C$26</f>
        <v>2.6802422502638475E-2</v>
      </c>
      <c r="E8" s="242">
        <f t="shared" si="2"/>
        <v>0.8811682077664823</v>
      </c>
      <c r="F8" s="243" t="str">
        <f t="shared" si="0"/>
        <v>B</v>
      </c>
      <c r="G8" s="243" t="str">
        <f>VLOOKUP(B$4:B$25,I$4:M$25,5,0)</f>
        <v>B</v>
      </c>
      <c r="I8" s="240" t="s">
        <v>39</v>
      </c>
      <c r="J8" s="241">
        <f>ЯНВАРЬ!R4</f>
        <v>9</v>
      </c>
      <c r="K8" s="242">
        <f>J8/J$26</f>
        <v>3.3333333333333333E-2</v>
      </c>
      <c r="L8" s="242">
        <f t="shared" si="3"/>
        <v>0.88518518518518519</v>
      </c>
      <c r="M8" s="243" t="str">
        <f t="shared" si="1"/>
        <v>B</v>
      </c>
    </row>
    <row r="9" spans="2:17" ht="28.5" customHeight="1" outlineLevel="1" thickBot="1">
      <c r="B9" s="240" t="s">
        <v>55</v>
      </c>
      <c r="C9" s="241">
        <f>ЯНВАРЬ!AE20</f>
        <v>1673.6071353687944</v>
      </c>
      <c r="D9" s="242">
        <f t="shared" ref="D9:D25" si="4">C9/C$26</f>
        <v>2.5954108321983981E-2</v>
      </c>
      <c r="E9" s="242">
        <f t="shared" si="2"/>
        <v>0.90712231608846627</v>
      </c>
      <c r="F9" s="243" t="str">
        <f t="shared" si="0"/>
        <v>B</v>
      </c>
      <c r="G9" s="243" t="str">
        <f t="shared" ref="G9:G25" si="5">VLOOKUP(B$4:B$25,I$4:M$25,5,0)</f>
        <v>C</v>
      </c>
      <c r="I9" s="240" t="s">
        <v>48</v>
      </c>
      <c r="J9" s="241">
        <f>ЯНВАРЬ!R13</f>
        <v>5</v>
      </c>
      <c r="K9" s="242">
        <f t="shared" ref="K9:K25" si="6">J9/J$26</f>
        <v>1.8518518518518517E-2</v>
      </c>
      <c r="L9" s="242">
        <f t="shared" si="3"/>
        <v>0.90370370370370368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ЯНВАРЬ!AE14</f>
        <v>1541.0225864420067</v>
      </c>
      <c r="D10" s="242">
        <f t="shared" si="4"/>
        <v>2.3898002278967531E-2</v>
      </c>
      <c r="E10" s="242">
        <f t="shared" si="2"/>
        <v>0.93102031836743382</v>
      </c>
      <c r="F10" s="243" t="str">
        <f t="shared" si="0"/>
        <v>B</v>
      </c>
      <c r="G10" s="243" t="str">
        <f t="shared" si="5"/>
        <v>B</v>
      </c>
      <c r="I10" s="240" t="s">
        <v>49</v>
      </c>
      <c r="J10" s="241">
        <f>ЯНВАРЬ!R14</f>
        <v>5</v>
      </c>
      <c r="K10" s="242">
        <f t="shared" si="6"/>
        <v>1.8518518518518517E-2</v>
      </c>
      <c r="L10" s="242">
        <f t="shared" si="3"/>
        <v>0.92222222222222217</v>
      </c>
      <c r="M10" s="243" t="str">
        <f t="shared" si="1"/>
        <v>B</v>
      </c>
    </row>
    <row r="11" spans="2:17" ht="28.5" customHeight="1" outlineLevel="1" thickBot="1">
      <c r="B11" s="240" t="s">
        <v>47</v>
      </c>
      <c r="C11" s="241">
        <f>ЯНВАРЬ!AE12</f>
        <v>1475.3243634144055</v>
      </c>
      <c r="D11" s="242">
        <f t="shared" si="4"/>
        <v>2.2879161739282283E-2</v>
      </c>
      <c r="E11" s="242">
        <f>D11+E8</f>
        <v>0.90404736950576459</v>
      </c>
      <c r="F11" s="243" t="str">
        <f t="shared" si="0"/>
        <v>B</v>
      </c>
      <c r="G11" s="243" t="str">
        <f t="shared" si="5"/>
        <v>B</v>
      </c>
      <c r="I11" s="240" t="s">
        <v>40</v>
      </c>
      <c r="J11" s="241">
        <f>ЯНВАРЬ!R5</f>
        <v>4</v>
      </c>
      <c r="K11" s="242">
        <f t="shared" si="6"/>
        <v>1.4814814814814815E-2</v>
      </c>
      <c r="L11" s="242">
        <f>K11+L8</f>
        <v>0.9</v>
      </c>
      <c r="M11" s="243" t="str">
        <f t="shared" si="1"/>
        <v>B</v>
      </c>
    </row>
    <row r="12" spans="2:17" ht="28.5" customHeight="1" outlineLevel="1" thickBot="1">
      <c r="B12" s="240" t="s">
        <v>51</v>
      </c>
      <c r="C12" s="241">
        <f>ЯНВАРЬ!AE16</f>
        <v>1147.4323688149975</v>
      </c>
      <c r="D12" s="242">
        <f t="shared" si="4"/>
        <v>1.7794250133746414E-2</v>
      </c>
      <c r="E12" s="242">
        <f t="shared" si="2"/>
        <v>0.92184161963951095</v>
      </c>
      <c r="F12" s="243" t="str">
        <f t="shared" si="0"/>
        <v>B</v>
      </c>
      <c r="G12" s="243" t="str">
        <f t="shared" si="5"/>
        <v>B</v>
      </c>
      <c r="I12" s="240" t="s">
        <v>47</v>
      </c>
      <c r="J12" s="241">
        <f>ЯНВАРЬ!R12</f>
        <v>4</v>
      </c>
      <c r="K12" s="242">
        <f t="shared" si="6"/>
        <v>1.4814814814814815E-2</v>
      </c>
      <c r="L12" s="242">
        <f t="shared" si="3"/>
        <v>0.91481481481481486</v>
      </c>
      <c r="M12" s="243" t="str">
        <f t="shared" si="1"/>
        <v>B</v>
      </c>
    </row>
    <row r="13" spans="2:17" ht="15" outlineLevel="1" thickBot="1">
      <c r="B13" s="240" t="s">
        <v>54</v>
      </c>
      <c r="C13" s="241">
        <f>ЯНВАРЬ!AE19</f>
        <v>935.83469337117856</v>
      </c>
      <c r="D13" s="242">
        <f t="shared" si="4"/>
        <v>1.4512817548351327E-2</v>
      </c>
      <c r="E13" s="242">
        <f t="shared" si="2"/>
        <v>0.93635443718786227</v>
      </c>
      <c r="F13" s="243" t="str">
        <f>IF(AND(E13&lt;=0),"C",IF(E13&lt;=0.8,"A",IF(E13&lt;=0.95,"B","C")))</f>
        <v>B</v>
      </c>
      <c r="G13" s="243" t="str">
        <f t="shared" si="5"/>
        <v>C</v>
      </c>
      <c r="I13" s="240" t="s">
        <v>51</v>
      </c>
      <c r="J13" s="241">
        <f>ЯНВАРЬ!R16</f>
        <v>4</v>
      </c>
      <c r="K13" s="242">
        <f t="shared" si="6"/>
        <v>1.4814814814814815E-2</v>
      </c>
      <c r="L13" s="242">
        <f t="shared" si="3"/>
        <v>0.92962962962962969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48</v>
      </c>
      <c r="C14" s="241">
        <f>ЯНВАРЬ!AE13</f>
        <v>775.66419484038784</v>
      </c>
      <c r="D14" s="242">
        <f t="shared" si="4"/>
        <v>1.2028911749313091E-2</v>
      </c>
      <c r="E14" s="242">
        <f t="shared" si="2"/>
        <v>0.94838334893717535</v>
      </c>
      <c r="F14" s="243" t="str">
        <f t="shared" ref="F14:F25" si="7">IF(AND(E14&lt;=0),"C",IF(E14&lt;=0.8,"A",IF(E14&lt;=0.95,"B","C")))</f>
        <v>B</v>
      </c>
      <c r="G14" s="243" t="str">
        <f t="shared" si="5"/>
        <v>B</v>
      </c>
      <c r="I14" s="240" t="s">
        <v>43</v>
      </c>
      <c r="J14" s="241">
        <f>ЯНВАРЬ!R8</f>
        <v>3</v>
      </c>
      <c r="K14" s="242">
        <f t="shared" si="6"/>
        <v>1.1111111111111112E-2</v>
      </c>
      <c r="L14" s="242">
        <f t="shared" si="3"/>
        <v>0.94074074074074077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26.5" outlineLevel="1" thickBot="1">
      <c r="B15" s="240" t="s">
        <v>53</v>
      </c>
      <c r="C15" s="241">
        <f>ЯНВАРЬ!AE18</f>
        <v>703.75083855215871</v>
      </c>
      <c r="D15" s="242">
        <f t="shared" si="4"/>
        <v>1.0913687632817651E-2</v>
      </c>
      <c r="E15" s="242">
        <f t="shared" si="2"/>
        <v>0.95929703656999299</v>
      </c>
      <c r="F15" s="243" t="str">
        <f t="shared" si="7"/>
        <v>C</v>
      </c>
      <c r="G15" s="243" t="str">
        <f t="shared" si="5"/>
        <v>C</v>
      </c>
      <c r="I15" s="240" t="s">
        <v>50</v>
      </c>
      <c r="J15" s="241">
        <f>ЯНВАРЬ!R15</f>
        <v>2</v>
      </c>
      <c r="K15" s="242">
        <f t="shared" si="6"/>
        <v>7.4074074074074077E-3</v>
      </c>
      <c r="L15" s="242">
        <f t="shared" si="3"/>
        <v>0.94814814814814818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39</v>
      </c>
      <c r="C16" s="241">
        <f>ЯНВАРЬ!AE4</f>
        <v>368.9468450613183</v>
      </c>
      <c r="D16" s="242">
        <f t="shared" si="4"/>
        <v>5.7215855378542034E-3</v>
      </c>
      <c r="E16" s="242">
        <f t="shared" si="2"/>
        <v>0.96501862210784717</v>
      </c>
      <c r="F16" s="243" t="str">
        <f t="shared" si="7"/>
        <v>C</v>
      </c>
      <c r="G16" s="243" t="str">
        <f t="shared" si="5"/>
        <v>B</v>
      </c>
      <c r="I16" s="240" t="s">
        <v>45</v>
      </c>
      <c r="J16" s="241">
        <f>ЯНВАРЬ!R10</f>
        <v>1</v>
      </c>
      <c r="K16" s="242">
        <f t="shared" si="6"/>
        <v>3.7037037037037038E-3</v>
      </c>
      <c r="L16" s="242">
        <f t="shared" si="3"/>
        <v>0.95185185185185184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45</v>
      </c>
      <c r="C17" s="241">
        <f>ЯНВАРЬ!AE10</f>
        <v>285.9354437232015</v>
      </c>
      <c r="D17" s="242">
        <f t="shared" si="4"/>
        <v>4.4342542061707917E-3</v>
      </c>
      <c r="E17" s="242">
        <f t="shared" si="2"/>
        <v>0.969452876314018</v>
      </c>
      <c r="F17" s="243" t="str">
        <f t="shared" si="7"/>
        <v>C</v>
      </c>
      <c r="G17" s="243" t="str">
        <f t="shared" si="5"/>
        <v>C</v>
      </c>
      <c r="I17" s="240" t="s">
        <v>53</v>
      </c>
      <c r="J17" s="241">
        <f>ЯНВАРЬ!R18</f>
        <v>1</v>
      </c>
      <c r="K17" s="242">
        <f t="shared" si="6"/>
        <v>3.7037037037037038E-3</v>
      </c>
      <c r="L17" s="242">
        <f t="shared" si="3"/>
        <v>0.95555555555555549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52</v>
      </c>
      <c r="C18" s="241">
        <f>ЯНВАРЬ!AE17</f>
        <v>0</v>
      </c>
      <c r="D18" s="242">
        <f t="shared" si="4"/>
        <v>0</v>
      </c>
      <c r="E18" s="242">
        <f t="shared" si="2"/>
        <v>0.969452876314018</v>
      </c>
      <c r="F18" s="243" t="str">
        <f t="shared" si="7"/>
        <v>C</v>
      </c>
      <c r="G18" s="243" t="str">
        <f t="shared" si="5"/>
        <v>C</v>
      </c>
      <c r="I18" s="240" t="s">
        <v>54</v>
      </c>
      <c r="J18" s="241">
        <f>ЯНВАРЬ!R19</f>
        <v>1</v>
      </c>
      <c r="K18" s="242">
        <f t="shared" si="6"/>
        <v>3.7037037037037038E-3</v>
      </c>
      <c r="L18" s="242">
        <f t="shared" si="3"/>
        <v>0.95925925925925914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ЯНВАРЬ!AE21</f>
        <v>0</v>
      </c>
      <c r="D19" s="242">
        <f t="shared" si="4"/>
        <v>0</v>
      </c>
      <c r="E19" s="242">
        <f t="shared" si="2"/>
        <v>0.969452876314018</v>
      </c>
      <c r="F19" s="243" t="str">
        <f t="shared" si="7"/>
        <v>C</v>
      </c>
      <c r="G19" s="243" t="str">
        <f t="shared" si="5"/>
        <v>C</v>
      </c>
      <c r="I19" s="240" t="s">
        <v>55</v>
      </c>
      <c r="J19" s="241">
        <f>ЯНВАРЬ!R20</f>
        <v>1</v>
      </c>
      <c r="K19" s="242">
        <f t="shared" si="6"/>
        <v>3.7037037037037038E-3</v>
      </c>
      <c r="L19" s="242">
        <f t="shared" si="3"/>
        <v>0.9629629629629628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ЯНВАРЬ!AE22</f>
        <v>0</v>
      </c>
      <c r="D20" s="242">
        <f t="shared" si="4"/>
        <v>0</v>
      </c>
      <c r="E20" s="242">
        <f t="shared" si="2"/>
        <v>0.969452876314018</v>
      </c>
      <c r="F20" s="243" t="str">
        <f t="shared" si="7"/>
        <v>C</v>
      </c>
      <c r="G20" s="243" t="str">
        <f t="shared" si="5"/>
        <v>C</v>
      </c>
      <c r="I20" s="240" t="s">
        <v>46</v>
      </c>
      <c r="J20" s="241">
        <f>ЯНВАРЬ!R11</f>
        <v>0</v>
      </c>
      <c r="K20" s="242">
        <f t="shared" si="6"/>
        <v>0</v>
      </c>
      <c r="L20" s="242">
        <f t="shared" si="3"/>
        <v>0.9629629629629628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ЯНВАРЬ!AE23</f>
        <v>0</v>
      </c>
      <c r="D21" s="242">
        <f t="shared" si="4"/>
        <v>0</v>
      </c>
      <c r="E21" s="242">
        <f t="shared" si="2"/>
        <v>0.969452876314018</v>
      </c>
      <c r="F21" s="243" t="str">
        <f t="shared" si="7"/>
        <v>C</v>
      </c>
      <c r="G21" s="243" t="str">
        <f t="shared" si="5"/>
        <v>C</v>
      </c>
      <c r="I21" s="240" t="s">
        <v>52</v>
      </c>
      <c r="J21" s="241">
        <f>ЯНВАРЬ!R17</f>
        <v>0</v>
      </c>
      <c r="K21" s="242">
        <f t="shared" si="6"/>
        <v>0</v>
      </c>
      <c r="L21" s="242">
        <f t="shared" si="3"/>
        <v>0.9629629629629628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ЯНВАРЬ!AE24</f>
        <v>0</v>
      </c>
      <c r="D22" s="242">
        <f t="shared" si="4"/>
        <v>0</v>
      </c>
      <c r="E22" s="242">
        <f t="shared" si="2"/>
        <v>0.969452876314018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ЯНВАРЬ!R21</f>
        <v>0</v>
      </c>
      <c r="K22" s="242">
        <f t="shared" si="6"/>
        <v>0</v>
      </c>
      <c r="L22" s="242">
        <f t="shared" si="3"/>
        <v>0.9629629629629628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46</v>
      </c>
      <c r="C23" s="241">
        <f>ЯНВАРЬ!AE11</f>
        <v>-93.54</v>
      </c>
      <c r="D23" s="242">
        <f t="shared" si="4"/>
        <v>-1.4506076373194991E-3</v>
      </c>
      <c r="E23" s="242">
        <f t="shared" si="2"/>
        <v>0.96800226867669847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ЯНВАРЬ!R22</f>
        <v>0</v>
      </c>
      <c r="K23" s="242">
        <f t="shared" si="6"/>
        <v>0</v>
      </c>
      <c r="L23" s="242">
        <f t="shared" si="3"/>
        <v>0.9629629629629628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ЯНВАРЬ!AE9</f>
        <v>-210.09144607586333</v>
      </c>
      <c r="D24" s="242">
        <f t="shared" si="4"/>
        <v>-3.2580741523748668E-3</v>
      </c>
      <c r="E24" s="242">
        <f t="shared" si="2"/>
        <v>0.96474419452432358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ЯНВАРЬ!R23</f>
        <v>0</v>
      </c>
      <c r="K24" s="242">
        <f t="shared" si="6"/>
        <v>0</v>
      </c>
      <c r="L24" s="242">
        <f t="shared" si="3"/>
        <v>0.9629629629629628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50</v>
      </c>
      <c r="C25" s="241">
        <f>ЯНВАРЬ!AE15</f>
        <v>-941.21824971306341</v>
      </c>
      <c r="D25" s="242">
        <f t="shared" si="4"/>
        <v>-1.4596305125275402E-2</v>
      </c>
      <c r="E25" s="242">
        <f t="shared" si="2"/>
        <v>0.95014788939904815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ЯНВАРЬ!R24</f>
        <v>0</v>
      </c>
      <c r="K25" s="242">
        <f t="shared" si="6"/>
        <v>0</v>
      </c>
      <c r="L25" s="242">
        <f t="shared" si="3"/>
        <v>0.9629629629629628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64483.322432279216</v>
      </c>
      <c r="D26" s="250">
        <f>SUM(D4:D25)</f>
        <v>0.99999999999999989</v>
      </c>
      <c r="J26" s="249">
        <f>SUM(J4:J25)</f>
        <v>270</v>
      </c>
      <c r="K26" s="250">
        <f>SUM(K4:K25)</f>
        <v>0.99999999999999978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ЯНВАРЬ!AE45</f>
        <v>14105.94850482292</v>
      </c>
      <c r="D30" s="242">
        <f>C30/C$50</f>
        <v>0.61469287211481438</v>
      </c>
      <c r="E30" s="242">
        <f>D30</f>
        <v>0.61469287211481438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78</v>
      </c>
      <c r="J30" s="241">
        <f>ЯНВАРЬ!R45</f>
        <v>17</v>
      </c>
      <c r="K30" s="242">
        <f>J30/J$50</f>
        <v>0.40476190476190477</v>
      </c>
      <c r="L30" s="242">
        <f>K30</f>
        <v>0.40476190476190477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ЯНВАРЬ!AE37</f>
        <v>4099.5303671830734</v>
      </c>
      <c r="D31" s="242">
        <f t="shared" ref="D31:D49" si="11">C31/C$50</f>
        <v>0.17864464022848761</v>
      </c>
      <c r="E31" s="242">
        <f>D31+E30</f>
        <v>0.79333751234330196</v>
      </c>
      <c r="F31" s="243" t="str">
        <f t="shared" si="9"/>
        <v>A</v>
      </c>
      <c r="G31" s="243" t="str">
        <f t="shared" ref="G31:G49" si="12">VLOOKUP(B$30:B$50,I$30:M$50,5,0)</f>
        <v>B</v>
      </c>
      <c r="I31" s="240" t="s">
        <v>77</v>
      </c>
      <c r="J31" s="241">
        <f>ЯНВАРЬ!R44</f>
        <v>15</v>
      </c>
      <c r="K31" s="242">
        <f t="shared" ref="K31:K49" si="13">J31/J$50</f>
        <v>0.35714285714285715</v>
      </c>
      <c r="L31" s="242">
        <f>K31+L30</f>
        <v>0.76190476190476186</v>
      </c>
      <c r="M31" s="243" t="str">
        <f t="shared" si="10"/>
        <v>A</v>
      </c>
    </row>
    <row r="32" spans="2:17" ht="26.5" thickBot="1">
      <c r="B32" s="240" t="s">
        <v>77</v>
      </c>
      <c r="C32" s="241">
        <f>ЯНВАРЬ!AE44</f>
        <v>2904.6307727843796</v>
      </c>
      <c r="D32" s="242">
        <f t="shared" si="11"/>
        <v>0.12657467390763857</v>
      </c>
      <c r="E32" s="242">
        <f t="shared" ref="E32:E49" si="14">D32+E31</f>
        <v>0.91991218625094051</v>
      </c>
      <c r="F32" s="243" t="str">
        <f t="shared" si="9"/>
        <v>B</v>
      </c>
      <c r="G32" s="243" t="str">
        <f t="shared" si="12"/>
        <v>A</v>
      </c>
      <c r="I32" s="240" t="s">
        <v>70</v>
      </c>
      <c r="J32" s="241">
        <f>ЯНВАРЬ!R37</f>
        <v>3</v>
      </c>
      <c r="K32" s="242">
        <f t="shared" si="13"/>
        <v>7.1428571428571425E-2</v>
      </c>
      <c r="L32" s="242">
        <f t="shared" ref="L32:L49" si="15">K32+L31</f>
        <v>0.83333333333333326</v>
      </c>
      <c r="M32" s="243" t="str">
        <f t="shared" si="10"/>
        <v>B</v>
      </c>
    </row>
    <row r="33" spans="2:13" ht="15" thickBot="1">
      <c r="B33" s="240" t="s">
        <v>68</v>
      </c>
      <c r="C33" s="241">
        <f>ЯНВАРЬ!AE35</f>
        <v>2517.4304525098778</v>
      </c>
      <c r="D33" s="242">
        <f t="shared" si="11"/>
        <v>0.10970170170928323</v>
      </c>
      <c r="E33" s="242">
        <f t="shared" si="14"/>
        <v>1.0296138879602237</v>
      </c>
      <c r="F33" s="243" t="str">
        <f t="shared" si="9"/>
        <v>C</v>
      </c>
      <c r="G33" s="243" t="str">
        <f t="shared" si="12"/>
        <v>B</v>
      </c>
      <c r="I33" s="240" t="s">
        <v>68</v>
      </c>
      <c r="J33" s="241">
        <f>ЯНВАРЬ!R35</f>
        <v>2</v>
      </c>
      <c r="K33" s="242">
        <f t="shared" si="13"/>
        <v>4.7619047619047616E-2</v>
      </c>
      <c r="L33" s="242">
        <f t="shared" si="15"/>
        <v>0.88095238095238093</v>
      </c>
      <c r="M33" s="243" t="str">
        <f t="shared" si="10"/>
        <v>B</v>
      </c>
    </row>
    <row r="34" spans="2:13" ht="15" thickBot="1">
      <c r="B34" s="240" t="s">
        <v>67</v>
      </c>
      <c r="C34" s="241">
        <f>ЯНВАРЬ!AE34</f>
        <v>1619.6822147822538</v>
      </c>
      <c r="D34" s="242">
        <f t="shared" si="11"/>
        <v>7.0580656960245E-2</v>
      </c>
      <c r="E34" s="242">
        <f t="shared" si="14"/>
        <v>1.1001945449204686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ЯНВАРЬ!R31</f>
        <v>1</v>
      </c>
      <c r="K34" s="242">
        <f t="shared" si="13"/>
        <v>2.3809523809523808E-2</v>
      </c>
      <c r="L34" s="242">
        <f t="shared" si="15"/>
        <v>0.90476190476190477</v>
      </c>
      <c r="M34" s="243" t="str">
        <f t="shared" si="10"/>
        <v>B</v>
      </c>
    </row>
    <row r="35" spans="2:13" ht="15" thickBot="1">
      <c r="B35" s="240" t="s">
        <v>64</v>
      </c>
      <c r="C35" s="241">
        <f>ЯНВАРЬ!AE31</f>
        <v>1255.3137253921461</v>
      </c>
      <c r="D35" s="242">
        <f t="shared" si="11"/>
        <v>5.4702624144886067E-2</v>
      </c>
      <c r="E35" s="242">
        <f t="shared" si="14"/>
        <v>1.1548971690653547</v>
      </c>
      <c r="F35" s="243" t="str">
        <f t="shared" si="9"/>
        <v>C</v>
      </c>
      <c r="G35" s="243" t="str">
        <f t="shared" si="12"/>
        <v>B</v>
      </c>
      <c r="I35" s="240" t="s">
        <v>66</v>
      </c>
      <c r="J35" s="241">
        <f>ЯНВАРЬ!R33</f>
        <v>1</v>
      </c>
      <c r="K35" s="242">
        <f t="shared" si="13"/>
        <v>2.3809523809523808E-2</v>
      </c>
      <c r="L35" s="242">
        <f t="shared" si="15"/>
        <v>0.9285714285714286</v>
      </c>
      <c r="M35" s="243" t="str">
        <f t="shared" si="10"/>
        <v>B</v>
      </c>
    </row>
    <row r="36" spans="2:13" ht="15" thickBot="1">
      <c r="B36" s="240" t="s">
        <v>66</v>
      </c>
      <c r="C36" s="241">
        <f>ЯНВАРЬ!AE33</f>
        <v>866.25295538717717</v>
      </c>
      <c r="D36" s="242">
        <f t="shared" si="11"/>
        <v>3.7748579398459575E-2</v>
      </c>
      <c r="E36" s="242">
        <f t="shared" si="14"/>
        <v>1.1926457484638142</v>
      </c>
      <c r="F36" s="243" t="str">
        <f t="shared" si="9"/>
        <v>C</v>
      </c>
      <c r="G36" s="243" t="str">
        <f t="shared" si="12"/>
        <v>B</v>
      </c>
      <c r="I36" s="240" t="s">
        <v>67</v>
      </c>
      <c r="J36" s="241">
        <f>ЯНВАРЬ!R34</f>
        <v>1</v>
      </c>
      <c r="K36" s="242">
        <f t="shared" si="13"/>
        <v>2.3809523809523808E-2</v>
      </c>
      <c r="L36" s="242">
        <f t="shared" si="15"/>
        <v>0.95238095238095244</v>
      </c>
      <c r="M36" s="243" t="str">
        <f t="shared" si="10"/>
        <v>C</v>
      </c>
    </row>
    <row r="37" spans="2:13" ht="26.5" thickBot="1">
      <c r="B37" s="240" t="s">
        <v>75</v>
      </c>
      <c r="C37" s="241">
        <f>ЯНВАРЬ!AE42</f>
        <v>469.31251054480589</v>
      </c>
      <c r="D37" s="242">
        <f t="shared" si="11"/>
        <v>2.0451163204485437E-2</v>
      </c>
      <c r="E37" s="242">
        <f t="shared" si="14"/>
        <v>1.2130969116682997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75</v>
      </c>
      <c r="J37" s="241">
        <f>ЯНВАРЬ!R42</f>
        <v>1</v>
      </c>
      <c r="K37" s="242">
        <f t="shared" si="13"/>
        <v>2.3809523809523808E-2</v>
      </c>
      <c r="L37" s="242">
        <f t="shared" si="15"/>
        <v>0.97619047619047628</v>
      </c>
      <c r="M37" s="243" t="str">
        <f>_xlfn.IFS(L37&lt;80%,"A",L37&lt;=95%,"B",L37&gt;95%,"C")</f>
        <v>C</v>
      </c>
    </row>
    <row r="38" spans="2:13" ht="15" thickBot="1">
      <c r="B38" s="240" t="s">
        <v>65</v>
      </c>
      <c r="C38" s="241">
        <f>ЯНВАРЬ!AE32</f>
        <v>0</v>
      </c>
      <c r="D38" s="242">
        <f t="shared" si="11"/>
        <v>0</v>
      </c>
      <c r="E38" s="242">
        <f t="shared" si="14"/>
        <v>1.2130969116682997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79</v>
      </c>
      <c r="J38" s="241">
        <f>ЯНВАРЬ!R46</f>
        <v>1</v>
      </c>
      <c r="K38" s="242">
        <f t="shared" si="13"/>
        <v>2.3809523809523808E-2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ЯНВАРЬ!AE39</f>
        <v>0</v>
      </c>
      <c r="D39" s="242">
        <f t="shared" si="11"/>
        <v>0</v>
      </c>
      <c r="E39" s="242">
        <f t="shared" si="14"/>
        <v>1.2130969116682997</v>
      </c>
      <c r="F39" s="243" t="str">
        <f t="shared" si="16"/>
        <v>C</v>
      </c>
      <c r="G39" s="243" t="str">
        <f t="shared" si="12"/>
        <v>C</v>
      </c>
      <c r="I39" s="240" t="s">
        <v>61</v>
      </c>
      <c r="J39" s="241">
        <f>ЯНВАРЬ!R28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73</v>
      </c>
      <c r="C40" s="241">
        <f>ЯНВАРЬ!AE40</f>
        <v>0</v>
      </c>
      <c r="D40" s="242">
        <f t="shared" si="11"/>
        <v>0</v>
      </c>
      <c r="E40" s="242">
        <f t="shared" si="14"/>
        <v>1.2130969116682997</v>
      </c>
      <c r="F40" s="243" t="str">
        <f t="shared" si="16"/>
        <v>C</v>
      </c>
      <c r="G40" s="243" t="str">
        <f t="shared" si="12"/>
        <v>C</v>
      </c>
      <c r="I40" s="240" t="s">
        <v>62</v>
      </c>
      <c r="J40" s="241">
        <f>ЯНВАРЬ!R29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74</v>
      </c>
      <c r="C41" s="241">
        <f>ЯНВАРЬ!AE41</f>
        <v>0</v>
      </c>
      <c r="D41" s="242">
        <f t="shared" si="11"/>
        <v>0</v>
      </c>
      <c r="E41" s="242">
        <f t="shared" si="14"/>
        <v>1.2130969116682997</v>
      </c>
      <c r="F41" s="243" t="str">
        <f t="shared" si="16"/>
        <v>C</v>
      </c>
      <c r="G41" s="243" t="str">
        <f t="shared" si="12"/>
        <v>C</v>
      </c>
      <c r="I41" s="240" t="s">
        <v>63</v>
      </c>
      <c r="J41" s="241">
        <f>ЯНВАРЬ!R30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80</v>
      </c>
      <c r="C42" s="241">
        <f>ЯНВАРЬ!AE47</f>
        <v>0</v>
      </c>
      <c r="D42" s="242">
        <f t="shared" si="11"/>
        <v>0</v>
      </c>
      <c r="E42" s="242">
        <f t="shared" si="14"/>
        <v>1.2130969116682997</v>
      </c>
      <c r="F42" s="243" t="str">
        <f t="shared" si="16"/>
        <v>C</v>
      </c>
      <c r="G42" s="243" t="str">
        <f t="shared" si="12"/>
        <v>C</v>
      </c>
      <c r="I42" s="240" t="s">
        <v>65</v>
      </c>
      <c r="J42" s="241">
        <f>ЯНВАРЬ!R32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62</v>
      </c>
      <c r="C43" s="241">
        <f>ЯНВАРЬ!AE29</f>
        <v>-113.88</v>
      </c>
      <c r="D43" s="242">
        <f t="shared" si="11"/>
        <v>-4.962532243223571E-3</v>
      </c>
      <c r="E43" s="242">
        <f t="shared" si="14"/>
        <v>1.2081343794250761</v>
      </c>
      <c r="F43" s="243" t="str">
        <f t="shared" si="16"/>
        <v>C</v>
      </c>
      <c r="G43" s="243" t="str">
        <f t="shared" si="12"/>
        <v>C</v>
      </c>
      <c r="I43" s="240" t="s">
        <v>69</v>
      </c>
      <c r="J43" s="241">
        <f>ЯНВАРЬ!R36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63</v>
      </c>
      <c r="C44" s="241">
        <f>ЯНВАРЬ!AE30</f>
        <v>-113.88</v>
      </c>
      <c r="D44" s="242">
        <f t="shared" si="11"/>
        <v>-4.962532243223571E-3</v>
      </c>
      <c r="E44" s="242">
        <f t="shared" si="14"/>
        <v>1.2031718471818524</v>
      </c>
      <c r="F44" s="243" t="str">
        <f t="shared" si="16"/>
        <v>C</v>
      </c>
      <c r="G44" s="243" t="str">
        <f t="shared" si="12"/>
        <v>C</v>
      </c>
      <c r="I44" s="240" t="s">
        <v>71</v>
      </c>
      <c r="J44" s="241">
        <f>ЯНВАРЬ!R38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69</v>
      </c>
      <c r="C45" s="241">
        <f>ЯНВАРЬ!AE36</f>
        <v>-113.88</v>
      </c>
      <c r="D45" s="242">
        <f t="shared" si="11"/>
        <v>-4.962532243223571E-3</v>
      </c>
      <c r="E45" s="242">
        <f t="shared" si="14"/>
        <v>1.1982093149386288</v>
      </c>
      <c r="F45" s="243" t="str">
        <f t="shared" si="16"/>
        <v>C</v>
      </c>
      <c r="G45" s="243" t="str">
        <f t="shared" si="12"/>
        <v>C</v>
      </c>
      <c r="I45" s="240" t="s">
        <v>72</v>
      </c>
      <c r="J45" s="241">
        <f>ЯНВАРЬ!R39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ЯНВАРЬ!AE43</f>
        <v>-227.76</v>
      </c>
      <c r="D46" s="242">
        <f t="shared" si="11"/>
        <v>-9.9250644864471421E-3</v>
      </c>
      <c r="E46" s="242">
        <f t="shared" si="14"/>
        <v>1.1882842504521818</v>
      </c>
      <c r="F46" s="243" t="str">
        <f t="shared" si="16"/>
        <v>C</v>
      </c>
      <c r="G46" s="243" t="str">
        <f t="shared" si="12"/>
        <v>C</v>
      </c>
      <c r="I46" s="240" t="s">
        <v>73</v>
      </c>
      <c r="J46" s="241">
        <f>ЯНВАРЬ!R40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ЯНВАРЬ!AE38</f>
        <v>-432.27</v>
      </c>
      <c r="D47" s="242">
        <f t="shared" si="11"/>
        <v>-1.8836967094996954E-2</v>
      </c>
      <c r="E47" s="242">
        <f t="shared" si="14"/>
        <v>1.1694472833571847</v>
      </c>
      <c r="F47" s="243" t="str">
        <f t="shared" si="16"/>
        <v>C</v>
      </c>
      <c r="G47" s="243" t="str">
        <f t="shared" si="12"/>
        <v>C</v>
      </c>
      <c r="I47" s="240" t="s">
        <v>74</v>
      </c>
      <c r="J47" s="241">
        <f>ЯНВАРЬ!R41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ЯНВАРЬ!AE28</f>
        <v>-1090.7745249999998</v>
      </c>
      <c r="D48" s="242">
        <f t="shared" si="11"/>
        <v>-4.7532523273615859E-2</v>
      </c>
      <c r="E48" s="242">
        <f t="shared" si="14"/>
        <v>1.1219147600835688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ЯНВАРЬ!R43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ЯНВАРЬ!AE46</f>
        <v>-2797.6952486858354</v>
      </c>
      <c r="D49" s="242">
        <f t="shared" si="11"/>
        <v>-0.12191476008356907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ЯНВАРЬ!R47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22947.961729720795</v>
      </c>
      <c r="D50" s="250">
        <f>SUM(D30:D49)</f>
        <v>0.99999999999999978</v>
      </c>
      <c r="J50" s="249">
        <f>SUM(J30:J49)</f>
        <v>42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45" priority="4" operator="equal">
      <formula>"C"</formula>
    </cfRule>
    <cfRule type="cellIs" dxfId="244" priority="5" operator="equal">
      <formula>"B"</formula>
    </cfRule>
    <cfRule type="cellIs" dxfId="243" priority="6" operator="equal">
      <formula>"A"</formula>
    </cfRule>
  </conditionalFormatting>
  <conditionalFormatting sqref="M30:M49 D30:D49 K30:K49 F30:G49">
    <cfRule type="cellIs" dxfId="242" priority="1" operator="equal">
      <formula>"C"</formula>
    </cfRule>
    <cfRule type="cellIs" dxfId="241" priority="2" operator="equal">
      <formula>"B"</formula>
    </cfRule>
    <cfRule type="cellIs" dxfId="240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6E3A7-681F-4317-AC05-E9249D01A078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26.01-01.02'!AE3</f>
        <v>15483.420292000012</v>
      </c>
      <c r="D4" s="242">
        <f>C4/C$26</f>
        <v>0.69780888106964678</v>
      </c>
      <c r="E4" s="242">
        <f>D4</f>
        <v>0.69780888106964678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26.01-01.02'!R3</f>
        <v>52</v>
      </c>
      <c r="K4" s="242">
        <f>J4/J$26</f>
        <v>0.68421052631578949</v>
      </c>
      <c r="L4" s="242">
        <f>K4</f>
        <v>0.68421052631578949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26.01-01.02'!AE7</f>
        <v>1981.02</v>
      </c>
      <c r="D5" s="242">
        <f>C5/C$26</f>
        <v>8.9280877448688623E-2</v>
      </c>
      <c r="E5" s="242">
        <f>D5+E4</f>
        <v>0.7870897585183354</v>
      </c>
      <c r="F5" s="243" t="str">
        <f t="shared" si="0"/>
        <v>A</v>
      </c>
      <c r="G5" s="243" t="str">
        <f>VLOOKUP(B$4:B$25,I$4:M$25,5,0)</f>
        <v>B</v>
      </c>
      <c r="I5" s="240" t="s">
        <v>44</v>
      </c>
      <c r="J5" s="241">
        <f>'Юнит 26.01-01.02'!R9</f>
        <v>5</v>
      </c>
      <c r="K5" s="242">
        <f>J5/J$26</f>
        <v>6.5789473684210523E-2</v>
      </c>
      <c r="L5" s="242">
        <f>K5+L4</f>
        <v>0.75</v>
      </c>
      <c r="M5" s="243" t="str">
        <f t="shared" si="1"/>
        <v>A</v>
      </c>
    </row>
    <row r="6" spans="2:17" ht="28.5" customHeight="1" outlineLevel="1" thickBot="1">
      <c r="B6" s="240" t="s">
        <v>43</v>
      </c>
      <c r="C6" s="241">
        <f>'Юнит 26.01-01.02'!AE8</f>
        <v>1098.3400000000006</v>
      </c>
      <c r="D6" s="242">
        <f>C6/C$26</f>
        <v>4.9500135756828663E-2</v>
      </c>
      <c r="E6" s="242">
        <f t="shared" ref="E6:E25" si="2">D6+E5</f>
        <v>0.83658989427516406</v>
      </c>
      <c r="F6" s="243" t="str">
        <f t="shared" si="0"/>
        <v>B</v>
      </c>
      <c r="G6" s="243" t="str">
        <f>VLOOKUP(B$4:B$25,I$4:M$25,5,0)</f>
        <v>B</v>
      </c>
      <c r="I6" s="240" t="s">
        <v>42</v>
      </c>
      <c r="J6" s="241">
        <f>'Юнит 26.01-01.02'!R7</f>
        <v>4</v>
      </c>
      <c r="K6" s="242">
        <f>J6/J$26</f>
        <v>5.2631578947368418E-2</v>
      </c>
      <c r="L6" s="242">
        <f t="shared" ref="L6:L25" si="3">K6+L5</f>
        <v>0.80263157894736836</v>
      </c>
      <c r="M6" s="243" t="str">
        <f t="shared" si="1"/>
        <v>B</v>
      </c>
    </row>
    <row r="7" spans="2:17" ht="28.5" customHeight="1" outlineLevel="1" thickBot="1">
      <c r="B7" s="240" t="s">
        <v>48</v>
      </c>
      <c r="C7" s="241">
        <f>'Юнит 26.01-01.02'!AE13</f>
        <v>951.35999999999979</v>
      </c>
      <c r="D7" s="242">
        <f>C7/C$26</f>
        <v>4.2876021226229112E-2</v>
      </c>
      <c r="E7" s="242">
        <f t="shared" si="2"/>
        <v>0.87946591550139319</v>
      </c>
      <c r="F7" s="243" t="str">
        <f t="shared" si="0"/>
        <v>B</v>
      </c>
      <c r="G7" s="243" t="str">
        <f>VLOOKUP(B$4:B$25,I$4:M$25,5,0)</f>
        <v>B</v>
      </c>
      <c r="I7" s="240" t="s">
        <v>41</v>
      </c>
      <c r="J7" s="241">
        <f>'Юнит 26.01-01.02'!R6</f>
        <v>3</v>
      </c>
      <c r="K7" s="242">
        <f>J7/J$26</f>
        <v>3.9473684210526314E-2</v>
      </c>
      <c r="L7" s="242">
        <f t="shared" si="3"/>
        <v>0.84210526315789469</v>
      </c>
      <c r="M7" s="243" t="str">
        <f t="shared" si="1"/>
        <v>B</v>
      </c>
    </row>
    <row r="8" spans="2:17" ht="28.5" customHeight="1" outlineLevel="1" thickBot="1">
      <c r="B8" s="240" t="s">
        <v>41</v>
      </c>
      <c r="C8" s="241">
        <f>'Юнит 26.01-01.02'!AE6</f>
        <v>762.92999999999961</v>
      </c>
      <c r="D8" s="242">
        <f>C8/C$26</f>
        <v>3.4383832486258585E-2</v>
      </c>
      <c r="E8" s="242">
        <f t="shared" si="2"/>
        <v>0.91384974798765173</v>
      </c>
      <c r="F8" s="243" t="str">
        <f t="shared" si="0"/>
        <v>B</v>
      </c>
      <c r="G8" s="243" t="str">
        <f>VLOOKUP(B$4:B$25,I$4:M$25,5,0)</f>
        <v>B</v>
      </c>
      <c r="I8" s="240" t="s">
        <v>48</v>
      </c>
      <c r="J8" s="241">
        <f>'Юнит 26.01-01.02'!R13</f>
        <v>3</v>
      </c>
      <c r="K8" s="242">
        <f>J8/J$26</f>
        <v>3.9473684210526314E-2</v>
      </c>
      <c r="L8" s="242">
        <f t="shared" si="3"/>
        <v>0.88157894736842102</v>
      </c>
      <c r="M8" s="243" t="str">
        <f t="shared" si="1"/>
        <v>B</v>
      </c>
    </row>
    <row r="9" spans="2:17" ht="28.5" customHeight="1" outlineLevel="1" thickBot="1">
      <c r="B9" s="240" t="s">
        <v>49</v>
      </c>
      <c r="C9" s="241">
        <f>'Юнит 26.01-01.02'!AE14</f>
        <v>727.94999999999982</v>
      </c>
      <c r="D9" s="242">
        <f t="shared" ref="D9:D25" si="4">C9/C$26</f>
        <v>3.2807349112463711E-2</v>
      </c>
      <c r="E9" s="242">
        <f t="shared" si="2"/>
        <v>0.94665709710011547</v>
      </c>
      <c r="F9" s="243" t="str">
        <f t="shared" si="0"/>
        <v>B</v>
      </c>
      <c r="G9" s="243" t="str">
        <f t="shared" ref="G9:G25" si="5">VLOOKUP(B$4:B$25,I$4:M$25,5,0)</f>
        <v>B</v>
      </c>
      <c r="I9" s="240" t="s">
        <v>49</v>
      </c>
      <c r="J9" s="241">
        <f>'Юнит 26.01-01.02'!R14</f>
        <v>3</v>
      </c>
      <c r="K9" s="242">
        <f t="shared" ref="K9:K25" si="6">J9/J$26</f>
        <v>3.9473684210526314E-2</v>
      </c>
      <c r="L9" s="242">
        <f t="shared" si="3"/>
        <v>0.92105263157894735</v>
      </c>
      <c r="M9" s="243" t="str">
        <f t="shared" si="1"/>
        <v>B</v>
      </c>
    </row>
    <row r="10" spans="2:17" ht="28.5" customHeight="1" outlineLevel="1" thickBot="1">
      <c r="B10" s="240" t="s">
        <v>53</v>
      </c>
      <c r="C10" s="241">
        <f>'Юнит 26.01-01.02'!AE18</f>
        <v>684.91999999999985</v>
      </c>
      <c r="D10" s="242">
        <f t="shared" si="4"/>
        <v>3.0868067249273504E-2</v>
      </c>
      <c r="E10" s="242">
        <f t="shared" si="2"/>
        <v>0.97752516434938896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26.01-01.02'!R8</f>
        <v>2</v>
      </c>
      <c r="K10" s="242">
        <f t="shared" si="6"/>
        <v>2.6315789473684209E-2</v>
      </c>
      <c r="L10" s="242">
        <f t="shared" si="3"/>
        <v>0.94736842105263153</v>
      </c>
      <c r="M10" s="243" t="str">
        <f t="shared" si="1"/>
        <v>B</v>
      </c>
    </row>
    <row r="11" spans="2:17" ht="28.5" customHeight="1" outlineLevel="1" thickBot="1">
      <c r="B11" s="240" t="s">
        <v>45</v>
      </c>
      <c r="C11" s="241">
        <f>'Юнит 26.01-01.02'!AE10</f>
        <v>556.66000000000008</v>
      </c>
      <c r="D11" s="242">
        <f t="shared" si="4"/>
        <v>2.508762821202563E-2</v>
      </c>
      <c r="E11" s="242">
        <f>D11+E8</f>
        <v>0.93893737619967732</v>
      </c>
      <c r="F11" s="243" t="str">
        <f t="shared" si="0"/>
        <v>B</v>
      </c>
      <c r="G11" s="243" t="str">
        <f t="shared" si="5"/>
        <v>B</v>
      </c>
      <c r="I11" s="240" t="s">
        <v>39</v>
      </c>
      <c r="J11" s="241">
        <f>'Юнит 26.01-01.02'!R4</f>
        <v>1</v>
      </c>
      <c r="K11" s="242">
        <f t="shared" si="6"/>
        <v>1.3157894736842105E-2</v>
      </c>
      <c r="L11" s="242">
        <f>K11+L8</f>
        <v>0.89473684210526316</v>
      </c>
      <c r="M11" s="243" t="str">
        <f t="shared" si="1"/>
        <v>B</v>
      </c>
    </row>
    <row r="12" spans="2:17" ht="28.5" customHeight="1" outlineLevel="1" thickBot="1">
      <c r="B12" s="240" t="s">
        <v>47</v>
      </c>
      <c r="C12" s="241">
        <f>'Юнит 26.01-01.02'!AE12</f>
        <v>428.41000000000008</v>
      </c>
      <c r="D12" s="242">
        <f>C12/C$26</f>
        <v>1.9307639856131032E-2</v>
      </c>
      <c r="E12" s="242">
        <f t="shared" si="2"/>
        <v>0.95824501605580836</v>
      </c>
      <c r="F12" s="243" t="str">
        <f t="shared" si="0"/>
        <v>C</v>
      </c>
      <c r="G12" s="243" t="str">
        <f t="shared" si="5"/>
        <v>B</v>
      </c>
      <c r="I12" s="240" t="s">
        <v>45</v>
      </c>
      <c r="J12" s="241">
        <f>'Юнит 26.01-01.02'!R10</f>
        <v>1</v>
      </c>
      <c r="K12" s="242">
        <f t="shared" si="6"/>
        <v>1.3157894736842105E-2</v>
      </c>
      <c r="L12" s="242">
        <f t="shared" si="3"/>
        <v>0.90789473684210531</v>
      </c>
      <c r="M12" s="243" t="str">
        <f t="shared" si="1"/>
        <v>B</v>
      </c>
    </row>
    <row r="13" spans="2:17" ht="15" outlineLevel="1" thickBot="1">
      <c r="B13" s="240" t="s">
        <v>44</v>
      </c>
      <c r="C13" s="241">
        <f>'Юнит 26.01-01.02'!AE9</f>
        <v>292.20370799999796</v>
      </c>
      <c r="D13" s="242">
        <f t="shared" si="4"/>
        <v>1.316907625566638E-2</v>
      </c>
      <c r="E13" s="242">
        <f t="shared" si="2"/>
        <v>0.9714140923114748</v>
      </c>
      <c r="F13" s="243" t="str">
        <f>IF(AND(E13&lt;=0),"C",IF(E13&lt;=0.8,"A",IF(E13&lt;=0.95,"B","C")))</f>
        <v>C</v>
      </c>
      <c r="G13" s="243" t="str">
        <f t="shared" si="5"/>
        <v>A</v>
      </c>
      <c r="I13" s="240" t="s">
        <v>47</v>
      </c>
      <c r="J13" s="241">
        <f>'Юнит 26.01-01.02'!R12</f>
        <v>1</v>
      </c>
      <c r="K13" s="242">
        <f t="shared" si="6"/>
        <v>1.3157894736842105E-2</v>
      </c>
      <c r="L13" s="242">
        <f t="shared" si="3"/>
        <v>0.92105263157894746</v>
      </c>
      <c r="M13" s="243" t="str">
        <f>_xlfn.IFS(L13&lt;80%,"A",L13&lt;=95%,"B",L13&gt;95%,"C")</f>
        <v>B</v>
      </c>
      <c r="P13" s="244" t="s">
        <v>332</v>
      </c>
      <c r="Q13" s="245">
        <v>0.8</v>
      </c>
    </row>
    <row r="14" spans="2:17" ht="15" outlineLevel="1" thickBot="1">
      <c r="B14" s="240" t="s">
        <v>39</v>
      </c>
      <c r="C14" s="241">
        <f>'Юнит 26.01-01.02'!AE4</f>
        <v>156.78201500000014</v>
      </c>
      <c r="D14" s="242">
        <f t="shared" si="4"/>
        <v>7.0658730691126161E-3</v>
      </c>
      <c r="E14" s="242">
        <f t="shared" si="2"/>
        <v>0.97847996538058746</v>
      </c>
      <c r="F14" s="243" t="str">
        <f t="shared" ref="F14:F25" si="7">IF(AND(E14&lt;=0),"C",IF(E14&lt;=0.8,"A",IF(E14&lt;=0.95,"B","C")))</f>
        <v>C</v>
      </c>
      <c r="G14" s="243" t="str">
        <f t="shared" si="5"/>
        <v>B</v>
      </c>
      <c r="I14" s="240" t="s">
        <v>53</v>
      </c>
      <c r="J14" s="241">
        <f>'Юнит 26.01-01.02'!R18</f>
        <v>1</v>
      </c>
      <c r="K14" s="242">
        <f t="shared" si="6"/>
        <v>1.3157894736842105E-2</v>
      </c>
      <c r="L14" s="242">
        <f t="shared" si="3"/>
        <v>0.9342105263157896</v>
      </c>
      <c r="M14" s="243" t="str">
        <f t="shared" ref="M14:M25" si="8">_xlfn.IFS(L14&lt;80%,"A",L14&lt;=95%,"B",L14&gt;95%,"C")</f>
        <v>B</v>
      </c>
      <c r="P14" s="246" t="s">
        <v>333</v>
      </c>
      <c r="Q14" s="245">
        <v>0.15</v>
      </c>
    </row>
    <row r="15" spans="2:17" ht="15" outlineLevel="1" thickBot="1">
      <c r="B15" s="240" t="s">
        <v>46</v>
      </c>
      <c r="C15" s="241">
        <f>'Юнит 26.01-01.02'!AE11</f>
        <v>0</v>
      </c>
      <c r="D15" s="242">
        <f t="shared" si="4"/>
        <v>0</v>
      </c>
      <c r="E15" s="242">
        <f t="shared" si="2"/>
        <v>0.97847996538058746</v>
      </c>
      <c r="F15" s="243" t="str">
        <f t="shared" si="7"/>
        <v>C</v>
      </c>
      <c r="G15" s="243" t="str">
        <f t="shared" si="5"/>
        <v>B</v>
      </c>
      <c r="I15" s="240" t="s">
        <v>40</v>
      </c>
      <c r="J15" s="241">
        <f>'Юнит 26.01-01.02'!R5</f>
        <v>0</v>
      </c>
      <c r="K15" s="242">
        <f t="shared" si="6"/>
        <v>0</v>
      </c>
      <c r="L15" s="242">
        <f t="shared" si="3"/>
        <v>0.9342105263157896</v>
      </c>
      <c r="M15" s="243" t="str">
        <f t="shared" si="8"/>
        <v>B</v>
      </c>
      <c r="P15" s="247" t="s">
        <v>334</v>
      </c>
      <c r="Q15" s="245">
        <v>0.05</v>
      </c>
    </row>
    <row r="16" spans="2:17" ht="15" outlineLevel="1" thickBot="1">
      <c r="B16" s="240" t="s">
        <v>52</v>
      </c>
      <c r="C16" s="241">
        <f>'Юнит 26.01-01.02'!AE17</f>
        <v>0</v>
      </c>
      <c r="D16" s="242">
        <f t="shared" si="4"/>
        <v>0</v>
      </c>
      <c r="E16" s="242">
        <f t="shared" si="2"/>
        <v>0.97847996538058746</v>
      </c>
      <c r="F16" s="243" t="str">
        <f t="shared" si="7"/>
        <v>C</v>
      </c>
      <c r="G16" s="243" t="str">
        <f t="shared" si="5"/>
        <v>B</v>
      </c>
      <c r="I16" s="240" t="s">
        <v>46</v>
      </c>
      <c r="J16" s="241">
        <f>'Юнит 26.01-01.02'!R11</f>
        <v>0</v>
      </c>
      <c r="K16" s="242">
        <f t="shared" si="6"/>
        <v>0</v>
      </c>
      <c r="L16" s="242">
        <f t="shared" si="3"/>
        <v>0.9342105263157896</v>
      </c>
      <c r="M16" s="243" t="str">
        <f t="shared" si="8"/>
        <v>B</v>
      </c>
      <c r="P16" s="248"/>
      <c r="Q16" s="242"/>
    </row>
    <row r="17" spans="2:17" ht="26.5" outlineLevel="1" thickBot="1">
      <c r="B17" s="240" t="s">
        <v>54</v>
      </c>
      <c r="C17" s="241">
        <f>'Юнит 26.01-01.02'!AE19</f>
        <v>0</v>
      </c>
      <c r="D17" s="242">
        <f t="shared" si="4"/>
        <v>0</v>
      </c>
      <c r="E17" s="242">
        <f t="shared" si="2"/>
        <v>0.97847996538058746</v>
      </c>
      <c r="F17" s="243" t="str">
        <f t="shared" si="7"/>
        <v>C</v>
      </c>
      <c r="G17" s="243" t="str">
        <f t="shared" si="5"/>
        <v>B</v>
      </c>
      <c r="I17" s="240" t="s">
        <v>50</v>
      </c>
      <c r="J17" s="241">
        <f>'Юнит 26.01-01.02'!R15</f>
        <v>0</v>
      </c>
      <c r="K17" s="242">
        <f t="shared" si="6"/>
        <v>0</v>
      </c>
      <c r="L17" s="242">
        <f t="shared" si="3"/>
        <v>0.9342105263157896</v>
      </c>
      <c r="M17" s="243" t="str">
        <f t="shared" si="8"/>
        <v>B</v>
      </c>
      <c r="P17" s="248"/>
      <c r="Q17" s="242"/>
    </row>
    <row r="18" spans="2:17" ht="15" outlineLevel="1" thickBot="1">
      <c r="B18" s="240" t="s">
        <v>55</v>
      </c>
      <c r="C18" s="241">
        <f>'Юнит 26.01-01.02'!AE20</f>
        <v>0</v>
      </c>
      <c r="D18" s="242">
        <f t="shared" si="4"/>
        <v>0</v>
      </c>
      <c r="E18" s="242">
        <f t="shared" si="2"/>
        <v>0.97847996538058746</v>
      </c>
      <c r="F18" s="243" t="str">
        <f t="shared" si="7"/>
        <v>C</v>
      </c>
      <c r="G18" s="243" t="str">
        <f t="shared" si="5"/>
        <v>B</v>
      </c>
      <c r="I18" s="240" t="s">
        <v>51</v>
      </c>
      <c r="J18" s="241">
        <f>'Юнит 26.01-01.02'!R16</f>
        <v>0</v>
      </c>
      <c r="K18" s="242">
        <f t="shared" si="6"/>
        <v>0</v>
      </c>
      <c r="L18" s="242">
        <f t="shared" si="3"/>
        <v>0.9342105263157896</v>
      </c>
      <c r="M18" s="243" t="str">
        <f t="shared" si="8"/>
        <v>B</v>
      </c>
      <c r="P18" s="248"/>
      <c r="Q18" s="242"/>
    </row>
    <row r="19" spans="2:17" ht="15" outlineLevel="1" thickBot="1">
      <c r="B19" s="240" t="s">
        <v>56</v>
      </c>
      <c r="C19" s="241">
        <f>'Юнит 26.01-01.02'!AE21</f>
        <v>0</v>
      </c>
      <c r="D19" s="242">
        <f t="shared" si="4"/>
        <v>0</v>
      </c>
      <c r="E19" s="242">
        <f t="shared" si="2"/>
        <v>0.97847996538058746</v>
      </c>
      <c r="F19" s="243" t="str">
        <f t="shared" si="7"/>
        <v>C</v>
      </c>
      <c r="G19" s="243" t="str">
        <f t="shared" si="5"/>
        <v>B</v>
      </c>
      <c r="I19" s="240" t="s">
        <v>52</v>
      </c>
      <c r="J19" s="241">
        <f>'Юнит 26.01-01.02'!R17</f>
        <v>0</v>
      </c>
      <c r="K19" s="242">
        <f t="shared" si="6"/>
        <v>0</v>
      </c>
      <c r="L19" s="242">
        <f t="shared" si="3"/>
        <v>0.9342105263157896</v>
      </c>
      <c r="M19" s="243" t="str">
        <f t="shared" si="8"/>
        <v>B</v>
      </c>
      <c r="P19" s="248"/>
      <c r="Q19" s="242"/>
    </row>
    <row r="20" spans="2:17" ht="15" outlineLevel="1" thickBot="1">
      <c r="B20" s="240" t="s">
        <v>57</v>
      </c>
      <c r="C20" s="241">
        <f>'Юнит 26.01-01.02'!AE22</f>
        <v>0</v>
      </c>
      <c r="D20" s="242">
        <f t="shared" si="4"/>
        <v>0</v>
      </c>
      <c r="E20" s="242">
        <f t="shared" si="2"/>
        <v>0.97847996538058746</v>
      </c>
      <c r="F20" s="243" t="str">
        <f t="shared" si="7"/>
        <v>C</v>
      </c>
      <c r="G20" s="243" t="str">
        <f t="shared" si="5"/>
        <v>B</v>
      </c>
      <c r="I20" s="240" t="s">
        <v>54</v>
      </c>
      <c r="J20" s="241">
        <f>'Юнит 26.01-01.02'!R19</f>
        <v>0</v>
      </c>
      <c r="K20" s="242">
        <f t="shared" si="6"/>
        <v>0</v>
      </c>
      <c r="L20" s="242">
        <f t="shared" si="3"/>
        <v>0.9342105263157896</v>
      </c>
      <c r="M20" s="243" t="str">
        <f t="shared" si="8"/>
        <v>B</v>
      </c>
      <c r="P20" s="248"/>
      <c r="Q20" s="242"/>
    </row>
    <row r="21" spans="2:17" ht="15" outlineLevel="1" thickBot="1">
      <c r="B21" s="240" t="s">
        <v>58</v>
      </c>
      <c r="C21" s="241">
        <f>'Юнит 26.01-01.02'!AE23</f>
        <v>0</v>
      </c>
      <c r="D21" s="242">
        <f t="shared" si="4"/>
        <v>0</v>
      </c>
      <c r="E21" s="242">
        <f t="shared" si="2"/>
        <v>0.97847996538058746</v>
      </c>
      <c r="F21" s="243" t="str">
        <f t="shared" si="7"/>
        <v>C</v>
      </c>
      <c r="G21" s="243" t="str">
        <f t="shared" si="5"/>
        <v>B</v>
      </c>
      <c r="I21" s="240" t="s">
        <v>55</v>
      </c>
      <c r="J21" s="241">
        <f>'Юнит 26.01-01.02'!R20</f>
        <v>0</v>
      </c>
      <c r="K21" s="242">
        <f t="shared" si="6"/>
        <v>0</v>
      </c>
      <c r="L21" s="242">
        <f t="shared" si="3"/>
        <v>0.9342105263157896</v>
      </c>
      <c r="M21" s="243" t="str">
        <f t="shared" si="8"/>
        <v>B</v>
      </c>
      <c r="P21" s="248"/>
      <c r="Q21" s="242"/>
    </row>
    <row r="22" spans="2:17" ht="15" outlineLevel="1" thickBot="1">
      <c r="B22" s="240" t="s">
        <v>59</v>
      </c>
      <c r="C22" s="241">
        <f>'Юнит 26.01-01.02'!AE24</f>
        <v>0</v>
      </c>
      <c r="D22" s="242">
        <f t="shared" si="4"/>
        <v>0</v>
      </c>
      <c r="E22" s="242">
        <f t="shared" si="2"/>
        <v>0.97847996538058746</v>
      </c>
      <c r="F22" s="243" t="str">
        <f t="shared" si="7"/>
        <v>C</v>
      </c>
      <c r="G22" s="243" t="str">
        <f t="shared" si="5"/>
        <v>B</v>
      </c>
      <c r="I22" s="240" t="s">
        <v>56</v>
      </c>
      <c r="J22" s="241">
        <f>'Юнит 26.01-01.02'!R21</f>
        <v>0</v>
      </c>
      <c r="K22" s="242">
        <f t="shared" si="6"/>
        <v>0</v>
      </c>
      <c r="L22" s="242">
        <f t="shared" si="3"/>
        <v>0.9342105263157896</v>
      </c>
      <c r="M22" s="243" t="str">
        <f t="shared" si="8"/>
        <v>B</v>
      </c>
      <c r="P22" s="248"/>
      <c r="Q22" s="242"/>
    </row>
    <row r="23" spans="2:17" ht="15" outlineLevel="1" thickBot="1">
      <c r="B23" s="240" t="s">
        <v>51</v>
      </c>
      <c r="C23" s="241">
        <f>'Юнит 26.01-01.02'!AE16</f>
        <v>-93.54</v>
      </c>
      <c r="D23" s="242">
        <f t="shared" si="4"/>
        <v>-4.2156733786384458E-3</v>
      </c>
      <c r="E23" s="242">
        <f t="shared" si="2"/>
        <v>0.97426429200194897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26.01-01.02'!R22</f>
        <v>0</v>
      </c>
      <c r="K23" s="242">
        <f t="shared" si="6"/>
        <v>0</v>
      </c>
      <c r="L23" s="242">
        <f t="shared" si="3"/>
        <v>0.9342105263157896</v>
      </c>
      <c r="M23" s="243" t="str">
        <f t="shared" si="8"/>
        <v>B</v>
      </c>
      <c r="P23" s="248"/>
      <c r="Q23" s="242"/>
    </row>
    <row r="24" spans="2:17" ht="15" outlineLevel="1" thickBot="1">
      <c r="B24" s="240" t="s">
        <v>40</v>
      </c>
      <c r="C24" s="241">
        <f>'Юнит 26.01-01.02'!AE5</f>
        <v>-141.32</v>
      </c>
      <c r="D24" s="242">
        <f t="shared" si="4"/>
        <v>-6.369028884639567E-3</v>
      </c>
      <c r="E24" s="242">
        <f t="shared" si="2"/>
        <v>0.96789526311730945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26.01-01.02'!R23</f>
        <v>0</v>
      </c>
      <c r="K24" s="242">
        <f t="shared" si="6"/>
        <v>0</v>
      </c>
      <c r="L24" s="242">
        <f t="shared" si="3"/>
        <v>0.9342105263157896</v>
      </c>
      <c r="M24" s="243" t="str">
        <f t="shared" si="8"/>
        <v>B</v>
      </c>
      <c r="P24" s="248"/>
      <c r="Q24" s="242"/>
    </row>
    <row r="25" spans="2:17" ht="26.5" outlineLevel="1" thickBot="1">
      <c r="B25" s="240" t="s">
        <v>50</v>
      </c>
      <c r="C25" s="241">
        <f>'Юнит 26.01-01.02'!AE15</f>
        <v>-700.51</v>
      </c>
      <c r="D25" s="242">
        <f t="shared" si="4"/>
        <v>-3.1570679479046584E-2</v>
      </c>
      <c r="E25" s="242">
        <f t="shared" si="2"/>
        <v>0.93632458363826288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26.01-01.02'!R24</f>
        <v>0</v>
      </c>
      <c r="K25" s="242">
        <f t="shared" si="6"/>
        <v>0</v>
      </c>
      <c r="L25" s="242">
        <f t="shared" si="3"/>
        <v>0.9342105263157896</v>
      </c>
      <c r="M25" s="243" t="str">
        <f t="shared" si="8"/>
        <v>B</v>
      </c>
      <c r="P25" s="248"/>
      <c r="Q25" s="242"/>
    </row>
    <row r="26" spans="2:17" outlineLevel="1">
      <c r="C26" s="249">
        <f>SUM(C4:C25)</f>
        <v>22188.626015000009</v>
      </c>
      <c r="D26" s="250">
        <f>SUM(D4:D25)</f>
        <v>0.99999999999999989</v>
      </c>
      <c r="J26" s="249">
        <f>SUM(J4:J25)</f>
        <v>76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26.01-01.02'!AE45</f>
        <v>7813.189999999996</v>
      </c>
      <c r="D30" s="242">
        <f>C30/C$50</f>
        <v>0.70841511525371215</v>
      </c>
      <c r="E30" s="242">
        <f>D30</f>
        <v>0.70841511525371215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B</v>
      </c>
      <c r="I30" s="240" t="s">
        <v>77</v>
      </c>
      <c r="J30" s="241">
        <f>'Юнит 26.01-01.02'!R44</f>
        <v>9</v>
      </c>
      <c r="K30" s="242">
        <f>J30/J$50</f>
        <v>0.42857142857142855</v>
      </c>
      <c r="L30" s="242">
        <f>K30</f>
        <v>0.42857142857142855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26.01-01.02'!AE44</f>
        <v>4264.5832489999984</v>
      </c>
      <c r="D31" s="242">
        <f t="shared" ref="D31:D49" si="11">C31/C$50</f>
        <v>0.38666603958810497</v>
      </c>
      <c r="E31" s="242">
        <f>D31+E30</f>
        <v>1.0950811548418171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78</v>
      </c>
      <c r="J31" s="241">
        <f>'Юнит 26.01-01.02'!R45</f>
        <v>8</v>
      </c>
      <c r="K31" s="242">
        <f t="shared" ref="K31:K49" si="13">J31/J$50</f>
        <v>0.38095238095238093</v>
      </c>
      <c r="L31" s="242">
        <f>K31+L30</f>
        <v>0.80952380952380953</v>
      </c>
      <c r="M31" s="243" t="str">
        <f t="shared" si="10"/>
        <v>B</v>
      </c>
    </row>
    <row r="32" spans="2:17" ht="15" thickBot="1">
      <c r="B32" s="240" t="s">
        <v>68</v>
      </c>
      <c r="C32" s="241">
        <f>'Юнит 26.01-01.02'!AE35</f>
        <v>2359.1800000000003</v>
      </c>
      <c r="D32" s="242">
        <f t="shared" si="11"/>
        <v>0.21390479069423038</v>
      </c>
      <c r="E32" s="242">
        <f t="shared" ref="E32:E49" si="14">D32+E31</f>
        <v>1.3089859455360475</v>
      </c>
      <c r="F32" s="243" t="str">
        <f t="shared" si="9"/>
        <v>C</v>
      </c>
      <c r="G32" s="243" t="str">
        <f t="shared" si="12"/>
        <v>B</v>
      </c>
      <c r="I32" s="240" t="s">
        <v>68</v>
      </c>
      <c r="J32" s="241">
        <f>'Юнит 26.01-01.02'!R35</f>
        <v>2</v>
      </c>
      <c r="K32" s="242">
        <f t="shared" si="13"/>
        <v>9.5238095238095233E-2</v>
      </c>
      <c r="L32" s="242">
        <f t="shared" ref="L32:L49" si="15">K32+L31</f>
        <v>0.90476190476190477</v>
      </c>
      <c r="M32" s="243" t="str">
        <f t="shared" si="10"/>
        <v>B</v>
      </c>
    </row>
    <row r="33" spans="2:13" ht="15" thickBot="1">
      <c r="B33" s="240" t="s">
        <v>70</v>
      </c>
      <c r="C33" s="241">
        <f>'Юнит 26.01-01.02'!AE37</f>
        <v>1447.0900000000001</v>
      </c>
      <c r="D33" s="242">
        <f t="shared" si="11"/>
        <v>0.13120638678087887</v>
      </c>
      <c r="E33" s="242">
        <f t="shared" si="14"/>
        <v>1.4401923323169263</v>
      </c>
      <c r="F33" s="243" t="str">
        <f t="shared" si="9"/>
        <v>C</v>
      </c>
      <c r="G33" s="243" t="str">
        <f t="shared" si="12"/>
        <v>C</v>
      </c>
      <c r="I33" s="240" t="s">
        <v>70</v>
      </c>
      <c r="J33" s="241">
        <f>'Юнит 26.01-01.02'!R37</f>
        <v>1</v>
      </c>
      <c r="K33" s="242">
        <f t="shared" si="13"/>
        <v>4.7619047619047616E-2</v>
      </c>
      <c r="L33" s="242">
        <f t="shared" si="15"/>
        <v>0.95238095238095233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26.01-01.02'!AE31</f>
        <v>0</v>
      </c>
      <c r="D34" s="242">
        <f t="shared" si="11"/>
        <v>0</v>
      </c>
      <c r="E34" s="242">
        <f t="shared" si="14"/>
        <v>1.4401923323169263</v>
      </c>
      <c r="F34" s="243" t="str">
        <f t="shared" si="9"/>
        <v>C</v>
      </c>
      <c r="G34" s="243" t="str">
        <f t="shared" si="12"/>
        <v>C</v>
      </c>
      <c r="I34" s="240" t="s">
        <v>79</v>
      </c>
      <c r="J34" s="241">
        <f>'Юнит 26.01-01.02'!R46</f>
        <v>1</v>
      </c>
      <c r="K34" s="242">
        <f t="shared" si="13"/>
        <v>4.7619047619047616E-2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65</v>
      </c>
      <c r="C35" s="241">
        <f>'Юнит 26.01-01.02'!AE32</f>
        <v>0</v>
      </c>
      <c r="D35" s="242">
        <f t="shared" si="11"/>
        <v>0</v>
      </c>
      <c r="E35" s="242">
        <f t="shared" si="14"/>
        <v>1.4401923323169263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26.01-01.02'!R28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26.5" thickBot="1">
      <c r="B36" s="240" t="s">
        <v>66</v>
      </c>
      <c r="C36" s="241">
        <f>'Юнит 26.01-01.02'!AE33</f>
        <v>0</v>
      </c>
      <c r="D36" s="242">
        <f t="shared" si="11"/>
        <v>0</v>
      </c>
      <c r="E36" s="242">
        <f t="shared" si="14"/>
        <v>1.4401923323169263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26.01-01.02'!R29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26.5" thickBot="1">
      <c r="B37" s="240" t="s">
        <v>74</v>
      </c>
      <c r="C37" s="241">
        <f>'Юнит 26.01-01.02'!AE41</f>
        <v>0</v>
      </c>
      <c r="D37" s="242">
        <f t="shared" si="11"/>
        <v>0</v>
      </c>
      <c r="E37" s="242">
        <f t="shared" si="14"/>
        <v>1.4401923323169263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26.01-01.02'!R30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26.5" thickBot="1">
      <c r="B38" s="240" t="s">
        <v>75</v>
      </c>
      <c r="C38" s="241">
        <f>'Юнит 26.01-01.02'!AE42</f>
        <v>0</v>
      </c>
      <c r="D38" s="242">
        <f t="shared" si="11"/>
        <v>0</v>
      </c>
      <c r="E38" s="242">
        <f t="shared" si="14"/>
        <v>1.4401923323169263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64</v>
      </c>
      <c r="J38" s="241">
        <f>'Юнит 26.01-01.02'!R31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80</v>
      </c>
      <c r="C39" s="241">
        <f>'Юнит 26.01-01.02'!AE47</f>
        <v>0</v>
      </c>
      <c r="D39" s="242">
        <f t="shared" si="11"/>
        <v>0</v>
      </c>
      <c r="E39" s="242">
        <f t="shared" si="14"/>
        <v>1.4401923323169263</v>
      </c>
      <c r="F39" s="243" t="str">
        <f t="shared" si="16"/>
        <v>C</v>
      </c>
      <c r="G39" s="243" t="str">
        <f t="shared" si="12"/>
        <v>C</v>
      </c>
      <c r="I39" s="240" t="s">
        <v>65</v>
      </c>
      <c r="J39" s="241">
        <f>'Юнит 26.01-01.02'!R32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26.5" thickBot="1">
      <c r="B40" s="240" t="s">
        <v>62</v>
      </c>
      <c r="C40" s="241">
        <f>'Юнит 26.01-01.02'!AE29</f>
        <v>-113.88</v>
      </c>
      <c r="D40" s="242">
        <f t="shared" si="11"/>
        <v>-1.0325400166269191E-2</v>
      </c>
      <c r="E40" s="242">
        <f t="shared" si="14"/>
        <v>1.4298669321506572</v>
      </c>
      <c r="F40" s="243" t="str">
        <f t="shared" si="16"/>
        <v>C</v>
      </c>
      <c r="G40" s="243" t="str">
        <f t="shared" si="12"/>
        <v>C</v>
      </c>
      <c r="I40" s="240" t="s">
        <v>66</v>
      </c>
      <c r="J40" s="241">
        <f>'Юнит 26.01-01.02'!R33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63</v>
      </c>
      <c r="C41" s="241">
        <f>'Юнит 26.01-01.02'!AE30</f>
        <v>-113.88</v>
      </c>
      <c r="D41" s="242">
        <f t="shared" si="11"/>
        <v>-1.0325400166269191E-2</v>
      </c>
      <c r="E41" s="242">
        <f t="shared" si="14"/>
        <v>1.419541531984388</v>
      </c>
      <c r="F41" s="243" t="str">
        <f t="shared" si="16"/>
        <v>C</v>
      </c>
      <c r="G41" s="243" t="str">
        <f t="shared" si="12"/>
        <v>C</v>
      </c>
      <c r="I41" s="240" t="s">
        <v>67</v>
      </c>
      <c r="J41" s="241">
        <f>'Юнит 26.01-01.02'!R34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15" thickBot="1">
      <c r="B42" s="240" t="s">
        <v>67</v>
      </c>
      <c r="C42" s="241">
        <f>'Юнит 26.01-01.02'!AE34</f>
        <v>-113.88</v>
      </c>
      <c r="D42" s="242">
        <f t="shared" si="11"/>
        <v>-1.0325400166269191E-2</v>
      </c>
      <c r="E42" s="242">
        <f t="shared" si="14"/>
        <v>1.4092161318181189</v>
      </c>
      <c r="F42" s="243" t="str">
        <f t="shared" si="16"/>
        <v>C</v>
      </c>
      <c r="G42" s="243" t="str">
        <f t="shared" si="12"/>
        <v>C</v>
      </c>
      <c r="I42" s="240" t="s">
        <v>69</v>
      </c>
      <c r="J42" s="241">
        <f>'Юнит 26.01-01.02'!R36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15" thickBot="1">
      <c r="B43" s="240" t="s">
        <v>69</v>
      </c>
      <c r="C43" s="241">
        <f>'Юнит 26.01-01.02'!AE36</f>
        <v>-113.88</v>
      </c>
      <c r="D43" s="242">
        <f t="shared" si="11"/>
        <v>-1.0325400166269191E-2</v>
      </c>
      <c r="E43" s="242">
        <f t="shared" si="14"/>
        <v>1.3988907316518497</v>
      </c>
      <c r="F43" s="243" t="str">
        <f t="shared" si="16"/>
        <v>C</v>
      </c>
      <c r="G43" s="243" t="str">
        <f t="shared" si="12"/>
        <v>C</v>
      </c>
      <c r="I43" s="240" t="s">
        <v>71</v>
      </c>
      <c r="J43" s="241">
        <f>'Юнит 26.01-01.02'!R38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72</v>
      </c>
      <c r="C44" s="241">
        <f>'Юнит 26.01-01.02'!AE39</f>
        <v>-113.88</v>
      </c>
      <c r="D44" s="242">
        <f t="shared" si="11"/>
        <v>-1.0325400166269191E-2</v>
      </c>
      <c r="E44" s="242">
        <f t="shared" si="14"/>
        <v>1.3885653314855806</v>
      </c>
      <c r="F44" s="243" t="str">
        <f t="shared" si="16"/>
        <v>C</v>
      </c>
      <c r="G44" s="243" t="str">
        <f t="shared" si="12"/>
        <v>C</v>
      </c>
      <c r="I44" s="240" t="s">
        <v>72</v>
      </c>
      <c r="J44" s="241">
        <f>'Юнит 26.01-01.02'!R39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73</v>
      </c>
      <c r="C45" s="241">
        <f>'Юнит 26.01-01.02'!AE40</f>
        <v>-113.88</v>
      </c>
      <c r="D45" s="242">
        <f t="shared" si="11"/>
        <v>-1.0325400166269191E-2</v>
      </c>
      <c r="E45" s="242">
        <f t="shared" si="14"/>
        <v>1.3782399313193114</v>
      </c>
      <c r="F45" s="243" t="str">
        <f t="shared" si="16"/>
        <v>C</v>
      </c>
      <c r="G45" s="243" t="str">
        <f t="shared" si="12"/>
        <v>C</v>
      </c>
      <c r="I45" s="240" t="s">
        <v>73</v>
      </c>
      <c r="J45" s="241">
        <f>'Юнит 26.01-01.02'!R40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26.01-01.02'!AE43</f>
        <v>-227.76</v>
      </c>
      <c r="D46" s="242">
        <f t="shared" si="11"/>
        <v>-2.0650800332538383E-2</v>
      </c>
      <c r="E46" s="242">
        <f t="shared" si="14"/>
        <v>1.3575891309867731</v>
      </c>
      <c r="F46" s="243" t="str">
        <f t="shared" si="16"/>
        <v>C</v>
      </c>
      <c r="G46" s="243" t="str">
        <f t="shared" si="12"/>
        <v>C</v>
      </c>
      <c r="I46" s="240" t="s">
        <v>74</v>
      </c>
      <c r="J46" s="241">
        <f>'Юнит 26.01-01.02'!R41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71</v>
      </c>
      <c r="C47" s="241">
        <f>'Юнит 26.01-01.02'!AE38</f>
        <v>-284.7</v>
      </c>
      <c r="D47" s="242">
        <f t="shared" si="11"/>
        <v>-2.5813500415672978E-2</v>
      </c>
      <c r="E47" s="242">
        <f t="shared" si="14"/>
        <v>1.3317756305711002</v>
      </c>
      <c r="F47" s="243" t="str">
        <f t="shared" si="16"/>
        <v>C</v>
      </c>
      <c r="G47" s="243" t="str">
        <f t="shared" si="12"/>
        <v>C</v>
      </c>
      <c r="I47" s="240" t="s">
        <v>75</v>
      </c>
      <c r="J47" s="241">
        <f>'Юнит 26.01-01.02'!R42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61</v>
      </c>
      <c r="C48" s="241">
        <f>'Юнит 26.01-01.02'!AE28</f>
        <v>-980.66757500000006</v>
      </c>
      <c r="D48" s="242">
        <f t="shared" si="11"/>
        <v>-8.891627276044789E-2</v>
      </c>
      <c r="E48" s="242">
        <f t="shared" si="14"/>
        <v>1.2428593578106524</v>
      </c>
      <c r="F48" s="243" t="str">
        <f t="shared" si="16"/>
        <v>C</v>
      </c>
      <c r="G48" s="243" t="str">
        <f t="shared" si="12"/>
        <v>C</v>
      </c>
      <c r="I48" s="240" t="s">
        <v>76</v>
      </c>
      <c r="J48" s="241">
        <f>'Юнит 26.01-01.02'!R43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26.01-01.02'!AE46</f>
        <v>-2678.5231780000008</v>
      </c>
      <c r="D49" s="242">
        <f t="shared" si="11"/>
        <v>-0.24285935781065238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26.01-01.02'!R47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11029.112495999998</v>
      </c>
      <c r="D50" s="250">
        <f>SUM(D30:D49)</f>
        <v>1</v>
      </c>
      <c r="J50" s="249">
        <f>SUM(J30:J49)</f>
        <v>21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39" priority="4" operator="equal">
      <formula>"C"</formula>
    </cfRule>
    <cfRule type="cellIs" dxfId="238" priority="5" operator="equal">
      <formula>"B"</formula>
    </cfRule>
    <cfRule type="cellIs" dxfId="237" priority="6" operator="equal">
      <formula>"A"</formula>
    </cfRule>
  </conditionalFormatting>
  <conditionalFormatting sqref="M30:M49 D30:D49 K30:K49 F30:G49">
    <cfRule type="cellIs" dxfId="236" priority="1" operator="equal">
      <formula>"C"</formula>
    </cfRule>
    <cfRule type="cellIs" dxfId="235" priority="2" operator="equal">
      <formula>"B"</formula>
    </cfRule>
    <cfRule type="cellIs" dxfId="234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AF13-16D2-4A0F-A6D2-283F6C59FABE}">
  <dimension ref="B1:Q50"/>
  <sheetViews>
    <sheetView zoomScale="90" zoomScaleNormal="90" workbookViewId="0">
      <selection activeCell="K8" sqref="K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19-25.01'!AE3</f>
        <v>5864.4518090000402</v>
      </c>
      <c r="D4" s="242">
        <f>C4/C$26</f>
        <v>0.58621261915732104</v>
      </c>
      <c r="E4" s="242">
        <f>D4</f>
        <v>0.58621261915732104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19-25.01'!R3</f>
        <v>38</v>
      </c>
      <c r="K4" s="242">
        <f>J4/J$26</f>
        <v>0.60317460317460314</v>
      </c>
      <c r="L4" s="242">
        <f>K4</f>
        <v>0.60317460317460314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42</v>
      </c>
      <c r="C5" s="241">
        <f>'Юнит 19-25.01'!AE7</f>
        <v>2637.9799999999996</v>
      </c>
      <c r="D5" s="242">
        <f>C5/C$26</f>
        <v>0.26369338779651635</v>
      </c>
      <c r="E5" s="242">
        <f>D5+E4</f>
        <v>0.84990600695383733</v>
      </c>
      <c r="F5" s="243" t="str">
        <f t="shared" si="0"/>
        <v>B</v>
      </c>
      <c r="G5" s="243" t="str">
        <f>VLOOKUP(B$4:B$25,I$4:M$25,5,0)</f>
        <v>A</v>
      </c>
      <c r="I5" s="240" t="s">
        <v>42</v>
      </c>
      <c r="J5" s="241">
        <f>'Юнит 19-25.01'!R7</f>
        <v>6</v>
      </c>
      <c r="K5" s="242">
        <f>J5/J$26</f>
        <v>9.5238095238095233E-2</v>
      </c>
      <c r="L5" s="242">
        <f>K5+L4</f>
        <v>0.69841269841269837</v>
      </c>
      <c r="M5" s="243" t="str">
        <f t="shared" si="1"/>
        <v>A</v>
      </c>
    </row>
    <row r="6" spans="2:17" ht="28.5" customHeight="1" outlineLevel="1" thickBot="1">
      <c r="B6" s="240" t="s">
        <v>54</v>
      </c>
      <c r="C6" s="241">
        <f>'Юнит 19-25.01'!AE19</f>
        <v>914.64999999999986</v>
      </c>
      <c r="D6" s="242">
        <f>C6/C$26</f>
        <v>9.1428728477124049E-2</v>
      </c>
      <c r="E6" s="242">
        <f t="shared" ref="E6:E25" si="2">D6+E5</f>
        <v>0.94133473543096136</v>
      </c>
      <c r="F6" s="243" t="str">
        <f t="shared" si="0"/>
        <v>B</v>
      </c>
      <c r="G6" s="243" t="str">
        <f>VLOOKUP(B$4:B$25,I$4:M$25,5,0)</f>
        <v>C</v>
      </c>
      <c r="I6" s="240" t="s">
        <v>39</v>
      </c>
      <c r="J6" s="241">
        <f>'Юнит 19-25.01'!R4</f>
        <v>5</v>
      </c>
      <c r="K6" s="242">
        <f>J6/J$26</f>
        <v>7.9365079365079361E-2</v>
      </c>
      <c r="L6" s="242">
        <f t="shared" ref="L6:L25" si="3">K6+L5</f>
        <v>0.77777777777777768</v>
      </c>
      <c r="M6" s="243" t="str">
        <f t="shared" si="1"/>
        <v>A</v>
      </c>
    </row>
    <row r="7" spans="2:17" ht="28.5" customHeight="1" outlineLevel="1" thickBot="1">
      <c r="B7" s="240" t="s">
        <v>43</v>
      </c>
      <c r="C7" s="241">
        <f>'Юнит 19-25.01'!AE8</f>
        <v>606.70000000000005</v>
      </c>
      <c r="D7" s="242">
        <f>C7/C$26</f>
        <v>6.0645940597027471E-2</v>
      </c>
      <c r="E7" s="242">
        <f t="shared" si="2"/>
        <v>1.0019806760279888</v>
      </c>
      <c r="F7" s="243" t="str">
        <f t="shared" si="0"/>
        <v>C</v>
      </c>
      <c r="G7" s="243" t="str">
        <f>VLOOKUP(B$4:B$25,I$4:M$25,5,0)</f>
        <v>C</v>
      </c>
      <c r="I7" s="240" t="s">
        <v>44</v>
      </c>
      <c r="J7" s="241">
        <f>'Юнит 19-25.01'!R9</f>
        <v>5</v>
      </c>
      <c r="K7" s="242">
        <f>J7/J$26</f>
        <v>7.9365079365079361E-2</v>
      </c>
      <c r="L7" s="242">
        <f t="shared" si="3"/>
        <v>0.85714285714285698</v>
      </c>
      <c r="M7" s="243" t="str">
        <f t="shared" si="1"/>
        <v>B</v>
      </c>
    </row>
    <row r="8" spans="2:17" ht="28.5" customHeight="1" outlineLevel="1" thickBot="1">
      <c r="B8" s="240" t="s">
        <v>49</v>
      </c>
      <c r="C8" s="241">
        <f>'Юнит 19-25.01'!AE14</f>
        <v>490.89000000000004</v>
      </c>
      <c r="D8" s="242">
        <f>C8/C$26</f>
        <v>4.9069533178959644E-2</v>
      </c>
      <c r="E8" s="242">
        <f t="shared" si="2"/>
        <v>1.0510502092069485</v>
      </c>
      <c r="F8" s="243" t="str">
        <f t="shared" si="0"/>
        <v>C</v>
      </c>
      <c r="G8" s="243" t="str">
        <f>VLOOKUP(B$4:B$25,I$4:M$25,5,0)</f>
        <v>B</v>
      </c>
      <c r="I8" s="240" t="s">
        <v>48</v>
      </c>
      <c r="J8" s="241">
        <f>'Юнит 19-25.01'!R13</f>
        <v>3</v>
      </c>
      <c r="K8" s="242">
        <f>J8/J$26</f>
        <v>4.7619047619047616E-2</v>
      </c>
      <c r="L8" s="242">
        <f t="shared" si="3"/>
        <v>0.90476190476190466</v>
      </c>
      <c r="M8" s="243" t="str">
        <f t="shared" si="1"/>
        <v>B</v>
      </c>
    </row>
    <row r="9" spans="2:17" ht="28.5" customHeight="1" outlineLevel="1" thickBot="1">
      <c r="B9" s="240" t="s">
        <v>47</v>
      </c>
      <c r="C9" s="241">
        <f>'Юнит 19-25.01'!AE12</f>
        <v>322.02000000000004</v>
      </c>
      <c r="D9" s="242">
        <f t="shared" ref="D9:D25" si="4">C9/C$26</f>
        <v>3.2189229917677246E-2</v>
      </c>
      <c r="E9" s="242">
        <f t="shared" si="2"/>
        <v>1.0832394391246256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41</v>
      </c>
      <c r="J9" s="241">
        <f>'Юнит 19-25.01'!R6</f>
        <v>2</v>
      </c>
      <c r="K9" s="242">
        <f t="shared" ref="K9:K25" si="6">J9/J$26</f>
        <v>3.1746031746031744E-2</v>
      </c>
      <c r="L9" s="242">
        <f t="shared" si="3"/>
        <v>0.9365079365079364</v>
      </c>
      <c r="M9" s="243" t="str">
        <f t="shared" si="1"/>
        <v>B</v>
      </c>
    </row>
    <row r="10" spans="2:17" ht="28.5" customHeight="1" outlineLevel="1" thickBot="1">
      <c r="B10" s="240" t="s">
        <v>48</v>
      </c>
      <c r="C10" s="241">
        <f>'Юнит 19-25.01'!AE13</f>
        <v>420.19</v>
      </c>
      <c r="D10" s="242">
        <f t="shared" si="4"/>
        <v>4.2002336870718589E-2</v>
      </c>
      <c r="E10" s="242">
        <f t="shared" si="2"/>
        <v>1.1252417759953441</v>
      </c>
      <c r="F10" s="243" t="str">
        <f t="shared" si="0"/>
        <v>C</v>
      </c>
      <c r="G10" s="243" t="str">
        <f t="shared" si="5"/>
        <v>B</v>
      </c>
      <c r="I10" s="240" t="s">
        <v>43</v>
      </c>
      <c r="J10" s="241">
        <f>'Юнит 19-25.01'!R8</f>
        <v>1</v>
      </c>
      <c r="K10" s="242">
        <f t="shared" si="6"/>
        <v>1.5873015873015872E-2</v>
      </c>
      <c r="L10" s="242">
        <f t="shared" si="3"/>
        <v>0.95238095238095233</v>
      </c>
      <c r="M10" s="243" t="str">
        <f t="shared" si="1"/>
        <v>C</v>
      </c>
    </row>
    <row r="11" spans="2:17" ht="28.5" customHeight="1" outlineLevel="1" thickBot="1">
      <c r="B11" s="240" t="s">
        <v>39</v>
      </c>
      <c r="C11" s="241">
        <f>'Юнит 19-25.01'!AE4</f>
        <v>591.94117299999994</v>
      </c>
      <c r="D11" s="242">
        <f t="shared" si="4"/>
        <v>5.9170643175692685E-2</v>
      </c>
      <c r="E11" s="242">
        <f>D11+E8</f>
        <v>1.1102208523826411</v>
      </c>
      <c r="F11" s="243" t="str">
        <f t="shared" si="0"/>
        <v>C</v>
      </c>
      <c r="G11" s="243" t="str">
        <f t="shared" si="5"/>
        <v>A</v>
      </c>
      <c r="I11" s="240" t="s">
        <v>47</v>
      </c>
      <c r="J11" s="241">
        <f>'Юнит 19-25.01'!R12</f>
        <v>1</v>
      </c>
      <c r="K11" s="242">
        <f t="shared" si="6"/>
        <v>1.5873015873015872E-2</v>
      </c>
      <c r="L11" s="242">
        <f>K11+L8</f>
        <v>0.92063492063492047</v>
      </c>
      <c r="M11" s="243" t="str">
        <f t="shared" si="1"/>
        <v>B</v>
      </c>
    </row>
    <row r="12" spans="2:17" ht="28.5" customHeight="1" outlineLevel="1" thickBot="1">
      <c r="B12" s="240" t="s">
        <v>40</v>
      </c>
      <c r="C12" s="241">
        <f>'Юнит 19-25.01'!AE5</f>
        <v>0</v>
      </c>
      <c r="D12" s="242">
        <f t="shared" si="4"/>
        <v>0</v>
      </c>
      <c r="E12" s="242">
        <f t="shared" si="2"/>
        <v>1.1102208523826411</v>
      </c>
      <c r="F12" s="243" t="str">
        <f t="shared" si="0"/>
        <v>C</v>
      </c>
      <c r="G12" s="243" t="str">
        <f t="shared" si="5"/>
        <v>C</v>
      </c>
      <c r="I12" s="240" t="s">
        <v>49</v>
      </c>
      <c r="J12" s="241">
        <f>'Юнит 19-25.01'!R14</f>
        <v>1</v>
      </c>
      <c r="K12" s="242">
        <f t="shared" si="6"/>
        <v>1.5873015873015872E-2</v>
      </c>
      <c r="L12" s="242">
        <f t="shared" si="3"/>
        <v>0.93650793650793629</v>
      </c>
      <c r="M12" s="243" t="str">
        <f t="shared" si="1"/>
        <v>B</v>
      </c>
    </row>
    <row r="13" spans="2:17" ht="15" outlineLevel="1" thickBot="1">
      <c r="B13" s="240" t="s">
        <v>52</v>
      </c>
      <c r="C13" s="241">
        <f>'Юнит 19-25.01'!AE17</f>
        <v>0</v>
      </c>
      <c r="D13" s="242">
        <f t="shared" si="4"/>
        <v>0</v>
      </c>
      <c r="E13" s="242">
        <f t="shared" si="2"/>
        <v>1.1102208523826411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54</v>
      </c>
      <c r="J13" s="241">
        <f>'Юнит 19-25.01'!R19</f>
        <v>1</v>
      </c>
      <c r="K13" s="242">
        <f t="shared" si="6"/>
        <v>1.5873015873015872E-2</v>
      </c>
      <c r="L13" s="242">
        <f t="shared" si="3"/>
        <v>0.95238095238095211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53</v>
      </c>
      <c r="C14" s="241">
        <f>'Юнит 19-25.01'!AE18</f>
        <v>0</v>
      </c>
      <c r="D14" s="242">
        <f t="shared" si="4"/>
        <v>0</v>
      </c>
      <c r="E14" s="242">
        <f t="shared" si="2"/>
        <v>1.1102208523826411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40</v>
      </c>
      <c r="J14" s="241">
        <f>'Юнит 19-25.01'!R5</f>
        <v>0</v>
      </c>
      <c r="K14" s="242">
        <f t="shared" si="6"/>
        <v>0</v>
      </c>
      <c r="L14" s="242">
        <f t="shared" si="3"/>
        <v>0.95238095238095211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55</v>
      </c>
      <c r="C15" s="241">
        <f>'Юнит 19-25.01'!AE20</f>
        <v>0</v>
      </c>
      <c r="D15" s="242">
        <f t="shared" si="4"/>
        <v>0</v>
      </c>
      <c r="E15" s="242">
        <f t="shared" si="2"/>
        <v>1.1102208523826411</v>
      </c>
      <c r="F15" s="243" t="str">
        <f t="shared" si="7"/>
        <v>C</v>
      </c>
      <c r="G15" s="243" t="str">
        <f t="shared" si="5"/>
        <v>C</v>
      </c>
      <c r="I15" s="240" t="s">
        <v>45</v>
      </c>
      <c r="J15" s="241">
        <f>'Юнит 19-25.01'!R10</f>
        <v>0</v>
      </c>
      <c r="K15" s="242">
        <f t="shared" si="6"/>
        <v>0</v>
      </c>
      <c r="L15" s="242">
        <f t="shared" si="3"/>
        <v>0.95238095238095211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56</v>
      </c>
      <c r="C16" s="241">
        <f>'Юнит 19-25.01'!AE21</f>
        <v>0</v>
      </c>
      <c r="D16" s="242">
        <f t="shared" si="4"/>
        <v>0</v>
      </c>
      <c r="E16" s="242">
        <f t="shared" si="2"/>
        <v>1.1102208523826411</v>
      </c>
      <c r="F16" s="243" t="str">
        <f t="shared" si="7"/>
        <v>C</v>
      </c>
      <c r="G16" s="243" t="str">
        <f t="shared" si="5"/>
        <v>C</v>
      </c>
      <c r="I16" s="240" t="s">
        <v>46</v>
      </c>
      <c r="J16" s="241">
        <f>'Юнит 19-25.01'!R11</f>
        <v>0</v>
      </c>
      <c r="K16" s="242">
        <f t="shared" si="6"/>
        <v>0</v>
      </c>
      <c r="L16" s="242">
        <f t="shared" si="3"/>
        <v>0.95238095238095211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57</v>
      </c>
      <c r="C17" s="241">
        <f>'Юнит 19-25.01'!AE22</f>
        <v>0</v>
      </c>
      <c r="D17" s="242">
        <f t="shared" si="4"/>
        <v>0</v>
      </c>
      <c r="E17" s="242">
        <f t="shared" si="2"/>
        <v>1.1102208523826411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19-25.01'!R15</f>
        <v>0</v>
      </c>
      <c r="K17" s="242">
        <f t="shared" si="6"/>
        <v>0</v>
      </c>
      <c r="L17" s="242">
        <f t="shared" si="3"/>
        <v>0.95238095238095211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58</v>
      </c>
      <c r="C18" s="241">
        <f>'Юнит 19-25.01'!AE23</f>
        <v>0</v>
      </c>
      <c r="D18" s="242">
        <f t="shared" si="4"/>
        <v>0</v>
      </c>
      <c r="E18" s="242">
        <f t="shared" si="2"/>
        <v>1.1102208523826411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19-25.01'!R16</f>
        <v>0</v>
      </c>
      <c r="K18" s="242">
        <f t="shared" si="6"/>
        <v>0</v>
      </c>
      <c r="L18" s="242">
        <f t="shared" si="3"/>
        <v>0.95238095238095211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59</v>
      </c>
      <c r="C19" s="241">
        <f>'Юнит 19-25.01'!AE24</f>
        <v>0</v>
      </c>
      <c r="D19" s="242">
        <f t="shared" si="4"/>
        <v>0</v>
      </c>
      <c r="E19" s="242">
        <f t="shared" si="2"/>
        <v>1.1102208523826411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19-25.01'!R17</f>
        <v>0</v>
      </c>
      <c r="K19" s="242">
        <f t="shared" si="6"/>
        <v>0</v>
      </c>
      <c r="L19" s="242">
        <f t="shared" si="3"/>
        <v>0.95238095238095211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45</v>
      </c>
      <c r="C20" s="241">
        <f>'Юнит 19-25.01'!AE10</f>
        <v>-93.54</v>
      </c>
      <c r="D20" s="242">
        <f t="shared" si="4"/>
        <v>-9.3502905611438092E-3</v>
      </c>
      <c r="E20" s="242">
        <f t="shared" si="2"/>
        <v>1.1008705618214973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19-25.01'!R18</f>
        <v>0</v>
      </c>
      <c r="K20" s="242">
        <f t="shared" si="6"/>
        <v>0</v>
      </c>
      <c r="L20" s="242">
        <f t="shared" si="3"/>
        <v>0.95238095238095211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46</v>
      </c>
      <c r="C21" s="241">
        <f>'Юнит 19-25.01'!AE11</f>
        <v>-93.54</v>
      </c>
      <c r="D21" s="242">
        <f t="shared" si="4"/>
        <v>-9.3502905611438092E-3</v>
      </c>
      <c r="E21" s="242">
        <f t="shared" si="2"/>
        <v>1.0915202712603536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19-25.01'!R20</f>
        <v>0</v>
      </c>
      <c r="K21" s="242">
        <f t="shared" si="6"/>
        <v>0</v>
      </c>
      <c r="L21" s="242">
        <f t="shared" si="3"/>
        <v>0.95238095238095211</v>
      </c>
      <c r="M21" s="243" t="str">
        <f t="shared" si="8"/>
        <v>C</v>
      </c>
      <c r="P21" s="248"/>
      <c r="Q21" s="242"/>
    </row>
    <row r="22" spans="2:17" ht="26.5" outlineLevel="1" thickBot="1">
      <c r="B22" s="240" t="s">
        <v>50</v>
      </c>
      <c r="C22" s="241">
        <f>'Юнит 19-25.01'!AE15</f>
        <v>-93.54</v>
      </c>
      <c r="D22" s="242">
        <f t="shared" si="4"/>
        <v>-9.3502905611438092E-3</v>
      </c>
      <c r="E22" s="242">
        <f t="shared" si="2"/>
        <v>1.0821699806992098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19-25.01'!R21</f>
        <v>0</v>
      </c>
      <c r="K22" s="242">
        <f t="shared" si="6"/>
        <v>0</v>
      </c>
      <c r="L22" s="242">
        <f t="shared" si="3"/>
        <v>0.95238095238095211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51</v>
      </c>
      <c r="C23" s="241">
        <f>'Юнит 19-25.01'!AE16</f>
        <v>-328.67</v>
      </c>
      <c r="D23" s="242">
        <f t="shared" si="4"/>
        <v>-3.2853966204095961E-2</v>
      </c>
      <c r="E23" s="242">
        <f t="shared" si="2"/>
        <v>1.0493160144951139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19-25.01'!R22</f>
        <v>0</v>
      </c>
      <c r="K23" s="242">
        <f t="shared" si="6"/>
        <v>0</v>
      </c>
      <c r="L23" s="242">
        <f t="shared" si="3"/>
        <v>0.95238095238095211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19-25.01'!AE9</f>
        <v>72.942610000000514</v>
      </c>
      <c r="D24" s="242">
        <f t="shared" si="4"/>
        <v>7.2913683749005649E-3</v>
      </c>
      <c r="E24" s="242">
        <f t="shared" si="2"/>
        <v>1.0566073828700144</v>
      </c>
      <c r="F24" s="243" t="str">
        <f t="shared" si="7"/>
        <v>C</v>
      </c>
      <c r="G24" s="243" t="str">
        <f t="shared" si="5"/>
        <v>B</v>
      </c>
      <c r="I24" s="240" t="s">
        <v>58</v>
      </c>
      <c r="J24" s="241">
        <f>'Юнит 19-25.01'!R23</f>
        <v>0</v>
      </c>
      <c r="K24" s="242">
        <f t="shared" si="6"/>
        <v>0</v>
      </c>
      <c r="L24" s="242">
        <f t="shared" si="3"/>
        <v>0.95238095238095211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41</v>
      </c>
      <c r="C25" s="241">
        <f>'Юнит 19-25.01'!AE6</f>
        <v>-1308.5084009999994</v>
      </c>
      <c r="D25" s="242">
        <f t="shared" si="4"/>
        <v>-0.13079894965841002</v>
      </c>
      <c r="E25" s="242">
        <f t="shared" si="2"/>
        <v>0.92580843321160444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19-25.01'!R24</f>
        <v>0</v>
      </c>
      <c r="K25" s="242">
        <f t="shared" si="6"/>
        <v>0</v>
      </c>
      <c r="L25" s="242">
        <f t="shared" si="3"/>
        <v>0.95238095238095211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10003.967191000038</v>
      </c>
      <c r="D26" s="250">
        <f>SUM(D4:D25)</f>
        <v>1</v>
      </c>
      <c r="J26" s="249">
        <f>SUM(J4:J25)</f>
        <v>63</v>
      </c>
      <c r="K26" s="250">
        <f>SUM(K4:K25)</f>
        <v>0.99999999999999978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78</v>
      </c>
      <c r="C30" s="241">
        <f>'Юнит 19-25.01'!AE45</f>
        <v>6439.7034269999904</v>
      </c>
      <c r="D30" s="242">
        <f>C30/C$50</f>
        <v>1.6022371811607998</v>
      </c>
      <c r="E30" s="242">
        <f>D30</f>
        <v>1.6022371811607998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A</v>
      </c>
      <c r="I30" s="240" t="s">
        <v>78</v>
      </c>
      <c r="J30" s="241">
        <f>'Юнит 19-25.01'!R45</f>
        <v>8</v>
      </c>
      <c r="K30" s="242">
        <f>J30/J$50</f>
        <v>0.5714285714285714</v>
      </c>
      <c r="L30" s="242">
        <f>K30</f>
        <v>0.5714285714285714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70</v>
      </c>
      <c r="C31" s="241">
        <f>'Юнит 19-25.01'!AE37</f>
        <v>2688.1400000000003</v>
      </c>
      <c r="D31" s="242">
        <f t="shared" ref="D31:D49" si="11">C31/C$50</f>
        <v>0.66882549871898</v>
      </c>
      <c r="E31" s="242">
        <f>D31+E30</f>
        <v>2.2710626798797797</v>
      </c>
      <c r="F31" s="243" t="str">
        <f t="shared" si="9"/>
        <v>C</v>
      </c>
      <c r="G31" s="243" t="str">
        <f t="shared" ref="G31:G49" si="12">VLOOKUP(B$30:B$50,I$30:M$50,5,0)</f>
        <v>B</v>
      </c>
      <c r="I31" s="240" t="s">
        <v>77</v>
      </c>
      <c r="J31" s="241">
        <f>'Юнит 19-25.01'!R44</f>
        <v>3</v>
      </c>
      <c r="K31" s="242">
        <f t="shared" ref="K31:K49" si="13">J31/J$50</f>
        <v>0.21428571428571427</v>
      </c>
      <c r="L31" s="242">
        <f>K31+L30</f>
        <v>0.7857142857142857</v>
      </c>
      <c r="M31" s="243" t="str">
        <f t="shared" si="10"/>
        <v>A</v>
      </c>
    </row>
    <row r="32" spans="2:17" ht="15" thickBot="1">
      <c r="B32" s="240" t="s">
        <v>64</v>
      </c>
      <c r="C32" s="241">
        <f>'Юнит 19-25.01'!AE31</f>
        <v>1234.21</v>
      </c>
      <c r="D32" s="242">
        <f t="shared" si="11"/>
        <v>0.30707891656459568</v>
      </c>
      <c r="E32" s="242">
        <f t="shared" ref="E32:E49" si="14">D32+E31</f>
        <v>2.5781415964443752</v>
      </c>
      <c r="F32" s="243" t="str">
        <f t="shared" si="9"/>
        <v>C</v>
      </c>
      <c r="G32" s="243" t="str">
        <f t="shared" si="12"/>
        <v>C</v>
      </c>
      <c r="I32" s="240" t="s">
        <v>70</v>
      </c>
      <c r="J32" s="241">
        <f>'Юнит 19-25.01'!R37</f>
        <v>2</v>
      </c>
      <c r="K32" s="242">
        <f t="shared" si="13"/>
        <v>0.14285714285714285</v>
      </c>
      <c r="L32" s="242">
        <f t="shared" ref="L32:L49" si="15">K32+L31</f>
        <v>0.9285714285714286</v>
      </c>
      <c r="M32" s="243" t="str">
        <f t="shared" si="10"/>
        <v>B</v>
      </c>
    </row>
    <row r="33" spans="2:13" ht="15" thickBot="1">
      <c r="B33" s="240" t="s">
        <v>66</v>
      </c>
      <c r="C33" s="241">
        <f>'Юнит 19-25.01'!AE33</f>
        <v>848.43999999999994</v>
      </c>
      <c r="D33" s="242">
        <f t="shared" si="11"/>
        <v>0.21109700615783822</v>
      </c>
      <c r="E33" s="242">
        <f t="shared" si="14"/>
        <v>2.7892386026022136</v>
      </c>
      <c r="F33" s="243" t="str">
        <f t="shared" si="9"/>
        <v>C</v>
      </c>
      <c r="G33" s="243" t="str">
        <f t="shared" si="12"/>
        <v>C</v>
      </c>
      <c r="I33" s="240" t="s">
        <v>64</v>
      </c>
      <c r="J33" s="241">
        <f>'Юнит 19-25.01'!R31</f>
        <v>1</v>
      </c>
      <c r="K33" s="242">
        <f t="shared" si="13"/>
        <v>7.1428571428571425E-2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62</v>
      </c>
      <c r="C34" s="241">
        <f>'Юнит 19-25.01'!AE29</f>
        <v>0</v>
      </c>
      <c r="D34" s="242">
        <f t="shared" si="11"/>
        <v>0</v>
      </c>
      <c r="E34" s="242">
        <f t="shared" si="14"/>
        <v>2.7892386026022136</v>
      </c>
      <c r="F34" s="243" t="str">
        <f t="shared" si="9"/>
        <v>C</v>
      </c>
      <c r="G34" s="243" t="str">
        <f t="shared" si="12"/>
        <v>C</v>
      </c>
      <c r="I34" s="240" t="s">
        <v>66</v>
      </c>
      <c r="J34" s="241">
        <f>'Юнит 19-25.01'!R33</f>
        <v>1</v>
      </c>
      <c r="K34" s="242">
        <f t="shared" si="13"/>
        <v>7.1428571428571425E-2</v>
      </c>
      <c r="L34" s="242">
        <f t="shared" si="15"/>
        <v>1.0714285714285714</v>
      </c>
      <c r="M34" s="243" t="str">
        <f t="shared" si="10"/>
        <v>C</v>
      </c>
    </row>
    <row r="35" spans="2:13" ht="26.5" thickBot="1">
      <c r="B35" s="240" t="s">
        <v>63</v>
      </c>
      <c r="C35" s="241">
        <f>'Юнит 19-25.01'!AE30</f>
        <v>0</v>
      </c>
      <c r="D35" s="242">
        <f t="shared" si="11"/>
        <v>0</v>
      </c>
      <c r="E35" s="242">
        <f t="shared" si="14"/>
        <v>2.7892386026022136</v>
      </c>
      <c r="F35" s="243" t="str">
        <f t="shared" si="9"/>
        <v>C</v>
      </c>
      <c r="G35" s="243" t="str">
        <f t="shared" si="12"/>
        <v>C</v>
      </c>
      <c r="I35" s="240" t="s">
        <v>61</v>
      </c>
      <c r="J35" s="241">
        <f>'Юнит 19-25.01'!R28</f>
        <v>0</v>
      </c>
      <c r="K35" s="242">
        <f t="shared" si="13"/>
        <v>0</v>
      </c>
      <c r="L35" s="242">
        <f t="shared" si="15"/>
        <v>1.0714285714285714</v>
      </c>
      <c r="M35" s="243" t="str">
        <f t="shared" si="10"/>
        <v>C</v>
      </c>
    </row>
    <row r="36" spans="2:13" ht="26.5" thickBot="1">
      <c r="B36" s="240" t="s">
        <v>65</v>
      </c>
      <c r="C36" s="241">
        <f>'Юнит 19-25.01'!AE32</f>
        <v>0</v>
      </c>
      <c r="D36" s="242">
        <f t="shared" si="11"/>
        <v>0</v>
      </c>
      <c r="E36" s="242">
        <f t="shared" si="14"/>
        <v>2.7892386026022136</v>
      </c>
      <c r="F36" s="243" t="str">
        <f t="shared" si="9"/>
        <v>C</v>
      </c>
      <c r="G36" s="243" t="str">
        <f t="shared" si="12"/>
        <v>C</v>
      </c>
      <c r="I36" s="240" t="s">
        <v>62</v>
      </c>
      <c r="J36" s="241">
        <f>'Юнит 19-25.01'!R29</f>
        <v>0</v>
      </c>
      <c r="K36" s="242">
        <f t="shared" si="13"/>
        <v>0</v>
      </c>
      <c r="L36" s="242">
        <f t="shared" si="15"/>
        <v>1.0714285714285714</v>
      </c>
      <c r="M36" s="243" t="str">
        <f t="shared" si="10"/>
        <v>C</v>
      </c>
    </row>
    <row r="37" spans="2:13" ht="26.5" thickBot="1">
      <c r="B37" s="240" t="s">
        <v>67</v>
      </c>
      <c r="C37" s="241">
        <f>'Юнит 19-25.01'!AE34</f>
        <v>0</v>
      </c>
      <c r="D37" s="242">
        <f t="shared" si="11"/>
        <v>0</v>
      </c>
      <c r="E37" s="242">
        <f t="shared" si="14"/>
        <v>2.7892386026022136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63</v>
      </c>
      <c r="J37" s="241">
        <f>'Юнит 19-25.01'!R30</f>
        <v>0</v>
      </c>
      <c r="K37" s="242">
        <f t="shared" si="13"/>
        <v>0</v>
      </c>
      <c r="L37" s="242">
        <f t="shared" si="15"/>
        <v>1.0714285714285714</v>
      </c>
      <c r="M37" s="243" t="str">
        <f>_xlfn.IFS(L37&lt;80%,"A",L37&lt;=95%,"B",L37&gt;95%,"C")</f>
        <v>C</v>
      </c>
    </row>
    <row r="38" spans="2:13" ht="15" thickBot="1">
      <c r="B38" s="240" t="s">
        <v>68</v>
      </c>
      <c r="C38" s="241">
        <f>'Юнит 19-25.01'!AE35</f>
        <v>0</v>
      </c>
      <c r="D38" s="242">
        <f t="shared" si="11"/>
        <v>0</v>
      </c>
      <c r="E38" s="242">
        <f t="shared" si="14"/>
        <v>2.7892386026022136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65</v>
      </c>
      <c r="J38" s="241">
        <f>'Юнит 19-25.01'!R32</f>
        <v>0</v>
      </c>
      <c r="K38" s="242">
        <f t="shared" si="13"/>
        <v>0</v>
      </c>
      <c r="L38" s="242">
        <f t="shared" si="15"/>
        <v>1.0714285714285714</v>
      </c>
      <c r="M38" s="243" t="str">
        <f t="shared" ref="M38:M49" si="17">_xlfn.IFS(L38&lt;80%,"A",L38&lt;=95%,"B",L38&gt;95%,"C")</f>
        <v>C</v>
      </c>
    </row>
    <row r="39" spans="2:13" ht="26.5" thickBot="1">
      <c r="B39" s="240" t="s">
        <v>72</v>
      </c>
      <c r="C39" s="241">
        <f>'Юнит 19-25.01'!AE39</f>
        <v>0</v>
      </c>
      <c r="D39" s="242">
        <f t="shared" si="11"/>
        <v>0</v>
      </c>
      <c r="E39" s="242">
        <f t="shared" si="14"/>
        <v>2.7892386026022136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19-25.01'!R34</f>
        <v>0</v>
      </c>
      <c r="K39" s="242">
        <f t="shared" si="13"/>
        <v>0</v>
      </c>
      <c r="L39" s="242">
        <f t="shared" si="15"/>
        <v>1.0714285714285714</v>
      </c>
      <c r="M39" s="243" t="str">
        <f t="shared" si="17"/>
        <v>C</v>
      </c>
    </row>
    <row r="40" spans="2:13" ht="15" thickBot="1">
      <c r="B40" s="240" t="s">
        <v>73</v>
      </c>
      <c r="C40" s="241">
        <f>'Юнит 19-25.01'!AE40</f>
        <v>0</v>
      </c>
      <c r="D40" s="242">
        <f t="shared" si="11"/>
        <v>0</v>
      </c>
      <c r="E40" s="242">
        <f t="shared" si="14"/>
        <v>2.7892386026022136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19-25.01'!R35</f>
        <v>0</v>
      </c>
      <c r="K40" s="242">
        <f t="shared" si="13"/>
        <v>0</v>
      </c>
      <c r="L40" s="242">
        <f t="shared" si="15"/>
        <v>1.0714285714285714</v>
      </c>
      <c r="M40" s="243" t="str">
        <f t="shared" si="17"/>
        <v>C</v>
      </c>
    </row>
    <row r="41" spans="2:13" ht="26.5" thickBot="1">
      <c r="B41" s="240" t="s">
        <v>74</v>
      </c>
      <c r="C41" s="241">
        <f>'Юнит 19-25.01'!AE41</f>
        <v>0</v>
      </c>
      <c r="D41" s="242">
        <f t="shared" si="11"/>
        <v>0</v>
      </c>
      <c r="E41" s="242">
        <f t="shared" si="14"/>
        <v>2.7892386026022136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19-25.01'!R36</f>
        <v>0</v>
      </c>
      <c r="K41" s="242">
        <f t="shared" si="13"/>
        <v>0</v>
      </c>
      <c r="L41" s="242">
        <f t="shared" si="15"/>
        <v>1.0714285714285714</v>
      </c>
      <c r="M41" s="243" t="str">
        <f t="shared" si="17"/>
        <v>C</v>
      </c>
    </row>
    <row r="42" spans="2:13" ht="26.5" thickBot="1">
      <c r="B42" s="240" t="s">
        <v>75</v>
      </c>
      <c r="C42" s="241">
        <f>'Юнит 19-25.01'!AE42</f>
        <v>0</v>
      </c>
      <c r="D42" s="242">
        <f t="shared" si="11"/>
        <v>0</v>
      </c>
      <c r="E42" s="242">
        <f t="shared" si="14"/>
        <v>2.7892386026022136</v>
      </c>
      <c r="F42" s="243" t="str">
        <f t="shared" si="16"/>
        <v>C</v>
      </c>
      <c r="G42" s="243" t="str">
        <f t="shared" si="12"/>
        <v>C</v>
      </c>
      <c r="I42" s="240" t="s">
        <v>72</v>
      </c>
      <c r="J42" s="241">
        <f>'Юнит 19-25.01'!R39</f>
        <v>0</v>
      </c>
      <c r="K42" s="242">
        <f t="shared" si="13"/>
        <v>0</v>
      </c>
      <c r="L42" s="242">
        <f t="shared" si="15"/>
        <v>1.0714285714285714</v>
      </c>
      <c r="M42" s="243" t="str">
        <f t="shared" si="17"/>
        <v>C</v>
      </c>
    </row>
    <row r="43" spans="2:13" ht="26.5" thickBot="1">
      <c r="B43" s="240" t="s">
        <v>76</v>
      </c>
      <c r="C43" s="241">
        <f>'Юнит 19-25.01'!AE43</f>
        <v>0</v>
      </c>
      <c r="D43" s="242">
        <f t="shared" si="11"/>
        <v>0</v>
      </c>
      <c r="E43" s="242">
        <f t="shared" si="14"/>
        <v>2.7892386026022136</v>
      </c>
      <c r="F43" s="243" t="str">
        <f t="shared" si="16"/>
        <v>C</v>
      </c>
      <c r="G43" s="243" t="str">
        <f t="shared" si="12"/>
        <v>C</v>
      </c>
      <c r="I43" s="240" t="s">
        <v>73</v>
      </c>
      <c r="J43" s="241">
        <f>'Юнит 19-25.01'!R40</f>
        <v>0</v>
      </c>
      <c r="K43" s="242">
        <f t="shared" si="13"/>
        <v>0</v>
      </c>
      <c r="L43" s="242">
        <f t="shared" si="15"/>
        <v>1.0714285714285714</v>
      </c>
      <c r="M43" s="243" t="str">
        <f t="shared" si="17"/>
        <v>C</v>
      </c>
    </row>
    <row r="44" spans="2:13" ht="26.5" thickBot="1">
      <c r="B44" s="240" t="s">
        <v>80</v>
      </c>
      <c r="C44" s="241">
        <f>'Юнит 19-25.01'!AE47</f>
        <v>0</v>
      </c>
      <c r="D44" s="242">
        <f t="shared" si="11"/>
        <v>0</v>
      </c>
      <c r="E44" s="242">
        <f t="shared" si="14"/>
        <v>2.7892386026022136</v>
      </c>
      <c r="F44" s="243" t="str">
        <f t="shared" si="16"/>
        <v>C</v>
      </c>
      <c r="G44" s="243" t="str">
        <f t="shared" si="12"/>
        <v>C</v>
      </c>
      <c r="I44" s="240" t="s">
        <v>74</v>
      </c>
      <c r="J44" s="241">
        <f>'Юнит 19-25.01'!R41</f>
        <v>0</v>
      </c>
      <c r="K44" s="242">
        <f t="shared" si="13"/>
        <v>0</v>
      </c>
      <c r="L44" s="242">
        <f t="shared" si="15"/>
        <v>1.0714285714285714</v>
      </c>
      <c r="M44" s="243" t="str">
        <f t="shared" si="17"/>
        <v>C</v>
      </c>
    </row>
    <row r="45" spans="2:13" ht="26.5" thickBot="1">
      <c r="B45" s="240" t="s">
        <v>69</v>
      </c>
      <c r="C45" s="241">
        <f>'Юнит 19-25.01'!AE36</f>
        <v>-113.88</v>
      </c>
      <c r="D45" s="242">
        <f t="shared" si="11"/>
        <v>-2.8334033121086486E-2</v>
      </c>
      <c r="E45" s="242">
        <f t="shared" si="14"/>
        <v>2.7609045694811272</v>
      </c>
      <c r="F45" s="243" t="str">
        <f t="shared" si="16"/>
        <v>C</v>
      </c>
      <c r="G45" s="243" t="str">
        <f t="shared" si="12"/>
        <v>C</v>
      </c>
      <c r="I45" s="240" t="s">
        <v>75</v>
      </c>
      <c r="J45" s="241">
        <f>'Юнит 19-25.01'!R42</f>
        <v>0</v>
      </c>
      <c r="K45" s="242">
        <f t="shared" si="13"/>
        <v>0</v>
      </c>
      <c r="L45" s="242">
        <f t="shared" si="15"/>
        <v>1.0714285714285714</v>
      </c>
      <c r="M45" s="243" t="str">
        <f t="shared" si="17"/>
        <v>C</v>
      </c>
    </row>
    <row r="46" spans="2:13" ht="26.5" thickBot="1">
      <c r="B46" s="240" t="s">
        <v>61</v>
      </c>
      <c r="C46" s="241">
        <f>'Юнит 19-25.01'!AE28</f>
        <v>-537.70695000000001</v>
      </c>
      <c r="D46" s="242">
        <f t="shared" si="11"/>
        <v>-0.13378474298154544</v>
      </c>
      <c r="E46" s="242">
        <f t="shared" si="14"/>
        <v>2.6271198264995816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19-25.01'!R43</f>
        <v>0</v>
      </c>
      <c r="K46" s="242">
        <f t="shared" si="13"/>
        <v>0</v>
      </c>
      <c r="L46" s="242">
        <f t="shared" si="15"/>
        <v>1.0714285714285714</v>
      </c>
      <c r="M46" s="243" t="str">
        <f t="shared" si="17"/>
        <v>C</v>
      </c>
    </row>
    <row r="47" spans="2:13" ht="15" thickBot="1">
      <c r="B47" s="240" t="s">
        <v>79</v>
      </c>
      <c r="C47" s="241">
        <f>'Юнит 19-25.01'!AE46</f>
        <v>-810.57042999999999</v>
      </c>
      <c r="D47" s="242">
        <f t="shared" si="11"/>
        <v>-0.20167482798202771</v>
      </c>
      <c r="E47" s="242">
        <f t="shared" si="14"/>
        <v>2.4254449985175541</v>
      </c>
      <c r="F47" s="243" t="str">
        <f t="shared" si="16"/>
        <v>C</v>
      </c>
      <c r="G47" s="243" t="str">
        <f t="shared" si="12"/>
        <v>C</v>
      </c>
      <c r="I47" s="240" t="s">
        <v>79</v>
      </c>
      <c r="J47" s="241">
        <f>'Юнит 19-25.01'!R46</f>
        <v>0</v>
      </c>
      <c r="K47" s="242">
        <f t="shared" si="13"/>
        <v>0</v>
      </c>
      <c r="L47" s="242">
        <f t="shared" si="15"/>
        <v>1.0714285714285714</v>
      </c>
      <c r="M47" s="243" t="str">
        <f t="shared" si="17"/>
        <v>C</v>
      </c>
    </row>
    <row r="48" spans="2:13" ht="26.5" thickBot="1">
      <c r="B48" s="240" t="s">
        <v>71</v>
      </c>
      <c r="C48" s="241">
        <f>'Юнит 19-25.01'!AE38</f>
        <v>-1412.6399999999999</v>
      </c>
      <c r="D48" s="242">
        <f t="shared" si="11"/>
        <v>-0.35147338029655439</v>
      </c>
      <c r="E48" s="242">
        <f t="shared" si="14"/>
        <v>2.073971618221</v>
      </c>
      <c r="F48" s="243" t="str">
        <f t="shared" si="16"/>
        <v>C</v>
      </c>
      <c r="G48" s="243" t="str">
        <f t="shared" si="12"/>
        <v>C</v>
      </c>
      <c r="I48" s="240" t="s">
        <v>80</v>
      </c>
      <c r="J48" s="241">
        <f>'Юнит 19-25.01'!R47</f>
        <v>0</v>
      </c>
      <c r="K48" s="242">
        <f t="shared" si="13"/>
        <v>0</v>
      </c>
      <c r="L48" s="242">
        <f t="shared" si="15"/>
        <v>1.0714285714285714</v>
      </c>
      <c r="M48" s="243" t="str">
        <f t="shared" si="17"/>
        <v>C</v>
      </c>
    </row>
    <row r="49" spans="2:13" ht="26.5" thickBot="1">
      <c r="B49" s="240" t="s">
        <v>77</v>
      </c>
      <c r="C49" s="241">
        <f>'Юнит 19-25.01'!AE44</f>
        <v>-4316.5011970000023</v>
      </c>
      <c r="D49" s="242">
        <f t="shared" si="11"/>
        <v>-1.0739716182210004</v>
      </c>
      <c r="E49" s="242">
        <f t="shared" si="14"/>
        <v>0.99999999999999956</v>
      </c>
      <c r="F49" s="243" t="str">
        <f t="shared" si="16"/>
        <v>C</v>
      </c>
      <c r="G49" s="243" t="str">
        <f t="shared" si="12"/>
        <v>A</v>
      </c>
      <c r="I49" s="240" t="s">
        <v>71</v>
      </c>
      <c r="J49" s="241">
        <f>'Юнит 19-25.01'!R38</f>
        <v>-1</v>
      </c>
      <c r="K49" s="242">
        <f t="shared" si="13"/>
        <v>-7.1428571428571425E-2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4019.1948499999917</v>
      </c>
      <c r="D50" s="250">
        <f>SUM(D30:D49)</f>
        <v>0.99999999999999956</v>
      </c>
      <c r="J50" s="249">
        <f>SUM(J30:J49)</f>
        <v>14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33" priority="4" operator="equal">
      <formula>"C"</formula>
    </cfRule>
    <cfRule type="cellIs" dxfId="232" priority="5" operator="equal">
      <formula>"B"</formula>
    </cfRule>
    <cfRule type="cellIs" dxfId="231" priority="6" operator="equal">
      <formula>"A"</formula>
    </cfRule>
  </conditionalFormatting>
  <conditionalFormatting sqref="M30:M49 D30:D49 K30:K49 F30:G49">
    <cfRule type="cellIs" dxfId="230" priority="1" operator="equal">
      <formula>"C"</formula>
    </cfRule>
    <cfRule type="cellIs" dxfId="229" priority="2" operator="equal">
      <formula>"B"</formula>
    </cfRule>
    <cfRule type="cellIs" dxfId="228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A26C-55E2-4687-A9FC-723A858115D3}">
  <dimension ref="B1:Q50"/>
  <sheetViews>
    <sheetView zoomScale="90" zoomScaleNormal="90" workbookViewId="0">
      <selection activeCell="H8" sqref="H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12-18.01'!AE3</f>
        <v>11137.395480000014</v>
      </c>
      <c r="D4" s="242">
        <f>C4/C$26</f>
        <v>0.74671755480592805</v>
      </c>
      <c r="E4" s="242">
        <f>D4</f>
        <v>0.74671755480592805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12-18.01'!R3</f>
        <v>43</v>
      </c>
      <c r="K4" s="242">
        <f>J4/J$26</f>
        <v>0.7678571428571429</v>
      </c>
      <c r="L4" s="242">
        <f>K4</f>
        <v>0.7678571428571429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41</v>
      </c>
      <c r="C5" s="241">
        <f>'Юнит 12-18.01'!AE6</f>
        <v>3561.251341000001</v>
      </c>
      <c r="D5" s="242">
        <f>C5/C$26</f>
        <v>0.2387675734579239</v>
      </c>
      <c r="E5" s="242">
        <f>D5+E4</f>
        <v>0.98548512826385193</v>
      </c>
      <c r="F5" s="243" t="str">
        <f t="shared" si="0"/>
        <v>C</v>
      </c>
      <c r="G5" s="243" t="str">
        <f>VLOOKUP(B$4:B$25,I$4:M$25,5,0)</f>
        <v>B</v>
      </c>
      <c r="I5" s="240" t="s">
        <v>41</v>
      </c>
      <c r="J5" s="241">
        <f>'Юнит 12-18.01'!R6</f>
        <v>7</v>
      </c>
      <c r="K5" s="242">
        <f>J5/J$26</f>
        <v>0.125</v>
      </c>
      <c r="L5" s="242">
        <f>K5+L4</f>
        <v>0.8928571428571429</v>
      </c>
      <c r="M5" s="243" t="str">
        <f t="shared" si="1"/>
        <v>B</v>
      </c>
    </row>
    <row r="6" spans="2:17" ht="28.5" customHeight="1" outlineLevel="1" thickBot="1">
      <c r="B6" s="240" t="s">
        <v>40</v>
      </c>
      <c r="C6" s="241">
        <f>'Юнит 12-18.01'!AE5</f>
        <v>881.45</v>
      </c>
      <c r="D6" s="242">
        <f>C6/C$26</f>
        <v>5.9097675921236527E-2</v>
      </c>
      <c r="E6" s="242">
        <f t="shared" ref="E6:E25" si="2">D6+E5</f>
        <v>1.0445828041850884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12-18.01'!R4</f>
        <v>2</v>
      </c>
      <c r="K6" s="242">
        <f>J6/J$26</f>
        <v>3.5714285714285712E-2</v>
      </c>
      <c r="L6" s="242">
        <f t="shared" ref="L6:L25" si="3">K6+L5</f>
        <v>0.9285714285714286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12-18.01'!AE16</f>
        <v>861.87000000000023</v>
      </c>
      <c r="D7" s="242">
        <f>C7/C$26</f>
        <v>5.7784915702803488E-2</v>
      </c>
      <c r="E7" s="242">
        <f t="shared" si="2"/>
        <v>1.1023677198878918</v>
      </c>
      <c r="F7" s="243" t="str">
        <f t="shared" si="0"/>
        <v>C</v>
      </c>
      <c r="G7" s="243" t="str">
        <f>VLOOKUP(B$4:B$25,I$4:M$25,5,0)</f>
        <v>C</v>
      </c>
      <c r="I7" s="240" t="s">
        <v>40</v>
      </c>
      <c r="J7" s="241">
        <f>'Юнит 12-18.01'!R5</f>
        <v>2</v>
      </c>
      <c r="K7" s="242">
        <f>J7/J$26</f>
        <v>3.5714285714285712E-2</v>
      </c>
      <c r="L7" s="242">
        <f t="shared" si="3"/>
        <v>0.9642857142857143</v>
      </c>
      <c r="M7" s="243" t="str">
        <f t="shared" si="1"/>
        <v>C</v>
      </c>
    </row>
    <row r="8" spans="2:17" ht="28.5" customHeight="1" outlineLevel="1" thickBot="1">
      <c r="B8" s="240" t="s">
        <v>42</v>
      </c>
      <c r="C8" s="241">
        <f>'Юнит 12-18.01'!AE7</f>
        <v>0</v>
      </c>
      <c r="D8" s="242">
        <f>C8/C$26</f>
        <v>0</v>
      </c>
      <c r="E8" s="242">
        <f t="shared" si="2"/>
        <v>1.1023677198878918</v>
      </c>
      <c r="F8" s="243" t="str">
        <f t="shared" si="0"/>
        <v>C</v>
      </c>
      <c r="G8" s="243" t="str">
        <f>VLOOKUP(B$4:B$25,I$4:M$25,5,0)</f>
        <v>C</v>
      </c>
      <c r="I8" s="240" t="s">
        <v>51</v>
      </c>
      <c r="J8" s="241">
        <f>'Юнит 12-18.01'!R16</f>
        <v>2</v>
      </c>
      <c r="K8" s="242">
        <f>J8/J$26</f>
        <v>3.5714285714285712E-2</v>
      </c>
      <c r="L8" s="242">
        <f t="shared" si="3"/>
        <v>1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12-18.01'!AE8</f>
        <v>0</v>
      </c>
      <c r="D9" s="242">
        <f t="shared" ref="D9:D25" si="4">C9/C$26</f>
        <v>0</v>
      </c>
      <c r="E9" s="242">
        <f t="shared" si="2"/>
        <v>1.1023677198878918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42</v>
      </c>
      <c r="J9" s="241">
        <f>'Юнит 12-18.01'!R7</f>
        <v>0</v>
      </c>
      <c r="K9" s="242">
        <f t="shared" ref="K9:K25" si="6">J9/J$26</f>
        <v>0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46</v>
      </c>
      <c r="C10" s="241">
        <f>'Юнит 12-18.01'!AE11</f>
        <v>0</v>
      </c>
      <c r="D10" s="242">
        <f t="shared" si="4"/>
        <v>0</v>
      </c>
      <c r="E10" s="242">
        <f t="shared" si="2"/>
        <v>1.1023677198878918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12-18.01'!R8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47</v>
      </c>
      <c r="C11" s="241">
        <f>'Юнит 12-18.01'!AE12</f>
        <v>0</v>
      </c>
      <c r="D11" s="242">
        <f t="shared" si="4"/>
        <v>0</v>
      </c>
      <c r="E11" s="242">
        <f>D11+E8</f>
        <v>1.1023677198878918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12-18.01'!R9</f>
        <v>0</v>
      </c>
      <c r="K11" s="242">
        <f t="shared" si="6"/>
        <v>0</v>
      </c>
      <c r="L11" s="242">
        <f>K11+L8</f>
        <v>1</v>
      </c>
      <c r="M11" s="243" t="str">
        <f t="shared" si="1"/>
        <v>C</v>
      </c>
    </row>
    <row r="12" spans="2:17" ht="28.5" customHeight="1" outlineLevel="1" thickBot="1">
      <c r="B12" s="240" t="s">
        <v>49</v>
      </c>
      <c r="C12" s="241">
        <f>'Юнит 12-18.01'!AE14</f>
        <v>0</v>
      </c>
      <c r="D12" s="242">
        <f t="shared" si="4"/>
        <v>0</v>
      </c>
      <c r="E12" s="242">
        <f t="shared" si="2"/>
        <v>1.1023677198878918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12-18.01'!R10</f>
        <v>0</v>
      </c>
      <c r="K12" s="242">
        <f t="shared" si="6"/>
        <v>0</v>
      </c>
      <c r="L12" s="242">
        <f t="shared" si="3"/>
        <v>1</v>
      </c>
      <c r="M12" s="243" t="str">
        <f t="shared" si="1"/>
        <v>C</v>
      </c>
    </row>
    <row r="13" spans="2:17" ht="26.5" outlineLevel="1" thickBot="1">
      <c r="B13" s="240" t="s">
        <v>50</v>
      </c>
      <c r="C13" s="241">
        <f>'Юнит 12-18.01'!AE15</f>
        <v>0</v>
      </c>
      <c r="D13" s="242">
        <f t="shared" si="4"/>
        <v>0</v>
      </c>
      <c r="E13" s="242">
        <f t="shared" si="2"/>
        <v>1.1023677198878918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12-18.01'!R11</f>
        <v>0</v>
      </c>
      <c r="K13" s="242">
        <f t="shared" si="6"/>
        <v>0</v>
      </c>
      <c r="L13" s="242">
        <f t="shared" si="3"/>
        <v>1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52</v>
      </c>
      <c r="C14" s="241">
        <f>'Юнит 12-18.01'!AE17</f>
        <v>0</v>
      </c>
      <c r="D14" s="242">
        <f t="shared" si="4"/>
        <v>0</v>
      </c>
      <c r="E14" s="242">
        <f t="shared" si="2"/>
        <v>1.1023677198878918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12-18.01'!R12</f>
        <v>0</v>
      </c>
      <c r="K14" s="242">
        <f t="shared" si="6"/>
        <v>0</v>
      </c>
      <c r="L14" s="242">
        <f t="shared" si="3"/>
        <v>1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53</v>
      </c>
      <c r="C15" s="241">
        <f>'Юнит 12-18.01'!AE18</f>
        <v>0</v>
      </c>
      <c r="D15" s="242">
        <f t="shared" si="4"/>
        <v>0</v>
      </c>
      <c r="E15" s="242">
        <f t="shared" si="2"/>
        <v>1.1023677198878918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12-18.01'!R13</f>
        <v>0</v>
      </c>
      <c r="K15" s="242">
        <f t="shared" si="6"/>
        <v>0</v>
      </c>
      <c r="L15" s="242">
        <f t="shared" si="3"/>
        <v>1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54</v>
      </c>
      <c r="C16" s="241">
        <f>'Юнит 12-18.01'!AE19</f>
        <v>0</v>
      </c>
      <c r="D16" s="242">
        <f t="shared" si="4"/>
        <v>0</v>
      </c>
      <c r="E16" s="242">
        <f t="shared" si="2"/>
        <v>1.1023677198878918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12-18.01'!R14</f>
        <v>0</v>
      </c>
      <c r="K16" s="242">
        <f t="shared" si="6"/>
        <v>0</v>
      </c>
      <c r="L16" s="242">
        <f t="shared" si="3"/>
        <v>1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55</v>
      </c>
      <c r="C17" s="241">
        <f>'Юнит 12-18.01'!AE20</f>
        <v>0</v>
      </c>
      <c r="D17" s="242">
        <f t="shared" si="4"/>
        <v>0</v>
      </c>
      <c r="E17" s="242">
        <f t="shared" si="2"/>
        <v>1.1023677198878918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12-18.01'!R15</f>
        <v>0</v>
      </c>
      <c r="K17" s="242">
        <f t="shared" si="6"/>
        <v>0</v>
      </c>
      <c r="L17" s="242">
        <f t="shared" si="3"/>
        <v>1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12-18.01'!AE21</f>
        <v>0</v>
      </c>
      <c r="D18" s="242">
        <f t="shared" si="4"/>
        <v>0</v>
      </c>
      <c r="E18" s="242">
        <f t="shared" si="2"/>
        <v>1.1023677198878918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12-18.01'!R17</f>
        <v>0</v>
      </c>
      <c r="K18" s="242">
        <f t="shared" si="6"/>
        <v>0</v>
      </c>
      <c r="L18" s="242">
        <f t="shared" si="3"/>
        <v>1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12-18.01'!AE22</f>
        <v>0</v>
      </c>
      <c r="D19" s="242">
        <f t="shared" si="4"/>
        <v>0</v>
      </c>
      <c r="E19" s="242">
        <f t="shared" si="2"/>
        <v>1.1023677198878918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12-18.01'!R18</f>
        <v>0</v>
      </c>
      <c r="K19" s="242">
        <f t="shared" si="6"/>
        <v>0</v>
      </c>
      <c r="L19" s="242">
        <f t="shared" si="3"/>
        <v>1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12-18.01'!AE23</f>
        <v>0</v>
      </c>
      <c r="D20" s="242">
        <f t="shared" si="4"/>
        <v>0</v>
      </c>
      <c r="E20" s="242">
        <f t="shared" si="2"/>
        <v>1.1023677198878918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12-18.01'!R19</f>
        <v>0</v>
      </c>
      <c r="K20" s="242">
        <f t="shared" si="6"/>
        <v>0</v>
      </c>
      <c r="L20" s="242">
        <f t="shared" si="3"/>
        <v>1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12-18.01'!AE24</f>
        <v>0</v>
      </c>
      <c r="D21" s="242">
        <f t="shared" si="4"/>
        <v>0</v>
      </c>
      <c r="E21" s="242">
        <f t="shared" si="2"/>
        <v>1.1023677198878918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12-18.01'!R20</f>
        <v>0</v>
      </c>
      <c r="K21" s="242">
        <f t="shared" si="6"/>
        <v>0</v>
      </c>
      <c r="L21" s="242">
        <f t="shared" si="3"/>
        <v>1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45</v>
      </c>
      <c r="C22" s="241">
        <f>'Юнит 12-18.01'!AE10</f>
        <v>-93.54</v>
      </c>
      <c r="D22" s="242">
        <f t="shared" si="4"/>
        <v>-6.2714806349452208E-3</v>
      </c>
      <c r="E22" s="242">
        <f t="shared" si="2"/>
        <v>1.0960962392529465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12-18.01'!R21</f>
        <v>0</v>
      </c>
      <c r="K22" s="242">
        <f t="shared" si="6"/>
        <v>0</v>
      </c>
      <c r="L22" s="242">
        <f t="shared" si="3"/>
        <v>1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48</v>
      </c>
      <c r="C23" s="241">
        <f>'Юнит 12-18.01'!AE13</f>
        <v>-93.54</v>
      </c>
      <c r="D23" s="242">
        <f t="shared" si="4"/>
        <v>-6.2714806349452208E-3</v>
      </c>
      <c r="E23" s="242">
        <f t="shared" si="2"/>
        <v>1.0898247586180012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12-18.01'!R22</f>
        <v>0</v>
      </c>
      <c r="K23" s="242">
        <f t="shared" si="6"/>
        <v>0</v>
      </c>
      <c r="L23" s="242">
        <f t="shared" si="3"/>
        <v>1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12-18.01'!AE9</f>
        <v>-429.25018599999999</v>
      </c>
      <c r="D24" s="242">
        <f t="shared" si="4"/>
        <v>-2.877949785167451E-2</v>
      </c>
      <c r="E24" s="242">
        <f t="shared" si="2"/>
        <v>1.0610452607663268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12-18.01'!R23</f>
        <v>0</v>
      </c>
      <c r="K24" s="242">
        <f t="shared" si="6"/>
        <v>0</v>
      </c>
      <c r="L24" s="242">
        <f t="shared" si="3"/>
        <v>1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39</v>
      </c>
      <c r="C25" s="241">
        <f>'Юнит 12-18.01'!AE4</f>
        <v>-910.4984969999997</v>
      </c>
      <c r="D25" s="242">
        <f t="shared" si="4"/>
        <v>-6.1045260766326992E-2</v>
      </c>
      <c r="E25" s="242">
        <f t="shared" si="2"/>
        <v>0.99999999999999978</v>
      </c>
      <c r="F25" s="243" t="str">
        <f t="shared" si="7"/>
        <v>C</v>
      </c>
      <c r="G25" s="243" t="str">
        <f t="shared" si="5"/>
        <v>B</v>
      </c>
      <c r="I25" s="240" t="s">
        <v>59</v>
      </c>
      <c r="J25" s="241">
        <f>'Юнит 12-18.01'!R24</f>
        <v>0</v>
      </c>
      <c r="K25" s="242">
        <f t="shared" si="6"/>
        <v>0</v>
      </c>
      <c r="L25" s="242">
        <f t="shared" si="3"/>
        <v>1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14915.138138000015</v>
      </c>
      <c r="D26" s="250">
        <f>SUM(D4:D25)</f>
        <v>0.99999999999999978</v>
      </c>
      <c r="J26" s="249">
        <f>SUM(J4:J25)</f>
        <v>56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71</v>
      </c>
      <c r="C30" s="241">
        <f>'Юнит 12-18.01'!AE38</f>
        <v>1094.25</v>
      </c>
      <c r="D30" s="242">
        <f>C30/C$50</f>
        <v>1.0062694286786111</v>
      </c>
      <c r="E30" s="242">
        <f>D30</f>
        <v>1.0062694286786111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B</v>
      </c>
      <c r="I30" s="240" t="s">
        <v>77</v>
      </c>
      <c r="J30" s="241">
        <f>'Юнит 12-18.01'!R44</f>
        <v>3</v>
      </c>
      <c r="K30" s="242">
        <f>J30/J$50</f>
        <v>0.6</v>
      </c>
      <c r="L30" s="242">
        <f>K30</f>
        <v>0.6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77</v>
      </c>
      <c r="C31" s="241">
        <f>'Юнит 12-18.01'!AE44</f>
        <v>1366.2751290000003</v>
      </c>
      <c r="D31" s="242">
        <f t="shared" ref="D31:D49" si="11">C31/C$50</f>
        <v>1.2564230235107388</v>
      </c>
      <c r="E31" s="242">
        <f>D31+E30</f>
        <v>2.2626924521893499</v>
      </c>
      <c r="F31" s="243" t="str">
        <f t="shared" si="9"/>
        <v>C</v>
      </c>
      <c r="G31" s="243" t="str">
        <f t="shared" ref="G31:G49" si="12">VLOOKUP(B$30:B$50,I$30:M$50,5,0)</f>
        <v>A</v>
      </c>
      <c r="I31" s="240" t="s">
        <v>71</v>
      </c>
      <c r="J31" s="241">
        <f>'Юнит 12-18.01'!R38</f>
        <v>1</v>
      </c>
      <c r="K31" s="242">
        <f t="shared" ref="K31:K49" si="13">J31/J$50</f>
        <v>0.2</v>
      </c>
      <c r="L31" s="242">
        <f>K31+L30</f>
        <v>0.8</v>
      </c>
      <c r="M31" s="243" t="str">
        <f t="shared" si="10"/>
        <v>B</v>
      </c>
    </row>
    <row r="32" spans="2:17" ht="26.5" thickBot="1">
      <c r="B32" s="240" t="s">
        <v>61</v>
      </c>
      <c r="C32" s="241">
        <f>'Юнит 12-18.01'!AE28</f>
        <v>0</v>
      </c>
      <c r="D32" s="242">
        <f t="shared" si="11"/>
        <v>0</v>
      </c>
      <c r="E32" s="242">
        <f t="shared" ref="E32:E49" si="14">D32+E31</f>
        <v>2.2626924521893499</v>
      </c>
      <c r="F32" s="243" t="str">
        <f t="shared" si="9"/>
        <v>C</v>
      </c>
      <c r="G32" s="243" t="str">
        <f t="shared" si="12"/>
        <v>C</v>
      </c>
      <c r="I32" s="240" t="s">
        <v>78</v>
      </c>
      <c r="J32" s="241">
        <f>'Юнит 12-18.01'!R45</f>
        <v>1</v>
      </c>
      <c r="K32" s="242">
        <f t="shared" si="13"/>
        <v>0.2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12-18.01'!AE29</f>
        <v>0</v>
      </c>
      <c r="D33" s="242">
        <f t="shared" si="11"/>
        <v>0</v>
      </c>
      <c r="E33" s="242">
        <f t="shared" si="14"/>
        <v>2.2626924521893499</v>
      </c>
      <c r="F33" s="243" t="str">
        <f t="shared" si="9"/>
        <v>C</v>
      </c>
      <c r="G33" s="243" t="str">
        <f t="shared" si="12"/>
        <v>C</v>
      </c>
      <c r="I33" s="240" t="s">
        <v>61</v>
      </c>
      <c r="J33" s="241">
        <f>'Юнит 12-18.01'!R28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12-18.01'!AE30</f>
        <v>0</v>
      </c>
      <c r="D34" s="242">
        <f t="shared" si="11"/>
        <v>0</v>
      </c>
      <c r="E34" s="242">
        <f t="shared" si="14"/>
        <v>2.2626924521893499</v>
      </c>
      <c r="F34" s="243" t="str">
        <f t="shared" si="9"/>
        <v>C</v>
      </c>
      <c r="G34" s="243" t="str">
        <f t="shared" si="12"/>
        <v>C</v>
      </c>
      <c r="I34" s="240" t="s">
        <v>62</v>
      </c>
      <c r="J34" s="241">
        <f>'Юнит 12-18.01'!R29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26.5" thickBot="1">
      <c r="B35" s="240" t="s">
        <v>64</v>
      </c>
      <c r="C35" s="241">
        <f>'Юнит 12-18.01'!AE31</f>
        <v>0</v>
      </c>
      <c r="D35" s="242">
        <f t="shared" si="11"/>
        <v>0</v>
      </c>
      <c r="E35" s="242">
        <f t="shared" si="14"/>
        <v>2.2626924521893499</v>
      </c>
      <c r="F35" s="243" t="str">
        <f t="shared" si="9"/>
        <v>C</v>
      </c>
      <c r="G35" s="243" t="str">
        <f t="shared" si="12"/>
        <v>C</v>
      </c>
      <c r="I35" s="240" t="s">
        <v>63</v>
      </c>
      <c r="J35" s="241">
        <f>'Юнит 12-18.01'!R30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12-18.01'!AE32</f>
        <v>0</v>
      </c>
      <c r="D36" s="242">
        <f t="shared" si="11"/>
        <v>0</v>
      </c>
      <c r="E36" s="242">
        <f t="shared" si="14"/>
        <v>2.2626924521893499</v>
      </c>
      <c r="F36" s="243" t="str">
        <f t="shared" si="9"/>
        <v>C</v>
      </c>
      <c r="G36" s="243" t="str">
        <f t="shared" si="12"/>
        <v>C</v>
      </c>
      <c r="I36" s="240" t="s">
        <v>64</v>
      </c>
      <c r="J36" s="241">
        <f>'Юнит 12-18.01'!R31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12-18.01'!AE33</f>
        <v>0</v>
      </c>
      <c r="D37" s="242">
        <f t="shared" si="11"/>
        <v>0</v>
      </c>
      <c r="E37" s="242">
        <f t="shared" si="14"/>
        <v>2.2626924521893499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65</v>
      </c>
      <c r="J37" s="241">
        <f>'Юнит 12-18.01'!R32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12-18.01'!AE34</f>
        <v>0</v>
      </c>
      <c r="D38" s="242">
        <f t="shared" si="11"/>
        <v>0</v>
      </c>
      <c r="E38" s="242">
        <f t="shared" si="14"/>
        <v>2.2626924521893499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66</v>
      </c>
      <c r="J38" s="241">
        <f>'Юнит 12-18.01'!R33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12-18.01'!AE35</f>
        <v>0</v>
      </c>
      <c r="D39" s="242">
        <f t="shared" si="11"/>
        <v>0</v>
      </c>
      <c r="E39" s="242">
        <f t="shared" si="14"/>
        <v>2.2626924521893499</v>
      </c>
      <c r="F39" s="243" t="str">
        <f t="shared" si="16"/>
        <v>C</v>
      </c>
      <c r="G39" s="243" t="str">
        <f t="shared" si="12"/>
        <v>C</v>
      </c>
      <c r="I39" s="240" t="s">
        <v>67</v>
      </c>
      <c r="J39" s="241">
        <f>'Юнит 12-18.01'!R34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12-18.01'!AE36</f>
        <v>0</v>
      </c>
      <c r="D40" s="242">
        <f t="shared" si="11"/>
        <v>0</v>
      </c>
      <c r="E40" s="242">
        <f t="shared" si="14"/>
        <v>2.2626924521893499</v>
      </c>
      <c r="F40" s="243" t="str">
        <f t="shared" si="16"/>
        <v>C</v>
      </c>
      <c r="G40" s="243" t="str">
        <f t="shared" si="12"/>
        <v>C</v>
      </c>
      <c r="I40" s="240" t="s">
        <v>68</v>
      </c>
      <c r="J40" s="241">
        <f>'Юнит 12-18.01'!R35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70</v>
      </c>
      <c r="C41" s="241">
        <f>'Юнит 12-18.01'!AE37</f>
        <v>0</v>
      </c>
      <c r="D41" s="242">
        <f t="shared" si="11"/>
        <v>0</v>
      </c>
      <c r="E41" s="242">
        <f t="shared" si="14"/>
        <v>2.2626924521893499</v>
      </c>
      <c r="F41" s="243" t="str">
        <f t="shared" si="16"/>
        <v>C</v>
      </c>
      <c r="G41" s="243" t="str">
        <f t="shared" si="12"/>
        <v>C</v>
      </c>
      <c r="I41" s="240" t="s">
        <v>69</v>
      </c>
      <c r="J41" s="241">
        <f>'Юнит 12-18.01'!R36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12-18.01'!AE39</f>
        <v>0</v>
      </c>
      <c r="D42" s="242">
        <f t="shared" si="11"/>
        <v>0</v>
      </c>
      <c r="E42" s="242">
        <f t="shared" si="14"/>
        <v>2.2626924521893499</v>
      </c>
      <c r="F42" s="243" t="str">
        <f t="shared" si="16"/>
        <v>C</v>
      </c>
      <c r="G42" s="243" t="str">
        <f t="shared" si="12"/>
        <v>C</v>
      </c>
      <c r="I42" s="240" t="s">
        <v>70</v>
      </c>
      <c r="J42" s="241">
        <f>'Юнит 12-18.01'!R37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12-18.01'!AE40</f>
        <v>0</v>
      </c>
      <c r="D43" s="242">
        <f t="shared" si="11"/>
        <v>0</v>
      </c>
      <c r="E43" s="242">
        <f t="shared" si="14"/>
        <v>2.2626924521893499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12-18.01'!R39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12-18.01'!AE41</f>
        <v>0</v>
      </c>
      <c r="D44" s="242">
        <f t="shared" si="11"/>
        <v>0</v>
      </c>
      <c r="E44" s="242">
        <f t="shared" si="14"/>
        <v>2.2626924521893499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12-18.01'!R40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75</v>
      </c>
      <c r="C45" s="241">
        <f>'Юнит 12-18.01'!AE42</f>
        <v>0</v>
      </c>
      <c r="D45" s="242">
        <f t="shared" si="11"/>
        <v>0</v>
      </c>
      <c r="E45" s="242">
        <f t="shared" si="14"/>
        <v>2.2626924521893499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12-18.01'!R41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76</v>
      </c>
      <c r="C46" s="241">
        <f>'Юнит 12-18.01'!AE43</f>
        <v>0</v>
      </c>
      <c r="D46" s="242">
        <f t="shared" si="11"/>
        <v>0</v>
      </c>
      <c r="E46" s="242">
        <f t="shared" si="14"/>
        <v>2.2626924521893499</v>
      </c>
      <c r="F46" s="243" t="str">
        <f t="shared" si="16"/>
        <v>C</v>
      </c>
      <c r="G46" s="243" t="str">
        <f t="shared" si="12"/>
        <v>C</v>
      </c>
      <c r="I46" s="240" t="s">
        <v>75</v>
      </c>
      <c r="J46" s="241">
        <f>'Юнит 12-18.01'!R42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79</v>
      </c>
      <c r="C47" s="241">
        <f>'Юнит 12-18.01'!AE46</f>
        <v>0</v>
      </c>
      <c r="D47" s="242">
        <f t="shared" si="11"/>
        <v>0</v>
      </c>
      <c r="E47" s="242">
        <f t="shared" si="14"/>
        <v>2.2626924521893499</v>
      </c>
      <c r="F47" s="243" t="str">
        <f t="shared" si="16"/>
        <v>C</v>
      </c>
      <c r="G47" s="243" t="str">
        <f t="shared" si="12"/>
        <v>C</v>
      </c>
      <c r="I47" s="240" t="s">
        <v>76</v>
      </c>
      <c r="J47" s="241">
        <f>'Юнит 12-18.01'!R43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80</v>
      </c>
      <c r="C48" s="241">
        <f>'Юнит 12-18.01'!AE47</f>
        <v>0</v>
      </c>
      <c r="D48" s="242">
        <f t="shared" si="11"/>
        <v>0</v>
      </c>
      <c r="E48" s="242">
        <f t="shared" si="14"/>
        <v>2.2626924521893499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12-18.01'!R46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12-18.01'!AE45</f>
        <v>-1373.092709</v>
      </c>
      <c r="D49" s="242">
        <f t="shared" si="11"/>
        <v>-1.2626924521893501</v>
      </c>
      <c r="E49" s="242">
        <f t="shared" si="14"/>
        <v>0.99999999999999978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12-18.01'!R47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1087.4324200000005</v>
      </c>
      <c r="D50" s="250">
        <f>SUM(D30:D49)</f>
        <v>0.99999999999999978</v>
      </c>
      <c r="J50" s="249">
        <f>SUM(J30:J49)</f>
        <v>5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27" priority="4" operator="equal">
      <formula>"C"</formula>
    </cfRule>
    <cfRule type="cellIs" dxfId="226" priority="5" operator="equal">
      <formula>"B"</formula>
    </cfRule>
    <cfRule type="cellIs" dxfId="225" priority="6" operator="equal">
      <formula>"A"</formula>
    </cfRule>
  </conditionalFormatting>
  <conditionalFormatting sqref="M30:M49 D30:D49 K30:K49 F30:G49">
    <cfRule type="cellIs" dxfId="224" priority="1" operator="equal">
      <formula>"C"</formula>
    </cfRule>
    <cfRule type="cellIs" dxfId="223" priority="2" operator="equal">
      <formula>"B"</formula>
    </cfRule>
    <cfRule type="cellIs" dxfId="222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1ECF-2D93-47D4-896E-E43335C92C5F}">
  <dimension ref="B1:Q50"/>
  <sheetViews>
    <sheetView zoomScale="90" zoomScaleNormal="90" workbookViewId="0">
      <selection activeCell="O7" sqref="O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38</v>
      </c>
      <c r="C4" s="241">
        <f>'Юнит 05-11.01'!AE3</f>
        <v>6568.9866900000034</v>
      </c>
      <c r="D4" s="242">
        <f>C4/C$26</f>
        <v>0.6482752530447432</v>
      </c>
      <c r="E4" s="242">
        <f>D4</f>
        <v>0.6482752530447432</v>
      </c>
      <c r="F4" s="243" t="str">
        <f t="shared" ref="F4:F12" si="0">IF(AND(E4&lt;=0),"C",IF(E4&lt;=0.8,"A",IF(E4&lt;=0.95,"B","C")))</f>
        <v>A</v>
      </c>
      <c r="G4" s="243" t="str">
        <f>VLOOKUP(B$4:B$25,I$4:M$25,5,0)</f>
        <v>A</v>
      </c>
      <c r="I4" s="240" t="s">
        <v>38</v>
      </c>
      <c r="J4" s="241">
        <f>'Юнит 05-11.01'!R3</f>
        <v>32</v>
      </c>
      <c r="K4" s="242">
        <f>J4/J$26</f>
        <v>0.59259259259259256</v>
      </c>
      <c r="L4" s="242">
        <f>K4</f>
        <v>0.59259259259259256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47</v>
      </c>
      <c r="C5" s="241">
        <f>'Юнит 05-11.01'!AE12</f>
        <v>698.36000000000013</v>
      </c>
      <c r="D5" s="242">
        <f>C5/C$26</f>
        <v>6.8919230176781907E-2</v>
      </c>
      <c r="E5" s="242">
        <f>D5+E4</f>
        <v>0.71719448322152513</v>
      </c>
      <c r="F5" s="243" t="str">
        <f t="shared" si="0"/>
        <v>A</v>
      </c>
      <c r="G5" s="243" t="str">
        <f>VLOOKUP(B$4:B$25,I$4:M$25,5,0)</f>
        <v>B</v>
      </c>
      <c r="I5" s="240" t="s">
        <v>41</v>
      </c>
      <c r="J5" s="241">
        <f>'Юнит 05-11.01'!R6</f>
        <v>11</v>
      </c>
      <c r="K5" s="242">
        <f>J5/J$26</f>
        <v>0.20370370370370369</v>
      </c>
      <c r="L5" s="242">
        <f>K5+L4</f>
        <v>0.79629629629629628</v>
      </c>
      <c r="M5" s="243" t="str">
        <f t="shared" si="1"/>
        <v>A</v>
      </c>
    </row>
    <row r="6" spans="2:17" ht="28.5" customHeight="1" outlineLevel="1" thickBot="1">
      <c r="B6" s="240" t="s">
        <v>41</v>
      </c>
      <c r="C6" s="241">
        <f>'Юнит 05-11.01'!AE6</f>
        <v>1305.2943180000032</v>
      </c>
      <c r="D6" s="242">
        <f>C6/C$26</f>
        <v>0.12881591092085423</v>
      </c>
      <c r="E6" s="242">
        <f t="shared" ref="E6:E25" si="2">D6+E5</f>
        <v>0.84601039414237933</v>
      </c>
      <c r="F6" s="243" t="str">
        <f t="shared" si="0"/>
        <v>B</v>
      </c>
      <c r="G6" s="243" t="str">
        <f>VLOOKUP(B$4:B$25,I$4:M$25,5,0)</f>
        <v>A</v>
      </c>
      <c r="I6" s="240" t="s">
        <v>47</v>
      </c>
      <c r="J6" s="241">
        <f>'Юнит 05-11.01'!R12</f>
        <v>2</v>
      </c>
      <c r="K6" s="242">
        <f>J6/J$26</f>
        <v>3.7037037037037035E-2</v>
      </c>
      <c r="L6" s="242">
        <f t="shared" ref="L6:L25" si="3">K6+L5</f>
        <v>0.83333333333333326</v>
      </c>
      <c r="M6" s="243" t="str">
        <f t="shared" si="1"/>
        <v>B</v>
      </c>
    </row>
    <row r="7" spans="2:17" ht="28.5" customHeight="1" outlineLevel="1" thickBot="1">
      <c r="B7" s="240" t="s">
        <v>51</v>
      </c>
      <c r="C7" s="241">
        <f>'Юнит 05-11.01'!AE16</f>
        <v>584.28000000000009</v>
      </c>
      <c r="D7" s="242">
        <f>C7/C$26</f>
        <v>5.766098832649369E-2</v>
      </c>
      <c r="E7" s="242">
        <f t="shared" si="2"/>
        <v>0.90367138246887302</v>
      </c>
      <c r="F7" s="243" t="str">
        <f t="shared" si="0"/>
        <v>B</v>
      </c>
      <c r="G7" s="243" t="str">
        <f>VLOOKUP(B$4:B$25,I$4:M$25,5,0)</f>
        <v>B</v>
      </c>
      <c r="I7" s="240" t="s">
        <v>50</v>
      </c>
      <c r="J7" s="241">
        <f>'Юнит 05-11.01'!R15</f>
        <v>2</v>
      </c>
      <c r="K7" s="242">
        <f>J7/J$26</f>
        <v>3.7037037037037035E-2</v>
      </c>
      <c r="L7" s="242">
        <f t="shared" si="3"/>
        <v>0.87037037037037024</v>
      </c>
      <c r="M7" s="243" t="str">
        <f t="shared" si="1"/>
        <v>B</v>
      </c>
    </row>
    <row r="8" spans="2:17" ht="28.5" customHeight="1" outlineLevel="1" thickBot="1">
      <c r="B8" s="240" t="s">
        <v>48</v>
      </c>
      <c r="C8" s="241">
        <f>'Юнит 05-11.01'!AE13</f>
        <v>497.35000000000014</v>
      </c>
      <c r="D8" s="242">
        <f>C8/C$26</f>
        <v>4.9082105401830695E-2</v>
      </c>
      <c r="E8" s="242">
        <f t="shared" si="2"/>
        <v>0.95275348787070369</v>
      </c>
      <c r="F8" s="243" t="str">
        <f t="shared" si="0"/>
        <v>C</v>
      </c>
      <c r="G8" s="243" t="str">
        <f>VLOOKUP(B$4:B$25,I$4:M$25,5,0)</f>
        <v>B</v>
      </c>
      <c r="I8" s="240" t="s">
        <v>51</v>
      </c>
      <c r="J8" s="241">
        <f>'Юнит 05-11.01'!R16</f>
        <v>2</v>
      </c>
      <c r="K8" s="242">
        <f>J8/J$26</f>
        <v>3.7037037037037035E-2</v>
      </c>
      <c r="L8" s="242">
        <f t="shared" si="3"/>
        <v>0.90740740740740722</v>
      </c>
      <c r="M8" s="243" t="str">
        <f t="shared" si="1"/>
        <v>B</v>
      </c>
    </row>
    <row r="9" spans="2:17" ht="28.5" customHeight="1" outlineLevel="1" thickBot="1">
      <c r="B9" s="240" t="s">
        <v>40</v>
      </c>
      <c r="C9" s="241">
        <f>'Юнит 05-11.01'!AE5</f>
        <v>360.57000000000005</v>
      </c>
      <c r="D9" s="242">
        <f t="shared" ref="D9:D25" si="4">C9/C$26</f>
        <v>3.558366290286135E-2</v>
      </c>
      <c r="E9" s="242">
        <f t="shared" si="2"/>
        <v>0.98833715077356499</v>
      </c>
      <c r="F9" s="243" t="str">
        <f t="shared" si="0"/>
        <v>C</v>
      </c>
      <c r="G9" s="243" t="str">
        <f t="shared" ref="G9:G25" si="5">VLOOKUP(B$4:B$25,I$4:M$25,5,0)</f>
        <v>B</v>
      </c>
      <c r="I9" s="240" t="s">
        <v>40</v>
      </c>
      <c r="J9" s="241">
        <f>'Юнит 05-11.01'!R5</f>
        <v>1</v>
      </c>
      <c r="K9" s="242">
        <f t="shared" ref="K9:K25" si="6">J9/J$26</f>
        <v>1.8518518518518517E-2</v>
      </c>
      <c r="L9" s="242">
        <f t="shared" si="3"/>
        <v>0.92592592592592571</v>
      </c>
      <c r="M9" s="243" t="str">
        <f t="shared" si="1"/>
        <v>B</v>
      </c>
    </row>
    <row r="10" spans="2:17" ht="28.5" customHeight="1" outlineLevel="1" thickBot="1">
      <c r="B10" s="240" t="s">
        <v>49</v>
      </c>
      <c r="C10" s="241">
        <f>'Юнит 05-11.01'!AE14</f>
        <v>280.86000000000013</v>
      </c>
      <c r="D10" s="242">
        <f t="shared" si="4"/>
        <v>2.77173019466335E-2</v>
      </c>
      <c r="E10" s="242">
        <f t="shared" si="2"/>
        <v>1.0160544527201985</v>
      </c>
      <c r="F10" s="243" t="str">
        <f t="shared" si="0"/>
        <v>C</v>
      </c>
      <c r="G10" s="243" t="str">
        <f t="shared" si="5"/>
        <v>C</v>
      </c>
      <c r="I10" s="240" t="s">
        <v>42</v>
      </c>
      <c r="J10" s="241">
        <f>'Юнит 05-11.01'!R7</f>
        <v>1</v>
      </c>
      <c r="K10" s="242">
        <f t="shared" si="6"/>
        <v>1.8518518518518517E-2</v>
      </c>
      <c r="L10" s="242">
        <f t="shared" si="3"/>
        <v>0.9444444444444442</v>
      </c>
      <c r="M10" s="243" t="str">
        <f t="shared" si="1"/>
        <v>B</v>
      </c>
    </row>
    <row r="11" spans="2:17" ht="28.5" customHeight="1" outlineLevel="1" thickBot="1">
      <c r="B11" s="240" t="s">
        <v>50</v>
      </c>
      <c r="C11" s="241">
        <f>'Юнит 05-11.01'!AE15</f>
        <v>132.94000000000045</v>
      </c>
      <c r="D11" s="242">
        <f t="shared" si="4"/>
        <v>1.3119483446505265E-2</v>
      </c>
      <c r="E11" s="242">
        <f>D11+E8</f>
        <v>0.96587297131720895</v>
      </c>
      <c r="F11" s="243" t="str">
        <f t="shared" si="0"/>
        <v>C</v>
      </c>
      <c r="G11" s="243" t="str">
        <f t="shared" si="5"/>
        <v>B</v>
      </c>
      <c r="I11" s="240" t="s">
        <v>44</v>
      </c>
      <c r="J11" s="241">
        <f>'Юнит 05-11.01'!R9</f>
        <v>1</v>
      </c>
      <c r="K11" s="242">
        <f t="shared" si="6"/>
        <v>1.8518518518518517E-2</v>
      </c>
      <c r="L11" s="242">
        <f>K11+L8</f>
        <v>0.92592592592592571</v>
      </c>
      <c r="M11" s="243" t="str">
        <f t="shared" si="1"/>
        <v>B</v>
      </c>
    </row>
    <row r="12" spans="2:17" ht="28.5" customHeight="1" outlineLevel="1" thickBot="1">
      <c r="B12" s="240" t="s">
        <v>39</v>
      </c>
      <c r="C12" s="241">
        <f>'Юнит 05-11.01'!AE4</f>
        <v>0</v>
      </c>
      <c r="D12" s="242">
        <f t="shared" si="4"/>
        <v>0</v>
      </c>
      <c r="E12" s="242">
        <f t="shared" si="2"/>
        <v>0.96587297131720895</v>
      </c>
      <c r="F12" s="243" t="str">
        <f t="shared" si="0"/>
        <v>C</v>
      </c>
      <c r="G12" s="243" t="str">
        <f t="shared" si="5"/>
        <v>C</v>
      </c>
      <c r="I12" s="240" t="s">
        <v>48</v>
      </c>
      <c r="J12" s="241">
        <f>'Юнит 05-11.01'!R13</f>
        <v>1</v>
      </c>
      <c r="K12" s="242">
        <f t="shared" si="6"/>
        <v>1.8518518518518517E-2</v>
      </c>
      <c r="L12" s="242">
        <f t="shared" si="3"/>
        <v>0.9444444444444442</v>
      </c>
      <c r="M12" s="243" t="str">
        <f t="shared" si="1"/>
        <v>B</v>
      </c>
    </row>
    <row r="13" spans="2:17" ht="15" outlineLevel="1" thickBot="1">
      <c r="B13" s="240" t="s">
        <v>43</v>
      </c>
      <c r="C13" s="241">
        <f>'Юнит 05-11.01'!AE8</f>
        <v>0</v>
      </c>
      <c r="D13" s="242">
        <f t="shared" si="4"/>
        <v>0</v>
      </c>
      <c r="E13" s="242">
        <f t="shared" si="2"/>
        <v>0.96587297131720895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49</v>
      </c>
      <c r="J13" s="241">
        <f>'Юнит 05-11.01'!R14</f>
        <v>1</v>
      </c>
      <c r="K13" s="242">
        <f t="shared" si="6"/>
        <v>1.8518518518518517E-2</v>
      </c>
      <c r="L13" s="242">
        <f t="shared" si="3"/>
        <v>0.96296296296296269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46</v>
      </c>
      <c r="C14" s="241">
        <f>'Юнит 05-11.01'!AE11</f>
        <v>0</v>
      </c>
      <c r="D14" s="242">
        <f t="shared" si="4"/>
        <v>0</v>
      </c>
      <c r="E14" s="242">
        <f t="shared" si="2"/>
        <v>0.96587297131720895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39</v>
      </c>
      <c r="J14" s="241">
        <f>'Юнит 05-11.01'!R4</f>
        <v>0</v>
      </c>
      <c r="K14" s="242">
        <f t="shared" si="6"/>
        <v>0</v>
      </c>
      <c r="L14" s="242">
        <f t="shared" si="3"/>
        <v>0.96296296296296269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05-11.01'!AE17</f>
        <v>0</v>
      </c>
      <c r="D15" s="242">
        <f t="shared" si="4"/>
        <v>0</v>
      </c>
      <c r="E15" s="242">
        <f t="shared" si="2"/>
        <v>0.96587297131720895</v>
      </c>
      <c r="F15" s="243" t="str">
        <f t="shared" si="7"/>
        <v>C</v>
      </c>
      <c r="G15" s="243" t="str">
        <f t="shared" si="5"/>
        <v>C</v>
      </c>
      <c r="I15" s="240" t="s">
        <v>43</v>
      </c>
      <c r="J15" s="241">
        <f>'Юнит 05-11.01'!R8</f>
        <v>0</v>
      </c>
      <c r="K15" s="242">
        <f t="shared" si="6"/>
        <v>0</v>
      </c>
      <c r="L15" s="242">
        <f t="shared" si="3"/>
        <v>0.96296296296296269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05-11.01'!AE18</f>
        <v>0</v>
      </c>
      <c r="D16" s="242">
        <f t="shared" si="4"/>
        <v>0</v>
      </c>
      <c r="E16" s="242">
        <f t="shared" si="2"/>
        <v>0.96587297131720895</v>
      </c>
      <c r="F16" s="243" t="str">
        <f t="shared" si="7"/>
        <v>C</v>
      </c>
      <c r="G16" s="243" t="str">
        <f t="shared" si="5"/>
        <v>C</v>
      </c>
      <c r="I16" s="240" t="s">
        <v>45</v>
      </c>
      <c r="J16" s="241">
        <f>'Юнит 05-11.01'!R10</f>
        <v>0</v>
      </c>
      <c r="K16" s="242">
        <f t="shared" si="6"/>
        <v>0</v>
      </c>
      <c r="L16" s="242">
        <f t="shared" si="3"/>
        <v>0.96296296296296269</v>
      </c>
      <c r="M16" s="243" t="str">
        <f t="shared" si="8"/>
        <v>C</v>
      </c>
      <c r="P16" s="248"/>
      <c r="Q16" s="242"/>
    </row>
    <row r="17" spans="2:17" ht="15" outlineLevel="1" thickBot="1">
      <c r="B17" s="240" t="s">
        <v>54</v>
      </c>
      <c r="C17" s="241">
        <f>'Юнит 05-11.01'!AE19</f>
        <v>0</v>
      </c>
      <c r="D17" s="242">
        <f t="shared" si="4"/>
        <v>0</v>
      </c>
      <c r="E17" s="242">
        <f t="shared" si="2"/>
        <v>0.96587297131720895</v>
      </c>
      <c r="F17" s="243" t="str">
        <f t="shared" si="7"/>
        <v>C</v>
      </c>
      <c r="G17" s="243" t="str">
        <f t="shared" si="5"/>
        <v>C</v>
      </c>
      <c r="I17" s="240" t="s">
        <v>46</v>
      </c>
      <c r="J17" s="241">
        <f>'Юнит 05-11.01'!R11</f>
        <v>0</v>
      </c>
      <c r="K17" s="242">
        <f t="shared" si="6"/>
        <v>0</v>
      </c>
      <c r="L17" s="242">
        <f t="shared" si="3"/>
        <v>0.96296296296296269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55</v>
      </c>
      <c r="C18" s="241">
        <f>'Юнит 05-11.01'!AE20</f>
        <v>0</v>
      </c>
      <c r="D18" s="242">
        <f t="shared" si="4"/>
        <v>0</v>
      </c>
      <c r="E18" s="242">
        <f t="shared" si="2"/>
        <v>0.96587297131720895</v>
      </c>
      <c r="F18" s="243" t="str">
        <f t="shared" si="7"/>
        <v>C</v>
      </c>
      <c r="G18" s="243" t="str">
        <f t="shared" si="5"/>
        <v>C</v>
      </c>
      <c r="I18" s="240" t="s">
        <v>52</v>
      </c>
      <c r="J18" s="241">
        <f>'Юнит 05-11.01'!R17</f>
        <v>0</v>
      </c>
      <c r="K18" s="242">
        <f t="shared" si="6"/>
        <v>0</v>
      </c>
      <c r="L18" s="242">
        <f t="shared" si="3"/>
        <v>0.96296296296296269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56</v>
      </c>
      <c r="C19" s="241">
        <f>'Юнит 05-11.01'!AE21</f>
        <v>0</v>
      </c>
      <c r="D19" s="242">
        <f t="shared" si="4"/>
        <v>0</v>
      </c>
      <c r="E19" s="242">
        <f t="shared" si="2"/>
        <v>0.96587297131720895</v>
      </c>
      <c r="F19" s="243" t="str">
        <f t="shared" si="7"/>
        <v>C</v>
      </c>
      <c r="G19" s="243" t="str">
        <f t="shared" si="5"/>
        <v>C</v>
      </c>
      <c r="I19" s="240" t="s">
        <v>53</v>
      </c>
      <c r="J19" s="241">
        <f>'Юнит 05-11.01'!R18</f>
        <v>0</v>
      </c>
      <c r="K19" s="242">
        <f t="shared" si="6"/>
        <v>0</v>
      </c>
      <c r="L19" s="242">
        <f t="shared" si="3"/>
        <v>0.96296296296296269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57</v>
      </c>
      <c r="C20" s="241">
        <f>'Юнит 05-11.01'!AE22</f>
        <v>0</v>
      </c>
      <c r="D20" s="242">
        <f t="shared" si="4"/>
        <v>0</v>
      </c>
      <c r="E20" s="242">
        <f t="shared" si="2"/>
        <v>0.96587297131720895</v>
      </c>
      <c r="F20" s="243" t="str">
        <f t="shared" si="7"/>
        <v>C</v>
      </c>
      <c r="G20" s="243" t="str">
        <f t="shared" si="5"/>
        <v>C</v>
      </c>
      <c r="I20" s="240" t="s">
        <v>54</v>
      </c>
      <c r="J20" s="241">
        <f>'Юнит 05-11.01'!R19</f>
        <v>0</v>
      </c>
      <c r="K20" s="242">
        <f t="shared" si="6"/>
        <v>0</v>
      </c>
      <c r="L20" s="242">
        <f t="shared" si="3"/>
        <v>0.96296296296296269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58</v>
      </c>
      <c r="C21" s="241">
        <f>'Юнит 05-11.01'!AE23</f>
        <v>0</v>
      </c>
      <c r="D21" s="242">
        <f t="shared" si="4"/>
        <v>0</v>
      </c>
      <c r="E21" s="242">
        <f t="shared" si="2"/>
        <v>0.96587297131720895</v>
      </c>
      <c r="F21" s="243" t="str">
        <f t="shared" si="7"/>
        <v>C</v>
      </c>
      <c r="G21" s="243" t="str">
        <f t="shared" si="5"/>
        <v>C</v>
      </c>
      <c r="I21" s="240" t="s">
        <v>55</v>
      </c>
      <c r="J21" s="241">
        <f>'Юнит 05-11.01'!R20</f>
        <v>0</v>
      </c>
      <c r="K21" s="242">
        <f t="shared" si="6"/>
        <v>0</v>
      </c>
      <c r="L21" s="242">
        <f t="shared" si="3"/>
        <v>0.96296296296296269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59</v>
      </c>
      <c r="C22" s="241">
        <f>'Юнит 05-11.01'!AE24</f>
        <v>0</v>
      </c>
      <c r="D22" s="242">
        <f t="shared" si="4"/>
        <v>0</v>
      </c>
      <c r="E22" s="242">
        <f t="shared" si="2"/>
        <v>0.96587297131720895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05-11.01'!R21</f>
        <v>0</v>
      </c>
      <c r="K22" s="242">
        <f t="shared" si="6"/>
        <v>0</v>
      </c>
      <c r="L22" s="242">
        <f t="shared" si="3"/>
        <v>0.96296296296296269</v>
      </c>
      <c r="M22" s="243" t="str">
        <f t="shared" si="8"/>
        <v>C</v>
      </c>
      <c r="P22" s="248"/>
      <c r="Q22" s="242"/>
    </row>
    <row r="23" spans="2:17" ht="15" outlineLevel="1" thickBot="1">
      <c r="B23" s="240" t="s">
        <v>42</v>
      </c>
      <c r="C23" s="241">
        <f>'Юнит 05-11.01'!AE7</f>
        <v>-11.197255000000037</v>
      </c>
      <c r="D23" s="242">
        <f t="shared" si="4"/>
        <v>-1.1050263398435256E-3</v>
      </c>
      <c r="E23" s="242">
        <f t="shared" si="2"/>
        <v>0.9647679449773654</v>
      </c>
      <c r="F23" s="243" t="str">
        <f t="shared" si="7"/>
        <v>C</v>
      </c>
      <c r="G23" s="243" t="str">
        <f t="shared" si="5"/>
        <v>B</v>
      </c>
      <c r="I23" s="240" t="s">
        <v>57</v>
      </c>
      <c r="J23" s="241">
        <f>'Юнит 05-11.01'!R22</f>
        <v>0</v>
      </c>
      <c r="K23" s="242">
        <f t="shared" si="6"/>
        <v>0</v>
      </c>
      <c r="L23" s="242">
        <f t="shared" si="3"/>
        <v>0.96296296296296269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45</v>
      </c>
      <c r="C24" s="241">
        <f>'Юнит 05-11.01'!AE10</f>
        <v>-93.54</v>
      </c>
      <c r="D24" s="242">
        <f t="shared" si="4"/>
        <v>-9.2312056686181618E-3</v>
      </c>
      <c r="E24" s="242">
        <f t="shared" si="2"/>
        <v>0.95553673930874727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05-11.01'!R23</f>
        <v>0</v>
      </c>
      <c r="K24" s="242">
        <f t="shared" si="6"/>
        <v>0</v>
      </c>
      <c r="L24" s="242">
        <f t="shared" si="3"/>
        <v>0.96296296296296269</v>
      </c>
      <c r="M24" s="243" t="str">
        <f t="shared" si="8"/>
        <v>C</v>
      </c>
      <c r="P24" s="248"/>
      <c r="Q24" s="242"/>
    </row>
    <row r="25" spans="2:17" ht="15" outlineLevel="1" thickBot="1">
      <c r="B25" s="240" t="s">
        <v>44</v>
      </c>
      <c r="C25" s="241">
        <f>'Юнит 05-11.01'!AE9</f>
        <v>-190.88284999999999</v>
      </c>
      <c r="D25" s="242">
        <f t="shared" si="4"/>
        <v>-1.8837704158242357E-2</v>
      </c>
      <c r="E25" s="242">
        <f t="shared" si="2"/>
        <v>0.9366990351505049</v>
      </c>
      <c r="F25" s="243" t="str">
        <f t="shared" si="7"/>
        <v>B</v>
      </c>
      <c r="G25" s="243" t="str">
        <f t="shared" si="5"/>
        <v>B</v>
      </c>
      <c r="I25" s="240" t="s">
        <v>59</v>
      </c>
      <c r="J25" s="241">
        <f>'Юнит 05-11.01'!R24</f>
        <v>0</v>
      </c>
      <c r="K25" s="242">
        <f t="shared" si="6"/>
        <v>0</v>
      </c>
      <c r="L25" s="242">
        <f t="shared" si="3"/>
        <v>0.96296296296296269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10133.02090300001</v>
      </c>
      <c r="D26" s="250">
        <f>SUM(D4:D25)</f>
        <v>0.99999999999999978</v>
      </c>
      <c r="J26" s="249">
        <f>SUM(J4:J25)</f>
        <v>54</v>
      </c>
      <c r="K26" s="250">
        <f>SUM(K4:K25)</f>
        <v>0.99999999999999967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26.5" thickBot="1">
      <c r="B30" s="240" t="s">
        <v>75</v>
      </c>
      <c r="C30" s="241">
        <f>'Юнит 05-11.01'!AE42</f>
        <v>1422.8500000000001</v>
      </c>
      <c r="D30" s="242">
        <f>C30/C$50</f>
        <v>0.53163258770943445</v>
      </c>
      <c r="E30" s="242">
        <f>D30</f>
        <v>0.53163258770943445</v>
      </c>
      <c r="F30" s="243" t="str">
        <f t="shared" ref="F30:F36" si="9">IF(AND(E30&lt;=0),"C",IF(E30&lt;=0.8,"A",IF(E30&lt;=0.95,"B","C")))</f>
        <v>A</v>
      </c>
      <c r="G30" s="243" t="str">
        <f>VLOOKUP(B$30:B$50,I$30:M$50,5,0)</f>
        <v>A</v>
      </c>
      <c r="I30" s="240" t="s">
        <v>75</v>
      </c>
      <c r="J30" s="241">
        <f>'Юнит 05-11.01'!R42</f>
        <v>1</v>
      </c>
      <c r="K30" s="242">
        <f>J30/J$50</f>
        <v>0.5</v>
      </c>
      <c r="L30" s="242">
        <f>K30</f>
        <v>0.5</v>
      </c>
      <c r="M30" s="243" t="str">
        <f t="shared" ref="M30:M36" si="10">_xlfn.IFS(L30&lt;80%,"A",L30&lt;=95%,"B",L30&gt;95%,"C")</f>
        <v>A</v>
      </c>
    </row>
    <row r="31" spans="2:17" ht="26.5" thickBot="1">
      <c r="B31" s="240" t="s">
        <v>78</v>
      </c>
      <c r="C31" s="241">
        <f>'Юнит 05-11.01'!AE45</f>
        <v>1481.2884480000002</v>
      </c>
      <c r="D31" s="242">
        <f t="shared" ref="D31:D49" si="11">C31/C$50</f>
        <v>0.55346748480467511</v>
      </c>
      <c r="E31" s="242">
        <f>D31+E30</f>
        <v>1.0851000725141096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78</v>
      </c>
      <c r="J31" s="241">
        <f>'Юнит 05-11.01'!R45</f>
        <v>1</v>
      </c>
      <c r="K31" s="242">
        <f t="shared" ref="K31:K49" si="13">J31/J$50</f>
        <v>0.5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61</v>
      </c>
      <c r="C32" s="241">
        <f>'Юнит 05-11.01'!AE28</f>
        <v>0</v>
      </c>
      <c r="D32" s="242">
        <f t="shared" si="11"/>
        <v>0</v>
      </c>
      <c r="E32" s="242">
        <f t="shared" ref="E32:E49" si="14">D32+E31</f>
        <v>1.0851000725141096</v>
      </c>
      <c r="F32" s="243" t="str">
        <f t="shared" si="9"/>
        <v>C</v>
      </c>
      <c r="G32" s="243" t="str">
        <f t="shared" si="12"/>
        <v>C</v>
      </c>
      <c r="I32" s="240" t="s">
        <v>61</v>
      </c>
      <c r="J32" s="241">
        <f>'Юнит 05-11.01'!R28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62</v>
      </c>
      <c r="C33" s="241">
        <f>'Юнит 05-11.01'!AE29</f>
        <v>0</v>
      </c>
      <c r="D33" s="242">
        <f t="shared" si="11"/>
        <v>0</v>
      </c>
      <c r="E33" s="242">
        <f t="shared" si="14"/>
        <v>1.0851000725141096</v>
      </c>
      <c r="F33" s="243" t="str">
        <f t="shared" si="9"/>
        <v>C</v>
      </c>
      <c r="G33" s="243" t="str">
        <f t="shared" si="12"/>
        <v>C</v>
      </c>
      <c r="I33" s="240" t="s">
        <v>62</v>
      </c>
      <c r="J33" s="241">
        <f>'Юнит 05-11.01'!R29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26.5" thickBot="1">
      <c r="B34" s="240" t="s">
        <v>63</v>
      </c>
      <c r="C34" s="241">
        <f>'Юнит 05-11.01'!AE30</f>
        <v>0</v>
      </c>
      <c r="D34" s="242">
        <f t="shared" si="11"/>
        <v>0</v>
      </c>
      <c r="E34" s="242">
        <f t="shared" si="14"/>
        <v>1.0851000725141096</v>
      </c>
      <c r="F34" s="243" t="str">
        <f t="shared" si="9"/>
        <v>C</v>
      </c>
      <c r="G34" s="243" t="str">
        <f t="shared" si="12"/>
        <v>C</v>
      </c>
      <c r="I34" s="240" t="s">
        <v>63</v>
      </c>
      <c r="J34" s="241">
        <f>'Юнит 05-11.01'!R30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64</v>
      </c>
      <c r="C35" s="241">
        <f>'Юнит 05-11.01'!AE31</f>
        <v>0</v>
      </c>
      <c r="D35" s="242">
        <f t="shared" si="11"/>
        <v>0</v>
      </c>
      <c r="E35" s="242">
        <f t="shared" si="14"/>
        <v>1.0851000725141096</v>
      </c>
      <c r="F35" s="243" t="str">
        <f t="shared" si="9"/>
        <v>C</v>
      </c>
      <c r="G35" s="243" t="str">
        <f t="shared" si="12"/>
        <v>C</v>
      </c>
      <c r="I35" s="240" t="s">
        <v>64</v>
      </c>
      <c r="J35" s="241">
        <f>'Юнит 05-11.01'!R31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65</v>
      </c>
      <c r="C36" s="241">
        <f>'Юнит 05-11.01'!AE32</f>
        <v>0</v>
      </c>
      <c r="D36" s="242">
        <f t="shared" si="11"/>
        <v>0</v>
      </c>
      <c r="E36" s="242">
        <f t="shared" si="14"/>
        <v>1.0851000725141096</v>
      </c>
      <c r="F36" s="243" t="str">
        <f t="shared" si="9"/>
        <v>C</v>
      </c>
      <c r="G36" s="243" t="str">
        <f t="shared" si="12"/>
        <v>C</v>
      </c>
      <c r="I36" s="240" t="s">
        <v>65</v>
      </c>
      <c r="J36" s="241">
        <f>'Юнит 05-11.01'!R32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66</v>
      </c>
      <c r="C37" s="241">
        <f>'Юнит 05-11.01'!AE33</f>
        <v>0</v>
      </c>
      <c r="D37" s="242">
        <f t="shared" si="11"/>
        <v>0</v>
      </c>
      <c r="E37" s="242">
        <f t="shared" si="14"/>
        <v>1.0851000725141096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66</v>
      </c>
      <c r="J37" s="241">
        <f>'Юнит 05-11.01'!R33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67</v>
      </c>
      <c r="C38" s="241">
        <f>'Юнит 05-11.01'!AE34</f>
        <v>0</v>
      </c>
      <c r="D38" s="242">
        <f t="shared" si="11"/>
        <v>0</v>
      </c>
      <c r="E38" s="242">
        <f t="shared" si="14"/>
        <v>1.0851000725141096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67</v>
      </c>
      <c r="J38" s="241">
        <f>'Юнит 05-11.01'!R34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68</v>
      </c>
      <c r="C39" s="241">
        <f>'Юнит 05-11.01'!AE35</f>
        <v>0</v>
      </c>
      <c r="D39" s="242">
        <f t="shared" si="11"/>
        <v>0</v>
      </c>
      <c r="E39" s="242">
        <f t="shared" si="14"/>
        <v>1.0851000725141096</v>
      </c>
      <c r="F39" s="243" t="str">
        <f t="shared" si="16"/>
        <v>C</v>
      </c>
      <c r="G39" s="243" t="str">
        <f t="shared" si="12"/>
        <v>C</v>
      </c>
      <c r="I39" s="240" t="s">
        <v>68</v>
      </c>
      <c r="J39" s="241">
        <f>'Юнит 05-11.01'!R35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69</v>
      </c>
      <c r="C40" s="241">
        <f>'Юнит 05-11.01'!AE36</f>
        <v>0</v>
      </c>
      <c r="D40" s="242">
        <f t="shared" si="11"/>
        <v>0</v>
      </c>
      <c r="E40" s="242">
        <f t="shared" si="14"/>
        <v>1.0851000725141096</v>
      </c>
      <c r="F40" s="243" t="str">
        <f t="shared" si="16"/>
        <v>C</v>
      </c>
      <c r="G40" s="243" t="str">
        <f t="shared" si="12"/>
        <v>C</v>
      </c>
      <c r="I40" s="240" t="s">
        <v>69</v>
      </c>
      <c r="J40" s="241">
        <f>'Юнит 05-11.01'!R36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15" thickBot="1">
      <c r="B41" s="240" t="s">
        <v>71</v>
      </c>
      <c r="C41" s="241">
        <f>'Юнит 05-11.01'!AE38</f>
        <v>0</v>
      </c>
      <c r="D41" s="242">
        <f t="shared" si="11"/>
        <v>0</v>
      </c>
      <c r="E41" s="242">
        <f t="shared" si="14"/>
        <v>1.0851000725141096</v>
      </c>
      <c r="F41" s="243" t="str">
        <f t="shared" si="16"/>
        <v>C</v>
      </c>
      <c r="G41" s="243" t="str">
        <f t="shared" si="12"/>
        <v>C</v>
      </c>
      <c r="I41" s="240" t="s">
        <v>70</v>
      </c>
      <c r="J41" s="241">
        <f>'Юнит 05-11.01'!R37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72</v>
      </c>
      <c r="C42" s="241">
        <f>'Юнит 05-11.01'!AE39</f>
        <v>0</v>
      </c>
      <c r="D42" s="242">
        <f t="shared" si="11"/>
        <v>0</v>
      </c>
      <c r="E42" s="242">
        <f t="shared" si="14"/>
        <v>1.0851000725141096</v>
      </c>
      <c r="F42" s="243" t="str">
        <f t="shared" si="16"/>
        <v>C</v>
      </c>
      <c r="G42" s="243" t="str">
        <f t="shared" si="12"/>
        <v>C</v>
      </c>
      <c r="I42" s="240" t="s">
        <v>71</v>
      </c>
      <c r="J42" s="241">
        <f>'Юнит 05-11.01'!R38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73</v>
      </c>
      <c r="C43" s="241">
        <f>'Юнит 05-11.01'!AE40</f>
        <v>0</v>
      </c>
      <c r="D43" s="242">
        <f t="shared" si="11"/>
        <v>0</v>
      </c>
      <c r="E43" s="242">
        <f t="shared" si="14"/>
        <v>1.0851000725141096</v>
      </c>
      <c r="F43" s="243" t="str">
        <f t="shared" si="16"/>
        <v>C</v>
      </c>
      <c r="G43" s="243" t="str">
        <f t="shared" si="12"/>
        <v>C</v>
      </c>
      <c r="I43" s="240" t="s">
        <v>72</v>
      </c>
      <c r="J43" s="241">
        <f>'Юнит 05-11.01'!R39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74</v>
      </c>
      <c r="C44" s="241">
        <f>'Юнит 05-11.01'!AE41</f>
        <v>0</v>
      </c>
      <c r="D44" s="242">
        <f t="shared" si="11"/>
        <v>0</v>
      </c>
      <c r="E44" s="242">
        <f t="shared" si="14"/>
        <v>1.0851000725141096</v>
      </c>
      <c r="F44" s="243" t="str">
        <f t="shared" si="16"/>
        <v>C</v>
      </c>
      <c r="G44" s="243" t="str">
        <f t="shared" si="12"/>
        <v>C</v>
      </c>
      <c r="I44" s="240" t="s">
        <v>73</v>
      </c>
      <c r="J44" s="241">
        <f>'Юнит 05-11.01'!R40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76</v>
      </c>
      <c r="C45" s="241">
        <f>'Юнит 05-11.01'!AE43</f>
        <v>0</v>
      </c>
      <c r="D45" s="242">
        <f t="shared" si="11"/>
        <v>0</v>
      </c>
      <c r="E45" s="242">
        <f t="shared" si="14"/>
        <v>1.0851000725141096</v>
      </c>
      <c r="F45" s="243" t="str">
        <f t="shared" si="16"/>
        <v>C</v>
      </c>
      <c r="G45" s="243" t="str">
        <f t="shared" si="12"/>
        <v>C</v>
      </c>
      <c r="I45" s="240" t="s">
        <v>74</v>
      </c>
      <c r="J45" s="241">
        <f>'Юнит 05-11.01'!R41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77</v>
      </c>
      <c r="C46" s="241">
        <f>'Юнит 05-11.01'!AE44</f>
        <v>0</v>
      </c>
      <c r="D46" s="242">
        <f t="shared" si="11"/>
        <v>0</v>
      </c>
      <c r="E46" s="242">
        <f t="shared" si="14"/>
        <v>1.0851000725141096</v>
      </c>
      <c r="F46" s="243" t="str">
        <f t="shared" si="16"/>
        <v>C</v>
      </c>
      <c r="G46" s="243" t="str">
        <f t="shared" si="12"/>
        <v>C</v>
      </c>
      <c r="I46" s="240" t="s">
        <v>76</v>
      </c>
      <c r="J46" s="241">
        <f>'Юнит 05-11.01'!R43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80</v>
      </c>
      <c r="C47" s="241">
        <f>'Юнит 05-11.01'!AE47</f>
        <v>0</v>
      </c>
      <c r="D47" s="242">
        <f t="shared" si="11"/>
        <v>0</v>
      </c>
      <c r="E47" s="242">
        <f t="shared" si="14"/>
        <v>1.0851000725141096</v>
      </c>
      <c r="F47" s="243" t="str">
        <f t="shared" si="16"/>
        <v>C</v>
      </c>
      <c r="G47" s="243" t="str">
        <f t="shared" si="12"/>
        <v>C</v>
      </c>
      <c r="I47" s="240" t="s">
        <v>77</v>
      </c>
      <c r="J47" s="241">
        <f>'Юнит 05-11.01'!R44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15" thickBot="1">
      <c r="B48" s="240" t="s">
        <v>70</v>
      </c>
      <c r="C48" s="241">
        <f>'Юнит 05-11.01'!AE37</f>
        <v>-113.88</v>
      </c>
      <c r="D48" s="242">
        <f t="shared" si="11"/>
        <v>-4.2550036257054773E-2</v>
      </c>
      <c r="E48" s="242">
        <f t="shared" si="14"/>
        <v>1.0425500362570548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05-11.01'!R46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79</v>
      </c>
      <c r="C49" s="241">
        <f>'Юнит 05-11.01'!AE46</f>
        <v>-113.88</v>
      </c>
      <c r="D49" s="242">
        <f t="shared" si="11"/>
        <v>-4.2550036257054773E-2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05-11.01'!R47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2676.3784480000004</v>
      </c>
      <c r="D50" s="250">
        <f>SUM(D30:D49)</f>
        <v>1</v>
      </c>
      <c r="J50" s="249">
        <f>SUM(J30:J49)</f>
        <v>2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21" priority="4" operator="equal">
      <formula>"C"</formula>
    </cfRule>
    <cfRule type="cellIs" dxfId="220" priority="5" operator="equal">
      <formula>"B"</formula>
    </cfRule>
    <cfRule type="cellIs" dxfId="219" priority="6" operator="equal">
      <formula>"A"</formula>
    </cfRule>
  </conditionalFormatting>
  <conditionalFormatting sqref="M30:M49 D30:D49 K30:K49 F30:G49">
    <cfRule type="cellIs" dxfId="218" priority="1" operator="equal">
      <formula>"C"</formula>
    </cfRule>
    <cfRule type="cellIs" dxfId="217" priority="2" operator="equal">
      <formula>"B"</formula>
    </cfRule>
    <cfRule type="cellIs" dxfId="216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571D-6437-4256-97F9-D4B18158F834}">
  <dimension ref="B1:Q50"/>
  <sheetViews>
    <sheetView zoomScale="90" zoomScaleNormal="90" workbookViewId="0">
      <selection activeCell="O6" sqref="O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77" t="s">
        <v>325</v>
      </c>
      <c r="C2" s="378"/>
      <c r="D2" s="378"/>
      <c r="E2" s="378"/>
      <c r="F2" s="378"/>
      <c r="G2" s="378"/>
      <c r="H2" s="378"/>
      <c r="I2" s="378"/>
      <c r="J2" s="378"/>
      <c r="K2" s="378"/>
      <c r="L2" s="378"/>
      <c r="M2" s="379"/>
    </row>
    <row r="3" spans="2:17" ht="28.5" customHeight="1" outlineLevel="1" thickBot="1">
      <c r="C3" s="236" t="s">
        <v>28</v>
      </c>
      <c r="D3" s="237" t="s">
        <v>326</v>
      </c>
      <c r="E3" s="238" t="s">
        <v>327</v>
      </c>
      <c r="F3" s="237" t="s">
        <v>328</v>
      </c>
      <c r="G3" s="237" t="s">
        <v>329</v>
      </c>
      <c r="J3" s="236" t="s">
        <v>330</v>
      </c>
      <c r="K3" s="237" t="s">
        <v>331</v>
      </c>
      <c r="L3" s="238" t="s">
        <v>327</v>
      </c>
      <c r="M3" s="239" t="s">
        <v>329</v>
      </c>
    </row>
    <row r="4" spans="2:17" ht="28.5" customHeight="1" outlineLevel="1" thickBot="1">
      <c r="B4" s="240" t="s">
        <v>41</v>
      </c>
      <c r="C4" s="241">
        <f>'Юнит 01-04.01'!AE6</f>
        <v>2714.1158299999993</v>
      </c>
      <c r="D4" s="242">
        <f>C4/C$26</f>
        <v>0.52947686173780506</v>
      </c>
      <c r="E4" s="242">
        <f>D4</f>
        <v>0.52947686173780506</v>
      </c>
      <c r="F4" s="243" t="str">
        <f t="shared" ref="F4:F12" si="0">IF(AND(E4&lt;=0),"C",IF(E4&lt;=0.8,"A",IF(E4&lt;=0.95,"B","C")))</f>
        <v>A</v>
      </c>
      <c r="G4" s="243" t="str">
        <f>VLOOKUP(B$4:B$25,I$4:M$25,5,0)</f>
        <v>B</v>
      </c>
      <c r="I4" s="240" t="s">
        <v>38</v>
      </c>
      <c r="J4" s="241">
        <f>'Юнит 01-04.01'!R3</f>
        <v>14</v>
      </c>
      <c r="K4" s="242">
        <f>J4/J$26</f>
        <v>0.5</v>
      </c>
      <c r="L4" s="242">
        <f>K4</f>
        <v>0.5</v>
      </c>
      <c r="M4" s="243" t="str">
        <f t="shared" ref="M4:M12" si="1">_xlfn.IFS(L4&lt;80%,"A",L4&lt;=95%,"B",L4&gt;95%,"C")</f>
        <v>A</v>
      </c>
    </row>
    <row r="5" spans="2:17" ht="28.5" customHeight="1" outlineLevel="1" thickBot="1">
      <c r="B5" s="240" t="s">
        <v>55</v>
      </c>
      <c r="C5" s="241">
        <f>'Юнит 01-04.01'!AE20</f>
        <v>1644.69</v>
      </c>
      <c r="D5" s="242">
        <f>C5/C$26</f>
        <v>0.32085045527756673</v>
      </c>
      <c r="E5" s="242">
        <f>D5+E4</f>
        <v>0.85032731701537179</v>
      </c>
      <c r="F5" s="243" t="str">
        <f t="shared" si="0"/>
        <v>B</v>
      </c>
      <c r="G5" s="243" t="str">
        <f>VLOOKUP(B$4:B$25,I$4:M$25,5,0)</f>
        <v>C</v>
      </c>
      <c r="I5" s="240" t="s">
        <v>41</v>
      </c>
      <c r="J5" s="241">
        <f>'Юнит 01-04.01'!R6</f>
        <v>10</v>
      </c>
      <c r="K5" s="242">
        <f>J5/J$26</f>
        <v>0.35714285714285715</v>
      </c>
      <c r="L5" s="242">
        <f>K5+L4</f>
        <v>0.85714285714285721</v>
      </c>
      <c r="M5" s="243" t="str">
        <f t="shared" si="1"/>
        <v>B</v>
      </c>
    </row>
    <row r="6" spans="2:17" ht="28.5" customHeight="1" outlineLevel="1" thickBot="1">
      <c r="B6" s="240" t="s">
        <v>42</v>
      </c>
      <c r="C6" s="241">
        <f>'Юнит 01-04.01'!AE7</f>
        <v>576.14</v>
      </c>
      <c r="D6" s="242">
        <f>C6/C$26</f>
        <v>0.11239490803958029</v>
      </c>
      <c r="E6" s="242">
        <f t="shared" ref="E6:E25" si="2">D6+E5</f>
        <v>0.96272222505495209</v>
      </c>
      <c r="F6" s="243" t="str">
        <f t="shared" si="0"/>
        <v>C</v>
      </c>
      <c r="G6" s="243" t="str">
        <f>VLOOKUP(B$4:B$25,I$4:M$25,5,0)</f>
        <v>C</v>
      </c>
      <c r="I6" s="240" t="s">
        <v>39</v>
      </c>
      <c r="J6" s="241">
        <f>'Юнит 01-04.01'!R4</f>
        <v>1</v>
      </c>
      <c r="K6" s="242">
        <f>J6/J$26</f>
        <v>3.5714285714285712E-2</v>
      </c>
      <c r="L6" s="242">
        <f t="shared" ref="L6:L25" si="3">K6+L5</f>
        <v>0.8928571428571429</v>
      </c>
      <c r="M6" s="243" t="str">
        <f t="shared" si="1"/>
        <v>B</v>
      </c>
    </row>
    <row r="7" spans="2:17" ht="28.5" customHeight="1" outlineLevel="1" thickBot="1">
      <c r="B7" s="240" t="s">
        <v>40</v>
      </c>
      <c r="C7" s="241">
        <f>'Юнит 01-04.01'!AE5</f>
        <v>458.39000000000004</v>
      </c>
      <c r="D7" s="242">
        <f>C7/C$26</f>
        <v>8.9423928031838115E-2</v>
      </c>
      <c r="E7" s="242">
        <f t="shared" si="2"/>
        <v>1.0521461530867902</v>
      </c>
      <c r="F7" s="243" t="str">
        <f t="shared" si="0"/>
        <v>C</v>
      </c>
      <c r="G7" s="243" t="str">
        <f>VLOOKUP(B$4:B$25,I$4:M$25,5,0)</f>
        <v>B</v>
      </c>
      <c r="I7" s="240" t="s">
        <v>40</v>
      </c>
      <c r="J7" s="241">
        <f>'Юнит 01-04.01'!R5</f>
        <v>1</v>
      </c>
      <c r="K7" s="242">
        <f>J7/J$26</f>
        <v>3.5714285714285712E-2</v>
      </c>
      <c r="L7" s="242">
        <f t="shared" si="3"/>
        <v>0.9285714285714286</v>
      </c>
      <c r="M7" s="243" t="str">
        <f t="shared" si="1"/>
        <v>B</v>
      </c>
    </row>
    <row r="8" spans="2:17" ht="28.5" customHeight="1" outlineLevel="1" thickBot="1">
      <c r="B8" s="240" t="s">
        <v>39</v>
      </c>
      <c r="C8" s="241">
        <f>'Юнит 01-04.01'!AE4</f>
        <v>448.21000000000009</v>
      </c>
      <c r="D8" s="242">
        <f>C8/C$26</f>
        <v>8.7437986830319517E-2</v>
      </c>
      <c r="E8" s="242">
        <f t="shared" si="2"/>
        <v>1.1395841399171096</v>
      </c>
      <c r="F8" s="243" t="str">
        <f t="shared" si="0"/>
        <v>C</v>
      </c>
      <c r="G8" s="243" t="str">
        <f>VLOOKUP(B$4:B$25,I$4:M$25,5,0)</f>
        <v>B</v>
      </c>
      <c r="I8" s="240" t="s">
        <v>42</v>
      </c>
      <c r="J8" s="241">
        <f>'Юнит 01-04.01'!R7</f>
        <v>1</v>
      </c>
      <c r="K8" s="242">
        <f>J8/J$26</f>
        <v>3.5714285714285712E-2</v>
      </c>
      <c r="L8" s="242">
        <f t="shared" si="3"/>
        <v>0.9642857142857143</v>
      </c>
      <c r="M8" s="243" t="str">
        <f t="shared" si="1"/>
        <v>C</v>
      </c>
    </row>
    <row r="9" spans="2:17" ht="28.5" customHeight="1" outlineLevel="1" thickBot="1">
      <c r="B9" s="240" t="s">
        <v>43</v>
      </c>
      <c r="C9" s="241">
        <f>'Юнит 01-04.01'!AE8</f>
        <v>0</v>
      </c>
      <c r="D9" s="242">
        <f t="shared" ref="D9:D25" si="4">C9/C$26</f>
        <v>0</v>
      </c>
      <c r="E9" s="242">
        <f t="shared" si="2"/>
        <v>1.1395841399171096</v>
      </c>
      <c r="F9" s="243" t="str">
        <f t="shared" si="0"/>
        <v>C</v>
      </c>
      <c r="G9" s="243" t="str">
        <f t="shared" ref="G9:G25" si="5">VLOOKUP(B$4:B$25,I$4:M$25,5,0)</f>
        <v>C</v>
      </c>
      <c r="I9" s="240" t="s">
        <v>55</v>
      </c>
      <c r="J9" s="241">
        <f>'Юнит 01-04.01'!R20</f>
        <v>1</v>
      </c>
      <c r="K9" s="242">
        <f t="shared" ref="K9:K25" si="6">J9/J$26</f>
        <v>3.5714285714285712E-2</v>
      </c>
      <c r="L9" s="242">
        <f t="shared" si="3"/>
        <v>1</v>
      </c>
      <c r="M9" s="243" t="str">
        <f t="shared" si="1"/>
        <v>C</v>
      </c>
    </row>
    <row r="10" spans="2:17" ht="28.5" customHeight="1" outlineLevel="1" thickBot="1">
      <c r="B10" s="240" t="s">
        <v>45</v>
      </c>
      <c r="C10" s="241">
        <f>'Юнит 01-04.01'!AE10</f>
        <v>0</v>
      </c>
      <c r="D10" s="242">
        <f t="shared" si="4"/>
        <v>0</v>
      </c>
      <c r="E10" s="242">
        <f t="shared" si="2"/>
        <v>1.1395841399171096</v>
      </c>
      <c r="F10" s="243" t="str">
        <f t="shared" si="0"/>
        <v>C</v>
      </c>
      <c r="G10" s="243" t="str">
        <f t="shared" si="5"/>
        <v>C</v>
      </c>
      <c r="I10" s="240" t="s">
        <v>43</v>
      </c>
      <c r="J10" s="241">
        <f>'Юнит 01-04.01'!R8</f>
        <v>0</v>
      </c>
      <c r="K10" s="242">
        <f t="shared" si="6"/>
        <v>0</v>
      </c>
      <c r="L10" s="242">
        <f t="shared" si="3"/>
        <v>1</v>
      </c>
      <c r="M10" s="243" t="str">
        <f t="shared" si="1"/>
        <v>C</v>
      </c>
    </row>
    <row r="11" spans="2:17" ht="28.5" customHeight="1" outlineLevel="1" thickBot="1">
      <c r="B11" s="240" t="s">
        <v>46</v>
      </c>
      <c r="C11" s="241">
        <f>'Юнит 01-04.01'!AE11</f>
        <v>0</v>
      </c>
      <c r="D11" s="242">
        <f t="shared" si="4"/>
        <v>0</v>
      </c>
      <c r="E11" s="242">
        <f>D11+E8</f>
        <v>1.1395841399171096</v>
      </c>
      <c r="F11" s="243" t="str">
        <f t="shared" si="0"/>
        <v>C</v>
      </c>
      <c r="G11" s="243" t="str">
        <f t="shared" si="5"/>
        <v>C</v>
      </c>
      <c r="I11" s="240" t="s">
        <v>44</v>
      </c>
      <c r="J11" s="241">
        <f>'Юнит 01-04.01'!R9</f>
        <v>0</v>
      </c>
      <c r="K11" s="242">
        <f t="shared" si="6"/>
        <v>0</v>
      </c>
      <c r="L11" s="242">
        <f>K11+L8</f>
        <v>0.9642857142857143</v>
      </c>
      <c r="M11" s="243" t="str">
        <f t="shared" si="1"/>
        <v>C</v>
      </c>
    </row>
    <row r="12" spans="2:17" ht="28.5" customHeight="1" outlineLevel="1" thickBot="1">
      <c r="B12" s="240" t="s">
        <v>47</v>
      </c>
      <c r="C12" s="241">
        <f>'Юнит 01-04.01'!AE12</f>
        <v>0</v>
      </c>
      <c r="D12" s="242">
        <f t="shared" si="4"/>
        <v>0</v>
      </c>
      <c r="E12" s="242">
        <f t="shared" si="2"/>
        <v>1.1395841399171096</v>
      </c>
      <c r="F12" s="243" t="str">
        <f t="shared" si="0"/>
        <v>C</v>
      </c>
      <c r="G12" s="243" t="str">
        <f t="shared" si="5"/>
        <v>C</v>
      </c>
      <c r="I12" s="240" t="s">
        <v>45</v>
      </c>
      <c r="J12" s="241">
        <f>'Юнит 01-04.01'!R10</f>
        <v>0</v>
      </c>
      <c r="K12" s="242">
        <f t="shared" si="6"/>
        <v>0</v>
      </c>
      <c r="L12" s="242">
        <f t="shared" si="3"/>
        <v>0.9642857142857143</v>
      </c>
      <c r="M12" s="243" t="str">
        <f t="shared" si="1"/>
        <v>C</v>
      </c>
    </row>
    <row r="13" spans="2:17" ht="15" outlineLevel="1" thickBot="1">
      <c r="B13" s="240" t="s">
        <v>49</v>
      </c>
      <c r="C13" s="241">
        <f>'Юнит 01-04.01'!AE14</f>
        <v>0</v>
      </c>
      <c r="D13" s="242">
        <f t="shared" si="4"/>
        <v>0</v>
      </c>
      <c r="E13" s="242">
        <f t="shared" si="2"/>
        <v>1.1395841399171096</v>
      </c>
      <c r="F13" s="243" t="str">
        <f>IF(AND(E13&lt;=0),"C",IF(E13&lt;=0.8,"A",IF(E13&lt;=0.95,"B","C")))</f>
        <v>C</v>
      </c>
      <c r="G13" s="243" t="str">
        <f t="shared" si="5"/>
        <v>C</v>
      </c>
      <c r="I13" s="240" t="s">
        <v>46</v>
      </c>
      <c r="J13" s="241">
        <f>'Юнит 01-04.01'!R11</f>
        <v>0</v>
      </c>
      <c r="K13" s="242">
        <f t="shared" si="6"/>
        <v>0</v>
      </c>
      <c r="L13" s="242">
        <f t="shared" si="3"/>
        <v>0.9642857142857143</v>
      </c>
      <c r="M13" s="243" t="str">
        <f>_xlfn.IFS(L13&lt;80%,"A",L13&lt;=95%,"B",L13&gt;95%,"C")</f>
        <v>C</v>
      </c>
      <c r="P13" s="244" t="s">
        <v>332</v>
      </c>
      <c r="Q13" s="245">
        <v>0.8</v>
      </c>
    </row>
    <row r="14" spans="2:17" ht="15" outlineLevel="1" thickBot="1">
      <c r="B14" s="240" t="s">
        <v>51</v>
      </c>
      <c r="C14" s="241">
        <f>'Юнит 01-04.01'!AE16</f>
        <v>0</v>
      </c>
      <c r="D14" s="242">
        <f t="shared" si="4"/>
        <v>0</v>
      </c>
      <c r="E14" s="242">
        <f t="shared" si="2"/>
        <v>1.1395841399171096</v>
      </c>
      <c r="F14" s="243" t="str">
        <f t="shared" ref="F14:F25" si="7">IF(AND(E14&lt;=0),"C",IF(E14&lt;=0.8,"A",IF(E14&lt;=0.95,"B","C")))</f>
        <v>C</v>
      </c>
      <c r="G14" s="243" t="str">
        <f t="shared" si="5"/>
        <v>C</v>
      </c>
      <c r="I14" s="240" t="s">
        <v>47</v>
      </c>
      <c r="J14" s="241">
        <f>'Юнит 01-04.01'!R12</f>
        <v>0</v>
      </c>
      <c r="K14" s="242">
        <f t="shared" si="6"/>
        <v>0</v>
      </c>
      <c r="L14" s="242">
        <f t="shared" si="3"/>
        <v>0.9642857142857143</v>
      </c>
      <c r="M14" s="243" t="str">
        <f t="shared" ref="M14:M25" si="8">_xlfn.IFS(L14&lt;80%,"A",L14&lt;=95%,"B",L14&gt;95%,"C")</f>
        <v>C</v>
      </c>
      <c r="P14" s="246" t="s">
        <v>333</v>
      </c>
      <c r="Q14" s="245">
        <v>0.15</v>
      </c>
    </row>
    <row r="15" spans="2:17" ht="15" outlineLevel="1" thickBot="1">
      <c r="B15" s="240" t="s">
        <v>52</v>
      </c>
      <c r="C15" s="241">
        <f>'Юнит 01-04.01'!AE17</f>
        <v>0</v>
      </c>
      <c r="D15" s="242">
        <f t="shared" si="4"/>
        <v>0</v>
      </c>
      <c r="E15" s="242">
        <f t="shared" si="2"/>
        <v>1.1395841399171096</v>
      </c>
      <c r="F15" s="243" t="str">
        <f t="shared" si="7"/>
        <v>C</v>
      </c>
      <c r="G15" s="243" t="str">
        <f t="shared" si="5"/>
        <v>C</v>
      </c>
      <c r="I15" s="240" t="s">
        <v>48</v>
      </c>
      <c r="J15" s="241">
        <f>'Юнит 01-04.01'!R13</f>
        <v>0</v>
      </c>
      <c r="K15" s="242">
        <f t="shared" si="6"/>
        <v>0</v>
      </c>
      <c r="L15" s="242">
        <f t="shared" si="3"/>
        <v>0.9642857142857143</v>
      </c>
      <c r="M15" s="243" t="str">
        <f t="shared" si="8"/>
        <v>C</v>
      </c>
      <c r="P15" s="247" t="s">
        <v>334</v>
      </c>
      <c r="Q15" s="245">
        <v>0.05</v>
      </c>
    </row>
    <row r="16" spans="2:17" ht="15" outlineLevel="1" thickBot="1">
      <c r="B16" s="240" t="s">
        <v>53</v>
      </c>
      <c r="C16" s="241">
        <f>'Юнит 01-04.01'!AE18</f>
        <v>0</v>
      </c>
      <c r="D16" s="242">
        <f t="shared" si="4"/>
        <v>0</v>
      </c>
      <c r="E16" s="242">
        <f t="shared" si="2"/>
        <v>1.1395841399171096</v>
      </c>
      <c r="F16" s="243" t="str">
        <f t="shared" si="7"/>
        <v>C</v>
      </c>
      <c r="G16" s="243" t="str">
        <f t="shared" si="5"/>
        <v>C</v>
      </c>
      <c r="I16" s="240" t="s">
        <v>49</v>
      </c>
      <c r="J16" s="241">
        <f>'Юнит 01-04.01'!R14</f>
        <v>0</v>
      </c>
      <c r="K16" s="242">
        <f t="shared" si="6"/>
        <v>0</v>
      </c>
      <c r="L16" s="242">
        <f t="shared" si="3"/>
        <v>0.9642857142857143</v>
      </c>
      <c r="M16" s="243" t="str">
        <f t="shared" si="8"/>
        <v>C</v>
      </c>
      <c r="P16" s="248"/>
      <c r="Q16" s="242"/>
    </row>
    <row r="17" spans="2:17" ht="26.5" outlineLevel="1" thickBot="1">
      <c r="B17" s="240" t="s">
        <v>54</v>
      </c>
      <c r="C17" s="241">
        <f>'Юнит 01-04.01'!AE19</f>
        <v>0</v>
      </c>
      <c r="D17" s="242">
        <f t="shared" si="4"/>
        <v>0</v>
      </c>
      <c r="E17" s="242">
        <f t="shared" si="2"/>
        <v>1.1395841399171096</v>
      </c>
      <c r="F17" s="243" t="str">
        <f t="shared" si="7"/>
        <v>C</v>
      </c>
      <c r="G17" s="243" t="str">
        <f t="shared" si="5"/>
        <v>C</v>
      </c>
      <c r="I17" s="240" t="s">
        <v>50</v>
      </c>
      <c r="J17" s="241">
        <f>'Юнит 01-04.01'!R15</f>
        <v>0</v>
      </c>
      <c r="K17" s="242">
        <f t="shared" si="6"/>
        <v>0</v>
      </c>
      <c r="L17" s="242">
        <f t="shared" si="3"/>
        <v>0.9642857142857143</v>
      </c>
      <c r="M17" s="243" t="str">
        <f t="shared" si="8"/>
        <v>C</v>
      </c>
      <c r="P17" s="248"/>
      <c r="Q17" s="242"/>
    </row>
    <row r="18" spans="2:17" ht="15" outlineLevel="1" thickBot="1">
      <c r="B18" s="240" t="s">
        <v>56</v>
      </c>
      <c r="C18" s="241">
        <f>'Юнит 01-04.01'!AE21</f>
        <v>0</v>
      </c>
      <c r="D18" s="242">
        <f t="shared" si="4"/>
        <v>0</v>
      </c>
      <c r="E18" s="242">
        <f t="shared" si="2"/>
        <v>1.1395841399171096</v>
      </c>
      <c r="F18" s="243" t="str">
        <f t="shared" si="7"/>
        <v>C</v>
      </c>
      <c r="G18" s="243" t="str">
        <f t="shared" si="5"/>
        <v>C</v>
      </c>
      <c r="I18" s="240" t="s">
        <v>51</v>
      </c>
      <c r="J18" s="241">
        <f>'Юнит 01-04.01'!R16</f>
        <v>0</v>
      </c>
      <c r="K18" s="242">
        <f t="shared" si="6"/>
        <v>0</v>
      </c>
      <c r="L18" s="242">
        <f t="shared" si="3"/>
        <v>0.9642857142857143</v>
      </c>
      <c r="M18" s="243" t="str">
        <f t="shared" si="8"/>
        <v>C</v>
      </c>
      <c r="P18" s="248"/>
      <c r="Q18" s="242"/>
    </row>
    <row r="19" spans="2:17" ht="15" outlineLevel="1" thickBot="1">
      <c r="B19" s="240" t="s">
        <v>57</v>
      </c>
      <c r="C19" s="241">
        <f>'Юнит 01-04.01'!AE22</f>
        <v>0</v>
      </c>
      <c r="D19" s="242">
        <f t="shared" si="4"/>
        <v>0</v>
      </c>
      <c r="E19" s="242">
        <f t="shared" si="2"/>
        <v>1.1395841399171096</v>
      </c>
      <c r="F19" s="243" t="str">
        <f t="shared" si="7"/>
        <v>C</v>
      </c>
      <c r="G19" s="243" t="str">
        <f t="shared" si="5"/>
        <v>C</v>
      </c>
      <c r="I19" s="240" t="s">
        <v>52</v>
      </c>
      <c r="J19" s="241">
        <f>'Юнит 01-04.01'!R17</f>
        <v>0</v>
      </c>
      <c r="K19" s="242">
        <f t="shared" si="6"/>
        <v>0</v>
      </c>
      <c r="L19" s="242">
        <f t="shared" si="3"/>
        <v>0.9642857142857143</v>
      </c>
      <c r="M19" s="243" t="str">
        <f t="shared" si="8"/>
        <v>C</v>
      </c>
      <c r="P19" s="248"/>
      <c r="Q19" s="242"/>
    </row>
    <row r="20" spans="2:17" ht="15" outlineLevel="1" thickBot="1">
      <c r="B20" s="240" t="s">
        <v>58</v>
      </c>
      <c r="C20" s="241">
        <f>'Юнит 01-04.01'!AE23</f>
        <v>0</v>
      </c>
      <c r="D20" s="242">
        <f t="shared" si="4"/>
        <v>0</v>
      </c>
      <c r="E20" s="242">
        <f t="shared" si="2"/>
        <v>1.1395841399171096</v>
      </c>
      <c r="F20" s="243" t="str">
        <f t="shared" si="7"/>
        <v>C</v>
      </c>
      <c r="G20" s="243" t="str">
        <f t="shared" si="5"/>
        <v>C</v>
      </c>
      <c r="I20" s="240" t="s">
        <v>53</v>
      </c>
      <c r="J20" s="241">
        <f>'Юнит 01-04.01'!R18</f>
        <v>0</v>
      </c>
      <c r="K20" s="242">
        <f t="shared" si="6"/>
        <v>0</v>
      </c>
      <c r="L20" s="242">
        <f t="shared" si="3"/>
        <v>0.9642857142857143</v>
      </c>
      <c r="M20" s="243" t="str">
        <f t="shared" si="8"/>
        <v>C</v>
      </c>
      <c r="P20" s="248"/>
      <c r="Q20" s="242"/>
    </row>
    <row r="21" spans="2:17" ht="15" outlineLevel="1" thickBot="1">
      <c r="B21" s="240" t="s">
        <v>59</v>
      </c>
      <c r="C21" s="241">
        <f>'Юнит 01-04.01'!AE24</f>
        <v>0</v>
      </c>
      <c r="D21" s="242">
        <f t="shared" si="4"/>
        <v>0</v>
      </c>
      <c r="E21" s="242">
        <f t="shared" si="2"/>
        <v>1.1395841399171096</v>
      </c>
      <c r="F21" s="243" t="str">
        <f t="shared" si="7"/>
        <v>C</v>
      </c>
      <c r="G21" s="243" t="str">
        <f t="shared" si="5"/>
        <v>C</v>
      </c>
      <c r="I21" s="240" t="s">
        <v>54</v>
      </c>
      <c r="J21" s="241">
        <f>'Юнит 01-04.01'!R19</f>
        <v>0</v>
      </c>
      <c r="K21" s="242">
        <f t="shared" si="6"/>
        <v>0</v>
      </c>
      <c r="L21" s="242">
        <f t="shared" si="3"/>
        <v>0.9642857142857143</v>
      </c>
      <c r="M21" s="243" t="str">
        <f t="shared" si="8"/>
        <v>C</v>
      </c>
      <c r="P21" s="248"/>
      <c r="Q21" s="242"/>
    </row>
    <row r="22" spans="2:17" ht="15" outlineLevel="1" thickBot="1">
      <c r="B22" s="240" t="s">
        <v>48</v>
      </c>
      <c r="C22" s="241">
        <f>'Юнит 01-04.01'!AE13</f>
        <v>-93.54</v>
      </c>
      <c r="D22" s="242">
        <f t="shared" si="4"/>
        <v>-1.824802946857073E-2</v>
      </c>
      <c r="E22" s="242">
        <f t="shared" si="2"/>
        <v>1.1213361104485389</v>
      </c>
      <c r="F22" s="243" t="str">
        <f t="shared" si="7"/>
        <v>C</v>
      </c>
      <c r="G22" s="243" t="str">
        <f t="shared" si="5"/>
        <v>C</v>
      </c>
      <c r="I22" s="240" t="s">
        <v>56</v>
      </c>
      <c r="J22" s="241">
        <f>'Юнит 01-04.01'!R21</f>
        <v>0</v>
      </c>
      <c r="K22" s="242">
        <f t="shared" si="6"/>
        <v>0</v>
      </c>
      <c r="L22" s="242">
        <f t="shared" si="3"/>
        <v>0.9642857142857143</v>
      </c>
      <c r="M22" s="243" t="str">
        <f t="shared" si="8"/>
        <v>C</v>
      </c>
      <c r="P22" s="248"/>
      <c r="Q22" s="242"/>
    </row>
    <row r="23" spans="2:17" ht="26.5" outlineLevel="1" thickBot="1">
      <c r="B23" s="240" t="s">
        <v>50</v>
      </c>
      <c r="C23" s="241">
        <f>'Юнит 01-04.01'!AE15</f>
        <v>-295.55</v>
      </c>
      <c r="D23" s="242">
        <f t="shared" si="4"/>
        <v>-5.7656672112850964E-2</v>
      </c>
      <c r="E23" s="242">
        <f t="shared" si="2"/>
        <v>1.063679438335688</v>
      </c>
      <c r="F23" s="243" t="str">
        <f t="shared" si="7"/>
        <v>C</v>
      </c>
      <c r="G23" s="243" t="str">
        <f t="shared" si="5"/>
        <v>C</v>
      </c>
      <c r="I23" s="240" t="s">
        <v>57</v>
      </c>
      <c r="J23" s="241">
        <f>'Юнит 01-04.01'!R22</f>
        <v>0</v>
      </c>
      <c r="K23" s="242">
        <f t="shared" si="6"/>
        <v>0</v>
      </c>
      <c r="L23" s="242">
        <f t="shared" si="3"/>
        <v>0.9642857142857143</v>
      </c>
      <c r="M23" s="243" t="str">
        <f t="shared" si="8"/>
        <v>C</v>
      </c>
      <c r="P23" s="248"/>
      <c r="Q23" s="242"/>
    </row>
    <row r="24" spans="2:17" ht="15" outlineLevel="1" thickBot="1">
      <c r="B24" s="240" t="s">
        <v>44</v>
      </c>
      <c r="C24" s="241">
        <f>'Юнит 01-04.01'!AE9</f>
        <v>-509.46505400000001</v>
      </c>
      <c r="D24" s="242">
        <f t="shared" si="4"/>
        <v>-9.9387784034626656E-2</v>
      </c>
      <c r="E24" s="242">
        <f t="shared" si="2"/>
        <v>0.96429165430106134</v>
      </c>
      <c r="F24" s="243" t="str">
        <f t="shared" si="7"/>
        <v>C</v>
      </c>
      <c r="G24" s="243" t="str">
        <f t="shared" si="5"/>
        <v>C</v>
      </c>
      <c r="I24" s="240" t="s">
        <v>58</v>
      </c>
      <c r="J24" s="241">
        <f>'Юнит 01-04.01'!R23</f>
        <v>0</v>
      </c>
      <c r="K24" s="242">
        <f t="shared" si="6"/>
        <v>0</v>
      </c>
      <c r="L24" s="242">
        <f t="shared" si="3"/>
        <v>0.9642857142857143</v>
      </c>
      <c r="M24" s="243" t="str">
        <f t="shared" si="8"/>
        <v>C</v>
      </c>
      <c r="P24" s="248"/>
      <c r="Q24" s="242"/>
    </row>
    <row r="25" spans="2:17" ht="26.5" outlineLevel="1" thickBot="1">
      <c r="B25" s="240" t="s">
        <v>38</v>
      </c>
      <c r="C25" s="241">
        <f>'Юнит 01-04.01'!AE3</f>
        <v>183.04215599999938</v>
      </c>
      <c r="D25" s="242">
        <f t="shared" si="4"/>
        <v>3.5708345698938521E-2</v>
      </c>
      <c r="E25" s="242">
        <f t="shared" si="2"/>
        <v>0.99999999999999989</v>
      </c>
      <c r="F25" s="243" t="str">
        <f t="shared" si="7"/>
        <v>C</v>
      </c>
      <c r="G25" s="243" t="str">
        <f t="shared" si="5"/>
        <v>A</v>
      </c>
      <c r="I25" s="240" t="s">
        <v>59</v>
      </c>
      <c r="J25" s="241">
        <f>'Юнит 01-04.01'!R24</f>
        <v>0</v>
      </c>
      <c r="K25" s="242">
        <f t="shared" si="6"/>
        <v>0</v>
      </c>
      <c r="L25" s="242">
        <f t="shared" si="3"/>
        <v>0.9642857142857143</v>
      </c>
      <c r="M25" s="243" t="str">
        <f t="shared" si="8"/>
        <v>C</v>
      </c>
      <c r="P25" s="248"/>
      <c r="Q25" s="242"/>
    </row>
    <row r="26" spans="2:17" outlineLevel="1">
      <c r="C26" s="249">
        <f>SUM(C4:C25)</f>
        <v>5126.0329319999992</v>
      </c>
      <c r="D26" s="250">
        <f>SUM(D4:D25)</f>
        <v>0.99999999999999989</v>
      </c>
      <c r="J26" s="249">
        <f>SUM(J4:J25)</f>
        <v>28</v>
      </c>
      <c r="K26" s="250">
        <f>SUM(K4:K25)</f>
        <v>1</v>
      </c>
    </row>
    <row r="27" spans="2:17" ht="15" thickBot="1"/>
    <row r="28" spans="2:17" ht="15" thickBot="1">
      <c r="B28" s="380" t="s">
        <v>335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1"/>
      <c r="M28" s="382"/>
    </row>
    <row r="29" spans="2:17" ht="35" thickBot="1">
      <c r="C29" s="236" t="s">
        <v>28</v>
      </c>
      <c r="D29" s="237" t="s">
        <v>326</v>
      </c>
      <c r="E29" s="238" t="s">
        <v>327</v>
      </c>
      <c r="F29" s="237" t="s">
        <v>328</v>
      </c>
      <c r="G29" s="237" t="s">
        <v>329</v>
      </c>
      <c r="J29" s="236" t="s">
        <v>330</v>
      </c>
      <c r="K29" s="237" t="s">
        <v>331</v>
      </c>
      <c r="L29" s="238" t="s">
        <v>327</v>
      </c>
      <c r="M29" s="239" t="s">
        <v>329</v>
      </c>
    </row>
    <row r="30" spans="2:17" ht="15" thickBot="1">
      <c r="B30" s="240" t="s">
        <v>67</v>
      </c>
      <c r="C30" s="241">
        <f>'Юнит 01-04.01'!AE34</f>
        <v>1595.12</v>
      </c>
      <c r="D30" s="242">
        <f>C30/C$50</f>
        <v>-1.7269283727561939</v>
      </c>
      <c r="E30" s="242">
        <f>D30</f>
        <v>-1.7269283727561939</v>
      </c>
      <c r="F30" s="243" t="str">
        <f t="shared" ref="F30:F36" si="9">IF(AND(E30&lt;=0),"C",IF(E30&lt;=0.8,"A",IF(E30&lt;=0.95,"B","C")))</f>
        <v>C</v>
      </c>
      <c r="G30" s="243" t="str">
        <f>VLOOKUP(B$30:B$50,I$30:M$50,5,0)</f>
        <v>C</v>
      </c>
      <c r="I30" s="240" t="s">
        <v>67</v>
      </c>
      <c r="J30" s="241">
        <f>'Юнит 01-04.01'!R34</f>
        <v>1</v>
      </c>
      <c r="K30" s="242">
        <f>J30/J$50</f>
        <v>1</v>
      </c>
      <c r="L30" s="242">
        <f>K30</f>
        <v>1</v>
      </c>
      <c r="M30" s="243" t="str">
        <f t="shared" ref="M30:M36" si="10">_xlfn.IFS(L30&lt;80%,"A",L30&lt;=95%,"B",L30&gt;95%,"C")</f>
        <v>C</v>
      </c>
    </row>
    <row r="31" spans="2:17" ht="26.5" thickBot="1">
      <c r="B31" s="240" t="s">
        <v>61</v>
      </c>
      <c r="C31" s="241">
        <f>'Юнит 01-04.01'!AE28</f>
        <v>0</v>
      </c>
      <c r="D31" s="242">
        <f t="shared" ref="D31:D49" si="11">C31/C$50</f>
        <v>0</v>
      </c>
      <c r="E31" s="242">
        <f>D31+E30</f>
        <v>-1.7269283727561939</v>
      </c>
      <c r="F31" s="243" t="str">
        <f t="shared" si="9"/>
        <v>C</v>
      </c>
      <c r="G31" s="243" t="str">
        <f t="shared" ref="G31:G49" si="12">VLOOKUP(B$30:B$50,I$30:M$50,5,0)</f>
        <v>C</v>
      </c>
      <c r="I31" s="240" t="s">
        <v>61</v>
      </c>
      <c r="J31" s="241">
        <f>'Юнит 01-04.01'!R28</f>
        <v>0</v>
      </c>
      <c r="K31" s="242">
        <f t="shared" ref="K31:K49" si="13">J31/J$50</f>
        <v>0</v>
      </c>
      <c r="L31" s="242">
        <f>K31+L30</f>
        <v>1</v>
      </c>
      <c r="M31" s="243" t="str">
        <f t="shared" si="10"/>
        <v>C</v>
      </c>
    </row>
    <row r="32" spans="2:17" ht="26.5" thickBot="1">
      <c r="B32" s="240" t="s">
        <v>62</v>
      </c>
      <c r="C32" s="241">
        <f>'Юнит 01-04.01'!AE29</f>
        <v>0</v>
      </c>
      <c r="D32" s="242">
        <f t="shared" si="11"/>
        <v>0</v>
      </c>
      <c r="E32" s="242">
        <f t="shared" ref="E32:E49" si="14">D32+E31</f>
        <v>-1.7269283727561939</v>
      </c>
      <c r="F32" s="243" t="str">
        <f t="shared" si="9"/>
        <v>C</v>
      </c>
      <c r="G32" s="243" t="str">
        <f t="shared" si="12"/>
        <v>C</v>
      </c>
      <c r="I32" s="240" t="s">
        <v>62</v>
      </c>
      <c r="J32" s="241">
        <f>'Юнит 01-04.01'!R29</f>
        <v>0</v>
      </c>
      <c r="K32" s="242">
        <f t="shared" si="13"/>
        <v>0</v>
      </c>
      <c r="L32" s="242">
        <f t="shared" ref="L32:L49" si="15">K32+L31</f>
        <v>1</v>
      </c>
      <c r="M32" s="243" t="str">
        <f t="shared" si="10"/>
        <v>C</v>
      </c>
    </row>
    <row r="33" spans="2:13" ht="26.5" thickBot="1">
      <c r="B33" s="240" t="s">
        <v>63</v>
      </c>
      <c r="C33" s="241">
        <f>'Юнит 01-04.01'!AE30</f>
        <v>0</v>
      </c>
      <c r="D33" s="242">
        <f t="shared" si="11"/>
        <v>0</v>
      </c>
      <c r="E33" s="242">
        <f t="shared" si="14"/>
        <v>-1.7269283727561939</v>
      </c>
      <c r="F33" s="243" t="str">
        <f t="shared" si="9"/>
        <v>C</v>
      </c>
      <c r="G33" s="243" t="str">
        <f t="shared" si="12"/>
        <v>C</v>
      </c>
      <c r="I33" s="240" t="s">
        <v>63</v>
      </c>
      <c r="J33" s="241">
        <f>'Юнит 01-04.01'!R30</f>
        <v>0</v>
      </c>
      <c r="K33" s="242">
        <f t="shared" si="13"/>
        <v>0</v>
      </c>
      <c r="L33" s="242">
        <f t="shared" si="15"/>
        <v>1</v>
      </c>
      <c r="M33" s="243" t="str">
        <f t="shared" si="10"/>
        <v>C</v>
      </c>
    </row>
    <row r="34" spans="2:13" ht="15" thickBot="1">
      <c r="B34" s="240" t="s">
        <v>64</v>
      </c>
      <c r="C34" s="241">
        <f>'Юнит 01-04.01'!AE31</f>
        <v>0</v>
      </c>
      <c r="D34" s="242">
        <f t="shared" si="11"/>
        <v>0</v>
      </c>
      <c r="E34" s="242">
        <f t="shared" si="14"/>
        <v>-1.7269283727561939</v>
      </c>
      <c r="F34" s="243" t="str">
        <f t="shared" si="9"/>
        <v>C</v>
      </c>
      <c r="G34" s="243" t="str">
        <f t="shared" si="12"/>
        <v>C</v>
      </c>
      <c r="I34" s="240" t="s">
        <v>64</v>
      </c>
      <c r="J34" s="241">
        <f>'Юнит 01-04.01'!R31</f>
        <v>0</v>
      </c>
      <c r="K34" s="242">
        <f t="shared" si="13"/>
        <v>0</v>
      </c>
      <c r="L34" s="242">
        <f t="shared" si="15"/>
        <v>1</v>
      </c>
      <c r="M34" s="243" t="str">
        <f t="shared" si="10"/>
        <v>C</v>
      </c>
    </row>
    <row r="35" spans="2:13" ht="15" thickBot="1">
      <c r="B35" s="240" t="s">
        <v>65</v>
      </c>
      <c r="C35" s="241">
        <f>'Юнит 01-04.01'!AE32</f>
        <v>0</v>
      </c>
      <c r="D35" s="242">
        <f t="shared" si="11"/>
        <v>0</v>
      </c>
      <c r="E35" s="242">
        <f t="shared" si="14"/>
        <v>-1.7269283727561939</v>
      </c>
      <c r="F35" s="243" t="str">
        <f t="shared" si="9"/>
        <v>C</v>
      </c>
      <c r="G35" s="243" t="str">
        <f t="shared" si="12"/>
        <v>C</v>
      </c>
      <c r="I35" s="240" t="s">
        <v>65</v>
      </c>
      <c r="J35" s="241">
        <f>'Юнит 01-04.01'!R32</f>
        <v>0</v>
      </c>
      <c r="K35" s="242">
        <f t="shared" si="13"/>
        <v>0</v>
      </c>
      <c r="L35" s="242">
        <f t="shared" si="15"/>
        <v>1</v>
      </c>
      <c r="M35" s="243" t="str">
        <f t="shared" si="10"/>
        <v>C</v>
      </c>
    </row>
    <row r="36" spans="2:13" ht="15" thickBot="1">
      <c r="B36" s="240" t="s">
        <v>66</v>
      </c>
      <c r="C36" s="241">
        <f>'Юнит 01-04.01'!AE33</f>
        <v>0</v>
      </c>
      <c r="D36" s="242">
        <f t="shared" si="11"/>
        <v>0</v>
      </c>
      <c r="E36" s="242">
        <f t="shared" si="14"/>
        <v>-1.7269283727561939</v>
      </c>
      <c r="F36" s="243" t="str">
        <f t="shared" si="9"/>
        <v>C</v>
      </c>
      <c r="G36" s="243" t="str">
        <f t="shared" si="12"/>
        <v>C</v>
      </c>
      <c r="I36" s="240" t="s">
        <v>66</v>
      </c>
      <c r="J36" s="241">
        <f>'Юнит 01-04.01'!R33</f>
        <v>0</v>
      </c>
      <c r="K36" s="242">
        <f t="shared" si="13"/>
        <v>0</v>
      </c>
      <c r="L36" s="242">
        <f t="shared" si="15"/>
        <v>1</v>
      </c>
      <c r="M36" s="243" t="str">
        <f t="shared" si="10"/>
        <v>C</v>
      </c>
    </row>
    <row r="37" spans="2:13" ht="15" thickBot="1">
      <c r="B37" s="240" t="s">
        <v>68</v>
      </c>
      <c r="C37" s="241">
        <f>'Юнит 01-04.01'!AE35</f>
        <v>0</v>
      </c>
      <c r="D37" s="242">
        <f t="shared" si="11"/>
        <v>0</v>
      </c>
      <c r="E37" s="242">
        <f t="shared" si="14"/>
        <v>-1.7269283727561939</v>
      </c>
      <c r="F37" s="243" t="str">
        <f>IF(AND(E37&lt;=0),"C",IF(E37&lt;=0.8,"A",IF(E37&lt;=0.95,"B","C")))</f>
        <v>C</v>
      </c>
      <c r="G37" s="243" t="str">
        <f t="shared" si="12"/>
        <v>C</v>
      </c>
      <c r="I37" s="240" t="s">
        <v>68</v>
      </c>
      <c r="J37" s="241">
        <f>'Юнит 01-04.01'!R35</f>
        <v>0</v>
      </c>
      <c r="K37" s="242">
        <f t="shared" si="13"/>
        <v>0</v>
      </c>
      <c r="L37" s="242">
        <f t="shared" si="15"/>
        <v>1</v>
      </c>
      <c r="M37" s="243" t="str">
        <f>_xlfn.IFS(L37&lt;80%,"A",L37&lt;=95%,"B",L37&gt;95%,"C")</f>
        <v>C</v>
      </c>
    </row>
    <row r="38" spans="2:13" ht="15" thickBot="1">
      <c r="B38" s="240" t="s">
        <v>69</v>
      </c>
      <c r="C38" s="241">
        <f>'Юнит 01-04.01'!AE36</f>
        <v>0</v>
      </c>
      <c r="D38" s="242">
        <f t="shared" si="11"/>
        <v>0</v>
      </c>
      <c r="E38" s="242">
        <f t="shared" si="14"/>
        <v>-1.7269283727561939</v>
      </c>
      <c r="F38" s="243" t="str">
        <f t="shared" ref="F38:F49" si="16">IF(AND(E38&lt;=0),"C",IF(E38&lt;=0.8,"A",IF(E38&lt;=0.95,"B","C")))</f>
        <v>C</v>
      </c>
      <c r="G38" s="243" t="str">
        <f t="shared" si="12"/>
        <v>C</v>
      </c>
      <c r="I38" s="240" t="s">
        <v>69</v>
      </c>
      <c r="J38" s="241">
        <f>'Юнит 01-04.01'!R36</f>
        <v>0</v>
      </c>
      <c r="K38" s="242">
        <f t="shared" si="13"/>
        <v>0</v>
      </c>
      <c r="L38" s="242">
        <f t="shared" si="15"/>
        <v>1</v>
      </c>
      <c r="M38" s="243" t="str">
        <f t="shared" ref="M38:M49" si="17">_xlfn.IFS(L38&lt;80%,"A",L38&lt;=95%,"B",L38&gt;95%,"C")</f>
        <v>C</v>
      </c>
    </row>
    <row r="39" spans="2:13" ht="15" thickBot="1">
      <c r="B39" s="240" t="s">
        <v>70</v>
      </c>
      <c r="C39" s="241">
        <f>'Юнит 01-04.01'!AE37</f>
        <v>0</v>
      </c>
      <c r="D39" s="242">
        <f t="shared" si="11"/>
        <v>0</v>
      </c>
      <c r="E39" s="242">
        <f t="shared" si="14"/>
        <v>-1.7269283727561939</v>
      </c>
      <c r="F39" s="243" t="str">
        <f t="shared" si="16"/>
        <v>C</v>
      </c>
      <c r="G39" s="243" t="str">
        <f t="shared" si="12"/>
        <v>C</v>
      </c>
      <c r="I39" s="240" t="s">
        <v>70</v>
      </c>
      <c r="J39" s="241">
        <f>'Юнит 01-04.01'!R37</f>
        <v>0</v>
      </c>
      <c r="K39" s="242">
        <f t="shared" si="13"/>
        <v>0</v>
      </c>
      <c r="L39" s="242">
        <f t="shared" si="15"/>
        <v>1</v>
      </c>
      <c r="M39" s="243" t="str">
        <f t="shared" si="17"/>
        <v>C</v>
      </c>
    </row>
    <row r="40" spans="2:13" ht="15" thickBot="1">
      <c r="B40" s="240" t="s">
        <v>71</v>
      </c>
      <c r="C40" s="241">
        <f>'Юнит 01-04.01'!AE38</f>
        <v>0</v>
      </c>
      <c r="D40" s="242">
        <f t="shared" si="11"/>
        <v>0</v>
      </c>
      <c r="E40" s="242">
        <f t="shared" si="14"/>
        <v>-1.7269283727561939</v>
      </c>
      <c r="F40" s="243" t="str">
        <f t="shared" si="16"/>
        <v>C</v>
      </c>
      <c r="G40" s="243" t="str">
        <f t="shared" si="12"/>
        <v>C</v>
      </c>
      <c r="I40" s="240" t="s">
        <v>71</v>
      </c>
      <c r="J40" s="241">
        <f>'Юнит 01-04.01'!R38</f>
        <v>0</v>
      </c>
      <c r="K40" s="242">
        <f t="shared" si="13"/>
        <v>0</v>
      </c>
      <c r="L40" s="242">
        <f t="shared" si="15"/>
        <v>1</v>
      </c>
      <c r="M40" s="243" t="str">
        <f t="shared" si="17"/>
        <v>C</v>
      </c>
    </row>
    <row r="41" spans="2:13" ht="26.5" thickBot="1">
      <c r="B41" s="240" t="s">
        <v>72</v>
      </c>
      <c r="C41" s="241">
        <f>'Юнит 01-04.01'!AE39</f>
        <v>0</v>
      </c>
      <c r="D41" s="242">
        <f t="shared" si="11"/>
        <v>0</v>
      </c>
      <c r="E41" s="242">
        <f t="shared" si="14"/>
        <v>-1.7269283727561939</v>
      </c>
      <c r="F41" s="243" t="str">
        <f t="shared" si="16"/>
        <v>C</v>
      </c>
      <c r="G41" s="243" t="str">
        <f t="shared" si="12"/>
        <v>C</v>
      </c>
      <c r="I41" s="240" t="s">
        <v>72</v>
      </c>
      <c r="J41" s="241">
        <f>'Юнит 01-04.01'!R39</f>
        <v>0</v>
      </c>
      <c r="K41" s="242">
        <f t="shared" si="13"/>
        <v>0</v>
      </c>
      <c r="L41" s="242">
        <f t="shared" si="15"/>
        <v>1</v>
      </c>
      <c r="M41" s="243" t="str">
        <f t="shared" si="17"/>
        <v>C</v>
      </c>
    </row>
    <row r="42" spans="2:13" ht="26.5" thickBot="1">
      <c r="B42" s="240" t="s">
        <v>73</v>
      </c>
      <c r="C42" s="241">
        <f>'Юнит 01-04.01'!AE40</f>
        <v>0</v>
      </c>
      <c r="D42" s="242">
        <f t="shared" si="11"/>
        <v>0</v>
      </c>
      <c r="E42" s="242">
        <f t="shared" si="14"/>
        <v>-1.7269283727561939</v>
      </c>
      <c r="F42" s="243" t="str">
        <f t="shared" si="16"/>
        <v>C</v>
      </c>
      <c r="G42" s="243" t="str">
        <f t="shared" si="12"/>
        <v>C</v>
      </c>
      <c r="I42" s="240" t="s">
        <v>73</v>
      </c>
      <c r="J42" s="241">
        <f>'Юнит 01-04.01'!R40</f>
        <v>0</v>
      </c>
      <c r="K42" s="242">
        <f t="shared" si="13"/>
        <v>0</v>
      </c>
      <c r="L42" s="242">
        <f t="shared" si="15"/>
        <v>1</v>
      </c>
      <c r="M42" s="243" t="str">
        <f t="shared" si="17"/>
        <v>C</v>
      </c>
    </row>
    <row r="43" spans="2:13" ht="26.5" thickBot="1">
      <c r="B43" s="240" t="s">
        <v>74</v>
      </c>
      <c r="C43" s="241">
        <f>'Юнит 01-04.01'!AE41</f>
        <v>0</v>
      </c>
      <c r="D43" s="242">
        <f t="shared" si="11"/>
        <v>0</v>
      </c>
      <c r="E43" s="242">
        <f t="shared" si="14"/>
        <v>-1.7269283727561939</v>
      </c>
      <c r="F43" s="243" t="str">
        <f t="shared" si="16"/>
        <v>C</v>
      </c>
      <c r="G43" s="243" t="str">
        <f t="shared" si="12"/>
        <v>C</v>
      </c>
      <c r="I43" s="240" t="s">
        <v>74</v>
      </c>
      <c r="J43" s="241">
        <f>'Юнит 01-04.01'!R41</f>
        <v>0</v>
      </c>
      <c r="K43" s="242">
        <f t="shared" si="13"/>
        <v>0</v>
      </c>
      <c r="L43" s="242">
        <f t="shared" si="15"/>
        <v>1</v>
      </c>
      <c r="M43" s="243" t="str">
        <f t="shared" si="17"/>
        <v>C</v>
      </c>
    </row>
    <row r="44" spans="2:13" ht="26.5" thickBot="1">
      <c r="B44" s="240" t="s">
        <v>76</v>
      </c>
      <c r="C44" s="241">
        <f>'Юнит 01-04.01'!AE43</f>
        <v>0</v>
      </c>
      <c r="D44" s="242">
        <f t="shared" si="11"/>
        <v>0</v>
      </c>
      <c r="E44" s="242">
        <f t="shared" si="14"/>
        <v>-1.7269283727561939</v>
      </c>
      <c r="F44" s="243" t="str">
        <f t="shared" si="16"/>
        <v>C</v>
      </c>
      <c r="G44" s="243" t="str">
        <f t="shared" si="12"/>
        <v>C</v>
      </c>
      <c r="I44" s="240" t="s">
        <v>75</v>
      </c>
      <c r="J44" s="241">
        <f>'Юнит 01-04.01'!R42</f>
        <v>0</v>
      </c>
      <c r="K44" s="242">
        <f t="shared" si="13"/>
        <v>0</v>
      </c>
      <c r="L44" s="242">
        <f t="shared" si="15"/>
        <v>1</v>
      </c>
      <c r="M44" s="243" t="str">
        <f t="shared" si="17"/>
        <v>C</v>
      </c>
    </row>
    <row r="45" spans="2:13" ht="26.5" thickBot="1">
      <c r="B45" s="240" t="s">
        <v>80</v>
      </c>
      <c r="C45" s="241">
        <f>'Юнит 01-04.01'!AE47</f>
        <v>0</v>
      </c>
      <c r="D45" s="242">
        <f t="shared" si="11"/>
        <v>0</v>
      </c>
      <c r="E45" s="242">
        <f t="shared" si="14"/>
        <v>-1.7269283727561939</v>
      </c>
      <c r="F45" s="243" t="str">
        <f t="shared" si="16"/>
        <v>C</v>
      </c>
      <c r="G45" s="243" t="str">
        <f t="shared" si="12"/>
        <v>C</v>
      </c>
      <c r="I45" s="240" t="s">
        <v>76</v>
      </c>
      <c r="J45" s="241">
        <f>'Юнит 01-04.01'!R43</f>
        <v>0</v>
      </c>
      <c r="K45" s="242">
        <f t="shared" si="13"/>
        <v>0</v>
      </c>
      <c r="L45" s="242">
        <f t="shared" si="15"/>
        <v>1</v>
      </c>
      <c r="M45" s="243" t="str">
        <f t="shared" si="17"/>
        <v>C</v>
      </c>
    </row>
    <row r="46" spans="2:13" ht="26.5" thickBot="1">
      <c r="B46" s="240" t="s">
        <v>79</v>
      </c>
      <c r="C46" s="241">
        <f>'Юнит 01-04.01'!AE46</f>
        <v>-124.262242</v>
      </c>
      <c r="D46" s="242">
        <f t="shared" si="11"/>
        <v>0.13453031205934124</v>
      </c>
      <c r="E46" s="242">
        <f t="shared" si="14"/>
        <v>-1.5923980606968526</v>
      </c>
      <c r="F46" s="243" t="str">
        <f t="shared" si="16"/>
        <v>C</v>
      </c>
      <c r="G46" s="243" t="str">
        <f t="shared" si="12"/>
        <v>C</v>
      </c>
      <c r="I46" s="240" t="s">
        <v>77</v>
      </c>
      <c r="J46" s="241">
        <f>'Юнит 01-04.01'!R44</f>
        <v>0</v>
      </c>
      <c r="K46" s="242">
        <f t="shared" si="13"/>
        <v>0</v>
      </c>
      <c r="L46" s="242">
        <f t="shared" si="15"/>
        <v>1</v>
      </c>
      <c r="M46" s="243" t="str">
        <f t="shared" si="17"/>
        <v>C</v>
      </c>
    </row>
    <row r="47" spans="2:13" ht="26.5" thickBot="1">
      <c r="B47" s="240" t="s">
        <v>77</v>
      </c>
      <c r="C47" s="241">
        <f>'Юнит 01-04.01'!AE44</f>
        <v>-149.55251699999999</v>
      </c>
      <c r="D47" s="242">
        <f t="shared" si="11"/>
        <v>0.16191037967325533</v>
      </c>
      <c r="E47" s="242">
        <f t="shared" si="14"/>
        <v>-1.4304876810235974</v>
      </c>
      <c r="F47" s="243" t="str">
        <f t="shared" si="16"/>
        <v>C</v>
      </c>
      <c r="G47" s="243" t="str">
        <f t="shared" si="12"/>
        <v>C</v>
      </c>
      <c r="I47" s="240" t="s">
        <v>78</v>
      </c>
      <c r="J47" s="241">
        <f>'Юнит 01-04.01'!R45</f>
        <v>0</v>
      </c>
      <c r="K47" s="242">
        <f t="shared" si="13"/>
        <v>0</v>
      </c>
      <c r="L47" s="242">
        <f t="shared" si="15"/>
        <v>1</v>
      </c>
      <c r="M47" s="243" t="str">
        <f t="shared" si="17"/>
        <v>C</v>
      </c>
    </row>
    <row r="48" spans="2:13" ht="26.5" thickBot="1">
      <c r="B48" s="240" t="s">
        <v>75</v>
      </c>
      <c r="C48" s="241">
        <f>'Юнит 01-04.01'!AE42</f>
        <v>-976.81</v>
      </c>
      <c r="D48" s="242">
        <f t="shared" si="11"/>
        <v>1.0575260192286335</v>
      </c>
      <c r="E48" s="242">
        <f t="shared" si="14"/>
        <v>-0.37296166179496382</v>
      </c>
      <c r="F48" s="243" t="str">
        <f t="shared" si="16"/>
        <v>C</v>
      </c>
      <c r="G48" s="243" t="str">
        <f t="shared" si="12"/>
        <v>C</v>
      </c>
      <c r="I48" s="240" t="s">
        <v>79</v>
      </c>
      <c r="J48" s="241">
        <f>'Юнит 01-04.01'!R46</f>
        <v>0</v>
      </c>
      <c r="K48" s="242">
        <f t="shared" si="13"/>
        <v>0</v>
      </c>
      <c r="L48" s="242">
        <f t="shared" si="15"/>
        <v>1</v>
      </c>
      <c r="M48" s="243" t="str">
        <f t="shared" si="17"/>
        <v>C</v>
      </c>
    </row>
    <row r="49" spans="2:13" ht="26.5" thickBot="1">
      <c r="B49" s="240" t="s">
        <v>78</v>
      </c>
      <c r="C49" s="241">
        <f>'Юнит 01-04.01'!AE45</f>
        <v>-1268.1699140000001</v>
      </c>
      <c r="D49" s="242">
        <f t="shared" si="11"/>
        <v>1.3729616617949638</v>
      </c>
      <c r="E49" s="242">
        <f t="shared" si="14"/>
        <v>1</v>
      </c>
      <c r="F49" s="243" t="str">
        <f t="shared" si="16"/>
        <v>C</v>
      </c>
      <c r="G49" s="243" t="str">
        <f t="shared" si="12"/>
        <v>C</v>
      </c>
      <c r="I49" s="240" t="s">
        <v>80</v>
      </c>
      <c r="J49" s="241">
        <f>'Юнит 01-04.01'!R47</f>
        <v>0</v>
      </c>
      <c r="K49" s="242">
        <f t="shared" si="13"/>
        <v>0</v>
      </c>
      <c r="L49" s="242">
        <f t="shared" si="15"/>
        <v>1</v>
      </c>
      <c r="M49" s="243" t="str">
        <f t="shared" si="17"/>
        <v>C</v>
      </c>
    </row>
    <row r="50" spans="2:13">
      <c r="C50" s="249">
        <f>SUM(C30:C49)</f>
        <v>-923.67467300000021</v>
      </c>
      <c r="D50" s="250">
        <f>SUM(D30:D49)</f>
        <v>1</v>
      </c>
      <c r="J50" s="249">
        <f>SUM(J30:J49)</f>
        <v>1</v>
      </c>
      <c r="K50" s="250">
        <f>SUM(K30:K49)</f>
        <v>1</v>
      </c>
    </row>
  </sheetData>
  <sortState xmlns:xlrd2="http://schemas.microsoft.com/office/spreadsheetml/2017/richdata2" ref="I4:J25">
    <sortCondition descending="1" ref="J4:J25"/>
  </sortState>
  <mergeCells count="2">
    <mergeCell ref="B2:M2"/>
    <mergeCell ref="B28:M28"/>
  </mergeCells>
  <conditionalFormatting sqref="D4:D25 F4:G25 M4:M25 K4:K25">
    <cfRule type="cellIs" dxfId="215" priority="4" operator="equal">
      <formula>"C"</formula>
    </cfRule>
    <cfRule type="cellIs" dxfId="214" priority="5" operator="equal">
      <formula>"B"</formula>
    </cfRule>
    <cfRule type="cellIs" dxfId="213" priority="6" operator="equal">
      <formula>"A"</formula>
    </cfRule>
  </conditionalFormatting>
  <conditionalFormatting sqref="M30:M49 D30:D49 K30:K49 F30:G49">
    <cfRule type="cellIs" dxfId="212" priority="1" operator="equal">
      <formula>"C"</formula>
    </cfRule>
    <cfRule type="cellIs" dxfId="211" priority="2" operator="equal">
      <formula>"B"</formula>
    </cfRule>
    <cfRule type="cellIs" dxfId="210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5DB2-535D-4943-BA65-0770CE8EA128}">
  <dimension ref="A1:AZ64"/>
  <sheetViews>
    <sheetView topLeftCell="T1" zoomScale="70" zoomScaleNormal="70" workbookViewId="0">
      <selection activeCell="AA1" sqref="AA1:AE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1006</v>
      </c>
      <c r="C1" s="3"/>
      <c r="D1" s="4"/>
      <c r="E1" s="4"/>
      <c r="F1" s="4"/>
      <c r="G1" s="4"/>
      <c r="N1" s="296" t="s">
        <v>997</v>
      </c>
      <c r="O1" s="29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23-28.02'!H:H,'Отчет 23-28.02'!D:D,"Выручка",'Отчет 23-28.02'!E:E,B3)</f>
        <v>0</v>
      </c>
      <c r="Q3" s="39">
        <f ca="1">SUMIFS('Отчет 23-28.02'!H:H,'Отчет 23-28.02'!D:D,"Возврат выручки",'Отчет 23-28.02'!E:E,B3)</f>
        <v>0</v>
      </c>
      <c r="R3" s="40">
        <f t="shared" ref="R3:R24" ca="1" si="1">P3-Q3</f>
        <v>0</v>
      </c>
      <c r="S3" s="41">
        <f ca="1">SUMIFS('Отчет 23-28.02'!P:P,'Отчет 23-28.02'!C:C,"Продажи",'Отчет 23-28.02'!E:E,B3)</f>
        <v>0</v>
      </c>
      <c r="T3" s="42">
        <f ca="1">SUMIFS('Отчет 23-28.02'!P:P,'Отчет 23-28.02'!C:C,"Возвраты",'Отчет 23-28.02'!E:E,B3)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23-28.02'!P:P,'Отчет 23-28.02'!C:C,"Вознаграждение Ozon",'Отчет 23-28.02'!E:E,B3)</f>
        <v>0</v>
      </c>
      <c r="Y3" s="45">
        <f t="shared" ref="Y3:Y24" ca="1" si="4">IF(U3=0,0,X3/U3)</f>
        <v>0</v>
      </c>
      <c r="Z3" s="42">
        <f ca="1">-SUMIFS('Отчет 23-28.02'!P:P,'Отчет 23-28.02'!C:C,"Услуги доставки",'Отчет 23-28.02'!E:E,B3)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23-28.02'!H:H,'Отчет 23-28.02'!D:D,"Выручка",'Отчет 23-28.02'!E:E,B4)</f>
        <v>0</v>
      </c>
      <c r="Q4" s="39">
        <f ca="1">SUMIFS('Отчет 23-28.02'!H:H,'Отчет 23-28.02'!D:D,"Возврат выручки",'Отчет 23-28.02'!E:E,B4)</f>
        <v>0</v>
      </c>
      <c r="R4" s="40">
        <f t="shared" ca="1" si="1"/>
        <v>0</v>
      </c>
      <c r="S4" s="41">
        <f ca="1">SUMIFS('Отчет 23-28.02'!P:P,'Отчет 23-28.02'!C:C,"Продажи",'Отчет 23-28.02'!E:E,B4)</f>
        <v>0</v>
      </c>
      <c r="T4" s="42">
        <f ca="1">SUMIFS('Отчет 23-28.02'!P:P,'Отчет 23-28.02'!C:C,"Возвраты",'Отчет 23-28.02'!E:E,B4)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23-28.02'!P:P,'Отчет 23-28.02'!C:C,"Вознаграждение Ozon",'Отчет 23-28.02'!E:E,B4)</f>
        <v>0</v>
      </c>
      <c r="Y4" s="45">
        <f t="shared" ca="1" si="4"/>
        <v>0</v>
      </c>
      <c r="Z4" s="42">
        <f ca="1">-SUMIFS('Отчет 23-28.02'!P:P,'Отчет 23-28.02'!C:C,"Услуги доставки",'Отчет 23-28.02'!E:E,B4)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23-28.02'!H:H,'Отчет 23-28.02'!D:D,"Выручка",'Отчет 23-28.02'!E:E,B5)</f>
        <v>0</v>
      </c>
      <c r="Q5" s="39">
        <f ca="1">SUMIFS('Отчет 23-28.02'!H:H,'Отчет 23-28.02'!D:D,"Возврат выручки",'Отчет 23-28.02'!E:E,B5)</f>
        <v>0</v>
      </c>
      <c r="R5" s="40">
        <f t="shared" ca="1" si="1"/>
        <v>0</v>
      </c>
      <c r="S5" s="41">
        <f ca="1">SUMIFS('Отчет 23-28.02'!P:P,'Отчет 23-28.02'!C:C,"Продажи",'Отчет 23-28.02'!E:E,B5)</f>
        <v>0</v>
      </c>
      <c r="T5" s="42">
        <f ca="1">SUMIFS('Отчет 23-28.02'!P:P,'Отчет 23-28.02'!C:C,"Возвраты",'Отчет 23-28.02'!E:E,B5)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23-28.02'!P:P,'Отчет 23-28.02'!C:C,"Вознаграждение Ozon",'Отчет 23-28.02'!E:E,B5)</f>
        <v>0</v>
      </c>
      <c r="Y5" s="45">
        <f t="shared" ca="1" si="4"/>
        <v>0</v>
      </c>
      <c r="Z5" s="42">
        <f ca="1">-SUMIFS('Отчет 23-28.02'!P:P,'Отчет 23-28.02'!C:C,"Услуги доставки",'Отчет 23-28.02'!E:E,B5)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23-28.02'!H:H,'Отчет 23-28.02'!D:D,"Выручка",'Отчет 23-28.02'!E:E,B6)</f>
        <v>0</v>
      </c>
      <c r="Q6" s="39">
        <f ca="1">SUMIFS('Отчет 23-28.02'!H:H,'Отчет 23-28.02'!D:D,"Возврат выручки",'Отчет 23-28.02'!E:E,B6)</f>
        <v>0</v>
      </c>
      <c r="R6" s="40">
        <f t="shared" ca="1" si="1"/>
        <v>0</v>
      </c>
      <c r="S6" s="41">
        <f ca="1">SUMIFS('Отчет 23-28.02'!P:P,'Отчет 23-28.02'!C:C,"Продажи",'Отчет 23-28.02'!E:E,B6)</f>
        <v>0</v>
      </c>
      <c r="T6" s="42">
        <f ca="1">SUMIFS('Отчет 23-28.02'!P:P,'Отчет 23-28.02'!C:C,"Возвраты",'Отчет 23-28.02'!E:E,B6)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23-28.02'!P:P,'Отчет 23-28.02'!C:C,"Вознаграждение Ozon",'Отчет 23-28.02'!E:E,B6)</f>
        <v>0</v>
      </c>
      <c r="Y6" s="45">
        <f t="shared" ca="1" si="4"/>
        <v>0</v>
      </c>
      <c r="Z6" s="42">
        <f ca="1">-SUMIFS('Отчет 23-28.02'!P:P,'Отчет 23-28.02'!C:C,"Услуги доставки",'Отчет 23-28.02'!E:E,B6)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23-28.02'!H:H,'Отчет 23-28.02'!D:D,"Выручка",'Отчет 23-28.02'!E:E,B7)</f>
        <v>0</v>
      </c>
      <c r="Q7" s="39">
        <f ca="1">SUMIFS('Отчет 23-28.02'!H:H,'Отчет 23-28.02'!D:D,"Возврат выручки",'Отчет 23-28.02'!E:E,B7)</f>
        <v>0</v>
      </c>
      <c r="R7" s="40">
        <f t="shared" ca="1" si="1"/>
        <v>0</v>
      </c>
      <c r="S7" s="41">
        <f ca="1">SUMIFS('Отчет 23-28.02'!P:P,'Отчет 23-28.02'!C:C,"Продажи",'Отчет 23-28.02'!E:E,B7)</f>
        <v>0</v>
      </c>
      <c r="T7" s="42">
        <f ca="1">SUMIFS('Отчет 23-28.02'!P:P,'Отчет 23-28.02'!C:C,"Возвраты",'Отчет 23-28.02'!E:E,B7)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23-28.02'!P:P,'Отчет 23-28.02'!C:C,"Вознаграждение Ozon",'Отчет 23-28.02'!E:E,B7)</f>
        <v>0</v>
      </c>
      <c r="Y7" s="45">
        <f t="shared" ca="1" si="4"/>
        <v>0</v>
      </c>
      <c r="Z7" s="42">
        <f ca="1">-SUMIFS('Отчет 23-28.02'!P:P,'Отчет 23-28.02'!C:C,"Услуги доставки",'Отчет 23-28.02'!E:E,B7)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23-28.02'!H:H,'Отчет 23-28.02'!D:D,"Выручка",'Отчет 23-28.02'!E:E,B8)</f>
        <v>0</v>
      </c>
      <c r="Q8" s="39">
        <f ca="1">SUMIFS('Отчет 23-28.02'!H:H,'Отчет 23-28.02'!D:D,"Возврат выручки",'Отчет 23-28.02'!E:E,B8)</f>
        <v>0</v>
      </c>
      <c r="R8" s="40">
        <f t="shared" ca="1" si="1"/>
        <v>0</v>
      </c>
      <c r="S8" s="41">
        <f ca="1">SUMIFS('Отчет 23-28.02'!P:P,'Отчет 23-28.02'!C:C,"Продажи",'Отчет 23-28.02'!E:E,B8)</f>
        <v>0</v>
      </c>
      <c r="T8" s="42">
        <f ca="1">SUMIFS('Отчет 23-28.02'!P:P,'Отчет 23-28.02'!C:C,"Возвраты",'Отчет 23-28.02'!E:E,B8)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23-28.02'!P:P,'Отчет 23-28.02'!C:C,"Вознаграждение Ozon",'Отчет 23-28.02'!E:E,B8)</f>
        <v>0</v>
      </c>
      <c r="Y8" s="45">
        <f t="shared" ca="1" si="4"/>
        <v>0</v>
      </c>
      <c r="Z8" s="42">
        <f ca="1">-SUMIFS('Отчет 23-28.02'!P:P,'Отчет 23-28.02'!C:C,"Услуги доставки",'Отчет 23-28.02'!E:E,B8)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23-28.02'!H:H,'Отчет 23-28.02'!D:D,"Выручка",'Отчет 23-28.02'!E:E,B9)</f>
        <v>0</v>
      </c>
      <c r="Q9" s="39">
        <f ca="1">SUMIFS('Отчет 23-28.02'!H:H,'Отчет 23-28.02'!D:D,"Возврат выручки",'Отчет 23-28.02'!E:E,B9)</f>
        <v>0</v>
      </c>
      <c r="R9" s="40">
        <f t="shared" ca="1" si="1"/>
        <v>0</v>
      </c>
      <c r="S9" s="41">
        <f ca="1">SUMIFS('Отчет 23-28.02'!P:P,'Отчет 23-28.02'!C:C,"Продажи",'Отчет 23-28.02'!E:E,B9)</f>
        <v>0</v>
      </c>
      <c r="T9" s="42">
        <f ca="1">SUMIFS('Отчет 23-28.02'!P:P,'Отчет 23-28.02'!C:C,"Возвраты",'Отчет 23-28.02'!E:E,B9)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23-28.02'!P:P,'Отчет 23-28.02'!C:C,"Вознаграждение Ozon",'Отчет 23-28.02'!E:E,B9)</f>
        <v>0</v>
      </c>
      <c r="Y9" s="45">
        <f t="shared" ca="1" si="4"/>
        <v>0</v>
      </c>
      <c r="Z9" s="42">
        <f ca="1">-SUMIFS('Отчет 23-28.02'!P:P,'Отчет 23-28.02'!C:C,"Услуги доставки",'Отчет 23-28.02'!E:E,B9)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23-28.02'!H:H,'Отчет 23-28.02'!D:D,"Выручка",'Отчет 23-28.02'!E:E,B10)</f>
        <v>0</v>
      </c>
      <c r="Q10" s="39">
        <f ca="1">SUMIFS('Отчет 23-28.02'!H:H,'Отчет 23-28.02'!D:D,"Возврат выручки",'Отчет 23-28.02'!E:E,B10)</f>
        <v>0</v>
      </c>
      <c r="R10" s="40">
        <f t="shared" ca="1" si="1"/>
        <v>0</v>
      </c>
      <c r="S10" s="41">
        <f ca="1">SUMIFS('Отчет 23-28.02'!P:P,'Отчет 23-28.02'!C:C,"Продажи",'Отчет 23-28.02'!E:E,B10)</f>
        <v>0</v>
      </c>
      <c r="T10" s="42">
        <f ca="1">SUMIFS('Отчет 23-28.02'!P:P,'Отчет 23-28.02'!C:C,"Возвраты",'Отчет 23-28.02'!E:E,B10)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23-28.02'!P:P,'Отчет 23-28.02'!C:C,"Вознаграждение Ozon",'Отчет 23-28.02'!E:E,B10)</f>
        <v>0</v>
      </c>
      <c r="Y10" s="45">
        <f t="shared" ca="1" si="4"/>
        <v>0</v>
      </c>
      <c r="Z10" s="42">
        <f ca="1">-SUMIFS('Отчет 23-28.02'!P:P,'Отчет 23-28.02'!C:C,"Услуги доставки",'Отчет 23-28.02'!E:E,B10)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23-28.02'!H:H,'Отчет 23-28.02'!D:D,"Выручка",'Отчет 23-28.02'!E:E,B11)</f>
        <v>0</v>
      </c>
      <c r="Q11" s="39">
        <f ca="1">SUMIFS('Отчет 23-28.02'!H:H,'Отчет 23-28.02'!D:D,"Возврат выручки",'Отчет 23-28.02'!E:E,B11)</f>
        <v>0</v>
      </c>
      <c r="R11" s="40">
        <f t="shared" ca="1" si="1"/>
        <v>0</v>
      </c>
      <c r="S11" s="41">
        <f ca="1">SUMIFS('Отчет 23-28.02'!P:P,'Отчет 23-28.02'!C:C,"Продажи",'Отчет 23-28.02'!E:E,B11)</f>
        <v>0</v>
      </c>
      <c r="T11" s="42">
        <f ca="1">SUMIFS('Отчет 23-28.02'!P:P,'Отчет 23-28.02'!C:C,"Возвраты",'Отчет 23-28.02'!E:E,B11)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23-28.02'!P:P,'Отчет 23-28.02'!C:C,"Вознаграждение Ozon",'Отчет 23-28.02'!E:E,B11)</f>
        <v>0</v>
      </c>
      <c r="Y11" s="45">
        <f t="shared" ca="1" si="4"/>
        <v>0</v>
      </c>
      <c r="Z11" s="42">
        <f ca="1">-SUMIFS('Отчет 23-28.02'!P:P,'Отчет 23-28.02'!C:C,"Услуги доставки",'Отчет 23-28.02'!E:E,B11)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23-28.02'!H:H,'Отчет 23-28.02'!D:D,"Выручка",'Отчет 23-28.02'!E:E,B12)</f>
        <v>0</v>
      </c>
      <c r="Q12" s="39">
        <f ca="1">SUMIFS('Отчет 23-28.02'!H:H,'Отчет 23-28.02'!D:D,"Возврат выручки",'Отчет 23-28.02'!E:E,B12)</f>
        <v>0</v>
      </c>
      <c r="R12" s="40">
        <f t="shared" ca="1" si="1"/>
        <v>0</v>
      </c>
      <c r="S12" s="41">
        <f ca="1">SUMIFS('Отчет 23-28.02'!P:P,'Отчет 23-28.02'!C:C,"Продажи",'Отчет 23-28.02'!E:E,B12)</f>
        <v>0</v>
      </c>
      <c r="T12" s="42">
        <f ca="1">SUMIFS('Отчет 23-28.02'!P:P,'Отчет 23-28.02'!C:C,"Возвраты",'Отчет 23-28.02'!E:E,B12)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23-28.02'!P:P,'Отчет 23-28.02'!C:C,"Вознаграждение Ozon",'Отчет 23-28.02'!E:E,B12)</f>
        <v>0</v>
      </c>
      <c r="Y12" s="45">
        <f t="shared" ca="1" si="4"/>
        <v>0</v>
      </c>
      <c r="Z12" s="42">
        <f ca="1">-SUMIFS('Отчет 23-28.02'!P:P,'Отчет 23-28.02'!C:C,"Услуги доставки",'Отчет 23-28.02'!E:E,B12)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23-28.02'!H:H,'Отчет 23-28.02'!D:D,"Выручка",'Отчет 23-28.02'!E:E,B13)</f>
        <v>0</v>
      </c>
      <c r="Q13" s="39">
        <f ca="1">SUMIFS('Отчет 23-28.02'!H:H,'Отчет 23-28.02'!D:D,"Возврат выручки",'Отчет 23-28.02'!E:E,B13)</f>
        <v>0</v>
      </c>
      <c r="R13" s="40">
        <f t="shared" ca="1" si="1"/>
        <v>0</v>
      </c>
      <c r="S13" s="41">
        <f ca="1">SUMIFS('Отчет 23-28.02'!P:P,'Отчет 23-28.02'!C:C,"Продажи",'Отчет 23-28.02'!E:E,B13)</f>
        <v>0</v>
      </c>
      <c r="T13" s="42">
        <f ca="1">SUMIFS('Отчет 23-28.02'!P:P,'Отчет 23-28.02'!C:C,"Возвраты",'Отчет 23-28.02'!E:E,B13)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23-28.02'!P:P,'Отчет 23-28.02'!C:C,"Вознаграждение Ozon",'Отчет 23-28.02'!E:E,B13)</f>
        <v>0</v>
      </c>
      <c r="Y13" s="45">
        <f t="shared" ca="1" si="4"/>
        <v>0</v>
      </c>
      <c r="Z13" s="42">
        <f ca="1">-SUMIFS('Отчет 23-28.02'!P:P,'Отчет 23-28.02'!C:C,"Услуги доставки",'Отчет 23-28.02'!E:E,B13)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23-28.02'!H:H,'Отчет 23-28.02'!D:D,"Выручка",'Отчет 23-28.02'!E:E,B14)</f>
        <v>0</v>
      </c>
      <c r="Q14" s="39">
        <f ca="1">SUMIFS('Отчет 23-28.02'!H:H,'Отчет 23-28.02'!D:D,"Возврат выручки",'Отчет 23-28.02'!E:E,B14)</f>
        <v>0</v>
      </c>
      <c r="R14" s="40">
        <f t="shared" ca="1" si="1"/>
        <v>0</v>
      </c>
      <c r="S14" s="41">
        <f ca="1">SUMIFS('Отчет 23-28.02'!P:P,'Отчет 23-28.02'!C:C,"Продажи",'Отчет 23-28.02'!E:E,B14)</f>
        <v>0</v>
      </c>
      <c r="T14" s="42">
        <f ca="1">SUMIFS('Отчет 23-28.02'!P:P,'Отчет 23-28.02'!C:C,"Возвраты",'Отчет 23-28.02'!E:E,B14)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23-28.02'!P:P,'Отчет 23-28.02'!C:C,"Вознаграждение Ozon",'Отчет 23-28.02'!E:E,B14)</f>
        <v>0</v>
      </c>
      <c r="Y14" s="45">
        <f t="shared" ca="1" si="4"/>
        <v>0</v>
      </c>
      <c r="Z14" s="42">
        <f ca="1">-SUMIFS('Отчет 23-28.02'!P:P,'Отчет 23-28.02'!C:C,"Услуги доставки",'Отчет 23-28.02'!E:E,B14)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23-28.02'!H:H,'Отчет 23-28.02'!D:D,"Выручка",'Отчет 23-28.02'!E:E,B15)</f>
        <v>0</v>
      </c>
      <c r="Q15" s="39">
        <f ca="1">SUMIFS('Отчет 23-28.02'!H:H,'Отчет 23-28.02'!D:D,"Возврат выручки",'Отчет 23-28.02'!E:E,B15)</f>
        <v>0</v>
      </c>
      <c r="R15" s="40">
        <f t="shared" ca="1" si="1"/>
        <v>0</v>
      </c>
      <c r="S15" s="41">
        <f ca="1">SUMIFS('Отчет 23-28.02'!P:P,'Отчет 23-28.02'!C:C,"Продажи",'Отчет 23-28.02'!E:E,B15)</f>
        <v>0</v>
      </c>
      <c r="T15" s="42">
        <f ca="1">SUMIFS('Отчет 23-28.02'!P:P,'Отчет 23-28.02'!C:C,"Возвраты",'Отчет 23-28.02'!E:E,B15)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23-28.02'!P:P,'Отчет 23-28.02'!C:C,"Вознаграждение Ozon",'Отчет 23-28.02'!E:E,B15)</f>
        <v>0</v>
      </c>
      <c r="Y15" s="45">
        <f t="shared" ca="1" si="4"/>
        <v>0</v>
      </c>
      <c r="Z15" s="42">
        <f ca="1">-SUMIFS('Отчет 23-28.02'!P:P,'Отчет 23-28.02'!C:C,"Услуги доставки",'Отчет 23-28.02'!E:E,B15)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23-28.02'!H:H,'Отчет 23-28.02'!D:D,"Выручка",'Отчет 23-28.02'!E:E,B16)</f>
        <v>0</v>
      </c>
      <c r="Q16" s="39">
        <f ca="1">SUMIFS('Отчет 23-28.02'!H:H,'Отчет 23-28.02'!D:D,"Возврат выручки",'Отчет 23-28.02'!E:E,B16)</f>
        <v>0</v>
      </c>
      <c r="R16" s="40">
        <f t="shared" ca="1" si="1"/>
        <v>0</v>
      </c>
      <c r="S16" s="41">
        <f ca="1">SUMIFS('Отчет 23-28.02'!P:P,'Отчет 23-28.02'!C:C,"Продажи",'Отчет 23-28.02'!E:E,B16)</f>
        <v>0</v>
      </c>
      <c r="T16" s="42">
        <f ca="1">SUMIFS('Отчет 23-28.02'!P:P,'Отчет 23-28.02'!C:C,"Возвраты",'Отчет 23-28.02'!E:E,B16)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23-28.02'!P:P,'Отчет 23-28.02'!C:C,"Вознаграждение Ozon",'Отчет 23-28.02'!E:E,B16)</f>
        <v>0</v>
      </c>
      <c r="Y16" s="45">
        <f t="shared" ca="1" si="4"/>
        <v>0</v>
      </c>
      <c r="Z16" s="42">
        <f ca="1">-SUMIFS('Отчет 23-28.02'!P:P,'Отчет 23-28.02'!C:C,"Услуги доставки",'Отчет 23-28.02'!E:E,B16)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23-28.02'!H:H,'Отчет 23-28.02'!D:D,"Выручка",'Отчет 23-28.02'!E:E,B17)</f>
        <v>0</v>
      </c>
      <c r="Q17" s="39">
        <f ca="1">SUMIFS('Отчет 23-28.02'!H:H,'Отчет 23-28.02'!D:D,"Возврат выручки",'Отчет 23-28.02'!E:E,B17)</f>
        <v>0</v>
      </c>
      <c r="R17" s="40">
        <f t="shared" ca="1" si="1"/>
        <v>0</v>
      </c>
      <c r="S17" s="41">
        <f ca="1">SUMIFS('Отчет 23-28.02'!P:P,'Отчет 23-28.02'!C:C,"Продажи",'Отчет 23-28.02'!E:E,B17)</f>
        <v>0</v>
      </c>
      <c r="T17" s="42">
        <f ca="1">SUMIFS('Отчет 23-28.02'!P:P,'Отчет 23-28.02'!C:C,"Возвраты",'Отчет 23-28.02'!E:E,B17)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23-28.02'!P:P,'Отчет 23-28.02'!C:C,"Вознаграждение Ozon",'Отчет 23-28.02'!E:E,B17)</f>
        <v>0</v>
      </c>
      <c r="Y17" s="45">
        <f t="shared" ca="1" si="4"/>
        <v>0</v>
      </c>
      <c r="Z17" s="42">
        <f ca="1">-SUMIFS('Отчет 23-28.02'!P:P,'Отчет 23-28.02'!C:C,"Услуги доставки",'Отчет 23-28.02'!E:E,B17)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23-28.02'!H:H,'Отчет 23-28.02'!D:D,"Выручка",'Отчет 23-28.02'!E:E,B18)</f>
        <v>0</v>
      </c>
      <c r="Q18" s="39">
        <f ca="1">SUMIFS('Отчет 23-28.02'!H:H,'Отчет 23-28.02'!D:D,"Возврат выручки",'Отчет 23-28.02'!E:E,B18)</f>
        <v>0</v>
      </c>
      <c r="R18" s="40">
        <f t="shared" ca="1" si="1"/>
        <v>0</v>
      </c>
      <c r="S18" s="41">
        <f ca="1">SUMIFS('Отчет 23-28.02'!P:P,'Отчет 23-28.02'!C:C,"Продажи",'Отчет 23-28.02'!E:E,B18)</f>
        <v>0</v>
      </c>
      <c r="T18" s="42">
        <f ca="1">SUMIFS('Отчет 23-28.02'!P:P,'Отчет 23-28.02'!C:C,"Возвраты",'Отчет 23-28.02'!E:E,B18)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23-28.02'!P:P,'Отчет 23-28.02'!C:C,"Вознаграждение Ozon",'Отчет 23-28.02'!E:E,B18)</f>
        <v>0</v>
      </c>
      <c r="Y18" s="45">
        <f t="shared" ca="1" si="4"/>
        <v>0</v>
      </c>
      <c r="Z18" s="42">
        <f ca="1">-SUMIFS('Отчет 23-28.02'!P:P,'Отчет 23-28.02'!C:C,"Услуги доставки",'Отчет 23-28.02'!E:E,B18)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23-28.02'!H:H,'Отчет 23-28.02'!D:D,"Выручка",'Отчет 23-28.02'!E:E,B19)</f>
        <v>0</v>
      </c>
      <c r="Q19" s="39">
        <f ca="1">SUMIFS('Отчет 23-28.02'!H:H,'Отчет 23-28.02'!D:D,"Возврат выручки",'Отчет 23-28.02'!E:E,B19)</f>
        <v>0</v>
      </c>
      <c r="R19" s="40">
        <f t="shared" ca="1" si="1"/>
        <v>0</v>
      </c>
      <c r="S19" s="41">
        <f ca="1">SUMIFS('Отчет 23-28.02'!P:P,'Отчет 23-28.02'!C:C,"Продажи",'Отчет 23-28.02'!E:E,B19)</f>
        <v>0</v>
      </c>
      <c r="T19" s="42">
        <f ca="1">SUMIFS('Отчет 23-28.02'!P:P,'Отчет 23-28.02'!C:C,"Возвраты",'Отчет 23-28.02'!E:E,B19)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23-28.02'!P:P,'Отчет 23-28.02'!C:C,"Вознаграждение Ozon",'Отчет 23-28.02'!E:E,B19)</f>
        <v>0</v>
      </c>
      <c r="Y19" s="45">
        <f t="shared" ca="1" si="4"/>
        <v>0</v>
      </c>
      <c r="Z19" s="42">
        <f ca="1">-SUMIFS('Отчет 23-28.02'!P:P,'Отчет 23-28.02'!C:C,"Услуги доставки",'Отчет 23-28.02'!E:E,B19)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23-28.02'!H:H,'Отчет 23-28.02'!D:D,"Выручка",'Отчет 23-28.02'!E:E,B20)</f>
        <v>0</v>
      </c>
      <c r="Q20" s="39">
        <f ca="1">SUMIFS('Отчет 23-28.02'!H:H,'Отчет 23-28.02'!D:D,"Возврат выручки",'Отчет 23-28.02'!E:E,B20)</f>
        <v>0</v>
      </c>
      <c r="R20" s="40">
        <f t="shared" ca="1" si="1"/>
        <v>0</v>
      </c>
      <c r="S20" s="41">
        <f ca="1">SUMIFS('Отчет 23-28.02'!P:P,'Отчет 23-28.02'!C:C,"Продажи",'Отчет 23-28.02'!E:E,B20)</f>
        <v>0</v>
      </c>
      <c r="T20" s="42">
        <f ca="1">SUMIFS('Отчет 23-28.02'!P:P,'Отчет 23-28.02'!C:C,"Возвраты",'Отчет 23-28.02'!E:E,B20)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23-28.02'!P:P,'Отчет 23-28.02'!C:C,"Вознаграждение Ozon",'Отчет 23-28.02'!E:E,B20)</f>
        <v>0</v>
      </c>
      <c r="Y20" s="45">
        <f t="shared" ca="1" si="4"/>
        <v>0</v>
      </c>
      <c r="Z20" s="42">
        <f ca="1">-SUMIFS('Отчет 23-28.02'!P:P,'Отчет 23-28.02'!C:C,"Услуги доставки",'Отчет 23-28.02'!E:E,B20)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23-28.02'!H:H,'Отчет 23-28.02'!D:D,"Выручка",'Отчет 23-28.02'!E:E,B21)</f>
        <v>0</v>
      </c>
      <c r="Q21" s="39">
        <f ca="1">SUMIFS('Отчет 23-28.02'!H:H,'Отчет 23-28.02'!D:D,"Возврат выручки",'Отчет 23-28.02'!E:E,B21)</f>
        <v>0</v>
      </c>
      <c r="R21" s="40">
        <f t="shared" ca="1" si="1"/>
        <v>0</v>
      </c>
      <c r="S21" s="41">
        <f ca="1">SUMIFS('Отчет 23-28.02'!P:P,'Отчет 23-28.02'!C:C,"Продажи",'Отчет 23-28.02'!E:E,B21)</f>
        <v>0</v>
      </c>
      <c r="T21" s="42">
        <f ca="1">SUMIFS('Отчет 23-28.02'!P:P,'Отчет 23-28.02'!C:C,"Возвраты",'Отчет 23-28.02'!E:E,B21)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23-28.02'!P:P,'Отчет 23-28.02'!C:C,"Вознаграждение Ozon",'Отчет 23-28.02'!E:E,B21)</f>
        <v>0</v>
      </c>
      <c r="Y21" s="45">
        <f t="shared" ca="1" si="4"/>
        <v>0</v>
      </c>
      <c r="Z21" s="42">
        <f ca="1">-SUMIFS('Отчет 23-28.02'!P:P,'Отчет 23-28.02'!C:C,"Услуги доставки",'Отчет 23-28.02'!E:E,B21)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23-28.02'!H:H,'Отчет 23-28.02'!D:D,"Выручка",'Отчет 23-28.02'!E:E,B22)</f>
        <v>0</v>
      </c>
      <c r="Q22" s="39">
        <f ca="1">SUMIFS('Отчет 23-28.02'!H:H,'Отчет 23-28.02'!D:D,"Возврат выручки",'Отчет 23-28.02'!E:E,B22)</f>
        <v>0</v>
      </c>
      <c r="R22" s="40">
        <f t="shared" ca="1" si="1"/>
        <v>0</v>
      </c>
      <c r="S22" s="41">
        <f ca="1">SUMIFS('Отчет 23-28.02'!P:P,'Отчет 23-28.02'!C:C,"Продажи",'Отчет 23-28.02'!E:E,B22)</f>
        <v>0</v>
      </c>
      <c r="T22" s="42">
        <f ca="1">SUMIFS('Отчет 23-28.02'!P:P,'Отчет 23-28.02'!C:C,"Возвраты",'Отчет 23-28.02'!E:E,B22)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23-28.02'!P:P,'Отчет 23-28.02'!C:C,"Вознаграждение Ozon",'Отчет 23-28.02'!E:E,B22)</f>
        <v>0</v>
      </c>
      <c r="Y22" s="45">
        <f t="shared" ca="1" si="4"/>
        <v>0</v>
      </c>
      <c r="Z22" s="42">
        <f ca="1">-SUMIFS('Отчет 23-28.02'!P:P,'Отчет 23-28.02'!C:C,"Услуги доставки",'Отчет 23-28.02'!E:E,B22)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23-28.02'!H:H,'Отчет 23-28.02'!D:D,"Выручка",'Отчет 23-28.02'!E:E,B23)</f>
        <v>0</v>
      </c>
      <c r="Q23" s="39">
        <f ca="1">SUMIFS('Отчет 23-28.02'!H:H,'Отчет 23-28.02'!D:D,"Возврат выручки",'Отчет 23-28.02'!E:E,B23)</f>
        <v>0</v>
      </c>
      <c r="R23" s="40">
        <f t="shared" ca="1" si="1"/>
        <v>0</v>
      </c>
      <c r="S23" s="41">
        <f ca="1">SUMIFS('Отчет 23-28.02'!P:P,'Отчет 23-28.02'!C:C,"Продажи",'Отчет 23-28.02'!E:E,B23)</f>
        <v>0</v>
      </c>
      <c r="T23" s="42">
        <f ca="1">SUMIFS('Отчет 23-28.02'!P:P,'Отчет 23-28.02'!C:C,"Возвраты",'Отчет 23-28.02'!E:E,B23)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23-28.02'!P:P,'Отчет 23-28.02'!C:C,"Вознаграждение Ozon",'Отчет 23-28.02'!E:E,B23)</f>
        <v>0</v>
      </c>
      <c r="Y23" s="45">
        <f t="shared" ca="1" si="4"/>
        <v>0</v>
      </c>
      <c r="Z23" s="42">
        <f ca="1">-SUMIFS('Отчет 23-28.02'!P:P,'Отчет 23-28.02'!C:C,"Услуги доставки",'Отчет 23-28.02'!E:E,B23)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23-28.02'!H:H,'Отчет 23-28.02'!D:D,"Выручка",'Отчет 23-28.02'!E:E,B24)</f>
        <v>0</v>
      </c>
      <c r="Q24" s="39">
        <f ca="1">SUMIFS('Отчет 23-28.02'!H:H,'Отчет 23-28.02'!D:D,"Возврат выручки",'Отчет 23-28.02'!E:E,B24)</f>
        <v>0</v>
      </c>
      <c r="R24" s="40">
        <f t="shared" ca="1" si="1"/>
        <v>0</v>
      </c>
      <c r="S24" s="41">
        <f ca="1">SUMIFS('Отчет 23-28.02'!P:P,'Отчет 23-28.02'!C:C,"Продажи",'Отчет 23-28.02'!E:E,B24)</f>
        <v>0</v>
      </c>
      <c r="T24" s="42">
        <f ca="1">SUMIFS('Отчет 23-28.02'!P:P,'Отчет 23-28.02'!C:C,"Возвраты",'Отчет 23-28.02'!E:E,B24)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23-28.02'!P:P,'Отчет 23-28.02'!C:C,"Вознаграждение Ozon",'Отчет 23-28.02'!E:E,B24)</f>
        <v>0</v>
      </c>
      <c r="Y24" s="45">
        <f t="shared" ca="1" si="4"/>
        <v>0</v>
      </c>
      <c r="Z24" s="42">
        <f ca="1">-SUMIFS('Отчет 23-28.02'!P:P,'Отчет 23-28.02'!C:C,"Услуги доставки",'Отчет 23-28.02'!E:E,B24)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23-28.02'!H:H,'Отчет 23-28.02'!D:D,"Выручка",'Отчет 23-28.02'!E:E,B28)</f>
        <v>0</v>
      </c>
      <c r="Q28" s="39">
        <f ca="1">SUMIFS('Отчет 23-28.02'!H:H,'Отчет 23-28.02'!D:D,"Возврат выручки",'Отчет 23-28.02'!E:E,B28)</f>
        <v>0</v>
      </c>
      <c r="R28" s="40">
        <f t="shared" ref="R28:R47" ca="1" si="24">P28-Q28</f>
        <v>0</v>
      </c>
      <c r="S28" s="41">
        <f ca="1">SUMIFS('Отчет 23-28.02'!P:P,'Отчет 23-28.02'!C:C,"Продажи",'Отчет 23-28.02'!E:E,B28)</f>
        <v>0</v>
      </c>
      <c r="T28" s="42">
        <f ca="1">SUMIFS('Отчет 23-28.02'!P:P,'Отчет 23-28.02'!C:C,"Возвраты",'Отчет 23-28.02'!E:E,B28)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23-28.02'!P:P,'Отчет 23-28.02'!C:C,"Вознаграждение Ozon",'Отчет 23-28.02'!E:E,B28)</f>
        <v>0</v>
      </c>
      <c r="Y28" s="45">
        <f t="shared" ref="Y28:Y47" ca="1" si="28">IF(U28=0,0,X28/U28)</f>
        <v>0</v>
      </c>
      <c r="Z28" s="42">
        <f ca="1">-SUMIFS('Отчет 23-28.02'!P:P,'Отчет 23-28.02'!C:C,"Услуги доставки",'Отчет 23-28.02'!E:E,B28)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23-28.02'!H:H,'Отчет 23-28.02'!D:D,"Выручка",'Отчет 23-28.02'!E:E,B29)</f>
        <v>0</v>
      </c>
      <c r="Q29" s="39">
        <f ca="1">SUMIFS('Отчет 23-28.02'!H:H,'Отчет 23-28.02'!D:D,"Возврат выручки",'Отчет 23-28.02'!E:E,B29)</f>
        <v>0</v>
      </c>
      <c r="R29" s="40">
        <f t="shared" ca="1" si="24"/>
        <v>0</v>
      </c>
      <c r="S29" s="41">
        <f ca="1">SUMIFS('Отчет 23-28.02'!P:P,'Отчет 23-28.02'!C:C,"Продажи",'Отчет 23-28.02'!E:E,B29)</f>
        <v>0</v>
      </c>
      <c r="T29" s="42">
        <f ca="1">SUMIFS('Отчет 23-28.02'!P:P,'Отчет 23-28.02'!C:C,"Возвраты",'Отчет 23-28.02'!E:E,B29)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23-28.02'!P:P,'Отчет 23-28.02'!C:C,"Вознаграждение Ozon",'Отчет 23-28.02'!E:E,B29)</f>
        <v>0</v>
      </c>
      <c r="Y29" s="45">
        <f t="shared" ca="1" si="28"/>
        <v>0</v>
      </c>
      <c r="Z29" s="42">
        <f ca="1">-SUMIFS('Отчет 23-28.02'!P:P,'Отчет 23-28.02'!C:C,"Услуги доставки",'Отчет 23-28.02'!E:E,B29)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23-28.02'!H:H,'Отчет 23-28.02'!D:D,"Выручка",'Отчет 23-28.02'!E:E,B30)</f>
        <v>0</v>
      </c>
      <c r="Q30" s="39">
        <f ca="1">SUMIFS('Отчет 23-28.02'!H:H,'Отчет 23-28.02'!D:D,"Возврат выручки",'Отчет 23-28.02'!E:E,B30)</f>
        <v>0</v>
      </c>
      <c r="R30" s="40">
        <f t="shared" ca="1" si="24"/>
        <v>0</v>
      </c>
      <c r="S30" s="41">
        <f ca="1">SUMIFS('Отчет 23-28.02'!P:P,'Отчет 23-28.02'!C:C,"Продажи",'Отчет 23-28.02'!E:E,B30)</f>
        <v>0</v>
      </c>
      <c r="T30" s="42">
        <f ca="1">SUMIFS('Отчет 23-28.02'!P:P,'Отчет 23-28.02'!C:C,"Возвраты",'Отчет 23-28.02'!E:E,B30)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23-28.02'!P:P,'Отчет 23-28.02'!C:C,"Вознаграждение Ozon",'Отчет 23-28.02'!E:E,B30)</f>
        <v>0</v>
      </c>
      <c r="Y30" s="45">
        <f t="shared" ca="1" si="28"/>
        <v>0</v>
      </c>
      <c r="Z30" s="42">
        <f ca="1">-SUMIFS('Отчет 23-28.02'!P:P,'Отчет 23-28.02'!C:C,"Услуги доставки",'Отчет 23-28.02'!E:E,B30)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23-28.02'!H:H,'Отчет 23-28.02'!D:D,"Выручка",'Отчет 23-28.02'!E:E,B31)</f>
        <v>0</v>
      </c>
      <c r="Q31" s="39">
        <f ca="1">SUMIFS('Отчет 23-28.02'!H:H,'Отчет 23-28.02'!D:D,"Возврат выручки",'Отчет 23-28.02'!E:E,B31)</f>
        <v>0</v>
      </c>
      <c r="R31" s="40">
        <f t="shared" ca="1" si="24"/>
        <v>0</v>
      </c>
      <c r="S31" s="41">
        <f ca="1">SUMIFS('Отчет 23-28.02'!P:P,'Отчет 23-28.02'!C:C,"Продажи",'Отчет 23-28.02'!E:E,B31)</f>
        <v>0</v>
      </c>
      <c r="T31" s="42">
        <f ca="1">SUMIFS('Отчет 23-28.02'!P:P,'Отчет 23-28.02'!C:C,"Возвраты",'Отчет 23-28.02'!E:E,B31)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23-28.02'!P:P,'Отчет 23-28.02'!C:C,"Вознаграждение Ozon",'Отчет 23-28.02'!E:E,B31)</f>
        <v>0</v>
      </c>
      <c r="Y31" s="45">
        <f t="shared" ca="1" si="28"/>
        <v>0</v>
      </c>
      <c r="Z31" s="42">
        <f ca="1">-SUMIFS('Отчет 23-28.02'!P:P,'Отчет 23-28.02'!C:C,"Услуги доставки",'Отчет 23-28.02'!E:E,B31)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23-28.02'!H:H,'Отчет 23-28.02'!D:D,"Выручка",'Отчет 23-28.02'!E:E,B32)</f>
        <v>0</v>
      </c>
      <c r="Q32" s="39">
        <f ca="1">SUMIFS('Отчет 23-28.02'!H:H,'Отчет 23-28.02'!D:D,"Возврат выручки",'Отчет 23-28.02'!E:E,B32)</f>
        <v>0</v>
      </c>
      <c r="R32" s="40">
        <f t="shared" ca="1" si="24"/>
        <v>0</v>
      </c>
      <c r="S32" s="41">
        <f ca="1">SUMIFS('Отчет 23-28.02'!P:P,'Отчет 23-28.02'!C:C,"Продажи",'Отчет 23-28.02'!E:E,B32)</f>
        <v>0</v>
      </c>
      <c r="T32" s="42">
        <f ca="1">SUMIFS('Отчет 23-28.02'!P:P,'Отчет 23-28.02'!C:C,"Возвраты",'Отчет 23-28.02'!E:E,B32)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23-28.02'!P:P,'Отчет 23-28.02'!C:C,"Вознаграждение Ozon",'Отчет 23-28.02'!E:E,B32)</f>
        <v>0</v>
      </c>
      <c r="Y32" s="45">
        <f t="shared" ca="1" si="28"/>
        <v>0</v>
      </c>
      <c r="Z32" s="42">
        <f ca="1">-SUMIFS('Отчет 23-28.02'!P:P,'Отчет 23-28.02'!C:C,"Услуги доставки",'Отчет 23-28.02'!E:E,B32)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23-28.02'!H:H,'Отчет 23-28.02'!D:D,"Выручка",'Отчет 23-28.02'!E:E,B33)</f>
        <v>0</v>
      </c>
      <c r="Q33" s="39">
        <f ca="1">SUMIFS('Отчет 23-28.02'!H:H,'Отчет 23-28.02'!D:D,"Возврат выручки",'Отчет 23-28.02'!E:E,B33)</f>
        <v>0</v>
      </c>
      <c r="R33" s="40">
        <f t="shared" ca="1" si="24"/>
        <v>0</v>
      </c>
      <c r="S33" s="41">
        <f ca="1">SUMIFS('Отчет 23-28.02'!P:P,'Отчет 23-28.02'!C:C,"Продажи",'Отчет 23-28.02'!E:E,B33)</f>
        <v>0</v>
      </c>
      <c r="T33" s="42">
        <f ca="1">SUMIFS('Отчет 23-28.02'!P:P,'Отчет 23-28.02'!C:C,"Возвраты",'Отчет 23-28.02'!E:E,B33)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23-28.02'!P:P,'Отчет 23-28.02'!C:C,"Вознаграждение Ozon",'Отчет 23-28.02'!E:E,B33)</f>
        <v>0</v>
      </c>
      <c r="Y33" s="45">
        <f t="shared" ca="1" si="28"/>
        <v>0</v>
      </c>
      <c r="Z33" s="42">
        <f ca="1">-SUMIFS('Отчет 23-28.02'!P:P,'Отчет 23-28.02'!C:C,"Услуги доставки",'Отчет 23-28.02'!E:E,B33)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23-28.02'!H:H,'Отчет 23-28.02'!D:D,"Выручка",'Отчет 23-28.02'!E:E,B34)</f>
        <v>0</v>
      </c>
      <c r="Q34" s="39">
        <f ca="1">SUMIFS('Отчет 23-28.02'!H:H,'Отчет 23-28.02'!D:D,"Возврат выручки",'Отчет 23-28.02'!E:E,B34)</f>
        <v>0</v>
      </c>
      <c r="R34" s="40">
        <f t="shared" ca="1" si="24"/>
        <v>0</v>
      </c>
      <c r="S34" s="41">
        <f ca="1">SUMIFS('Отчет 23-28.02'!P:P,'Отчет 23-28.02'!C:C,"Продажи",'Отчет 23-28.02'!E:E,B34)</f>
        <v>0</v>
      </c>
      <c r="T34" s="42">
        <f ca="1">SUMIFS('Отчет 23-28.02'!P:P,'Отчет 23-28.02'!C:C,"Возвраты",'Отчет 23-28.02'!E:E,B34)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23-28.02'!P:P,'Отчет 23-28.02'!C:C,"Вознаграждение Ozon",'Отчет 23-28.02'!E:E,B34)</f>
        <v>0</v>
      </c>
      <c r="Y34" s="45">
        <f t="shared" ca="1" si="28"/>
        <v>0</v>
      </c>
      <c r="Z34" s="42">
        <f ca="1">-SUMIFS('Отчет 23-28.02'!P:P,'Отчет 23-28.02'!C:C,"Услуги доставки",'Отчет 23-28.02'!E:E,B34)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23-28.02'!H:H,'Отчет 23-28.02'!D:D,"Выручка",'Отчет 23-28.02'!E:E,B35)</f>
        <v>0</v>
      </c>
      <c r="Q35" s="39">
        <f ca="1">SUMIFS('Отчет 23-28.02'!H:H,'Отчет 23-28.02'!D:D,"Возврат выручки",'Отчет 23-28.02'!E:E,B35)</f>
        <v>0</v>
      </c>
      <c r="R35" s="40">
        <f t="shared" ca="1" si="24"/>
        <v>0</v>
      </c>
      <c r="S35" s="41">
        <f ca="1">SUMIFS('Отчет 23-28.02'!P:P,'Отчет 23-28.02'!C:C,"Продажи",'Отчет 23-28.02'!E:E,B35)</f>
        <v>0</v>
      </c>
      <c r="T35" s="42">
        <f ca="1">SUMIFS('Отчет 23-28.02'!P:P,'Отчет 23-28.02'!C:C,"Возвраты",'Отчет 23-28.02'!E:E,B35)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23-28.02'!P:P,'Отчет 23-28.02'!C:C,"Вознаграждение Ozon",'Отчет 23-28.02'!E:E,B35)</f>
        <v>0</v>
      </c>
      <c r="Y35" s="45">
        <f t="shared" ca="1" si="28"/>
        <v>0</v>
      </c>
      <c r="Z35" s="42">
        <f ca="1">-SUMIFS('Отчет 23-28.02'!P:P,'Отчет 23-28.02'!C:C,"Услуги доставки",'Отчет 23-28.02'!E:E,B35)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23-28.02'!H:H,'Отчет 23-28.02'!D:D,"Выручка",'Отчет 23-28.02'!E:E,B36)</f>
        <v>0</v>
      </c>
      <c r="Q36" s="39">
        <f ca="1">SUMIFS('Отчет 23-28.02'!H:H,'Отчет 23-28.02'!D:D,"Возврат выручки",'Отчет 23-28.02'!E:E,B36)</f>
        <v>0</v>
      </c>
      <c r="R36" s="40">
        <f t="shared" ca="1" si="24"/>
        <v>0</v>
      </c>
      <c r="S36" s="41">
        <f ca="1">SUMIFS('Отчет 23-28.02'!P:P,'Отчет 23-28.02'!C:C,"Продажи",'Отчет 23-28.02'!E:E,B36)</f>
        <v>0</v>
      </c>
      <c r="T36" s="42">
        <f ca="1">SUMIFS('Отчет 23-28.02'!P:P,'Отчет 23-28.02'!C:C,"Возвраты",'Отчет 23-28.02'!E:E,B36)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23-28.02'!P:P,'Отчет 23-28.02'!C:C,"Вознаграждение Ozon",'Отчет 23-28.02'!E:E,B36)</f>
        <v>0</v>
      </c>
      <c r="Y36" s="45">
        <f t="shared" ca="1" si="28"/>
        <v>0</v>
      </c>
      <c r="Z36" s="42">
        <f ca="1">-SUMIFS('Отчет 23-28.02'!P:P,'Отчет 23-28.02'!C:C,"Услуги доставки",'Отчет 23-28.02'!E:E,B36)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23-28.02'!H:H,'Отчет 23-28.02'!D:D,"Выручка",'Отчет 23-28.02'!E:E,B37)</f>
        <v>0</v>
      </c>
      <c r="Q37" s="39">
        <f ca="1">SUMIFS('Отчет 23-28.02'!H:H,'Отчет 23-28.02'!D:D,"Возврат выручки",'Отчет 23-28.02'!E:E,B37)</f>
        <v>0</v>
      </c>
      <c r="R37" s="40">
        <f t="shared" ca="1" si="24"/>
        <v>0</v>
      </c>
      <c r="S37" s="41">
        <f ca="1">SUMIFS('Отчет 23-28.02'!P:P,'Отчет 23-28.02'!C:C,"Продажи",'Отчет 23-28.02'!E:E,B37)</f>
        <v>0</v>
      </c>
      <c r="T37" s="42">
        <f ca="1">SUMIFS('Отчет 23-28.02'!P:P,'Отчет 23-28.02'!C:C,"Возвраты",'Отчет 23-28.02'!E:E,B37)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23-28.02'!P:P,'Отчет 23-28.02'!C:C,"Вознаграждение Ozon",'Отчет 23-28.02'!E:E,B37)</f>
        <v>0</v>
      </c>
      <c r="Y37" s="45">
        <f t="shared" ca="1" si="28"/>
        <v>0</v>
      </c>
      <c r="Z37" s="42">
        <f ca="1">-SUMIFS('Отчет 23-28.02'!P:P,'Отчет 23-28.02'!C:C,"Услуги доставки",'Отчет 23-28.02'!E:E,B37)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23-28.02'!H:H,'Отчет 23-28.02'!D:D,"Выручка",'Отчет 23-28.02'!E:E,B38)</f>
        <v>0</v>
      </c>
      <c r="Q38" s="39">
        <f ca="1">SUMIFS('Отчет 23-28.02'!H:H,'Отчет 23-28.02'!D:D,"Возврат выручки",'Отчет 23-28.02'!E:E,B38)</f>
        <v>0</v>
      </c>
      <c r="R38" s="40">
        <f t="shared" ca="1" si="24"/>
        <v>0</v>
      </c>
      <c r="S38" s="41">
        <f ca="1">SUMIFS('Отчет 23-28.02'!P:P,'Отчет 23-28.02'!C:C,"Продажи",'Отчет 23-28.02'!E:E,B38)</f>
        <v>0</v>
      </c>
      <c r="T38" s="42">
        <f ca="1">SUMIFS('Отчет 23-28.02'!P:P,'Отчет 23-28.02'!C:C,"Возвраты",'Отчет 23-28.02'!E:E,B38)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23-28.02'!P:P,'Отчет 23-28.02'!C:C,"Вознаграждение Ozon",'Отчет 23-28.02'!E:E,B38)</f>
        <v>0</v>
      </c>
      <c r="Y38" s="45">
        <f t="shared" ca="1" si="28"/>
        <v>0</v>
      </c>
      <c r="Z38" s="42">
        <f ca="1">-SUMIFS('Отчет 23-28.02'!P:P,'Отчет 23-28.02'!C:C,"Услуги доставки",'Отчет 23-28.02'!E:E,B38)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23-28.02'!H:H,'Отчет 23-28.02'!D:D,"Выручка",'Отчет 23-28.02'!E:E,B39)</f>
        <v>0</v>
      </c>
      <c r="Q39" s="39">
        <f ca="1">SUMIFS('Отчет 23-28.02'!H:H,'Отчет 23-28.02'!D:D,"Возврат выручки",'Отчет 23-28.02'!E:E,B39)</f>
        <v>0</v>
      </c>
      <c r="R39" s="40">
        <f t="shared" ca="1" si="24"/>
        <v>0</v>
      </c>
      <c r="S39" s="41">
        <f ca="1">SUMIFS('Отчет 23-28.02'!P:P,'Отчет 23-28.02'!C:C,"Продажи",'Отчет 23-28.02'!E:E,B39)</f>
        <v>0</v>
      </c>
      <c r="T39" s="42">
        <f ca="1">SUMIFS('Отчет 23-28.02'!P:P,'Отчет 23-28.02'!C:C,"Возвраты",'Отчет 23-28.02'!E:E,B39)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23-28.02'!P:P,'Отчет 23-28.02'!C:C,"Вознаграждение Ozon",'Отчет 23-28.02'!E:E,B39)</f>
        <v>0</v>
      </c>
      <c r="Y39" s="45">
        <f t="shared" ca="1" si="28"/>
        <v>0</v>
      </c>
      <c r="Z39" s="42">
        <f ca="1">-SUMIFS('Отчет 23-28.02'!P:P,'Отчет 23-28.02'!C:C,"Услуги доставки",'Отчет 23-28.02'!E:E,B39)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23-28.02'!H:H,'Отчет 23-28.02'!D:D,"Выручка",'Отчет 23-28.02'!E:E,B40)</f>
        <v>0</v>
      </c>
      <c r="Q40" s="39">
        <f ca="1">SUMIFS('Отчет 23-28.02'!H:H,'Отчет 23-28.02'!D:D,"Возврат выручки",'Отчет 23-28.02'!E:E,B40)</f>
        <v>0</v>
      </c>
      <c r="R40" s="40">
        <f t="shared" ca="1" si="24"/>
        <v>0</v>
      </c>
      <c r="S40" s="41">
        <f ca="1">SUMIFS('Отчет 23-28.02'!P:P,'Отчет 23-28.02'!C:C,"Продажи",'Отчет 23-28.02'!E:E,B40)</f>
        <v>0</v>
      </c>
      <c r="T40" s="42">
        <f ca="1">SUMIFS('Отчет 23-28.02'!P:P,'Отчет 23-28.02'!C:C,"Возвраты",'Отчет 23-28.02'!E:E,B40)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23-28.02'!P:P,'Отчет 23-28.02'!C:C,"Вознаграждение Ozon",'Отчет 23-28.02'!E:E,B40)</f>
        <v>0</v>
      </c>
      <c r="Y40" s="45">
        <f t="shared" ca="1" si="28"/>
        <v>0</v>
      </c>
      <c r="Z40" s="42">
        <f ca="1">-SUMIFS('Отчет 23-28.02'!P:P,'Отчет 23-28.02'!C:C,"Услуги доставки",'Отчет 23-28.02'!E:E,B40)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23-28.02'!H:H,'Отчет 23-28.02'!D:D,"Выручка",'Отчет 23-28.02'!E:E,B41)</f>
        <v>0</v>
      </c>
      <c r="Q41" s="39">
        <f ca="1">SUMIFS('Отчет 23-28.02'!H:H,'Отчет 23-28.02'!D:D,"Возврат выручки",'Отчет 23-28.02'!E:E,B41)</f>
        <v>0</v>
      </c>
      <c r="R41" s="40">
        <f t="shared" ca="1" si="24"/>
        <v>0</v>
      </c>
      <c r="S41" s="41">
        <f ca="1">SUMIFS('Отчет 23-28.02'!P:P,'Отчет 23-28.02'!C:C,"Продажи",'Отчет 23-28.02'!E:E,B41)</f>
        <v>0</v>
      </c>
      <c r="T41" s="42">
        <f ca="1">SUMIFS('Отчет 23-28.02'!P:P,'Отчет 23-28.02'!C:C,"Возвраты",'Отчет 23-28.02'!E:E,B41)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23-28.02'!P:P,'Отчет 23-28.02'!C:C,"Вознаграждение Ozon",'Отчет 23-28.02'!E:E,B41)</f>
        <v>0</v>
      </c>
      <c r="Y41" s="45">
        <f t="shared" ca="1" si="28"/>
        <v>0</v>
      </c>
      <c r="Z41" s="42">
        <f ca="1">-SUMIFS('Отчет 23-28.02'!P:P,'Отчет 23-28.02'!C:C,"Услуги доставки",'Отчет 23-28.02'!E:E,B41)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23-28.02'!H:H,'Отчет 23-28.02'!D:D,"Выручка",'Отчет 23-28.02'!E:E,B42)</f>
        <v>0</v>
      </c>
      <c r="Q42" s="39">
        <f ca="1">SUMIFS('Отчет 23-28.02'!H:H,'Отчет 23-28.02'!D:D,"Возврат выручки",'Отчет 23-28.02'!E:E,B42)</f>
        <v>0</v>
      </c>
      <c r="R42" s="40">
        <f t="shared" ca="1" si="24"/>
        <v>0</v>
      </c>
      <c r="S42" s="41">
        <f ca="1">SUMIFS('Отчет 23-28.02'!P:P,'Отчет 23-28.02'!C:C,"Продажи",'Отчет 23-28.02'!E:E,B42)</f>
        <v>0</v>
      </c>
      <c r="T42" s="42">
        <f ca="1">SUMIFS('Отчет 23-28.02'!P:P,'Отчет 23-28.02'!C:C,"Возвраты",'Отчет 23-28.02'!E:E,B42)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23-28.02'!P:P,'Отчет 23-28.02'!C:C,"Вознаграждение Ozon",'Отчет 23-28.02'!E:E,B42)</f>
        <v>0</v>
      </c>
      <c r="Y42" s="45">
        <f t="shared" ca="1" si="28"/>
        <v>0</v>
      </c>
      <c r="Z42" s="42">
        <f ca="1">-SUMIFS('Отчет 23-28.02'!P:P,'Отчет 23-28.02'!C:C,"Услуги доставки",'Отчет 23-28.02'!E:E,B42)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23-28.02'!H:H,'Отчет 23-28.02'!D:D,"Выручка",'Отчет 23-28.02'!E:E,B43)</f>
        <v>0</v>
      </c>
      <c r="Q43" s="39">
        <f ca="1">SUMIFS('Отчет 23-28.02'!H:H,'Отчет 23-28.02'!D:D,"Возврат выручки",'Отчет 23-28.02'!E:E,B43)</f>
        <v>0</v>
      </c>
      <c r="R43" s="40">
        <f t="shared" ca="1" si="24"/>
        <v>0</v>
      </c>
      <c r="S43" s="41">
        <f ca="1">SUMIFS('Отчет 23-28.02'!P:P,'Отчет 23-28.02'!C:C,"Продажи",'Отчет 23-28.02'!E:E,B43)</f>
        <v>0</v>
      </c>
      <c r="T43" s="42">
        <f ca="1">SUMIFS('Отчет 23-28.02'!P:P,'Отчет 23-28.02'!C:C,"Возвраты",'Отчет 23-28.02'!E:E,B43)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23-28.02'!P:P,'Отчет 23-28.02'!C:C,"Вознаграждение Ozon",'Отчет 23-28.02'!E:E,B43)</f>
        <v>0</v>
      </c>
      <c r="Y43" s="45">
        <f t="shared" ca="1" si="28"/>
        <v>0</v>
      </c>
      <c r="Z43" s="42">
        <f ca="1">-SUMIFS('Отчет 23-28.02'!P:P,'Отчет 23-28.02'!C:C,"Услуги доставки",'Отчет 23-28.02'!E:E,B43)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23-28.02'!H:H,'Отчет 23-28.02'!D:D,"Выручка",'Отчет 23-28.02'!E:E,B44)</f>
        <v>0</v>
      </c>
      <c r="Q44" s="39">
        <f ca="1">SUMIFS('Отчет 23-28.02'!H:H,'Отчет 23-28.02'!D:D,"Возврат выручки",'Отчет 23-28.02'!E:E,B44)</f>
        <v>0</v>
      </c>
      <c r="R44" s="40">
        <f t="shared" ca="1" si="24"/>
        <v>0</v>
      </c>
      <c r="S44" s="41">
        <f ca="1">SUMIFS('Отчет 23-28.02'!P:P,'Отчет 23-28.02'!C:C,"Продажи",'Отчет 23-28.02'!E:E,B44)</f>
        <v>0</v>
      </c>
      <c r="T44" s="42">
        <f ca="1">SUMIFS('Отчет 23-28.02'!P:P,'Отчет 23-28.02'!C:C,"Возвраты",'Отчет 23-28.02'!E:E,B44)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23-28.02'!P:P,'Отчет 23-28.02'!C:C,"Вознаграждение Ozon",'Отчет 23-28.02'!E:E,B44)</f>
        <v>0</v>
      </c>
      <c r="Y44" s="45">
        <f t="shared" ca="1" si="28"/>
        <v>0</v>
      </c>
      <c r="Z44" s="42">
        <f ca="1">-SUMIFS('Отчет 23-28.02'!P:P,'Отчет 23-28.02'!C:C,"Услуги доставки",'Отчет 23-28.02'!E:E,B44)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23-28.02'!H:H,'Отчет 23-28.02'!D:D,"Выручка",'Отчет 23-28.02'!E:E,B45)</f>
        <v>0</v>
      </c>
      <c r="Q45" s="39">
        <f ca="1">SUMIFS('Отчет 23-28.02'!H:H,'Отчет 23-28.02'!D:D,"Возврат выручки",'Отчет 23-28.02'!E:E,B45)</f>
        <v>0</v>
      </c>
      <c r="R45" s="40">
        <f t="shared" ca="1" si="24"/>
        <v>0</v>
      </c>
      <c r="S45" s="41">
        <f ca="1">SUMIFS('Отчет 23-28.02'!P:P,'Отчет 23-28.02'!C:C,"Продажи",'Отчет 23-28.02'!E:E,B45)</f>
        <v>0</v>
      </c>
      <c r="T45" s="42">
        <f ca="1">SUMIFS('Отчет 23-28.02'!P:P,'Отчет 23-28.02'!C:C,"Возвраты",'Отчет 23-28.02'!E:E,B45)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23-28.02'!P:P,'Отчет 23-28.02'!C:C,"Вознаграждение Ozon",'Отчет 23-28.02'!E:E,B45)</f>
        <v>0</v>
      </c>
      <c r="Y45" s="45">
        <f t="shared" ca="1" si="28"/>
        <v>0</v>
      </c>
      <c r="Z45" s="42">
        <f ca="1">-SUMIFS('Отчет 23-28.02'!P:P,'Отчет 23-28.02'!C:C,"Услуги доставки",'Отчет 23-28.02'!E:E,B45)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23-28.02'!H:H,'Отчет 23-28.02'!D:D,"Выручка",'Отчет 23-28.02'!E:E,B46)</f>
        <v>0</v>
      </c>
      <c r="Q46" s="39">
        <f ca="1">SUMIFS('Отчет 23-28.02'!H:H,'Отчет 23-28.02'!D:D,"Возврат выручки",'Отчет 23-28.02'!E:E,B46)</f>
        <v>0</v>
      </c>
      <c r="R46" s="40">
        <f t="shared" ca="1" si="24"/>
        <v>0</v>
      </c>
      <c r="S46" s="41">
        <f ca="1">SUMIFS('Отчет 23-28.02'!P:P,'Отчет 23-28.02'!C:C,"Продажи",'Отчет 23-28.02'!E:E,B46)</f>
        <v>0</v>
      </c>
      <c r="T46" s="42">
        <f ca="1">SUMIFS('Отчет 23-28.02'!P:P,'Отчет 23-28.02'!C:C,"Возвраты",'Отчет 23-28.02'!E:E,B46)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23-28.02'!P:P,'Отчет 23-28.02'!C:C,"Вознаграждение Ozon",'Отчет 23-28.02'!E:E,B46)</f>
        <v>0</v>
      </c>
      <c r="Y46" s="45">
        <f t="shared" ca="1" si="28"/>
        <v>0</v>
      </c>
      <c r="Z46" s="42">
        <f ca="1">-SUMIFS('Отчет 23-28.02'!P:P,'Отчет 23-28.02'!C:C,"Услуги доставки",'Отчет 23-28.02'!E:E,B46)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23-28.02'!H:H,'Отчет 23-28.02'!D:D,"Выручка",'Отчет 23-28.02'!E:E,B47)</f>
        <v>0</v>
      </c>
      <c r="Q47" s="39">
        <f ca="1">SUMIFS('Отчет 23-28.02'!H:H,'Отчет 23-28.02'!D:D,"Возврат выручки",'Отчет 23-28.02'!E:E,B47)</f>
        <v>0</v>
      </c>
      <c r="R47" s="40">
        <f t="shared" ca="1" si="24"/>
        <v>0</v>
      </c>
      <c r="S47" s="41">
        <f ca="1">SUMIFS('Отчет 23-28.02'!P:P,'Отчет 23-28.02'!C:C,"Продажи",'Отчет 23-28.02'!E:E,B47)</f>
        <v>0</v>
      </c>
      <c r="T47" s="42">
        <f ca="1">SUMIFS('Отчет 23-28.02'!P:P,'Отчет 23-28.02'!C:C,"Возвраты",'Отчет 23-28.02'!E:E,B47)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23-28.02'!P:P,'Отчет 23-28.02'!C:C,"Вознаграждение Ozon",'Отчет 23-28.02'!E:E,B47)</f>
        <v>0</v>
      </c>
      <c r="Y47" s="45">
        <f t="shared" ca="1" si="28"/>
        <v>0</v>
      </c>
      <c r="Z47" s="42">
        <f ca="1">-SUMIFS('Отчет 23-28.02'!P:P,'Отчет 23-28.02'!C:C,"Услуги доставки",'Отчет 23-28.02'!E:E,B47)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09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{2EEDF49F-40B8-475F-9777-1C4B9D456666}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{B28110F1-A3DD-428B-AF71-4955092AA2D8}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{2197F4B9-AE93-4E26-A687-9AE2873C8703}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{B21E25B3-8B3A-459F-B2B2-5F81C2688DBA}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{E669C710-459B-4AAA-A08B-3592BC6042F2}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{7E81658C-1105-4038-88EE-CFF1247B3CEB}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{06873FEC-E9B3-4A92-92AD-30618234BF14}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{0526B52F-3961-4AB3-9524-B8B7B2897795}</x14:id>
        </ext>
      </extLst>
    </cfRule>
  </conditionalFormatting>
  <conditionalFormatting sqref="P50">
    <cfRule type="cellIs" dxfId="208" priority="36" operator="greaterThan">
      <formula>120</formula>
    </cfRule>
  </conditionalFormatting>
  <conditionalFormatting sqref="Q50">
    <cfRule type="cellIs" dxfId="207" priority="35" operator="greaterThan">
      <formula>120</formula>
    </cfRule>
  </conditionalFormatting>
  <conditionalFormatting sqref="R50">
    <cfRule type="cellIs" dxfId="206" priority="34" operator="greaterThan">
      <formula>120</formula>
    </cfRule>
  </conditionalFormatting>
  <conditionalFormatting sqref="S50">
    <cfRule type="cellIs" dxfId="205" priority="33" operator="greaterThan">
      <formula>120</formula>
    </cfRule>
  </conditionalFormatting>
  <conditionalFormatting sqref="T50">
    <cfRule type="cellIs" dxfId="204" priority="32" operator="greaterThan">
      <formula>120</formula>
    </cfRule>
  </conditionalFormatting>
  <conditionalFormatting sqref="U50">
    <cfRule type="cellIs" dxfId="203" priority="31" operator="greaterThan">
      <formula>120</formula>
    </cfRule>
  </conditionalFormatting>
  <conditionalFormatting sqref="W50">
    <cfRule type="cellIs" dxfId="202" priority="29" operator="greaterThan">
      <formula>120</formula>
    </cfRule>
  </conditionalFormatting>
  <conditionalFormatting sqref="X50">
    <cfRule type="cellIs" dxfId="201" priority="28" operator="greaterThan">
      <formula>120</formula>
    </cfRule>
  </conditionalFormatting>
  <conditionalFormatting sqref="Z50">
    <cfRule type="cellIs" dxfId="200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{4D608CC6-E7C3-4959-96AE-3253293F8318}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{B8075052-AF4B-44DE-BF51-77DC833D3312}</x14:id>
        </ext>
      </extLst>
    </cfRule>
  </conditionalFormatting>
  <conditionalFormatting sqref="J8:J9">
    <cfRule type="cellIs" dxfId="199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{AB8509B7-971E-490D-B290-BE2F3D311212}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{217406B8-4344-4C14-AB5D-955AD64DBA1E}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{CBD74A0C-14F8-4389-AFC1-53967D294EC7}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{0885CF1A-8660-4959-AEED-CC6AC6B2E6C2}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{C1079CF9-F3DD-4E7A-BA20-C869A59CDE7A}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{1CAE3DF1-1E42-42C2-B04F-A7CB8E0F692F}</x14:id>
        </ext>
      </extLst>
    </cfRule>
  </conditionalFormatting>
  <conditionalFormatting sqref="N50">
    <cfRule type="cellIs" dxfId="198" priority="13" operator="between">
      <formula>0.000001</formula>
      <formula>25</formula>
    </cfRule>
  </conditionalFormatting>
  <conditionalFormatting sqref="V1 V52:V55 V57:V1048576">
    <cfRule type="cellIs" dxfId="197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{F2F84BA5-2A64-4F39-A234-EE8B4F268C7A}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{2FF9DD67-7AB6-46F3-BA33-0512D9F17DBA}</x14:id>
        </ext>
      </extLst>
    </cfRule>
  </conditionalFormatting>
  <conditionalFormatting sqref="V50">
    <cfRule type="cellIs" dxfId="196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{62134EDD-D3F6-49A5-A3D6-1C7EAF38EF5E}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{8F95F49A-06AF-4EE4-B9E4-BC2166D771FA}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{429CB17E-3F88-4DDF-BB15-C4142A2341A2}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{34253C89-A092-46AA-92DB-D76412A117D7}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{722E9564-25A9-4F42-B55D-EF3D77A88547}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{E46C3D99-6719-4CE3-A8A1-346951EF41AB}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{96728C2F-A318-4BF0-8EBF-6BC5CE679B52}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{8A6F01D2-E5FE-47B2-A21E-1E514D8CFE5D}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EEDF49F-40B8-475F-9777-1C4B9D4566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B28110F1-A3DD-428B-AF71-4955092A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197F4B9-AE93-4E26-A687-9AE2873C8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21E25B3-8B3A-459F-B2B2-5F81C2688D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669C710-459B-4AAA-A08B-3592BC604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7E81658C-1105-4038-88EE-CFF1247B3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06873FEC-E9B3-4A92-92AD-30618234B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526B52F-3961-4AB3-9524-B8B7B28977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D608CC6-E7C3-4959-96AE-3253293F83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8075052-AF4B-44DE-BF51-77DC833D33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8509B7-971E-490D-B290-BE2F3D3112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217406B8-4344-4C14-AB5D-955AD64DB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CBD74A0C-14F8-4389-AFC1-53967D294E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885CF1A-8660-4959-AEED-CC6AC6B2E6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1079CF9-F3DD-4E7A-BA20-C869A59CDE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1CAE3DF1-1E42-42C2-B04F-A7CB8E0F6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F2F84BA5-2A64-4F39-A234-EE8B4F268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FF9DD67-7AB6-46F3-BA33-0512D9F17D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2134EDD-D3F6-49A5-A3D6-1C7EAF38EF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8F95F49A-06AF-4EE4-B9E4-BC2166D77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429CB17E-3F88-4DDF-BB15-C4142A234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34253C89-A092-46AA-92DB-D76412A11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22E9564-25A9-4F42-B55D-EF3D77A885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E46C3D99-6719-4CE3-A8A1-346951EF41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96728C2F-A318-4BF0-8EBF-6BC5CE679B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A6F01D2-E5FE-47B2-A21E-1E514D8CF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1C43-6CCB-4298-81A6-EDC8DEC41579}">
  <dimension ref="A1:AZ64"/>
  <sheetViews>
    <sheetView zoomScale="70" zoomScaleNormal="70" workbookViewId="0">
      <pane xSplit="2" ySplit="2" topLeftCell="U37" activePane="bottomRight" state="frozen"/>
      <selection pane="topRight" activeCell="C1" sqref="C1"/>
      <selection pane="bottomLeft" activeCell="A3" sqref="A3"/>
      <selection pane="bottomRight" activeCell="AD52" sqref="AD5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1009</v>
      </c>
      <c r="C1" s="3"/>
      <c r="D1" s="4"/>
      <c r="E1" s="4"/>
      <c r="F1" s="4"/>
      <c r="G1" s="4"/>
      <c r="N1" s="296" t="s">
        <v>997</v>
      </c>
      <c r="O1" s="297">
        <v>28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2">
        <f>'Юнит 01.02'!AD1+'Юнит 02-08.02'!AD1+'Юнит 09-15.02'!AD1+'Юнит 16-22.02'!AD1+'Юнит 23-28.02'!AD1</f>
        <v>203847</v>
      </c>
      <c r="AE1" s="342">
        <f ca="1">U51/AD1</f>
        <v>2.253091779619028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1010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01.02'!K3+'Юнит 02-08.02'!K3+'Юнит 09-15.02'!K3+'Юнит 16-22.02'!K3+'Юнит 23-28.02'!K3</f>
        <v>154</v>
      </c>
      <c r="L3" s="36"/>
      <c r="M3" s="36"/>
      <c r="N3" s="37">
        <f>K3/$O$1</f>
        <v>5.5</v>
      </c>
      <c r="O3" s="38">
        <f ca="1">R3/$O$1</f>
        <v>2.9642857142857144</v>
      </c>
      <c r="P3" s="32">
        <f ca="1">'Юнит 01.02'!P3+'Юнит 02-08.02'!P3+'Юнит 09-15.02'!P3+'Юнит 16-22.02'!P3+'Юнит 23-28.02'!P3</f>
        <v>88</v>
      </c>
      <c r="Q3" s="32">
        <f ca="1">'Юнит 01.02'!Q3+'Юнит 02-08.02'!Q3+'Юнит 09-15.02'!Q3+'Юнит 16-22.02'!Q3+'Юнит 23-28.02'!Q3</f>
        <v>5</v>
      </c>
      <c r="R3" s="40">
        <f ca="1">P3-Q3</f>
        <v>83</v>
      </c>
      <c r="S3" s="32">
        <f ca="1">'Юнит 01.02'!S3+'Юнит 02-08.02'!S3+'Юнит 09-15.02'!S3+'Юнит 16-22.02'!S3+'Юнит 23-28.02'!S3</f>
        <v>172572</v>
      </c>
      <c r="T3" s="32">
        <f ca="1">'Юнит 01.02'!T3+'Юнит 02-08.02'!T3+'Юнит 09-15.02'!T3+'Юнит 16-22.02'!T3+'Юнит 23-28.02'!T3</f>
        <v>-9492</v>
      </c>
      <c r="U3" s="40">
        <f t="shared" ref="U3:U24" ca="1" si="1">S3+T3</f>
        <v>163080</v>
      </c>
      <c r="V3" s="43">
        <f ca="1">U3/$U$51</f>
        <v>0.35507287398266002</v>
      </c>
      <c r="W3" s="44">
        <f t="shared" ref="W3:W24" ca="1" si="2">R3*H3</f>
        <v>11867.339999999998</v>
      </c>
      <c r="X3" s="32">
        <f ca="1">'Юнит 01.02'!X3+'Юнит 02-08.02'!X3+'Юнит 09-15.02'!X3+'Юнит 16-22.02'!X3+'Юнит 23-28.02'!X3</f>
        <v>70124.400000000009</v>
      </c>
      <c r="Y3" s="45">
        <f t="shared" ref="Y3:Y24" ca="1" si="3">IF(U3=0,0,X3/U3)</f>
        <v>0.43000000000000005</v>
      </c>
      <c r="Z3" s="32">
        <f ca="1">'Юнит 01.02'!Z3+'Юнит 02-08.02'!Z3+'Юнит 09-15.02'!Z3+'Юнит 16-22.02'!Z3+'Юнит 23-28.02'!Z3</f>
        <v>18366.350000000028</v>
      </c>
      <c r="AA3" s="32">
        <f>'Юнит 01.02'!AA3+'Юнит 02-08.02'!AA3+'Юнит 09-15.02'!AA3+'Юнит 16-22.02'!AA3+'Юнит 23-28.02'!AA3</f>
        <v>33239.191034999996</v>
      </c>
      <c r="AB3" s="42"/>
      <c r="AC3" s="42"/>
      <c r="AD3" s="46">
        <f ca="1">U3*1%/$AE$1</f>
        <v>723.80540142743303</v>
      </c>
      <c r="AE3" s="47">
        <f ca="1">U3-W3-X3-Z3-AA3-AB3-AC3-AD3</f>
        <v>28758.91356357254</v>
      </c>
      <c r="AF3" s="46"/>
      <c r="AG3" s="48">
        <f t="shared" ref="AG3:AG24" ca="1" si="4">IF(R3=0,0,U3/R3)</f>
        <v>1964.8192771084337</v>
      </c>
      <c r="AH3" s="49">
        <f t="shared" ref="AH3:AH24" si="5">H3</f>
        <v>142.97999999999999</v>
      </c>
      <c r="AI3" s="49">
        <f t="shared" ref="AI3:AI24" ca="1" si="6">IF(R3=0,0,X3/R3)</f>
        <v>844.87228915662661</v>
      </c>
      <c r="AJ3" s="49">
        <f t="shared" ref="AJ3:AJ24" ca="1" si="7">IF(P3=0,Z3/1,Z3/P3)</f>
        <v>208.70852272727305</v>
      </c>
      <c r="AK3" s="49">
        <f t="shared" ref="AK3:AK24" ca="1" si="8">IF(P3=0,0,AA3/P3)</f>
        <v>377.71807994318175</v>
      </c>
      <c r="AL3" s="49">
        <f ca="1">_xlfn.IFS(R3=0,AE3,R3&lt;0,AE3/-R3,R3&gt;0,AE3/R3)</f>
        <v>346.49293450087396</v>
      </c>
      <c r="AM3" s="50">
        <f t="shared" ref="AM3:AM24" ca="1" si="9">IF(AG3=0,0,AL3/AG3)</f>
        <v>0.17634850112565942</v>
      </c>
      <c r="AN3" s="51">
        <f t="shared" ref="AN3:AN24" ca="1" si="10">IF(AH3=0,0,AL3/AH3)</f>
        <v>2.4233664463622464</v>
      </c>
      <c r="AP3" s="53">
        <f t="shared" ref="AP3:AP24" ca="1" si="11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01.02'!K4+'Юнит 02-08.02'!K4+'Юнит 09-15.02'!K4+'Юнит 16-22.02'!K4+'Юнит 23-28.02'!K4</f>
        <v>3</v>
      </c>
      <c r="L4" s="36"/>
      <c r="M4" s="36"/>
      <c r="N4" s="37">
        <f t="shared" ref="N4:N24" si="12">K4/$O$1</f>
        <v>0.10714285714285714</v>
      </c>
      <c r="O4" s="38">
        <f t="shared" ref="O4:O24" ca="1" si="13">R4/$O$1</f>
        <v>7.1428571428571425E-2</v>
      </c>
      <c r="P4" s="32">
        <f ca="1">'Юнит 01.02'!P4+'Юнит 02-08.02'!P4+'Юнит 09-15.02'!P4+'Юнит 16-22.02'!P4+'Юнит 23-28.02'!P4</f>
        <v>2</v>
      </c>
      <c r="Q4" s="32">
        <f ca="1">'Юнит 01.02'!Q4+'Юнит 02-08.02'!Q4+'Юнит 09-15.02'!Q4+'Юнит 16-22.02'!Q4+'Юнит 23-28.02'!Q4</f>
        <v>0</v>
      </c>
      <c r="R4" s="40">
        <f t="shared" ref="R4:R24" ca="1" si="14">P4-Q4</f>
        <v>2</v>
      </c>
      <c r="S4" s="32">
        <f ca="1">'Юнит 01.02'!S4+'Юнит 02-08.02'!S4+'Юнит 09-15.02'!S4+'Юнит 16-22.02'!S4+'Юнит 23-28.02'!S4</f>
        <v>3700</v>
      </c>
      <c r="T4" s="32">
        <f ca="1">'Юнит 01.02'!T4+'Юнит 02-08.02'!T4+'Юнит 09-15.02'!T4+'Юнит 16-22.02'!T4+'Юнит 23-28.02'!T4</f>
        <v>0</v>
      </c>
      <c r="U4" s="40">
        <f t="shared" ca="1" si="1"/>
        <v>3700</v>
      </c>
      <c r="V4" s="43">
        <f t="shared" ref="V4:V24" ca="1" si="15">U4/$U$51</f>
        <v>8.0559825468226771E-3</v>
      </c>
      <c r="W4" s="44">
        <f t="shared" ca="1" si="2"/>
        <v>246.18</v>
      </c>
      <c r="X4" s="32">
        <f ca="1">'Юнит 01.02'!X4+'Юнит 02-08.02'!X4+'Юнит 09-15.02'!X4+'Юнит 16-22.02'!X4+'Юнит 23-28.02'!X4</f>
        <v>1591</v>
      </c>
      <c r="Y4" s="45">
        <f t="shared" ca="1" si="3"/>
        <v>0.43</v>
      </c>
      <c r="Z4" s="32">
        <f ca="1">'Юнит 01.02'!Z4+'Юнит 02-08.02'!Z4+'Юнит 09-15.02'!Z4+'Юнит 16-22.02'!Z4+'Юнит 23-28.02'!Z4</f>
        <v>371.33000000000004</v>
      </c>
      <c r="AA4" s="32">
        <f>'Юнит 01.02'!AA4+'Юнит 02-08.02'!AA4+'Юнит 09-15.02'!AA4+'Юнит 16-22.02'!AA4+'Юнит 23-28.02'!AA4</f>
        <v>0</v>
      </c>
      <c r="AB4" s="42"/>
      <c r="AC4" s="42"/>
      <c r="AD4" s="46">
        <f t="shared" ref="AD4:AD23" ca="1" si="16">U4*1%/$AE$1</f>
        <v>16.421878742221622</v>
      </c>
      <c r="AE4" s="47">
        <f t="shared" ref="AE4:AE24" ca="1" si="17">U4-W4-X4-Z4-AA4-AB4-AC4-AD4</f>
        <v>1475.0681212577786</v>
      </c>
      <c r="AF4" s="46"/>
      <c r="AG4" s="48">
        <f t="shared" ca="1" si="4"/>
        <v>1850</v>
      </c>
      <c r="AH4" s="49">
        <f t="shared" si="5"/>
        <v>123.09</v>
      </c>
      <c r="AI4" s="49">
        <f t="shared" ca="1" si="6"/>
        <v>795.5</v>
      </c>
      <c r="AJ4" s="49">
        <f t="shared" ca="1" si="7"/>
        <v>185.66500000000002</v>
      </c>
      <c r="AK4" s="49">
        <f t="shared" ca="1" si="8"/>
        <v>0</v>
      </c>
      <c r="AL4" s="49">
        <f t="array" aca="1" ref="AL4" ca="1">_xlfn.IFS(R4=0,AE4,R4&lt;0,AE4/-R4,R4&gt;0,AE4/R4)</f>
        <v>737.53406062888928</v>
      </c>
      <c r="AM4" s="50">
        <f t="shared" ca="1" si="9"/>
        <v>0.39866705979939959</v>
      </c>
      <c r="AN4" s="51">
        <f t="shared" ca="1" si="10"/>
        <v>5.9918276109260642</v>
      </c>
      <c r="AP4" s="53">
        <f t="shared" ca="1" si="11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01.02'!K5+'Юнит 02-08.02'!K5+'Юнит 09-15.02'!K5+'Юнит 16-22.02'!K5+'Юнит 23-28.02'!K5</f>
        <v>3</v>
      </c>
      <c r="L5" s="36"/>
      <c r="M5" s="36"/>
      <c r="N5" s="37">
        <f t="shared" si="12"/>
        <v>0.10714285714285714</v>
      </c>
      <c r="O5" s="38">
        <f t="shared" ca="1" si="13"/>
        <v>0.10714285714285714</v>
      </c>
      <c r="P5" s="32">
        <f ca="1">'Юнит 01.02'!P5+'Юнит 02-08.02'!P5+'Юнит 09-15.02'!P5+'Юнит 16-22.02'!P5+'Юнит 23-28.02'!P5</f>
        <v>4</v>
      </c>
      <c r="Q5" s="32">
        <f ca="1">'Юнит 01.02'!Q5+'Юнит 02-08.02'!Q5+'Юнит 09-15.02'!Q5+'Юнит 16-22.02'!Q5+'Юнит 23-28.02'!Q5</f>
        <v>1</v>
      </c>
      <c r="R5" s="40">
        <f t="shared" ca="1" si="14"/>
        <v>3</v>
      </c>
      <c r="S5" s="32">
        <f ca="1">'Юнит 01.02'!S5+'Юнит 02-08.02'!S5+'Юнит 09-15.02'!S5+'Юнит 16-22.02'!S5+'Юнит 23-28.02'!S5</f>
        <v>6965</v>
      </c>
      <c r="T5" s="32">
        <f ca="1">'Юнит 01.02'!T5+'Юнит 02-08.02'!T5+'Юнит 09-15.02'!T5+'Юнит 16-22.02'!T5+'Юнит 23-28.02'!T5</f>
        <v>-1655</v>
      </c>
      <c r="U5" s="40">
        <f t="shared" ca="1" si="1"/>
        <v>5310</v>
      </c>
      <c r="V5" s="43">
        <f t="shared" ca="1" si="15"/>
        <v>1.1561423600980652E-2</v>
      </c>
      <c r="W5" s="44">
        <f t="shared" ca="1" si="2"/>
        <v>369.27</v>
      </c>
      <c r="X5" s="32">
        <f ca="1">'Юнит 01.02'!X5+'Юнит 02-08.02'!X5+'Юнит 09-15.02'!X5+'Юнит 16-22.02'!X5+'Юнит 23-28.02'!X5</f>
        <v>2283.3000000000002</v>
      </c>
      <c r="Y5" s="45">
        <f t="shared" ca="1" si="3"/>
        <v>0.43000000000000005</v>
      </c>
      <c r="Z5" s="32">
        <f ca="1">'Юнит 01.02'!Z5+'Юнит 02-08.02'!Z5+'Юнит 09-15.02'!Z5+'Юнит 16-22.02'!Z5+'Юнит 23-28.02'!Z5</f>
        <v>693.66000000000008</v>
      </c>
      <c r="AA5" s="32">
        <f>'Юнит 01.02'!AA5+'Юнит 02-08.02'!AA5+'Юнит 09-15.02'!AA5+'Юнит 16-22.02'!AA5+'Юнит 23-28.02'!AA5</f>
        <v>1221.3</v>
      </c>
      <c r="AB5" s="55"/>
      <c r="AC5" s="42"/>
      <c r="AD5" s="46">
        <f t="shared" ca="1" si="16"/>
        <v>23.567615167891031</v>
      </c>
      <c r="AE5" s="47">
        <f t="shared" ca="1" si="17"/>
        <v>718.90238483210828</v>
      </c>
      <c r="AF5" s="46"/>
      <c r="AG5" s="48">
        <f t="shared" ca="1" si="4"/>
        <v>1770</v>
      </c>
      <c r="AH5" s="49">
        <f t="shared" si="5"/>
        <v>123.09</v>
      </c>
      <c r="AI5" s="49">
        <f t="shared" ca="1" si="6"/>
        <v>761.1</v>
      </c>
      <c r="AJ5" s="49">
        <f t="shared" ca="1" si="7"/>
        <v>173.41500000000002</v>
      </c>
      <c r="AK5" s="49">
        <f t="shared" ca="1" si="8"/>
        <v>305.32499999999999</v>
      </c>
      <c r="AL5" s="49">
        <f t="array" aca="1" ref="AL5" ca="1">_xlfn.IFS(R5=0,AE5,R5&lt;0,AE5/-R5,R5&gt;0,AE5/R5)</f>
        <v>239.63412827736943</v>
      </c>
      <c r="AM5" s="50">
        <f t="shared" ca="1" si="9"/>
        <v>0.13538651315105618</v>
      </c>
      <c r="AN5" s="51">
        <f t="shared" ca="1" si="10"/>
        <v>1.9468204425816023</v>
      </c>
      <c r="AP5" s="53">
        <f t="shared" ca="1" si="11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01.02'!K6+'Юнит 02-08.02'!K6+'Юнит 09-15.02'!K6+'Юнит 16-22.02'!K6+'Юнит 23-28.02'!K6</f>
        <v>4</v>
      </c>
      <c r="L6" s="36"/>
      <c r="M6" s="36"/>
      <c r="N6" s="37">
        <f t="shared" si="12"/>
        <v>0.14285714285714285</v>
      </c>
      <c r="O6" s="38">
        <f t="shared" ca="1" si="13"/>
        <v>0</v>
      </c>
      <c r="P6" s="32">
        <f ca="1">'Юнит 01.02'!P6+'Юнит 02-08.02'!P6+'Юнит 09-15.02'!P6+'Юнит 16-22.02'!P6+'Юнит 23-28.02'!P6</f>
        <v>0</v>
      </c>
      <c r="Q6" s="32">
        <f ca="1">'Юнит 01.02'!Q6+'Юнит 02-08.02'!Q6+'Юнит 09-15.02'!Q6+'Юнит 16-22.02'!Q6+'Юнит 23-28.02'!Q6</f>
        <v>0</v>
      </c>
      <c r="R6" s="40">
        <f t="shared" ca="1" si="14"/>
        <v>0</v>
      </c>
      <c r="S6" s="32">
        <f ca="1">'Юнит 01.02'!S6+'Юнит 02-08.02'!S6+'Юнит 09-15.02'!S6+'Юнит 16-22.02'!S6+'Юнит 23-28.02'!S6</f>
        <v>0</v>
      </c>
      <c r="T6" s="32">
        <f ca="1">'Юнит 01.02'!T6+'Юнит 02-08.02'!T6+'Юнит 09-15.02'!T6+'Юнит 16-22.02'!T6+'Юнит 23-28.02'!T6</f>
        <v>0</v>
      </c>
      <c r="U6" s="40">
        <f t="shared" ca="1" si="1"/>
        <v>0</v>
      </c>
      <c r="V6" s="43">
        <f t="shared" ca="1" si="15"/>
        <v>0</v>
      </c>
      <c r="W6" s="44">
        <f t="shared" ca="1" si="2"/>
        <v>0</v>
      </c>
      <c r="X6" s="32">
        <f ca="1">'Юнит 01.02'!X6+'Юнит 02-08.02'!X6+'Юнит 09-15.02'!X6+'Юнит 16-22.02'!X6+'Юнит 23-28.02'!X6</f>
        <v>0</v>
      </c>
      <c r="Y6" s="45">
        <f t="shared" ca="1" si="3"/>
        <v>0</v>
      </c>
      <c r="Z6" s="32">
        <f ca="1">'Юнит 01.02'!Z6+'Юнит 02-08.02'!Z6+'Юнит 09-15.02'!Z6+'Юнит 16-22.02'!Z6+'Юнит 23-28.02'!Z6</f>
        <v>187.08</v>
      </c>
      <c r="AA6" s="32">
        <f>'Юнит 01.02'!AA6+'Юнит 02-08.02'!AA6+'Юнит 09-15.02'!AA6+'Юнит 16-22.02'!AA6+'Юнит 23-28.02'!AA6</f>
        <v>1528.2362930000002</v>
      </c>
      <c r="AB6" s="55"/>
      <c r="AC6" s="42"/>
      <c r="AD6" s="46">
        <f t="shared" ca="1" si="16"/>
        <v>0</v>
      </c>
      <c r="AE6" s="47">
        <f t="shared" ca="1" si="17"/>
        <v>-1715.3162930000001</v>
      </c>
      <c r="AF6" s="46"/>
      <c r="AG6" s="48">
        <f t="shared" ca="1" si="4"/>
        <v>0</v>
      </c>
      <c r="AH6" s="49">
        <f t="shared" si="5"/>
        <v>123.09</v>
      </c>
      <c r="AI6" s="49">
        <f t="shared" ca="1" si="6"/>
        <v>0</v>
      </c>
      <c r="AJ6" s="49">
        <f t="shared" ca="1" si="7"/>
        <v>187.08</v>
      </c>
      <c r="AK6" s="49">
        <f t="shared" ca="1" si="8"/>
        <v>0</v>
      </c>
      <c r="AL6" s="49">
        <f t="array" aca="1" ref="AL6" ca="1">_xlfn.IFS(R6=0,AE6,R6&lt;0,AE6/-R6,R6&gt;0,AE6/R6)</f>
        <v>-1715.3162930000001</v>
      </c>
      <c r="AM6" s="50">
        <f t="shared" ca="1" si="9"/>
        <v>0</v>
      </c>
      <c r="AN6" s="51">
        <f t="shared" ca="1" si="10"/>
        <v>-13.935464237549761</v>
      </c>
      <c r="AP6" s="53">
        <f t="shared" ca="1" si="11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01.02'!K7+'Юнит 02-08.02'!K7+'Юнит 09-15.02'!K7+'Юнит 16-22.02'!K7+'Юнит 23-28.02'!K7</f>
        <v>39</v>
      </c>
      <c r="L7" s="36"/>
      <c r="M7" s="36"/>
      <c r="N7" s="37">
        <f t="shared" si="12"/>
        <v>1.3928571428571428</v>
      </c>
      <c r="O7" s="38">
        <f t="shared" ca="1" si="13"/>
        <v>0.4642857142857143</v>
      </c>
      <c r="P7" s="32">
        <f ca="1">'Юнит 01.02'!P7+'Юнит 02-08.02'!P7+'Юнит 09-15.02'!P7+'Юнит 16-22.02'!P7+'Юнит 23-28.02'!P7</f>
        <v>13</v>
      </c>
      <c r="Q7" s="32">
        <f ca="1">'Юнит 01.02'!Q7+'Юнит 02-08.02'!Q7+'Юнит 09-15.02'!Q7+'Юнит 16-22.02'!Q7+'Юнит 23-28.02'!Q7</f>
        <v>0</v>
      </c>
      <c r="R7" s="40">
        <f t="shared" ca="1" si="14"/>
        <v>13</v>
      </c>
      <c r="S7" s="32">
        <f ca="1">'Юнит 01.02'!S7+'Юнит 02-08.02'!S7+'Юнит 09-15.02'!S7+'Юнит 16-22.02'!S7+'Юнит 23-28.02'!S7</f>
        <v>26600</v>
      </c>
      <c r="T7" s="32">
        <f ca="1">'Юнит 01.02'!T7+'Юнит 02-08.02'!T7+'Юнит 09-15.02'!T7+'Юнит 16-22.02'!T7+'Юнит 23-28.02'!T7</f>
        <v>0</v>
      </c>
      <c r="U7" s="40">
        <f t="shared" ca="1" si="1"/>
        <v>26600</v>
      </c>
      <c r="V7" s="43">
        <f t="shared" ca="1" si="15"/>
        <v>5.7915982633914377E-2</v>
      </c>
      <c r="W7" s="44">
        <f t="shared" ca="1" si="2"/>
        <v>1524.12</v>
      </c>
      <c r="X7" s="32">
        <f ca="1">'Юнит 01.02'!X7+'Юнит 02-08.02'!X7+'Юнит 09-15.02'!X7+'Юнит 16-22.02'!X7+'Юнит 23-28.02'!X7</f>
        <v>11438</v>
      </c>
      <c r="Y7" s="45">
        <f t="shared" ca="1" si="3"/>
        <v>0.43</v>
      </c>
      <c r="Z7" s="32">
        <f ca="1">'Юнит 01.02'!Z7+'Юнит 02-08.02'!Z7+'Юнит 09-15.02'!Z7+'Юнит 16-22.02'!Z7+'Юнит 23-28.02'!Z7</f>
        <v>3219.8599999999997</v>
      </c>
      <c r="AA7" s="32">
        <f>'Юнит 01.02'!AA7+'Юнит 02-08.02'!AA7+'Юнит 09-15.02'!AA7+'Юнит 16-22.02'!AA7+'Юнит 23-28.02'!AA7</f>
        <v>8067.1758309999996</v>
      </c>
      <c r="AB7" s="55"/>
      <c r="AC7" s="42"/>
      <c r="AD7" s="46">
        <f t="shared" ca="1" si="16"/>
        <v>118.05999311975545</v>
      </c>
      <c r="AE7" s="47">
        <f t="shared" ca="1" si="17"/>
        <v>2232.7841758802456</v>
      </c>
      <c r="AF7" s="46"/>
      <c r="AG7" s="48">
        <f t="shared" ca="1" si="4"/>
        <v>2046.1538461538462</v>
      </c>
      <c r="AH7" s="49">
        <f t="shared" si="5"/>
        <v>117.24</v>
      </c>
      <c r="AI7" s="49">
        <f t="shared" ca="1" si="6"/>
        <v>879.84615384615381</v>
      </c>
      <c r="AJ7" s="49">
        <f t="shared" ca="1" si="7"/>
        <v>247.68153846153842</v>
      </c>
      <c r="AK7" s="49">
        <f t="shared" ca="1" si="8"/>
        <v>620.55198699999994</v>
      </c>
      <c r="AL7" s="49">
        <f t="array" aca="1" ref="AL7" ca="1">_xlfn.IFS(R7=0,AE7,R7&lt;0,AE7/-R7,R7&gt;0,AE7/R7)</f>
        <v>171.75262891386504</v>
      </c>
      <c r="AM7" s="50">
        <f t="shared" ca="1" si="9"/>
        <v>8.3939254732340055E-2</v>
      </c>
      <c r="AN7" s="51">
        <f t="shared" ca="1" si="10"/>
        <v>1.4649661285727145</v>
      </c>
      <c r="AP7" s="53">
        <f t="shared" ca="1" si="11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01.02'!K8+'Юнит 02-08.02'!K8+'Юнит 09-15.02'!K8+'Юнит 16-22.02'!K8+'Юнит 23-28.02'!K8</f>
        <v>8</v>
      </c>
      <c r="L8" s="36"/>
      <c r="M8" s="36"/>
      <c r="N8" s="37">
        <f t="shared" si="12"/>
        <v>0.2857142857142857</v>
      </c>
      <c r="O8" s="38">
        <f t="shared" ca="1" si="13"/>
        <v>7.1428571428571425E-2</v>
      </c>
      <c r="P8" s="32">
        <f ca="1">'Юнит 01.02'!P8+'Юнит 02-08.02'!P8+'Юнит 09-15.02'!P8+'Юнит 16-22.02'!P8+'Юнит 23-28.02'!P8</f>
        <v>2</v>
      </c>
      <c r="Q8" s="32">
        <f ca="1">'Юнит 01.02'!Q8+'Юнит 02-08.02'!Q8+'Юнит 09-15.02'!Q8+'Юнит 16-22.02'!Q8+'Юнит 23-28.02'!Q8</f>
        <v>0</v>
      </c>
      <c r="R8" s="40">
        <f t="shared" ca="1" si="14"/>
        <v>2</v>
      </c>
      <c r="S8" s="32">
        <f ca="1">'Юнит 01.02'!S8+'Юнит 02-08.02'!S8+'Юнит 09-15.02'!S8+'Юнит 16-22.02'!S8+'Юнит 23-28.02'!S8</f>
        <v>3348</v>
      </c>
      <c r="T8" s="32">
        <f ca="1">'Юнит 01.02'!T8+'Юнит 02-08.02'!T8+'Юнит 09-15.02'!T8+'Юнит 16-22.02'!T8+'Юнит 23-28.02'!T8</f>
        <v>0</v>
      </c>
      <c r="U8" s="40">
        <f t="shared" ca="1" si="1"/>
        <v>3348</v>
      </c>
      <c r="V8" s="43">
        <f t="shared" ca="1" si="15"/>
        <v>7.2895755585844118E-3</v>
      </c>
      <c r="W8" s="44">
        <f t="shared" ca="1" si="2"/>
        <v>246</v>
      </c>
      <c r="X8" s="32">
        <f ca="1">'Юнит 01.02'!X8+'Юнит 02-08.02'!X8+'Юнит 09-15.02'!X8+'Юнит 16-22.02'!X8+'Юнит 23-28.02'!X8</f>
        <v>1439.64</v>
      </c>
      <c r="Y8" s="45">
        <f t="shared" ca="1" si="3"/>
        <v>0.43000000000000005</v>
      </c>
      <c r="Z8" s="32">
        <f ca="1">'Юнит 01.02'!Z8+'Юнит 02-08.02'!Z8+'Юнит 09-15.02'!Z8+'Юнит 16-22.02'!Z8+'Юнит 23-28.02'!Z8</f>
        <v>343.64</v>
      </c>
      <c r="AA8" s="32">
        <f>'Юнит 01.02'!AA8+'Юнит 02-08.02'!AA8+'Юнит 09-15.02'!AA8+'Юнит 16-22.02'!AA8+'Юнит 23-28.02'!AA8</f>
        <v>1609.08</v>
      </c>
      <c r="AB8" s="55"/>
      <c r="AC8" s="42"/>
      <c r="AD8" s="46">
        <f t="shared" ca="1" si="16"/>
        <v>14.859581088907568</v>
      </c>
      <c r="AE8" s="47">
        <f t="shared" ca="1" si="17"/>
        <v>-305.21958108890772</v>
      </c>
      <c r="AF8" s="46"/>
      <c r="AG8" s="48">
        <f t="shared" ca="1" si="4"/>
        <v>1674</v>
      </c>
      <c r="AH8" s="49">
        <f t="shared" si="5"/>
        <v>123</v>
      </c>
      <c r="AI8" s="49">
        <f t="shared" ca="1" si="6"/>
        <v>719.82</v>
      </c>
      <c r="AJ8" s="49">
        <f t="shared" ca="1" si="7"/>
        <v>171.82</v>
      </c>
      <c r="AK8" s="49">
        <f t="shared" ca="1" si="8"/>
        <v>804.54</v>
      </c>
      <c r="AL8" s="49">
        <f t="array" aca="1" ref="AL8" ca="1">_xlfn.IFS(R8=0,AE8,R8&lt;0,AE8/-R8,R8&gt;0,AE8/R8)</f>
        <v>-152.60979054445386</v>
      </c>
      <c r="AM8" s="50">
        <f t="shared" ca="1" si="9"/>
        <v>-9.11647494291839E-2</v>
      </c>
      <c r="AN8" s="51">
        <f t="shared" ca="1" si="10"/>
        <v>-1.2407300044264542</v>
      </c>
      <c r="AP8" s="53">
        <f t="shared" ca="1" si="11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01.02'!K9+'Юнит 02-08.02'!K9+'Юнит 09-15.02'!K9+'Юнит 16-22.02'!K9+'Юнит 23-28.02'!K9</f>
        <v>19</v>
      </c>
      <c r="L9" s="36"/>
      <c r="M9" s="36"/>
      <c r="N9" s="37">
        <f t="shared" si="12"/>
        <v>0.6785714285714286</v>
      </c>
      <c r="O9" s="38">
        <f t="shared" ca="1" si="13"/>
        <v>0.35714285714285715</v>
      </c>
      <c r="P9" s="32">
        <f ca="1">'Юнит 01.02'!P9+'Юнит 02-08.02'!P9+'Юнит 09-15.02'!P9+'Юнит 16-22.02'!P9+'Юнит 23-28.02'!P9</f>
        <v>10</v>
      </c>
      <c r="Q9" s="32">
        <f ca="1">'Юнит 01.02'!Q9+'Юнит 02-08.02'!Q9+'Юнит 09-15.02'!Q9+'Юнит 16-22.02'!Q9+'Юнит 23-28.02'!Q9</f>
        <v>0</v>
      </c>
      <c r="R9" s="40">
        <f t="shared" ca="1" si="14"/>
        <v>10</v>
      </c>
      <c r="S9" s="32">
        <f ca="1">'Юнит 01.02'!S9+'Юнит 02-08.02'!S9+'Юнит 09-15.02'!S9+'Юнит 16-22.02'!S9+'Юнит 23-28.02'!S9</f>
        <v>18869</v>
      </c>
      <c r="T9" s="32">
        <f ca="1">'Юнит 01.02'!T9+'Юнит 02-08.02'!T9+'Юнит 09-15.02'!T9+'Юнит 16-22.02'!T9+'Юнит 23-28.02'!T9</f>
        <v>0</v>
      </c>
      <c r="U9" s="40">
        <f t="shared" ca="1" si="1"/>
        <v>18869</v>
      </c>
      <c r="V9" s="43">
        <f t="shared" ca="1" si="15"/>
        <v>4.1083333696215432E-2</v>
      </c>
      <c r="W9" s="44">
        <f t="shared" ca="1" si="2"/>
        <v>1230</v>
      </c>
      <c r="X9" s="32">
        <f ca="1">'Юнит 01.02'!X9+'Юнит 02-08.02'!X9+'Юнит 09-15.02'!X9+'Юнит 16-22.02'!X9+'Юнит 23-28.02'!X9</f>
        <v>8113.67</v>
      </c>
      <c r="Y9" s="45">
        <f t="shared" ca="1" si="3"/>
        <v>0.43</v>
      </c>
      <c r="Z9" s="32">
        <f ca="1">'Юнит 01.02'!Z9+'Юнит 02-08.02'!Z9+'Юнит 09-15.02'!Z9+'Юнит 16-22.02'!Z9+'Юнит 23-28.02'!Z9</f>
        <v>1778.1499999999999</v>
      </c>
      <c r="AA9" s="32">
        <f>'Юнит 01.02'!AA9+'Юнит 02-08.02'!AA9+'Юнит 09-15.02'!AA9+'Юнит 16-22.02'!AA9+'Юнит 23-28.02'!AA9</f>
        <v>4764.5420379999996</v>
      </c>
      <c r="AB9" s="55"/>
      <c r="AC9" s="42"/>
      <c r="AD9" s="46">
        <f t="shared" ca="1" si="16"/>
        <v>83.747143239724267</v>
      </c>
      <c r="AE9" s="47">
        <f t="shared" ca="1" si="17"/>
        <v>2898.8908187602765</v>
      </c>
      <c r="AF9" s="46"/>
      <c r="AG9" s="48">
        <f t="shared" ca="1" si="4"/>
        <v>1886.9</v>
      </c>
      <c r="AH9" s="49">
        <f t="shared" si="5"/>
        <v>123</v>
      </c>
      <c r="AI9" s="49">
        <f t="shared" ca="1" si="6"/>
        <v>811.36699999999996</v>
      </c>
      <c r="AJ9" s="49">
        <f t="shared" ca="1" si="7"/>
        <v>177.815</v>
      </c>
      <c r="AK9" s="49">
        <f t="shared" ca="1" si="8"/>
        <v>476.45420379999996</v>
      </c>
      <c r="AL9" s="49">
        <f t="array" aca="1" ref="AL9" ca="1">_xlfn.IFS(R9=0,AE9,R9&lt;0,AE9/-R9,R9&gt;0,AE9/R9)</f>
        <v>289.88908187602766</v>
      </c>
      <c r="AM9" s="50">
        <f t="shared" ca="1" si="9"/>
        <v>0.15363245634428302</v>
      </c>
      <c r="AN9" s="51">
        <f t="shared" ca="1" si="10"/>
        <v>2.3568218038701434</v>
      </c>
      <c r="AP9" s="53">
        <f t="shared" ca="1" si="11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01.02'!K10+'Юнит 02-08.02'!K10+'Юнит 09-15.02'!K10+'Юнит 16-22.02'!K10+'Юнит 23-28.02'!K10</f>
        <v>10</v>
      </c>
      <c r="L10" s="36"/>
      <c r="M10" s="36"/>
      <c r="N10" s="37">
        <f t="shared" si="12"/>
        <v>0.35714285714285715</v>
      </c>
      <c r="O10" s="38">
        <f t="shared" ca="1" si="13"/>
        <v>0.14285714285714285</v>
      </c>
      <c r="P10" s="32">
        <f ca="1">'Юнит 01.02'!P10+'Юнит 02-08.02'!P10+'Юнит 09-15.02'!P10+'Юнит 16-22.02'!P10+'Юнит 23-28.02'!P10</f>
        <v>4</v>
      </c>
      <c r="Q10" s="32">
        <f ca="1">'Юнит 01.02'!Q10+'Юнит 02-08.02'!Q10+'Юнит 09-15.02'!Q10+'Юнит 16-22.02'!Q10+'Юнит 23-28.02'!Q10</f>
        <v>0</v>
      </c>
      <c r="R10" s="40">
        <f t="shared" ca="1" si="14"/>
        <v>4</v>
      </c>
      <c r="S10" s="32">
        <f ca="1">'Юнит 01.02'!S10+'Юнит 02-08.02'!S10+'Юнит 09-15.02'!S10+'Юнит 16-22.02'!S10+'Юнит 23-28.02'!S10</f>
        <v>9200</v>
      </c>
      <c r="T10" s="32">
        <f ca="1">'Юнит 01.02'!T10+'Юнит 02-08.02'!T10+'Юнит 09-15.02'!T10+'Юнит 16-22.02'!T10+'Юнит 23-28.02'!T10</f>
        <v>0</v>
      </c>
      <c r="U10" s="40">
        <f t="shared" ca="1" si="1"/>
        <v>9200</v>
      </c>
      <c r="V10" s="43">
        <f t="shared" ca="1" si="15"/>
        <v>2.0031091738045573E-2</v>
      </c>
      <c r="W10" s="44">
        <f t="shared" ca="1" si="2"/>
        <v>679.56</v>
      </c>
      <c r="X10" s="32">
        <f ca="1">'Юнит 01.02'!X10+'Юнит 02-08.02'!X10+'Юнит 09-15.02'!X10+'Юнит 16-22.02'!X10+'Юнит 23-28.02'!X10</f>
        <v>3956</v>
      </c>
      <c r="Y10" s="45">
        <f t="shared" ca="1" si="3"/>
        <v>0.43</v>
      </c>
      <c r="Z10" s="32">
        <f ca="1">'Юнит 01.02'!Z10+'Юнит 02-08.02'!Z10+'Юнит 09-15.02'!Z10+'Юнит 16-22.02'!Z10+'Юнит 23-28.02'!Z10</f>
        <v>945.08999999999992</v>
      </c>
      <c r="AA10" s="32">
        <f>'Юнит 01.02'!AA10+'Юнит 02-08.02'!AA10+'Юнит 09-15.02'!AA10+'Юнит 16-22.02'!AA10+'Юнит 23-28.02'!AA10</f>
        <v>3211.8935590000001</v>
      </c>
      <c r="AB10" s="55"/>
      <c r="AC10" s="42"/>
      <c r="AD10" s="46">
        <f t="shared" ca="1" si="16"/>
        <v>40.832779575253767</v>
      </c>
      <c r="AE10" s="47">
        <f t="shared" ca="1" si="17"/>
        <v>366.6236614247465</v>
      </c>
      <c r="AF10" s="46"/>
      <c r="AG10" s="48">
        <f t="shared" ca="1" si="4"/>
        <v>2300</v>
      </c>
      <c r="AH10" s="49">
        <f t="shared" si="5"/>
        <v>169.89</v>
      </c>
      <c r="AI10" s="49">
        <f t="shared" ca="1" si="6"/>
        <v>989</v>
      </c>
      <c r="AJ10" s="49">
        <f t="shared" ca="1" si="7"/>
        <v>236.27249999999998</v>
      </c>
      <c r="AK10" s="49">
        <f t="shared" ca="1" si="8"/>
        <v>802.97338975000002</v>
      </c>
      <c r="AL10" s="49">
        <f t="array" aca="1" ref="AL10" ca="1">_xlfn.IFS(R10=0,AE10,R10&lt;0,AE10/-R10,R10&gt;0,AE10/R10)</f>
        <v>91.655915356186625</v>
      </c>
      <c r="AM10" s="50">
        <f t="shared" ca="1" si="9"/>
        <v>3.9850397980950705E-2</v>
      </c>
      <c r="AN10" s="51">
        <f t="shared" ca="1" si="10"/>
        <v>0.53950153249859689</v>
      </c>
      <c r="AP10" s="53">
        <f t="shared" ca="1" si="11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01.02'!K11+'Юнит 02-08.02'!K11+'Юнит 09-15.02'!K11+'Юнит 16-22.02'!K11+'Юнит 23-28.02'!K11</f>
        <v>5</v>
      </c>
      <c r="L11" s="36"/>
      <c r="M11" s="36"/>
      <c r="N11" s="37">
        <f t="shared" si="12"/>
        <v>0.17857142857142858</v>
      </c>
      <c r="O11" s="38">
        <f t="shared" ca="1" si="13"/>
        <v>0</v>
      </c>
      <c r="P11" s="32">
        <f ca="1">'Юнит 01.02'!P11+'Юнит 02-08.02'!P11+'Юнит 09-15.02'!P11+'Юнит 16-22.02'!P11+'Юнит 23-28.02'!P11</f>
        <v>0</v>
      </c>
      <c r="Q11" s="32">
        <f ca="1">'Юнит 01.02'!Q11+'Юнит 02-08.02'!Q11+'Юнит 09-15.02'!Q11+'Юнит 16-22.02'!Q11+'Юнит 23-28.02'!Q11</f>
        <v>0</v>
      </c>
      <c r="R11" s="40">
        <f t="shared" ca="1" si="14"/>
        <v>0</v>
      </c>
      <c r="S11" s="32">
        <f ca="1">'Юнит 01.02'!S11+'Юнит 02-08.02'!S11+'Юнит 09-15.02'!S11+'Юнит 16-22.02'!S11+'Юнит 23-28.02'!S11</f>
        <v>0</v>
      </c>
      <c r="T11" s="32">
        <f ca="1">'Юнит 01.02'!T11+'Юнит 02-08.02'!T11+'Юнит 09-15.02'!T11+'Юнит 16-22.02'!T11+'Юнит 23-28.02'!T11</f>
        <v>0</v>
      </c>
      <c r="U11" s="40">
        <f t="shared" ca="1" si="1"/>
        <v>0</v>
      </c>
      <c r="V11" s="43">
        <f t="shared" ca="1" si="15"/>
        <v>0</v>
      </c>
      <c r="W11" s="44">
        <f t="shared" ca="1" si="2"/>
        <v>0</v>
      </c>
      <c r="X11" s="32">
        <f ca="1">'Юнит 01.02'!X11+'Юнит 02-08.02'!X11+'Юнит 09-15.02'!X11+'Юнит 16-22.02'!X11+'Юнит 23-28.02'!X11</f>
        <v>0</v>
      </c>
      <c r="Y11" s="45">
        <f t="shared" ca="1" si="3"/>
        <v>0</v>
      </c>
      <c r="Z11" s="32">
        <f ca="1">'Юнит 01.02'!Z11+'Юнит 02-08.02'!Z11+'Юнит 09-15.02'!Z11+'Юнит 16-22.02'!Z11+'Юнит 23-28.02'!Z11</f>
        <v>280.62</v>
      </c>
      <c r="AA11" s="32">
        <f>'Юнит 01.02'!AA11+'Юнит 02-08.02'!AA11+'Юнит 09-15.02'!AA11+'Юнит 16-22.02'!AA11+'Юнит 23-28.02'!AA11</f>
        <v>0</v>
      </c>
      <c r="AB11" s="55"/>
      <c r="AC11" s="42"/>
      <c r="AD11" s="46">
        <f t="shared" ca="1" si="16"/>
        <v>0</v>
      </c>
      <c r="AE11" s="47">
        <f t="shared" ca="1" si="17"/>
        <v>-280.62</v>
      </c>
      <c r="AF11" s="46"/>
      <c r="AG11" s="48">
        <f t="shared" ca="1" si="4"/>
        <v>0</v>
      </c>
      <c r="AH11" s="49">
        <f t="shared" si="5"/>
        <v>169.89</v>
      </c>
      <c r="AI11" s="49">
        <f t="shared" ca="1" si="6"/>
        <v>0</v>
      </c>
      <c r="AJ11" s="49">
        <f t="shared" ca="1" si="7"/>
        <v>280.62</v>
      </c>
      <c r="AK11" s="49">
        <f t="shared" ca="1" si="8"/>
        <v>0</v>
      </c>
      <c r="AL11" s="49">
        <f t="array" aca="1" ref="AL11" ca="1">_xlfn.IFS(R11=0,AE11,R11&lt;0,AE11/-R11,R11&gt;0,AE11/R11)</f>
        <v>-280.62</v>
      </c>
      <c r="AM11" s="50">
        <f t="shared" ca="1" si="9"/>
        <v>0</v>
      </c>
      <c r="AN11" s="51">
        <f t="shared" ca="1" si="10"/>
        <v>-1.6517746777326507</v>
      </c>
      <c r="AP11" s="53">
        <f t="shared" ca="1" si="11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01.02'!K12+'Юнит 02-08.02'!K12+'Юнит 09-15.02'!K12+'Юнит 16-22.02'!K12+'Юнит 23-28.02'!K12</f>
        <v>2</v>
      </c>
      <c r="L12" s="36"/>
      <c r="M12" s="36"/>
      <c r="N12" s="37">
        <f t="shared" si="12"/>
        <v>7.1428571428571425E-2</v>
      </c>
      <c r="O12" s="38">
        <f t="shared" ca="1" si="13"/>
        <v>3.5714285714285712E-2</v>
      </c>
      <c r="P12" s="32">
        <f ca="1">'Юнит 01.02'!P12+'Юнит 02-08.02'!P12+'Юнит 09-15.02'!P12+'Юнит 16-22.02'!P12+'Юнит 23-28.02'!P12</f>
        <v>1</v>
      </c>
      <c r="Q12" s="32">
        <f ca="1">'Юнит 01.02'!Q12+'Юнит 02-08.02'!Q12+'Юнит 09-15.02'!Q12+'Юнит 16-22.02'!Q12+'Юнит 23-28.02'!Q12</f>
        <v>0</v>
      </c>
      <c r="R12" s="40">
        <f t="shared" ca="1" si="14"/>
        <v>1</v>
      </c>
      <c r="S12" s="32">
        <f ca="1">'Юнит 01.02'!S12+'Юнит 02-08.02'!S12+'Юнит 09-15.02'!S12+'Юнит 16-22.02'!S12+'Юнит 23-28.02'!S12</f>
        <v>1102</v>
      </c>
      <c r="T12" s="32">
        <f ca="1">'Юнит 01.02'!T12+'Юнит 02-08.02'!T12+'Юнит 09-15.02'!T12+'Юнит 16-22.02'!T12+'Юнит 23-28.02'!T12</f>
        <v>0</v>
      </c>
      <c r="U12" s="40">
        <f t="shared" ca="1" si="1"/>
        <v>1102</v>
      </c>
      <c r="V12" s="43">
        <f t="shared" ca="1" si="15"/>
        <v>2.3993764234050245E-3</v>
      </c>
      <c r="W12" s="44">
        <f t="shared" ca="1" si="2"/>
        <v>169.89</v>
      </c>
      <c r="X12" s="32">
        <f ca="1">'Юнит 01.02'!X12+'Юнит 02-08.02'!X12+'Юнит 09-15.02'!X12+'Юнит 16-22.02'!X12+'Юнит 23-28.02'!X12</f>
        <v>473.86</v>
      </c>
      <c r="Y12" s="45">
        <f t="shared" ca="1" si="3"/>
        <v>0.43</v>
      </c>
      <c r="Z12" s="32">
        <f ca="1">'Юнит 01.02'!Z12+'Юнит 02-08.02'!Z12+'Юнит 09-15.02'!Z12+'Юнит 16-22.02'!Z12+'Юнит 23-28.02'!Z12</f>
        <v>217.74</v>
      </c>
      <c r="AA12" s="32">
        <f>'Юнит 01.02'!AA12+'Юнит 02-08.02'!AA12+'Юнит 09-15.02'!AA12+'Юнит 16-22.02'!AA12+'Юнит 23-28.02'!AA12</f>
        <v>0</v>
      </c>
      <c r="AB12" s="55"/>
      <c r="AC12" s="42"/>
      <c r="AD12" s="46">
        <f t="shared" ca="1" si="16"/>
        <v>4.8910568578184401</v>
      </c>
      <c r="AE12" s="47">
        <f t="shared" ca="1" si="17"/>
        <v>235.61894314218156</v>
      </c>
      <c r="AF12" s="46"/>
      <c r="AG12" s="48">
        <f t="shared" ca="1" si="4"/>
        <v>1102</v>
      </c>
      <c r="AH12" s="49">
        <f t="shared" si="5"/>
        <v>169.89</v>
      </c>
      <c r="AI12" s="49">
        <f t="shared" ca="1" si="6"/>
        <v>473.86</v>
      </c>
      <c r="AJ12" s="49">
        <f t="shared" ca="1" si="7"/>
        <v>217.74</v>
      </c>
      <c r="AK12" s="49">
        <f t="shared" ca="1" si="8"/>
        <v>0</v>
      </c>
      <c r="AL12" s="49">
        <f t="array" aca="1" ref="AL12" ca="1">_xlfn.IFS(R12=0,AE12,R12&lt;0,AE12/-R12,R12&gt;0,AE12/R12)</f>
        <v>235.61894314218156</v>
      </c>
      <c r="AM12" s="50">
        <f t="shared" ca="1" si="9"/>
        <v>0.21381029323246967</v>
      </c>
      <c r="AN12" s="51">
        <f t="shared" ca="1" si="10"/>
        <v>1.3868911833667761</v>
      </c>
      <c r="AP12" s="53">
        <f t="shared" ca="1" si="11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01.02'!K13+'Юнит 02-08.02'!K13+'Юнит 09-15.02'!K13+'Юнит 16-22.02'!K13+'Юнит 23-28.02'!K13</f>
        <v>15</v>
      </c>
      <c r="L13" s="36"/>
      <c r="M13" s="36"/>
      <c r="N13" s="37">
        <f t="shared" si="12"/>
        <v>0.5357142857142857</v>
      </c>
      <c r="O13" s="38">
        <f t="shared" ca="1" si="13"/>
        <v>0.21428571428571427</v>
      </c>
      <c r="P13" s="32">
        <f ca="1">'Юнит 01.02'!P13+'Юнит 02-08.02'!P13+'Юнит 09-15.02'!P13+'Юнит 16-22.02'!P13+'Юнит 23-28.02'!P13</f>
        <v>7</v>
      </c>
      <c r="Q13" s="32">
        <f ca="1">'Юнит 01.02'!Q13+'Юнит 02-08.02'!Q13+'Юнит 09-15.02'!Q13+'Юнит 16-22.02'!Q13+'Юнит 23-28.02'!Q13</f>
        <v>1</v>
      </c>
      <c r="R13" s="40">
        <f t="shared" ca="1" si="14"/>
        <v>6</v>
      </c>
      <c r="S13" s="32">
        <f ca="1">'Юнит 01.02'!S13+'Юнит 02-08.02'!S13+'Юнит 09-15.02'!S13+'Юнит 16-22.02'!S13+'Юнит 23-28.02'!S13</f>
        <v>10802</v>
      </c>
      <c r="T13" s="32">
        <f ca="1">'Юнит 01.02'!T13+'Юнит 02-08.02'!T13+'Юнит 09-15.02'!T13+'Юнит 16-22.02'!T13+'Юнит 23-28.02'!T13</f>
        <v>-1387</v>
      </c>
      <c r="U13" s="40">
        <f t="shared" ca="1" si="1"/>
        <v>9415</v>
      </c>
      <c r="V13" s="43">
        <f t="shared" ca="1" si="15"/>
        <v>2.0499209642793378E-2</v>
      </c>
      <c r="W13" s="44">
        <f t="shared" ca="1" si="2"/>
        <v>1019.3399999999999</v>
      </c>
      <c r="X13" s="32">
        <f ca="1">'Юнит 01.02'!X13+'Юнит 02-08.02'!X13+'Юнит 09-15.02'!X13+'Юнит 16-22.02'!X13+'Юнит 23-28.02'!X13</f>
        <v>4048.45</v>
      </c>
      <c r="Y13" s="45">
        <f t="shared" ca="1" si="3"/>
        <v>0.43</v>
      </c>
      <c r="Z13" s="32">
        <f ca="1">'Юнит 01.02'!Z13+'Юнит 02-08.02'!Z13+'Юнит 09-15.02'!Z13+'Юнит 16-22.02'!Z13+'Юнит 23-28.02'!Z13</f>
        <v>1727.33</v>
      </c>
      <c r="AA13" s="32">
        <f>'Юнит 01.02'!AA13+'Юнит 02-08.02'!AA13+'Юнит 09-15.02'!AA13+'Юнит 16-22.02'!AA13+'Юнит 23-28.02'!AA13</f>
        <v>1732.8200000000002</v>
      </c>
      <c r="AB13" s="55"/>
      <c r="AC13" s="42"/>
      <c r="AD13" s="46">
        <f t="shared" ca="1" si="16"/>
        <v>41.787023880545021</v>
      </c>
      <c r="AE13" s="47">
        <f t="shared" ca="1" si="17"/>
        <v>845.27297611945494</v>
      </c>
      <c r="AF13" s="46"/>
      <c r="AG13" s="48">
        <f t="shared" ca="1" si="4"/>
        <v>1569.1666666666667</v>
      </c>
      <c r="AH13" s="49">
        <f t="shared" si="5"/>
        <v>169.89</v>
      </c>
      <c r="AI13" s="49">
        <f t="shared" ca="1" si="6"/>
        <v>674.74166666666667</v>
      </c>
      <c r="AJ13" s="49">
        <f t="shared" ca="1" si="7"/>
        <v>246.76142857142855</v>
      </c>
      <c r="AK13" s="49">
        <f t="shared" ca="1" si="8"/>
        <v>247.5457142857143</v>
      </c>
      <c r="AL13" s="49">
        <f t="array" aca="1" ref="AL13" ca="1">_xlfn.IFS(R13=0,AE13,R13&lt;0,AE13/-R13,R13&gt;0,AE13/R13)</f>
        <v>140.87882935324248</v>
      </c>
      <c r="AM13" s="50">
        <f t="shared" ca="1" si="9"/>
        <v>8.9779392046676038E-2</v>
      </c>
      <c r="AN13" s="51">
        <f t="shared" ca="1" si="10"/>
        <v>0.82923556038167334</v>
      </c>
      <c r="AP13" s="53">
        <f t="shared" ca="1" si="11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01.02'!K14+'Юнит 02-08.02'!K14+'Юнит 09-15.02'!K14+'Юнит 16-22.02'!K14+'Юнит 23-28.02'!K14</f>
        <v>1</v>
      </c>
      <c r="L14" s="36"/>
      <c r="M14" s="36"/>
      <c r="N14" s="37">
        <f t="shared" si="12"/>
        <v>3.5714285714285712E-2</v>
      </c>
      <c r="O14" s="38">
        <f t="shared" ca="1" si="13"/>
        <v>0</v>
      </c>
      <c r="P14" s="32">
        <f ca="1">'Юнит 01.02'!P14+'Юнит 02-08.02'!P14+'Юнит 09-15.02'!P14+'Юнит 16-22.02'!P14+'Юнит 23-28.02'!P14</f>
        <v>0</v>
      </c>
      <c r="Q14" s="32">
        <f ca="1">'Юнит 01.02'!Q14+'Юнит 02-08.02'!Q14+'Юнит 09-15.02'!Q14+'Юнит 16-22.02'!Q14+'Юнит 23-28.02'!Q14</f>
        <v>0</v>
      </c>
      <c r="R14" s="40">
        <f t="shared" ca="1" si="14"/>
        <v>0</v>
      </c>
      <c r="S14" s="32">
        <f ca="1">'Юнит 01.02'!S14+'Юнит 02-08.02'!S14+'Юнит 09-15.02'!S14+'Юнит 16-22.02'!S14+'Юнит 23-28.02'!S14</f>
        <v>0</v>
      </c>
      <c r="T14" s="32">
        <f ca="1">'Юнит 01.02'!T14+'Юнит 02-08.02'!T14+'Юнит 09-15.02'!T14+'Юнит 16-22.02'!T14+'Юнит 23-28.02'!T14</f>
        <v>0</v>
      </c>
      <c r="U14" s="40">
        <f t="shared" ca="1" si="1"/>
        <v>0</v>
      </c>
      <c r="V14" s="43">
        <f t="shared" ca="1" si="15"/>
        <v>0</v>
      </c>
      <c r="W14" s="44">
        <f t="shared" ca="1" si="2"/>
        <v>0</v>
      </c>
      <c r="X14" s="32">
        <f ca="1">'Юнит 01.02'!X14+'Юнит 02-08.02'!X14+'Юнит 09-15.02'!X14+'Юнит 16-22.02'!X14+'Юнит 23-28.02'!X14</f>
        <v>0</v>
      </c>
      <c r="Y14" s="45">
        <f t="shared" ca="1" si="3"/>
        <v>0</v>
      </c>
      <c r="Z14" s="32">
        <f ca="1">'Юнит 01.02'!Z14+'Юнит 02-08.02'!Z14+'Юнит 09-15.02'!Z14+'Юнит 16-22.02'!Z14+'Юнит 23-28.02'!Z14</f>
        <v>93.54</v>
      </c>
      <c r="AA14" s="32">
        <f>'Юнит 01.02'!AA14+'Юнит 02-08.02'!AA14+'Юнит 09-15.02'!AA14+'Юнит 16-22.02'!AA14+'Юнит 23-28.02'!AA14</f>
        <v>387.09</v>
      </c>
      <c r="AB14" s="55"/>
      <c r="AC14" s="42"/>
      <c r="AD14" s="46">
        <f t="shared" ca="1" si="16"/>
        <v>0</v>
      </c>
      <c r="AE14" s="47">
        <f t="shared" ca="1" si="17"/>
        <v>-480.63</v>
      </c>
      <c r="AF14" s="46"/>
      <c r="AG14" s="48">
        <f t="shared" ca="1" si="4"/>
        <v>0</v>
      </c>
      <c r="AH14" s="49">
        <f t="shared" si="5"/>
        <v>169.89</v>
      </c>
      <c r="AI14" s="49">
        <f t="shared" ca="1" si="6"/>
        <v>0</v>
      </c>
      <c r="AJ14" s="49">
        <f t="shared" ca="1" si="7"/>
        <v>93.54</v>
      </c>
      <c r="AK14" s="49">
        <f t="shared" ca="1" si="8"/>
        <v>0</v>
      </c>
      <c r="AL14" s="49">
        <f t="array" aca="1" ref="AL14" ca="1">_xlfn.IFS(R14=0,AE14,R14&lt;0,AE14/-R14,R14&gt;0,AE14/R14)</f>
        <v>-480.63</v>
      </c>
      <c r="AM14" s="50">
        <f t="shared" ca="1" si="9"/>
        <v>0</v>
      </c>
      <c r="AN14" s="51">
        <f t="shared" ca="1" si="10"/>
        <v>-2.8290658661486847</v>
      </c>
      <c r="AP14" s="53">
        <f t="shared" ca="1" si="11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01.02'!K15+'Юнит 02-08.02'!K15+'Юнит 09-15.02'!K15+'Юнит 16-22.02'!K15+'Юнит 23-28.02'!K15</f>
        <v>6</v>
      </c>
      <c r="L15" s="36"/>
      <c r="M15" s="36"/>
      <c r="N15" s="37">
        <f t="shared" si="12"/>
        <v>0.21428571428571427</v>
      </c>
      <c r="O15" s="38">
        <f t="shared" ca="1" si="13"/>
        <v>3.5714285714285712E-2</v>
      </c>
      <c r="P15" s="32">
        <f ca="1">'Юнит 01.02'!P15+'Юнит 02-08.02'!P15+'Юнит 09-15.02'!P15+'Юнит 16-22.02'!P15+'Юнит 23-28.02'!P15</f>
        <v>1</v>
      </c>
      <c r="Q15" s="32">
        <f ca="1">'Юнит 01.02'!Q15+'Юнит 02-08.02'!Q15+'Юнит 09-15.02'!Q15+'Юнит 16-22.02'!Q15+'Юнит 23-28.02'!Q15</f>
        <v>0</v>
      </c>
      <c r="R15" s="40">
        <f t="shared" ca="1" si="14"/>
        <v>1</v>
      </c>
      <c r="S15" s="32">
        <f ca="1">'Юнит 01.02'!S15+'Юнит 02-08.02'!S15+'Юнит 09-15.02'!S15+'Юнит 16-22.02'!S15+'Юнит 23-28.02'!S15</f>
        <v>2100</v>
      </c>
      <c r="T15" s="32">
        <f ca="1">'Юнит 01.02'!T15+'Юнит 02-08.02'!T15+'Юнит 09-15.02'!T15+'Юнит 16-22.02'!T15+'Юнит 23-28.02'!T15</f>
        <v>0</v>
      </c>
      <c r="U15" s="40">
        <f t="shared" ca="1" si="1"/>
        <v>2100</v>
      </c>
      <c r="V15" s="43">
        <f t="shared" ca="1" si="15"/>
        <v>4.5723144184669244E-3</v>
      </c>
      <c r="W15" s="44">
        <f t="shared" ca="1" si="2"/>
        <v>169.89</v>
      </c>
      <c r="X15" s="32">
        <f ca="1">'Юнит 01.02'!X15+'Юнит 02-08.02'!X15+'Юнит 09-15.02'!X15+'Юнит 16-22.02'!X15+'Юнит 23-28.02'!X15</f>
        <v>903</v>
      </c>
      <c r="Y15" s="45">
        <f t="shared" ca="1" si="3"/>
        <v>0.43</v>
      </c>
      <c r="Z15" s="32">
        <f ca="1">'Юнит 01.02'!Z15+'Юнит 02-08.02'!Z15+'Юнит 09-15.02'!Z15+'Юнит 16-22.02'!Z15+'Юнит 23-28.02'!Z15</f>
        <v>334.02000000000004</v>
      </c>
      <c r="AA15" s="32">
        <f>'Юнит 01.02'!AA15+'Юнит 02-08.02'!AA15+'Юнит 09-15.02'!AA15+'Юнит 16-22.02'!AA15+'Юнит 23-28.02'!AA15</f>
        <v>897</v>
      </c>
      <c r="AB15" s="55"/>
      <c r="AC15" s="42"/>
      <c r="AD15" s="46">
        <f t="shared" ca="1" si="16"/>
        <v>9.3205257726122728</v>
      </c>
      <c r="AE15" s="47">
        <f t="shared" ca="1" si="17"/>
        <v>-213.23052577261214</v>
      </c>
      <c r="AF15" s="46"/>
      <c r="AG15" s="48">
        <f t="shared" ca="1" si="4"/>
        <v>2100</v>
      </c>
      <c r="AH15" s="49">
        <f t="shared" si="5"/>
        <v>169.89</v>
      </c>
      <c r="AI15" s="49">
        <f t="shared" ca="1" si="6"/>
        <v>903</v>
      </c>
      <c r="AJ15" s="49">
        <f t="shared" ca="1" si="7"/>
        <v>334.02000000000004</v>
      </c>
      <c r="AK15" s="49">
        <f t="shared" ca="1" si="8"/>
        <v>897</v>
      </c>
      <c r="AL15" s="49">
        <f t="array" aca="1" ref="AL15" ca="1">_xlfn.IFS(R15=0,AE15,R15&lt;0,AE15/-R15,R15&gt;0,AE15/R15)</f>
        <v>-213.23052577261214</v>
      </c>
      <c r="AM15" s="50">
        <f t="shared" ca="1" si="9"/>
        <v>-0.10153834560600578</v>
      </c>
      <c r="AN15" s="51">
        <f t="shared" ca="1" si="10"/>
        <v>-1.2551093400000715</v>
      </c>
      <c r="AP15" s="53">
        <f t="shared" ca="1" si="11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01.02'!K16+'Юнит 02-08.02'!K16+'Юнит 09-15.02'!K16+'Юнит 16-22.02'!K16+'Юнит 23-28.02'!K16</f>
        <v>1</v>
      </c>
      <c r="L16" s="36"/>
      <c r="M16" s="36"/>
      <c r="N16" s="37">
        <f t="shared" si="12"/>
        <v>3.5714285714285712E-2</v>
      </c>
      <c r="O16" s="38">
        <f t="shared" ca="1" si="13"/>
        <v>0</v>
      </c>
      <c r="P16" s="32">
        <f ca="1">'Юнит 01.02'!P16+'Юнит 02-08.02'!P16+'Юнит 09-15.02'!P16+'Юнит 16-22.02'!P16+'Юнит 23-28.02'!P16</f>
        <v>0</v>
      </c>
      <c r="Q16" s="32">
        <f ca="1">'Юнит 01.02'!Q16+'Юнит 02-08.02'!Q16+'Юнит 09-15.02'!Q16+'Юнит 16-22.02'!Q16+'Юнит 23-28.02'!Q16</f>
        <v>0</v>
      </c>
      <c r="R16" s="40">
        <f t="shared" ca="1" si="14"/>
        <v>0</v>
      </c>
      <c r="S16" s="32">
        <f ca="1">'Юнит 01.02'!S16+'Юнит 02-08.02'!S16+'Юнит 09-15.02'!S16+'Юнит 16-22.02'!S16+'Юнит 23-28.02'!S16</f>
        <v>0</v>
      </c>
      <c r="T16" s="32">
        <f ca="1">'Юнит 01.02'!T16+'Юнит 02-08.02'!T16+'Юнит 09-15.02'!T16+'Юнит 16-22.02'!T16+'Юнит 23-28.02'!T16</f>
        <v>0</v>
      </c>
      <c r="U16" s="40">
        <f t="shared" ca="1" si="1"/>
        <v>0</v>
      </c>
      <c r="V16" s="43">
        <f t="shared" ca="1" si="15"/>
        <v>0</v>
      </c>
      <c r="W16" s="44">
        <f t="shared" ca="1" si="2"/>
        <v>0</v>
      </c>
      <c r="X16" s="32">
        <f ca="1">'Юнит 01.02'!X16+'Юнит 02-08.02'!X16+'Юнит 09-15.02'!X16+'Юнит 16-22.02'!X16+'Юнит 23-28.02'!X16</f>
        <v>0</v>
      </c>
      <c r="Y16" s="45">
        <f t="shared" ca="1" si="3"/>
        <v>0</v>
      </c>
      <c r="Z16" s="32">
        <f ca="1">'Юнит 01.02'!Z16+'Юнит 02-08.02'!Z16+'Юнит 09-15.02'!Z16+'Юнит 16-22.02'!Z16+'Юнит 23-28.02'!Z16</f>
        <v>187.08</v>
      </c>
      <c r="AA16" s="32">
        <f>'Юнит 01.02'!AA16+'Юнит 02-08.02'!AA16+'Юнит 09-15.02'!AA16+'Юнит 16-22.02'!AA16+'Юнит 23-28.02'!AA16</f>
        <v>475.64</v>
      </c>
      <c r="AB16" s="55"/>
      <c r="AC16" s="42"/>
      <c r="AD16" s="46">
        <f t="shared" ca="1" si="16"/>
        <v>0</v>
      </c>
      <c r="AE16" s="47">
        <f t="shared" ca="1" si="17"/>
        <v>-662.72</v>
      </c>
      <c r="AF16" s="46"/>
      <c r="AG16" s="48">
        <f t="shared" ca="1" si="4"/>
        <v>0</v>
      </c>
      <c r="AH16" s="49">
        <f t="shared" si="5"/>
        <v>169.89</v>
      </c>
      <c r="AI16" s="49">
        <f t="shared" ca="1" si="6"/>
        <v>0</v>
      </c>
      <c r="AJ16" s="49">
        <f t="shared" ca="1" si="7"/>
        <v>187.08</v>
      </c>
      <c r="AK16" s="49">
        <f t="shared" ca="1" si="8"/>
        <v>0</v>
      </c>
      <c r="AL16" s="49">
        <f t="array" aca="1" ref="AL16" ca="1">_xlfn.IFS(R16=0,AE16,R16&lt;0,AE16/-R16,R16&gt;0,AE16/R16)</f>
        <v>-662.72</v>
      </c>
      <c r="AM16" s="50">
        <f t="shared" ca="1" si="9"/>
        <v>0</v>
      </c>
      <c r="AN16" s="51">
        <f t="shared" ca="1" si="10"/>
        <v>-3.9008770380834661</v>
      </c>
      <c r="AP16" s="53">
        <f t="shared" ca="1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01.02'!K17+'Юнит 02-08.02'!K17+'Юнит 09-15.02'!K17+'Юнит 16-22.02'!K17+'Юнит 23-28.02'!K17</f>
        <v>0</v>
      </c>
      <c r="L17" s="36"/>
      <c r="M17" s="36"/>
      <c r="N17" s="37">
        <f t="shared" si="12"/>
        <v>0</v>
      </c>
      <c r="O17" s="38">
        <f t="shared" ca="1" si="13"/>
        <v>0</v>
      </c>
      <c r="P17" s="32">
        <f ca="1">'Юнит 01.02'!P17+'Юнит 02-08.02'!P17+'Юнит 09-15.02'!P17+'Юнит 16-22.02'!P17+'Юнит 23-28.02'!P17</f>
        <v>0</v>
      </c>
      <c r="Q17" s="32">
        <f ca="1">'Юнит 01.02'!Q17+'Юнит 02-08.02'!Q17+'Юнит 09-15.02'!Q17+'Юнит 16-22.02'!Q17+'Юнит 23-28.02'!Q17</f>
        <v>0</v>
      </c>
      <c r="R17" s="40">
        <f t="shared" ca="1" si="14"/>
        <v>0</v>
      </c>
      <c r="S17" s="32">
        <f ca="1">'Юнит 01.02'!S17+'Юнит 02-08.02'!S17+'Юнит 09-15.02'!S17+'Юнит 16-22.02'!S17+'Юнит 23-28.02'!S17</f>
        <v>0</v>
      </c>
      <c r="T17" s="32">
        <f ca="1">'Юнит 01.02'!T17+'Юнит 02-08.02'!T17+'Юнит 09-15.02'!T17+'Юнит 16-22.02'!T17+'Юнит 23-28.02'!T17</f>
        <v>0</v>
      </c>
      <c r="U17" s="40">
        <f t="shared" ca="1" si="1"/>
        <v>0</v>
      </c>
      <c r="V17" s="43">
        <f t="shared" ca="1" si="15"/>
        <v>0</v>
      </c>
      <c r="W17" s="44">
        <f t="shared" ca="1" si="2"/>
        <v>0</v>
      </c>
      <c r="X17" s="32">
        <f ca="1">'Юнит 01.02'!X17+'Юнит 02-08.02'!X17+'Юнит 09-15.02'!X17+'Юнит 16-22.02'!X17+'Юнит 23-28.02'!X17</f>
        <v>0</v>
      </c>
      <c r="Y17" s="45">
        <f t="shared" ca="1" si="3"/>
        <v>0</v>
      </c>
      <c r="Z17" s="32">
        <f ca="1">'Юнит 01.02'!Z17+'Юнит 02-08.02'!Z17+'Юнит 09-15.02'!Z17+'Юнит 16-22.02'!Z17+'Юнит 23-28.02'!Z17</f>
        <v>0</v>
      </c>
      <c r="AA17" s="32">
        <f>'Юнит 01.02'!AA17+'Юнит 02-08.02'!AA17+'Юнит 09-15.02'!AA17+'Юнит 16-22.02'!AA17+'Юнит 23-28.02'!AA17</f>
        <v>0</v>
      </c>
      <c r="AB17" s="55"/>
      <c r="AC17" s="42"/>
      <c r="AD17" s="46">
        <f t="shared" ca="1" si="16"/>
        <v>0</v>
      </c>
      <c r="AE17" s="47">
        <f t="shared" ca="1" si="17"/>
        <v>0</v>
      </c>
      <c r="AF17" s="46"/>
      <c r="AG17" s="48">
        <f t="shared" ca="1" si="4"/>
        <v>0</v>
      </c>
      <c r="AH17" s="49">
        <f t="shared" si="5"/>
        <v>1002.82</v>
      </c>
      <c r="AI17" s="49">
        <f t="shared" ca="1" si="6"/>
        <v>0</v>
      </c>
      <c r="AJ17" s="49">
        <f t="shared" ca="1" si="7"/>
        <v>0</v>
      </c>
      <c r="AK17" s="49">
        <f t="shared" ca="1" si="8"/>
        <v>0</v>
      </c>
      <c r="AL17" s="49">
        <f t="array" aca="1" ref="AL17" ca="1">_xlfn.IFS(R17=0,AE17,R17&lt;0,AE17/-R17,R17&gt;0,AE17/R17)</f>
        <v>0</v>
      </c>
      <c r="AM17" s="50">
        <f t="shared" ca="1" si="9"/>
        <v>0</v>
      </c>
      <c r="AN17" s="51">
        <f t="shared" ca="1" si="10"/>
        <v>0</v>
      </c>
      <c r="AP17" s="53">
        <f t="shared" ca="1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ref="I18:I24" si="18">C18*H18</f>
        <v>0</v>
      </c>
      <c r="J18" s="36"/>
      <c r="K18" s="32">
        <f>'Юнит 01.02'!K18+'Юнит 02-08.02'!K18+'Юнит 09-15.02'!K18+'Юнит 16-22.02'!K18+'Юнит 23-28.02'!K18</f>
        <v>0</v>
      </c>
      <c r="L18" s="36"/>
      <c r="M18" s="36"/>
      <c r="N18" s="37">
        <f t="shared" si="12"/>
        <v>0</v>
      </c>
      <c r="O18" s="38">
        <f t="shared" ca="1" si="13"/>
        <v>0</v>
      </c>
      <c r="P18" s="32">
        <f ca="1">'Юнит 01.02'!P18+'Юнит 02-08.02'!P18+'Юнит 09-15.02'!P18+'Юнит 16-22.02'!P18+'Юнит 23-28.02'!P18</f>
        <v>0</v>
      </c>
      <c r="Q18" s="32">
        <f ca="1">'Юнит 01.02'!Q18+'Юнит 02-08.02'!Q18+'Юнит 09-15.02'!Q18+'Юнит 16-22.02'!Q18+'Юнит 23-28.02'!Q18</f>
        <v>0</v>
      </c>
      <c r="R18" s="40">
        <f t="shared" ca="1" si="14"/>
        <v>0</v>
      </c>
      <c r="S18" s="32">
        <f ca="1">'Юнит 01.02'!S18+'Юнит 02-08.02'!S18+'Юнит 09-15.02'!S18+'Юнит 16-22.02'!S18+'Юнит 23-28.02'!S18</f>
        <v>0</v>
      </c>
      <c r="T18" s="32">
        <f ca="1">'Юнит 01.02'!T18+'Юнит 02-08.02'!T18+'Юнит 09-15.02'!T18+'Юнит 16-22.02'!T18+'Юнит 23-28.02'!T18</f>
        <v>0</v>
      </c>
      <c r="U18" s="40">
        <f t="shared" ca="1" si="1"/>
        <v>0</v>
      </c>
      <c r="V18" s="43">
        <f t="shared" ca="1" si="15"/>
        <v>0</v>
      </c>
      <c r="W18" s="44">
        <f t="shared" ca="1" si="2"/>
        <v>0</v>
      </c>
      <c r="X18" s="32">
        <f ca="1">'Юнит 01.02'!X18+'Юнит 02-08.02'!X18+'Юнит 09-15.02'!X18+'Юнит 16-22.02'!X18+'Юнит 23-28.02'!X18</f>
        <v>0</v>
      </c>
      <c r="Y18" s="45">
        <f t="shared" ca="1" si="3"/>
        <v>0</v>
      </c>
      <c r="Z18" s="32">
        <f ca="1">'Юнит 01.02'!Z18+'Юнит 02-08.02'!Z18+'Юнит 09-15.02'!Z18+'Юнит 16-22.02'!Z18+'Юнит 23-28.02'!Z18</f>
        <v>0</v>
      </c>
      <c r="AA18" s="32">
        <f>'Юнит 01.02'!AA18+'Юнит 02-08.02'!AA18+'Юнит 09-15.02'!AA18+'Юнит 16-22.02'!AA18+'Юнит 23-28.02'!AA18</f>
        <v>0</v>
      </c>
      <c r="AB18" s="55"/>
      <c r="AC18" s="42"/>
      <c r="AD18" s="46">
        <f t="shared" ca="1" si="16"/>
        <v>0</v>
      </c>
      <c r="AE18" s="47">
        <f t="shared" ca="1" si="17"/>
        <v>0</v>
      </c>
      <c r="AF18" s="46"/>
      <c r="AG18" s="48">
        <f t="shared" ca="1" si="4"/>
        <v>0</v>
      </c>
      <c r="AH18" s="49">
        <f t="shared" si="5"/>
        <v>909.22</v>
      </c>
      <c r="AI18" s="49">
        <f t="shared" ca="1" si="6"/>
        <v>0</v>
      </c>
      <c r="AJ18" s="49">
        <f t="shared" ca="1" si="7"/>
        <v>0</v>
      </c>
      <c r="AK18" s="49">
        <f t="shared" ca="1" si="8"/>
        <v>0</v>
      </c>
      <c r="AL18" s="49">
        <f t="array" aca="1" ref="AL18" ca="1">_xlfn.IFS(R18=0,AE18,R18&lt;0,AE18/-R18,R18&gt;0,AE18/R18)</f>
        <v>0</v>
      </c>
      <c r="AM18" s="50">
        <f t="shared" ca="1" si="9"/>
        <v>0</v>
      </c>
      <c r="AN18" s="51">
        <f t="shared" ca="1" si="10"/>
        <v>0</v>
      </c>
      <c r="AP18" s="53">
        <f t="shared" ca="1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18"/>
        <v>0</v>
      </c>
      <c r="J19" s="36"/>
      <c r="K19" s="32">
        <f>'Юнит 01.02'!K19+'Юнит 02-08.02'!K19+'Юнит 09-15.02'!K19+'Юнит 16-22.02'!K19+'Юнит 23-28.02'!K19</f>
        <v>1</v>
      </c>
      <c r="L19" s="36"/>
      <c r="M19" s="36"/>
      <c r="N19" s="37">
        <f t="shared" si="12"/>
        <v>3.5714285714285712E-2</v>
      </c>
      <c r="O19" s="38">
        <f t="shared" ca="1" si="13"/>
        <v>0</v>
      </c>
      <c r="P19" s="32">
        <f ca="1">'Юнит 01.02'!P19+'Юнит 02-08.02'!P19+'Юнит 09-15.02'!P19+'Юнит 16-22.02'!P19+'Юнит 23-28.02'!P19</f>
        <v>0</v>
      </c>
      <c r="Q19" s="32">
        <f ca="1">'Юнит 01.02'!Q19+'Юнит 02-08.02'!Q19+'Юнит 09-15.02'!Q19+'Юнит 16-22.02'!Q19+'Юнит 23-28.02'!Q19</f>
        <v>0</v>
      </c>
      <c r="R19" s="40">
        <f t="shared" ca="1" si="14"/>
        <v>0</v>
      </c>
      <c r="S19" s="32">
        <f ca="1">'Юнит 01.02'!S19+'Юнит 02-08.02'!S19+'Юнит 09-15.02'!S19+'Юнит 16-22.02'!S19+'Юнит 23-28.02'!S19</f>
        <v>0</v>
      </c>
      <c r="T19" s="32">
        <f ca="1">'Юнит 01.02'!T19+'Юнит 02-08.02'!T19+'Юнит 09-15.02'!T19+'Юнит 16-22.02'!T19+'Юнит 23-28.02'!T19</f>
        <v>0</v>
      </c>
      <c r="U19" s="40">
        <f t="shared" ca="1" si="1"/>
        <v>0</v>
      </c>
      <c r="V19" s="43">
        <f t="shared" ca="1" si="15"/>
        <v>0</v>
      </c>
      <c r="W19" s="44">
        <f t="shared" ca="1" si="2"/>
        <v>0</v>
      </c>
      <c r="X19" s="32">
        <f ca="1">'Юнит 01.02'!X19+'Юнит 02-08.02'!X19+'Юнит 09-15.02'!X19+'Юнит 16-22.02'!X19+'Юнит 23-28.02'!X19</f>
        <v>0</v>
      </c>
      <c r="Y19" s="45">
        <f t="shared" ca="1" si="3"/>
        <v>0</v>
      </c>
      <c r="Z19" s="32">
        <f ca="1">'Юнит 01.02'!Z19+'Юнит 02-08.02'!Z19+'Юнит 09-15.02'!Z19+'Юнит 16-22.02'!Z19+'Юнит 23-28.02'!Z19</f>
        <v>113.88</v>
      </c>
      <c r="AA19" s="32">
        <f>'Юнит 01.02'!AA19+'Юнит 02-08.02'!AA19+'Юнит 09-15.02'!AA19+'Юнит 16-22.02'!AA19+'Юнит 23-28.02'!AA19</f>
        <v>0</v>
      </c>
      <c r="AB19" s="55"/>
      <c r="AC19" s="42"/>
      <c r="AD19" s="46">
        <f t="shared" ca="1" si="16"/>
        <v>0</v>
      </c>
      <c r="AE19" s="47">
        <f t="shared" ca="1" si="17"/>
        <v>-113.88</v>
      </c>
      <c r="AF19" s="46"/>
      <c r="AG19" s="48">
        <f t="shared" ca="1" si="4"/>
        <v>0</v>
      </c>
      <c r="AH19" s="49">
        <f t="shared" si="5"/>
        <v>909.22</v>
      </c>
      <c r="AI19" s="49">
        <f t="shared" ca="1" si="6"/>
        <v>0</v>
      </c>
      <c r="AJ19" s="49">
        <f t="shared" ca="1" si="7"/>
        <v>113.88</v>
      </c>
      <c r="AK19" s="49">
        <f t="shared" ca="1" si="8"/>
        <v>0</v>
      </c>
      <c r="AL19" s="49">
        <f t="array" aca="1" ref="AL19" ca="1">_xlfn.IFS(R19=0,AE19,R19&lt;0,AE19/-R19,R19&gt;0,AE19/R19)</f>
        <v>-113.88</v>
      </c>
      <c r="AM19" s="50">
        <f t="shared" ca="1" si="9"/>
        <v>0</v>
      </c>
      <c r="AN19" s="51">
        <f t="shared" ca="1" si="10"/>
        <v>-0.12525021446954532</v>
      </c>
      <c r="AP19" s="53">
        <f t="shared" ca="1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18"/>
        <v>0</v>
      </c>
      <c r="J20" s="36"/>
      <c r="K20" s="32">
        <f>'Юнит 01.02'!K20+'Юнит 02-08.02'!K20+'Юнит 09-15.02'!K20+'Юнит 16-22.02'!K20+'Юнит 23-28.02'!K20</f>
        <v>0</v>
      </c>
      <c r="L20" s="36"/>
      <c r="M20" s="36"/>
      <c r="N20" s="37">
        <f t="shared" si="12"/>
        <v>0</v>
      </c>
      <c r="O20" s="38">
        <f t="shared" ca="1" si="13"/>
        <v>0</v>
      </c>
      <c r="P20" s="32">
        <f ca="1">'Юнит 01.02'!P20+'Юнит 02-08.02'!P20+'Юнит 09-15.02'!P20+'Юнит 16-22.02'!P20+'Юнит 23-28.02'!P20</f>
        <v>1</v>
      </c>
      <c r="Q20" s="32">
        <f ca="1">'Юнит 01.02'!Q20+'Юнит 02-08.02'!Q20+'Юнит 09-15.02'!Q20+'Юнит 16-22.02'!Q20+'Юнит 23-28.02'!Q20</f>
        <v>1</v>
      </c>
      <c r="R20" s="40">
        <f t="shared" ca="1" si="14"/>
        <v>0</v>
      </c>
      <c r="S20" s="32">
        <f ca="1">'Юнит 01.02'!S20+'Юнит 02-08.02'!S20+'Юнит 09-15.02'!S20+'Юнит 16-22.02'!S20+'Юнит 23-28.02'!S20</f>
        <v>3185</v>
      </c>
      <c r="T20" s="32">
        <f ca="1">'Юнит 01.02'!T20+'Юнит 02-08.02'!T20+'Юнит 09-15.02'!T20+'Юнит 16-22.02'!T20+'Юнит 23-28.02'!T20</f>
        <v>-3185</v>
      </c>
      <c r="U20" s="40">
        <f t="shared" ca="1" si="1"/>
        <v>0</v>
      </c>
      <c r="V20" s="43">
        <f t="shared" ca="1" si="15"/>
        <v>0</v>
      </c>
      <c r="W20" s="44">
        <f t="shared" ca="1" si="2"/>
        <v>0</v>
      </c>
      <c r="X20" s="32">
        <f ca="1">'Юнит 01.02'!X20+'Юнит 02-08.02'!X20+'Юнит 09-15.02'!X20+'Юнит 16-22.02'!X20+'Юнит 23-28.02'!X20</f>
        <v>0</v>
      </c>
      <c r="Y20" s="45">
        <f t="shared" ca="1" si="3"/>
        <v>0</v>
      </c>
      <c r="Z20" s="32">
        <f ca="1">'Юнит 01.02'!Z20+'Юнит 02-08.02'!Z20+'Юнит 09-15.02'!Z20+'Юнит 16-22.02'!Z20+'Юнит 23-28.02'!Z20</f>
        <v>278.18</v>
      </c>
      <c r="AA20" s="32">
        <f>'Юнит 01.02'!AA20+'Юнит 02-08.02'!AA20+'Юнит 09-15.02'!AA20+'Юнит 16-22.02'!AA20+'Юнит 23-28.02'!AA20</f>
        <v>0</v>
      </c>
      <c r="AB20" s="55"/>
      <c r="AC20" s="42"/>
      <c r="AD20" s="46">
        <f t="shared" ca="1" si="16"/>
        <v>0</v>
      </c>
      <c r="AE20" s="47">
        <f t="shared" ca="1" si="17"/>
        <v>-278.18</v>
      </c>
      <c r="AF20" s="46"/>
      <c r="AG20" s="48">
        <f t="shared" ca="1" si="4"/>
        <v>0</v>
      </c>
      <c r="AH20" s="49">
        <f t="shared" si="5"/>
        <v>932.62</v>
      </c>
      <c r="AI20" s="49">
        <f t="shared" ca="1" si="6"/>
        <v>0</v>
      </c>
      <c r="AJ20" s="49">
        <f t="shared" ca="1" si="7"/>
        <v>278.18</v>
      </c>
      <c r="AK20" s="49">
        <f t="shared" ca="1" si="8"/>
        <v>0</v>
      </c>
      <c r="AL20" s="49">
        <f t="array" aca="1" ref="AL20" ca="1">_xlfn.IFS(R20=0,AE20,R20&lt;0,AE20/-R20,R20&gt;0,AE20/R20)</f>
        <v>-278.18</v>
      </c>
      <c r="AM20" s="50">
        <f t="shared" ca="1" si="9"/>
        <v>0</v>
      </c>
      <c r="AN20" s="51">
        <f t="shared" ca="1" si="10"/>
        <v>-0.29827796959104458</v>
      </c>
      <c r="AP20" s="53">
        <f t="shared" ca="1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18"/>
        <v>0</v>
      </c>
      <c r="J21" s="36"/>
      <c r="K21" s="32">
        <f>'Юнит 01.02'!K21+'Юнит 02-08.02'!K21+'Юнит 09-15.02'!K21+'Юнит 16-22.02'!K21+'Юнит 23-28.02'!K21</f>
        <v>0</v>
      </c>
      <c r="L21" s="36"/>
      <c r="M21" s="36"/>
      <c r="N21" s="37">
        <f t="shared" si="12"/>
        <v>0</v>
      </c>
      <c r="O21" s="38">
        <f t="shared" ca="1" si="13"/>
        <v>0</v>
      </c>
      <c r="P21" s="32">
        <f ca="1">'Юнит 01.02'!P21+'Юнит 02-08.02'!P21+'Юнит 09-15.02'!P21+'Юнит 16-22.02'!P21+'Юнит 23-28.02'!P21</f>
        <v>0</v>
      </c>
      <c r="Q21" s="32">
        <f ca="1">'Юнит 01.02'!Q21+'Юнит 02-08.02'!Q21+'Юнит 09-15.02'!Q21+'Юнит 16-22.02'!Q21+'Юнит 23-28.02'!Q21</f>
        <v>0</v>
      </c>
      <c r="R21" s="40">
        <f t="shared" ca="1" si="14"/>
        <v>0</v>
      </c>
      <c r="S21" s="32">
        <f ca="1">'Юнит 01.02'!S21+'Юнит 02-08.02'!S21+'Юнит 09-15.02'!S21+'Юнит 16-22.02'!S21+'Юнит 23-28.02'!S21</f>
        <v>0</v>
      </c>
      <c r="T21" s="32">
        <f ca="1">'Юнит 01.02'!T21+'Юнит 02-08.02'!T21+'Юнит 09-15.02'!T21+'Юнит 16-22.02'!T21+'Юнит 23-28.02'!T21</f>
        <v>0</v>
      </c>
      <c r="U21" s="40">
        <f t="shared" ca="1" si="1"/>
        <v>0</v>
      </c>
      <c r="V21" s="43">
        <f t="shared" ca="1" si="15"/>
        <v>0</v>
      </c>
      <c r="W21" s="44">
        <f t="shared" ca="1" si="2"/>
        <v>0</v>
      </c>
      <c r="X21" s="32">
        <f ca="1">'Юнит 01.02'!X21+'Юнит 02-08.02'!X21+'Юнит 09-15.02'!X21+'Юнит 16-22.02'!X21+'Юнит 23-28.02'!X21</f>
        <v>0</v>
      </c>
      <c r="Y21" s="45">
        <f t="shared" ca="1" si="3"/>
        <v>0</v>
      </c>
      <c r="Z21" s="32">
        <f ca="1">'Юнит 01.02'!Z21+'Юнит 02-08.02'!Z21+'Юнит 09-15.02'!Z21+'Юнит 16-22.02'!Z21+'Юнит 23-28.02'!Z21</f>
        <v>0</v>
      </c>
      <c r="AA21" s="32">
        <f>'Юнит 01.02'!AA21+'Юнит 02-08.02'!AA21+'Юнит 09-15.02'!AA21+'Юнит 16-22.02'!AA21+'Юнит 23-28.02'!AA21</f>
        <v>0</v>
      </c>
      <c r="AB21" s="55"/>
      <c r="AC21" s="42"/>
      <c r="AD21" s="46">
        <f t="shared" ca="1" si="16"/>
        <v>0</v>
      </c>
      <c r="AE21" s="47">
        <f t="shared" ca="1" si="17"/>
        <v>0</v>
      </c>
      <c r="AF21" s="46"/>
      <c r="AG21" s="48">
        <f t="shared" ca="1" si="4"/>
        <v>0</v>
      </c>
      <c r="AH21" s="49">
        <f t="shared" si="5"/>
        <v>1014.52</v>
      </c>
      <c r="AI21" s="49">
        <f t="shared" ca="1" si="6"/>
        <v>0</v>
      </c>
      <c r="AJ21" s="49">
        <f t="shared" ca="1" si="7"/>
        <v>0</v>
      </c>
      <c r="AK21" s="49">
        <f t="shared" ca="1" si="8"/>
        <v>0</v>
      </c>
      <c r="AL21" s="49">
        <f t="array" aca="1" ref="AL21" ca="1">_xlfn.IFS(R21=0,AE21,R21&lt;0,AE21/-R21,R21&gt;0,AE21/R21)</f>
        <v>0</v>
      </c>
      <c r="AM21" s="50">
        <f t="shared" ca="1" si="9"/>
        <v>0</v>
      </c>
      <c r="AN21" s="51">
        <f t="shared" ca="1" si="10"/>
        <v>0</v>
      </c>
      <c r="AP21" s="53">
        <f t="shared" ca="1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18"/>
        <v>0</v>
      </c>
      <c r="J22" s="36"/>
      <c r="K22" s="32">
        <f>'Юнит 01.02'!K22+'Юнит 02-08.02'!K22+'Юнит 09-15.02'!K22+'Юнит 16-22.02'!K22+'Юнит 23-28.02'!K22</f>
        <v>0</v>
      </c>
      <c r="L22" s="36"/>
      <c r="M22" s="36"/>
      <c r="N22" s="37">
        <f t="shared" si="12"/>
        <v>0</v>
      </c>
      <c r="O22" s="38">
        <f t="shared" ca="1" si="13"/>
        <v>0</v>
      </c>
      <c r="P22" s="32">
        <f ca="1">'Юнит 01.02'!P22+'Юнит 02-08.02'!P22+'Юнит 09-15.02'!P22+'Юнит 16-22.02'!P22+'Юнит 23-28.02'!P22</f>
        <v>0</v>
      </c>
      <c r="Q22" s="32">
        <f ca="1">'Юнит 01.02'!Q22+'Юнит 02-08.02'!Q22+'Юнит 09-15.02'!Q22+'Юнит 16-22.02'!Q22+'Юнит 23-28.02'!Q22</f>
        <v>0</v>
      </c>
      <c r="R22" s="40">
        <f t="shared" ca="1" si="14"/>
        <v>0</v>
      </c>
      <c r="S22" s="32">
        <f ca="1">'Юнит 01.02'!S22+'Юнит 02-08.02'!S22+'Юнит 09-15.02'!S22+'Юнит 16-22.02'!S22+'Юнит 23-28.02'!S22</f>
        <v>0</v>
      </c>
      <c r="T22" s="32">
        <f ca="1">'Юнит 01.02'!T22+'Юнит 02-08.02'!T22+'Юнит 09-15.02'!T22+'Юнит 16-22.02'!T22+'Юнит 23-28.02'!T22</f>
        <v>0</v>
      </c>
      <c r="U22" s="40">
        <f t="shared" ca="1" si="1"/>
        <v>0</v>
      </c>
      <c r="V22" s="43">
        <f t="shared" ca="1" si="15"/>
        <v>0</v>
      </c>
      <c r="W22" s="44">
        <f t="shared" ca="1" si="2"/>
        <v>0</v>
      </c>
      <c r="X22" s="32">
        <f ca="1">'Юнит 01.02'!X22+'Юнит 02-08.02'!X22+'Юнит 09-15.02'!X22+'Юнит 16-22.02'!X22+'Юнит 23-28.02'!X22</f>
        <v>0</v>
      </c>
      <c r="Y22" s="45">
        <f t="shared" ca="1" si="3"/>
        <v>0</v>
      </c>
      <c r="Z22" s="32">
        <f ca="1">'Юнит 01.02'!Z22+'Юнит 02-08.02'!Z22+'Юнит 09-15.02'!Z22+'Юнит 16-22.02'!Z22+'Юнит 23-28.02'!Z22</f>
        <v>0</v>
      </c>
      <c r="AA22" s="32">
        <f>'Юнит 01.02'!AA22+'Юнит 02-08.02'!AA22+'Юнит 09-15.02'!AA22+'Юнит 16-22.02'!AA22+'Юнит 23-28.02'!AA22</f>
        <v>0</v>
      </c>
      <c r="AB22" s="55"/>
      <c r="AC22" s="42"/>
      <c r="AD22" s="46">
        <f t="shared" ca="1" si="16"/>
        <v>0</v>
      </c>
      <c r="AE22" s="47">
        <f t="shared" ca="1" si="17"/>
        <v>0</v>
      </c>
      <c r="AF22" s="46"/>
      <c r="AG22" s="48">
        <f t="shared" ca="1" si="4"/>
        <v>0</v>
      </c>
      <c r="AH22" s="49">
        <f t="shared" si="5"/>
        <v>1014.52</v>
      </c>
      <c r="AI22" s="49">
        <f t="shared" ca="1" si="6"/>
        <v>0</v>
      </c>
      <c r="AJ22" s="49">
        <f t="shared" ca="1" si="7"/>
        <v>0</v>
      </c>
      <c r="AK22" s="49">
        <f t="shared" ca="1" si="8"/>
        <v>0</v>
      </c>
      <c r="AL22" s="49">
        <f t="array" aca="1" ref="AL22" ca="1">_xlfn.IFS(R22=0,AE22,R22&lt;0,AE22/-R22,R22&gt;0,AE22/R22)</f>
        <v>0</v>
      </c>
      <c r="AM22" s="50">
        <f t="shared" ca="1" si="9"/>
        <v>0</v>
      </c>
      <c r="AN22" s="51">
        <f t="shared" ca="1" si="10"/>
        <v>0</v>
      </c>
      <c r="AP22" s="53">
        <f t="shared" ca="1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18"/>
        <v>0</v>
      </c>
      <c r="J23" s="36"/>
      <c r="K23" s="32">
        <f>'Юнит 01.02'!K23+'Юнит 02-08.02'!K23+'Юнит 09-15.02'!K23+'Юнит 16-22.02'!K23+'Юнит 23-28.02'!K23</f>
        <v>0</v>
      </c>
      <c r="L23" s="36"/>
      <c r="M23" s="36"/>
      <c r="N23" s="37">
        <f t="shared" si="12"/>
        <v>0</v>
      </c>
      <c r="O23" s="38">
        <f t="shared" ca="1" si="13"/>
        <v>0</v>
      </c>
      <c r="P23" s="32">
        <f ca="1">'Юнит 01.02'!P23+'Юнит 02-08.02'!P23+'Юнит 09-15.02'!P23+'Юнит 16-22.02'!P23+'Юнит 23-28.02'!P23</f>
        <v>0</v>
      </c>
      <c r="Q23" s="32">
        <f ca="1">'Юнит 01.02'!Q23+'Юнит 02-08.02'!Q23+'Юнит 09-15.02'!Q23+'Юнит 16-22.02'!Q23+'Юнит 23-28.02'!Q23</f>
        <v>0</v>
      </c>
      <c r="R23" s="40">
        <f t="shared" ca="1" si="14"/>
        <v>0</v>
      </c>
      <c r="S23" s="32">
        <f ca="1">'Юнит 01.02'!S23+'Юнит 02-08.02'!S23+'Юнит 09-15.02'!S23+'Юнит 16-22.02'!S23+'Юнит 23-28.02'!S23</f>
        <v>0</v>
      </c>
      <c r="T23" s="32">
        <f ca="1">'Юнит 01.02'!T23+'Юнит 02-08.02'!T23+'Юнит 09-15.02'!T23+'Юнит 16-22.02'!T23+'Юнит 23-28.02'!T23</f>
        <v>0</v>
      </c>
      <c r="U23" s="40">
        <f t="shared" ca="1" si="1"/>
        <v>0</v>
      </c>
      <c r="V23" s="43">
        <f t="shared" ca="1" si="15"/>
        <v>0</v>
      </c>
      <c r="W23" s="44">
        <f t="shared" ca="1" si="2"/>
        <v>0</v>
      </c>
      <c r="X23" s="32">
        <f ca="1">'Юнит 01.02'!X23+'Юнит 02-08.02'!X23+'Юнит 09-15.02'!X23+'Юнит 16-22.02'!X23+'Юнит 23-28.02'!X23</f>
        <v>0</v>
      </c>
      <c r="Y23" s="45">
        <f t="shared" ca="1" si="3"/>
        <v>0</v>
      </c>
      <c r="Z23" s="32">
        <f ca="1">'Юнит 01.02'!Z23+'Юнит 02-08.02'!Z23+'Юнит 09-15.02'!Z23+'Юнит 16-22.02'!Z23+'Юнит 23-28.02'!Z23</f>
        <v>0</v>
      </c>
      <c r="AA23" s="32">
        <f>'Юнит 01.02'!AA23+'Юнит 02-08.02'!AA23+'Юнит 09-15.02'!AA23+'Юнит 16-22.02'!AA23+'Юнит 23-28.02'!AA23</f>
        <v>0</v>
      </c>
      <c r="AB23" s="55"/>
      <c r="AC23" s="42"/>
      <c r="AD23" s="46">
        <f t="shared" ca="1" si="16"/>
        <v>0</v>
      </c>
      <c r="AE23" s="47">
        <f t="shared" ca="1" si="17"/>
        <v>0</v>
      </c>
      <c r="AF23" s="46"/>
      <c r="AG23" s="48">
        <f t="shared" ca="1" si="4"/>
        <v>0</v>
      </c>
      <c r="AH23" s="49">
        <f t="shared" si="5"/>
        <v>1014.52</v>
      </c>
      <c r="AI23" s="49">
        <f t="shared" ca="1" si="6"/>
        <v>0</v>
      </c>
      <c r="AJ23" s="49">
        <f t="shared" ca="1" si="7"/>
        <v>0</v>
      </c>
      <c r="AK23" s="49">
        <f t="shared" ca="1" si="8"/>
        <v>0</v>
      </c>
      <c r="AL23" s="49">
        <f t="array" aca="1" ref="AL23" ca="1">_xlfn.IFS(R23=0,AE23,R23&lt;0,AE23/-R23,R23&gt;0,AE23/R23)</f>
        <v>0</v>
      </c>
      <c r="AM23" s="50">
        <f t="shared" ca="1" si="9"/>
        <v>0</v>
      </c>
      <c r="AN23" s="51">
        <f t="shared" ca="1" si="10"/>
        <v>0</v>
      </c>
      <c r="AP23" s="53">
        <f t="shared" ca="1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18"/>
        <v>0</v>
      </c>
      <c r="J24" s="36"/>
      <c r="K24" s="32">
        <f>'Юнит 01.02'!K24+'Юнит 02-08.02'!K24+'Юнит 09-15.02'!K24+'Юнит 16-22.02'!K24+'Юнит 23-28.02'!K24</f>
        <v>0</v>
      </c>
      <c r="L24" s="36"/>
      <c r="M24" s="36"/>
      <c r="N24" s="37">
        <f t="shared" si="12"/>
        <v>0</v>
      </c>
      <c r="O24" s="38">
        <f t="shared" ca="1" si="13"/>
        <v>0</v>
      </c>
      <c r="P24" s="32">
        <f ca="1">'Юнит 01.02'!P24+'Юнит 02-08.02'!P24+'Юнит 09-15.02'!P24+'Юнит 16-22.02'!P24+'Юнит 23-28.02'!P24</f>
        <v>0</v>
      </c>
      <c r="Q24" s="32">
        <f ca="1">'Юнит 01.02'!Q24+'Юнит 02-08.02'!Q24+'Юнит 09-15.02'!Q24+'Юнит 16-22.02'!Q24+'Юнит 23-28.02'!Q24</f>
        <v>0</v>
      </c>
      <c r="R24" s="40">
        <f t="shared" ca="1" si="14"/>
        <v>0</v>
      </c>
      <c r="S24" s="32">
        <f ca="1">'Юнит 01.02'!S24+'Юнит 02-08.02'!S24+'Юнит 09-15.02'!S24+'Юнит 16-22.02'!S24+'Юнит 23-28.02'!S24</f>
        <v>0</v>
      </c>
      <c r="T24" s="32">
        <f ca="1">'Юнит 01.02'!T24+'Юнит 02-08.02'!T24+'Юнит 09-15.02'!T24+'Юнит 16-22.02'!T24+'Юнит 23-28.02'!T24</f>
        <v>0</v>
      </c>
      <c r="U24" s="40">
        <f t="shared" ca="1" si="1"/>
        <v>0</v>
      </c>
      <c r="V24" s="43">
        <f t="shared" ca="1" si="15"/>
        <v>0</v>
      </c>
      <c r="W24" s="44">
        <f t="shared" ca="1" si="2"/>
        <v>0</v>
      </c>
      <c r="X24" s="32">
        <f ca="1">'Юнит 01.02'!X24+'Юнит 02-08.02'!X24+'Юнит 09-15.02'!X24+'Юнит 16-22.02'!X24+'Юнит 23-28.02'!X24</f>
        <v>0</v>
      </c>
      <c r="Y24" s="45">
        <f t="shared" ca="1" si="3"/>
        <v>0</v>
      </c>
      <c r="Z24" s="32">
        <f ca="1">'Юнит 01.02'!Z24+'Юнит 02-08.02'!Z24+'Юнит 09-15.02'!Z24+'Юнит 16-22.02'!Z24+'Юнит 23-28.02'!Z24</f>
        <v>0</v>
      </c>
      <c r="AA24" s="32">
        <f>'Юнит 01.02'!AA24+'Юнит 02-08.02'!AA24+'Юнит 09-15.02'!AA24+'Юнит 16-22.02'!AA24+'Юнит 23-28.02'!AA24</f>
        <v>0</v>
      </c>
      <c r="AB24" s="55"/>
      <c r="AC24" s="42"/>
      <c r="AD24" s="46">
        <f ca="1">U24*1%/$AE$1</f>
        <v>0</v>
      </c>
      <c r="AE24" s="47">
        <f t="shared" ca="1" si="17"/>
        <v>0</v>
      </c>
      <c r="AF24" s="46"/>
      <c r="AG24" s="48">
        <f t="shared" ca="1" si="4"/>
        <v>0</v>
      </c>
      <c r="AH24" s="49">
        <f t="shared" si="5"/>
        <v>991.12</v>
      </c>
      <c r="AI24" s="49">
        <f t="shared" ca="1" si="6"/>
        <v>0</v>
      </c>
      <c r="AJ24" s="49">
        <f t="shared" ca="1" si="7"/>
        <v>0</v>
      </c>
      <c r="AK24" s="49">
        <f t="shared" ca="1" si="8"/>
        <v>0</v>
      </c>
      <c r="AL24" s="49">
        <f t="array" aca="1" ref="AL24" ca="1">_xlfn.IFS(R24=0,AE24,R24&lt;0,AE24/-R24,R24&gt;0,AE24/R24)</f>
        <v>0</v>
      </c>
      <c r="AM24" s="50">
        <f t="shared" ca="1" si="9"/>
        <v>0</v>
      </c>
      <c r="AN24" s="51">
        <f t="shared" ca="1" si="10"/>
        <v>0</v>
      </c>
      <c r="AP24" s="53">
        <f t="shared" ca="1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ca="1" si="19">AVERAGEIF(AG3:AG24,"&lt;&gt;0",AG3:AG24)</f>
        <v>1826.3039789928946</v>
      </c>
      <c r="AH25" s="58">
        <f t="shared" si="19"/>
        <v>447.87636363636369</v>
      </c>
      <c r="AI25" s="58">
        <f t="shared" ca="1" si="19"/>
        <v>785.31071096694473</v>
      </c>
      <c r="AJ25" s="58">
        <f t="shared" ca="1" si="19"/>
        <v>208.76743686001501</v>
      </c>
      <c r="AK25" s="58">
        <f t="shared" ca="1" si="19"/>
        <v>566.51354684736202</v>
      </c>
      <c r="AL25" s="58">
        <f t="shared" ca="1" si="19"/>
        <v>-102.73313045427689</v>
      </c>
      <c r="AM25" s="59">
        <f t="shared" ca="1" si="19"/>
        <v>0.10987107733776451</v>
      </c>
      <c r="AN25" s="59">
        <f t="shared" ca="1" si="19"/>
        <v>-0.51856991496511629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271</v>
      </c>
      <c r="L26" s="67"/>
      <c r="M26" s="67"/>
      <c r="N26" s="68"/>
      <c r="O26" s="69"/>
      <c r="P26" s="64">
        <f ca="1">SUM(P3:P24)</f>
        <v>133</v>
      </c>
      <c r="Q26" s="64">
        <f ca="1">SUM(Q3:Q24)</f>
        <v>8</v>
      </c>
      <c r="R26" s="64">
        <f t="shared" ref="R26:AD26" ca="1" si="20">SUM(R3:R24)</f>
        <v>125</v>
      </c>
      <c r="S26" s="64">
        <f ca="1">SUM(S3:S24)</f>
        <v>258443</v>
      </c>
      <c r="T26" s="64">
        <f ca="1">SUM(T3:T24)</f>
        <v>-15719</v>
      </c>
      <c r="U26" s="64">
        <f t="shared" ca="1" si="20"/>
        <v>242724</v>
      </c>
      <c r="V26" s="71">
        <f t="shared" ca="1" si="20"/>
        <v>0.52848116424188851</v>
      </c>
      <c r="W26" s="64">
        <f t="shared" ca="1" si="20"/>
        <v>17521.589999999997</v>
      </c>
      <c r="X26" s="64">
        <f ca="1">SUM(X3:X24)</f>
        <v>104371.32</v>
      </c>
      <c r="Y26" s="72">
        <f ca="1">IF(U26=0,0,X26/U26)</f>
        <v>0.43000000000000005</v>
      </c>
      <c r="Z26" s="64">
        <f ca="1">SUM(Z3:Z24)</f>
        <v>29137.550000000039</v>
      </c>
      <c r="AA26" s="64">
        <f>SUM(AA3:AA24)</f>
        <v>57133.968755999995</v>
      </c>
      <c r="AB26" s="64">
        <f t="shared" si="20"/>
        <v>0</v>
      </c>
      <c r="AC26" s="64">
        <f t="shared" si="20"/>
        <v>0</v>
      </c>
      <c r="AD26" s="73">
        <f t="shared" ca="1" si="20"/>
        <v>1077.2929988721626</v>
      </c>
      <c r="AE26" s="74">
        <f ca="1">SUM(AE3:AE24)</f>
        <v>33482.278245127818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 ca="1"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32">
        <f>'Юнит 01.02'!AA27+'Юнит 02-08.02'!AA27+'Юнит 09-15.02'!AA27+'Юнит 16-22.02'!AA27+'Юнит 23-28.02'!AA27</f>
        <v>57133.968756000002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01.02'!K28+'Юнит 02-08.02'!K28+'Юнит 09-15.02'!K28+'Юнит 16-22.02'!K28+'Юнит 23-28.02'!K28</f>
        <v>0</v>
      </c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2">
        <f ca="1">'Юнит 01.02'!P28+'Юнит 02-08.02'!P28+'Юнит 09-15.02'!P28+'Юнит 16-22.02'!P28+'Юнит 23-28.02'!P28</f>
        <v>0</v>
      </c>
      <c r="Q28" s="32">
        <f ca="1">'Юнит 01.02'!Q28+'Юнит 02-08.02'!Q28+'Юнит 09-15.02'!Q28+'Юнит 16-22.02'!Q28+'Юнит 23-28.02'!Q28</f>
        <v>0</v>
      </c>
      <c r="R28" s="40">
        <f ca="1">P28-Q28</f>
        <v>0</v>
      </c>
      <c r="S28" s="32">
        <f ca="1">'Юнит 01.02'!S28+'Юнит 02-08.02'!S28+'Юнит 09-15.02'!S28+'Юнит 16-22.02'!S28+'Юнит 23-28.02'!S28</f>
        <v>0</v>
      </c>
      <c r="T28" s="32">
        <f ca="1">'Юнит 01.02'!T28+'Юнит 02-08.02'!T28+'Юнит 09-15.02'!T28+'Юнит 16-22.02'!T28+'Юнит 23-28.02'!T28</f>
        <v>0</v>
      </c>
      <c r="U28" s="40">
        <f t="shared" ref="U28:U47" ca="1" si="24">S28+T28</f>
        <v>0</v>
      </c>
      <c r="V28" s="43">
        <f t="shared" ref="V28:V47" ca="1" si="25">U28/$U$51</f>
        <v>0</v>
      </c>
      <c r="W28" s="44">
        <f t="shared" ref="W28:W47" ca="1" si="26">R28*H28</f>
        <v>0</v>
      </c>
      <c r="X28" s="32">
        <f ca="1">'Юнит 01.02'!X28+'Юнит 02-08.02'!X28+'Юнит 09-15.02'!X28+'Юнит 16-22.02'!X28+'Юнит 23-28.02'!X28</f>
        <v>0</v>
      </c>
      <c r="Y28" s="45">
        <f t="shared" ref="Y28:Y30" ca="1" si="27">IF(U28=0,0,X28/U28)</f>
        <v>0</v>
      </c>
      <c r="Z28" s="32">
        <f ca="1">'Юнит 01.02'!Z28+'Юнит 02-08.02'!Z28+'Юнит 09-15.02'!Z28+'Юнит 16-22.02'!Z28+'Юнит 23-28.02'!Z28</f>
        <v>113.88</v>
      </c>
      <c r="AA28" s="32">
        <f>'Юнит 01.02'!AA28+'Юнит 02-08.02'!AA28+'Юнит 09-15.02'!AA28+'Юнит 16-22.02'!AA28+'Юнит 23-28.02'!AA28</f>
        <v>427.6</v>
      </c>
      <c r="AB28" s="55"/>
      <c r="AC28" s="42"/>
      <c r="AD28" s="46">
        <f ca="1">U28*1%/$AE$1</f>
        <v>0</v>
      </c>
      <c r="AE28" s="47">
        <f t="shared" ref="AE28:AE46" ca="1" si="28">U28-W28-X28-Z28-AA28-AB28-AC28-AD28</f>
        <v>-541.48</v>
      </c>
      <c r="AF28" s="46"/>
      <c r="AG28" s="48">
        <f t="shared" ref="AG28:AG47" ca="1" si="29">IF(R28=0,0,U28/R28)</f>
        <v>0</v>
      </c>
      <c r="AH28" s="49">
        <f t="shared" ref="AH28:AH47" si="30">H28</f>
        <v>672</v>
      </c>
      <c r="AI28" s="49">
        <f t="shared" ref="AI28:AI47" ca="1" si="31">IF(R28=0,0,X28/R28)</f>
        <v>0</v>
      </c>
      <c r="AJ28" s="49">
        <f t="shared" ref="AJ28:AJ47" ca="1" si="32">IF(P28=0,Z28/1,Z28/P28)</f>
        <v>113.88</v>
      </c>
      <c r="AK28" s="49">
        <f t="shared" ref="AK28:AK47" ca="1" si="33">IF(P28=0,0,AA28/P28)</f>
        <v>0</v>
      </c>
      <c r="AL28" s="49">
        <f t="array" aca="1" ref="AL28" ca="1">_xlfn.IFS(R28=0,AE28,R28&lt;0,AE28/-R28,R28&gt;0,AE28/R28)</f>
        <v>-541.48</v>
      </c>
      <c r="AM28" s="50">
        <f t="shared" ref="AM28:AM47" ca="1" si="34">IF(AG28=0,0,AL28/AG28)</f>
        <v>0</v>
      </c>
      <c r="AN28" s="51">
        <f t="shared" ref="AN28:AN47" ca="1" si="35">IF(AH28=0,0,AL28/AH28)</f>
        <v>-0.8057738095238095</v>
      </c>
      <c r="AP28" s="53">
        <f t="shared" ref="AP28:AP47" ca="1" si="36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01.02'!K29+'Юнит 02-08.02'!K29+'Юнит 09-15.02'!K29+'Юнит 16-22.02'!K29+'Юнит 23-28.02'!K29</f>
        <v>2</v>
      </c>
      <c r="L29" s="36"/>
      <c r="M29" s="36"/>
      <c r="N29" s="37">
        <f t="shared" si="22"/>
        <v>7.1428571428571425E-2</v>
      </c>
      <c r="O29" s="38">
        <f t="shared" ca="1" si="23"/>
        <v>3.5714285714285712E-2</v>
      </c>
      <c r="P29" s="32">
        <f ca="1">'Юнит 01.02'!P29+'Юнит 02-08.02'!P29+'Юнит 09-15.02'!P29+'Юнит 16-22.02'!P29+'Юнит 23-28.02'!P29</f>
        <v>1</v>
      </c>
      <c r="Q29" s="32">
        <f ca="1">'Юнит 01.02'!Q29+'Юнит 02-08.02'!Q29+'Юнит 09-15.02'!Q29+'Юнит 16-22.02'!Q29+'Юнит 23-28.02'!Q29</f>
        <v>0</v>
      </c>
      <c r="R29" s="40">
        <f t="shared" ref="R29:R47" ca="1" si="37">P29-Q29</f>
        <v>1</v>
      </c>
      <c r="S29" s="32">
        <f ca="1">'Юнит 01.02'!S29+'Юнит 02-08.02'!S29+'Юнит 09-15.02'!S29+'Юнит 16-22.02'!S29+'Юнит 23-28.02'!S29</f>
        <v>5000</v>
      </c>
      <c r="T29" s="32">
        <f ca="1">'Юнит 01.02'!T29+'Юнит 02-08.02'!T29+'Юнит 09-15.02'!T29+'Юнит 16-22.02'!T29+'Юнит 23-28.02'!T29</f>
        <v>0</v>
      </c>
      <c r="U29" s="40">
        <f t="shared" ca="1" si="24"/>
        <v>5000</v>
      </c>
      <c r="V29" s="43">
        <f t="shared" ca="1" si="25"/>
        <v>1.0886462901111726E-2</v>
      </c>
      <c r="W29" s="44">
        <f t="shared" ca="1" si="26"/>
        <v>627</v>
      </c>
      <c r="X29" s="32">
        <f ca="1">'Юнит 01.02'!X29+'Юнит 02-08.02'!X29+'Юнит 09-15.02'!X29+'Юнит 16-22.02'!X29+'Юнит 23-28.02'!X29</f>
        <v>2150</v>
      </c>
      <c r="Y29" s="45">
        <f t="shared" ca="1" si="27"/>
        <v>0.43</v>
      </c>
      <c r="Z29" s="32">
        <f ca="1">'Юнит 01.02'!Z29+'Юнит 02-08.02'!Z29+'Юнит 09-15.02'!Z29+'Юнит 16-22.02'!Z29+'Юнит 23-28.02'!Z29</f>
        <v>364.19</v>
      </c>
      <c r="AA29" s="32">
        <f>'Юнит 01.02'!AA29+'Юнит 02-08.02'!AA29+'Юнит 09-15.02'!AA29+'Юнит 16-22.02'!AA29+'Юнит 23-28.02'!AA29</f>
        <v>0</v>
      </c>
      <c r="AB29" s="55"/>
      <c r="AC29" s="42"/>
      <c r="AD29" s="46">
        <f t="shared" ref="AD29:AD47" ca="1" si="38">U29*1%/$AE$1</f>
        <v>22.191728030029221</v>
      </c>
      <c r="AE29" s="47">
        <f t="shared" ca="1" si="28"/>
        <v>1836.6182719699707</v>
      </c>
      <c r="AF29" s="46"/>
      <c r="AG29" s="48">
        <f t="shared" ca="1" si="29"/>
        <v>5000</v>
      </c>
      <c r="AH29" s="49">
        <f t="shared" si="30"/>
        <v>627</v>
      </c>
      <c r="AI29" s="49">
        <f t="shared" ca="1" si="31"/>
        <v>2150</v>
      </c>
      <c r="AJ29" s="49">
        <f t="shared" ca="1" si="32"/>
        <v>364.19</v>
      </c>
      <c r="AK29" s="49">
        <f t="shared" ca="1" si="33"/>
        <v>0</v>
      </c>
      <c r="AL29" s="49">
        <f t="array" aca="1" ref="AL29" ca="1">_xlfn.IFS(R29=0,AE29,R29&lt;0,AE29/-R29,R29&gt;0,AE29/R29)</f>
        <v>1836.6182719699707</v>
      </c>
      <c r="AM29" s="50">
        <f t="shared" ca="1" si="34"/>
        <v>0.36732365439399411</v>
      </c>
      <c r="AN29" s="51">
        <f t="shared" ca="1" si="35"/>
        <v>2.9292157447686935</v>
      </c>
      <c r="AP29" s="53">
        <f t="shared" ca="1" si="36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01.02'!K30+'Юнит 02-08.02'!K30+'Юнит 09-15.02'!K30+'Юнит 16-22.02'!K30+'Юнит 23-28.02'!K30</f>
        <v>2</v>
      </c>
      <c r="L30" s="36"/>
      <c r="M30" s="36"/>
      <c r="N30" s="37">
        <f t="shared" si="22"/>
        <v>7.1428571428571425E-2</v>
      </c>
      <c r="O30" s="38">
        <f t="shared" ca="1" si="23"/>
        <v>0</v>
      </c>
      <c r="P30" s="32">
        <f ca="1">'Юнит 01.02'!P30+'Юнит 02-08.02'!P30+'Юнит 09-15.02'!P30+'Юнит 16-22.02'!P30+'Юнит 23-28.02'!P30</f>
        <v>0</v>
      </c>
      <c r="Q30" s="32">
        <f ca="1">'Юнит 01.02'!Q30+'Юнит 02-08.02'!Q30+'Юнит 09-15.02'!Q30+'Юнит 16-22.02'!Q30+'Юнит 23-28.02'!Q30</f>
        <v>0</v>
      </c>
      <c r="R30" s="40">
        <f t="shared" ca="1" si="37"/>
        <v>0</v>
      </c>
      <c r="S30" s="32">
        <f ca="1">'Юнит 01.02'!S30+'Юнит 02-08.02'!S30+'Юнит 09-15.02'!S30+'Юнит 16-22.02'!S30+'Юнит 23-28.02'!S30</f>
        <v>0</v>
      </c>
      <c r="T30" s="32">
        <f ca="1">'Юнит 01.02'!T30+'Юнит 02-08.02'!T30+'Юнит 09-15.02'!T30+'Юнит 16-22.02'!T30+'Юнит 23-28.02'!T30</f>
        <v>0</v>
      </c>
      <c r="U30" s="40">
        <f t="shared" ca="1" si="24"/>
        <v>0</v>
      </c>
      <c r="V30" s="43">
        <f t="shared" ca="1" si="25"/>
        <v>0</v>
      </c>
      <c r="W30" s="44">
        <f t="shared" ca="1" si="26"/>
        <v>0</v>
      </c>
      <c r="X30" s="32">
        <f ca="1">'Юнит 01.02'!X30+'Юнит 02-08.02'!X30+'Юнит 09-15.02'!X30+'Юнит 16-22.02'!X30+'Юнит 23-28.02'!X30</f>
        <v>0</v>
      </c>
      <c r="Y30" s="45">
        <f t="shared" ca="1" si="27"/>
        <v>0</v>
      </c>
      <c r="Z30" s="32">
        <f ca="1">'Юнит 01.02'!Z30+'Юнит 02-08.02'!Z30+'Юнит 09-15.02'!Z30+'Юнит 16-22.02'!Z30+'Юнит 23-28.02'!Z30</f>
        <v>113.88</v>
      </c>
      <c r="AA30" s="32">
        <f>'Юнит 01.02'!AA30+'Юнит 02-08.02'!AA30+'Юнит 09-15.02'!AA30+'Юнит 16-22.02'!AA30+'Юнит 23-28.02'!AA30</f>
        <v>0</v>
      </c>
      <c r="AB30" s="55"/>
      <c r="AC30" s="42"/>
      <c r="AD30" s="46">
        <f t="shared" ca="1" si="38"/>
        <v>0</v>
      </c>
      <c r="AE30" s="47">
        <f t="shared" ca="1" si="28"/>
        <v>-113.88</v>
      </c>
      <c r="AF30" s="46"/>
      <c r="AG30" s="48">
        <f t="shared" ca="1" si="29"/>
        <v>0</v>
      </c>
      <c r="AH30" s="49">
        <f t="shared" si="30"/>
        <v>627</v>
      </c>
      <c r="AI30" s="49">
        <f t="shared" ca="1" si="31"/>
        <v>0</v>
      </c>
      <c r="AJ30" s="49">
        <f t="shared" ca="1" si="32"/>
        <v>113.88</v>
      </c>
      <c r="AK30" s="49">
        <f t="shared" ca="1" si="33"/>
        <v>0</v>
      </c>
      <c r="AL30" s="49">
        <f t="array" aca="1" ref="AL30" ca="1">_xlfn.IFS(R30=0,AE30,R30&lt;0,AE30/-R30,R30&gt;0,AE30/R30)</f>
        <v>-113.88</v>
      </c>
      <c r="AM30" s="50">
        <f t="shared" ca="1" si="34"/>
        <v>0</v>
      </c>
      <c r="AN30" s="51">
        <f t="shared" ca="1" si="35"/>
        <v>-0.18162679425837319</v>
      </c>
      <c r="AP30" s="53">
        <f t="shared" ca="1" si="36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01.02'!K31+'Юнит 02-08.02'!K31+'Юнит 09-15.02'!K31+'Юнит 16-22.02'!K31+'Юнит 23-28.02'!K31</f>
        <v>3</v>
      </c>
      <c r="L31" s="36"/>
      <c r="M31" s="36"/>
      <c r="N31" s="37">
        <f t="shared" si="22"/>
        <v>0.10714285714285714</v>
      </c>
      <c r="O31" s="38">
        <f t="shared" ca="1" si="23"/>
        <v>3.5714285714285712E-2</v>
      </c>
      <c r="P31" s="32">
        <f ca="1">'Юнит 01.02'!P31+'Юнит 02-08.02'!P31+'Юнит 09-15.02'!P31+'Юнит 16-22.02'!P31+'Юнит 23-28.02'!P31</f>
        <v>1</v>
      </c>
      <c r="Q31" s="32">
        <f ca="1">'Юнит 01.02'!Q31+'Юнит 02-08.02'!Q31+'Юнит 09-15.02'!Q31+'Юнит 16-22.02'!Q31+'Юнит 23-28.02'!Q31</f>
        <v>0</v>
      </c>
      <c r="R31" s="40">
        <f t="shared" ca="1" si="37"/>
        <v>1</v>
      </c>
      <c r="S31" s="32">
        <f ca="1">'Юнит 01.02'!S31+'Юнит 02-08.02'!S31+'Юнит 09-15.02'!S31+'Юнит 16-22.02'!S31+'Юнит 23-28.02'!S31</f>
        <v>4300</v>
      </c>
      <c r="T31" s="32">
        <f ca="1">'Юнит 01.02'!T31+'Юнит 02-08.02'!T31+'Юнит 09-15.02'!T31+'Юнит 16-22.02'!T31+'Юнит 23-28.02'!T31</f>
        <v>0</v>
      </c>
      <c r="U31" s="40">
        <f t="shared" ca="1" si="24"/>
        <v>4300</v>
      </c>
      <c r="V31" s="43">
        <f t="shared" ca="1" si="25"/>
        <v>9.3623580949560841E-3</v>
      </c>
      <c r="W31" s="44">
        <f t="shared" ca="1" si="26"/>
        <v>567</v>
      </c>
      <c r="X31" s="32">
        <f ca="1">'Юнит 01.02'!X31+'Юнит 02-08.02'!X31+'Юнит 09-15.02'!X31+'Юнит 16-22.02'!X31+'Юнит 23-28.02'!X31</f>
        <v>1849</v>
      </c>
      <c r="Y31" s="45">
        <f ca="1">IF(U31=0,0,X31/U31)</f>
        <v>0.43</v>
      </c>
      <c r="Z31" s="32">
        <f ca="1">'Юнит 01.02'!Z31+'Юнит 02-08.02'!Z31+'Юнит 09-15.02'!Z31+'Юнит 16-22.02'!Z31+'Юнит 23-28.02'!Z31</f>
        <v>236.42</v>
      </c>
      <c r="AA31" s="32">
        <f>'Юнит 01.02'!AA31+'Юнит 02-08.02'!AA31+'Юнит 09-15.02'!AA31+'Юнит 16-22.02'!AA31+'Юнит 23-28.02'!AA31</f>
        <v>0</v>
      </c>
      <c r="AB31" s="55"/>
      <c r="AC31" s="42"/>
      <c r="AD31" s="46">
        <f t="shared" ca="1" si="38"/>
        <v>19.084886105825127</v>
      </c>
      <c r="AE31" s="47">
        <f t="shared" ca="1" si="28"/>
        <v>1628.4951138941749</v>
      </c>
      <c r="AF31" s="46"/>
      <c r="AG31" s="48">
        <f t="shared" ca="1" si="29"/>
        <v>4300</v>
      </c>
      <c r="AH31" s="49">
        <f t="shared" si="30"/>
        <v>567</v>
      </c>
      <c r="AI31" s="49">
        <f t="shared" ca="1" si="31"/>
        <v>1849</v>
      </c>
      <c r="AJ31" s="49">
        <f t="shared" ca="1" si="32"/>
        <v>236.42</v>
      </c>
      <c r="AK31" s="49">
        <f t="shared" ca="1" si="33"/>
        <v>0</v>
      </c>
      <c r="AL31" s="49">
        <f t="array" aca="1" ref="AL31" ca="1">_xlfn.IFS(R31=0,AE31,R31&lt;0,AE31/-R31,R31&gt;0,AE31/R31)</f>
        <v>1628.4951138941749</v>
      </c>
      <c r="AM31" s="50">
        <f t="shared" ca="1" si="34"/>
        <v>0.37871979392887789</v>
      </c>
      <c r="AN31" s="51">
        <f t="shared" ca="1" si="35"/>
        <v>2.8721254213301144</v>
      </c>
      <c r="AP31" s="53">
        <f t="shared" ca="1" si="36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01.02'!K32+'Юнит 02-08.02'!K32+'Юнит 09-15.02'!K32+'Юнит 16-22.02'!K32+'Юнит 23-28.02'!K32</f>
        <v>0</v>
      </c>
      <c r="L32" s="36"/>
      <c r="M32" s="36"/>
      <c r="N32" s="37">
        <f t="shared" si="22"/>
        <v>0</v>
      </c>
      <c r="O32" s="38">
        <f t="shared" ca="1" si="23"/>
        <v>0</v>
      </c>
      <c r="P32" s="32">
        <f ca="1">'Юнит 01.02'!P32+'Юнит 02-08.02'!P32+'Юнит 09-15.02'!P32+'Юнит 16-22.02'!P32+'Юнит 23-28.02'!P32</f>
        <v>0</v>
      </c>
      <c r="Q32" s="32">
        <f ca="1">'Юнит 01.02'!Q32+'Юнит 02-08.02'!Q32+'Юнит 09-15.02'!Q32+'Юнит 16-22.02'!Q32+'Юнит 23-28.02'!Q32</f>
        <v>0</v>
      </c>
      <c r="R32" s="40">
        <f t="shared" ca="1" si="37"/>
        <v>0</v>
      </c>
      <c r="S32" s="32">
        <f ca="1">'Юнит 01.02'!S32+'Юнит 02-08.02'!S32+'Юнит 09-15.02'!S32+'Юнит 16-22.02'!S32+'Юнит 23-28.02'!S32</f>
        <v>0</v>
      </c>
      <c r="T32" s="32">
        <f ca="1">'Юнит 01.02'!T32+'Юнит 02-08.02'!T32+'Юнит 09-15.02'!T32+'Юнит 16-22.02'!T32+'Юнит 23-28.02'!T32</f>
        <v>0</v>
      </c>
      <c r="U32" s="40">
        <f t="shared" ca="1" si="24"/>
        <v>0</v>
      </c>
      <c r="V32" s="43">
        <f t="shared" ca="1" si="25"/>
        <v>0</v>
      </c>
      <c r="W32" s="44">
        <f t="shared" ca="1" si="26"/>
        <v>0</v>
      </c>
      <c r="X32" s="32">
        <f ca="1">'Юнит 01.02'!X32+'Юнит 02-08.02'!X32+'Юнит 09-15.02'!X32+'Юнит 16-22.02'!X32+'Юнит 23-28.02'!X32</f>
        <v>0</v>
      </c>
      <c r="Y32" s="45">
        <f t="shared" ref="Y32:Y47" ca="1" si="39">IF(U32=0,0,X32/U32)</f>
        <v>0</v>
      </c>
      <c r="Z32" s="32">
        <f ca="1">'Юнит 01.02'!Z32+'Юнит 02-08.02'!Z32+'Юнит 09-15.02'!Z32+'Юнит 16-22.02'!Z32+'Юнит 23-28.02'!Z32</f>
        <v>0</v>
      </c>
      <c r="AA32" s="32">
        <f>'Юнит 01.02'!AA32+'Юнит 02-08.02'!AA32+'Юнит 09-15.02'!AA32+'Юнит 16-22.02'!AA32+'Юнит 23-28.02'!AA32</f>
        <v>0</v>
      </c>
      <c r="AB32" s="55"/>
      <c r="AC32" s="42"/>
      <c r="AD32" s="46">
        <f t="shared" ca="1" si="38"/>
        <v>0</v>
      </c>
      <c r="AE32" s="47">
        <f t="shared" ca="1" si="28"/>
        <v>0</v>
      </c>
      <c r="AF32" s="46"/>
      <c r="AG32" s="48">
        <f t="shared" ca="1" si="29"/>
        <v>0</v>
      </c>
      <c r="AH32" s="49">
        <f t="shared" si="30"/>
        <v>567</v>
      </c>
      <c r="AI32" s="49">
        <f t="shared" ca="1" si="31"/>
        <v>0</v>
      </c>
      <c r="AJ32" s="49">
        <f t="shared" ca="1" si="32"/>
        <v>0</v>
      </c>
      <c r="AK32" s="49">
        <f t="shared" ca="1" si="33"/>
        <v>0</v>
      </c>
      <c r="AL32" s="49">
        <f t="array" aca="1" ref="AL32" ca="1">_xlfn.IFS(R32=0,AE32,R32&lt;0,AE32/-R32,R32&gt;0,AE32/R32)</f>
        <v>0</v>
      </c>
      <c r="AM32" s="50">
        <f t="shared" ca="1" si="34"/>
        <v>0</v>
      </c>
      <c r="AN32" s="51">
        <f t="shared" ca="1" si="35"/>
        <v>0</v>
      </c>
      <c r="AP32" s="53">
        <f t="shared" ca="1" si="36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01.02'!K33+'Юнит 02-08.02'!K33+'Юнит 09-15.02'!K33+'Юнит 16-22.02'!K33+'Юнит 23-28.02'!K33</f>
        <v>6</v>
      </c>
      <c r="L33" s="36"/>
      <c r="M33" s="36"/>
      <c r="N33" s="37">
        <f t="shared" si="22"/>
        <v>0.21428571428571427</v>
      </c>
      <c r="O33" s="38">
        <f t="shared" ca="1" si="23"/>
        <v>7.1428571428571425E-2</v>
      </c>
      <c r="P33" s="32">
        <f ca="1">'Юнит 01.02'!P33+'Юнит 02-08.02'!P33+'Юнит 09-15.02'!P33+'Юнит 16-22.02'!P33+'Юнит 23-28.02'!P33</f>
        <v>2</v>
      </c>
      <c r="Q33" s="32">
        <f ca="1">'Юнит 01.02'!Q33+'Юнит 02-08.02'!Q33+'Юнит 09-15.02'!Q33+'Юнит 16-22.02'!Q33+'Юнит 23-28.02'!Q33</f>
        <v>0</v>
      </c>
      <c r="R33" s="40">
        <f t="shared" ca="1" si="37"/>
        <v>2</v>
      </c>
      <c r="S33" s="32">
        <f ca="1">'Юнит 01.02'!S33+'Юнит 02-08.02'!S33+'Юнит 09-15.02'!S33+'Юнит 16-22.02'!S33+'Юнит 23-28.02'!S33</f>
        <v>6233</v>
      </c>
      <c r="T33" s="32">
        <f ca="1">'Юнит 01.02'!T33+'Юнит 02-08.02'!T33+'Юнит 09-15.02'!T33+'Юнит 16-22.02'!T33+'Юнит 23-28.02'!T33</f>
        <v>0</v>
      </c>
      <c r="U33" s="40">
        <f t="shared" ca="1" si="24"/>
        <v>6233</v>
      </c>
      <c r="V33" s="43">
        <f t="shared" ca="1" si="25"/>
        <v>1.3571064652525878E-2</v>
      </c>
      <c r="W33" s="44">
        <f t="shared" ca="1" si="26"/>
        <v>1314</v>
      </c>
      <c r="X33" s="32">
        <f ca="1">'Юнит 01.02'!X33+'Юнит 02-08.02'!X33+'Юнит 09-15.02'!X33+'Юнит 16-22.02'!X33+'Юнит 23-28.02'!X33</f>
        <v>2680.19</v>
      </c>
      <c r="Y33" s="45">
        <f t="shared" ca="1" si="39"/>
        <v>0.43</v>
      </c>
      <c r="Z33" s="32">
        <f ca="1">'Юнит 01.02'!Z33+'Юнит 02-08.02'!Z33+'Юнит 09-15.02'!Z33+'Юнит 16-22.02'!Z33+'Юнит 23-28.02'!Z33</f>
        <v>698.07999999999993</v>
      </c>
      <c r="AA33" s="32">
        <f>'Юнит 01.02'!AA33+'Юнит 02-08.02'!AA33+'Юнит 09-15.02'!AA33+'Юнит 16-22.02'!AA33+'Юнит 23-28.02'!AA33</f>
        <v>0</v>
      </c>
      <c r="AB33" s="55"/>
      <c r="AC33" s="42"/>
      <c r="AD33" s="46">
        <f t="shared" ca="1" si="38"/>
        <v>27.664208162234424</v>
      </c>
      <c r="AE33" s="47">
        <f t="shared" ca="1" si="28"/>
        <v>1513.0657918377656</v>
      </c>
      <c r="AF33" s="46"/>
      <c r="AG33" s="48">
        <f t="shared" ca="1" si="29"/>
        <v>3116.5</v>
      </c>
      <c r="AH33" s="49">
        <f t="shared" si="30"/>
        <v>657</v>
      </c>
      <c r="AI33" s="49">
        <f t="shared" ca="1" si="31"/>
        <v>1340.095</v>
      </c>
      <c r="AJ33" s="49">
        <f t="shared" ca="1" si="32"/>
        <v>349.03999999999996</v>
      </c>
      <c r="AK33" s="49">
        <f t="shared" ca="1" si="33"/>
        <v>0</v>
      </c>
      <c r="AL33" s="49">
        <f t="array" aca="1" ref="AL33" ca="1">_xlfn.IFS(R33=0,AE33,R33&lt;0,AE33/-R33,R33&gt;0,AE33/R33)</f>
        <v>756.53289591888279</v>
      </c>
      <c r="AM33" s="50">
        <f t="shared" ca="1" si="34"/>
        <v>0.24275080889423481</v>
      </c>
      <c r="AN33" s="51">
        <f t="shared" ca="1" si="35"/>
        <v>1.1514960364062143</v>
      </c>
      <c r="AP33" s="53">
        <f t="shared" ca="1" si="36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01.02'!K34+'Юнит 02-08.02'!K34+'Юнит 09-15.02'!K34+'Юнит 16-22.02'!K34+'Юнит 23-28.02'!K34</f>
        <v>2</v>
      </c>
      <c r="L34" s="36"/>
      <c r="M34" s="36"/>
      <c r="N34" s="37">
        <f t="shared" si="22"/>
        <v>7.1428571428571425E-2</v>
      </c>
      <c r="O34" s="38">
        <f t="shared" ca="1" si="23"/>
        <v>7.1428571428571425E-2</v>
      </c>
      <c r="P34" s="32">
        <f ca="1">'Юнит 01.02'!P34+'Юнит 02-08.02'!P34+'Юнит 09-15.02'!P34+'Юнит 16-22.02'!P34+'Юнит 23-28.02'!P34</f>
        <v>2</v>
      </c>
      <c r="Q34" s="32">
        <f ca="1">'Юнит 01.02'!Q34+'Юнит 02-08.02'!Q34+'Юнит 09-15.02'!Q34+'Юнит 16-22.02'!Q34+'Юнит 23-28.02'!Q34</f>
        <v>0</v>
      </c>
      <c r="R34" s="40">
        <f t="shared" ca="1" si="37"/>
        <v>2</v>
      </c>
      <c r="S34" s="32">
        <f ca="1">'Юнит 01.02'!S34+'Юнит 02-08.02'!S34+'Юнит 09-15.02'!S34+'Юнит 16-22.02'!S34+'Юнит 23-28.02'!S34</f>
        <v>8876</v>
      </c>
      <c r="T34" s="32">
        <f ca="1">'Юнит 01.02'!T34+'Юнит 02-08.02'!T34+'Юнит 09-15.02'!T34+'Юнит 16-22.02'!T34+'Юнит 23-28.02'!T34</f>
        <v>0</v>
      </c>
      <c r="U34" s="40">
        <f t="shared" ca="1" si="24"/>
        <v>8876</v>
      </c>
      <c r="V34" s="43">
        <f t="shared" ca="1" si="25"/>
        <v>1.9325648942053537E-2</v>
      </c>
      <c r="W34" s="44">
        <f t="shared" ca="1" si="26"/>
        <v>1194</v>
      </c>
      <c r="X34" s="32">
        <f ca="1">'Юнит 01.02'!X34+'Юнит 02-08.02'!X34+'Юнит 09-15.02'!X34+'Юнит 16-22.02'!X34+'Юнит 23-28.02'!X34</f>
        <v>3816.6800000000003</v>
      </c>
      <c r="Y34" s="45">
        <f t="shared" ca="1" si="39"/>
        <v>0.43000000000000005</v>
      </c>
      <c r="Z34" s="32">
        <f ca="1">'Юнит 01.02'!Z34+'Юнит 02-08.02'!Z34+'Юнит 09-15.02'!Z34+'Юнит 16-22.02'!Z34+'Юнит 23-28.02'!Z34</f>
        <v>659.53</v>
      </c>
      <c r="AA34" s="32">
        <f>'Юнит 01.02'!AA34+'Юнит 02-08.02'!AA34+'Юнит 09-15.02'!AA34+'Юнит 16-22.02'!AA34+'Юнит 23-28.02'!AA34</f>
        <v>0</v>
      </c>
      <c r="AB34" s="55"/>
      <c r="AC34" s="42"/>
      <c r="AD34" s="46">
        <f t="shared" ca="1" si="38"/>
        <v>39.394755598907871</v>
      </c>
      <c r="AE34" s="47">
        <f t="shared" ca="1" si="28"/>
        <v>3166.395244401092</v>
      </c>
      <c r="AF34" s="46"/>
      <c r="AG34" s="48">
        <f t="shared" ca="1" si="29"/>
        <v>4438</v>
      </c>
      <c r="AH34" s="49">
        <f t="shared" si="30"/>
        <v>597</v>
      </c>
      <c r="AI34" s="49">
        <f t="shared" ca="1" si="31"/>
        <v>1908.3400000000001</v>
      </c>
      <c r="AJ34" s="49">
        <f t="shared" ca="1" si="32"/>
        <v>329.76499999999999</v>
      </c>
      <c r="AK34" s="49">
        <f t="shared" ca="1" si="33"/>
        <v>0</v>
      </c>
      <c r="AL34" s="49">
        <f t="array" aca="1" ref="AL34" ca="1">_xlfn.IFS(R34=0,AE34,R34&lt;0,AE34/-R34,R34&gt;0,AE34/R34)</f>
        <v>1583.197622200546</v>
      </c>
      <c r="AM34" s="50">
        <f t="shared" ca="1" si="34"/>
        <v>0.35673673325834743</v>
      </c>
      <c r="AN34" s="51">
        <f t="shared" ca="1" si="35"/>
        <v>2.6519223152437958</v>
      </c>
      <c r="AP34" s="53">
        <f t="shared" ca="1" si="36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01.02'!K35+'Юнит 02-08.02'!K35+'Юнит 09-15.02'!K35+'Юнит 16-22.02'!K35+'Юнит 23-28.02'!K35</f>
        <v>1</v>
      </c>
      <c r="L35" s="36"/>
      <c r="M35" s="36"/>
      <c r="N35" s="37">
        <f t="shared" si="22"/>
        <v>3.5714285714285712E-2</v>
      </c>
      <c r="O35" s="38">
        <f t="shared" ca="1" si="23"/>
        <v>0</v>
      </c>
      <c r="P35" s="32">
        <f ca="1">'Юнит 01.02'!P35+'Юнит 02-08.02'!P35+'Юнит 09-15.02'!P35+'Юнит 16-22.02'!P35+'Юнит 23-28.02'!P35</f>
        <v>0</v>
      </c>
      <c r="Q35" s="32">
        <f ca="1">'Юнит 01.02'!Q35+'Юнит 02-08.02'!Q35+'Юнит 09-15.02'!Q35+'Юнит 16-22.02'!Q35+'Юнит 23-28.02'!Q35</f>
        <v>0</v>
      </c>
      <c r="R35" s="40">
        <f t="shared" ca="1" si="37"/>
        <v>0</v>
      </c>
      <c r="S35" s="32">
        <f ca="1">'Юнит 01.02'!S35+'Юнит 02-08.02'!S35+'Юнит 09-15.02'!S35+'Юнит 16-22.02'!S35+'Юнит 23-28.02'!S35</f>
        <v>0</v>
      </c>
      <c r="T35" s="32">
        <f ca="1">'Юнит 01.02'!T35+'Юнит 02-08.02'!T35+'Юнит 09-15.02'!T35+'Юнит 16-22.02'!T35+'Юнит 23-28.02'!T35</f>
        <v>0</v>
      </c>
      <c r="U35" s="40">
        <f t="shared" ca="1" si="24"/>
        <v>0</v>
      </c>
      <c r="V35" s="43">
        <f t="shared" ca="1" si="25"/>
        <v>0</v>
      </c>
      <c r="W35" s="44">
        <f t="shared" ca="1" si="26"/>
        <v>0</v>
      </c>
      <c r="X35" s="32">
        <f ca="1">'Юнит 01.02'!X35+'Юнит 02-08.02'!X35+'Юнит 09-15.02'!X35+'Юнит 16-22.02'!X35+'Юнит 23-28.02'!X35</f>
        <v>0</v>
      </c>
      <c r="Y35" s="45">
        <f t="shared" ca="1" si="39"/>
        <v>0</v>
      </c>
      <c r="Z35" s="32">
        <f ca="1">'Юнит 01.02'!Z35+'Юнит 02-08.02'!Z35+'Юнит 09-15.02'!Z35+'Юнит 16-22.02'!Z35+'Юнит 23-28.02'!Z35</f>
        <v>113.88</v>
      </c>
      <c r="AA35" s="32">
        <f>'Юнит 01.02'!AA35+'Юнит 02-08.02'!AA35+'Юнит 09-15.02'!AA35+'Юнит 16-22.02'!AA35+'Юнит 23-28.02'!AA35</f>
        <v>0</v>
      </c>
      <c r="AB35" s="55"/>
      <c r="AC35" s="42"/>
      <c r="AD35" s="46">
        <f t="shared" ca="1" si="38"/>
        <v>0</v>
      </c>
      <c r="AE35" s="47">
        <f t="shared" ca="1" si="28"/>
        <v>-113.88</v>
      </c>
      <c r="AF35" s="46"/>
      <c r="AG35" s="48">
        <f t="shared" ca="1" si="29"/>
        <v>0</v>
      </c>
      <c r="AH35" s="49">
        <f t="shared" si="30"/>
        <v>552</v>
      </c>
      <c r="AI35" s="49">
        <f t="shared" ca="1" si="31"/>
        <v>0</v>
      </c>
      <c r="AJ35" s="49">
        <f t="shared" ca="1" si="32"/>
        <v>113.88</v>
      </c>
      <c r="AK35" s="49">
        <f t="shared" ca="1" si="33"/>
        <v>0</v>
      </c>
      <c r="AL35" s="49">
        <f t="array" aca="1" ref="AL35" ca="1">_xlfn.IFS(R35=0,AE35,R35&lt;0,AE35/-R35,R35&gt;0,AE35/R35)</f>
        <v>-113.88</v>
      </c>
      <c r="AM35" s="50">
        <f t="shared" ca="1" si="34"/>
        <v>0</v>
      </c>
      <c r="AN35" s="51">
        <f t="shared" ca="1" si="35"/>
        <v>-0.20630434782608695</v>
      </c>
      <c r="AP35" s="53">
        <f t="shared" ca="1" si="36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01.02'!K36+'Юнит 02-08.02'!K36+'Юнит 09-15.02'!K36+'Юнит 16-22.02'!K36+'Юнит 23-28.02'!K36</f>
        <v>3</v>
      </c>
      <c r="L36" s="36"/>
      <c r="M36" s="36"/>
      <c r="N36" s="37">
        <f t="shared" si="22"/>
        <v>0.10714285714285714</v>
      </c>
      <c r="O36" s="38">
        <f t="shared" ca="1" si="23"/>
        <v>0</v>
      </c>
      <c r="P36" s="32">
        <f ca="1">'Юнит 01.02'!P36+'Юнит 02-08.02'!P36+'Юнит 09-15.02'!P36+'Юнит 16-22.02'!P36+'Юнит 23-28.02'!P36</f>
        <v>0</v>
      </c>
      <c r="Q36" s="32">
        <f ca="1">'Юнит 01.02'!Q36+'Юнит 02-08.02'!Q36+'Юнит 09-15.02'!Q36+'Юнит 16-22.02'!Q36+'Юнит 23-28.02'!Q36</f>
        <v>0</v>
      </c>
      <c r="R36" s="40">
        <f t="shared" ca="1" si="37"/>
        <v>0</v>
      </c>
      <c r="S36" s="32">
        <f ca="1">'Юнит 01.02'!S36+'Юнит 02-08.02'!S36+'Юнит 09-15.02'!S36+'Юнит 16-22.02'!S36+'Юнит 23-28.02'!S36</f>
        <v>0</v>
      </c>
      <c r="T36" s="32">
        <f ca="1">'Юнит 01.02'!T36+'Юнит 02-08.02'!T36+'Юнит 09-15.02'!T36+'Юнит 16-22.02'!T36+'Юнит 23-28.02'!T36</f>
        <v>0</v>
      </c>
      <c r="U36" s="40">
        <f t="shared" ca="1" si="24"/>
        <v>0</v>
      </c>
      <c r="V36" s="43">
        <f t="shared" ca="1" si="25"/>
        <v>0</v>
      </c>
      <c r="W36" s="44">
        <f t="shared" ca="1" si="26"/>
        <v>0</v>
      </c>
      <c r="X36" s="32">
        <f ca="1">'Юнит 01.02'!X36+'Юнит 02-08.02'!X36+'Юнит 09-15.02'!X36+'Юнит 16-22.02'!X36+'Юнит 23-28.02'!X36</f>
        <v>0</v>
      </c>
      <c r="Y36" s="45">
        <f t="shared" ca="1" si="39"/>
        <v>0</v>
      </c>
      <c r="Z36" s="32">
        <f ca="1">'Юнит 01.02'!Z36+'Юнит 02-08.02'!Z36+'Юнит 09-15.02'!Z36+'Юнит 16-22.02'!Z36+'Юнит 23-28.02'!Z36</f>
        <v>455.52</v>
      </c>
      <c r="AA36" s="32">
        <f>'Юнит 01.02'!AA36+'Юнит 02-08.02'!AA36+'Юнит 09-15.02'!AA36+'Юнит 16-22.02'!AA36+'Юнит 23-28.02'!AA36</f>
        <v>0</v>
      </c>
      <c r="AB36" s="55"/>
      <c r="AC36" s="42"/>
      <c r="AD36" s="46">
        <f t="shared" ca="1" si="38"/>
        <v>0</v>
      </c>
      <c r="AE36" s="47">
        <f t="shared" ca="1" si="28"/>
        <v>-455.52</v>
      </c>
      <c r="AF36" s="46"/>
      <c r="AG36" s="48">
        <f t="shared" ca="1" si="29"/>
        <v>0</v>
      </c>
      <c r="AH36" s="49">
        <f t="shared" si="30"/>
        <v>552</v>
      </c>
      <c r="AI36" s="49">
        <f t="shared" ca="1" si="31"/>
        <v>0</v>
      </c>
      <c r="AJ36" s="49">
        <f t="shared" ca="1" si="32"/>
        <v>455.52</v>
      </c>
      <c r="AK36" s="49">
        <f t="shared" ca="1" si="33"/>
        <v>0</v>
      </c>
      <c r="AL36" s="49">
        <f t="array" aca="1" ref="AL36" ca="1">_xlfn.IFS(R36=0,AE36,R36&lt;0,AE36/-R36,R36&gt;0,AE36/R36)</f>
        <v>-455.52</v>
      </c>
      <c r="AM36" s="50">
        <f t="shared" ca="1" si="34"/>
        <v>0</v>
      </c>
      <c r="AN36" s="51">
        <f t="shared" ca="1" si="35"/>
        <v>-0.82521739130434779</v>
      </c>
      <c r="AP36" s="53">
        <f t="shared" ca="1" si="36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01.02'!K37+'Юнит 02-08.02'!K37+'Юнит 09-15.02'!K37+'Юнит 16-22.02'!K37+'Юнит 23-28.02'!K37</f>
        <v>11</v>
      </c>
      <c r="L37" s="36"/>
      <c r="M37" s="36"/>
      <c r="N37" s="37">
        <f t="shared" si="22"/>
        <v>0.39285714285714285</v>
      </c>
      <c r="O37" s="38">
        <f t="shared" ca="1" si="23"/>
        <v>0.17857142857142858</v>
      </c>
      <c r="P37" s="32">
        <f ca="1">'Юнит 01.02'!P37+'Юнит 02-08.02'!P37+'Юнит 09-15.02'!P37+'Юнит 16-22.02'!P37+'Юнит 23-28.02'!P37</f>
        <v>5</v>
      </c>
      <c r="Q37" s="32">
        <f ca="1">'Юнит 01.02'!Q37+'Юнит 02-08.02'!Q37+'Юнит 09-15.02'!Q37+'Юнит 16-22.02'!Q37+'Юнит 23-28.02'!Q37</f>
        <v>0</v>
      </c>
      <c r="R37" s="40">
        <f t="shared" ca="1" si="37"/>
        <v>5</v>
      </c>
      <c r="S37" s="32">
        <f ca="1">'Юнит 01.02'!S37+'Юнит 02-08.02'!S37+'Юнит 09-15.02'!S37+'Юнит 16-22.02'!S37+'Юнит 23-28.02'!S37</f>
        <v>24299</v>
      </c>
      <c r="T37" s="32">
        <f ca="1">'Юнит 01.02'!T37+'Юнит 02-08.02'!T37+'Юнит 09-15.02'!T37+'Юнит 16-22.02'!T37+'Юнит 23-28.02'!T37</f>
        <v>0</v>
      </c>
      <c r="U37" s="40">
        <f t="shared" ca="1" si="24"/>
        <v>24299</v>
      </c>
      <c r="V37" s="43">
        <f t="shared" ca="1" si="25"/>
        <v>5.2906032406822762E-2</v>
      </c>
      <c r="W37" s="44">
        <f t="shared" ca="1" si="26"/>
        <v>3435</v>
      </c>
      <c r="X37" s="32">
        <f ca="1">'Юнит 01.02'!X37+'Юнит 02-08.02'!X37+'Юнит 09-15.02'!X37+'Юнит 16-22.02'!X37+'Юнит 23-28.02'!X37</f>
        <v>10448.57</v>
      </c>
      <c r="Y37" s="45">
        <f t="shared" ca="1" si="39"/>
        <v>0.43</v>
      </c>
      <c r="Z37" s="32">
        <f ca="1">'Юнит 01.02'!Z37+'Юнит 02-08.02'!Z37+'Юнит 09-15.02'!Z37+'Юнит 16-22.02'!Z37+'Юнит 23-28.02'!Z37</f>
        <v>1602.7700000000002</v>
      </c>
      <c r="AA37" s="32">
        <f>'Юнит 01.02'!AA37+'Юнит 02-08.02'!AA37+'Юнит 09-15.02'!AA37+'Юнит 16-22.02'!AA37+'Юнит 23-28.02'!AA37</f>
        <v>0</v>
      </c>
      <c r="AB37" s="55"/>
      <c r="AC37" s="42"/>
      <c r="AD37" s="46">
        <f t="shared" ca="1" si="38"/>
        <v>107.847359880336</v>
      </c>
      <c r="AE37" s="47">
        <f t="shared" ca="1" si="28"/>
        <v>8704.8126401196641</v>
      </c>
      <c r="AF37" s="46"/>
      <c r="AG37" s="48">
        <f t="shared" ca="1" si="29"/>
        <v>4859.8</v>
      </c>
      <c r="AH37" s="49">
        <f t="shared" si="30"/>
        <v>687</v>
      </c>
      <c r="AI37" s="49">
        <f t="shared" ca="1" si="31"/>
        <v>2089.7139999999999</v>
      </c>
      <c r="AJ37" s="49">
        <f t="shared" ca="1" si="32"/>
        <v>320.55400000000003</v>
      </c>
      <c r="AK37" s="49">
        <f t="shared" ca="1" si="33"/>
        <v>0</v>
      </c>
      <c r="AL37" s="49">
        <f t="array" aca="1" ref="AL37" ca="1">_xlfn.IFS(R37=0,AE37,R37&lt;0,AE37/-R37,R37&gt;0,AE37/R37)</f>
        <v>1740.9625280239329</v>
      </c>
      <c r="AM37" s="50">
        <f t="shared" ca="1" si="34"/>
        <v>0.35823748467507571</v>
      </c>
      <c r="AN37" s="51">
        <f t="shared" ca="1" si="35"/>
        <v>2.5341521514176608</v>
      </c>
      <c r="AP37" s="53">
        <f t="shared" ca="1" si="36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01.02'!K38+'Юнит 02-08.02'!K38+'Юнит 09-15.02'!K38+'Юнит 16-22.02'!K38+'Юнит 23-28.02'!K38</f>
        <v>1</v>
      </c>
      <c r="L38" s="36"/>
      <c r="M38" s="36"/>
      <c r="N38" s="37">
        <f t="shared" si="22"/>
        <v>3.5714285714285712E-2</v>
      </c>
      <c r="O38" s="38">
        <f t="shared" ca="1" si="23"/>
        <v>0</v>
      </c>
      <c r="P38" s="32">
        <f ca="1">'Юнит 01.02'!P38+'Юнит 02-08.02'!P38+'Юнит 09-15.02'!P38+'Юнит 16-22.02'!P38+'Юнит 23-28.02'!P38</f>
        <v>1</v>
      </c>
      <c r="Q38" s="32">
        <f ca="1">'Юнит 01.02'!Q38+'Юнит 02-08.02'!Q38+'Юнит 09-15.02'!Q38+'Юнит 16-22.02'!Q38+'Юнит 23-28.02'!Q38</f>
        <v>1</v>
      </c>
      <c r="R38" s="40">
        <f t="shared" ca="1" si="37"/>
        <v>0</v>
      </c>
      <c r="S38" s="32">
        <f ca="1">'Юнит 01.02'!S38+'Юнит 02-08.02'!S38+'Юнит 09-15.02'!S38+'Юнит 16-22.02'!S38+'Юнит 23-28.02'!S38</f>
        <v>3635</v>
      </c>
      <c r="T38" s="32">
        <f ca="1">'Юнит 01.02'!T38+'Юнит 02-08.02'!T38+'Юнит 09-15.02'!T38+'Юнит 16-22.02'!T38+'Юнит 23-28.02'!T38</f>
        <v>-3635</v>
      </c>
      <c r="U38" s="40">
        <f t="shared" ca="1" si="24"/>
        <v>0</v>
      </c>
      <c r="V38" s="43">
        <f t="shared" ca="1" si="25"/>
        <v>0</v>
      </c>
      <c r="W38" s="44">
        <f t="shared" ca="1" si="26"/>
        <v>0</v>
      </c>
      <c r="X38" s="32">
        <f ca="1">'Юнит 01.02'!X38+'Юнит 02-08.02'!X38+'Юнит 09-15.02'!X38+'Юнит 16-22.02'!X38+'Юнит 23-28.02'!X38</f>
        <v>0</v>
      </c>
      <c r="Y38" s="45">
        <f t="shared" ca="1" si="39"/>
        <v>0</v>
      </c>
      <c r="Z38" s="32">
        <f ca="1">'Юнит 01.02'!Z38+'Юнит 02-08.02'!Z38+'Юнит 09-15.02'!Z38+'Юнит 16-22.02'!Z38+'Юнит 23-28.02'!Z38</f>
        <v>648.52</v>
      </c>
      <c r="AA38" s="32">
        <f>'Юнит 01.02'!AA38+'Юнит 02-08.02'!AA38+'Юнит 09-15.02'!AA38+'Юнит 16-22.02'!AA38+'Юнит 23-28.02'!AA38</f>
        <v>0</v>
      </c>
      <c r="AB38" s="55"/>
      <c r="AC38" s="42"/>
      <c r="AD38" s="46">
        <f t="shared" ca="1" si="38"/>
        <v>0</v>
      </c>
      <c r="AE38" s="47">
        <f t="shared" ca="1" si="28"/>
        <v>-648.52</v>
      </c>
      <c r="AF38" s="46"/>
      <c r="AG38" s="48">
        <f t="shared" ca="1" si="29"/>
        <v>0</v>
      </c>
      <c r="AH38" s="49">
        <f t="shared" si="30"/>
        <v>687</v>
      </c>
      <c r="AI38" s="49">
        <f t="shared" ca="1" si="31"/>
        <v>0</v>
      </c>
      <c r="AJ38" s="49">
        <f t="shared" ca="1" si="32"/>
        <v>648.52</v>
      </c>
      <c r="AK38" s="49">
        <f t="shared" ca="1" si="33"/>
        <v>0</v>
      </c>
      <c r="AL38" s="49">
        <f t="array" aca="1" ref="AL38" ca="1">_xlfn.IFS(R38=0,AE38,R38&lt;0,AE38/-R38,R38&gt;0,AE38/R38)</f>
        <v>-648.52</v>
      </c>
      <c r="AM38" s="50">
        <f t="shared" ca="1" si="34"/>
        <v>0</v>
      </c>
      <c r="AN38" s="51">
        <f t="shared" ca="1" si="35"/>
        <v>-0.94398835516739443</v>
      </c>
      <c r="AP38" s="53">
        <f t="shared" ca="1" si="36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01.02'!K39+'Юнит 02-08.02'!K39+'Юнит 09-15.02'!K39+'Юнит 16-22.02'!K39+'Юнит 23-28.02'!K39</f>
        <v>1</v>
      </c>
      <c r="L39" s="36"/>
      <c r="M39" s="36"/>
      <c r="N39" s="37">
        <f t="shared" si="22"/>
        <v>3.5714285714285712E-2</v>
      </c>
      <c r="O39" s="38">
        <f t="shared" ca="1" si="23"/>
        <v>3.5714285714285712E-2</v>
      </c>
      <c r="P39" s="32">
        <f ca="1">'Юнит 01.02'!P39+'Юнит 02-08.02'!P39+'Юнит 09-15.02'!P39+'Юнит 16-22.02'!P39+'Юнит 23-28.02'!P39</f>
        <v>1</v>
      </c>
      <c r="Q39" s="32">
        <f ca="1">'Юнит 01.02'!Q39+'Юнит 02-08.02'!Q39+'Юнит 09-15.02'!Q39+'Юнит 16-22.02'!Q39+'Юнит 23-28.02'!Q39</f>
        <v>0</v>
      </c>
      <c r="R39" s="40">
        <f t="shared" ca="1" si="37"/>
        <v>1</v>
      </c>
      <c r="S39" s="32">
        <f ca="1">'Юнит 01.02'!S39+'Юнит 02-08.02'!S39+'Юнит 09-15.02'!S39+'Юнит 16-22.02'!S39+'Юнит 23-28.02'!S39</f>
        <v>3499</v>
      </c>
      <c r="T39" s="32">
        <f ca="1">'Юнит 01.02'!T39+'Юнит 02-08.02'!T39+'Юнит 09-15.02'!T39+'Юнит 16-22.02'!T39+'Юнит 23-28.02'!T39</f>
        <v>0</v>
      </c>
      <c r="U39" s="40">
        <f t="shared" ca="1" si="24"/>
        <v>3499</v>
      </c>
      <c r="V39" s="43">
        <f t="shared" ca="1" si="25"/>
        <v>7.6183467381979852E-3</v>
      </c>
      <c r="W39" s="44">
        <f t="shared" ca="1" si="26"/>
        <v>597</v>
      </c>
      <c r="X39" s="32">
        <f ca="1">'Юнит 01.02'!X39+'Юнит 02-08.02'!X39+'Юнит 09-15.02'!X39+'Юнит 16-22.02'!X39+'Юнит 23-28.02'!X39</f>
        <v>1504.57</v>
      </c>
      <c r="Y39" s="45">
        <f t="shared" ca="1" si="39"/>
        <v>0.43</v>
      </c>
      <c r="Z39" s="32">
        <f ca="1">'Юнит 01.02'!Z39+'Юнит 02-08.02'!Z39+'Юнит 09-15.02'!Z39+'Юнит 16-22.02'!Z39+'Юнит 23-28.02'!Z39</f>
        <v>350.29999999999995</v>
      </c>
      <c r="AA39" s="32">
        <f>'Юнит 01.02'!AA39+'Юнит 02-08.02'!AA39+'Юнит 09-15.02'!AA39+'Юнит 16-22.02'!AA39+'Юнит 23-28.02'!AA39</f>
        <v>0</v>
      </c>
      <c r="AB39" s="55"/>
      <c r="AC39" s="42"/>
      <c r="AD39" s="46">
        <f t="shared" ca="1" si="38"/>
        <v>15.529771275414449</v>
      </c>
      <c r="AE39" s="47">
        <f t="shared" ca="1" si="28"/>
        <v>1031.6002287245856</v>
      </c>
      <c r="AF39" s="46"/>
      <c r="AG39" s="48">
        <f t="shared" ca="1" si="29"/>
        <v>3499</v>
      </c>
      <c r="AH39" s="49">
        <f t="shared" si="30"/>
        <v>597</v>
      </c>
      <c r="AI39" s="49">
        <f t="shared" ca="1" si="31"/>
        <v>1504.57</v>
      </c>
      <c r="AJ39" s="49">
        <f t="shared" ca="1" si="32"/>
        <v>350.29999999999995</v>
      </c>
      <c r="AK39" s="49">
        <f t="shared" ca="1" si="33"/>
        <v>0</v>
      </c>
      <c r="AL39" s="49">
        <f t="array" aca="1" ref="AL39" ca="1">_xlfn.IFS(R39=0,AE39,R39&lt;0,AE39/-R39,R39&gt;0,AE39/R39)</f>
        <v>1031.6002287245856</v>
      </c>
      <c r="AM39" s="50">
        <f t="shared" ca="1" si="34"/>
        <v>0.29482715882383126</v>
      </c>
      <c r="AN39" s="51">
        <f t="shared" ca="1" si="35"/>
        <v>1.7279735824532421</v>
      </c>
      <c r="AP39" s="53">
        <f t="shared" ca="1" si="36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01.02'!K40+'Юнит 02-08.02'!K40+'Юнит 09-15.02'!K40+'Юнит 16-22.02'!K40+'Юнит 23-28.02'!K40</f>
        <v>1</v>
      </c>
      <c r="L40" s="36"/>
      <c r="M40" s="36"/>
      <c r="N40" s="37">
        <f t="shared" si="22"/>
        <v>3.5714285714285712E-2</v>
      </c>
      <c r="O40" s="38">
        <f t="shared" ca="1" si="23"/>
        <v>0</v>
      </c>
      <c r="P40" s="32">
        <f ca="1">'Юнит 01.02'!P40+'Юнит 02-08.02'!P40+'Юнит 09-15.02'!P40+'Юнит 16-22.02'!P40+'Юнит 23-28.02'!P40</f>
        <v>0</v>
      </c>
      <c r="Q40" s="32">
        <f ca="1">'Юнит 01.02'!Q40+'Юнит 02-08.02'!Q40+'Юнит 09-15.02'!Q40+'Юнит 16-22.02'!Q40+'Юнит 23-28.02'!Q40</f>
        <v>0</v>
      </c>
      <c r="R40" s="40">
        <f t="shared" ca="1" si="37"/>
        <v>0</v>
      </c>
      <c r="S40" s="32">
        <f ca="1">'Юнит 01.02'!S40+'Юнит 02-08.02'!S40+'Юнит 09-15.02'!S40+'Юнит 16-22.02'!S40+'Юнит 23-28.02'!S40</f>
        <v>0</v>
      </c>
      <c r="T40" s="32">
        <f ca="1">'Юнит 01.02'!T40+'Юнит 02-08.02'!T40+'Юнит 09-15.02'!T40+'Юнит 16-22.02'!T40+'Юнит 23-28.02'!T40</f>
        <v>0</v>
      </c>
      <c r="U40" s="40">
        <f t="shared" ca="1" si="24"/>
        <v>0</v>
      </c>
      <c r="V40" s="43">
        <f t="shared" ca="1" si="25"/>
        <v>0</v>
      </c>
      <c r="W40" s="44">
        <f t="shared" ca="1" si="26"/>
        <v>0</v>
      </c>
      <c r="X40" s="32">
        <f ca="1">'Юнит 01.02'!X40+'Юнит 02-08.02'!X40+'Юнит 09-15.02'!X40+'Юнит 16-22.02'!X40+'Юнит 23-28.02'!X40</f>
        <v>0</v>
      </c>
      <c r="Y40" s="45">
        <f t="shared" ca="1" si="39"/>
        <v>0</v>
      </c>
      <c r="Z40" s="32">
        <f ca="1">'Юнит 01.02'!Z40+'Юнит 02-08.02'!Z40+'Юнит 09-15.02'!Z40+'Юнит 16-22.02'!Z40+'Юнит 23-28.02'!Z40</f>
        <v>113.88</v>
      </c>
      <c r="AA40" s="32">
        <f>'Юнит 01.02'!AA40+'Юнит 02-08.02'!AA40+'Юнит 09-15.02'!AA40+'Юнит 16-22.02'!AA40+'Юнит 23-28.02'!AA40</f>
        <v>0</v>
      </c>
      <c r="AB40" s="55"/>
      <c r="AC40" s="42"/>
      <c r="AD40" s="46">
        <f t="shared" ca="1" si="38"/>
        <v>0</v>
      </c>
      <c r="AE40" s="47">
        <f t="shared" ca="1" si="28"/>
        <v>-113.88</v>
      </c>
      <c r="AF40" s="46"/>
      <c r="AG40" s="48">
        <f t="shared" ca="1" si="29"/>
        <v>0</v>
      </c>
      <c r="AH40" s="49">
        <f t="shared" si="30"/>
        <v>597</v>
      </c>
      <c r="AI40" s="49">
        <f t="shared" ca="1" si="31"/>
        <v>0</v>
      </c>
      <c r="AJ40" s="49">
        <f t="shared" ca="1" si="32"/>
        <v>113.88</v>
      </c>
      <c r="AK40" s="49">
        <f t="shared" ca="1" si="33"/>
        <v>0</v>
      </c>
      <c r="AL40" s="49">
        <f t="array" aca="1" ref="AL40" ca="1">_xlfn.IFS(R40=0,AE40,R40&lt;0,AE40/-R40,R40&gt;0,AE40/R40)</f>
        <v>-113.88</v>
      </c>
      <c r="AM40" s="50">
        <f t="shared" ca="1" si="34"/>
        <v>0</v>
      </c>
      <c r="AN40" s="51">
        <f t="shared" ca="1" si="35"/>
        <v>-0.1907537688442211</v>
      </c>
      <c r="AP40" s="53">
        <f t="shared" ca="1" si="36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01.02'!K41+'Юнит 02-08.02'!K41+'Юнит 09-15.02'!K41+'Юнит 16-22.02'!K41+'Юнит 23-28.02'!K41</f>
        <v>0</v>
      </c>
      <c r="L41" s="36"/>
      <c r="M41" s="36"/>
      <c r="N41" s="37">
        <f t="shared" si="22"/>
        <v>0</v>
      </c>
      <c r="O41" s="38">
        <f t="shared" ca="1" si="23"/>
        <v>0</v>
      </c>
      <c r="P41" s="32">
        <f ca="1">'Юнит 01.02'!P41+'Юнит 02-08.02'!P41+'Юнит 09-15.02'!P41+'Юнит 16-22.02'!P41+'Юнит 23-28.02'!P41</f>
        <v>0</v>
      </c>
      <c r="Q41" s="32">
        <f ca="1">'Юнит 01.02'!Q41+'Юнит 02-08.02'!Q41+'Юнит 09-15.02'!Q41+'Юнит 16-22.02'!Q41+'Юнит 23-28.02'!Q41</f>
        <v>0</v>
      </c>
      <c r="R41" s="40">
        <f t="shared" ca="1" si="37"/>
        <v>0</v>
      </c>
      <c r="S41" s="32">
        <f ca="1">'Юнит 01.02'!S41+'Юнит 02-08.02'!S41+'Юнит 09-15.02'!S41+'Юнит 16-22.02'!S41+'Юнит 23-28.02'!S41</f>
        <v>0</v>
      </c>
      <c r="T41" s="32">
        <f ca="1">'Юнит 01.02'!T41+'Юнит 02-08.02'!T41+'Юнит 09-15.02'!T41+'Юнит 16-22.02'!T41+'Юнит 23-28.02'!T41</f>
        <v>0</v>
      </c>
      <c r="U41" s="40">
        <f t="shared" ca="1" si="24"/>
        <v>0</v>
      </c>
      <c r="V41" s="43">
        <f t="shared" ca="1" si="25"/>
        <v>0</v>
      </c>
      <c r="W41" s="44">
        <f t="shared" ca="1" si="26"/>
        <v>0</v>
      </c>
      <c r="X41" s="32">
        <f ca="1">'Юнит 01.02'!X41+'Юнит 02-08.02'!X41+'Юнит 09-15.02'!X41+'Юнит 16-22.02'!X41+'Юнит 23-28.02'!X41</f>
        <v>0</v>
      </c>
      <c r="Y41" s="45">
        <f t="shared" ca="1" si="39"/>
        <v>0</v>
      </c>
      <c r="Z41" s="32">
        <f ca="1">'Юнит 01.02'!Z41+'Юнит 02-08.02'!Z41+'Юнит 09-15.02'!Z41+'Юнит 16-22.02'!Z41+'Юнит 23-28.02'!Z41</f>
        <v>0</v>
      </c>
      <c r="AA41" s="32">
        <f>'Юнит 01.02'!AA41+'Юнит 02-08.02'!AA41+'Юнит 09-15.02'!AA41+'Юнит 16-22.02'!AA41+'Юнит 23-28.02'!AA41</f>
        <v>0</v>
      </c>
      <c r="AB41" s="55"/>
      <c r="AC41" s="42"/>
      <c r="AD41" s="46">
        <f t="shared" ca="1" si="38"/>
        <v>0</v>
      </c>
      <c r="AE41" s="47">
        <f t="shared" ca="1" si="28"/>
        <v>0</v>
      </c>
      <c r="AF41" s="46"/>
      <c r="AG41" s="48">
        <f t="shared" ca="1" si="29"/>
        <v>0</v>
      </c>
      <c r="AH41" s="49">
        <f t="shared" si="30"/>
        <v>597</v>
      </c>
      <c r="AI41" s="49">
        <f t="shared" ca="1" si="31"/>
        <v>0</v>
      </c>
      <c r="AJ41" s="49">
        <f t="shared" ca="1" si="32"/>
        <v>0</v>
      </c>
      <c r="AK41" s="49">
        <f t="shared" ca="1" si="33"/>
        <v>0</v>
      </c>
      <c r="AL41" s="49">
        <f t="array" aca="1" ref="AL41" ca="1">_xlfn.IFS(R41=0,AE41,R41&lt;0,AE41/-R41,R41&gt;0,AE41/R41)</f>
        <v>0</v>
      </c>
      <c r="AM41" s="50">
        <f t="shared" ca="1" si="34"/>
        <v>0</v>
      </c>
      <c r="AN41" s="51">
        <f t="shared" ca="1" si="35"/>
        <v>0</v>
      </c>
      <c r="AP41" s="53">
        <f t="shared" ca="1" si="36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01.02'!K42+'Юнит 02-08.02'!K42+'Юнит 09-15.02'!K42+'Юнит 16-22.02'!K42+'Юнит 23-28.02'!K42</f>
        <v>8</v>
      </c>
      <c r="L42" s="36"/>
      <c r="M42" s="36"/>
      <c r="N42" s="37">
        <f t="shared" si="22"/>
        <v>0.2857142857142857</v>
      </c>
      <c r="O42" s="38">
        <f t="shared" ca="1" si="23"/>
        <v>0.10714285714285714</v>
      </c>
      <c r="P42" s="32">
        <f ca="1">'Юнит 01.02'!P42+'Юнит 02-08.02'!P42+'Юнит 09-15.02'!P42+'Юнит 16-22.02'!P42+'Юнит 23-28.02'!P42</f>
        <v>3</v>
      </c>
      <c r="Q42" s="32">
        <f ca="1">'Юнит 01.02'!Q42+'Юнит 02-08.02'!Q42+'Юнит 09-15.02'!Q42+'Юнит 16-22.02'!Q42+'Юнит 23-28.02'!Q42</f>
        <v>0</v>
      </c>
      <c r="R42" s="40">
        <f t="shared" ca="1" si="37"/>
        <v>3</v>
      </c>
      <c r="S42" s="32">
        <f ca="1">'Юнит 01.02'!S42+'Юнит 02-08.02'!S42+'Юнит 09-15.02'!S42+'Юнит 16-22.02'!S42+'Юнит 23-28.02'!S42</f>
        <v>12900</v>
      </c>
      <c r="T42" s="32">
        <f ca="1">'Юнит 01.02'!T42+'Юнит 02-08.02'!T42+'Юнит 09-15.02'!T42+'Юнит 16-22.02'!T42+'Юнит 23-28.02'!T42</f>
        <v>0</v>
      </c>
      <c r="U42" s="40">
        <f t="shared" ca="1" si="24"/>
        <v>12900</v>
      </c>
      <c r="V42" s="43">
        <f t="shared" ca="1" si="25"/>
        <v>2.8087074284868251E-2</v>
      </c>
      <c r="W42" s="44">
        <f t="shared" ca="1" si="26"/>
        <v>1926</v>
      </c>
      <c r="X42" s="32">
        <f ca="1">'Юнит 01.02'!X42+'Юнит 02-08.02'!X42+'Юнит 09-15.02'!X42+'Юнит 16-22.02'!X42+'Юнит 23-28.02'!X42</f>
        <v>5547</v>
      </c>
      <c r="Y42" s="45">
        <f t="shared" ca="1" si="39"/>
        <v>0.43</v>
      </c>
      <c r="Z42" s="32">
        <f ca="1">'Юнит 01.02'!Z42+'Юнит 02-08.02'!Z42+'Юнит 09-15.02'!Z42+'Юнит 16-22.02'!Z42+'Юнит 23-28.02'!Z42</f>
        <v>904.38</v>
      </c>
      <c r="AA42" s="32">
        <f>'Юнит 01.02'!AA42+'Юнит 02-08.02'!AA42+'Юнит 09-15.02'!AA42+'Юнит 16-22.02'!AA42+'Юнит 23-28.02'!AA42</f>
        <v>6378.59</v>
      </c>
      <c r="AB42" s="55"/>
      <c r="AC42" s="42"/>
      <c r="AD42" s="46">
        <f t="shared" ca="1" si="38"/>
        <v>57.254658317475389</v>
      </c>
      <c r="AE42" s="47">
        <f t="shared" ca="1" si="28"/>
        <v>-1913.2246583174756</v>
      </c>
      <c r="AF42" s="46"/>
      <c r="AG42" s="48">
        <f t="shared" ca="1" si="29"/>
        <v>4300</v>
      </c>
      <c r="AH42" s="49">
        <f t="shared" si="30"/>
        <v>642</v>
      </c>
      <c r="AI42" s="49">
        <f t="shared" ca="1" si="31"/>
        <v>1849</v>
      </c>
      <c r="AJ42" s="49">
        <f t="shared" ca="1" si="32"/>
        <v>301.45999999999998</v>
      </c>
      <c r="AK42" s="49">
        <f t="shared" ca="1" si="33"/>
        <v>2126.1966666666667</v>
      </c>
      <c r="AL42" s="49">
        <f t="array" aca="1" ref="AL42" ca="1">_xlfn.IFS(R42=0,AE42,R42&lt;0,AE42/-R42,R42&gt;0,AE42/R42)</f>
        <v>-637.7415527724919</v>
      </c>
      <c r="AM42" s="50">
        <f t="shared" ca="1" si="34"/>
        <v>-0.14831198901685858</v>
      </c>
      <c r="AN42" s="51">
        <f t="shared" ca="1" si="35"/>
        <v>-0.99336690463004973</v>
      </c>
      <c r="AP42" s="53">
        <f t="shared" ca="1" si="36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01.02'!K43+'Юнит 02-08.02'!K43+'Юнит 09-15.02'!K43+'Юнит 16-22.02'!K43+'Юнит 23-28.02'!K43</f>
        <v>3</v>
      </c>
      <c r="L43" s="36"/>
      <c r="M43" s="36"/>
      <c r="N43" s="37">
        <f t="shared" si="22"/>
        <v>0.10714285714285714</v>
      </c>
      <c r="O43" s="38">
        <f t="shared" ca="1" si="23"/>
        <v>3.5714285714285712E-2</v>
      </c>
      <c r="P43" s="32">
        <f ca="1">'Юнит 01.02'!P43+'Юнит 02-08.02'!P43+'Юнит 09-15.02'!P43+'Юнит 16-22.02'!P43+'Юнит 23-28.02'!P43</f>
        <v>1</v>
      </c>
      <c r="Q43" s="32">
        <f ca="1">'Юнит 01.02'!Q43+'Юнит 02-08.02'!Q43+'Юнит 09-15.02'!Q43+'Юнит 16-22.02'!Q43+'Юнит 23-28.02'!Q43</f>
        <v>0</v>
      </c>
      <c r="R43" s="40">
        <f t="shared" ca="1" si="37"/>
        <v>1</v>
      </c>
      <c r="S43" s="32">
        <f ca="1">'Юнит 01.02'!S43+'Юнит 02-08.02'!S43+'Юнит 09-15.02'!S43+'Юнит 16-22.02'!S43+'Юнит 23-28.02'!S43</f>
        <v>4300</v>
      </c>
      <c r="T43" s="32">
        <f ca="1">'Юнит 01.02'!T43+'Юнит 02-08.02'!T43+'Юнит 09-15.02'!T43+'Юнит 16-22.02'!T43+'Юнит 23-28.02'!T43</f>
        <v>0</v>
      </c>
      <c r="U43" s="40">
        <f t="shared" ca="1" si="24"/>
        <v>4300</v>
      </c>
      <c r="V43" s="43">
        <f t="shared" ca="1" si="25"/>
        <v>9.3623580949560841E-3</v>
      </c>
      <c r="W43" s="44">
        <f t="shared" ca="1" si="26"/>
        <v>642</v>
      </c>
      <c r="X43" s="32">
        <f ca="1">'Юнит 01.02'!X43+'Юнит 02-08.02'!X43+'Юнит 09-15.02'!X43+'Юнит 16-22.02'!X43+'Юнит 23-28.02'!X43</f>
        <v>1849</v>
      </c>
      <c r="Y43" s="45">
        <f t="shared" ca="1" si="39"/>
        <v>0.43</v>
      </c>
      <c r="Z43" s="32">
        <f ca="1">'Юнит 01.02'!Z43+'Юнит 02-08.02'!Z43+'Юнит 09-15.02'!Z43+'Юнит 16-22.02'!Z43+'Юнит 23-28.02'!Z43</f>
        <v>447.86</v>
      </c>
      <c r="AA43" s="32">
        <f>'Юнит 01.02'!AA43+'Юнит 02-08.02'!AA43+'Юнит 09-15.02'!AA43+'Юнит 16-22.02'!AA43+'Юнит 23-28.02'!AA43</f>
        <v>0</v>
      </c>
      <c r="AB43" s="55"/>
      <c r="AC43" s="42"/>
      <c r="AD43" s="46">
        <f t="shared" ca="1" si="38"/>
        <v>19.084886105825127</v>
      </c>
      <c r="AE43" s="47">
        <f t="shared" ca="1" si="28"/>
        <v>1342.0551138941748</v>
      </c>
      <c r="AF43" s="46"/>
      <c r="AG43" s="48">
        <f t="shared" ca="1" si="29"/>
        <v>4300</v>
      </c>
      <c r="AH43" s="49">
        <f t="shared" si="30"/>
        <v>642</v>
      </c>
      <c r="AI43" s="49">
        <f t="shared" ca="1" si="31"/>
        <v>1849</v>
      </c>
      <c r="AJ43" s="49">
        <f t="shared" ca="1" si="32"/>
        <v>447.86</v>
      </c>
      <c r="AK43" s="49">
        <f t="shared" ca="1" si="33"/>
        <v>0</v>
      </c>
      <c r="AL43" s="49">
        <f t="array" aca="1" ref="AL43" ca="1">_xlfn.IFS(R43=0,AE43,R43&lt;0,AE43/-R43,R43&gt;0,AE43/R43)</f>
        <v>1342.0551138941748</v>
      </c>
      <c r="AM43" s="50">
        <f t="shared" ca="1" si="34"/>
        <v>0.31210584044050577</v>
      </c>
      <c r="AN43" s="51">
        <f t="shared" ca="1" si="35"/>
        <v>2.090428526314914</v>
      </c>
      <c r="AP43" s="53">
        <f t="shared" ca="1" si="36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01.02'!K44+'Юнит 02-08.02'!K44+'Юнит 09-15.02'!K44+'Юнит 16-22.02'!K44+'Юнит 23-28.02'!K44</f>
        <v>30</v>
      </c>
      <c r="L44" s="36"/>
      <c r="M44" s="36"/>
      <c r="N44" s="37">
        <f t="shared" si="22"/>
        <v>1.0714285714285714</v>
      </c>
      <c r="O44" s="38">
        <f t="shared" ca="1" si="23"/>
        <v>0.4642857142857143</v>
      </c>
      <c r="P44" s="32">
        <f ca="1">'Юнит 01.02'!P44+'Юнит 02-08.02'!P44+'Юнит 09-15.02'!P44+'Юнит 16-22.02'!P44+'Юнит 23-28.02'!P44</f>
        <v>15</v>
      </c>
      <c r="Q44" s="32">
        <f ca="1">'Юнит 01.02'!Q44+'Юнит 02-08.02'!Q44+'Юнит 09-15.02'!Q44+'Юнит 16-22.02'!Q44+'Юнит 23-28.02'!Q44</f>
        <v>2</v>
      </c>
      <c r="R44" s="40">
        <f t="shared" ca="1" si="37"/>
        <v>13</v>
      </c>
      <c r="S44" s="32">
        <f ca="1">'Юнит 01.02'!S44+'Юнит 02-08.02'!S44+'Юнит 09-15.02'!S44+'Юнит 16-22.02'!S44+'Юнит 23-28.02'!S44</f>
        <v>78968</v>
      </c>
      <c r="T44" s="32">
        <f ca="1">'Юнит 01.02'!T44+'Юнит 02-08.02'!T44+'Юнит 09-15.02'!T44+'Юнит 16-22.02'!T44+'Юнит 23-28.02'!T44</f>
        <v>-9590</v>
      </c>
      <c r="U44" s="40">
        <f t="shared" ca="1" si="24"/>
        <v>69378</v>
      </c>
      <c r="V44" s="43">
        <f t="shared" ca="1" si="25"/>
        <v>0.15105620463066585</v>
      </c>
      <c r="W44" s="44">
        <f t="shared" ca="1" si="26"/>
        <v>8931</v>
      </c>
      <c r="X44" s="32">
        <f ca="1">'Юнит 01.02'!X44+'Юнит 02-08.02'!X44+'Юнит 09-15.02'!X44+'Юнит 16-22.02'!X44+'Юнит 23-28.02'!X44</f>
        <v>29832.54</v>
      </c>
      <c r="Y44" s="45">
        <f t="shared" ca="1" si="39"/>
        <v>0.43</v>
      </c>
      <c r="Z44" s="32">
        <f ca="1">'Юнит 01.02'!Z44+'Юнит 02-08.02'!Z44+'Юнит 09-15.02'!Z44+'Юнит 16-22.02'!Z44+'Юнит 23-28.02'!Z44</f>
        <v>7558.3200000000015</v>
      </c>
      <c r="AA44" s="32">
        <f>'Юнит 01.02'!AA44+'Юнит 02-08.02'!AA44+'Юнит 09-15.02'!AA44+'Юнит 16-22.02'!AA44+'Юнит 23-28.02'!AA44</f>
        <v>15600.742328</v>
      </c>
      <c r="AB44" s="55"/>
      <c r="AC44" s="42"/>
      <c r="AD44" s="46">
        <f t="shared" ca="1" si="38"/>
        <v>307.92354145347343</v>
      </c>
      <c r="AE44" s="47">
        <f t="shared" ca="1" si="28"/>
        <v>7147.4741305465259</v>
      </c>
      <c r="AF44" s="46"/>
      <c r="AG44" s="48">
        <f t="shared" ca="1" si="29"/>
        <v>5336.7692307692305</v>
      </c>
      <c r="AH44" s="49">
        <f t="shared" si="30"/>
        <v>687</v>
      </c>
      <c r="AI44" s="49">
        <f t="shared" ca="1" si="31"/>
        <v>2294.8107692307694</v>
      </c>
      <c r="AJ44" s="49">
        <f t="shared" ca="1" si="32"/>
        <v>503.88800000000009</v>
      </c>
      <c r="AK44" s="49">
        <f t="shared" ca="1" si="33"/>
        <v>1040.0494885333333</v>
      </c>
      <c r="AL44" s="49">
        <f t="array" aca="1" ref="AL44" ca="1">_xlfn.IFS(R44=0,AE44,R44&lt;0,AE44/-R44,R44&gt;0,AE44/R44)</f>
        <v>549.80570234973277</v>
      </c>
      <c r="AM44" s="50">
        <f t="shared" ca="1" si="34"/>
        <v>0.10302219911998799</v>
      </c>
      <c r="AN44" s="51">
        <f t="shared" ca="1" si="35"/>
        <v>0.80029942117865027</v>
      </c>
      <c r="AP44" s="53">
        <f t="shared" ca="1" si="36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01.02'!K45+'Юнит 02-08.02'!K45+'Юнит 09-15.02'!K45+'Юнит 16-22.02'!K45+'Юнит 23-28.02'!K45</f>
        <v>27</v>
      </c>
      <c r="L45" s="36"/>
      <c r="M45" s="36"/>
      <c r="N45" s="37">
        <f t="shared" si="22"/>
        <v>0.9642857142857143</v>
      </c>
      <c r="O45" s="38">
        <f t="shared" ca="1" si="23"/>
        <v>0.25</v>
      </c>
      <c r="P45" s="32">
        <f ca="1">'Юнит 01.02'!P45+'Юнит 02-08.02'!P45+'Юнит 09-15.02'!P45+'Юнит 16-22.02'!P45+'Юнит 23-28.02'!P45</f>
        <v>7</v>
      </c>
      <c r="Q45" s="32">
        <f ca="1">'Юнит 01.02'!Q45+'Юнит 02-08.02'!Q45+'Юнит 09-15.02'!Q45+'Юнит 16-22.02'!Q45+'Юнит 23-28.02'!Q45</f>
        <v>0</v>
      </c>
      <c r="R45" s="40">
        <f t="shared" ca="1" si="37"/>
        <v>7</v>
      </c>
      <c r="S45" s="32">
        <f ca="1">'Юнит 01.02'!S45+'Юнит 02-08.02'!S45+'Юнит 09-15.02'!S45+'Юнит 16-22.02'!S45+'Юнит 23-28.02'!S45</f>
        <v>38599</v>
      </c>
      <c r="T45" s="32">
        <f ca="1">'Юнит 01.02'!T45+'Юнит 02-08.02'!T45+'Юнит 09-15.02'!T45+'Юнит 16-22.02'!T45+'Юнит 23-28.02'!T45</f>
        <v>0</v>
      </c>
      <c r="U45" s="40">
        <f t="shared" ca="1" si="24"/>
        <v>38599</v>
      </c>
      <c r="V45" s="43">
        <f t="shared" ca="1" si="25"/>
        <v>8.40413163040023E-2</v>
      </c>
      <c r="W45" s="44">
        <f t="shared" ca="1" si="26"/>
        <v>4809</v>
      </c>
      <c r="X45" s="32">
        <f ca="1">'Юнит 01.02'!X45+'Юнит 02-08.02'!X45+'Юнит 09-15.02'!X45+'Юнит 16-22.02'!X45+'Юнит 23-28.02'!X45</f>
        <v>16597.57</v>
      </c>
      <c r="Y45" s="45">
        <f t="shared" ca="1" si="39"/>
        <v>0.43</v>
      </c>
      <c r="Z45" s="32">
        <f ca="1">'Юнит 01.02'!Z45+'Юнит 02-08.02'!Z45+'Юнит 09-15.02'!Z45+'Юнит 16-22.02'!Z45+'Юнит 23-28.02'!Z45</f>
        <v>3730.2300000000014</v>
      </c>
      <c r="AA45" s="32">
        <f>'Юнит 01.02'!AA45+'Юнит 02-08.02'!AA45+'Юнит 09-15.02'!AA45+'Юнит 16-22.02'!AA45+'Юнит 23-28.02'!AA45</f>
        <v>7932.1415749999996</v>
      </c>
      <c r="AB45" s="55"/>
      <c r="AC45" s="42"/>
      <c r="AD45" s="46">
        <f t="shared" ca="1" si="38"/>
        <v>171.31570204621957</v>
      </c>
      <c r="AE45" s="47">
        <f t="shared" ca="1" si="28"/>
        <v>5358.7427229537798</v>
      </c>
      <c r="AF45" s="46"/>
      <c r="AG45" s="48">
        <f t="shared" ca="1" si="29"/>
        <v>5514.1428571428569</v>
      </c>
      <c r="AH45" s="49">
        <f t="shared" si="30"/>
        <v>687</v>
      </c>
      <c r="AI45" s="49">
        <f t="shared" ca="1" si="31"/>
        <v>2371.0814285714287</v>
      </c>
      <c r="AJ45" s="49">
        <f t="shared" ca="1" si="32"/>
        <v>532.89000000000021</v>
      </c>
      <c r="AK45" s="49">
        <f t="shared" ca="1" si="33"/>
        <v>1133.1630821428571</v>
      </c>
      <c r="AL45" s="49">
        <f t="array" aca="1" ref="AL45" ca="1">_xlfn.IFS(R45=0,AE45,R45&lt;0,AE45/-R45,R45&gt;0,AE45/R45)</f>
        <v>765.53467470768283</v>
      </c>
      <c r="AM45" s="50">
        <f t="shared" ca="1" si="34"/>
        <v>0.13883112834409647</v>
      </c>
      <c r="AN45" s="51">
        <f t="shared" ca="1" si="35"/>
        <v>1.1143153925876024</v>
      </c>
      <c r="AP45" s="53">
        <f t="shared" ca="1" si="36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01.02'!K46+'Юнит 02-08.02'!K46+'Юнит 09-15.02'!K46+'Юнит 16-22.02'!K46+'Юнит 23-28.02'!K46</f>
        <v>20</v>
      </c>
      <c r="L46" s="36"/>
      <c r="M46" s="36"/>
      <c r="N46" s="37">
        <f t="shared" si="22"/>
        <v>0.7142857142857143</v>
      </c>
      <c r="O46" s="38">
        <f t="shared" ca="1" si="23"/>
        <v>0.2857142857142857</v>
      </c>
      <c r="P46" s="32">
        <f ca="1">'Юнит 01.02'!P46+'Юнит 02-08.02'!P46+'Юнит 09-15.02'!P46+'Юнит 16-22.02'!P46+'Юнит 23-28.02'!P46</f>
        <v>8</v>
      </c>
      <c r="Q46" s="32">
        <f ca="1">'Юнит 01.02'!Q46+'Юнит 02-08.02'!Q46+'Юнит 09-15.02'!Q46+'Юнит 16-22.02'!Q46+'Юнит 23-28.02'!Q46</f>
        <v>0</v>
      </c>
      <c r="R46" s="40">
        <f t="shared" ca="1" si="37"/>
        <v>8</v>
      </c>
      <c r="S46" s="32">
        <f ca="1">'Юнит 01.02'!S46+'Юнит 02-08.02'!S46+'Юнит 09-15.02'!S46+'Юнит 16-22.02'!S46+'Юнит 23-28.02'!S46</f>
        <v>39178</v>
      </c>
      <c r="T46" s="32">
        <f ca="1">'Юнит 01.02'!T46+'Юнит 02-08.02'!T46+'Юнит 09-15.02'!T46+'Юнит 16-22.02'!T46+'Юнит 23-28.02'!T46</f>
        <v>0</v>
      </c>
      <c r="U46" s="40">
        <f t="shared" ca="1" si="24"/>
        <v>39178</v>
      </c>
      <c r="V46" s="43">
        <f t="shared" ca="1" si="25"/>
        <v>8.5301968707951037E-2</v>
      </c>
      <c r="W46" s="44">
        <f t="shared" ca="1" si="26"/>
        <v>4416</v>
      </c>
      <c r="X46" s="32">
        <f ca="1">'Юнит 01.02'!X46+'Юнит 02-08.02'!X46+'Юнит 09-15.02'!X46+'Юнит 16-22.02'!X46+'Юнит 23-28.02'!X46</f>
        <v>16846.54</v>
      </c>
      <c r="Y46" s="45">
        <f t="shared" ca="1" si="39"/>
        <v>0.43000000000000005</v>
      </c>
      <c r="Z46" s="32">
        <f ca="1">'Юнит 01.02'!Z46+'Юнит 02-08.02'!Z46+'Юнит 09-15.02'!Z46+'Юнит 16-22.02'!Z46+'Юнит 23-28.02'!Z46</f>
        <v>3232.7400000000002</v>
      </c>
      <c r="AA46" s="32">
        <f>'Юнит 01.02'!AA46+'Юнит 02-08.02'!AA46+'Юнит 09-15.02'!AA46+'Юнит 16-22.02'!AA46+'Юнит 23-28.02'!AA46</f>
        <v>11913.309413999999</v>
      </c>
      <c r="AB46" s="55"/>
      <c r="AC46" s="42"/>
      <c r="AD46" s="46">
        <f t="shared" ca="1" si="38"/>
        <v>173.88550415209696</v>
      </c>
      <c r="AE46" s="47">
        <f t="shared" ca="1" si="28"/>
        <v>2595.525081847903</v>
      </c>
      <c r="AF46" s="46"/>
      <c r="AG46" s="48">
        <f t="shared" ca="1" si="29"/>
        <v>4897.25</v>
      </c>
      <c r="AH46" s="49">
        <f t="shared" si="30"/>
        <v>552</v>
      </c>
      <c r="AI46" s="49">
        <f t="shared" ca="1" si="31"/>
        <v>2105.8175000000001</v>
      </c>
      <c r="AJ46" s="49">
        <f t="shared" ca="1" si="32"/>
        <v>404.09250000000003</v>
      </c>
      <c r="AK46" s="49">
        <f t="shared" ca="1" si="33"/>
        <v>1489.1636767499999</v>
      </c>
      <c r="AL46" s="49">
        <f t="array" aca="1" ref="AL46" ca="1">_xlfn.IFS(R46=0,AE46,R46&lt;0,AE46/-R46,R46&gt;0,AE46/R46)</f>
        <v>324.44063523098788</v>
      </c>
      <c r="AM46" s="50">
        <f t="shared" ca="1" si="34"/>
        <v>6.6249555409870417E-2</v>
      </c>
      <c r="AN46" s="51">
        <f t="shared" ca="1" si="35"/>
        <v>0.58775477396918097</v>
      </c>
      <c r="AP46" s="53">
        <f t="shared" ca="1" si="36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01.02'!K47+'Юнит 02-08.02'!K47+'Юнит 09-15.02'!K47+'Юнит 16-22.02'!K47+'Юнит 23-28.02'!K47</f>
        <v>8</v>
      </c>
      <c r="L47" s="36"/>
      <c r="M47" s="36"/>
      <c r="N47" s="37">
        <f t="shared" si="22"/>
        <v>0.2857142857142857</v>
      </c>
      <c r="O47" s="38">
        <f t="shared" ca="1" si="23"/>
        <v>0</v>
      </c>
      <c r="P47" s="32">
        <f ca="1">'Юнит 01.02'!P47+'Юнит 02-08.02'!P47+'Юнит 09-15.02'!P47+'Юнит 16-22.02'!P47+'Юнит 23-28.02'!P47</f>
        <v>0</v>
      </c>
      <c r="Q47" s="32">
        <f ca="1">'Юнит 01.02'!Q47+'Юнит 02-08.02'!Q47+'Юнит 09-15.02'!Q47+'Юнит 16-22.02'!Q47+'Юнит 23-28.02'!Q47</f>
        <v>0</v>
      </c>
      <c r="R47" s="40">
        <f t="shared" ca="1" si="37"/>
        <v>0</v>
      </c>
      <c r="S47" s="32">
        <f ca="1">'Юнит 01.02'!S47+'Юнит 02-08.02'!S47+'Юнит 09-15.02'!S47+'Юнит 16-22.02'!S47+'Юнит 23-28.02'!S47</f>
        <v>0</v>
      </c>
      <c r="T47" s="32">
        <f ca="1">'Юнит 01.02'!T47+'Юнит 02-08.02'!T47+'Юнит 09-15.02'!T47+'Юнит 16-22.02'!T47+'Юнит 23-28.02'!T47</f>
        <v>0</v>
      </c>
      <c r="U47" s="40">
        <f t="shared" ca="1" si="24"/>
        <v>0</v>
      </c>
      <c r="V47" s="43">
        <f t="shared" ca="1" si="25"/>
        <v>0</v>
      </c>
      <c r="W47" s="44">
        <f t="shared" ca="1" si="26"/>
        <v>0</v>
      </c>
      <c r="X47" s="32">
        <f ca="1">'Юнит 01.02'!X47+'Юнит 02-08.02'!X47+'Юнит 09-15.02'!X47+'Юнит 16-22.02'!X47+'Юнит 23-28.02'!X47</f>
        <v>0</v>
      </c>
      <c r="Y47" s="45">
        <f t="shared" ca="1" si="39"/>
        <v>0</v>
      </c>
      <c r="Z47" s="32">
        <f ca="1">'Юнит 01.02'!Z47+'Юнит 02-08.02'!Z47+'Юнит 09-15.02'!Z47+'Юнит 16-22.02'!Z47+'Юнит 23-28.02'!Z47</f>
        <v>341.64</v>
      </c>
      <c r="AA47" s="32">
        <f>'Юнит 01.02'!AA47+'Юнит 02-08.02'!AA47+'Юнит 09-15.02'!AA47+'Юнит 16-22.02'!AA47+'Юнит 23-28.02'!AA47</f>
        <v>0</v>
      </c>
      <c r="AB47" s="55"/>
      <c r="AC47" s="42"/>
      <c r="AD47" s="46">
        <f t="shared" ca="1" si="38"/>
        <v>0</v>
      </c>
      <c r="AE47" s="47">
        <f ca="1">U47-W47-X47-Z47-AA47-AB47-AC47-AD47</f>
        <v>-341.64</v>
      </c>
      <c r="AF47" s="46"/>
      <c r="AG47" s="48">
        <f t="shared" ca="1" si="29"/>
        <v>0</v>
      </c>
      <c r="AH47" s="49">
        <f t="shared" si="30"/>
        <v>552</v>
      </c>
      <c r="AI47" s="49">
        <f t="shared" ca="1" si="31"/>
        <v>0</v>
      </c>
      <c r="AJ47" s="49">
        <f t="shared" ca="1" si="32"/>
        <v>341.64</v>
      </c>
      <c r="AK47" s="49">
        <f t="shared" ca="1" si="33"/>
        <v>0</v>
      </c>
      <c r="AL47" s="49">
        <f t="array" aca="1" ref="AL47" ca="1">_xlfn.IFS(R47=0,AE47,R47&lt;0,AE47/-R47,R47&gt;0,AE47/R47)</f>
        <v>-341.64</v>
      </c>
      <c r="AM47" s="50">
        <f t="shared" ca="1" si="34"/>
        <v>0</v>
      </c>
      <c r="AN47" s="51">
        <f t="shared" ca="1" si="35"/>
        <v>-0.61891304347826082</v>
      </c>
      <c r="AP47" s="53">
        <f t="shared" ca="1" si="36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ca="1" si="40">AVERAGEIF(AG28:AG47,"&lt;&gt;0",AG28:AG47)</f>
        <v>4505.5874625374627</v>
      </c>
      <c r="AH48" s="86">
        <f t="shared" si="40"/>
        <v>617.25</v>
      </c>
      <c r="AI48" s="86">
        <f t="shared" ca="1" si="40"/>
        <v>1937.4026088911094</v>
      </c>
      <c r="AJ48" s="86">
        <f t="shared" ca="1" si="40"/>
        <v>335.64774999999997</v>
      </c>
      <c r="AK48" s="86">
        <f t="shared" ca="1" si="40"/>
        <v>1447.1432285232145</v>
      </c>
      <c r="AL48" s="86">
        <f t="shared" ca="1" si="40"/>
        <v>477.37229078567657</v>
      </c>
      <c r="AM48" s="87">
        <f t="shared" ca="1" si="40"/>
        <v>0.22459021529745121</v>
      </c>
      <c r="AN48" s="87">
        <f t="shared" ca="1" si="40"/>
        <v>0.76076327503541807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129</v>
      </c>
      <c r="L49" s="93"/>
      <c r="M49" s="93"/>
      <c r="N49" s="94"/>
      <c r="O49" s="95"/>
      <c r="P49" s="90">
        <f ca="1">SUM(P28:P47)</f>
        <v>47</v>
      </c>
      <c r="Q49" s="90">
        <f ca="1">SUM(Q28:Q47)</f>
        <v>3</v>
      </c>
      <c r="R49" s="96">
        <f t="shared" ref="R49:W49" ca="1" si="41">SUM(R28:R47)</f>
        <v>44</v>
      </c>
      <c r="S49" s="90">
        <f ca="1">SUM(S28:S47)</f>
        <v>229787</v>
      </c>
      <c r="T49" s="90">
        <f ca="1">SUM(T28:T47)</f>
        <v>-13225</v>
      </c>
      <c r="U49" s="96">
        <f t="shared" ca="1" si="41"/>
        <v>216562</v>
      </c>
      <c r="V49" s="97">
        <f t="shared" ca="1" si="41"/>
        <v>0.47151883575811149</v>
      </c>
      <c r="W49" s="90">
        <f t="shared" ca="1" si="41"/>
        <v>28458</v>
      </c>
      <c r="X49" s="90">
        <f ca="1">SUM(X28:X47)</f>
        <v>93121.66</v>
      </c>
      <c r="Y49" s="98">
        <f ca="1">IF(U49=0,0,X49/U49)</f>
        <v>0.43</v>
      </c>
      <c r="Z49" s="90">
        <f ca="1">SUM(Z28:Z47)</f>
        <v>21686.020000000004</v>
      </c>
      <c r="AA49" s="90">
        <f t="shared" ref="AA49:AD49" si="42">SUM(AA28:AA47)</f>
        <v>42252.383317</v>
      </c>
      <c r="AB49" s="90">
        <f t="shared" si="42"/>
        <v>0</v>
      </c>
      <c r="AC49" s="90">
        <f t="shared" si="42"/>
        <v>0</v>
      </c>
      <c r="AD49" s="96">
        <f t="shared" ca="1" si="42"/>
        <v>961.17700112783757</v>
      </c>
      <c r="AE49" s="90">
        <f ca="1">SUM(AE28:AE47)</f>
        <v>30082.759681872161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 ca="1"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32">
        <f>'Юнит 01.02'!AA50+'Юнит 02-08.02'!AA50+'Юнит 09-15.02'!AA50+'Юнит 16-22.02'!AA50+'Юнит 23-28.02'!AA50</f>
        <v>42252.383317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400</v>
      </c>
      <c r="L51" s="119"/>
      <c r="M51" s="119"/>
      <c r="N51" s="119"/>
      <c r="O51" s="119"/>
      <c r="P51" s="118">
        <f ca="1">P26+P49</f>
        <v>180</v>
      </c>
      <c r="Q51" s="118">
        <f ca="1">Q26+Q49</f>
        <v>11</v>
      </c>
      <c r="R51" s="121">
        <f t="shared" ref="R51:W51" ca="1" si="43">R26+R49</f>
        <v>169</v>
      </c>
      <c r="S51" s="118">
        <f ca="1">S26+S49</f>
        <v>488230</v>
      </c>
      <c r="T51" s="118">
        <f ca="1">T26+T49</f>
        <v>-28944</v>
      </c>
      <c r="U51" s="121">
        <f t="shared" ca="1" si="43"/>
        <v>459286</v>
      </c>
      <c r="V51" s="122">
        <f t="shared" ca="1" si="43"/>
        <v>1</v>
      </c>
      <c r="W51" s="118">
        <f t="shared" ca="1" si="43"/>
        <v>45979.59</v>
      </c>
      <c r="X51" s="118">
        <f ca="1">X26+X49</f>
        <v>197492.98</v>
      </c>
      <c r="Y51" s="123">
        <f ca="1">X51/U51</f>
        <v>0.43000000000000005</v>
      </c>
      <c r="Z51" s="118">
        <f ca="1">Z26+Z49</f>
        <v>50823.570000000043</v>
      </c>
      <c r="AA51" s="251">
        <f>'Юнит 01.02'!AA51+'Юнит 02-08.02'!AA51+'Юнит 09-15.02'!AA51+'Юнит 16-22.02'!AA51+'Юнит 23-28.02'!AA51</f>
        <v>99386.209999999992</v>
      </c>
      <c r="AB51" s="125"/>
      <c r="AC51" s="125">
        <f>SUM(AC3:AC47)</f>
        <v>0</v>
      </c>
      <c r="AD51" s="118">
        <f ca="1">AD26+AD49</f>
        <v>2038.4700000000003</v>
      </c>
      <c r="AE51" s="253">
        <f ca="1">AE26+AE49</f>
        <v>63565.037926999983</v>
      </c>
      <c r="AF51" s="127"/>
      <c r="AG51" s="128"/>
      <c r="AH51" s="129"/>
      <c r="AI51" s="129"/>
      <c r="AJ51" s="129"/>
      <c r="AK51" s="129">
        <f ca="1">AA52/P51</f>
        <v>552.14640040555548</v>
      </c>
      <c r="AL51" s="129"/>
      <c r="AM51" s="129"/>
      <c r="AN51" s="130"/>
      <c r="AP51" s="126">
        <f ca="1"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99386.352072999987</v>
      </c>
      <c r="AB52" s="141"/>
      <c r="AC52" s="142"/>
      <c r="AE52" s="254">
        <f>Сводная!Z29+Сводная!R29+Сводная!S29+Сводная!T29+Сводная!V29-Сводная!U29-Сводная!W29-(AA52-AA51)</f>
        <v>87164.597927000039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99386.352073000002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 ca="1">AP51-K58-K60</f>
        <v>0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95" priority="43" operator="greaterThan">
      <formula>120</formula>
    </cfRule>
  </conditionalFormatting>
  <conditionalFormatting sqref="AM56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{E6A4D406-C51E-4733-8800-1A529A2C04DA}</x14:id>
        </ext>
      </extLst>
    </cfRule>
  </conditionalFormatting>
  <conditionalFormatting sqref="AP3:AP7 AP27:AP47 AP50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{C5BA2F03-7699-44DE-AF1B-6731ABE6D2FF}</x14:id>
        </ext>
      </extLst>
    </cfRule>
  </conditionalFormatting>
  <conditionalFormatting sqref="AE3:AE7 AE27:AE48 AE50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{97449B29-9B18-4DDC-85E3-BD7427CEB20B}</x14:id>
        </ext>
      </extLst>
    </cfRule>
  </conditionalFormatting>
  <conditionalFormatting sqref="AL3:AL7 AL27:AL47 AL50 AL10:AL2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{A7D518DF-8223-4396-8481-05AA72B7A9B5}</x14:id>
        </ext>
      </extLst>
    </cfRule>
  </conditionalFormatting>
  <conditionalFormatting sqref="AM3:AN7 AM27:AN47 AM50:AN50 AM10:AN24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{601C5928-B765-4356-A4E2-04831C6E5B0A}</x14:id>
        </ext>
      </extLst>
    </cfRule>
  </conditionalFormatting>
  <conditionalFormatting sqref="AP3:AP7 AP27:AP47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{08A86863-BCFE-46EF-A047-9901F0CF7C85}</x14:id>
        </ext>
      </extLst>
    </cfRule>
  </conditionalFormatting>
  <conditionalFormatting sqref="AE3:AE7 AE27:AE48 AE10:AE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{475B864C-36C4-4E65-8FE9-6DA1E6023BBE}</x14:id>
        </ext>
      </extLst>
    </cfRule>
  </conditionalFormatting>
  <conditionalFormatting sqref="U27 U48 U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{450FA76B-F1F5-430C-99F6-C8B0261018D2}</x14:id>
        </ext>
      </extLst>
    </cfRule>
  </conditionalFormatting>
  <conditionalFormatting sqref="AP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{742ACB56-FBBA-40AE-8C1C-C6BE7FFBFE0F}</x14:id>
        </ext>
      </extLst>
    </cfRule>
  </conditionalFormatting>
  <conditionalFormatting sqref="AP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{E14E8881-0E10-4072-A336-A16F42EDEECA}</x14:id>
        </ext>
      </extLst>
    </cfRule>
  </conditionalFormatting>
  <conditionalFormatting sqref="W50">
    <cfRule type="cellIs" dxfId="194" priority="35" operator="greaterThan">
      <formula>120</formula>
    </cfRule>
  </conditionalFormatting>
  <conditionalFormatting sqref="R50">
    <cfRule type="cellIs" dxfId="193" priority="38" operator="greaterThan">
      <formula>120</formula>
    </cfRule>
  </conditionalFormatting>
  <conditionalFormatting sqref="U50">
    <cfRule type="cellIs" dxfId="192" priority="37" operator="greaterThan">
      <formula>120</formula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{A9A45816-8476-4681-B600-C20CA463F30A}</x14:id>
        </ext>
      </extLst>
    </cfRule>
  </conditionalFormatting>
  <conditionalFormatting sqref="AP4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{1C74BBDD-79F8-4974-A788-5B6E27D64588}</x14:id>
        </ext>
      </extLst>
    </cfRule>
  </conditionalFormatting>
  <conditionalFormatting sqref="J8:J9">
    <cfRule type="cellIs" dxfId="191" priority="26" operator="greaterThan">
      <formula>120</formula>
    </cfRule>
  </conditionalFormatting>
  <conditionalFormatting sqref="AP8:AP9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{1E5D2E70-7CBC-44F8-B39C-77C3A3FE0792}</x14:id>
        </ext>
      </extLst>
    </cfRule>
  </conditionalFormatting>
  <conditionalFormatting sqref="AE8:AE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{4A23701B-BD14-4191-8E30-0BEF912047D0}</x14:id>
        </ext>
      </extLst>
    </cfRule>
  </conditionalFormatting>
  <conditionalFormatting sqref="AL8:AL9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{4814A0A3-F9E8-4C08-BA8F-6622EB684BC4}</x14:id>
        </ext>
      </extLst>
    </cfRule>
  </conditionalFormatting>
  <conditionalFormatting sqref="AM8:AN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{B9F7ED8C-6986-4D3A-A772-0A14E9653D0B}</x14:id>
        </ext>
      </extLst>
    </cfRule>
  </conditionalFormatting>
  <conditionalFormatting sqref="AP8:AP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{A6FC3C7C-2274-4F06-AB69-B509F379A277}</x14:id>
        </ext>
      </extLst>
    </cfRule>
  </conditionalFormatting>
  <conditionalFormatting sqref="AE8:AE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{E56589BF-5BA3-459C-A5C8-261463FFDC76}</x14:id>
        </ext>
      </extLst>
    </cfRule>
  </conditionalFormatting>
  <conditionalFormatting sqref="U3:U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{8893857E-7324-497B-BF22-F7EB11689213}</x14:id>
        </ext>
      </extLst>
    </cfRule>
  </conditionalFormatting>
  <conditionalFormatting sqref="U28:U4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{32167EFF-43E7-4761-83AC-10660BAAEAC7}</x14:id>
        </ext>
      </extLst>
    </cfRule>
  </conditionalFormatting>
  <conditionalFormatting sqref="N50">
    <cfRule type="cellIs" dxfId="190" priority="15" operator="between">
      <formula>0.000001</formula>
      <formula>25</formula>
    </cfRule>
  </conditionalFormatting>
  <conditionalFormatting sqref="P50">
    <cfRule type="cellIs" dxfId="189" priority="14" operator="greaterThan">
      <formula>120</formula>
    </cfRule>
  </conditionalFormatting>
  <conditionalFormatting sqref="Q50">
    <cfRule type="cellIs" dxfId="188" priority="13" operator="greaterThan">
      <formula>120</formula>
    </cfRule>
  </conditionalFormatting>
  <conditionalFormatting sqref="S50">
    <cfRule type="cellIs" dxfId="187" priority="12" operator="greaterThan">
      <formula>120</formula>
    </cfRule>
  </conditionalFormatting>
  <conditionalFormatting sqref="T50">
    <cfRule type="cellIs" dxfId="186" priority="11" operator="greaterThan">
      <formula>120</formula>
    </cfRule>
  </conditionalFormatting>
  <conditionalFormatting sqref="X50">
    <cfRule type="cellIs" dxfId="185" priority="10" operator="greaterThan">
      <formula>120</formula>
    </cfRule>
  </conditionalFormatting>
  <conditionalFormatting sqref="Z50">
    <cfRule type="cellIs" dxfId="184" priority="9" operator="greaterThan">
      <formula>120</formula>
    </cfRule>
  </conditionalFormatting>
  <conditionalFormatting sqref="V1 V52:V55 V57:V1048576">
    <cfRule type="cellIs" dxfId="18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{CF34A5F8-3446-469A-AF4A-BC9F56B12BA8}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{F57CBFF5-D048-40E1-BFCD-45759033C46C}</x14:id>
        </ext>
      </extLst>
    </cfRule>
  </conditionalFormatting>
  <conditionalFormatting sqref="V50">
    <cfRule type="cellIs" dxfId="18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{21035734-12A3-4C0C-8ED3-13BA4583BD7B}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{C3DE4E60-1709-410F-8BB8-690FB094CD91}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{6E747856-6EAE-40A6-AD8E-E34218CF2C4C}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{DA8179CF-6CC7-4162-B7DC-708F05D12907}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A4D406-C51E-4733-8800-1A529A2C04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5BA2F03-7699-44DE-AF1B-6731ABE6D2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7449B29-9B18-4DDC-85E3-BD7427CEB2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7D518DF-8223-4396-8481-05AA72B7A9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01C5928-B765-4356-A4E2-04831C6E5B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08A86863-BCFE-46EF-A047-9901F0CF7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475B864C-36C4-4E65-8FE9-6DA1E6023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450FA76B-F1F5-430C-99F6-C8B026101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42ACB56-FBBA-40AE-8C1C-C6BE7FFBFE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14E8881-0E10-4072-A336-A16F42EDEE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9A45816-8476-4681-B600-C20CA463F3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C74BBDD-79F8-4974-A788-5B6E27D645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E5D2E70-7CBC-44F8-B39C-77C3A3FE0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A23701B-BD14-4191-8E30-0BEF91204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814A0A3-F9E8-4C08-BA8F-6622EB684B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9F7ED8C-6986-4D3A-A772-0A14E9653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A6FC3C7C-2274-4F06-AB69-B509F379A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56589BF-5BA3-459C-A5C8-261463FFDC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893857E-7324-497B-BF22-F7EB116892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32167EFF-43E7-4761-83AC-10660BAAEA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CF34A5F8-3446-469A-AF4A-BC9F56B12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57CBFF5-D048-40E1-BFCD-45759033C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1035734-12A3-4C0C-8ED3-13BA4583B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3DE4E60-1709-410F-8BB8-690FB094C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6E747856-6EAE-40A6-AD8E-E34218CF2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A8179CF-6CC7-4162-B7DC-708F05D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4DA5-924E-46EA-9058-2A3BD93FAEFC}">
  <dimension ref="A1:AZ64"/>
  <sheetViews>
    <sheetView topLeftCell="R1" zoomScale="70" zoomScaleNormal="70" workbookViewId="0">
      <selection activeCell="AA1" sqref="AA1:AE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1004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1005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01.03'!C3</f>
        <v>0</v>
      </c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23-28.02'!K3+'Юнит 01.03'!K3</f>
        <v>0</v>
      </c>
      <c r="L3" s="36"/>
      <c r="M3" s="36"/>
      <c r="N3" s="37">
        <f>K3/$O$1</f>
        <v>0</v>
      </c>
      <c r="O3" s="38">
        <f ca="1">R3/$O$1</f>
        <v>0</v>
      </c>
      <c r="P3" s="32">
        <f ca="1">'Юнит 23-28.02'!P3+'Юнит 01.03'!P3</f>
        <v>0</v>
      </c>
      <c r="Q3" s="32">
        <f ca="1">'Юнит 23-28.02'!Q3+'Юнит 01.03'!Q3</f>
        <v>0</v>
      </c>
      <c r="R3" s="40">
        <f t="shared" ref="R3:R24" ca="1" si="1">P3-Q3</f>
        <v>0</v>
      </c>
      <c r="S3" s="32">
        <f ca="1">'Юнит 23-28.02'!S3+'Юнит 01.03'!S3</f>
        <v>0</v>
      </c>
      <c r="T3" s="32">
        <f ca="1">'Юнит 23-28.02'!T3+'Юнит 01.03'!T3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32">
        <f ca="1">'Юнит 23-28.02'!X3+'Юнит 01.03'!X3</f>
        <v>0</v>
      </c>
      <c r="Y3" s="45">
        <f t="shared" ref="Y3:Y24" ca="1" si="4">IF(U3=0,0,X3/U3)</f>
        <v>0</v>
      </c>
      <c r="Z3" s="32">
        <f ca="1">'Юнит 23-28.02'!Z3+'Юнит 01.03'!Z3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23-28.02'!K4+'Юнит 01.03'!K4</f>
        <v>0</v>
      </c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2">
        <f ca="1">'Юнит 23-28.02'!P4+'Юнит 01.03'!P4</f>
        <v>0</v>
      </c>
      <c r="Q4" s="32">
        <f ca="1">'Юнит 23-28.02'!Q4+'Юнит 01.03'!Q4</f>
        <v>0</v>
      </c>
      <c r="R4" s="40">
        <f t="shared" ca="1" si="1"/>
        <v>0</v>
      </c>
      <c r="S4" s="32">
        <f ca="1">'Юнит 23-28.02'!S4+'Юнит 01.03'!S4</f>
        <v>0</v>
      </c>
      <c r="T4" s="32">
        <f ca="1">'Юнит 23-28.02'!T4+'Юнит 01.03'!T4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32">
        <f ca="1">'Юнит 23-28.02'!X4+'Юнит 01.03'!X4</f>
        <v>0</v>
      </c>
      <c r="Y4" s="45">
        <f t="shared" ca="1" si="4"/>
        <v>0</v>
      </c>
      <c r="Z4" s="32">
        <f ca="1">'Юнит 23-28.02'!Z4+'Юнит 01.03'!Z4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23-28.02'!K5+'Юнит 01.03'!K5</f>
        <v>0</v>
      </c>
      <c r="L5" s="36"/>
      <c r="M5" s="36"/>
      <c r="N5" s="37">
        <f t="shared" si="14"/>
        <v>0</v>
      </c>
      <c r="O5" s="38">
        <f t="shared" ca="1" si="15"/>
        <v>0</v>
      </c>
      <c r="P5" s="32">
        <f ca="1">'Юнит 23-28.02'!P5+'Юнит 01.03'!P5</f>
        <v>0</v>
      </c>
      <c r="Q5" s="32">
        <f ca="1">'Юнит 23-28.02'!Q5+'Юнит 01.03'!Q5</f>
        <v>0</v>
      </c>
      <c r="R5" s="40">
        <f t="shared" ca="1" si="1"/>
        <v>0</v>
      </c>
      <c r="S5" s="32">
        <f ca="1">'Юнит 23-28.02'!S5+'Юнит 01.03'!S5</f>
        <v>0</v>
      </c>
      <c r="T5" s="32">
        <f ca="1">'Юнит 23-28.02'!T5+'Юнит 01.03'!T5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32">
        <f ca="1">'Юнит 23-28.02'!X5+'Юнит 01.03'!X5</f>
        <v>0</v>
      </c>
      <c r="Y5" s="45">
        <f t="shared" ca="1" si="4"/>
        <v>0</v>
      </c>
      <c r="Z5" s="32">
        <f ca="1">'Юнит 23-28.02'!Z5+'Юнит 01.03'!Z5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23-28.02'!K6+'Юнит 01.03'!K6</f>
        <v>0</v>
      </c>
      <c r="L6" s="36"/>
      <c r="M6" s="36"/>
      <c r="N6" s="37">
        <f t="shared" si="14"/>
        <v>0</v>
      </c>
      <c r="O6" s="38">
        <f t="shared" ca="1" si="15"/>
        <v>0</v>
      </c>
      <c r="P6" s="32">
        <f ca="1">'Юнит 23-28.02'!P6+'Юнит 01.03'!P6</f>
        <v>0</v>
      </c>
      <c r="Q6" s="32">
        <f ca="1">'Юнит 23-28.02'!Q6+'Юнит 01.03'!Q6</f>
        <v>0</v>
      </c>
      <c r="R6" s="40">
        <f t="shared" ca="1" si="1"/>
        <v>0</v>
      </c>
      <c r="S6" s="32">
        <f ca="1">'Юнит 23-28.02'!S6+'Юнит 01.03'!S6</f>
        <v>0</v>
      </c>
      <c r="T6" s="32">
        <f ca="1">'Юнит 23-28.02'!T6+'Юнит 01.03'!T6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32">
        <f ca="1">'Юнит 23-28.02'!X6+'Юнит 01.03'!X6</f>
        <v>0</v>
      </c>
      <c r="Y6" s="45">
        <f t="shared" ca="1" si="4"/>
        <v>0</v>
      </c>
      <c r="Z6" s="32">
        <f ca="1">'Юнит 23-28.02'!Z6+'Юнит 01.03'!Z6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23-28.02'!K7+'Юнит 01.03'!K7</f>
        <v>0</v>
      </c>
      <c r="L7" s="36"/>
      <c r="M7" s="36"/>
      <c r="N7" s="37">
        <f t="shared" si="14"/>
        <v>0</v>
      </c>
      <c r="O7" s="38">
        <f t="shared" ca="1" si="15"/>
        <v>0</v>
      </c>
      <c r="P7" s="32">
        <f ca="1">'Юнит 23-28.02'!P7+'Юнит 01.03'!P7</f>
        <v>0</v>
      </c>
      <c r="Q7" s="32">
        <f ca="1">'Юнит 23-28.02'!Q7+'Юнит 01.03'!Q7</f>
        <v>0</v>
      </c>
      <c r="R7" s="40">
        <f t="shared" ca="1" si="1"/>
        <v>0</v>
      </c>
      <c r="S7" s="32">
        <f ca="1">'Юнит 23-28.02'!S7+'Юнит 01.03'!S7</f>
        <v>0</v>
      </c>
      <c r="T7" s="32">
        <f ca="1">'Юнит 23-28.02'!T7+'Юнит 01.03'!T7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32">
        <f ca="1">'Юнит 23-28.02'!X7+'Юнит 01.03'!X7</f>
        <v>0</v>
      </c>
      <c r="Y7" s="45">
        <f t="shared" ca="1" si="4"/>
        <v>0</v>
      </c>
      <c r="Z7" s="32">
        <f ca="1">'Юнит 23-28.02'!Z7+'Юнит 01.03'!Z7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23-28.02'!K8+'Юнит 01.03'!K8</f>
        <v>0</v>
      </c>
      <c r="L8" s="36"/>
      <c r="M8" s="36"/>
      <c r="N8" s="37">
        <f t="shared" si="14"/>
        <v>0</v>
      </c>
      <c r="O8" s="38">
        <f t="shared" ca="1" si="15"/>
        <v>0</v>
      </c>
      <c r="P8" s="32">
        <f ca="1">'Юнит 23-28.02'!P8+'Юнит 01.03'!P8</f>
        <v>0</v>
      </c>
      <c r="Q8" s="32">
        <f ca="1">'Юнит 23-28.02'!Q8+'Юнит 01.03'!Q8</f>
        <v>0</v>
      </c>
      <c r="R8" s="40">
        <f t="shared" ca="1" si="1"/>
        <v>0</v>
      </c>
      <c r="S8" s="32">
        <f ca="1">'Юнит 23-28.02'!S8+'Юнит 01.03'!S8</f>
        <v>0</v>
      </c>
      <c r="T8" s="32">
        <f ca="1">'Юнит 23-28.02'!T8+'Юнит 01.03'!T8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32">
        <f ca="1">'Юнит 23-28.02'!X8+'Юнит 01.03'!X8</f>
        <v>0</v>
      </c>
      <c r="Y8" s="45">
        <f t="shared" ca="1" si="4"/>
        <v>0</v>
      </c>
      <c r="Z8" s="32">
        <f ca="1">'Юнит 23-28.02'!Z8+'Юнит 01.03'!Z8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23-28.02'!K9+'Юнит 01.03'!K9</f>
        <v>0</v>
      </c>
      <c r="L9" s="36"/>
      <c r="M9" s="36"/>
      <c r="N9" s="37">
        <f t="shared" si="14"/>
        <v>0</v>
      </c>
      <c r="O9" s="38">
        <f t="shared" ca="1" si="15"/>
        <v>0</v>
      </c>
      <c r="P9" s="32">
        <f ca="1">'Юнит 23-28.02'!P9+'Юнит 01.03'!P9</f>
        <v>0</v>
      </c>
      <c r="Q9" s="32">
        <f ca="1">'Юнит 23-28.02'!Q9+'Юнит 01.03'!Q9</f>
        <v>0</v>
      </c>
      <c r="R9" s="40">
        <f t="shared" ca="1" si="1"/>
        <v>0</v>
      </c>
      <c r="S9" s="32">
        <f ca="1">'Юнит 23-28.02'!S9+'Юнит 01.03'!S9</f>
        <v>0</v>
      </c>
      <c r="T9" s="32">
        <f ca="1">'Юнит 23-28.02'!T9+'Юнит 01.03'!T9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32">
        <f ca="1">'Юнит 23-28.02'!X9+'Юнит 01.03'!X9</f>
        <v>0</v>
      </c>
      <c r="Y9" s="45">
        <f t="shared" ca="1" si="4"/>
        <v>0</v>
      </c>
      <c r="Z9" s="32">
        <f ca="1">'Юнит 23-28.02'!Z9+'Юнит 01.03'!Z9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23-28.02'!K10+'Юнит 01.03'!K10</f>
        <v>0</v>
      </c>
      <c r="L10" s="36"/>
      <c r="M10" s="36"/>
      <c r="N10" s="37">
        <f t="shared" si="14"/>
        <v>0</v>
      </c>
      <c r="O10" s="38">
        <f t="shared" ca="1" si="15"/>
        <v>0</v>
      </c>
      <c r="P10" s="32">
        <f ca="1">'Юнит 23-28.02'!P10+'Юнит 01.03'!P10</f>
        <v>0</v>
      </c>
      <c r="Q10" s="32">
        <f ca="1">'Юнит 23-28.02'!Q10+'Юнит 01.03'!Q10</f>
        <v>0</v>
      </c>
      <c r="R10" s="40">
        <f t="shared" ca="1" si="1"/>
        <v>0</v>
      </c>
      <c r="S10" s="32">
        <f ca="1">'Юнит 23-28.02'!S10+'Юнит 01.03'!S10</f>
        <v>0</v>
      </c>
      <c r="T10" s="32">
        <f ca="1">'Юнит 23-28.02'!T10+'Юнит 01.03'!T10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32">
        <f ca="1">'Юнит 23-28.02'!X10+'Юнит 01.03'!X10</f>
        <v>0</v>
      </c>
      <c r="Y10" s="45">
        <f t="shared" ca="1" si="4"/>
        <v>0</v>
      </c>
      <c r="Z10" s="32">
        <f ca="1">'Юнит 23-28.02'!Z10+'Юнит 01.03'!Z10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23-28.02'!K11+'Юнит 01.03'!K11</f>
        <v>0</v>
      </c>
      <c r="L11" s="36"/>
      <c r="M11" s="36"/>
      <c r="N11" s="37">
        <f t="shared" si="14"/>
        <v>0</v>
      </c>
      <c r="O11" s="38">
        <f t="shared" ca="1" si="15"/>
        <v>0</v>
      </c>
      <c r="P11" s="32">
        <f ca="1">'Юнит 23-28.02'!P11+'Юнит 01.03'!P11</f>
        <v>0</v>
      </c>
      <c r="Q11" s="32">
        <f ca="1">'Юнит 23-28.02'!Q11+'Юнит 01.03'!Q11</f>
        <v>0</v>
      </c>
      <c r="R11" s="40">
        <f t="shared" ca="1" si="1"/>
        <v>0</v>
      </c>
      <c r="S11" s="32">
        <f ca="1">'Юнит 23-28.02'!S11+'Юнит 01.03'!S11</f>
        <v>0</v>
      </c>
      <c r="T11" s="32">
        <f ca="1">'Юнит 23-28.02'!T11+'Юнит 01.03'!T11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32">
        <f ca="1">'Юнит 23-28.02'!X11+'Юнит 01.03'!X11</f>
        <v>0</v>
      </c>
      <c r="Y11" s="45">
        <f t="shared" ca="1" si="4"/>
        <v>0</v>
      </c>
      <c r="Z11" s="32">
        <f ca="1">'Юнит 23-28.02'!Z11+'Юнит 01.03'!Z11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23-28.02'!K12+'Юнит 01.03'!K12</f>
        <v>0</v>
      </c>
      <c r="L12" s="36"/>
      <c r="M12" s="36"/>
      <c r="N12" s="37">
        <f t="shared" si="14"/>
        <v>0</v>
      </c>
      <c r="O12" s="38">
        <f t="shared" ca="1" si="15"/>
        <v>0</v>
      </c>
      <c r="P12" s="32">
        <f ca="1">'Юнит 23-28.02'!P12+'Юнит 01.03'!P12</f>
        <v>0</v>
      </c>
      <c r="Q12" s="32">
        <f ca="1">'Юнит 23-28.02'!Q12+'Юнит 01.03'!Q12</f>
        <v>0</v>
      </c>
      <c r="R12" s="40">
        <f t="shared" ca="1" si="1"/>
        <v>0</v>
      </c>
      <c r="S12" s="32">
        <f ca="1">'Юнит 23-28.02'!S12+'Юнит 01.03'!S12</f>
        <v>0</v>
      </c>
      <c r="T12" s="32">
        <f ca="1">'Юнит 23-28.02'!T12+'Юнит 01.03'!T12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32">
        <f ca="1">'Юнит 23-28.02'!X12+'Юнит 01.03'!X12</f>
        <v>0</v>
      </c>
      <c r="Y12" s="45">
        <f t="shared" ca="1" si="4"/>
        <v>0</v>
      </c>
      <c r="Z12" s="32">
        <f ca="1">'Юнит 23-28.02'!Z12+'Юнит 01.03'!Z12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23-28.02'!K13+'Юнит 01.03'!K13</f>
        <v>0</v>
      </c>
      <c r="L13" s="36"/>
      <c r="M13" s="36"/>
      <c r="N13" s="37">
        <f t="shared" si="14"/>
        <v>0</v>
      </c>
      <c r="O13" s="38">
        <f t="shared" ca="1" si="15"/>
        <v>0</v>
      </c>
      <c r="P13" s="32">
        <f ca="1">'Юнит 23-28.02'!P13+'Юнит 01.03'!P13</f>
        <v>0</v>
      </c>
      <c r="Q13" s="32">
        <f ca="1">'Юнит 23-28.02'!Q13+'Юнит 01.03'!Q13</f>
        <v>0</v>
      </c>
      <c r="R13" s="40">
        <f t="shared" ca="1" si="1"/>
        <v>0</v>
      </c>
      <c r="S13" s="32">
        <f ca="1">'Юнит 23-28.02'!S13+'Юнит 01.03'!S13</f>
        <v>0</v>
      </c>
      <c r="T13" s="32">
        <f ca="1">'Юнит 23-28.02'!T13+'Юнит 01.03'!T13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32">
        <f ca="1">'Юнит 23-28.02'!X13+'Юнит 01.03'!X13</f>
        <v>0</v>
      </c>
      <c r="Y13" s="45">
        <f t="shared" ca="1" si="4"/>
        <v>0</v>
      </c>
      <c r="Z13" s="32">
        <f ca="1">'Юнит 23-28.02'!Z13+'Юнит 01.03'!Z13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23-28.02'!K14+'Юнит 01.03'!K14</f>
        <v>0</v>
      </c>
      <c r="L14" s="36"/>
      <c r="M14" s="36"/>
      <c r="N14" s="37">
        <f t="shared" si="14"/>
        <v>0</v>
      </c>
      <c r="O14" s="38">
        <f t="shared" ca="1" si="15"/>
        <v>0</v>
      </c>
      <c r="P14" s="32">
        <f ca="1">'Юнит 23-28.02'!P14+'Юнит 01.03'!P14</f>
        <v>0</v>
      </c>
      <c r="Q14" s="32">
        <f ca="1">'Юнит 23-28.02'!Q14+'Юнит 01.03'!Q14</f>
        <v>0</v>
      </c>
      <c r="R14" s="40">
        <f t="shared" ca="1" si="1"/>
        <v>0</v>
      </c>
      <c r="S14" s="32">
        <f ca="1">'Юнит 23-28.02'!S14+'Юнит 01.03'!S14</f>
        <v>0</v>
      </c>
      <c r="T14" s="32">
        <f ca="1">'Юнит 23-28.02'!T14+'Юнит 01.03'!T14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32">
        <f ca="1">'Юнит 23-28.02'!X14+'Юнит 01.03'!X14</f>
        <v>0</v>
      </c>
      <c r="Y14" s="45">
        <f t="shared" ca="1" si="4"/>
        <v>0</v>
      </c>
      <c r="Z14" s="32">
        <f ca="1">'Юнит 23-28.02'!Z14+'Юнит 01.03'!Z14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23-28.02'!K15+'Юнит 01.03'!K15</f>
        <v>0</v>
      </c>
      <c r="L15" s="36"/>
      <c r="M15" s="36"/>
      <c r="N15" s="37">
        <f t="shared" si="14"/>
        <v>0</v>
      </c>
      <c r="O15" s="38">
        <f t="shared" ca="1" si="15"/>
        <v>0</v>
      </c>
      <c r="P15" s="32">
        <f ca="1">'Юнит 23-28.02'!P15+'Юнит 01.03'!P15</f>
        <v>0</v>
      </c>
      <c r="Q15" s="32">
        <f ca="1">'Юнит 23-28.02'!Q15+'Юнит 01.03'!Q15</f>
        <v>0</v>
      </c>
      <c r="R15" s="40">
        <f t="shared" ca="1" si="1"/>
        <v>0</v>
      </c>
      <c r="S15" s="32">
        <f ca="1">'Юнит 23-28.02'!S15+'Юнит 01.03'!S15</f>
        <v>0</v>
      </c>
      <c r="T15" s="32">
        <f ca="1">'Юнит 23-28.02'!T15+'Юнит 01.03'!T15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32">
        <f ca="1">'Юнит 23-28.02'!X15+'Юнит 01.03'!X15</f>
        <v>0</v>
      </c>
      <c r="Y15" s="45">
        <f t="shared" ca="1" si="4"/>
        <v>0</v>
      </c>
      <c r="Z15" s="32">
        <f ca="1">'Юнит 23-28.02'!Z15+'Юнит 01.03'!Z15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23-28.02'!K16+'Юнит 01.03'!K16</f>
        <v>0</v>
      </c>
      <c r="L16" s="36"/>
      <c r="M16" s="36"/>
      <c r="N16" s="37">
        <f t="shared" si="14"/>
        <v>0</v>
      </c>
      <c r="O16" s="38">
        <f t="shared" ca="1" si="15"/>
        <v>0</v>
      </c>
      <c r="P16" s="32">
        <f ca="1">'Юнит 23-28.02'!P16+'Юнит 01.03'!P16</f>
        <v>0</v>
      </c>
      <c r="Q16" s="32">
        <f ca="1">'Юнит 23-28.02'!Q16+'Юнит 01.03'!Q16</f>
        <v>0</v>
      </c>
      <c r="R16" s="40">
        <f t="shared" ca="1" si="1"/>
        <v>0</v>
      </c>
      <c r="S16" s="32">
        <f ca="1">'Юнит 23-28.02'!S16+'Юнит 01.03'!S16</f>
        <v>0</v>
      </c>
      <c r="T16" s="32">
        <f ca="1">'Юнит 23-28.02'!T16+'Юнит 01.03'!T16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32">
        <f ca="1">'Юнит 23-28.02'!X16+'Юнит 01.03'!X16</f>
        <v>0</v>
      </c>
      <c r="Y16" s="45">
        <f t="shared" ca="1" si="4"/>
        <v>0</v>
      </c>
      <c r="Z16" s="32">
        <f ca="1">'Юнит 23-28.02'!Z16+'Юнит 01.03'!Z16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f>'Юнит 23-28.02'!K17+'Юнит 01.03'!K17</f>
        <v>0</v>
      </c>
      <c r="L17" s="36"/>
      <c r="M17" s="36"/>
      <c r="N17" s="37">
        <f t="shared" si="14"/>
        <v>0</v>
      </c>
      <c r="O17" s="38">
        <f t="shared" ca="1" si="15"/>
        <v>0</v>
      </c>
      <c r="P17" s="32">
        <f ca="1">'Юнит 23-28.02'!P17+'Юнит 01.03'!P17</f>
        <v>0</v>
      </c>
      <c r="Q17" s="32">
        <f ca="1">'Юнит 23-28.02'!Q17+'Юнит 01.03'!Q17</f>
        <v>0</v>
      </c>
      <c r="R17" s="40">
        <f t="shared" ca="1" si="1"/>
        <v>0</v>
      </c>
      <c r="S17" s="32">
        <f ca="1">'Юнит 23-28.02'!S17+'Юнит 01.03'!S17</f>
        <v>0</v>
      </c>
      <c r="T17" s="32">
        <f ca="1">'Юнит 23-28.02'!T17+'Юнит 01.03'!T17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32">
        <f ca="1">'Юнит 23-28.02'!X17+'Юнит 01.03'!X17</f>
        <v>0</v>
      </c>
      <c r="Y17" s="45">
        <f t="shared" ca="1" si="4"/>
        <v>0</v>
      </c>
      <c r="Z17" s="32">
        <f ca="1">'Юнит 23-28.02'!Z17+'Юнит 01.03'!Z17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23-28.02'!K18+'Юнит 01.03'!K18</f>
        <v>0</v>
      </c>
      <c r="L18" s="36"/>
      <c r="M18" s="36"/>
      <c r="N18" s="37">
        <f t="shared" si="14"/>
        <v>0</v>
      </c>
      <c r="O18" s="38">
        <f t="shared" ca="1" si="15"/>
        <v>0</v>
      </c>
      <c r="P18" s="32">
        <f ca="1">'Юнит 23-28.02'!P18+'Юнит 01.03'!P18</f>
        <v>0</v>
      </c>
      <c r="Q18" s="32">
        <f ca="1">'Юнит 23-28.02'!Q18+'Юнит 01.03'!Q18</f>
        <v>0</v>
      </c>
      <c r="R18" s="40">
        <f t="shared" ca="1" si="1"/>
        <v>0</v>
      </c>
      <c r="S18" s="32">
        <f ca="1">'Юнит 23-28.02'!S18+'Юнит 01.03'!S18</f>
        <v>0</v>
      </c>
      <c r="T18" s="32">
        <f ca="1">'Юнит 23-28.02'!T18+'Юнит 01.03'!T18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32">
        <f ca="1">'Юнит 23-28.02'!X18+'Юнит 01.03'!X18</f>
        <v>0</v>
      </c>
      <c r="Y18" s="45">
        <f t="shared" ca="1" si="4"/>
        <v>0</v>
      </c>
      <c r="Z18" s="32">
        <f ca="1">'Юнит 23-28.02'!Z18+'Юнит 01.03'!Z18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23-28.02'!K19+'Юнит 01.03'!K19</f>
        <v>0</v>
      </c>
      <c r="L19" s="36"/>
      <c r="M19" s="36"/>
      <c r="N19" s="37">
        <f t="shared" si="14"/>
        <v>0</v>
      </c>
      <c r="O19" s="38">
        <f t="shared" ca="1" si="15"/>
        <v>0</v>
      </c>
      <c r="P19" s="32">
        <f ca="1">'Юнит 23-28.02'!P19+'Юнит 01.03'!P19</f>
        <v>0</v>
      </c>
      <c r="Q19" s="32">
        <f ca="1">'Юнит 23-28.02'!Q19+'Юнит 01.03'!Q19</f>
        <v>0</v>
      </c>
      <c r="R19" s="40">
        <f t="shared" ca="1" si="1"/>
        <v>0</v>
      </c>
      <c r="S19" s="32">
        <f ca="1">'Юнит 23-28.02'!S19+'Юнит 01.03'!S19</f>
        <v>0</v>
      </c>
      <c r="T19" s="32">
        <f ca="1">'Юнит 23-28.02'!T19+'Юнит 01.03'!T19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32">
        <f ca="1">'Юнит 23-28.02'!X19+'Юнит 01.03'!X19</f>
        <v>0</v>
      </c>
      <c r="Y19" s="45">
        <f t="shared" ca="1" si="4"/>
        <v>0</v>
      </c>
      <c r="Z19" s="32">
        <f ca="1">'Юнит 23-28.02'!Z19+'Юнит 01.03'!Z19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23-28.02'!K20+'Юнит 01.03'!K20</f>
        <v>0</v>
      </c>
      <c r="L20" s="36"/>
      <c r="M20" s="36"/>
      <c r="N20" s="37">
        <f t="shared" si="14"/>
        <v>0</v>
      </c>
      <c r="O20" s="38">
        <f t="shared" ca="1" si="15"/>
        <v>0</v>
      </c>
      <c r="P20" s="32">
        <f ca="1">'Юнит 23-28.02'!P20+'Юнит 01.03'!P20</f>
        <v>0</v>
      </c>
      <c r="Q20" s="32">
        <f ca="1">'Юнит 23-28.02'!Q20+'Юнит 01.03'!Q20</f>
        <v>0</v>
      </c>
      <c r="R20" s="40">
        <f t="shared" ca="1" si="1"/>
        <v>0</v>
      </c>
      <c r="S20" s="32">
        <f ca="1">'Юнит 23-28.02'!S20+'Юнит 01.03'!S20</f>
        <v>0</v>
      </c>
      <c r="T20" s="32">
        <f ca="1">'Юнит 23-28.02'!T20+'Юнит 01.03'!T20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32">
        <f ca="1">'Юнит 23-28.02'!X20+'Юнит 01.03'!X20</f>
        <v>0</v>
      </c>
      <c r="Y20" s="45">
        <f t="shared" ca="1" si="4"/>
        <v>0</v>
      </c>
      <c r="Z20" s="32">
        <f ca="1">'Юнит 23-28.02'!Z20+'Юнит 01.03'!Z20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23-28.02'!K21+'Юнит 01.03'!K21</f>
        <v>0</v>
      </c>
      <c r="L21" s="36"/>
      <c r="M21" s="36"/>
      <c r="N21" s="37">
        <f t="shared" si="14"/>
        <v>0</v>
      </c>
      <c r="O21" s="38">
        <f t="shared" ca="1" si="15"/>
        <v>0</v>
      </c>
      <c r="P21" s="32">
        <f ca="1">'Юнит 23-28.02'!P21+'Юнит 01.03'!P21</f>
        <v>0</v>
      </c>
      <c r="Q21" s="32">
        <f ca="1">'Юнит 23-28.02'!Q21+'Юнит 01.03'!Q21</f>
        <v>0</v>
      </c>
      <c r="R21" s="40">
        <f t="shared" ca="1" si="1"/>
        <v>0</v>
      </c>
      <c r="S21" s="32">
        <f ca="1">'Юнит 23-28.02'!S21+'Юнит 01.03'!S21</f>
        <v>0</v>
      </c>
      <c r="T21" s="32">
        <f ca="1">'Юнит 23-28.02'!T21+'Юнит 01.03'!T21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32">
        <f ca="1">'Юнит 23-28.02'!X21+'Юнит 01.03'!X21</f>
        <v>0</v>
      </c>
      <c r="Y21" s="45">
        <f t="shared" ca="1" si="4"/>
        <v>0</v>
      </c>
      <c r="Z21" s="32">
        <f ca="1">'Юнит 23-28.02'!Z21+'Юнит 01.03'!Z21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23-28.02'!K22+'Юнит 01.03'!K22</f>
        <v>0</v>
      </c>
      <c r="L22" s="36"/>
      <c r="M22" s="36"/>
      <c r="N22" s="37">
        <f t="shared" si="14"/>
        <v>0</v>
      </c>
      <c r="O22" s="38">
        <f t="shared" ca="1" si="15"/>
        <v>0</v>
      </c>
      <c r="P22" s="32">
        <f ca="1">'Юнит 23-28.02'!P22+'Юнит 01.03'!P22</f>
        <v>0</v>
      </c>
      <c r="Q22" s="32">
        <f ca="1">'Юнит 23-28.02'!Q22+'Юнит 01.03'!Q22</f>
        <v>0</v>
      </c>
      <c r="R22" s="40">
        <f t="shared" ca="1" si="1"/>
        <v>0</v>
      </c>
      <c r="S22" s="32">
        <f ca="1">'Юнит 23-28.02'!S22+'Юнит 01.03'!S22</f>
        <v>0</v>
      </c>
      <c r="T22" s="32">
        <f ca="1">'Юнит 23-28.02'!T22+'Юнит 01.03'!T22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32">
        <f ca="1">'Юнит 23-28.02'!X22+'Юнит 01.03'!X22</f>
        <v>0</v>
      </c>
      <c r="Y22" s="45">
        <f t="shared" ca="1" si="4"/>
        <v>0</v>
      </c>
      <c r="Z22" s="32">
        <f ca="1">'Юнит 23-28.02'!Z22+'Юнит 01.03'!Z22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23-28.02'!K23+'Юнит 01.03'!K23</f>
        <v>0</v>
      </c>
      <c r="L23" s="36"/>
      <c r="M23" s="36"/>
      <c r="N23" s="37">
        <f t="shared" si="14"/>
        <v>0</v>
      </c>
      <c r="O23" s="38">
        <f t="shared" ca="1" si="15"/>
        <v>0</v>
      </c>
      <c r="P23" s="32">
        <f ca="1">'Юнит 23-28.02'!P23+'Юнит 01.03'!P23</f>
        <v>0</v>
      </c>
      <c r="Q23" s="32">
        <f ca="1">'Юнит 23-28.02'!Q23+'Юнит 01.03'!Q23</f>
        <v>0</v>
      </c>
      <c r="R23" s="40">
        <f t="shared" ca="1" si="1"/>
        <v>0</v>
      </c>
      <c r="S23" s="32">
        <f ca="1">'Юнит 23-28.02'!S23+'Юнит 01.03'!S23</f>
        <v>0</v>
      </c>
      <c r="T23" s="32">
        <f ca="1">'Юнит 23-28.02'!T23+'Юнит 01.03'!T23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32">
        <f ca="1">'Юнит 23-28.02'!X23+'Юнит 01.03'!X23</f>
        <v>0</v>
      </c>
      <c r="Y23" s="45">
        <f t="shared" ca="1" si="4"/>
        <v>0</v>
      </c>
      <c r="Z23" s="32">
        <f ca="1">'Юнит 23-28.02'!Z23+'Юнит 01.03'!Z23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23-28.02'!K24+'Юнит 01.03'!K24</f>
        <v>0</v>
      </c>
      <c r="L24" s="36"/>
      <c r="M24" s="36"/>
      <c r="N24" s="37">
        <f t="shared" si="14"/>
        <v>0</v>
      </c>
      <c r="O24" s="38">
        <f t="shared" ca="1" si="15"/>
        <v>0</v>
      </c>
      <c r="P24" s="32">
        <f ca="1">'Юнит 23-28.02'!P24+'Юнит 01.03'!P24</f>
        <v>0</v>
      </c>
      <c r="Q24" s="32">
        <f ca="1">'Юнит 23-28.02'!Q24+'Юнит 01.03'!Q24</f>
        <v>0</v>
      </c>
      <c r="R24" s="40">
        <f t="shared" ca="1" si="1"/>
        <v>0</v>
      </c>
      <c r="S24" s="32">
        <f ca="1">'Юнит 23-28.02'!S24+'Юнит 01.03'!S24</f>
        <v>0</v>
      </c>
      <c r="T24" s="32">
        <f ca="1">'Юнит 23-28.02'!T24+'Юнит 01.03'!T24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32">
        <f ca="1">'Юнит 23-28.02'!X24+'Юнит 01.03'!X24</f>
        <v>0</v>
      </c>
      <c r="Y24" s="45">
        <f t="shared" ca="1" si="4"/>
        <v>0</v>
      </c>
      <c r="Z24" s="32">
        <f ca="1">'Юнит 23-28.02'!Z24+'Юнит 01.03'!Z24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40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ca="1">SUM(Q3:Q24)</f>
        <v>0</v>
      </c>
      <c r="R26" s="64">
        <f t="shared" ref="R26:W26" ca="1" si="19">SUM(R3:R24)</f>
        <v>0</v>
      </c>
      <c r="S26" s="64">
        <f ca="1">SUM(S3:S24)</f>
        <v>0</v>
      </c>
      <c r="T26" s="64">
        <f ca="1">SUM(T3:T24)</f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ca="1">SUM(X3:X24)</f>
        <v>0</v>
      </c>
      <c r="Y26" s="72">
        <f ca="1">IF(U26=0,0,X26/U26)</f>
        <v>0</v>
      </c>
      <c r="Z26" s="64">
        <f ca="1">SUM(Z3:Z24)</f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40"/>
      <c r="V27" s="43"/>
      <c r="W27" s="44"/>
      <c r="X27" s="32"/>
      <c r="Y27" s="45"/>
      <c r="Z27" s="3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23-28.02'!K28+'Юнит 01.03'!K28</f>
        <v>0</v>
      </c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2">
        <f ca="1">'Юнит 23-28.02'!P28+'Юнит 01.03'!P28</f>
        <v>0</v>
      </c>
      <c r="Q28" s="32">
        <f ca="1">'Юнит 23-28.02'!Q28+'Юнит 01.03'!Q28</f>
        <v>0</v>
      </c>
      <c r="R28" s="40">
        <f t="shared" ref="R28:R47" ca="1" si="24">P28-Q28</f>
        <v>0</v>
      </c>
      <c r="S28" s="32">
        <f ca="1">'Юнит 23-28.02'!S28+'Юнит 01.03'!S28</f>
        <v>0</v>
      </c>
      <c r="T28" s="32">
        <f ca="1">'Юнит 23-28.02'!T28+'Юнит 01.03'!T28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32">
        <f ca="1">'Юнит 23-28.02'!X28+'Юнит 01.03'!X28</f>
        <v>0</v>
      </c>
      <c r="Y28" s="45">
        <f t="shared" ref="Y28:Y47" ca="1" si="28">IF(U28=0,0,X28/U28)</f>
        <v>0</v>
      </c>
      <c r="Z28" s="32">
        <f ca="1">'Юнит 23-28.02'!Z28+'Юнит 01.03'!Z28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23-28.02'!K29+'Юнит 01.03'!K29</f>
        <v>0</v>
      </c>
      <c r="L29" s="36"/>
      <c r="M29" s="36"/>
      <c r="N29" s="37">
        <f t="shared" si="22"/>
        <v>0</v>
      </c>
      <c r="O29" s="38">
        <f t="shared" ca="1" si="23"/>
        <v>0</v>
      </c>
      <c r="P29" s="32">
        <f ca="1">'Юнит 23-28.02'!P29+'Юнит 01.03'!P29</f>
        <v>0</v>
      </c>
      <c r="Q29" s="32">
        <f ca="1">'Юнит 23-28.02'!Q29+'Юнит 01.03'!Q29</f>
        <v>0</v>
      </c>
      <c r="R29" s="40">
        <f t="shared" ca="1" si="24"/>
        <v>0</v>
      </c>
      <c r="S29" s="32">
        <f ca="1">'Юнит 23-28.02'!S29+'Юнит 01.03'!S29</f>
        <v>0</v>
      </c>
      <c r="T29" s="32">
        <f ca="1">'Юнит 23-28.02'!T29+'Юнит 01.03'!T29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32">
        <f ca="1">'Юнит 23-28.02'!X29+'Юнит 01.03'!X29</f>
        <v>0</v>
      </c>
      <c r="Y29" s="45">
        <f t="shared" ca="1" si="28"/>
        <v>0</v>
      </c>
      <c r="Z29" s="32">
        <f ca="1">'Юнит 23-28.02'!Z29+'Юнит 01.03'!Z29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23-28.02'!K30+'Юнит 01.03'!K30</f>
        <v>0</v>
      </c>
      <c r="L30" s="36"/>
      <c r="M30" s="36"/>
      <c r="N30" s="37">
        <f t="shared" si="22"/>
        <v>0</v>
      </c>
      <c r="O30" s="38">
        <f t="shared" ca="1" si="23"/>
        <v>0</v>
      </c>
      <c r="P30" s="32">
        <f ca="1">'Юнит 23-28.02'!P30+'Юнит 01.03'!P30</f>
        <v>0</v>
      </c>
      <c r="Q30" s="32">
        <f ca="1">'Юнит 23-28.02'!Q30+'Юнит 01.03'!Q30</f>
        <v>0</v>
      </c>
      <c r="R30" s="40">
        <f t="shared" ca="1" si="24"/>
        <v>0</v>
      </c>
      <c r="S30" s="32">
        <f ca="1">'Юнит 23-28.02'!S30+'Юнит 01.03'!S30</f>
        <v>0</v>
      </c>
      <c r="T30" s="32">
        <f ca="1">'Юнит 23-28.02'!T30+'Юнит 01.03'!T30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32">
        <f ca="1">'Юнит 23-28.02'!X30+'Юнит 01.03'!X30</f>
        <v>0</v>
      </c>
      <c r="Y30" s="45">
        <f t="shared" ca="1" si="28"/>
        <v>0</v>
      </c>
      <c r="Z30" s="32">
        <f ca="1">'Юнит 23-28.02'!Z30+'Юнит 01.03'!Z30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23-28.02'!K31+'Юнит 01.03'!K31</f>
        <v>0</v>
      </c>
      <c r="L31" s="36"/>
      <c r="M31" s="36"/>
      <c r="N31" s="37">
        <f t="shared" si="22"/>
        <v>0</v>
      </c>
      <c r="O31" s="38">
        <f t="shared" ca="1" si="23"/>
        <v>0</v>
      </c>
      <c r="P31" s="32">
        <f ca="1">'Юнит 23-28.02'!P31+'Юнит 01.03'!P31</f>
        <v>0</v>
      </c>
      <c r="Q31" s="32">
        <f ca="1">'Юнит 23-28.02'!Q31+'Юнит 01.03'!Q31</f>
        <v>0</v>
      </c>
      <c r="R31" s="40">
        <f t="shared" ca="1" si="24"/>
        <v>0</v>
      </c>
      <c r="S31" s="32">
        <f ca="1">'Юнит 23-28.02'!S31+'Юнит 01.03'!S31</f>
        <v>0</v>
      </c>
      <c r="T31" s="32">
        <f ca="1">'Юнит 23-28.02'!T31+'Юнит 01.03'!T31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32">
        <f ca="1">'Юнит 23-28.02'!X31+'Юнит 01.03'!X31</f>
        <v>0</v>
      </c>
      <c r="Y31" s="45">
        <f t="shared" ca="1" si="28"/>
        <v>0</v>
      </c>
      <c r="Z31" s="32">
        <f ca="1">'Юнит 23-28.02'!Z31+'Юнит 01.03'!Z31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23-28.02'!K32+'Юнит 01.03'!K32</f>
        <v>0</v>
      </c>
      <c r="L32" s="36"/>
      <c r="M32" s="36"/>
      <c r="N32" s="37">
        <f t="shared" si="22"/>
        <v>0</v>
      </c>
      <c r="O32" s="38">
        <f t="shared" ca="1" si="23"/>
        <v>0</v>
      </c>
      <c r="P32" s="32">
        <f ca="1">'Юнит 23-28.02'!P32+'Юнит 01.03'!P32</f>
        <v>0</v>
      </c>
      <c r="Q32" s="32">
        <f ca="1">'Юнит 23-28.02'!Q32+'Юнит 01.03'!Q32</f>
        <v>0</v>
      </c>
      <c r="R32" s="40">
        <f t="shared" ca="1" si="24"/>
        <v>0</v>
      </c>
      <c r="S32" s="32">
        <f ca="1">'Юнит 23-28.02'!S32+'Юнит 01.03'!S32</f>
        <v>0</v>
      </c>
      <c r="T32" s="32">
        <f ca="1">'Юнит 23-28.02'!T32+'Юнит 01.03'!T32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32">
        <f ca="1">'Юнит 23-28.02'!X32+'Юнит 01.03'!X32</f>
        <v>0</v>
      </c>
      <c r="Y32" s="45">
        <f t="shared" ca="1" si="28"/>
        <v>0</v>
      </c>
      <c r="Z32" s="32">
        <f ca="1">'Юнит 23-28.02'!Z32+'Юнит 01.03'!Z32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23-28.02'!K33+'Юнит 01.03'!K33</f>
        <v>0</v>
      </c>
      <c r="L33" s="36"/>
      <c r="M33" s="36"/>
      <c r="N33" s="37">
        <f t="shared" si="22"/>
        <v>0</v>
      </c>
      <c r="O33" s="38">
        <f t="shared" ca="1" si="23"/>
        <v>0</v>
      </c>
      <c r="P33" s="32">
        <f ca="1">'Юнит 23-28.02'!P33+'Юнит 01.03'!P33</f>
        <v>0</v>
      </c>
      <c r="Q33" s="32">
        <f ca="1">'Юнит 23-28.02'!Q33+'Юнит 01.03'!Q33</f>
        <v>0</v>
      </c>
      <c r="R33" s="40">
        <f t="shared" ca="1" si="24"/>
        <v>0</v>
      </c>
      <c r="S33" s="32">
        <f ca="1">'Юнит 23-28.02'!S33+'Юнит 01.03'!S33</f>
        <v>0</v>
      </c>
      <c r="T33" s="32">
        <f ca="1">'Юнит 23-28.02'!T33+'Юнит 01.03'!T33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32">
        <f ca="1">'Юнит 23-28.02'!X33+'Юнит 01.03'!X33</f>
        <v>0</v>
      </c>
      <c r="Y33" s="45">
        <f t="shared" ca="1" si="28"/>
        <v>0</v>
      </c>
      <c r="Z33" s="32">
        <f ca="1">'Юнит 23-28.02'!Z33+'Юнит 01.03'!Z33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23-28.02'!K34+'Юнит 01.03'!K34</f>
        <v>0</v>
      </c>
      <c r="L34" s="36"/>
      <c r="M34" s="36"/>
      <c r="N34" s="37">
        <f t="shared" si="22"/>
        <v>0</v>
      </c>
      <c r="O34" s="38">
        <f t="shared" ca="1" si="23"/>
        <v>0</v>
      </c>
      <c r="P34" s="32">
        <f ca="1">'Юнит 23-28.02'!P34+'Юнит 01.03'!P34</f>
        <v>0</v>
      </c>
      <c r="Q34" s="32">
        <f ca="1">'Юнит 23-28.02'!Q34+'Юнит 01.03'!Q34</f>
        <v>0</v>
      </c>
      <c r="R34" s="40">
        <f t="shared" ca="1" si="24"/>
        <v>0</v>
      </c>
      <c r="S34" s="32">
        <f ca="1">'Юнит 23-28.02'!S34+'Юнит 01.03'!S34</f>
        <v>0</v>
      </c>
      <c r="T34" s="32">
        <f ca="1">'Юнит 23-28.02'!T34+'Юнит 01.03'!T34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32">
        <f ca="1">'Юнит 23-28.02'!X34+'Юнит 01.03'!X34</f>
        <v>0</v>
      </c>
      <c r="Y34" s="45">
        <f t="shared" ca="1" si="28"/>
        <v>0</v>
      </c>
      <c r="Z34" s="32">
        <f ca="1">'Юнит 23-28.02'!Z34+'Юнит 01.03'!Z34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23-28.02'!K35+'Юнит 01.03'!K35</f>
        <v>0</v>
      </c>
      <c r="L35" s="36"/>
      <c r="M35" s="36"/>
      <c r="N35" s="37">
        <f t="shared" si="22"/>
        <v>0</v>
      </c>
      <c r="O35" s="38">
        <f t="shared" ca="1" si="23"/>
        <v>0</v>
      </c>
      <c r="P35" s="32">
        <f ca="1">'Юнит 23-28.02'!P35+'Юнит 01.03'!P35</f>
        <v>0</v>
      </c>
      <c r="Q35" s="32">
        <f ca="1">'Юнит 23-28.02'!Q35+'Юнит 01.03'!Q35</f>
        <v>0</v>
      </c>
      <c r="R35" s="40">
        <f t="shared" ca="1" si="24"/>
        <v>0</v>
      </c>
      <c r="S35" s="32">
        <f ca="1">'Юнит 23-28.02'!S35+'Юнит 01.03'!S35</f>
        <v>0</v>
      </c>
      <c r="T35" s="32">
        <f ca="1">'Юнит 23-28.02'!T35+'Юнит 01.03'!T35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32">
        <f ca="1">'Юнит 23-28.02'!X35+'Юнит 01.03'!X35</f>
        <v>0</v>
      </c>
      <c r="Y35" s="45">
        <f t="shared" ca="1" si="28"/>
        <v>0</v>
      </c>
      <c r="Z35" s="32">
        <f ca="1">'Юнит 23-28.02'!Z35+'Юнит 01.03'!Z35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23-28.02'!K36+'Юнит 01.03'!K36</f>
        <v>0</v>
      </c>
      <c r="L36" s="36"/>
      <c r="M36" s="36"/>
      <c r="N36" s="37">
        <f t="shared" si="22"/>
        <v>0</v>
      </c>
      <c r="O36" s="38">
        <f t="shared" ca="1" si="23"/>
        <v>0</v>
      </c>
      <c r="P36" s="32">
        <f ca="1">'Юнит 23-28.02'!P36+'Юнит 01.03'!P36</f>
        <v>0</v>
      </c>
      <c r="Q36" s="32">
        <f ca="1">'Юнит 23-28.02'!Q36+'Юнит 01.03'!Q36</f>
        <v>0</v>
      </c>
      <c r="R36" s="40">
        <f t="shared" ca="1" si="24"/>
        <v>0</v>
      </c>
      <c r="S36" s="32">
        <f ca="1">'Юнит 23-28.02'!S36+'Юнит 01.03'!S36</f>
        <v>0</v>
      </c>
      <c r="T36" s="32">
        <f ca="1">'Юнит 23-28.02'!T36+'Юнит 01.03'!T36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32">
        <f ca="1">'Юнит 23-28.02'!X36+'Юнит 01.03'!X36</f>
        <v>0</v>
      </c>
      <c r="Y36" s="45">
        <f t="shared" ca="1" si="28"/>
        <v>0</v>
      </c>
      <c r="Z36" s="32">
        <f ca="1">'Юнит 23-28.02'!Z36+'Юнит 01.03'!Z36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23-28.02'!K37+'Юнит 01.03'!K37</f>
        <v>0</v>
      </c>
      <c r="L37" s="36"/>
      <c r="M37" s="36"/>
      <c r="N37" s="37">
        <f t="shared" si="22"/>
        <v>0</v>
      </c>
      <c r="O37" s="38">
        <f t="shared" ca="1" si="23"/>
        <v>0</v>
      </c>
      <c r="P37" s="32">
        <f ca="1">'Юнит 23-28.02'!P37+'Юнит 01.03'!P37</f>
        <v>0</v>
      </c>
      <c r="Q37" s="32">
        <f ca="1">'Юнит 23-28.02'!Q37+'Юнит 01.03'!Q37</f>
        <v>0</v>
      </c>
      <c r="R37" s="40">
        <f t="shared" ca="1" si="24"/>
        <v>0</v>
      </c>
      <c r="S37" s="32">
        <f ca="1">'Юнит 23-28.02'!S37+'Юнит 01.03'!S37</f>
        <v>0</v>
      </c>
      <c r="T37" s="32">
        <f ca="1">'Юнит 23-28.02'!T37+'Юнит 01.03'!T37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32">
        <f ca="1">'Юнит 23-28.02'!X37+'Юнит 01.03'!X37</f>
        <v>0</v>
      </c>
      <c r="Y37" s="45">
        <f t="shared" ca="1" si="28"/>
        <v>0</v>
      </c>
      <c r="Z37" s="32">
        <f ca="1">'Юнит 23-28.02'!Z37+'Юнит 01.03'!Z37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23-28.02'!K38+'Юнит 01.03'!K38</f>
        <v>0</v>
      </c>
      <c r="L38" s="36"/>
      <c r="M38" s="36"/>
      <c r="N38" s="37">
        <f t="shared" si="22"/>
        <v>0</v>
      </c>
      <c r="O38" s="38">
        <f t="shared" ca="1" si="23"/>
        <v>0</v>
      </c>
      <c r="P38" s="32">
        <f ca="1">'Юнит 23-28.02'!P38+'Юнит 01.03'!P38</f>
        <v>0</v>
      </c>
      <c r="Q38" s="32">
        <f ca="1">'Юнит 23-28.02'!Q38+'Юнит 01.03'!Q38</f>
        <v>0</v>
      </c>
      <c r="R38" s="40">
        <f t="shared" ca="1" si="24"/>
        <v>0</v>
      </c>
      <c r="S38" s="32">
        <f ca="1">'Юнит 23-28.02'!S38+'Юнит 01.03'!S38</f>
        <v>0</v>
      </c>
      <c r="T38" s="32">
        <f ca="1">'Юнит 23-28.02'!T38+'Юнит 01.03'!T38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32">
        <f ca="1">'Юнит 23-28.02'!X38+'Юнит 01.03'!X38</f>
        <v>0</v>
      </c>
      <c r="Y38" s="45">
        <f t="shared" ca="1" si="28"/>
        <v>0</v>
      </c>
      <c r="Z38" s="32">
        <f ca="1">'Юнит 23-28.02'!Z38+'Юнит 01.03'!Z38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23-28.02'!K39+'Юнит 01.03'!K39</f>
        <v>0</v>
      </c>
      <c r="L39" s="36"/>
      <c r="M39" s="36"/>
      <c r="N39" s="37">
        <f t="shared" si="22"/>
        <v>0</v>
      </c>
      <c r="O39" s="38">
        <f t="shared" ca="1" si="23"/>
        <v>0</v>
      </c>
      <c r="P39" s="32">
        <f ca="1">'Юнит 23-28.02'!P39+'Юнит 01.03'!P39</f>
        <v>0</v>
      </c>
      <c r="Q39" s="32">
        <f ca="1">'Юнит 23-28.02'!Q39+'Юнит 01.03'!Q39</f>
        <v>0</v>
      </c>
      <c r="R39" s="40">
        <f t="shared" ca="1" si="24"/>
        <v>0</v>
      </c>
      <c r="S39" s="32">
        <f ca="1">'Юнит 23-28.02'!S39+'Юнит 01.03'!S39</f>
        <v>0</v>
      </c>
      <c r="T39" s="32">
        <f ca="1">'Юнит 23-28.02'!T39+'Юнит 01.03'!T39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32">
        <f ca="1">'Юнит 23-28.02'!X39+'Юнит 01.03'!X39</f>
        <v>0</v>
      </c>
      <c r="Y39" s="45">
        <f t="shared" ca="1" si="28"/>
        <v>0</v>
      </c>
      <c r="Z39" s="32">
        <f ca="1">'Юнит 23-28.02'!Z39+'Юнит 01.03'!Z39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23-28.02'!K40+'Юнит 01.03'!K40</f>
        <v>0</v>
      </c>
      <c r="L40" s="36"/>
      <c r="M40" s="36"/>
      <c r="N40" s="37">
        <f t="shared" si="22"/>
        <v>0</v>
      </c>
      <c r="O40" s="38">
        <f t="shared" ca="1" si="23"/>
        <v>0</v>
      </c>
      <c r="P40" s="32">
        <f ca="1">'Юнит 23-28.02'!P40+'Юнит 01.03'!P40</f>
        <v>0</v>
      </c>
      <c r="Q40" s="32">
        <f ca="1">'Юнит 23-28.02'!Q40+'Юнит 01.03'!Q40</f>
        <v>0</v>
      </c>
      <c r="R40" s="40">
        <f t="shared" ca="1" si="24"/>
        <v>0</v>
      </c>
      <c r="S40" s="32">
        <f ca="1">'Юнит 23-28.02'!S40+'Юнит 01.03'!S40</f>
        <v>0</v>
      </c>
      <c r="T40" s="32">
        <f ca="1">'Юнит 23-28.02'!T40+'Юнит 01.03'!T40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32">
        <f ca="1">'Юнит 23-28.02'!X40+'Юнит 01.03'!X40</f>
        <v>0</v>
      </c>
      <c r="Y40" s="45">
        <f t="shared" ca="1" si="28"/>
        <v>0</v>
      </c>
      <c r="Z40" s="32">
        <f ca="1">'Юнит 23-28.02'!Z40+'Юнит 01.03'!Z40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23-28.02'!K41+'Юнит 01.03'!K41</f>
        <v>0</v>
      </c>
      <c r="L41" s="36"/>
      <c r="M41" s="36"/>
      <c r="N41" s="37">
        <f t="shared" si="22"/>
        <v>0</v>
      </c>
      <c r="O41" s="38">
        <f t="shared" ca="1" si="23"/>
        <v>0</v>
      </c>
      <c r="P41" s="32">
        <f ca="1">'Юнит 23-28.02'!P41+'Юнит 01.03'!P41</f>
        <v>0</v>
      </c>
      <c r="Q41" s="32">
        <f ca="1">'Юнит 23-28.02'!Q41+'Юнит 01.03'!Q41</f>
        <v>0</v>
      </c>
      <c r="R41" s="40">
        <f t="shared" ca="1" si="24"/>
        <v>0</v>
      </c>
      <c r="S41" s="32">
        <f ca="1">'Юнит 23-28.02'!S41+'Юнит 01.03'!S41</f>
        <v>0</v>
      </c>
      <c r="T41" s="32">
        <f ca="1">'Юнит 23-28.02'!T41+'Юнит 01.03'!T41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32">
        <f ca="1">'Юнит 23-28.02'!X41+'Юнит 01.03'!X41</f>
        <v>0</v>
      </c>
      <c r="Y41" s="45">
        <f t="shared" ca="1" si="28"/>
        <v>0</v>
      </c>
      <c r="Z41" s="32">
        <f ca="1">'Юнит 23-28.02'!Z41+'Юнит 01.03'!Z41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23-28.02'!K42+'Юнит 01.03'!K42</f>
        <v>0</v>
      </c>
      <c r="L42" s="36"/>
      <c r="M42" s="36"/>
      <c r="N42" s="37">
        <f t="shared" si="22"/>
        <v>0</v>
      </c>
      <c r="O42" s="38">
        <f t="shared" ca="1" si="23"/>
        <v>0</v>
      </c>
      <c r="P42" s="32">
        <f ca="1">'Юнит 23-28.02'!P42+'Юнит 01.03'!P42</f>
        <v>0</v>
      </c>
      <c r="Q42" s="32">
        <f ca="1">'Юнит 23-28.02'!Q42+'Юнит 01.03'!Q42</f>
        <v>0</v>
      </c>
      <c r="R42" s="40">
        <f t="shared" ca="1" si="24"/>
        <v>0</v>
      </c>
      <c r="S42" s="32">
        <f ca="1">'Юнит 23-28.02'!S42+'Юнит 01.03'!S42</f>
        <v>0</v>
      </c>
      <c r="T42" s="32">
        <f ca="1">'Юнит 23-28.02'!T42+'Юнит 01.03'!T42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32">
        <f ca="1">'Юнит 23-28.02'!X42+'Юнит 01.03'!X42</f>
        <v>0</v>
      </c>
      <c r="Y42" s="45">
        <f t="shared" ca="1" si="28"/>
        <v>0</v>
      </c>
      <c r="Z42" s="32">
        <f ca="1">'Юнит 23-28.02'!Z42+'Юнит 01.03'!Z42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23-28.02'!K43+'Юнит 01.03'!K43</f>
        <v>0</v>
      </c>
      <c r="L43" s="36"/>
      <c r="M43" s="36"/>
      <c r="N43" s="37">
        <f t="shared" si="22"/>
        <v>0</v>
      </c>
      <c r="O43" s="38">
        <f t="shared" ca="1" si="23"/>
        <v>0</v>
      </c>
      <c r="P43" s="32">
        <f ca="1">'Юнит 23-28.02'!P43+'Юнит 01.03'!P43</f>
        <v>0</v>
      </c>
      <c r="Q43" s="32">
        <f ca="1">'Юнит 23-28.02'!Q43+'Юнит 01.03'!Q43</f>
        <v>0</v>
      </c>
      <c r="R43" s="40">
        <f t="shared" ca="1" si="24"/>
        <v>0</v>
      </c>
      <c r="S43" s="32">
        <f ca="1">'Юнит 23-28.02'!S43+'Юнит 01.03'!S43</f>
        <v>0</v>
      </c>
      <c r="T43" s="32">
        <f ca="1">'Юнит 23-28.02'!T43+'Юнит 01.03'!T43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32">
        <f ca="1">'Юнит 23-28.02'!X43+'Юнит 01.03'!X43</f>
        <v>0</v>
      </c>
      <c r="Y43" s="45">
        <f t="shared" ca="1" si="28"/>
        <v>0</v>
      </c>
      <c r="Z43" s="32">
        <f ca="1">'Юнит 23-28.02'!Z43+'Юнит 01.03'!Z43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23-28.02'!K44+'Юнит 01.03'!K44</f>
        <v>0</v>
      </c>
      <c r="L44" s="36"/>
      <c r="M44" s="36"/>
      <c r="N44" s="37">
        <f t="shared" si="22"/>
        <v>0</v>
      </c>
      <c r="O44" s="38">
        <f t="shared" ca="1" si="23"/>
        <v>0</v>
      </c>
      <c r="P44" s="32">
        <f ca="1">'Юнит 23-28.02'!P44+'Юнит 01.03'!P44</f>
        <v>0</v>
      </c>
      <c r="Q44" s="32">
        <f ca="1">'Юнит 23-28.02'!Q44+'Юнит 01.03'!Q44</f>
        <v>0</v>
      </c>
      <c r="R44" s="40">
        <f t="shared" ca="1" si="24"/>
        <v>0</v>
      </c>
      <c r="S44" s="32">
        <f ca="1">'Юнит 23-28.02'!S44+'Юнит 01.03'!S44</f>
        <v>0</v>
      </c>
      <c r="T44" s="32">
        <f ca="1">'Юнит 23-28.02'!T44+'Юнит 01.03'!T44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32">
        <f ca="1">'Юнит 23-28.02'!X44+'Юнит 01.03'!X44</f>
        <v>0</v>
      </c>
      <c r="Y44" s="45">
        <f t="shared" ca="1" si="28"/>
        <v>0</v>
      </c>
      <c r="Z44" s="32">
        <f ca="1">'Юнит 23-28.02'!Z44+'Юнит 01.03'!Z44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23-28.02'!K45+'Юнит 01.03'!K45</f>
        <v>0</v>
      </c>
      <c r="L45" s="36"/>
      <c r="M45" s="36"/>
      <c r="N45" s="37">
        <f t="shared" si="22"/>
        <v>0</v>
      </c>
      <c r="O45" s="38">
        <f t="shared" ca="1" si="23"/>
        <v>0</v>
      </c>
      <c r="P45" s="32">
        <f ca="1">'Юнит 23-28.02'!P45+'Юнит 01.03'!P45</f>
        <v>0</v>
      </c>
      <c r="Q45" s="32">
        <f ca="1">'Юнит 23-28.02'!Q45+'Юнит 01.03'!Q45</f>
        <v>0</v>
      </c>
      <c r="R45" s="40">
        <f t="shared" ca="1" si="24"/>
        <v>0</v>
      </c>
      <c r="S45" s="32">
        <f ca="1">'Юнит 23-28.02'!S45+'Юнит 01.03'!S45</f>
        <v>0</v>
      </c>
      <c r="T45" s="32">
        <f ca="1">'Юнит 23-28.02'!T45+'Юнит 01.03'!T45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32">
        <f ca="1">'Юнит 23-28.02'!X45+'Юнит 01.03'!X45</f>
        <v>0</v>
      </c>
      <c r="Y45" s="45">
        <f t="shared" ca="1" si="28"/>
        <v>0</v>
      </c>
      <c r="Z45" s="32">
        <f ca="1">'Юнит 23-28.02'!Z45+'Юнит 01.03'!Z45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23-28.02'!K46+'Юнит 01.03'!K46</f>
        <v>0</v>
      </c>
      <c r="L46" s="36"/>
      <c r="M46" s="36"/>
      <c r="N46" s="37">
        <f t="shared" si="22"/>
        <v>0</v>
      </c>
      <c r="O46" s="38">
        <f t="shared" ca="1" si="23"/>
        <v>0</v>
      </c>
      <c r="P46" s="32">
        <f ca="1">'Юнит 23-28.02'!P46+'Юнит 01.03'!P46</f>
        <v>0</v>
      </c>
      <c r="Q46" s="32">
        <f ca="1">'Юнит 23-28.02'!Q46+'Юнит 01.03'!Q46</f>
        <v>0</v>
      </c>
      <c r="R46" s="40">
        <f t="shared" ca="1" si="24"/>
        <v>0</v>
      </c>
      <c r="S46" s="32">
        <f ca="1">'Юнит 23-28.02'!S46+'Юнит 01.03'!S46</f>
        <v>0</v>
      </c>
      <c r="T46" s="32">
        <f ca="1">'Юнит 23-28.02'!T46+'Юнит 01.03'!T46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32">
        <f ca="1">'Юнит 23-28.02'!X46+'Юнит 01.03'!X46</f>
        <v>0</v>
      </c>
      <c r="Y46" s="45">
        <f t="shared" ca="1" si="28"/>
        <v>0</v>
      </c>
      <c r="Z46" s="32">
        <f ca="1">'Юнит 23-28.02'!Z46+'Юнит 01.03'!Z46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23-28.02'!K47+'Юнит 01.03'!K47</f>
        <v>0</v>
      </c>
      <c r="L47" s="36"/>
      <c r="M47" s="36"/>
      <c r="N47" s="37">
        <f t="shared" si="22"/>
        <v>0</v>
      </c>
      <c r="O47" s="38">
        <f t="shared" ca="1" si="23"/>
        <v>0</v>
      </c>
      <c r="P47" s="32">
        <f ca="1">'Юнит 23-28.02'!P47+'Юнит 01.03'!P47</f>
        <v>0</v>
      </c>
      <c r="Q47" s="32">
        <f ca="1">'Юнит 23-28.02'!Q47+'Юнит 01.03'!Q47</f>
        <v>0</v>
      </c>
      <c r="R47" s="40">
        <f t="shared" ca="1" si="24"/>
        <v>0</v>
      </c>
      <c r="S47" s="32">
        <f ca="1">'Юнит 23-28.02'!S47+'Юнит 01.03'!S47</f>
        <v>0</v>
      </c>
      <c r="T47" s="32">
        <f ca="1">'Юнит 23-28.02'!T47+'Юнит 01.03'!T47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32">
        <f ca="1">'Юнит 23-28.02'!X47+'Юнит 01.03'!X47</f>
        <v>0</v>
      </c>
      <c r="Y47" s="45">
        <f t="shared" ca="1" si="28"/>
        <v>0</v>
      </c>
      <c r="Z47" s="32">
        <f ca="1">'Юнит 23-28.02'!Z47+'Юнит 01.03'!Z47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40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ca="1">SUM(P28:P47)</f>
        <v>0</v>
      </c>
      <c r="Q49" s="90">
        <f ca="1">SUM(Q28:Q47)</f>
        <v>0</v>
      </c>
      <c r="R49" s="96">
        <f t="shared" ref="R49:W49" ca="1" si="40">SUM(R28:R47)</f>
        <v>0</v>
      </c>
      <c r="S49" s="90">
        <f ca="1">SUM(S28:S47)</f>
        <v>0</v>
      </c>
      <c r="T49" s="90">
        <f ca="1">SUM(T28:T47)</f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ca="1">SUM(X28:X47)</f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18">
        <f ca="1">P26+P49</f>
        <v>0</v>
      </c>
      <c r="Q51" s="118">
        <f ca="1">Q26+Q49</f>
        <v>0</v>
      </c>
      <c r="R51" s="121">
        <f ca="1">R26-R49</f>
        <v>0</v>
      </c>
      <c r="S51" s="118">
        <f ca="1">S26+S49</f>
        <v>0</v>
      </c>
      <c r="T51" s="118">
        <f ca="1">T26+T49</f>
        <v>0</v>
      </c>
      <c r="U51" s="121">
        <f t="shared" ref="U51:W51" ca="1" si="41">U26+U49</f>
        <v>0</v>
      </c>
      <c r="V51" s="122" t="e">
        <f t="shared" ca="1" si="41"/>
        <v>#DIV/0!</v>
      </c>
      <c r="W51" s="118">
        <f t="shared" ca="1" si="41"/>
        <v>0</v>
      </c>
      <c r="X51" s="118">
        <f ca="1">X26+X49</f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81" priority="47" operator="greaterThan">
      <formula>120</formula>
    </cfRule>
  </conditionalFormatting>
  <conditionalFormatting sqref="AM56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{8A17E30C-F5DB-4CCF-9B4C-01077779BE31}</x14:id>
        </ext>
      </extLst>
    </cfRule>
  </conditionalFormatting>
  <conditionalFormatting sqref="AP3:AP7 AP27:AP47 AP50 AP10:AP2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{286B6822-AC43-4FD1-9ABB-B3430D14F9C6}</x14:id>
        </ext>
      </extLst>
    </cfRule>
  </conditionalFormatting>
  <conditionalFormatting sqref="AL3:AL7 AL27:AL47 AL50 AL10:AL2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{58F441E6-A47A-4CA2-AFC6-5F2A25D02995}</x14:id>
        </ext>
      </extLst>
    </cfRule>
  </conditionalFormatting>
  <conditionalFormatting sqref="AM3:AN7 AM27:AN47 AM50:AN50 AM10:AN24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{8B8B614F-A140-4BBF-96A3-E67F80FBEEFC}</x14:id>
        </ext>
      </extLst>
    </cfRule>
  </conditionalFormatting>
  <conditionalFormatting sqref="AP3:AP7 AP27:AP47 AP10:AP24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{23254736-B243-4014-B5DD-EABD3FC72E04}</x14:id>
        </ext>
      </extLst>
    </cfRule>
  </conditionalFormatting>
  <conditionalFormatting sqref="U27 U48 U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{8C7EFAE8-1DF8-40D1-B5AD-8BBE342126F3}</x14:id>
        </ext>
      </extLst>
    </cfRule>
  </conditionalFormatting>
  <conditionalFormatting sqref="AP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{2024F905-E786-48B2-A0CC-BD0853BF8504}</x14:id>
        </ext>
      </extLst>
    </cfRule>
  </conditionalFormatting>
  <conditionalFormatting sqref="AP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{46C06D43-612B-46CE-B399-8D9D02B5B7E3}</x14:id>
        </ext>
      </extLst>
    </cfRule>
  </conditionalFormatting>
  <conditionalFormatting sqref="R50">
    <cfRule type="cellIs" dxfId="180" priority="41" operator="greaterThan">
      <formula>120</formula>
    </cfRule>
  </conditionalFormatting>
  <conditionalFormatting sqref="U50">
    <cfRule type="cellIs" dxfId="179" priority="38" operator="greaterThan">
      <formula>120</formula>
    </cfRule>
  </conditionalFormatting>
  <conditionalFormatting sqref="W50">
    <cfRule type="cellIs" dxfId="178" priority="36" operator="greaterThan">
      <formula>120</formula>
    </cfRule>
  </conditionalFormatting>
  <conditionalFormatting sqref="AP48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{897D1641-CA13-4FA6-9287-7836DFB17FF4}</x14:id>
        </ext>
      </extLst>
    </cfRule>
  </conditionalFormatting>
  <conditionalFormatting sqref="AP4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{4DBD6AC9-FBCE-4D64-83C8-F9B038A43D96}</x14:id>
        </ext>
      </extLst>
    </cfRule>
  </conditionalFormatting>
  <conditionalFormatting sqref="J8:J9">
    <cfRule type="cellIs" dxfId="177" priority="25" operator="greaterThan">
      <formula>120</formula>
    </cfRule>
  </conditionalFormatting>
  <conditionalFormatting sqref="AP8:AP9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{BBAC1D8E-A33D-483F-96BF-E21A52674E71}</x14:id>
        </ext>
      </extLst>
    </cfRule>
  </conditionalFormatting>
  <conditionalFormatting sqref="AL8:AL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{D8826C57-8911-469A-88AA-D6E2B6790292}</x14:id>
        </ext>
      </extLst>
    </cfRule>
  </conditionalFormatting>
  <conditionalFormatting sqref="AM8:AN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{ABF43D63-126A-4F26-A817-9F019BC58428}</x14:id>
        </ext>
      </extLst>
    </cfRule>
  </conditionalFormatting>
  <conditionalFormatting sqref="AP8:AP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{1D8D584F-B364-41F0-9264-E1AC7E2B938C}</x14:id>
        </ext>
      </extLst>
    </cfRule>
  </conditionalFormatting>
  <conditionalFormatting sqref="U3:U24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{38E7A1BD-49EF-419D-99A3-BE8998B089E1}</x14:id>
        </ext>
      </extLst>
    </cfRule>
  </conditionalFormatting>
  <conditionalFormatting sqref="U28:U4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{6576AB1A-6010-4B9A-AEF5-3BA06623CC4B}</x14:id>
        </ext>
      </extLst>
    </cfRule>
  </conditionalFormatting>
  <conditionalFormatting sqref="N50">
    <cfRule type="cellIs" dxfId="176" priority="20" operator="between">
      <formula>0.000001</formula>
      <formula>25</formula>
    </cfRule>
  </conditionalFormatting>
  <conditionalFormatting sqref="Q50">
    <cfRule type="cellIs" dxfId="175" priority="19" operator="greaterThan">
      <formula>120</formula>
    </cfRule>
  </conditionalFormatting>
  <conditionalFormatting sqref="S50">
    <cfRule type="cellIs" dxfId="174" priority="18" operator="greaterThan">
      <formula>120</formula>
    </cfRule>
  </conditionalFormatting>
  <conditionalFormatting sqref="T50">
    <cfRule type="cellIs" dxfId="173" priority="17" operator="greaterThan">
      <formula>120</formula>
    </cfRule>
  </conditionalFormatting>
  <conditionalFormatting sqref="P50">
    <cfRule type="cellIs" dxfId="172" priority="16" operator="greaterThan">
      <formula>120</formula>
    </cfRule>
  </conditionalFormatting>
  <conditionalFormatting sqref="X50">
    <cfRule type="cellIs" dxfId="171" priority="15" operator="greaterThan">
      <formula>120</formula>
    </cfRule>
  </conditionalFormatting>
  <conditionalFormatting sqref="Z50">
    <cfRule type="cellIs" dxfId="170" priority="14" operator="greaterThan">
      <formula>120</formula>
    </cfRule>
  </conditionalFormatting>
  <conditionalFormatting sqref="V1 V52:V55 V57:V1048576">
    <cfRule type="cellIs" dxfId="169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{EB7209C2-FA12-46E0-B225-CBF1A1B6236D}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{B619083D-4F50-498A-B4F9-CBBC1927A19D}</x14:id>
        </ext>
      </extLst>
    </cfRule>
  </conditionalFormatting>
  <conditionalFormatting sqref="V50">
    <cfRule type="cellIs" dxfId="168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{41FA7289-DED8-439E-90CE-232023B2CAFF}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{EB1A6B2A-AC67-474A-A6B6-5924AA324679}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{B9AC1AAF-20BA-471B-974D-0ADDF3CA4FE5}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{57627453-A422-4407-AE0C-BBF653FB3DF8}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{B80DD986-97C9-49E2-B9A0-5ADD72E765C8}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{AC7B2682-2496-4812-9F8C-5B0F5B4610B6}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{22E630D4-20AE-45AE-A0CB-E3D51DE200E7}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{6C2FF21B-1C12-4923-A84A-8B8D89349E54}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17E30C-F5DB-4CCF-9B4C-01077779BE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286B6822-AC43-4FD1-9ABB-B3430D14F9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8F441E6-A47A-4CA2-AFC6-5F2A25D029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B8B614F-A140-4BBF-96A3-E67F80FBEE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23254736-B243-4014-B5DD-EABD3FC72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8C7EFAE8-1DF8-40D1-B5AD-8BBE34212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024F905-E786-48B2-A0CC-BD0853BF85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C06D43-612B-46CE-B399-8D9D02B5B7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97D1641-CA13-4FA6-9287-7836DFB17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DBD6AC9-FBCE-4D64-83C8-F9B038A43D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BBAC1D8E-A33D-483F-96BF-E21A52674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8826C57-8911-469A-88AA-D6E2B67902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ABF43D63-126A-4F26-A817-9F019BC584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D8D584F-B364-41F0-9264-E1AC7E2B93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38E7A1BD-49EF-419D-99A3-BE8998B08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6576AB1A-6010-4B9A-AEF5-3BA06623CC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EB7209C2-FA12-46E0-B225-CBF1A1B623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619083D-4F50-498A-B4F9-CBBC1927A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41FA7289-DED8-439E-90CE-232023B2C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B1A6B2A-AC67-474A-A6B6-5924AA324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B9AC1AAF-20BA-471B-974D-0ADDF3CA4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57627453-A422-4407-AE0C-BBF653FB3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0DD986-97C9-49E2-B9A0-5ADD72E765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C7B2682-2496-4812-9F8C-5B0F5B4610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2E630D4-20AE-45AE-A0CB-E3D51DE200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C2FF21B-1C12-4923-A84A-8B8D89349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92BEF-0947-434C-82D1-98A000B41E17}">
  <dimension ref="A1:AZ64"/>
  <sheetViews>
    <sheetView topLeftCell="N37" zoomScale="70" zoomScaleNormal="70" workbookViewId="0">
      <selection activeCell="AA12" sqref="AA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1003</v>
      </c>
      <c r="C1" s="3"/>
      <c r="D1" s="4"/>
      <c r="E1" s="4"/>
      <c r="F1" s="4"/>
      <c r="G1" s="4"/>
      <c r="N1" s="296" t="s">
        <v>997</v>
      </c>
      <c r="O1" s="297">
        <v>6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1007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23-28.02'!H:H,'Отчет 23-28.02'!D:D,"Выручка",'Отчет 23-28.02'!E:E,B3)</f>
        <v>0</v>
      </c>
      <c r="Q3" s="39">
        <f ca="1">SUMIFS('Отчет 23-28.02'!H:H,'Отчет 23-28.02'!D:D,"Возврат выручки",'Отчет 23-28.02'!E:E,B3)</f>
        <v>0</v>
      </c>
      <c r="R3" s="40">
        <f t="shared" ref="R3:R24" ca="1" si="1">P3-Q3</f>
        <v>0</v>
      </c>
      <c r="S3" s="41">
        <f ca="1">SUMIFS('Отчет 23-28.02'!P:P,'Отчет 23-28.02'!C:C,"Продажи",'Отчет 23-28.02'!E:E,B3)</f>
        <v>0</v>
      </c>
      <c r="T3" s="42">
        <f ca="1">SUMIFS('Отчет 23-28.02'!P:P,'Отчет 23-28.02'!C:C,"Возвраты",'Отчет 23-28.02'!E:E,B3)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23-28.02'!P:P,'Отчет 23-28.02'!C:C,"Вознаграждение Ozon",'Отчет 23-28.02'!E:E,B3)</f>
        <v>0</v>
      </c>
      <c r="Y3" s="45">
        <f t="shared" ref="Y3:Y24" ca="1" si="4">IF(U3=0,0,X3/U3)</f>
        <v>0</v>
      </c>
      <c r="Z3" s="42">
        <f ca="1">-SUMIFS('Отчет 23-28.02'!P:P,'Отчет 23-28.02'!C:C,"Услуги доставки",'Отчет 23-28.02'!E:E,B3)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23-28.02'!H:H,'Отчет 23-28.02'!D:D,"Выручка",'Отчет 23-28.02'!E:E,B4)</f>
        <v>0</v>
      </c>
      <c r="Q4" s="39">
        <f ca="1">SUMIFS('Отчет 23-28.02'!H:H,'Отчет 23-28.02'!D:D,"Возврат выручки",'Отчет 23-28.02'!E:E,B4)</f>
        <v>0</v>
      </c>
      <c r="R4" s="40">
        <f t="shared" ca="1" si="1"/>
        <v>0</v>
      </c>
      <c r="S4" s="41">
        <f ca="1">SUMIFS('Отчет 23-28.02'!P:P,'Отчет 23-28.02'!C:C,"Продажи",'Отчет 23-28.02'!E:E,B4)</f>
        <v>0</v>
      </c>
      <c r="T4" s="42">
        <f ca="1">SUMIFS('Отчет 23-28.02'!P:P,'Отчет 23-28.02'!C:C,"Возвраты",'Отчет 23-28.02'!E:E,B4)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23-28.02'!P:P,'Отчет 23-28.02'!C:C,"Вознаграждение Ozon",'Отчет 23-28.02'!E:E,B4)</f>
        <v>0</v>
      </c>
      <c r="Y4" s="45">
        <f t="shared" ca="1" si="4"/>
        <v>0</v>
      </c>
      <c r="Z4" s="42">
        <f ca="1">-SUMIFS('Отчет 23-28.02'!P:P,'Отчет 23-28.02'!C:C,"Услуги доставки",'Отчет 23-28.02'!E:E,B4)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23-28.02'!H:H,'Отчет 23-28.02'!D:D,"Выручка",'Отчет 23-28.02'!E:E,B5)</f>
        <v>0</v>
      </c>
      <c r="Q5" s="39">
        <f ca="1">SUMIFS('Отчет 23-28.02'!H:H,'Отчет 23-28.02'!D:D,"Возврат выручки",'Отчет 23-28.02'!E:E,B5)</f>
        <v>0</v>
      </c>
      <c r="R5" s="40">
        <f t="shared" ca="1" si="1"/>
        <v>0</v>
      </c>
      <c r="S5" s="41">
        <f ca="1">SUMIFS('Отчет 23-28.02'!P:P,'Отчет 23-28.02'!C:C,"Продажи",'Отчет 23-28.02'!E:E,B5)</f>
        <v>0</v>
      </c>
      <c r="T5" s="42">
        <f ca="1">SUMIFS('Отчет 23-28.02'!P:P,'Отчет 23-28.02'!C:C,"Возвраты",'Отчет 23-28.02'!E:E,B5)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23-28.02'!P:P,'Отчет 23-28.02'!C:C,"Вознаграждение Ozon",'Отчет 23-28.02'!E:E,B5)</f>
        <v>0</v>
      </c>
      <c r="Y5" s="45">
        <f t="shared" ca="1" si="4"/>
        <v>0</v>
      </c>
      <c r="Z5" s="42">
        <f ca="1">-SUMIFS('Отчет 23-28.02'!P:P,'Отчет 23-28.02'!C:C,"Услуги доставки",'Отчет 23-28.02'!E:E,B5)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23-28.02'!H:H,'Отчет 23-28.02'!D:D,"Выручка",'Отчет 23-28.02'!E:E,B6)</f>
        <v>0</v>
      </c>
      <c r="Q6" s="39">
        <f ca="1">SUMIFS('Отчет 23-28.02'!H:H,'Отчет 23-28.02'!D:D,"Возврат выручки",'Отчет 23-28.02'!E:E,B6)</f>
        <v>0</v>
      </c>
      <c r="R6" s="40">
        <f t="shared" ca="1" si="1"/>
        <v>0</v>
      </c>
      <c r="S6" s="41">
        <f ca="1">SUMIFS('Отчет 23-28.02'!P:P,'Отчет 23-28.02'!C:C,"Продажи",'Отчет 23-28.02'!E:E,B6)</f>
        <v>0</v>
      </c>
      <c r="T6" s="42">
        <f ca="1">SUMIFS('Отчет 23-28.02'!P:P,'Отчет 23-28.02'!C:C,"Возвраты",'Отчет 23-28.02'!E:E,B6)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23-28.02'!P:P,'Отчет 23-28.02'!C:C,"Вознаграждение Ozon",'Отчет 23-28.02'!E:E,B6)</f>
        <v>0</v>
      </c>
      <c r="Y6" s="45">
        <f t="shared" ca="1" si="4"/>
        <v>0</v>
      </c>
      <c r="Z6" s="42">
        <f ca="1">-SUMIFS('Отчет 23-28.02'!P:P,'Отчет 23-28.02'!C:C,"Услуги доставки",'Отчет 23-28.02'!E:E,B6)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23-28.02'!H:H,'Отчет 23-28.02'!D:D,"Выручка",'Отчет 23-28.02'!E:E,B7)</f>
        <v>0</v>
      </c>
      <c r="Q7" s="39">
        <f ca="1">SUMIFS('Отчет 23-28.02'!H:H,'Отчет 23-28.02'!D:D,"Возврат выручки",'Отчет 23-28.02'!E:E,B7)</f>
        <v>0</v>
      </c>
      <c r="R7" s="40">
        <f t="shared" ca="1" si="1"/>
        <v>0</v>
      </c>
      <c r="S7" s="41">
        <f ca="1">SUMIFS('Отчет 23-28.02'!P:P,'Отчет 23-28.02'!C:C,"Продажи",'Отчет 23-28.02'!E:E,B7)</f>
        <v>0</v>
      </c>
      <c r="T7" s="42">
        <f ca="1">SUMIFS('Отчет 23-28.02'!P:P,'Отчет 23-28.02'!C:C,"Возвраты",'Отчет 23-28.02'!E:E,B7)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23-28.02'!P:P,'Отчет 23-28.02'!C:C,"Вознаграждение Ozon",'Отчет 23-28.02'!E:E,B7)</f>
        <v>0</v>
      </c>
      <c r="Y7" s="45">
        <f t="shared" ca="1" si="4"/>
        <v>0</v>
      </c>
      <c r="Z7" s="42">
        <f ca="1">-SUMIFS('Отчет 23-28.02'!P:P,'Отчет 23-28.02'!C:C,"Услуги доставки",'Отчет 23-28.02'!E:E,B7)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23-28.02'!H:H,'Отчет 23-28.02'!D:D,"Выручка",'Отчет 23-28.02'!E:E,B8)</f>
        <v>0</v>
      </c>
      <c r="Q8" s="39">
        <f ca="1">SUMIFS('Отчет 23-28.02'!H:H,'Отчет 23-28.02'!D:D,"Возврат выручки",'Отчет 23-28.02'!E:E,B8)</f>
        <v>0</v>
      </c>
      <c r="R8" s="40">
        <f t="shared" ca="1" si="1"/>
        <v>0</v>
      </c>
      <c r="S8" s="41">
        <f ca="1">SUMIFS('Отчет 23-28.02'!P:P,'Отчет 23-28.02'!C:C,"Продажи",'Отчет 23-28.02'!E:E,B8)</f>
        <v>0</v>
      </c>
      <c r="T8" s="42">
        <f ca="1">SUMIFS('Отчет 23-28.02'!P:P,'Отчет 23-28.02'!C:C,"Возвраты",'Отчет 23-28.02'!E:E,B8)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23-28.02'!P:P,'Отчет 23-28.02'!C:C,"Вознаграждение Ozon",'Отчет 23-28.02'!E:E,B8)</f>
        <v>0</v>
      </c>
      <c r="Y8" s="45">
        <f t="shared" ca="1" si="4"/>
        <v>0</v>
      </c>
      <c r="Z8" s="42">
        <f ca="1">-SUMIFS('Отчет 23-28.02'!P:P,'Отчет 23-28.02'!C:C,"Услуги доставки",'Отчет 23-28.02'!E:E,B8)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23-28.02'!H:H,'Отчет 23-28.02'!D:D,"Выручка",'Отчет 23-28.02'!E:E,B9)</f>
        <v>0</v>
      </c>
      <c r="Q9" s="39">
        <f ca="1">SUMIFS('Отчет 23-28.02'!H:H,'Отчет 23-28.02'!D:D,"Возврат выручки",'Отчет 23-28.02'!E:E,B9)</f>
        <v>0</v>
      </c>
      <c r="R9" s="40">
        <f t="shared" ca="1" si="1"/>
        <v>0</v>
      </c>
      <c r="S9" s="41">
        <f ca="1">SUMIFS('Отчет 23-28.02'!P:P,'Отчет 23-28.02'!C:C,"Продажи",'Отчет 23-28.02'!E:E,B9)</f>
        <v>0</v>
      </c>
      <c r="T9" s="42">
        <f ca="1">SUMIFS('Отчет 23-28.02'!P:P,'Отчет 23-28.02'!C:C,"Возвраты",'Отчет 23-28.02'!E:E,B9)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23-28.02'!P:P,'Отчет 23-28.02'!C:C,"Вознаграждение Ozon",'Отчет 23-28.02'!E:E,B9)</f>
        <v>0</v>
      </c>
      <c r="Y9" s="45">
        <f t="shared" ca="1" si="4"/>
        <v>0</v>
      </c>
      <c r="Z9" s="42">
        <f ca="1">-SUMIFS('Отчет 23-28.02'!P:P,'Отчет 23-28.02'!C:C,"Услуги доставки",'Отчет 23-28.02'!E:E,B9)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23-28.02'!H:H,'Отчет 23-28.02'!D:D,"Выручка",'Отчет 23-28.02'!E:E,B10)</f>
        <v>0</v>
      </c>
      <c r="Q10" s="39">
        <f ca="1">SUMIFS('Отчет 23-28.02'!H:H,'Отчет 23-28.02'!D:D,"Возврат выручки",'Отчет 23-28.02'!E:E,B10)</f>
        <v>0</v>
      </c>
      <c r="R10" s="40">
        <f t="shared" ca="1" si="1"/>
        <v>0</v>
      </c>
      <c r="S10" s="41">
        <f ca="1">SUMIFS('Отчет 23-28.02'!P:P,'Отчет 23-28.02'!C:C,"Продажи",'Отчет 23-28.02'!E:E,B10)</f>
        <v>0</v>
      </c>
      <c r="T10" s="42">
        <f ca="1">SUMIFS('Отчет 23-28.02'!P:P,'Отчет 23-28.02'!C:C,"Возвраты",'Отчет 23-28.02'!E:E,B10)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23-28.02'!P:P,'Отчет 23-28.02'!C:C,"Вознаграждение Ozon",'Отчет 23-28.02'!E:E,B10)</f>
        <v>0</v>
      </c>
      <c r="Y10" s="45">
        <f t="shared" ca="1" si="4"/>
        <v>0</v>
      </c>
      <c r="Z10" s="42">
        <f ca="1">-SUMIFS('Отчет 23-28.02'!P:P,'Отчет 23-28.02'!C:C,"Услуги доставки",'Отчет 23-28.02'!E:E,B10)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23-28.02'!H:H,'Отчет 23-28.02'!D:D,"Выручка",'Отчет 23-28.02'!E:E,B11)</f>
        <v>0</v>
      </c>
      <c r="Q11" s="39">
        <f ca="1">SUMIFS('Отчет 23-28.02'!H:H,'Отчет 23-28.02'!D:D,"Возврат выручки",'Отчет 23-28.02'!E:E,B11)</f>
        <v>0</v>
      </c>
      <c r="R11" s="40">
        <f t="shared" ca="1" si="1"/>
        <v>0</v>
      </c>
      <c r="S11" s="41">
        <f ca="1">SUMIFS('Отчет 23-28.02'!P:P,'Отчет 23-28.02'!C:C,"Продажи",'Отчет 23-28.02'!E:E,B11)</f>
        <v>0</v>
      </c>
      <c r="T11" s="42">
        <f ca="1">SUMIFS('Отчет 23-28.02'!P:P,'Отчет 23-28.02'!C:C,"Возвраты",'Отчет 23-28.02'!E:E,B11)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23-28.02'!P:P,'Отчет 23-28.02'!C:C,"Вознаграждение Ozon",'Отчет 23-28.02'!E:E,B11)</f>
        <v>0</v>
      </c>
      <c r="Y11" s="45">
        <f t="shared" ca="1" si="4"/>
        <v>0</v>
      </c>
      <c r="Z11" s="42">
        <f ca="1">-SUMIFS('Отчет 23-28.02'!P:P,'Отчет 23-28.02'!C:C,"Услуги доставки",'Отчет 23-28.02'!E:E,B11)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23-28.02'!H:H,'Отчет 23-28.02'!D:D,"Выручка",'Отчет 23-28.02'!E:E,B12)</f>
        <v>0</v>
      </c>
      <c r="Q12" s="39">
        <f ca="1">SUMIFS('Отчет 23-28.02'!H:H,'Отчет 23-28.02'!D:D,"Возврат выручки",'Отчет 23-28.02'!E:E,B12)</f>
        <v>0</v>
      </c>
      <c r="R12" s="40">
        <f t="shared" ca="1" si="1"/>
        <v>0</v>
      </c>
      <c r="S12" s="41">
        <f ca="1">SUMIFS('Отчет 23-28.02'!P:P,'Отчет 23-28.02'!C:C,"Продажи",'Отчет 23-28.02'!E:E,B12)</f>
        <v>0</v>
      </c>
      <c r="T12" s="42">
        <f ca="1">SUMIFS('Отчет 23-28.02'!P:P,'Отчет 23-28.02'!C:C,"Возвраты",'Отчет 23-28.02'!E:E,B12)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23-28.02'!P:P,'Отчет 23-28.02'!C:C,"Вознаграждение Ozon",'Отчет 23-28.02'!E:E,B12)</f>
        <v>0</v>
      </c>
      <c r="Y12" s="45">
        <f t="shared" ca="1" si="4"/>
        <v>0</v>
      </c>
      <c r="Z12" s="42">
        <f ca="1">-SUMIFS('Отчет 23-28.02'!P:P,'Отчет 23-28.02'!C:C,"Услуги доставки",'Отчет 23-28.02'!E:E,B12)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23-28.02'!H:H,'Отчет 23-28.02'!D:D,"Выручка",'Отчет 23-28.02'!E:E,B13)</f>
        <v>0</v>
      </c>
      <c r="Q13" s="39">
        <f ca="1">SUMIFS('Отчет 23-28.02'!H:H,'Отчет 23-28.02'!D:D,"Возврат выручки",'Отчет 23-28.02'!E:E,B13)</f>
        <v>0</v>
      </c>
      <c r="R13" s="40">
        <f t="shared" ca="1" si="1"/>
        <v>0</v>
      </c>
      <c r="S13" s="41">
        <f ca="1">SUMIFS('Отчет 23-28.02'!P:P,'Отчет 23-28.02'!C:C,"Продажи",'Отчет 23-28.02'!E:E,B13)</f>
        <v>0</v>
      </c>
      <c r="T13" s="42">
        <f ca="1">SUMIFS('Отчет 23-28.02'!P:P,'Отчет 23-28.02'!C:C,"Возвраты",'Отчет 23-28.02'!E:E,B13)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23-28.02'!P:P,'Отчет 23-28.02'!C:C,"Вознаграждение Ozon",'Отчет 23-28.02'!E:E,B13)</f>
        <v>0</v>
      </c>
      <c r="Y13" s="45">
        <f t="shared" ca="1" si="4"/>
        <v>0</v>
      </c>
      <c r="Z13" s="42">
        <f ca="1">-SUMIFS('Отчет 23-28.02'!P:P,'Отчет 23-28.02'!C:C,"Услуги доставки",'Отчет 23-28.02'!E:E,B13)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23-28.02'!H:H,'Отчет 23-28.02'!D:D,"Выручка",'Отчет 23-28.02'!E:E,B14)</f>
        <v>0</v>
      </c>
      <c r="Q14" s="39">
        <f ca="1">SUMIFS('Отчет 23-28.02'!H:H,'Отчет 23-28.02'!D:D,"Возврат выручки",'Отчет 23-28.02'!E:E,B14)</f>
        <v>0</v>
      </c>
      <c r="R14" s="40">
        <f t="shared" ca="1" si="1"/>
        <v>0</v>
      </c>
      <c r="S14" s="41">
        <f ca="1">SUMIFS('Отчет 23-28.02'!P:P,'Отчет 23-28.02'!C:C,"Продажи",'Отчет 23-28.02'!E:E,B14)</f>
        <v>0</v>
      </c>
      <c r="T14" s="42">
        <f ca="1">SUMIFS('Отчет 23-28.02'!P:P,'Отчет 23-28.02'!C:C,"Возвраты",'Отчет 23-28.02'!E:E,B14)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23-28.02'!P:P,'Отчет 23-28.02'!C:C,"Вознаграждение Ozon",'Отчет 23-28.02'!E:E,B14)</f>
        <v>0</v>
      </c>
      <c r="Y14" s="45">
        <f t="shared" ca="1" si="4"/>
        <v>0</v>
      </c>
      <c r="Z14" s="42">
        <f ca="1">-SUMIFS('Отчет 23-28.02'!P:P,'Отчет 23-28.02'!C:C,"Услуги доставки",'Отчет 23-28.02'!E:E,B14)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23-28.02'!H:H,'Отчет 23-28.02'!D:D,"Выручка",'Отчет 23-28.02'!E:E,B15)</f>
        <v>0</v>
      </c>
      <c r="Q15" s="39">
        <f ca="1">SUMIFS('Отчет 23-28.02'!H:H,'Отчет 23-28.02'!D:D,"Возврат выручки",'Отчет 23-28.02'!E:E,B15)</f>
        <v>0</v>
      </c>
      <c r="R15" s="40">
        <f t="shared" ca="1" si="1"/>
        <v>0</v>
      </c>
      <c r="S15" s="41">
        <f ca="1">SUMIFS('Отчет 23-28.02'!P:P,'Отчет 23-28.02'!C:C,"Продажи",'Отчет 23-28.02'!E:E,B15)</f>
        <v>0</v>
      </c>
      <c r="T15" s="42">
        <f ca="1">SUMIFS('Отчет 23-28.02'!P:P,'Отчет 23-28.02'!C:C,"Возвраты",'Отчет 23-28.02'!E:E,B15)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23-28.02'!P:P,'Отчет 23-28.02'!C:C,"Вознаграждение Ozon",'Отчет 23-28.02'!E:E,B15)</f>
        <v>0</v>
      </c>
      <c r="Y15" s="45">
        <f t="shared" ca="1" si="4"/>
        <v>0</v>
      </c>
      <c r="Z15" s="42">
        <f ca="1">-SUMIFS('Отчет 23-28.02'!P:P,'Отчет 23-28.02'!C:C,"Услуги доставки",'Отчет 23-28.02'!E:E,B15)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23-28.02'!H:H,'Отчет 23-28.02'!D:D,"Выручка",'Отчет 23-28.02'!E:E,B16)</f>
        <v>0</v>
      </c>
      <c r="Q16" s="39">
        <f ca="1">SUMIFS('Отчет 23-28.02'!H:H,'Отчет 23-28.02'!D:D,"Возврат выручки",'Отчет 23-28.02'!E:E,B16)</f>
        <v>0</v>
      </c>
      <c r="R16" s="40">
        <f t="shared" ca="1" si="1"/>
        <v>0</v>
      </c>
      <c r="S16" s="41">
        <f ca="1">SUMIFS('Отчет 23-28.02'!P:P,'Отчет 23-28.02'!C:C,"Продажи",'Отчет 23-28.02'!E:E,B16)</f>
        <v>0</v>
      </c>
      <c r="T16" s="42">
        <f ca="1">SUMIFS('Отчет 23-28.02'!P:P,'Отчет 23-28.02'!C:C,"Возвраты",'Отчет 23-28.02'!E:E,B16)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23-28.02'!P:P,'Отчет 23-28.02'!C:C,"Вознаграждение Ozon",'Отчет 23-28.02'!E:E,B16)</f>
        <v>0</v>
      </c>
      <c r="Y16" s="45">
        <f t="shared" ca="1" si="4"/>
        <v>0</v>
      </c>
      <c r="Z16" s="42">
        <f ca="1">-SUMIFS('Отчет 23-28.02'!P:P,'Отчет 23-28.02'!C:C,"Услуги доставки",'Отчет 23-28.02'!E:E,B16)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23-28.02'!H:H,'Отчет 23-28.02'!D:D,"Выручка",'Отчет 23-28.02'!E:E,B17)</f>
        <v>0</v>
      </c>
      <c r="Q17" s="39">
        <f ca="1">SUMIFS('Отчет 23-28.02'!H:H,'Отчет 23-28.02'!D:D,"Возврат выручки",'Отчет 23-28.02'!E:E,B17)</f>
        <v>0</v>
      </c>
      <c r="R17" s="40">
        <f t="shared" ca="1" si="1"/>
        <v>0</v>
      </c>
      <c r="S17" s="41">
        <f ca="1">SUMIFS('Отчет 23-28.02'!P:P,'Отчет 23-28.02'!C:C,"Продажи",'Отчет 23-28.02'!E:E,B17)</f>
        <v>0</v>
      </c>
      <c r="T17" s="42">
        <f ca="1">SUMIFS('Отчет 23-28.02'!P:P,'Отчет 23-28.02'!C:C,"Возвраты",'Отчет 23-28.02'!E:E,B17)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23-28.02'!P:P,'Отчет 23-28.02'!C:C,"Вознаграждение Ozon",'Отчет 23-28.02'!E:E,B17)</f>
        <v>0</v>
      </c>
      <c r="Y17" s="45">
        <f t="shared" ca="1" si="4"/>
        <v>0</v>
      </c>
      <c r="Z17" s="42">
        <f ca="1">-SUMIFS('Отчет 23-28.02'!P:P,'Отчет 23-28.02'!C:C,"Услуги доставки",'Отчет 23-28.02'!E:E,B17)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23-28.02'!H:H,'Отчет 23-28.02'!D:D,"Выручка",'Отчет 23-28.02'!E:E,B18)</f>
        <v>0</v>
      </c>
      <c r="Q18" s="39">
        <f ca="1">SUMIFS('Отчет 23-28.02'!H:H,'Отчет 23-28.02'!D:D,"Возврат выручки",'Отчет 23-28.02'!E:E,B18)</f>
        <v>0</v>
      </c>
      <c r="R18" s="40">
        <f t="shared" ca="1" si="1"/>
        <v>0</v>
      </c>
      <c r="S18" s="41">
        <f ca="1">SUMIFS('Отчет 23-28.02'!P:P,'Отчет 23-28.02'!C:C,"Продажи",'Отчет 23-28.02'!E:E,B18)</f>
        <v>0</v>
      </c>
      <c r="T18" s="42">
        <f ca="1">SUMIFS('Отчет 23-28.02'!P:P,'Отчет 23-28.02'!C:C,"Возвраты",'Отчет 23-28.02'!E:E,B18)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23-28.02'!P:P,'Отчет 23-28.02'!C:C,"Вознаграждение Ozon",'Отчет 23-28.02'!E:E,B18)</f>
        <v>0</v>
      </c>
      <c r="Y18" s="45">
        <f t="shared" ca="1" si="4"/>
        <v>0</v>
      </c>
      <c r="Z18" s="42">
        <f ca="1">-SUMIFS('Отчет 23-28.02'!P:P,'Отчет 23-28.02'!C:C,"Услуги доставки",'Отчет 23-28.02'!E:E,B18)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23-28.02'!H:H,'Отчет 23-28.02'!D:D,"Выручка",'Отчет 23-28.02'!E:E,B19)</f>
        <v>0</v>
      </c>
      <c r="Q19" s="39">
        <f ca="1">SUMIFS('Отчет 23-28.02'!H:H,'Отчет 23-28.02'!D:D,"Возврат выручки",'Отчет 23-28.02'!E:E,B19)</f>
        <v>0</v>
      </c>
      <c r="R19" s="40">
        <f t="shared" ca="1" si="1"/>
        <v>0</v>
      </c>
      <c r="S19" s="41">
        <f ca="1">SUMIFS('Отчет 23-28.02'!P:P,'Отчет 23-28.02'!C:C,"Продажи",'Отчет 23-28.02'!E:E,B19)</f>
        <v>0</v>
      </c>
      <c r="T19" s="42">
        <f ca="1">SUMIFS('Отчет 23-28.02'!P:P,'Отчет 23-28.02'!C:C,"Возвраты",'Отчет 23-28.02'!E:E,B19)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23-28.02'!P:P,'Отчет 23-28.02'!C:C,"Вознаграждение Ozon",'Отчет 23-28.02'!E:E,B19)</f>
        <v>0</v>
      </c>
      <c r="Y19" s="45">
        <f t="shared" ca="1" si="4"/>
        <v>0</v>
      </c>
      <c r="Z19" s="42">
        <f ca="1">-SUMIFS('Отчет 23-28.02'!P:P,'Отчет 23-28.02'!C:C,"Услуги доставки",'Отчет 23-28.02'!E:E,B19)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23-28.02'!H:H,'Отчет 23-28.02'!D:D,"Выручка",'Отчет 23-28.02'!E:E,B20)</f>
        <v>0</v>
      </c>
      <c r="Q20" s="39">
        <f ca="1">SUMIFS('Отчет 23-28.02'!H:H,'Отчет 23-28.02'!D:D,"Возврат выручки",'Отчет 23-28.02'!E:E,B20)</f>
        <v>0</v>
      </c>
      <c r="R20" s="40">
        <f t="shared" ca="1" si="1"/>
        <v>0</v>
      </c>
      <c r="S20" s="41">
        <f ca="1">SUMIFS('Отчет 23-28.02'!P:P,'Отчет 23-28.02'!C:C,"Продажи",'Отчет 23-28.02'!E:E,B20)</f>
        <v>0</v>
      </c>
      <c r="T20" s="42">
        <f ca="1">SUMIFS('Отчет 23-28.02'!P:P,'Отчет 23-28.02'!C:C,"Возвраты",'Отчет 23-28.02'!E:E,B20)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23-28.02'!P:P,'Отчет 23-28.02'!C:C,"Вознаграждение Ozon",'Отчет 23-28.02'!E:E,B20)</f>
        <v>0</v>
      </c>
      <c r="Y20" s="45">
        <f t="shared" ca="1" si="4"/>
        <v>0</v>
      </c>
      <c r="Z20" s="42">
        <f ca="1">-SUMIFS('Отчет 23-28.02'!P:P,'Отчет 23-28.02'!C:C,"Услуги доставки",'Отчет 23-28.02'!E:E,B20)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23-28.02'!H:H,'Отчет 23-28.02'!D:D,"Выручка",'Отчет 23-28.02'!E:E,B21)</f>
        <v>0</v>
      </c>
      <c r="Q21" s="39">
        <f ca="1">SUMIFS('Отчет 23-28.02'!H:H,'Отчет 23-28.02'!D:D,"Возврат выручки",'Отчет 23-28.02'!E:E,B21)</f>
        <v>0</v>
      </c>
      <c r="R21" s="40">
        <f t="shared" ca="1" si="1"/>
        <v>0</v>
      </c>
      <c r="S21" s="41">
        <f ca="1">SUMIFS('Отчет 23-28.02'!P:P,'Отчет 23-28.02'!C:C,"Продажи",'Отчет 23-28.02'!E:E,B21)</f>
        <v>0</v>
      </c>
      <c r="T21" s="42">
        <f ca="1">SUMIFS('Отчет 23-28.02'!P:P,'Отчет 23-28.02'!C:C,"Возвраты",'Отчет 23-28.02'!E:E,B21)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23-28.02'!P:P,'Отчет 23-28.02'!C:C,"Вознаграждение Ozon",'Отчет 23-28.02'!E:E,B21)</f>
        <v>0</v>
      </c>
      <c r="Y21" s="45">
        <f t="shared" ca="1" si="4"/>
        <v>0</v>
      </c>
      <c r="Z21" s="42">
        <f ca="1">-SUMIFS('Отчет 23-28.02'!P:P,'Отчет 23-28.02'!C:C,"Услуги доставки",'Отчет 23-28.02'!E:E,B21)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23-28.02'!H:H,'Отчет 23-28.02'!D:D,"Выручка",'Отчет 23-28.02'!E:E,B22)</f>
        <v>0</v>
      </c>
      <c r="Q22" s="39">
        <f ca="1">SUMIFS('Отчет 23-28.02'!H:H,'Отчет 23-28.02'!D:D,"Возврат выручки",'Отчет 23-28.02'!E:E,B22)</f>
        <v>0</v>
      </c>
      <c r="R22" s="40">
        <f t="shared" ca="1" si="1"/>
        <v>0</v>
      </c>
      <c r="S22" s="41">
        <f ca="1">SUMIFS('Отчет 23-28.02'!P:P,'Отчет 23-28.02'!C:C,"Продажи",'Отчет 23-28.02'!E:E,B22)</f>
        <v>0</v>
      </c>
      <c r="T22" s="42">
        <f ca="1">SUMIFS('Отчет 23-28.02'!P:P,'Отчет 23-28.02'!C:C,"Возвраты",'Отчет 23-28.02'!E:E,B22)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23-28.02'!P:P,'Отчет 23-28.02'!C:C,"Вознаграждение Ozon",'Отчет 23-28.02'!E:E,B22)</f>
        <v>0</v>
      </c>
      <c r="Y22" s="45">
        <f t="shared" ca="1" si="4"/>
        <v>0</v>
      </c>
      <c r="Z22" s="42">
        <f ca="1">-SUMIFS('Отчет 23-28.02'!P:P,'Отчет 23-28.02'!C:C,"Услуги доставки",'Отчет 23-28.02'!E:E,B22)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23-28.02'!H:H,'Отчет 23-28.02'!D:D,"Выручка",'Отчет 23-28.02'!E:E,B23)</f>
        <v>0</v>
      </c>
      <c r="Q23" s="39">
        <f ca="1">SUMIFS('Отчет 23-28.02'!H:H,'Отчет 23-28.02'!D:D,"Возврат выручки",'Отчет 23-28.02'!E:E,B23)</f>
        <v>0</v>
      </c>
      <c r="R23" s="40">
        <f t="shared" ca="1" si="1"/>
        <v>0</v>
      </c>
      <c r="S23" s="41">
        <f ca="1">SUMIFS('Отчет 23-28.02'!P:P,'Отчет 23-28.02'!C:C,"Продажи",'Отчет 23-28.02'!E:E,B23)</f>
        <v>0</v>
      </c>
      <c r="T23" s="42">
        <f ca="1">SUMIFS('Отчет 23-28.02'!P:P,'Отчет 23-28.02'!C:C,"Возвраты",'Отчет 23-28.02'!E:E,B23)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23-28.02'!P:P,'Отчет 23-28.02'!C:C,"Вознаграждение Ozon",'Отчет 23-28.02'!E:E,B23)</f>
        <v>0</v>
      </c>
      <c r="Y23" s="45">
        <f t="shared" ca="1" si="4"/>
        <v>0</v>
      </c>
      <c r="Z23" s="42">
        <f ca="1">-SUMIFS('Отчет 23-28.02'!P:P,'Отчет 23-28.02'!C:C,"Услуги доставки",'Отчет 23-28.02'!E:E,B23)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23-28.02'!H:H,'Отчет 23-28.02'!D:D,"Выручка",'Отчет 23-28.02'!E:E,B24)</f>
        <v>0</v>
      </c>
      <c r="Q24" s="39">
        <f ca="1">SUMIFS('Отчет 23-28.02'!H:H,'Отчет 23-28.02'!D:D,"Возврат выручки",'Отчет 23-28.02'!E:E,B24)</f>
        <v>0</v>
      </c>
      <c r="R24" s="40">
        <f t="shared" ca="1" si="1"/>
        <v>0</v>
      </c>
      <c r="S24" s="41">
        <f ca="1">SUMIFS('Отчет 23-28.02'!P:P,'Отчет 23-28.02'!C:C,"Продажи",'Отчет 23-28.02'!E:E,B24)</f>
        <v>0</v>
      </c>
      <c r="T24" s="42">
        <f ca="1">SUMIFS('Отчет 23-28.02'!P:P,'Отчет 23-28.02'!C:C,"Возвраты",'Отчет 23-28.02'!E:E,B24)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23-28.02'!P:P,'Отчет 23-28.02'!C:C,"Вознаграждение Ozon",'Отчет 23-28.02'!E:E,B24)</f>
        <v>0</v>
      </c>
      <c r="Y24" s="45">
        <f t="shared" ca="1" si="4"/>
        <v>0</v>
      </c>
      <c r="Z24" s="42">
        <f ca="1">-SUMIFS('Отчет 23-28.02'!P:P,'Отчет 23-28.02'!C:C,"Услуги доставки",'Отчет 23-28.02'!E:E,B24)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23-28.02'!H:H,'Отчет 23-28.02'!D:D,"Выручка",'Отчет 23-28.02'!E:E,B28)</f>
        <v>0</v>
      </c>
      <c r="Q28" s="39">
        <f ca="1">SUMIFS('Отчет 23-28.02'!H:H,'Отчет 23-28.02'!D:D,"Возврат выручки",'Отчет 23-28.02'!E:E,B28)</f>
        <v>0</v>
      </c>
      <c r="R28" s="40">
        <f t="shared" ref="R28:R47" ca="1" si="24">P28-Q28</f>
        <v>0</v>
      </c>
      <c r="S28" s="41">
        <f ca="1">SUMIFS('Отчет 23-28.02'!P:P,'Отчет 23-28.02'!C:C,"Продажи",'Отчет 23-28.02'!E:E,B28)</f>
        <v>0</v>
      </c>
      <c r="T28" s="42">
        <f ca="1">SUMIFS('Отчет 23-28.02'!P:P,'Отчет 23-28.02'!C:C,"Возвраты",'Отчет 23-28.02'!E:E,B28)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23-28.02'!P:P,'Отчет 23-28.02'!C:C,"Вознаграждение Ozon",'Отчет 23-28.02'!E:E,B28)</f>
        <v>0</v>
      </c>
      <c r="Y28" s="45">
        <f t="shared" ref="Y28:Y47" ca="1" si="28">IF(U28=0,0,X28/U28)</f>
        <v>0</v>
      </c>
      <c r="Z28" s="42">
        <f ca="1">-SUMIFS('Отчет 23-28.02'!P:P,'Отчет 23-28.02'!C:C,"Услуги доставки",'Отчет 23-28.02'!E:E,B28)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23-28.02'!H:H,'Отчет 23-28.02'!D:D,"Выручка",'Отчет 23-28.02'!E:E,B29)</f>
        <v>0</v>
      </c>
      <c r="Q29" s="39">
        <f ca="1">SUMIFS('Отчет 23-28.02'!H:H,'Отчет 23-28.02'!D:D,"Возврат выручки",'Отчет 23-28.02'!E:E,B29)</f>
        <v>0</v>
      </c>
      <c r="R29" s="40">
        <f t="shared" ca="1" si="24"/>
        <v>0</v>
      </c>
      <c r="S29" s="41">
        <f ca="1">SUMIFS('Отчет 23-28.02'!P:P,'Отчет 23-28.02'!C:C,"Продажи",'Отчет 23-28.02'!E:E,B29)</f>
        <v>0</v>
      </c>
      <c r="T29" s="42">
        <f ca="1">SUMIFS('Отчет 23-28.02'!P:P,'Отчет 23-28.02'!C:C,"Возвраты",'Отчет 23-28.02'!E:E,B29)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23-28.02'!P:P,'Отчет 23-28.02'!C:C,"Вознаграждение Ozon",'Отчет 23-28.02'!E:E,B29)</f>
        <v>0</v>
      </c>
      <c r="Y29" s="45">
        <f t="shared" ca="1" si="28"/>
        <v>0</v>
      </c>
      <c r="Z29" s="42">
        <f ca="1">-SUMIFS('Отчет 23-28.02'!P:P,'Отчет 23-28.02'!C:C,"Услуги доставки",'Отчет 23-28.02'!E:E,B29)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23-28.02'!H:H,'Отчет 23-28.02'!D:D,"Выручка",'Отчет 23-28.02'!E:E,B30)</f>
        <v>0</v>
      </c>
      <c r="Q30" s="39">
        <f ca="1">SUMIFS('Отчет 23-28.02'!H:H,'Отчет 23-28.02'!D:D,"Возврат выручки",'Отчет 23-28.02'!E:E,B30)</f>
        <v>0</v>
      </c>
      <c r="R30" s="40">
        <f t="shared" ca="1" si="24"/>
        <v>0</v>
      </c>
      <c r="S30" s="41">
        <f ca="1">SUMIFS('Отчет 23-28.02'!P:P,'Отчет 23-28.02'!C:C,"Продажи",'Отчет 23-28.02'!E:E,B30)</f>
        <v>0</v>
      </c>
      <c r="T30" s="42">
        <f ca="1">SUMIFS('Отчет 23-28.02'!P:P,'Отчет 23-28.02'!C:C,"Возвраты",'Отчет 23-28.02'!E:E,B30)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23-28.02'!P:P,'Отчет 23-28.02'!C:C,"Вознаграждение Ozon",'Отчет 23-28.02'!E:E,B30)</f>
        <v>0</v>
      </c>
      <c r="Y30" s="45">
        <f t="shared" ca="1" si="28"/>
        <v>0</v>
      </c>
      <c r="Z30" s="42">
        <f ca="1">-SUMIFS('Отчет 23-28.02'!P:P,'Отчет 23-28.02'!C:C,"Услуги доставки",'Отчет 23-28.02'!E:E,B30)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23-28.02'!H:H,'Отчет 23-28.02'!D:D,"Выручка",'Отчет 23-28.02'!E:E,B31)</f>
        <v>0</v>
      </c>
      <c r="Q31" s="39">
        <f ca="1">SUMIFS('Отчет 23-28.02'!H:H,'Отчет 23-28.02'!D:D,"Возврат выручки",'Отчет 23-28.02'!E:E,B31)</f>
        <v>0</v>
      </c>
      <c r="R31" s="40">
        <f t="shared" ca="1" si="24"/>
        <v>0</v>
      </c>
      <c r="S31" s="41">
        <f ca="1">SUMIFS('Отчет 23-28.02'!P:P,'Отчет 23-28.02'!C:C,"Продажи",'Отчет 23-28.02'!E:E,B31)</f>
        <v>0</v>
      </c>
      <c r="T31" s="42">
        <f ca="1">SUMIFS('Отчет 23-28.02'!P:P,'Отчет 23-28.02'!C:C,"Возвраты",'Отчет 23-28.02'!E:E,B31)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23-28.02'!P:P,'Отчет 23-28.02'!C:C,"Вознаграждение Ozon",'Отчет 23-28.02'!E:E,B31)</f>
        <v>0</v>
      </c>
      <c r="Y31" s="45">
        <f t="shared" ca="1" si="28"/>
        <v>0</v>
      </c>
      <c r="Z31" s="42">
        <f ca="1">-SUMIFS('Отчет 23-28.02'!P:P,'Отчет 23-28.02'!C:C,"Услуги доставки",'Отчет 23-28.02'!E:E,B31)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23-28.02'!H:H,'Отчет 23-28.02'!D:D,"Выручка",'Отчет 23-28.02'!E:E,B32)</f>
        <v>0</v>
      </c>
      <c r="Q32" s="39">
        <f ca="1">SUMIFS('Отчет 23-28.02'!H:H,'Отчет 23-28.02'!D:D,"Возврат выручки",'Отчет 23-28.02'!E:E,B32)</f>
        <v>0</v>
      </c>
      <c r="R32" s="40">
        <f t="shared" ca="1" si="24"/>
        <v>0</v>
      </c>
      <c r="S32" s="41">
        <f ca="1">SUMIFS('Отчет 23-28.02'!P:P,'Отчет 23-28.02'!C:C,"Продажи",'Отчет 23-28.02'!E:E,B32)</f>
        <v>0</v>
      </c>
      <c r="T32" s="42">
        <f ca="1">SUMIFS('Отчет 23-28.02'!P:P,'Отчет 23-28.02'!C:C,"Возвраты",'Отчет 23-28.02'!E:E,B32)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23-28.02'!P:P,'Отчет 23-28.02'!C:C,"Вознаграждение Ozon",'Отчет 23-28.02'!E:E,B32)</f>
        <v>0</v>
      </c>
      <c r="Y32" s="45">
        <f t="shared" ca="1" si="28"/>
        <v>0</v>
      </c>
      <c r="Z32" s="42">
        <f ca="1">-SUMIFS('Отчет 23-28.02'!P:P,'Отчет 23-28.02'!C:C,"Услуги доставки",'Отчет 23-28.02'!E:E,B32)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23-28.02'!H:H,'Отчет 23-28.02'!D:D,"Выручка",'Отчет 23-28.02'!E:E,B33)</f>
        <v>0</v>
      </c>
      <c r="Q33" s="39">
        <f ca="1">SUMIFS('Отчет 23-28.02'!H:H,'Отчет 23-28.02'!D:D,"Возврат выручки",'Отчет 23-28.02'!E:E,B33)</f>
        <v>0</v>
      </c>
      <c r="R33" s="40">
        <f t="shared" ca="1" si="24"/>
        <v>0</v>
      </c>
      <c r="S33" s="41">
        <f ca="1">SUMIFS('Отчет 23-28.02'!P:P,'Отчет 23-28.02'!C:C,"Продажи",'Отчет 23-28.02'!E:E,B33)</f>
        <v>0</v>
      </c>
      <c r="T33" s="42">
        <f ca="1">SUMIFS('Отчет 23-28.02'!P:P,'Отчет 23-28.02'!C:C,"Возвраты",'Отчет 23-28.02'!E:E,B33)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23-28.02'!P:P,'Отчет 23-28.02'!C:C,"Вознаграждение Ozon",'Отчет 23-28.02'!E:E,B33)</f>
        <v>0</v>
      </c>
      <c r="Y33" s="45">
        <f t="shared" ca="1" si="28"/>
        <v>0</v>
      </c>
      <c r="Z33" s="42">
        <f ca="1">-SUMIFS('Отчет 23-28.02'!P:P,'Отчет 23-28.02'!C:C,"Услуги доставки",'Отчет 23-28.02'!E:E,B33)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23-28.02'!H:H,'Отчет 23-28.02'!D:D,"Выручка",'Отчет 23-28.02'!E:E,B34)</f>
        <v>0</v>
      </c>
      <c r="Q34" s="39">
        <f ca="1">SUMIFS('Отчет 23-28.02'!H:H,'Отчет 23-28.02'!D:D,"Возврат выручки",'Отчет 23-28.02'!E:E,B34)</f>
        <v>0</v>
      </c>
      <c r="R34" s="40">
        <f t="shared" ca="1" si="24"/>
        <v>0</v>
      </c>
      <c r="S34" s="41">
        <f ca="1">SUMIFS('Отчет 23-28.02'!P:P,'Отчет 23-28.02'!C:C,"Продажи",'Отчет 23-28.02'!E:E,B34)</f>
        <v>0</v>
      </c>
      <c r="T34" s="42">
        <f ca="1">SUMIFS('Отчет 23-28.02'!P:P,'Отчет 23-28.02'!C:C,"Возвраты",'Отчет 23-28.02'!E:E,B34)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23-28.02'!P:P,'Отчет 23-28.02'!C:C,"Вознаграждение Ozon",'Отчет 23-28.02'!E:E,B34)</f>
        <v>0</v>
      </c>
      <c r="Y34" s="45">
        <f t="shared" ca="1" si="28"/>
        <v>0</v>
      </c>
      <c r="Z34" s="42">
        <f ca="1">-SUMIFS('Отчет 23-28.02'!P:P,'Отчет 23-28.02'!C:C,"Услуги доставки",'Отчет 23-28.02'!E:E,B34)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23-28.02'!H:H,'Отчет 23-28.02'!D:D,"Выручка",'Отчет 23-28.02'!E:E,B35)</f>
        <v>0</v>
      </c>
      <c r="Q35" s="39">
        <f ca="1">SUMIFS('Отчет 23-28.02'!H:H,'Отчет 23-28.02'!D:D,"Возврат выручки",'Отчет 23-28.02'!E:E,B35)</f>
        <v>0</v>
      </c>
      <c r="R35" s="40">
        <f t="shared" ca="1" si="24"/>
        <v>0</v>
      </c>
      <c r="S35" s="41">
        <f ca="1">SUMIFS('Отчет 23-28.02'!P:P,'Отчет 23-28.02'!C:C,"Продажи",'Отчет 23-28.02'!E:E,B35)</f>
        <v>0</v>
      </c>
      <c r="T35" s="42">
        <f ca="1">SUMIFS('Отчет 23-28.02'!P:P,'Отчет 23-28.02'!C:C,"Возвраты",'Отчет 23-28.02'!E:E,B35)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23-28.02'!P:P,'Отчет 23-28.02'!C:C,"Вознаграждение Ozon",'Отчет 23-28.02'!E:E,B35)</f>
        <v>0</v>
      </c>
      <c r="Y35" s="45">
        <f t="shared" ca="1" si="28"/>
        <v>0</v>
      </c>
      <c r="Z35" s="42">
        <f ca="1">-SUMIFS('Отчет 23-28.02'!P:P,'Отчет 23-28.02'!C:C,"Услуги доставки",'Отчет 23-28.02'!E:E,B35)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23-28.02'!H:H,'Отчет 23-28.02'!D:D,"Выручка",'Отчет 23-28.02'!E:E,B36)</f>
        <v>0</v>
      </c>
      <c r="Q36" s="39">
        <f ca="1">SUMIFS('Отчет 23-28.02'!H:H,'Отчет 23-28.02'!D:D,"Возврат выручки",'Отчет 23-28.02'!E:E,B36)</f>
        <v>0</v>
      </c>
      <c r="R36" s="40">
        <f t="shared" ca="1" si="24"/>
        <v>0</v>
      </c>
      <c r="S36" s="41">
        <f ca="1">SUMIFS('Отчет 23-28.02'!P:P,'Отчет 23-28.02'!C:C,"Продажи",'Отчет 23-28.02'!E:E,B36)</f>
        <v>0</v>
      </c>
      <c r="T36" s="42">
        <f ca="1">SUMIFS('Отчет 23-28.02'!P:P,'Отчет 23-28.02'!C:C,"Возвраты",'Отчет 23-28.02'!E:E,B36)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23-28.02'!P:P,'Отчет 23-28.02'!C:C,"Вознаграждение Ozon",'Отчет 23-28.02'!E:E,B36)</f>
        <v>0</v>
      </c>
      <c r="Y36" s="45">
        <f t="shared" ca="1" si="28"/>
        <v>0</v>
      </c>
      <c r="Z36" s="42">
        <f ca="1">-SUMIFS('Отчет 23-28.02'!P:P,'Отчет 23-28.02'!C:C,"Услуги доставки",'Отчет 23-28.02'!E:E,B36)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23-28.02'!H:H,'Отчет 23-28.02'!D:D,"Выручка",'Отчет 23-28.02'!E:E,B37)</f>
        <v>0</v>
      </c>
      <c r="Q37" s="39">
        <f ca="1">SUMIFS('Отчет 23-28.02'!H:H,'Отчет 23-28.02'!D:D,"Возврат выручки",'Отчет 23-28.02'!E:E,B37)</f>
        <v>0</v>
      </c>
      <c r="R37" s="40">
        <f t="shared" ca="1" si="24"/>
        <v>0</v>
      </c>
      <c r="S37" s="41">
        <f ca="1">SUMIFS('Отчет 23-28.02'!P:P,'Отчет 23-28.02'!C:C,"Продажи",'Отчет 23-28.02'!E:E,B37)</f>
        <v>0</v>
      </c>
      <c r="T37" s="42">
        <f ca="1">SUMIFS('Отчет 23-28.02'!P:P,'Отчет 23-28.02'!C:C,"Возвраты",'Отчет 23-28.02'!E:E,B37)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23-28.02'!P:P,'Отчет 23-28.02'!C:C,"Вознаграждение Ozon",'Отчет 23-28.02'!E:E,B37)</f>
        <v>0</v>
      </c>
      <c r="Y37" s="45">
        <f t="shared" ca="1" si="28"/>
        <v>0</v>
      </c>
      <c r="Z37" s="42">
        <f ca="1">-SUMIFS('Отчет 23-28.02'!P:P,'Отчет 23-28.02'!C:C,"Услуги доставки",'Отчет 23-28.02'!E:E,B37)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23-28.02'!H:H,'Отчет 23-28.02'!D:D,"Выручка",'Отчет 23-28.02'!E:E,B38)</f>
        <v>0</v>
      </c>
      <c r="Q38" s="39">
        <f ca="1">SUMIFS('Отчет 23-28.02'!H:H,'Отчет 23-28.02'!D:D,"Возврат выручки",'Отчет 23-28.02'!E:E,B38)</f>
        <v>0</v>
      </c>
      <c r="R38" s="40">
        <f t="shared" ca="1" si="24"/>
        <v>0</v>
      </c>
      <c r="S38" s="41">
        <f ca="1">SUMIFS('Отчет 23-28.02'!P:P,'Отчет 23-28.02'!C:C,"Продажи",'Отчет 23-28.02'!E:E,B38)</f>
        <v>0</v>
      </c>
      <c r="T38" s="42">
        <f ca="1">SUMIFS('Отчет 23-28.02'!P:P,'Отчет 23-28.02'!C:C,"Возвраты",'Отчет 23-28.02'!E:E,B38)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23-28.02'!P:P,'Отчет 23-28.02'!C:C,"Вознаграждение Ozon",'Отчет 23-28.02'!E:E,B38)</f>
        <v>0</v>
      </c>
      <c r="Y38" s="45">
        <f t="shared" ca="1" si="28"/>
        <v>0</v>
      </c>
      <c r="Z38" s="42">
        <f ca="1">-SUMIFS('Отчет 23-28.02'!P:P,'Отчет 23-28.02'!C:C,"Услуги доставки",'Отчет 23-28.02'!E:E,B38)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23-28.02'!H:H,'Отчет 23-28.02'!D:D,"Выручка",'Отчет 23-28.02'!E:E,B39)</f>
        <v>0</v>
      </c>
      <c r="Q39" s="39">
        <f ca="1">SUMIFS('Отчет 23-28.02'!H:H,'Отчет 23-28.02'!D:D,"Возврат выручки",'Отчет 23-28.02'!E:E,B39)</f>
        <v>0</v>
      </c>
      <c r="R39" s="40">
        <f t="shared" ca="1" si="24"/>
        <v>0</v>
      </c>
      <c r="S39" s="41">
        <f ca="1">SUMIFS('Отчет 23-28.02'!P:P,'Отчет 23-28.02'!C:C,"Продажи",'Отчет 23-28.02'!E:E,B39)</f>
        <v>0</v>
      </c>
      <c r="T39" s="42">
        <f ca="1">SUMIFS('Отчет 23-28.02'!P:P,'Отчет 23-28.02'!C:C,"Возвраты",'Отчет 23-28.02'!E:E,B39)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23-28.02'!P:P,'Отчет 23-28.02'!C:C,"Вознаграждение Ozon",'Отчет 23-28.02'!E:E,B39)</f>
        <v>0</v>
      </c>
      <c r="Y39" s="45">
        <f t="shared" ca="1" si="28"/>
        <v>0</v>
      </c>
      <c r="Z39" s="42">
        <f ca="1">-SUMIFS('Отчет 23-28.02'!P:P,'Отчет 23-28.02'!C:C,"Услуги доставки",'Отчет 23-28.02'!E:E,B39)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23-28.02'!H:H,'Отчет 23-28.02'!D:D,"Выручка",'Отчет 23-28.02'!E:E,B40)</f>
        <v>0</v>
      </c>
      <c r="Q40" s="39">
        <f ca="1">SUMIFS('Отчет 23-28.02'!H:H,'Отчет 23-28.02'!D:D,"Возврат выручки",'Отчет 23-28.02'!E:E,B40)</f>
        <v>0</v>
      </c>
      <c r="R40" s="40">
        <f t="shared" ca="1" si="24"/>
        <v>0</v>
      </c>
      <c r="S40" s="41">
        <f ca="1">SUMIFS('Отчет 23-28.02'!P:P,'Отчет 23-28.02'!C:C,"Продажи",'Отчет 23-28.02'!E:E,B40)</f>
        <v>0</v>
      </c>
      <c r="T40" s="42">
        <f ca="1">SUMIFS('Отчет 23-28.02'!P:P,'Отчет 23-28.02'!C:C,"Возвраты",'Отчет 23-28.02'!E:E,B40)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23-28.02'!P:P,'Отчет 23-28.02'!C:C,"Вознаграждение Ozon",'Отчет 23-28.02'!E:E,B40)</f>
        <v>0</v>
      </c>
      <c r="Y40" s="45">
        <f t="shared" ca="1" si="28"/>
        <v>0</v>
      </c>
      <c r="Z40" s="42">
        <f ca="1">-SUMIFS('Отчет 23-28.02'!P:P,'Отчет 23-28.02'!C:C,"Услуги доставки",'Отчет 23-28.02'!E:E,B40)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23-28.02'!H:H,'Отчет 23-28.02'!D:D,"Выручка",'Отчет 23-28.02'!E:E,B41)</f>
        <v>0</v>
      </c>
      <c r="Q41" s="39">
        <f ca="1">SUMIFS('Отчет 23-28.02'!H:H,'Отчет 23-28.02'!D:D,"Возврат выручки",'Отчет 23-28.02'!E:E,B41)</f>
        <v>0</v>
      </c>
      <c r="R41" s="40">
        <f t="shared" ca="1" si="24"/>
        <v>0</v>
      </c>
      <c r="S41" s="41">
        <f ca="1">SUMIFS('Отчет 23-28.02'!P:P,'Отчет 23-28.02'!C:C,"Продажи",'Отчет 23-28.02'!E:E,B41)</f>
        <v>0</v>
      </c>
      <c r="T41" s="42">
        <f ca="1">SUMIFS('Отчет 23-28.02'!P:P,'Отчет 23-28.02'!C:C,"Возвраты",'Отчет 23-28.02'!E:E,B41)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23-28.02'!P:P,'Отчет 23-28.02'!C:C,"Вознаграждение Ozon",'Отчет 23-28.02'!E:E,B41)</f>
        <v>0</v>
      </c>
      <c r="Y41" s="45">
        <f t="shared" ca="1" si="28"/>
        <v>0</v>
      </c>
      <c r="Z41" s="42">
        <f ca="1">-SUMIFS('Отчет 23-28.02'!P:P,'Отчет 23-28.02'!C:C,"Услуги доставки",'Отчет 23-28.02'!E:E,B41)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23-28.02'!H:H,'Отчет 23-28.02'!D:D,"Выручка",'Отчет 23-28.02'!E:E,B42)</f>
        <v>0</v>
      </c>
      <c r="Q42" s="39">
        <f ca="1">SUMIFS('Отчет 23-28.02'!H:H,'Отчет 23-28.02'!D:D,"Возврат выручки",'Отчет 23-28.02'!E:E,B42)</f>
        <v>0</v>
      </c>
      <c r="R42" s="40">
        <f t="shared" ca="1" si="24"/>
        <v>0</v>
      </c>
      <c r="S42" s="41">
        <f ca="1">SUMIFS('Отчет 23-28.02'!P:P,'Отчет 23-28.02'!C:C,"Продажи",'Отчет 23-28.02'!E:E,B42)</f>
        <v>0</v>
      </c>
      <c r="T42" s="42">
        <f ca="1">SUMIFS('Отчет 23-28.02'!P:P,'Отчет 23-28.02'!C:C,"Возвраты",'Отчет 23-28.02'!E:E,B42)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23-28.02'!P:P,'Отчет 23-28.02'!C:C,"Вознаграждение Ozon",'Отчет 23-28.02'!E:E,B42)</f>
        <v>0</v>
      </c>
      <c r="Y42" s="45">
        <f t="shared" ca="1" si="28"/>
        <v>0</v>
      </c>
      <c r="Z42" s="42">
        <f ca="1">-SUMIFS('Отчет 23-28.02'!P:P,'Отчет 23-28.02'!C:C,"Услуги доставки",'Отчет 23-28.02'!E:E,B42)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23-28.02'!H:H,'Отчет 23-28.02'!D:D,"Выручка",'Отчет 23-28.02'!E:E,B43)</f>
        <v>0</v>
      </c>
      <c r="Q43" s="39">
        <f ca="1">SUMIFS('Отчет 23-28.02'!H:H,'Отчет 23-28.02'!D:D,"Возврат выручки",'Отчет 23-28.02'!E:E,B43)</f>
        <v>0</v>
      </c>
      <c r="R43" s="40">
        <f t="shared" ca="1" si="24"/>
        <v>0</v>
      </c>
      <c r="S43" s="41">
        <f ca="1">SUMIFS('Отчет 23-28.02'!P:P,'Отчет 23-28.02'!C:C,"Продажи",'Отчет 23-28.02'!E:E,B43)</f>
        <v>0</v>
      </c>
      <c r="T43" s="42">
        <f ca="1">SUMIFS('Отчет 23-28.02'!P:P,'Отчет 23-28.02'!C:C,"Возвраты",'Отчет 23-28.02'!E:E,B43)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23-28.02'!P:P,'Отчет 23-28.02'!C:C,"Вознаграждение Ozon",'Отчет 23-28.02'!E:E,B43)</f>
        <v>0</v>
      </c>
      <c r="Y43" s="45">
        <f t="shared" ca="1" si="28"/>
        <v>0</v>
      </c>
      <c r="Z43" s="42">
        <f ca="1">-SUMIFS('Отчет 23-28.02'!P:P,'Отчет 23-28.02'!C:C,"Услуги доставки",'Отчет 23-28.02'!E:E,B43)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23-28.02'!H:H,'Отчет 23-28.02'!D:D,"Выручка",'Отчет 23-28.02'!E:E,B44)</f>
        <v>0</v>
      </c>
      <c r="Q44" s="39">
        <f ca="1">SUMIFS('Отчет 23-28.02'!H:H,'Отчет 23-28.02'!D:D,"Возврат выручки",'Отчет 23-28.02'!E:E,B44)</f>
        <v>0</v>
      </c>
      <c r="R44" s="40">
        <f t="shared" ca="1" si="24"/>
        <v>0</v>
      </c>
      <c r="S44" s="41">
        <f ca="1">SUMIFS('Отчет 23-28.02'!P:P,'Отчет 23-28.02'!C:C,"Продажи",'Отчет 23-28.02'!E:E,B44)</f>
        <v>0</v>
      </c>
      <c r="T44" s="42">
        <f ca="1">SUMIFS('Отчет 23-28.02'!P:P,'Отчет 23-28.02'!C:C,"Возвраты",'Отчет 23-28.02'!E:E,B44)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23-28.02'!P:P,'Отчет 23-28.02'!C:C,"Вознаграждение Ozon",'Отчет 23-28.02'!E:E,B44)</f>
        <v>0</v>
      </c>
      <c r="Y44" s="45">
        <f t="shared" ca="1" si="28"/>
        <v>0</v>
      </c>
      <c r="Z44" s="42">
        <f ca="1">-SUMIFS('Отчет 23-28.02'!P:P,'Отчет 23-28.02'!C:C,"Услуги доставки",'Отчет 23-28.02'!E:E,B44)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23-28.02'!H:H,'Отчет 23-28.02'!D:D,"Выручка",'Отчет 23-28.02'!E:E,B45)</f>
        <v>0</v>
      </c>
      <c r="Q45" s="39">
        <f ca="1">SUMIFS('Отчет 23-28.02'!H:H,'Отчет 23-28.02'!D:D,"Возврат выручки",'Отчет 23-28.02'!E:E,B45)</f>
        <v>0</v>
      </c>
      <c r="R45" s="40">
        <f t="shared" ca="1" si="24"/>
        <v>0</v>
      </c>
      <c r="S45" s="41">
        <f ca="1">SUMIFS('Отчет 23-28.02'!P:P,'Отчет 23-28.02'!C:C,"Продажи",'Отчет 23-28.02'!E:E,B45)</f>
        <v>0</v>
      </c>
      <c r="T45" s="42">
        <f ca="1">SUMIFS('Отчет 23-28.02'!P:P,'Отчет 23-28.02'!C:C,"Возвраты",'Отчет 23-28.02'!E:E,B45)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23-28.02'!P:P,'Отчет 23-28.02'!C:C,"Вознаграждение Ozon",'Отчет 23-28.02'!E:E,B45)</f>
        <v>0</v>
      </c>
      <c r="Y45" s="45">
        <f t="shared" ca="1" si="28"/>
        <v>0</v>
      </c>
      <c r="Z45" s="42">
        <f ca="1">-SUMIFS('Отчет 23-28.02'!P:P,'Отчет 23-28.02'!C:C,"Услуги доставки",'Отчет 23-28.02'!E:E,B45)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23-28.02'!H:H,'Отчет 23-28.02'!D:D,"Выручка",'Отчет 23-28.02'!E:E,B46)</f>
        <v>0</v>
      </c>
      <c r="Q46" s="39">
        <f ca="1">SUMIFS('Отчет 23-28.02'!H:H,'Отчет 23-28.02'!D:D,"Возврат выручки",'Отчет 23-28.02'!E:E,B46)</f>
        <v>0</v>
      </c>
      <c r="R46" s="40">
        <f t="shared" ca="1" si="24"/>
        <v>0</v>
      </c>
      <c r="S46" s="41">
        <f ca="1">SUMIFS('Отчет 23-28.02'!P:P,'Отчет 23-28.02'!C:C,"Продажи",'Отчет 23-28.02'!E:E,B46)</f>
        <v>0</v>
      </c>
      <c r="T46" s="42">
        <f ca="1">SUMIFS('Отчет 23-28.02'!P:P,'Отчет 23-28.02'!C:C,"Возвраты",'Отчет 23-28.02'!E:E,B46)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23-28.02'!P:P,'Отчет 23-28.02'!C:C,"Вознаграждение Ozon",'Отчет 23-28.02'!E:E,B46)</f>
        <v>0</v>
      </c>
      <c r="Y46" s="45">
        <f t="shared" ca="1" si="28"/>
        <v>0</v>
      </c>
      <c r="Z46" s="42">
        <f ca="1">-SUMIFS('Отчет 23-28.02'!P:P,'Отчет 23-28.02'!C:C,"Услуги доставки",'Отчет 23-28.02'!E:E,B46)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23-28.02'!H:H,'Отчет 23-28.02'!D:D,"Выручка",'Отчет 23-28.02'!E:E,B47)</f>
        <v>0</v>
      </c>
      <c r="Q47" s="39">
        <f ca="1">SUMIFS('Отчет 23-28.02'!H:H,'Отчет 23-28.02'!D:D,"Возврат выручки",'Отчет 23-28.02'!E:E,B47)</f>
        <v>0</v>
      </c>
      <c r="R47" s="40">
        <f t="shared" ca="1" si="24"/>
        <v>0</v>
      </c>
      <c r="S47" s="41">
        <f ca="1">SUMIFS('Отчет 23-28.02'!P:P,'Отчет 23-28.02'!C:C,"Продажи",'Отчет 23-28.02'!E:E,B47)</f>
        <v>0</v>
      </c>
      <c r="T47" s="42">
        <f ca="1">SUMIFS('Отчет 23-28.02'!P:P,'Отчет 23-28.02'!C:C,"Возвраты",'Отчет 23-28.02'!E:E,B47)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23-28.02'!P:P,'Отчет 23-28.02'!C:C,"Вознаграждение Ozon",'Отчет 23-28.02'!E:E,B47)</f>
        <v>0</v>
      </c>
      <c r="Y47" s="45">
        <f t="shared" ca="1" si="28"/>
        <v>0</v>
      </c>
      <c r="Z47" s="42">
        <f ca="1">-SUMIFS('Отчет 23-28.02'!P:P,'Отчет 23-28.02'!C:C,"Услуги доставки",'Отчет 23-28.02'!E:E,B47)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67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{AAD35D0D-533A-4DBB-8E7B-8CBEF43A2A5B}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{F776401A-B08A-41D0-AF9F-7AABA08DBA56}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{C4448BC1-422E-48B7-A145-E416B4D5E448}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{D67156E5-F0E1-45A5-8628-DDF89591B5EF}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{568962BA-7134-40BE-9A1A-AFA14F82BC92}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{123A5A66-B07A-4C2A-BB80-7DE2C4849AB3}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{C79D1DB1-386F-4EDA-B72B-B715E7E11F94}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{4FB9C974-48B1-44EB-A728-9006FCE41C2B}</x14:id>
        </ext>
      </extLst>
    </cfRule>
  </conditionalFormatting>
  <conditionalFormatting sqref="P50">
    <cfRule type="cellIs" dxfId="166" priority="36" operator="greaterThan">
      <formula>120</formula>
    </cfRule>
  </conditionalFormatting>
  <conditionalFormatting sqref="Q50">
    <cfRule type="cellIs" dxfId="165" priority="35" operator="greaterThan">
      <formula>120</formula>
    </cfRule>
  </conditionalFormatting>
  <conditionalFormatting sqref="R50">
    <cfRule type="cellIs" dxfId="164" priority="34" operator="greaterThan">
      <formula>120</formula>
    </cfRule>
  </conditionalFormatting>
  <conditionalFormatting sqref="S50">
    <cfRule type="cellIs" dxfId="163" priority="33" operator="greaterThan">
      <formula>120</formula>
    </cfRule>
  </conditionalFormatting>
  <conditionalFormatting sqref="T50">
    <cfRule type="cellIs" dxfId="162" priority="32" operator="greaterThan">
      <formula>120</formula>
    </cfRule>
  </conditionalFormatting>
  <conditionalFormatting sqref="U50">
    <cfRule type="cellIs" dxfId="161" priority="31" operator="greaterThan">
      <formula>120</formula>
    </cfRule>
  </conditionalFormatting>
  <conditionalFormatting sqref="W50">
    <cfRule type="cellIs" dxfId="160" priority="29" operator="greaterThan">
      <formula>120</formula>
    </cfRule>
  </conditionalFormatting>
  <conditionalFormatting sqref="X50">
    <cfRule type="cellIs" dxfId="159" priority="28" operator="greaterThan">
      <formula>120</formula>
    </cfRule>
  </conditionalFormatting>
  <conditionalFormatting sqref="Z50">
    <cfRule type="cellIs" dxfId="158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{513D1478-56A8-4808-84CA-836978130813}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{538E2088-7804-4391-BA6D-442CFA40CABB}</x14:id>
        </ext>
      </extLst>
    </cfRule>
  </conditionalFormatting>
  <conditionalFormatting sqref="J8:J9">
    <cfRule type="cellIs" dxfId="157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{1D0DDDA0-3A1C-4E70-837A-65A4ACB3B623}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{A7B04545-D0F8-4590-B496-765F8265A0E8}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{853432C4-6EE0-4BBF-B1F6-3D08BC4E75DD}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{81D1069A-526B-443E-A37E-5C67A0797EAC}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{F6B6E6AB-537A-4EBD-961B-E513D7E4D63C}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{956FF8C4-6B92-4F01-BDC0-E377AE422E8C}</x14:id>
        </ext>
      </extLst>
    </cfRule>
  </conditionalFormatting>
  <conditionalFormatting sqref="N50">
    <cfRule type="cellIs" dxfId="156" priority="13" operator="between">
      <formula>0.000001</formula>
      <formula>25</formula>
    </cfRule>
  </conditionalFormatting>
  <conditionalFormatting sqref="V1 V52:V55 V57:V1048576">
    <cfRule type="cellIs" dxfId="155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{613E193B-43B7-403F-A390-35C4C28B4934}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{EE3487EE-B216-4A66-980F-B12F43961AF4}</x14:id>
        </ext>
      </extLst>
    </cfRule>
  </conditionalFormatting>
  <conditionalFormatting sqref="V50">
    <cfRule type="cellIs" dxfId="154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{B36CD291-DDAD-442E-9EE9-2FA158586ED3}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{F79549C5-80A8-4189-831E-B079F933DE5E}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{D24187EA-A2CE-4E4C-BD1A-C3F25BBEE82A}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{71E985FB-30CA-4170-A64B-5AC84F17CBC4}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{E210F731-9D6F-4790-B782-43536D69EE71}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{869ABCAB-7293-43FD-A196-143AEACB4160}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{A0DF3202-7195-4F08-8773-78E162D2C871}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{DB02DEE4-0C38-4721-AC1E-5817C8C3DE93}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D35D0D-533A-4DBB-8E7B-8CBEF43A2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F776401A-B08A-41D0-AF9F-7AABA08DB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C4448BC1-422E-48B7-A145-E416B4D5E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67156E5-F0E1-45A5-8628-DDF89591B5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68962BA-7134-40BE-9A1A-AFA14F82BC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23A5A66-B07A-4C2A-BB80-7DE2C4849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C79D1DB1-386F-4EDA-B72B-B715E7E11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FB9C974-48B1-44EB-A728-9006FCE41C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13D1478-56A8-4808-84CA-8369781308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538E2088-7804-4391-BA6D-442CFA40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D0DDDA0-3A1C-4E70-837A-65A4ACB3B6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A7B04545-D0F8-4590-B496-765F8265A0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3432C4-6EE0-4BBF-B1F6-3D08BC4E75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81D1069A-526B-443E-A37E-5C67A0797E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6B6E6AB-537A-4EBD-961B-E513D7E4D6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956FF8C4-6B92-4F01-BDC0-E377AE422E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613E193B-43B7-403F-A390-35C4C28B49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E3487EE-B216-4A66-980F-B12F43961A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B36CD291-DDAD-442E-9EE9-2FA158586E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79549C5-80A8-4189-831E-B079F933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4187EA-A2CE-4E4C-BD1A-C3F25BBEE8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71E985FB-30CA-4170-A64B-5AC84F17C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E210F731-9D6F-4790-B782-43536D69EE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69ABCAB-7293-43FD-A196-143AEACB4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A0DF3202-7195-4F08-8773-78E162D2C8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B02DEE4-0C38-4721-AC1E-5817C8C3DE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B2AF-07EF-4C1F-A0D2-6E0342A049DF}">
  <dimension ref="A1:AZ64"/>
  <sheetViews>
    <sheetView topLeftCell="K43" zoomScale="70" zoomScaleNormal="70" workbookViewId="0">
      <selection activeCell="AA1" sqref="AA1:AE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1002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/>
      <c r="AE1" s="341" t="e">
        <f ca="1">U51/AD1</f>
        <v>#DIV/0!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/>
      <c r="L3" s="36"/>
      <c r="M3" s="36"/>
      <c r="N3" s="37">
        <f>K3/$O$1</f>
        <v>0</v>
      </c>
      <c r="O3" s="38">
        <f ca="1">R3/$O$1</f>
        <v>0</v>
      </c>
      <c r="P3" s="39">
        <f ca="1">SUMIFS('Отчет 16-22.02'!H:H,'Отчет 16-22.02'!D:D,"Выручка",'Отчет 16-22.02'!E:E,B3)</f>
        <v>0</v>
      </c>
      <c r="Q3" s="39">
        <f ca="1">SUMIFS('Отчет 16-22.02'!H:H,'Отчет 16-22.02'!D:D,"Возврат выручки",'Отчет 16-22.02'!E:E,B3)</f>
        <v>0</v>
      </c>
      <c r="R3" s="40">
        <f t="shared" ref="R3:R24" ca="1" si="1">P3-Q3</f>
        <v>0</v>
      </c>
      <c r="S3" s="41">
        <f ca="1">SUMIFS('Отчет 16-22.02'!P:P,'Отчет 16-22.02'!C:C,"Продажи",'Отчет 16-22.02'!E:E,B3)</f>
        <v>0</v>
      </c>
      <c r="T3" s="42">
        <f ca="1">SUMIFS('Отчет 16-22.02'!P:P,'Отчет 16-22.02'!C:C,"Возвраты",'Отчет 16-22.02'!E:E,B3)</f>
        <v>0</v>
      </c>
      <c r="U3" s="40">
        <f t="shared" ref="U3:U24" ca="1" si="2">S3+T3</f>
        <v>0</v>
      </c>
      <c r="V3" s="43" t="e">
        <f ca="1">U3/$U$51</f>
        <v>#DIV/0!</v>
      </c>
      <c r="W3" s="44">
        <f t="shared" ref="W3:W24" ca="1" si="3">R3*H3</f>
        <v>0</v>
      </c>
      <c r="X3" s="42">
        <f ca="1">-SUMIFS('Отчет 16-22.02'!P:P,'Отчет 16-22.02'!C:C,"Вознаграждение Ozon",'Отчет 16-22.02'!E:E,B3)</f>
        <v>0</v>
      </c>
      <c r="Y3" s="45">
        <f t="shared" ref="Y3:Y24" ca="1" si="4">IF(U3=0,0,X3/U3)</f>
        <v>0</v>
      </c>
      <c r="Z3" s="42">
        <f ca="1">-SUMIFS('Отчет 16-22.02'!P:P,'Отчет 16-22.02'!C:C,"Услуги доставки",'Отчет 16-22.02'!E:E,B3)</f>
        <v>0</v>
      </c>
      <c r="AA3" s="32"/>
      <c r="AB3" s="42"/>
      <c r="AC3" s="42"/>
      <c r="AD3" s="46" t="e">
        <f ca="1">U3*1%/$AE$1</f>
        <v>#DIV/0!</v>
      </c>
      <c r="AE3" s="47" t="e">
        <f t="shared" ref="AE3:AE24" ca="1" si="5">U3-W3-X3-Z3-AA3-AB3-AC3-AD3</f>
        <v>#DIV/0!</v>
      </c>
      <c r="AF3" s="46"/>
      <c r="AG3" s="48">
        <f t="shared" ref="AG3:AG24" ca="1" si="6">IF(R3=0,0,U3/R3)</f>
        <v>0</v>
      </c>
      <c r="AH3" s="49">
        <f t="shared" ref="AH3:AH24" si="7">H3</f>
        <v>142.97999999999999</v>
      </c>
      <c r="AI3" s="49">
        <f t="shared" ref="AI3:AI24" ca="1" si="8">IF(R3=0,0,X3/R3)</f>
        <v>0</v>
      </c>
      <c r="AJ3" s="49">
        <f t="shared" ref="AJ3:AJ24" ca="1" si="9">IF(P3=0,Z3/1,Z3/P3)</f>
        <v>0</v>
      </c>
      <c r="AK3" s="49">
        <f t="shared" ref="AK3:AK24" ca="1" si="10">IF(P3=0,0,AA3/P3)</f>
        <v>0</v>
      </c>
      <c r="AL3" s="49" t="e">
        <f ca="1">_xlfn.IFS(R3=0,AE3,R3&lt;0,AE3/-R3,R3&gt;0,AE3/R3)</f>
        <v>#DIV/0!</v>
      </c>
      <c r="AM3" s="50">
        <f t="shared" ref="AM3:AM24" ca="1" si="11">IF(AG3=0,0,AL3/AG3)</f>
        <v>0</v>
      </c>
      <c r="AN3" s="51" t="e">
        <f t="shared" ref="AN3:AN24" ca="1" si="12">IF(AH3=0,0,AL3/AH3)</f>
        <v>#DIV/0!</v>
      </c>
      <c r="AP3" s="53" t="e">
        <f t="shared" ref="AP3:AP24" ca="1" si="13">AL3*C3</f>
        <v>#DIV/0!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ref="N4:N24" si="14">K4/$O$1</f>
        <v>0</v>
      </c>
      <c r="O4" s="38">
        <f t="shared" ref="O4:O24" ca="1" si="15">R4/$O$1</f>
        <v>0</v>
      </c>
      <c r="P4" s="39">
        <f ca="1">SUMIFS('Отчет 16-22.02'!H:H,'Отчет 16-22.02'!D:D,"Выручка",'Отчет 16-22.02'!E:E,B4)</f>
        <v>0</v>
      </c>
      <c r="Q4" s="39">
        <f ca="1">SUMIFS('Отчет 16-22.02'!H:H,'Отчет 16-22.02'!D:D,"Возврат выручки",'Отчет 16-22.02'!E:E,B4)</f>
        <v>0</v>
      </c>
      <c r="R4" s="40">
        <f t="shared" ca="1" si="1"/>
        <v>0</v>
      </c>
      <c r="S4" s="41">
        <f ca="1">SUMIFS('Отчет 16-22.02'!P:P,'Отчет 16-22.02'!C:C,"Продажи",'Отчет 16-22.02'!E:E,B4)</f>
        <v>0</v>
      </c>
      <c r="T4" s="42">
        <f ca="1">SUMIFS('Отчет 16-22.02'!P:P,'Отчет 16-22.02'!C:C,"Возвраты",'Отчет 16-22.02'!E:E,B4)</f>
        <v>0</v>
      </c>
      <c r="U4" s="40">
        <f t="shared" ca="1" si="2"/>
        <v>0</v>
      </c>
      <c r="V4" s="43" t="e">
        <f t="shared" ref="V4:V24" ca="1" si="16">U4/$U$51</f>
        <v>#DIV/0!</v>
      </c>
      <c r="W4" s="44">
        <f t="shared" ca="1" si="3"/>
        <v>0</v>
      </c>
      <c r="X4" s="42">
        <f ca="1">-SUMIFS('Отчет 16-22.02'!P:P,'Отчет 16-22.02'!C:C,"Вознаграждение Ozon",'Отчет 16-22.02'!E:E,B4)</f>
        <v>0</v>
      </c>
      <c r="Y4" s="45">
        <f t="shared" ca="1" si="4"/>
        <v>0</v>
      </c>
      <c r="Z4" s="42">
        <f ca="1">-SUMIFS('Отчет 16-22.02'!P:P,'Отчет 16-22.02'!C:C,"Услуги доставки",'Отчет 16-22.02'!E:E,B4)</f>
        <v>0</v>
      </c>
      <c r="AA4" s="32"/>
      <c r="AB4" s="42"/>
      <c r="AC4" s="42"/>
      <c r="AD4" s="46" t="e">
        <f t="shared" ref="AD4:AD24" ca="1" si="17">U4*1%/$AE$1</f>
        <v>#DIV/0!</v>
      </c>
      <c r="AE4" s="47" t="e">
        <f t="shared" ca="1" si="5"/>
        <v>#DIV/0!</v>
      </c>
      <c r="AF4" s="46"/>
      <c r="AG4" s="48">
        <f t="shared" ca="1" si="6"/>
        <v>0</v>
      </c>
      <c r="AH4" s="49">
        <f t="shared" si="7"/>
        <v>123.09</v>
      </c>
      <c r="AI4" s="49">
        <f t="shared" ca="1" si="8"/>
        <v>0</v>
      </c>
      <c r="AJ4" s="49">
        <f t="shared" ca="1" si="9"/>
        <v>0</v>
      </c>
      <c r="AK4" s="49">
        <f t="shared" ca="1" si="10"/>
        <v>0</v>
      </c>
      <c r="AL4" s="49" t="e">
        <f t="array" aca="1" ref="AL4" ca="1">_xlfn.IFS(R4=0,AE4,R4&lt;0,AE4/-R4,R4&gt;0,AE4/R4)</f>
        <v>#DIV/0!</v>
      </c>
      <c r="AM4" s="50">
        <f t="shared" ca="1" si="11"/>
        <v>0</v>
      </c>
      <c r="AN4" s="51" t="e">
        <f t="shared" ca="1" si="12"/>
        <v>#DIV/0!</v>
      </c>
      <c r="AP4" s="53" t="e">
        <f t="shared" ca="1" si="13"/>
        <v>#DIV/0!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4"/>
        <v>0</v>
      </c>
      <c r="O5" s="38">
        <f t="shared" ca="1" si="15"/>
        <v>0</v>
      </c>
      <c r="P5" s="39">
        <f ca="1">SUMIFS('Отчет 16-22.02'!H:H,'Отчет 16-22.02'!D:D,"Выручка",'Отчет 16-22.02'!E:E,B5)</f>
        <v>0</v>
      </c>
      <c r="Q5" s="39">
        <f ca="1">SUMIFS('Отчет 16-22.02'!H:H,'Отчет 16-22.02'!D:D,"Возврат выручки",'Отчет 16-22.02'!E:E,B5)</f>
        <v>0</v>
      </c>
      <c r="R5" s="40">
        <f t="shared" ca="1" si="1"/>
        <v>0</v>
      </c>
      <c r="S5" s="41">
        <f ca="1">SUMIFS('Отчет 16-22.02'!P:P,'Отчет 16-22.02'!C:C,"Продажи",'Отчет 16-22.02'!E:E,B5)</f>
        <v>0</v>
      </c>
      <c r="T5" s="42">
        <f ca="1">SUMIFS('Отчет 16-22.02'!P:P,'Отчет 16-22.02'!C:C,"Возвраты",'Отчет 16-22.02'!E:E,B5)</f>
        <v>0</v>
      </c>
      <c r="U5" s="40">
        <f t="shared" ca="1" si="2"/>
        <v>0</v>
      </c>
      <c r="V5" s="43" t="e">
        <f t="shared" ca="1" si="16"/>
        <v>#DIV/0!</v>
      </c>
      <c r="W5" s="44">
        <f t="shared" ca="1" si="3"/>
        <v>0</v>
      </c>
      <c r="X5" s="42">
        <f ca="1">-SUMIFS('Отчет 16-22.02'!P:P,'Отчет 16-22.02'!C:C,"Вознаграждение Ozon",'Отчет 16-22.02'!E:E,B5)</f>
        <v>0</v>
      </c>
      <c r="Y5" s="45">
        <f t="shared" ca="1" si="4"/>
        <v>0</v>
      </c>
      <c r="Z5" s="42">
        <f ca="1">-SUMIFS('Отчет 16-22.02'!P:P,'Отчет 16-22.02'!C:C,"Услуги доставки",'Отчет 16-22.02'!E:E,B5)</f>
        <v>0</v>
      </c>
      <c r="AA5" s="32"/>
      <c r="AB5" s="55"/>
      <c r="AC5" s="42"/>
      <c r="AD5" s="46" t="e">
        <f t="shared" ca="1" si="17"/>
        <v>#DIV/0!</v>
      </c>
      <c r="AE5" s="47" t="e">
        <f t="shared" ca="1" si="5"/>
        <v>#DIV/0!</v>
      </c>
      <c r="AF5" s="46"/>
      <c r="AG5" s="48">
        <f t="shared" ca="1" si="6"/>
        <v>0</v>
      </c>
      <c r="AH5" s="49">
        <f t="shared" si="7"/>
        <v>123.09</v>
      </c>
      <c r="AI5" s="49">
        <f t="shared" ca="1" si="8"/>
        <v>0</v>
      </c>
      <c r="AJ5" s="49">
        <f t="shared" ca="1" si="9"/>
        <v>0</v>
      </c>
      <c r="AK5" s="49">
        <f t="shared" ca="1" si="10"/>
        <v>0</v>
      </c>
      <c r="AL5" s="49" t="e">
        <f t="array" aca="1" ref="AL5" ca="1">_xlfn.IFS(R5=0,AE5,R5&lt;0,AE5/-R5,R5&gt;0,AE5/R5)</f>
        <v>#DIV/0!</v>
      </c>
      <c r="AM5" s="50">
        <f t="shared" ca="1" si="11"/>
        <v>0</v>
      </c>
      <c r="AN5" s="51" t="e">
        <f t="shared" ca="1" si="12"/>
        <v>#DIV/0!</v>
      </c>
      <c r="AP5" s="53" t="e">
        <f t="shared" ca="1" si="13"/>
        <v>#DIV/0!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4"/>
        <v>0</v>
      </c>
      <c r="O6" s="38">
        <f t="shared" ca="1" si="15"/>
        <v>0</v>
      </c>
      <c r="P6" s="39">
        <f ca="1">SUMIFS('Отчет 16-22.02'!H:H,'Отчет 16-22.02'!D:D,"Выручка",'Отчет 16-22.02'!E:E,B6)</f>
        <v>0</v>
      </c>
      <c r="Q6" s="39">
        <f ca="1">SUMIFS('Отчет 16-22.02'!H:H,'Отчет 16-22.02'!D:D,"Возврат выручки",'Отчет 16-22.02'!E:E,B6)</f>
        <v>0</v>
      </c>
      <c r="R6" s="40">
        <f t="shared" ca="1" si="1"/>
        <v>0</v>
      </c>
      <c r="S6" s="41">
        <f ca="1">SUMIFS('Отчет 16-22.02'!P:P,'Отчет 16-22.02'!C:C,"Продажи",'Отчет 16-22.02'!E:E,B6)</f>
        <v>0</v>
      </c>
      <c r="T6" s="42">
        <f ca="1">SUMIFS('Отчет 16-22.02'!P:P,'Отчет 16-22.02'!C:C,"Возвраты",'Отчет 16-22.02'!E:E,B6)</f>
        <v>0</v>
      </c>
      <c r="U6" s="40">
        <f t="shared" ca="1" si="2"/>
        <v>0</v>
      </c>
      <c r="V6" s="43" t="e">
        <f t="shared" ca="1" si="16"/>
        <v>#DIV/0!</v>
      </c>
      <c r="W6" s="44">
        <f t="shared" ca="1" si="3"/>
        <v>0</v>
      </c>
      <c r="X6" s="42">
        <f ca="1">-SUMIFS('Отчет 16-22.02'!P:P,'Отчет 16-22.02'!C:C,"Вознаграждение Ozon",'Отчет 16-22.02'!E:E,B6)</f>
        <v>0</v>
      </c>
      <c r="Y6" s="45">
        <f t="shared" ca="1" si="4"/>
        <v>0</v>
      </c>
      <c r="Z6" s="42">
        <f ca="1">-SUMIFS('Отчет 16-22.02'!P:P,'Отчет 16-22.02'!C:C,"Услуги доставки",'Отчет 16-22.02'!E:E,B6)</f>
        <v>0</v>
      </c>
      <c r="AA6" s="32"/>
      <c r="AB6" s="55"/>
      <c r="AC6" s="42"/>
      <c r="AD6" s="46" t="e">
        <f t="shared" ca="1" si="17"/>
        <v>#DIV/0!</v>
      </c>
      <c r="AE6" s="47" t="e">
        <f t="shared" ca="1" si="5"/>
        <v>#DIV/0!</v>
      </c>
      <c r="AF6" s="46"/>
      <c r="AG6" s="48">
        <f t="shared" ca="1" si="6"/>
        <v>0</v>
      </c>
      <c r="AH6" s="49">
        <f t="shared" si="7"/>
        <v>123.09</v>
      </c>
      <c r="AI6" s="49">
        <f t="shared" ca="1" si="8"/>
        <v>0</v>
      </c>
      <c r="AJ6" s="49">
        <f t="shared" ca="1" si="9"/>
        <v>0</v>
      </c>
      <c r="AK6" s="49">
        <f t="shared" ca="1" si="10"/>
        <v>0</v>
      </c>
      <c r="AL6" s="49" t="e">
        <f t="array" aca="1" ref="AL6" ca="1">_xlfn.IFS(R6=0,AE6,R6&lt;0,AE6/-R6,R6&gt;0,AE6/R6)</f>
        <v>#DIV/0!</v>
      </c>
      <c r="AM6" s="50">
        <f t="shared" ca="1" si="11"/>
        <v>0</v>
      </c>
      <c r="AN6" s="51" t="e">
        <f t="shared" ca="1" si="12"/>
        <v>#DIV/0!</v>
      </c>
      <c r="AP6" s="53" t="e">
        <f t="shared" ca="1" si="13"/>
        <v>#DIV/0!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4"/>
        <v>0</v>
      </c>
      <c r="O7" s="38">
        <f t="shared" ca="1" si="15"/>
        <v>0</v>
      </c>
      <c r="P7" s="39">
        <f ca="1">SUMIFS('Отчет 16-22.02'!H:H,'Отчет 16-22.02'!D:D,"Выручка",'Отчет 16-22.02'!E:E,B7)</f>
        <v>0</v>
      </c>
      <c r="Q7" s="39">
        <f ca="1">SUMIFS('Отчет 16-22.02'!H:H,'Отчет 16-22.02'!D:D,"Возврат выручки",'Отчет 16-22.02'!E:E,B7)</f>
        <v>0</v>
      </c>
      <c r="R7" s="40">
        <f t="shared" ca="1" si="1"/>
        <v>0</v>
      </c>
      <c r="S7" s="41">
        <f ca="1">SUMIFS('Отчет 16-22.02'!P:P,'Отчет 16-22.02'!C:C,"Продажи",'Отчет 16-22.02'!E:E,B7)</f>
        <v>0</v>
      </c>
      <c r="T7" s="42">
        <f ca="1">SUMIFS('Отчет 16-22.02'!P:P,'Отчет 16-22.02'!C:C,"Возвраты",'Отчет 16-22.02'!E:E,B7)</f>
        <v>0</v>
      </c>
      <c r="U7" s="40">
        <f t="shared" ca="1" si="2"/>
        <v>0</v>
      </c>
      <c r="V7" s="43" t="e">
        <f t="shared" ca="1" si="16"/>
        <v>#DIV/0!</v>
      </c>
      <c r="W7" s="44">
        <f t="shared" ca="1" si="3"/>
        <v>0</v>
      </c>
      <c r="X7" s="42">
        <f ca="1">-SUMIFS('Отчет 16-22.02'!P:P,'Отчет 16-22.02'!C:C,"Вознаграждение Ozon",'Отчет 16-22.02'!E:E,B7)</f>
        <v>0</v>
      </c>
      <c r="Y7" s="45">
        <f t="shared" ca="1" si="4"/>
        <v>0</v>
      </c>
      <c r="Z7" s="42">
        <f ca="1">-SUMIFS('Отчет 16-22.02'!P:P,'Отчет 16-22.02'!C:C,"Услуги доставки",'Отчет 16-22.02'!E:E,B7)</f>
        <v>0</v>
      </c>
      <c r="AA7" s="32"/>
      <c r="AB7" s="55"/>
      <c r="AC7" s="42"/>
      <c r="AD7" s="46" t="e">
        <f t="shared" ca="1" si="17"/>
        <v>#DIV/0!</v>
      </c>
      <c r="AE7" s="47" t="e">
        <f t="shared" ca="1" si="5"/>
        <v>#DIV/0!</v>
      </c>
      <c r="AF7" s="46"/>
      <c r="AG7" s="48">
        <f t="shared" ca="1" si="6"/>
        <v>0</v>
      </c>
      <c r="AH7" s="49">
        <f t="shared" si="7"/>
        <v>117.24</v>
      </c>
      <c r="AI7" s="49">
        <f t="shared" ca="1" si="8"/>
        <v>0</v>
      </c>
      <c r="AJ7" s="49">
        <f t="shared" ca="1" si="9"/>
        <v>0</v>
      </c>
      <c r="AK7" s="49">
        <f t="shared" ca="1" si="10"/>
        <v>0</v>
      </c>
      <c r="AL7" s="49" t="e">
        <f t="array" aca="1" ref="AL7" ca="1">_xlfn.IFS(R7=0,AE7,R7&lt;0,AE7/-R7,R7&gt;0,AE7/R7)</f>
        <v>#DIV/0!</v>
      </c>
      <c r="AM7" s="50">
        <f t="shared" ca="1" si="11"/>
        <v>0</v>
      </c>
      <c r="AN7" s="51" t="e">
        <f t="shared" ca="1" si="12"/>
        <v>#DIV/0!</v>
      </c>
      <c r="AP7" s="53" t="e">
        <f t="shared" ca="1" si="13"/>
        <v>#DIV/0!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/>
      <c r="L8" s="36"/>
      <c r="M8" s="36"/>
      <c r="N8" s="37">
        <f t="shared" si="14"/>
        <v>0</v>
      </c>
      <c r="O8" s="38">
        <f t="shared" ca="1" si="15"/>
        <v>0</v>
      </c>
      <c r="P8" s="39">
        <f ca="1">SUMIFS('Отчет 16-22.02'!H:H,'Отчет 16-22.02'!D:D,"Выручка",'Отчет 16-22.02'!E:E,B8)</f>
        <v>0</v>
      </c>
      <c r="Q8" s="39">
        <f ca="1">SUMIFS('Отчет 16-22.02'!H:H,'Отчет 16-22.02'!D:D,"Возврат выручки",'Отчет 16-22.02'!E:E,B8)</f>
        <v>0</v>
      </c>
      <c r="R8" s="40">
        <f t="shared" ca="1" si="1"/>
        <v>0</v>
      </c>
      <c r="S8" s="41">
        <f ca="1">SUMIFS('Отчет 16-22.02'!P:P,'Отчет 16-22.02'!C:C,"Продажи",'Отчет 16-22.02'!E:E,B8)</f>
        <v>0</v>
      </c>
      <c r="T8" s="42">
        <f ca="1">SUMIFS('Отчет 16-22.02'!P:P,'Отчет 16-22.02'!C:C,"Возвраты",'Отчет 16-22.02'!E:E,B8)</f>
        <v>0</v>
      </c>
      <c r="U8" s="40">
        <f t="shared" ca="1" si="2"/>
        <v>0</v>
      </c>
      <c r="V8" s="43" t="e">
        <f t="shared" ca="1" si="16"/>
        <v>#DIV/0!</v>
      </c>
      <c r="W8" s="44">
        <f t="shared" ca="1" si="3"/>
        <v>0</v>
      </c>
      <c r="X8" s="42">
        <f ca="1">-SUMIFS('Отчет 16-22.02'!P:P,'Отчет 16-22.02'!C:C,"Вознаграждение Ozon",'Отчет 16-22.02'!E:E,B8)</f>
        <v>0</v>
      </c>
      <c r="Y8" s="45">
        <f t="shared" ca="1" si="4"/>
        <v>0</v>
      </c>
      <c r="Z8" s="42">
        <f ca="1">-SUMIFS('Отчет 16-22.02'!P:P,'Отчет 16-22.02'!C:C,"Услуги доставки",'Отчет 16-22.02'!E:E,B8)</f>
        <v>0</v>
      </c>
      <c r="AA8" s="32"/>
      <c r="AB8" s="55"/>
      <c r="AC8" s="42"/>
      <c r="AD8" s="46" t="e">
        <f t="shared" ca="1" si="17"/>
        <v>#DIV/0!</v>
      </c>
      <c r="AE8" s="47" t="e">
        <f t="shared" ca="1" si="5"/>
        <v>#DIV/0!</v>
      </c>
      <c r="AF8" s="46"/>
      <c r="AG8" s="48">
        <f t="shared" ca="1" si="6"/>
        <v>0</v>
      </c>
      <c r="AH8" s="49">
        <f t="shared" si="7"/>
        <v>123</v>
      </c>
      <c r="AI8" s="49">
        <f t="shared" ca="1" si="8"/>
        <v>0</v>
      </c>
      <c r="AJ8" s="49">
        <f t="shared" ca="1" si="9"/>
        <v>0</v>
      </c>
      <c r="AK8" s="49">
        <f t="shared" ca="1" si="10"/>
        <v>0</v>
      </c>
      <c r="AL8" s="49" t="e">
        <f t="array" aca="1" ref="AL8" ca="1">_xlfn.IFS(R8=0,AE8,R8&lt;0,AE8/-R8,R8&gt;0,AE8/R8)</f>
        <v>#DIV/0!</v>
      </c>
      <c r="AM8" s="50">
        <f t="shared" ca="1" si="11"/>
        <v>0</v>
      </c>
      <c r="AN8" s="51" t="e">
        <f t="shared" ca="1" si="12"/>
        <v>#DIV/0!</v>
      </c>
      <c r="AP8" s="53" t="e">
        <f t="shared" ca="1" si="13"/>
        <v>#DIV/0!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si="14"/>
        <v>0</v>
      </c>
      <c r="O9" s="38">
        <f t="shared" ca="1" si="15"/>
        <v>0</v>
      </c>
      <c r="P9" s="39">
        <f ca="1">SUMIFS('Отчет 16-22.02'!H:H,'Отчет 16-22.02'!D:D,"Выручка",'Отчет 16-22.02'!E:E,B9)</f>
        <v>0</v>
      </c>
      <c r="Q9" s="39">
        <f ca="1">SUMIFS('Отчет 16-22.02'!H:H,'Отчет 16-22.02'!D:D,"Возврат выручки",'Отчет 16-22.02'!E:E,B9)</f>
        <v>0</v>
      </c>
      <c r="R9" s="40">
        <f t="shared" ca="1" si="1"/>
        <v>0</v>
      </c>
      <c r="S9" s="41">
        <f ca="1">SUMIFS('Отчет 16-22.02'!P:P,'Отчет 16-22.02'!C:C,"Продажи",'Отчет 16-22.02'!E:E,B9)</f>
        <v>0</v>
      </c>
      <c r="T9" s="42">
        <f ca="1">SUMIFS('Отчет 16-22.02'!P:P,'Отчет 16-22.02'!C:C,"Возвраты",'Отчет 16-22.02'!E:E,B9)</f>
        <v>0</v>
      </c>
      <c r="U9" s="40">
        <f t="shared" ca="1" si="2"/>
        <v>0</v>
      </c>
      <c r="V9" s="43" t="e">
        <f t="shared" ca="1" si="16"/>
        <v>#DIV/0!</v>
      </c>
      <c r="W9" s="44">
        <f t="shared" ca="1" si="3"/>
        <v>0</v>
      </c>
      <c r="X9" s="42">
        <f ca="1">-SUMIFS('Отчет 16-22.02'!P:P,'Отчет 16-22.02'!C:C,"Вознаграждение Ozon",'Отчет 16-22.02'!E:E,B9)</f>
        <v>0</v>
      </c>
      <c r="Y9" s="45">
        <f t="shared" ca="1" si="4"/>
        <v>0</v>
      </c>
      <c r="Z9" s="42">
        <f ca="1">-SUMIFS('Отчет 16-22.02'!P:P,'Отчет 16-22.02'!C:C,"Услуги доставки",'Отчет 16-22.02'!E:E,B9)</f>
        <v>0</v>
      </c>
      <c r="AA9" s="32"/>
      <c r="AB9" s="55"/>
      <c r="AC9" s="42"/>
      <c r="AD9" s="46" t="e">
        <f t="shared" ca="1" si="17"/>
        <v>#DIV/0!</v>
      </c>
      <c r="AE9" s="47" t="e">
        <f t="shared" ca="1" si="5"/>
        <v>#DIV/0!</v>
      </c>
      <c r="AF9" s="46"/>
      <c r="AG9" s="48">
        <f t="shared" ca="1" si="6"/>
        <v>0</v>
      </c>
      <c r="AH9" s="49">
        <f t="shared" si="7"/>
        <v>123</v>
      </c>
      <c r="AI9" s="49">
        <f t="shared" ca="1" si="8"/>
        <v>0</v>
      </c>
      <c r="AJ9" s="49">
        <f t="shared" ca="1" si="9"/>
        <v>0</v>
      </c>
      <c r="AK9" s="49">
        <f t="shared" ca="1" si="10"/>
        <v>0</v>
      </c>
      <c r="AL9" s="49" t="e">
        <f t="array" aca="1" ref="AL9" ca="1">_xlfn.IFS(R9=0,AE9,R9&lt;0,AE9/-R9,R9&gt;0,AE9/R9)</f>
        <v>#DIV/0!</v>
      </c>
      <c r="AM9" s="50">
        <f t="shared" ca="1" si="11"/>
        <v>0</v>
      </c>
      <c r="AN9" s="51" t="e">
        <f t="shared" ca="1" si="12"/>
        <v>#DIV/0!</v>
      </c>
      <c r="AP9" s="53" t="e">
        <f t="shared" ca="1" si="13"/>
        <v>#DIV/0!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/>
      <c r="L10" s="36"/>
      <c r="M10" s="36"/>
      <c r="N10" s="37">
        <f t="shared" si="14"/>
        <v>0</v>
      </c>
      <c r="O10" s="38">
        <f t="shared" ca="1" si="15"/>
        <v>0</v>
      </c>
      <c r="P10" s="39">
        <f ca="1">SUMIFS('Отчет 16-22.02'!H:H,'Отчет 16-22.02'!D:D,"Выручка",'Отчет 16-22.02'!E:E,B10)</f>
        <v>0</v>
      </c>
      <c r="Q10" s="39">
        <f ca="1">SUMIFS('Отчет 16-22.02'!H:H,'Отчет 16-22.02'!D:D,"Возврат выручки",'Отчет 16-22.02'!E:E,B10)</f>
        <v>0</v>
      </c>
      <c r="R10" s="40">
        <f t="shared" ca="1" si="1"/>
        <v>0</v>
      </c>
      <c r="S10" s="41">
        <f ca="1">SUMIFS('Отчет 16-22.02'!P:P,'Отчет 16-22.02'!C:C,"Продажи",'Отчет 16-22.02'!E:E,B10)</f>
        <v>0</v>
      </c>
      <c r="T10" s="42">
        <f ca="1">SUMIFS('Отчет 16-22.02'!P:P,'Отчет 16-22.02'!C:C,"Возвраты",'Отчет 16-22.02'!E:E,B10)</f>
        <v>0</v>
      </c>
      <c r="U10" s="40">
        <f t="shared" ca="1" si="2"/>
        <v>0</v>
      </c>
      <c r="V10" s="43" t="e">
        <f t="shared" ca="1" si="16"/>
        <v>#DIV/0!</v>
      </c>
      <c r="W10" s="44">
        <f t="shared" ca="1" si="3"/>
        <v>0</v>
      </c>
      <c r="X10" s="42">
        <f ca="1">-SUMIFS('Отчет 16-22.02'!P:P,'Отчет 16-22.02'!C:C,"Вознаграждение Ozon",'Отчет 16-22.02'!E:E,B10)</f>
        <v>0</v>
      </c>
      <c r="Y10" s="45">
        <f t="shared" ca="1" si="4"/>
        <v>0</v>
      </c>
      <c r="Z10" s="42">
        <f ca="1">-SUMIFS('Отчет 16-22.02'!P:P,'Отчет 16-22.02'!C:C,"Услуги доставки",'Отчет 16-22.02'!E:E,B10)</f>
        <v>0</v>
      </c>
      <c r="AA10" s="32"/>
      <c r="AB10" s="55"/>
      <c r="AC10" s="42"/>
      <c r="AD10" s="46" t="e">
        <f t="shared" ca="1" si="17"/>
        <v>#DIV/0!</v>
      </c>
      <c r="AE10" s="47" t="e">
        <f t="shared" ca="1" si="5"/>
        <v>#DIV/0!</v>
      </c>
      <c r="AF10" s="46"/>
      <c r="AG10" s="48">
        <f t="shared" ca="1" si="6"/>
        <v>0</v>
      </c>
      <c r="AH10" s="49">
        <f t="shared" si="7"/>
        <v>169.89</v>
      </c>
      <c r="AI10" s="49">
        <f t="shared" ca="1" si="8"/>
        <v>0</v>
      </c>
      <c r="AJ10" s="49">
        <f t="shared" ca="1" si="9"/>
        <v>0</v>
      </c>
      <c r="AK10" s="49">
        <f t="shared" ca="1" si="10"/>
        <v>0</v>
      </c>
      <c r="AL10" s="49" t="e">
        <f t="array" aca="1" ref="AL10" ca="1">_xlfn.IFS(R10=0,AE10,R10&lt;0,AE10/-R10,R10&gt;0,AE10/R10)</f>
        <v>#DIV/0!</v>
      </c>
      <c r="AM10" s="50">
        <f t="shared" ca="1" si="11"/>
        <v>0</v>
      </c>
      <c r="AN10" s="51" t="e">
        <f t="shared" ca="1" si="12"/>
        <v>#DIV/0!</v>
      </c>
      <c r="AP10" s="53" t="e">
        <f t="shared" ca="1" si="13"/>
        <v>#DIV/0!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/>
      <c r="L11" s="36"/>
      <c r="M11" s="36"/>
      <c r="N11" s="37">
        <f t="shared" si="14"/>
        <v>0</v>
      </c>
      <c r="O11" s="38">
        <f t="shared" ca="1" si="15"/>
        <v>0</v>
      </c>
      <c r="P11" s="39">
        <f ca="1">SUMIFS('Отчет 16-22.02'!H:H,'Отчет 16-22.02'!D:D,"Выручка",'Отчет 16-22.02'!E:E,B11)</f>
        <v>0</v>
      </c>
      <c r="Q11" s="39">
        <f ca="1">SUMIFS('Отчет 16-22.02'!H:H,'Отчет 16-22.02'!D:D,"Возврат выручки",'Отчет 16-22.02'!E:E,B11)</f>
        <v>0</v>
      </c>
      <c r="R11" s="40">
        <f t="shared" ca="1" si="1"/>
        <v>0</v>
      </c>
      <c r="S11" s="41">
        <f ca="1">SUMIFS('Отчет 16-22.02'!P:P,'Отчет 16-22.02'!C:C,"Продажи",'Отчет 16-22.02'!E:E,B11)</f>
        <v>0</v>
      </c>
      <c r="T11" s="42">
        <f ca="1">SUMIFS('Отчет 16-22.02'!P:P,'Отчет 16-22.02'!C:C,"Возвраты",'Отчет 16-22.02'!E:E,B11)</f>
        <v>0</v>
      </c>
      <c r="U11" s="40">
        <f t="shared" ca="1" si="2"/>
        <v>0</v>
      </c>
      <c r="V11" s="43" t="e">
        <f t="shared" ca="1" si="16"/>
        <v>#DIV/0!</v>
      </c>
      <c r="W11" s="44">
        <f t="shared" ca="1" si="3"/>
        <v>0</v>
      </c>
      <c r="X11" s="42">
        <f ca="1">-SUMIFS('Отчет 16-22.02'!P:P,'Отчет 16-22.02'!C:C,"Вознаграждение Ozon",'Отчет 16-22.02'!E:E,B11)</f>
        <v>0</v>
      </c>
      <c r="Y11" s="45">
        <f t="shared" ca="1" si="4"/>
        <v>0</v>
      </c>
      <c r="Z11" s="42">
        <f ca="1">-SUMIFS('Отчет 16-22.02'!P:P,'Отчет 16-22.02'!C:C,"Услуги доставки",'Отчет 16-22.02'!E:E,B11)</f>
        <v>0</v>
      </c>
      <c r="AA11" s="32"/>
      <c r="AB11" s="55"/>
      <c r="AC11" s="42"/>
      <c r="AD11" s="46" t="e">
        <f t="shared" ca="1" si="17"/>
        <v>#DIV/0!</v>
      </c>
      <c r="AE11" s="47" t="e">
        <f t="shared" ca="1" si="5"/>
        <v>#DIV/0!</v>
      </c>
      <c r="AF11" s="46"/>
      <c r="AG11" s="48">
        <f t="shared" ca="1" si="6"/>
        <v>0</v>
      </c>
      <c r="AH11" s="49">
        <f t="shared" si="7"/>
        <v>169.89</v>
      </c>
      <c r="AI11" s="49">
        <f t="shared" ca="1" si="8"/>
        <v>0</v>
      </c>
      <c r="AJ11" s="49">
        <f t="shared" ca="1" si="9"/>
        <v>0</v>
      </c>
      <c r="AK11" s="49">
        <f t="shared" ca="1" si="10"/>
        <v>0</v>
      </c>
      <c r="AL11" s="49" t="e">
        <f t="array" aca="1" ref="AL11" ca="1">_xlfn.IFS(R11=0,AE11,R11&lt;0,AE11/-R11,R11&gt;0,AE11/R11)</f>
        <v>#DIV/0!</v>
      </c>
      <c r="AM11" s="50">
        <f t="shared" ca="1" si="11"/>
        <v>0</v>
      </c>
      <c r="AN11" s="51" t="e">
        <f t="shared" ca="1" si="12"/>
        <v>#DIV/0!</v>
      </c>
      <c r="AP11" s="53" t="e">
        <f t="shared" ca="1" si="13"/>
        <v>#DIV/0!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/>
      <c r="L12" s="36"/>
      <c r="M12" s="36"/>
      <c r="N12" s="37">
        <f t="shared" si="14"/>
        <v>0</v>
      </c>
      <c r="O12" s="38">
        <f t="shared" ca="1" si="15"/>
        <v>0</v>
      </c>
      <c r="P12" s="39">
        <f ca="1">SUMIFS('Отчет 16-22.02'!H:H,'Отчет 16-22.02'!D:D,"Выручка",'Отчет 16-22.02'!E:E,B12)</f>
        <v>0</v>
      </c>
      <c r="Q12" s="39">
        <f ca="1">SUMIFS('Отчет 16-22.02'!H:H,'Отчет 16-22.02'!D:D,"Возврат выручки",'Отчет 16-22.02'!E:E,B12)</f>
        <v>0</v>
      </c>
      <c r="R12" s="40">
        <f t="shared" ca="1" si="1"/>
        <v>0</v>
      </c>
      <c r="S12" s="41">
        <f ca="1">SUMIFS('Отчет 16-22.02'!P:P,'Отчет 16-22.02'!C:C,"Продажи",'Отчет 16-22.02'!E:E,B12)</f>
        <v>0</v>
      </c>
      <c r="T12" s="42">
        <f ca="1">SUMIFS('Отчет 16-22.02'!P:P,'Отчет 16-22.02'!C:C,"Возвраты",'Отчет 16-22.02'!E:E,B12)</f>
        <v>0</v>
      </c>
      <c r="U12" s="40">
        <f t="shared" ca="1" si="2"/>
        <v>0</v>
      </c>
      <c r="V12" s="43" t="e">
        <f t="shared" ca="1" si="16"/>
        <v>#DIV/0!</v>
      </c>
      <c r="W12" s="44">
        <f t="shared" ca="1" si="3"/>
        <v>0</v>
      </c>
      <c r="X12" s="42">
        <f ca="1">-SUMIFS('Отчет 16-22.02'!P:P,'Отчет 16-22.02'!C:C,"Вознаграждение Ozon",'Отчет 16-22.02'!E:E,B12)</f>
        <v>0</v>
      </c>
      <c r="Y12" s="45">
        <f t="shared" ca="1" si="4"/>
        <v>0</v>
      </c>
      <c r="Z12" s="42">
        <f ca="1">-SUMIFS('Отчет 16-22.02'!P:P,'Отчет 16-22.02'!C:C,"Услуги доставки",'Отчет 16-22.02'!E:E,B12)</f>
        <v>0</v>
      </c>
      <c r="AA12" s="32"/>
      <c r="AB12" s="55"/>
      <c r="AC12" s="42"/>
      <c r="AD12" s="46" t="e">
        <f t="shared" ca="1" si="17"/>
        <v>#DIV/0!</v>
      </c>
      <c r="AE12" s="47" t="e">
        <f t="shared" ca="1" si="5"/>
        <v>#DIV/0!</v>
      </c>
      <c r="AF12" s="46"/>
      <c r="AG12" s="48">
        <f t="shared" ca="1" si="6"/>
        <v>0</v>
      </c>
      <c r="AH12" s="49">
        <f t="shared" si="7"/>
        <v>169.89</v>
      </c>
      <c r="AI12" s="49">
        <f t="shared" ca="1" si="8"/>
        <v>0</v>
      </c>
      <c r="AJ12" s="49">
        <f t="shared" ca="1" si="9"/>
        <v>0</v>
      </c>
      <c r="AK12" s="49">
        <f t="shared" ca="1" si="10"/>
        <v>0</v>
      </c>
      <c r="AL12" s="49" t="e">
        <f t="array" aca="1" ref="AL12" ca="1">_xlfn.IFS(R12=0,AE12,R12&lt;0,AE12/-R12,R12&gt;0,AE12/R12)</f>
        <v>#DIV/0!</v>
      </c>
      <c r="AM12" s="50">
        <f t="shared" ca="1" si="11"/>
        <v>0</v>
      </c>
      <c r="AN12" s="51" t="e">
        <f t="shared" ca="1" si="12"/>
        <v>#DIV/0!</v>
      </c>
      <c r="AP12" s="53" t="e">
        <f t="shared" ca="1" si="13"/>
        <v>#DIV/0!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/>
      <c r="L13" s="36"/>
      <c r="M13" s="36"/>
      <c r="N13" s="37">
        <f t="shared" si="14"/>
        <v>0</v>
      </c>
      <c r="O13" s="38">
        <f t="shared" ca="1" si="15"/>
        <v>0</v>
      </c>
      <c r="P13" s="39">
        <f ca="1">SUMIFS('Отчет 16-22.02'!H:H,'Отчет 16-22.02'!D:D,"Выручка",'Отчет 16-22.02'!E:E,B13)</f>
        <v>0</v>
      </c>
      <c r="Q13" s="39">
        <f ca="1">SUMIFS('Отчет 16-22.02'!H:H,'Отчет 16-22.02'!D:D,"Возврат выручки",'Отчет 16-22.02'!E:E,B13)</f>
        <v>0</v>
      </c>
      <c r="R13" s="40">
        <f t="shared" ca="1" si="1"/>
        <v>0</v>
      </c>
      <c r="S13" s="41">
        <f ca="1">SUMIFS('Отчет 16-22.02'!P:P,'Отчет 16-22.02'!C:C,"Продажи",'Отчет 16-22.02'!E:E,B13)</f>
        <v>0</v>
      </c>
      <c r="T13" s="42">
        <f ca="1">SUMIFS('Отчет 16-22.02'!P:P,'Отчет 16-22.02'!C:C,"Возвраты",'Отчет 16-22.02'!E:E,B13)</f>
        <v>0</v>
      </c>
      <c r="U13" s="40">
        <f t="shared" ca="1" si="2"/>
        <v>0</v>
      </c>
      <c r="V13" s="43" t="e">
        <f t="shared" ca="1" si="16"/>
        <v>#DIV/0!</v>
      </c>
      <c r="W13" s="44">
        <f t="shared" ca="1" si="3"/>
        <v>0</v>
      </c>
      <c r="X13" s="42">
        <f ca="1">-SUMIFS('Отчет 16-22.02'!P:P,'Отчет 16-22.02'!C:C,"Вознаграждение Ozon",'Отчет 16-22.02'!E:E,B13)</f>
        <v>0</v>
      </c>
      <c r="Y13" s="45">
        <f t="shared" ca="1" si="4"/>
        <v>0</v>
      </c>
      <c r="Z13" s="42">
        <f ca="1">-SUMIFS('Отчет 16-22.02'!P:P,'Отчет 16-22.02'!C:C,"Услуги доставки",'Отчет 16-22.02'!E:E,B13)</f>
        <v>0</v>
      </c>
      <c r="AA13" s="32"/>
      <c r="AB13" s="55"/>
      <c r="AC13" s="42"/>
      <c r="AD13" s="46" t="e">
        <f t="shared" ca="1" si="17"/>
        <v>#DIV/0!</v>
      </c>
      <c r="AE13" s="47" t="e">
        <f t="shared" ca="1" si="5"/>
        <v>#DIV/0!</v>
      </c>
      <c r="AF13" s="46"/>
      <c r="AG13" s="48">
        <f t="shared" ca="1" si="6"/>
        <v>0</v>
      </c>
      <c r="AH13" s="49">
        <f t="shared" si="7"/>
        <v>169.89</v>
      </c>
      <c r="AI13" s="49">
        <f t="shared" ca="1" si="8"/>
        <v>0</v>
      </c>
      <c r="AJ13" s="49">
        <f t="shared" ca="1" si="9"/>
        <v>0</v>
      </c>
      <c r="AK13" s="49">
        <f t="shared" ca="1" si="10"/>
        <v>0</v>
      </c>
      <c r="AL13" s="49" t="e">
        <f t="array" aca="1" ref="AL13" ca="1">_xlfn.IFS(R13=0,AE13,R13&lt;0,AE13/-R13,R13&gt;0,AE13/R13)</f>
        <v>#DIV/0!</v>
      </c>
      <c r="AM13" s="50">
        <f t="shared" ca="1" si="11"/>
        <v>0</v>
      </c>
      <c r="AN13" s="51" t="e">
        <f t="shared" ca="1" si="12"/>
        <v>#DIV/0!</v>
      </c>
      <c r="AP13" s="53" t="e">
        <f t="shared" ca="1" si="13"/>
        <v>#DIV/0!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/>
      <c r="L14" s="36"/>
      <c r="M14" s="36"/>
      <c r="N14" s="37">
        <f t="shared" si="14"/>
        <v>0</v>
      </c>
      <c r="O14" s="38">
        <f t="shared" ca="1" si="15"/>
        <v>0</v>
      </c>
      <c r="P14" s="39">
        <f ca="1">SUMIFS('Отчет 16-22.02'!H:H,'Отчет 16-22.02'!D:D,"Выручка",'Отчет 16-22.02'!E:E,B14)</f>
        <v>0</v>
      </c>
      <c r="Q14" s="39">
        <f ca="1">SUMIFS('Отчет 16-22.02'!H:H,'Отчет 16-22.02'!D:D,"Возврат выручки",'Отчет 16-22.02'!E:E,B14)</f>
        <v>0</v>
      </c>
      <c r="R14" s="40">
        <f t="shared" ca="1" si="1"/>
        <v>0</v>
      </c>
      <c r="S14" s="41">
        <f ca="1">SUMIFS('Отчет 16-22.02'!P:P,'Отчет 16-22.02'!C:C,"Продажи",'Отчет 16-22.02'!E:E,B14)</f>
        <v>0</v>
      </c>
      <c r="T14" s="42">
        <f ca="1">SUMIFS('Отчет 16-22.02'!P:P,'Отчет 16-22.02'!C:C,"Возвраты",'Отчет 16-22.02'!E:E,B14)</f>
        <v>0</v>
      </c>
      <c r="U14" s="40">
        <f t="shared" ca="1" si="2"/>
        <v>0</v>
      </c>
      <c r="V14" s="43" t="e">
        <f t="shared" ca="1" si="16"/>
        <v>#DIV/0!</v>
      </c>
      <c r="W14" s="44">
        <f t="shared" ca="1" si="3"/>
        <v>0</v>
      </c>
      <c r="X14" s="42">
        <f ca="1">-SUMIFS('Отчет 16-22.02'!P:P,'Отчет 16-22.02'!C:C,"Вознаграждение Ozon",'Отчет 16-22.02'!E:E,B14)</f>
        <v>0</v>
      </c>
      <c r="Y14" s="45">
        <f t="shared" ca="1" si="4"/>
        <v>0</v>
      </c>
      <c r="Z14" s="42">
        <f ca="1">-SUMIFS('Отчет 16-22.02'!P:P,'Отчет 16-22.02'!C:C,"Услуги доставки",'Отчет 16-22.02'!E:E,B14)</f>
        <v>0</v>
      </c>
      <c r="AA14" s="32"/>
      <c r="AB14" s="55"/>
      <c r="AC14" s="42"/>
      <c r="AD14" s="46" t="e">
        <f t="shared" ca="1" si="17"/>
        <v>#DIV/0!</v>
      </c>
      <c r="AE14" s="47" t="e">
        <f t="shared" ca="1" si="5"/>
        <v>#DIV/0!</v>
      </c>
      <c r="AF14" s="46"/>
      <c r="AG14" s="48">
        <f t="shared" ca="1" si="6"/>
        <v>0</v>
      </c>
      <c r="AH14" s="49">
        <f t="shared" si="7"/>
        <v>169.89</v>
      </c>
      <c r="AI14" s="49">
        <f t="shared" ca="1" si="8"/>
        <v>0</v>
      </c>
      <c r="AJ14" s="49">
        <f t="shared" ca="1" si="9"/>
        <v>0</v>
      </c>
      <c r="AK14" s="49">
        <f t="shared" ca="1" si="10"/>
        <v>0</v>
      </c>
      <c r="AL14" s="49" t="e">
        <f t="array" aca="1" ref="AL14" ca="1">_xlfn.IFS(R14=0,AE14,R14&lt;0,AE14/-R14,R14&gt;0,AE14/R14)</f>
        <v>#DIV/0!</v>
      </c>
      <c r="AM14" s="50">
        <f t="shared" ca="1" si="11"/>
        <v>0</v>
      </c>
      <c r="AN14" s="51" t="e">
        <f t="shared" ca="1" si="12"/>
        <v>#DIV/0!</v>
      </c>
      <c r="AP14" s="53" t="e">
        <f t="shared" ca="1" si="13"/>
        <v>#DIV/0!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/>
      <c r="L15" s="36"/>
      <c r="M15" s="36"/>
      <c r="N15" s="37">
        <f t="shared" si="14"/>
        <v>0</v>
      </c>
      <c r="O15" s="38">
        <f t="shared" ca="1" si="15"/>
        <v>0</v>
      </c>
      <c r="P15" s="39">
        <f ca="1">SUMIFS('Отчет 16-22.02'!H:H,'Отчет 16-22.02'!D:D,"Выручка",'Отчет 16-22.02'!E:E,B15)</f>
        <v>0</v>
      </c>
      <c r="Q15" s="39">
        <f ca="1">SUMIFS('Отчет 16-22.02'!H:H,'Отчет 16-22.02'!D:D,"Возврат выручки",'Отчет 16-22.02'!E:E,B15)</f>
        <v>0</v>
      </c>
      <c r="R15" s="40">
        <f t="shared" ca="1" si="1"/>
        <v>0</v>
      </c>
      <c r="S15" s="41">
        <f ca="1">SUMIFS('Отчет 16-22.02'!P:P,'Отчет 16-22.02'!C:C,"Продажи",'Отчет 16-22.02'!E:E,B15)</f>
        <v>0</v>
      </c>
      <c r="T15" s="42">
        <f ca="1">SUMIFS('Отчет 16-22.02'!P:P,'Отчет 16-22.02'!C:C,"Возвраты",'Отчет 16-22.02'!E:E,B15)</f>
        <v>0</v>
      </c>
      <c r="U15" s="40">
        <f t="shared" ca="1" si="2"/>
        <v>0</v>
      </c>
      <c r="V15" s="43" t="e">
        <f t="shared" ca="1" si="16"/>
        <v>#DIV/0!</v>
      </c>
      <c r="W15" s="44">
        <f t="shared" ca="1" si="3"/>
        <v>0</v>
      </c>
      <c r="X15" s="42">
        <f ca="1">-SUMIFS('Отчет 16-22.02'!P:P,'Отчет 16-22.02'!C:C,"Вознаграждение Ozon",'Отчет 16-22.02'!E:E,B15)</f>
        <v>0</v>
      </c>
      <c r="Y15" s="45">
        <f t="shared" ca="1" si="4"/>
        <v>0</v>
      </c>
      <c r="Z15" s="42">
        <f ca="1">-SUMIFS('Отчет 16-22.02'!P:P,'Отчет 16-22.02'!C:C,"Услуги доставки",'Отчет 16-22.02'!E:E,B15)</f>
        <v>0</v>
      </c>
      <c r="AA15" s="32"/>
      <c r="AB15" s="55"/>
      <c r="AC15" s="42"/>
      <c r="AD15" s="46" t="e">
        <f t="shared" ca="1" si="17"/>
        <v>#DIV/0!</v>
      </c>
      <c r="AE15" s="47" t="e">
        <f t="shared" ca="1" si="5"/>
        <v>#DIV/0!</v>
      </c>
      <c r="AF15" s="46"/>
      <c r="AG15" s="48">
        <f t="shared" ca="1" si="6"/>
        <v>0</v>
      </c>
      <c r="AH15" s="49">
        <f t="shared" si="7"/>
        <v>169.89</v>
      </c>
      <c r="AI15" s="49">
        <f t="shared" ca="1" si="8"/>
        <v>0</v>
      </c>
      <c r="AJ15" s="49">
        <f t="shared" ca="1" si="9"/>
        <v>0</v>
      </c>
      <c r="AK15" s="49">
        <f t="shared" ca="1" si="10"/>
        <v>0</v>
      </c>
      <c r="AL15" s="49" t="e">
        <f t="array" aca="1" ref="AL15" ca="1">_xlfn.IFS(R15=0,AE15,R15&lt;0,AE15/-R15,R15&gt;0,AE15/R15)</f>
        <v>#DIV/0!</v>
      </c>
      <c r="AM15" s="50">
        <f t="shared" ca="1" si="11"/>
        <v>0</v>
      </c>
      <c r="AN15" s="51" t="e">
        <f t="shared" ca="1" si="12"/>
        <v>#DIV/0!</v>
      </c>
      <c r="AP15" s="53" t="e">
        <f t="shared" ca="1" si="13"/>
        <v>#DIV/0!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/>
      <c r="L16" s="36"/>
      <c r="M16" s="36"/>
      <c r="N16" s="37">
        <f t="shared" si="14"/>
        <v>0</v>
      </c>
      <c r="O16" s="38">
        <f t="shared" ca="1" si="15"/>
        <v>0</v>
      </c>
      <c r="P16" s="39">
        <f ca="1">SUMIFS('Отчет 16-22.02'!H:H,'Отчет 16-22.02'!D:D,"Выручка",'Отчет 16-22.02'!E:E,B16)</f>
        <v>0</v>
      </c>
      <c r="Q16" s="39">
        <f ca="1">SUMIFS('Отчет 16-22.02'!H:H,'Отчет 16-22.02'!D:D,"Возврат выручки",'Отчет 16-22.02'!E:E,B16)</f>
        <v>0</v>
      </c>
      <c r="R16" s="40">
        <f t="shared" ca="1" si="1"/>
        <v>0</v>
      </c>
      <c r="S16" s="41">
        <f ca="1">SUMIFS('Отчет 16-22.02'!P:P,'Отчет 16-22.02'!C:C,"Продажи",'Отчет 16-22.02'!E:E,B16)</f>
        <v>0</v>
      </c>
      <c r="T16" s="42">
        <f ca="1">SUMIFS('Отчет 16-22.02'!P:P,'Отчет 16-22.02'!C:C,"Возвраты",'Отчет 16-22.02'!E:E,B16)</f>
        <v>0</v>
      </c>
      <c r="U16" s="40">
        <f t="shared" ca="1" si="2"/>
        <v>0</v>
      </c>
      <c r="V16" s="43" t="e">
        <f t="shared" ca="1" si="16"/>
        <v>#DIV/0!</v>
      </c>
      <c r="W16" s="44">
        <f t="shared" ca="1" si="3"/>
        <v>0</v>
      </c>
      <c r="X16" s="42">
        <f ca="1">-SUMIFS('Отчет 16-22.02'!P:P,'Отчет 16-22.02'!C:C,"Вознаграждение Ozon",'Отчет 16-22.02'!E:E,B16)</f>
        <v>0</v>
      </c>
      <c r="Y16" s="45">
        <f t="shared" ca="1" si="4"/>
        <v>0</v>
      </c>
      <c r="Z16" s="42">
        <f ca="1">-SUMIFS('Отчет 16-22.02'!P:P,'Отчет 16-22.02'!C:C,"Услуги доставки",'Отчет 16-22.02'!E:E,B16)</f>
        <v>0</v>
      </c>
      <c r="AA16" s="32"/>
      <c r="AB16" s="55"/>
      <c r="AC16" s="42"/>
      <c r="AD16" s="46" t="e">
        <f t="shared" ca="1" si="17"/>
        <v>#DIV/0!</v>
      </c>
      <c r="AE16" s="47" t="e">
        <f t="shared" ca="1" si="5"/>
        <v>#DIV/0!</v>
      </c>
      <c r="AF16" s="46"/>
      <c r="AG16" s="48">
        <f t="shared" ca="1" si="6"/>
        <v>0</v>
      </c>
      <c r="AH16" s="49">
        <f t="shared" si="7"/>
        <v>169.89</v>
      </c>
      <c r="AI16" s="49">
        <f t="shared" ca="1" si="8"/>
        <v>0</v>
      </c>
      <c r="AJ16" s="49">
        <f t="shared" ca="1" si="9"/>
        <v>0</v>
      </c>
      <c r="AK16" s="49">
        <f t="shared" ca="1" si="10"/>
        <v>0</v>
      </c>
      <c r="AL16" s="49" t="e">
        <f t="array" aca="1" ref="AL16" ca="1">_xlfn.IFS(R16=0,AE16,R16&lt;0,AE16/-R16,R16&gt;0,AE16/R16)</f>
        <v>#DIV/0!</v>
      </c>
      <c r="AM16" s="50">
        <f t="shared" ca="1" si="11"/>
        <v>0</v>
      </c>
      <c r="AN16" s="51" t="e">
        <f t="shared" ca="1" si="12"/>
        <v>#DIV/0!</v>
      </c>
      <c r="AP16" s="53" t="e">
        <f t="shared" ca="1" si="13"/>
        <v>#DIV/0!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/>
      <c r="L17" s="36"/>
      <c r="M17" s="36"/>
      <c r="N17" s="37">
        <f t="shared" si="14"/>
        <v>0</v>
      </c>
      <c r="O17" s="38">
        <f t="shared" ca="1" si="15"/>
        <v>0</v>
      </c>
      <c r="P17" s="39">
        <f ca="1">SUMIFS('Отчет 16-22.02'!H:H,'Отчет 16-22.02'!D:D,"Выручка",'Отчет 16-22.02'!E:E,B17)</f>
        <v>0</v>
      </c>
      <c r="Q17" s="39">
        <f ca="1">SUMIFS('Отчет 16-22.02'!H:H,'Отчет 16-22.02'!D:D,"Возврат выручки",'Отчет 16-22.02'!E:E,B17)</f>
        <v>0</v>
      </c>
      <c r="R17" s="40">
        <f t="shared" ca="1" si="1"/>
        <v>0</v>
      </c>
      <c r="S17" s="41">
        <f ca="1">SUMIFS('Отчет 16-22.02'!P:P,'Отчет 16-22.02'!C:C,"Продажи",'Отчет 16-22.02'!E:E,B17)</f>
        <v>0</v>
      </c>
      <c r="T17" s="42">
        <f ca="1">SUMIFS('Отчет 16-22.02'!P:P,'Отчет 16-22.02'!C:C,"Возвраты",'Отчет 16-22.02'!E:E,B17)</f>
        <v>0</v>
      </c>
      <c r="U17" s="40">
        <f t="shared" ca="1" si="2"/>
        <v>0</v>
      </c>
      <c r="V17" s="43" t="e">
        <f t="shared" ca="1" si="16"/>
        <v>#DIV/0!</v>
      </c>
      <c r="W17" s="44">
        <f t="shared" ca="1" si="3"/>
        <v>0</v>
      </c>
      <c r="X17" s="42">
        <f ca="1">-SUMIFS('Отчет 16-22.02'!P:P,'Отчет 16-22.02'!C:C,"Вознаграждение Ozon",'Отчет 16-22.02'!E:E,B17)</f>
        <v>0</v>
      </c>
      <c r="Y17" s="45">
        <f t="shared" ca="1" si="4"/>
        <v>0</v>
      </c>
      <c r="Z17" s="42">
        <f ca="1">-SUMIFS('Отчет 16-22.02'!P:P,'Отчет 16-22.02'!C:C,"Услуги доставки",'Отчет 16-22.02'!E:E,B17)</f>
        <v>0</v>
      </c>
      <c r="AA17" s="32"/>
      <c r="AB17" s="55"/>
      <c r="AC17" s="42"/>
      <c r="AD17" s="46" t="e">
        <f t="shared" ca="1" si="17"/>
        <v>#DIV/0!</v>
      </c>
      <c r="AE17" s="47" t="e">
        <f t="shared" ca="1" si="5"/>
        <v>#DIV/0!</v>
      </c>
      <c r="AF17" s="46"/>
      <c r="AG17" s="48">
        <f t="shared" ca="1" si="6"/>
        <v>0</v>
      </c>
      <c r="AH17" s="49">
        <f t="shared" si="7"/>
        <v>1002.82</v>
      </c>
      <c r="AI17" s="49">
        <f t="shared" ca="1" si="8"/>
        <v>0</v>
      </c>
      <c r="AJ17" s="49">
        <f t="shared" ca="1" si="9"/>
        <v>0</v>
      </c>
      <c r="AK17" s="49">
        <f t="shared" ca="1" si="10"/>
        <v>0</v>
      </c>
      <c r="AL17" s="49" t="e">
        <f t="array" aca="1" ref="AL17" ca="1">_xlfn.IFS(R17=0,AE17,R17&lt;0,AE17/-R17,R17&gt;0,AE17/R17)</f>
        <v>#DIV/0!</v>
      </c>
      <c r="AM17" s="50">
        <f t="shared" ca="1" si="11"/>
        <v>0</v>
      </c>
      <c r="AN17" s="51" t="e">
        <f t="shared" ca="1" si="12"/>
        <v>#DIV/0!</v>
      </c>
      <c r="AP17" s="53" t="e">
        <f t="shared" ca="1" si="13"/>
        <v>#DIV/0!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/>
      <c r="L18" s="36"/>
      <c r="M18" s="36"/>
      <c r="N18" s="37">
        <f t="shared" si="14"/>
        <v>0</v>
      </c>
      <c r="O18" s="38">
        <f t="shared" ca="1" si="15"/>
        <v>0</v>
      </c>
      <c r="P18" s="39">
        <f ca="1">SUMIFS('Отчет 16-22.02'!H:H,'Отчет 16-22.02'!D:D,"Выручка",'Отчет 16-22.02'!E:E,B18)</f>
        <v>0</v>
      </c>
      <c r="Q18" s="39">
        <f ca="1">SUMIFS('Отчет 16-22.02'!H:H,'Отчет 16-22.02'!D:D,"Возврат выручки",'Отчет 16-22.02'!E:E,B18)</f>
        <v>0</v>
      </c>
      <c r="R18" s="40">
        <f t="shared" ca="1" si="1"/>
        <v>0</v>
      </c>
      <c r="S18" s="41">
        <f ca="1">SUMIFS('Отчет 16-22.02'!P:P,'Отчет 16-22.02'!C:C,"Продажи",'Отчет 16-22.02'!E:E,B18)</f>
        <v>0</v>
      </c>
      <c r="T18" s="42">
        <f ca="1">SUMIFS('Отчет 16-22.02'!P:P,'Отчет 16-22.02'!C:C,"Возвраты",'Отчет 16-22.02'!E:E,B18)</f>
        <v>0</v>
      </c>
      <c r="U18" s="40">
        <f t="shared" ca="1" si="2"/>
        <v>0</v>
      </c>
      <c r="V18" s="43" t="e">
        <f t="shared" ca="1" si="16"/>
        <v>#DIV/0!</v>
      </c>
      <c r="W18" s="44">
        <f t="shared" ca="1" si="3"/>
        <v>0</v>
      </c>
      <c r="X18" s="42">
        <f ca="1">-SUMIFS('Отчет 16-22.02'!P:P,'Отчет 16-22.02'!C:C,"Вознаграждение Ozon",'Отчет 16-22.02'!E:E,B18)</f>
        <v>0</v>
      </c>
      <c r="Y18" s="45">
        <f t="shared" ca="1" si="4"/>
        <v>0</v>
      </c>
      <c r="Z18" s="42">
        <f ca="1">-SUMIFS('Отчет 16-22.02'!P:P,'Отчет 16-22.02'!C:C,"Услуги доставки",'Отчет 16-22.02'!E:E,B18)</f>
        <v>0</v>
      </c>
      <c r="AA18" s="32"/>
      <c r="AB18" s="55"/>
      <c r="AC18" s="42"/>
      <c r="AD18" s="46" t="e">
        <f t="shared" ca="1" si="17"/>
        <v>#DIV/0!</v>
      </c>
      <c r="AE18" s="47" t="e">
        <f t="shared" ca="1" si="5"/>
        <v>#DIV/0!</v>
      </c>
      <c r="AF18" s="46"/>
      <c r="AG18" s="48">
        <f t="shared" ca="1" si="6"/>
        <v>0</v>
      </c>
      <c r="AH18" s="49">
        <f t="shared" si="7"/>
        <v>909.22</v>
      </c>
      <c r="AI18" s="49">
        <f t="shared" ca="1" si="8"/>
        <v>0</v>
      </c>
      <c r="AJ18" s="49">
        <f t="shared" ca="1" si="9"/>
        <v>0</v>
      </c>
      <c r="AK18" s="49">
        <f t="shared" ca="1" si="10"/>
        <v>0</v>
      </c>
      <c r="AL18" s="49" t="e">
        <f t="array" aca="1" ref="AL18" ca="1">_xlfn.IFS(R18=0,AE18,R18&lt;0,AE18/-R18,R18&gt;0,AE18/R18)</f>
        <v>#DIV/0!</v>
      </c>
      <c r="AM18" s="50">
        <f t="shared" ca="1" si="11"/>
        <v>0</v>
      </c>
      <c r="AN18" s="51" t="e">
        <f t="shared" ca="1" si="12"/>
        <v>#DIV/0!</v>
      </c>
      <c r="AP18" s="53" t="e">
        <f t="shared" ca="1" si="13"/>
        <v>#DIV/0!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/>
      <c r="L19" s="36"/>
      <c r="M19" s="36"/>
      <c r="N19" s="37">
        <f t="shared" si="14"/>
        <v>0</v>
      </c>
      <c r="O19" s="38">
        <f t="shared" ca="1" si="15"/>
        <v>0</v>
      </c>
      <c r="P19" s="39">
        <f ca="1">SUMIFS('Отчет 16-22.02'!H:H,'Отчет 16-22.02'!D:D,"Выручка",'Отчет 16-22.02'!E:E,B19)</f>
        <v>0</v>
      </c>
      <c r="Q19" s="39">
        <f ca="1">SUMIFS('Отчет 16-22.02'!H:H,'Отчет 16-22.02'!D:D,"Возврат выручки",'Отчет 16-22.02'!E:E,B19)</f>
        <v>0</v>
      </c>
      <c r="R19" s="40">
        <f t="shared" ca="1" si="1"/>
        <v>0</v>
      </c>
      <c r="S19" s="41">
        <f ca="1">SUMIFS('Отчет 16-22.02'!P:P,'Отчет 16-22.02'!C:C,"Продажи",'Отчет 16-22.02'!E:E,B19)</f>
        <v>0</v>
      </c>
      <c r="T19" s="42">
        <f ca="1">SUMIFS('Отчет 16-22.02'!P:P,'Отчет 16-22.02'!C:C,"Возвраты",'Отчет 16-22.02'!E:E,B19)</f>
        <v>0</v>
      </c>
      <c r="U19" s="40">
        <f t="shared" ca="1" si="2"/>
        <v>0</v>
      </c>
      <c r="V19" s="43" t="e">
        <f t="shared" ca="1" si="16"/>
        <v>#DIV/0!</v>
      </c>
      <c r="W19" s="44">
        <f t="shared" ca="1" si="3"/>
        <v>0</v>
      </c>
      <c r="X19" s="42">
        <f ca="1">-SUMIFS('Отчет 16-22.02'!P:P,'Отчет 16-22.02'!C:C,"Вознаграждение Ozon",'Отчет 16-22.02'!E:E,B19)</f>
        <v>0</v>
      </c>
      <c r="Y19" s="45">
        <f t="shared" ca="1" si="4"/>
        <v>0</v>
      </c>
      <c r="Z19" s="42">
        <f ca="1">-SUMIFS('Отчет 16-22.02'!P:P,'Отчет 16-22.02'!C:C,"Услуги доставки",'Отчет 16-22.02'!E:E,B19)</f>
        <v>0</v>
      </c>
      <c r="AA19" s="32"/>
      <c r="AB19" s="55"/>
      <c r="AC19" s="42"/>
      <c r="AD19" s="46" t="e">
        <f t="shared" ca="1" si="17"/>
        <v>#DIV/0!</v>
      </c>
      <c r="AE19" s="47" t="e">
        <f t="shared" ca="1" si="5"/>
        <v>#DIV/0!</v>
      </c>
      <c r="AF19" s="46"/>
      <c r="AG19" s="48">
        <f t="shared" ca="1" si="6"/>
        <v>0</v>
      </c>
      <c r="AH19" s="49">
        <f t="shared" si="7"/>
        <v>909.22</v>
      </c>
      <c r="AI19" s="49">
        <f t="shared" ca="1" si="8"/>
        <v>0</v>
      </c>
      <c r="AJ19" s="49">
        <f t="shared" ca="1" si="9"/>
        <v>0</v>
      </c>
      <c r="AK19" s="49">
        <f t="shared" ca="1" si="10"/>
        <v>0</v>
      </c>
      <c r="AL19" s="49" t="e">
        <f t="array" aca="1" ref="AL19" ca="1">_xlfn.IFS(R19=0,AE19,R19&lt;0,AE19/-R19,R19&gt;0,AE19/R19)</f>
        <v>#DIV/0!</v>
      </c>
      <c r="AM19" s="50">
        <f t="shared" ca="1" si="11"/>
        <v>0</v>
      </c>
      <c r="AN19" s="51" t="e">
        <f t="shared" ca="1" si="12"/>
        <v>#DIV/0!</v>
      </c>
      <c r="AP19" s="53" t="e">
        <f t="shared" ca="1" si="13"/>
        <v>#DIV/0!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/>
      <c r="L20" s="36"/>
      <c r="M20" s="36"/>
      <c r="N20" s="37">
        <f t="shared" si="14"/>
        <v>0</v>
      </c>
      <c r="O20" s="38">
        <f t="shared" ca="1" si="15"/>
        <v>0</v>
      </c>
      <c r="P20" s="39">
        <f ca="1">SUMIFS('Отчет 16-22.02'!H:H,'Отчет 16-22.02'!D:D,"Выручка",'Отчет 16-22.02'!E:E,B20)</f>
        <v>0</v>
      </c>
      <c r="Q20" s="39">
        <f ca="1">SUMIFS('Отчет 16-22.02'!H:H,'Отчет 16-22.02'!D:D,"Возврат выручки",'Отчет 16-22.02'!E:E,B20)</f>
        <v>0</v>
      </c>
      <c r="R20" s="40">
        <f t="shared" ca="1" si="1"/>
        <v>0</v>
      </c>
      <c r="S20" s="41">
        <f ca="1">SUMIFS('Отчет 16-22.02'!P:P,'Отчет 16-22.02'!C:C,"Продажи",'Отчет 16-22.02'!E:E,B20)</f>
        <v>0</v>
      </c>
      <c r="T20" s="42">
        <f ca="1">SUMIFS('Отчет 16-22.02'!P:P,'Отчет 16-22.02'!C:C,"Возвраты",'Отчет 16-22.02'!E:E,B20)</f>
        <v>0</v>
      </c>
      <c r="U20" s="40">
        <f t="shared" ca="1" si="2"/>
        <v>0</v>
      </c>
      <c r="V20" s="43" t="e">
        <f t="shared" ca="1" si="16"/>
        <v>#DIV/0!</v>
      </c>
      <c r="W20" s="44">
        <f t="shared" ca="1" si="3"/>
        <v>0</v>
      </c>
      <c r="X20" s="42">
        <f ca="1">-SUMIFS('Отчет 16-22.02'!P:P,'Отчет 16-22.02'!C:C,"Вознаграждение Ozon",'Отчет 16-22.02'!E:E,B20)</f>
        <v>0</v>
      </c>
      <c r="Y20" s="45">
        <f t="shared" ca="1" si="4"/>
        <v>0</v>
      </c>
      <c r="Z20" s="42">
        <f ca="1">-SUMIFS('Отчет 16-22.02'!P:P,'Отчет 16-22.02'!C:C,"Услуги доставки",'Отчет 16-22.02'!E:E,B20)</f>
        <v>0</v>
      </c>
      <c r="AA20" s="32"/>
      <c r="AB20" s="55"/>
      <c r="AC20" s="42"/>
      <c r="AD20" s="46" t="e">
        <f t="shared" ca="1" si="17"/>
        <v>#DIV/0!</v>
      </c>
      <c r="AE20" s="47" t="e">
        <f t="shared" ca="1" si="5"/>
        <v>#DIV/0!</v>
      </c>
      <c r="AF20" s="46"/>
      <c r="AG20" s="48">
        <f t="shared" ca="1" si="6"/>
        <v>0</v>
      </c>
      <c r="AH20" s="49">
        <f t="shared" si="7"/>
        <v>932.62</v>
      </c>
      <c r="AI20" s="49">
        <f t="shared" ca="1" si="8"/>
        <v>0</v>
      </c>
      <c r="AJ20" s="49">
        <f t="shared" ca="1" si="9"/>
        <v>0</v>
      </c>
      <c r="AK20" s="49">
        <f t="shared" ca="1" si="10"/>
        <v>0</v>
      </c>
      <c r="AL20" s="49" t="e">
        <f t="array" aca="1" ref="AL20" ca="1">_xlfn.IFS(R20=0,AE20,R20&lt;0,AE20/-R20,R20&gt;0,AE20/R20)</f>
        <v>#DIV/0!</v>
      </c>
      <c r="AM20" s="50">
        <f t="shared" ca="1" si="11"/>
        <v>0</v>
      </c>
      <c r="AN20" s="51" t="e">
        <f t="shared" ca="1" si="12"/>
        <v>#DIV/0!</v>
      </c>
      <c r="AP20" s="53" t="e">
        <f t="shared" ca="1" si="13"/>
        <v>#DIV/0!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/>
      <c r="L21" s="36"/>
      <c r="M21" s="36"/>
      <c r="N21" s="37">
        <f t="shared" si="14"/>
        <v>0</v>
      </c>
      <c r="O21" s="38">
        <f t="shared" ca="1" si="15"/>
        <v>0</v>
      </c>
      <c r="P21" s="39">
        <f ca="1">SUMIFS('Отчет 16-22.02'!H:H,'Отчет 16-22.02'!D:D,"Выручка",'Отчет 16-22.02'!E:E,B21)</f>
        <v>0</v>
      </c>
      <c r="Q21" s="39">
        <f ca="1">SUMIFS('Отчет 16-22.02'!H:H,'Отчет 16-22.02'!D:D,"Возврат выручки",'Отчет 16-22.02'!E:E,B21)</f>
        <v>0</v>
      </c>
      <c r="R21" s="40">
        <f t="shared" ca="1" si="1"/>
        <v>0</v>
      </c>
      <c r="S21" s="41">
        <f ca="1">SUMIFS('Отчет 16-22.02'!P:P,'Отчет 16-22.02'!C:C,"Продажи",'Отчет 16-22.02'!E:E,B21)</f>
        <v>0</v>
      </c>
      <c r="T21" s="42">
        <f ca="1">SUMIFS('Отчет 16-22.02'!P:P,'Отчет 16-22.02'!C:C,"Возвраты",'Отчет 16-22.02'!E:E,B21)</f>
        <v>0</v>
      </c>
      <c r="U21" s="40">
        <f t="shared" ca="1" si="2"/>
        <v>0</v>
      </c>
      <c r="V21" s="43" t="e">
        <f t="shared" ca="1" si="16"/>
        <v>#DIV/0!</v>
      </c>
      <c r="W21" s="44">
        <f t="shared" ca="1" si="3"/>
        <v>0</v>
      </c>
      <c r="X21" s="42">
        <f ca="1">-SUMIFS('Отчет 16-22.02'!P:P,'Отчет 16-22.02'!C:C,"Вознаграждение Ozon",'Отчет 16-22.02'!E:E,B21)</f>
        <v>0</v>
      </c>
      <c r="Y21" s="45">
        <f t="shared" ca="1" si="4"/>
        <v>0</v>
      </c>
      <c r="Z21" s="42">
        <f ca="1">-SUMIFS('Отчет 16-22.02'!P:P,'Отчет 16-22.02'!C:C,"Услуги доставки",'Отчет 16-22.02'!E:E,B21)</f>
        <v>0</v>
      </c>
      <c r="AA21" s="32"/>
      <c r="AB21" s="55"/>
      <c r="AC21" s="42"/>
      <c r="AD21" s="46" t="e">
        <f t="shared" ca="1" si="17"/>
        <v>#DIV/0!</v>
      </c>
      <c r="AE21" s="47" t="e">
        <f t="shared" ca="1" si="5"/>
        <v>#DIV/0!</v>
      </c>
      <c r="AF21" s="46"/>
      <c r="AG21" s="48">
        <f t="shared" ca="1" si="6"/>
        <v>0</v>
      </c>
      <c r="AH21" s="49">
        <f t="shared" si="7"/>
        <v>1014.52</v>
      </c>
      <c r="AI21" s="49">
        <f t="shared" ca="1" si="8"/>
        <v>0</v>
      </c>
      <c r="AJ21" s="49">
        <f t="shared" ca="1" si="9"/>
        <v>0</v>
      </c>
      <c r="AK21" s="49">
        <f t="shared" ca="1" si="10"/>
        <v>0</v>
      </c>
      <c r="AL21" s="49" t="e">
        <f t="array" aca="1" ref="AL21" ca="1">_xlfn.IFS(R21=0,AE21,R21&lt;0,AE21/-R21,R21&gt;0,AE21/R21)</f>
        <v>#DIV/0!</v>
      </c>
      <c r="AM21" s="50">
        <f t="shared" ca="1" si="11"/>
        <v>0</v>
      </c>
      <c r="AN21" s="51" t="e">
        <f t="shared" ca="1" si="12"/>
        <v>#DIV/0!</v>
      </c>
      <c r="AP21" s="53" t="e">
        <f t="shared" ca="1" si="13"/>
        <v>#DIV/0!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/>
      <c r="L22" s="36"/>
      <c r="M22" s="36"/>
      <c r="N22" s="37">
        <f t="shared" si="14"/>
        <v>0</v>
      </c>
      <c r="O22" s="38">
        <f t="shared" ca="1" si="15"/>
        <v>0</v>
      </c>
      <c r="P22" s="39">
        <f ca="1">SUMIFS('Отчет 16-22.02'!H:H,'Отчет 16-22.02'!D:D,"Выручка",'Отчет 16-22.02'!E:E,B22)</f>
        <v>0</v>
      </c>
      <c r="Q22" s="39">
        <f ca="1">SUMIFS('Отчет 16-22.02'!H:H,'Отчет 16-22.02'!D:D,"Возврат выручки",'Отчет 16-22.02'!E:E,B22)</f>
        <v>0</v>
      </c>
      <c r="R22" s="40">
        <f t="shared" ca="1" si="1"/>
        <v>0</v>
      </c>
      <c r="S22" s="41">
        <f ca="1">SUMIFS('Отчет 16-22.02'!P:P,'Отчет 16-22.02'!C:C,"Продажи",'Отчет 16-22.02'!E:E,B22)</f>
        <v>0</v>
      </c>
      <c r="T22" s="42">
        <f ca="1">SUMIFS('Отчет 16-22.02'!P:P,'Отчет 16-22.02'!C:C,"Возвраты",'Отчет 16-22.02'!E:E,B22)</f>
        <v>0</v>
      </c>
      <c r="U22" s="40">
        <f t="shared" ca="1" si="2"/>
        <v>0</v>
      </c>
      <c r="V22" s="43" t="e">
        <f t="shared" ca="1" si="16"/>
        <v>#DIV/0!</v>
      </c>
      <c r="W22" s="44">
        <f t="shared" ca="1" si="3"/>
        <v>0</v>
      </c>
      <c r="X22" s="42">
        <f ca="1">-SUMIFS('Отчет 16-22.02'!P:P,'Отчет 16-22.02'!C:C,"Вознаграждение Ozon",'Отчет 16-22.02'!E:E,B22)</f>
        <v>0</v>
      </c>
      <c r="Y22" s="45">
        <f t="shared" ca="1" si="4"/>
        <v>0</v>
      </c>
      <c r="Z22" s="42">
        <f ca="1">-SUMIFS('Отчет 16-22.02'!P:P,'Отчет 16-22.02'!C:C,"Услуги доставки",'Отчет 16-22.02'!E:E,B22)</f>
        <v>0</v>
      </c>
      <c r="AA22" s="32"/>
      <c r="AB22" s="55"/>
      <c r="AC22" s="42"/>
      <c r="AD22" s="46" t="e">
        <f t="shared" ca="1" si="17"/>
        <v>#DIV/0!</v>
      </c>
      <c r="AE22" s="47" t="e">
        <f t="shared" ca="1" si="5"/>
        <v>#DIV/0!</v>
      </c>
      <c r="AF22" s="46"/>
      <c r="AG22" s="48">
        <f t="shared" ca="1" si="6"/>
        <v>0</v>
      </c>
      <c r="AH22" s="49">
        <f t="shared" si="7"/>
        <v>1014.52</v>
      </c>
      <c r="AI22" s="49">
        <f t="shared" ca="1" si="8"/>
        <v>0</v>
      </c>
      <c r="AJ22" s="49">
        <f t="shared" ca="1" si="9"/>
        <v>0</v>
      </c>
      <c r="AK22" s="49">
        <f t="shared" ca="1" si="10"/>
        <v>0</v>
      </c>
      <c r="AL22" s="49" t="e">
        <f t="array" aca="1" ref="AL22" ca="1">_xlfn.IFS(R22=0,AE22,R22&lt;0,AE22/-R22,R22&gt;0,AE22/R22)</f>
        <v>#DIV/0!</v>
      </c>
      <c r="AM22" s="50">
        <f t="shared" ca="1" si="11"/>
        <v>0</v>
      </c>
      <c r="AN22" s="51" t="e">
        <f t="shared" ca="1" si="12"/>
        <v>#DIV/0!</v>
      </c>
      <c r="AP22" s="53" t="e">
        <f t="shared" ca="1" si="13"/>
        <v>#DIV/0!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/>
      <c r="L23" s="36"/>
      <c r="M23" s="36"/>
      <c r="N23" s="37">
        <f t="shared" si="14"/>
        <v>0</v>
      </c>
      <c r="O23" s="38">
        <f t="shared" ca="1" si="15"/>
        <v>0</v>
      </c>
      <c r="P23" s="39">
        <f ca="1">SUMIFS('Отчет 16-22.02'!H:H,'Отчет 16-22.02'!D:D,"Выручка",'Отчет 16-22.02'!E:E,B23)</f>
        <v>0</v>
      </c>
      <c r="Q23" s="39">
        <f ca="1">SUMIFS('Отчет 16-22.02'!H:H,'Отчет 16-22.02'!D:D,"Возврат выручки",'Отчет 16-22.02'!E:E,B23)</f>
        <v>0</v>
      </c>
      <c r="R23" s="40">
        <f t="shared" ca="1" si="1"/>
        <v>0</v>
      </c>
      <c r="S23" s="41">
        <f ca="1">SUMIFS('Отчет 16-22.02'!P:P,'Отчет 16-22.02'!C:C,"Продажи",'Отчет 16-22.02'!E:E,B23)</f>
        <v>0</v>
      </c>
      <c r="T23" s="42">
        <f ca="1">SUMIFS('Отчет 16-22.02'!P:P,'Отчет 16-22.02'!C:C,"Возвраты",'Отчет 16-22.02'!E:E,B23)</f>
        <v>0</v>
      </c>
      <c r="U23" s="40">
        <f t="shared" ca="1" si="2"/>
        <v>0</v>
      </c>
      <c r="V23" s="43" t="e">
        <f t="shared" ca="1" si="16"/>
        <v>#DIV/0!</v>
      </c>
      <c r="W23" s="44">
        <f t="shared" ca="1" si="3"/>
        <v>0</v>
      </c>
      <c r="X23" s="42">
        <f ca="1">-SUMIFS('Отчет 16-22.02'!P:P,'Отчет 16-22.02'!C:C,"Вознаграждение Ozon",'Отчет 16-22.02'!E:E,B23)</f>
        <v>0</v>
      </c>
      <c r="Y23" s="45">
        <f t="shared" ca="1" si="4"/>
        <v>0</v>
      </c>
      <c r="Z23" s="42">
        <f ca="1">-SUMIFS('Отчет 16-22.02'!P:P,'Отчет 16-22.02'!C:C,"Услуги доставки",'Отчет 16-22.02'!E:E,B23)</f>
        <v>0</v>
      </c>
      <c r="AA23" s="32"/>
      <c r="AB23" s="55"/>
      <c r="AC23" s="42"/>
      <c r="AD23" s="46" t="e">
        <f t="shared" ca="1" si="17"/>
        <v>#DIV/0!</v>
      </c>
      <c r="AE23" s="47" t="e">
        <f t="shared" ca="1" si="5"/>
        <v>#DIV/0!</v>
      </c>
      <c r="AF23" s="46"/>
      <c r="AG23" s="48">
        <f t="shared" ca="1" si="6"/>
        <v>0</v>
      </c>
      <c r="AH23" s="49">
        <f t="shared" si="7"/>
        <v>1014.52</v>
      </c>
      <c r="AI23" s="49">
        <f t="shared" ca="1" si="8"/>
        <v>0</v>
      </c>
      <c r="AJ23" s="49">
        <f t="shared" ca="1" si="9"/>
        <v>0</v>
      </c>
      <c r="AK23" s="49">
        <f t="shared" ca="1" si="10"/>
        <v>0</v>
      </c>
      <c r="AL23" s="49" t="e">
        <f t="array" aca="1" ref="AL23" ca="1">_xlfn.IFS(R23=0,AE23,R23&lt;0,AE23/-R23,R23&gt;0,AE23/R23)</f>
        <v>#DIV/0!</v>
      </c>
      <c r="AM23" s="50">
        <f t="shared" ca="1" si="11"/>
        <v>0</v>
      </c>
      <c r="AN23" s="51" t="e">
        <f t="shared" ca="1" si="12"/>
        <v>#DIV/0!</v>
      </c>
      <c r="AP23" s="53" t="e">
        <f t="shared" ca="1" si="13"/>
        <v>#DIV/0!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/>
      <c r="L24" s="36"/>
      <c r="M24" s="36"/>
      <c r="N24" s="37">
        <f t="shared" si="14"/>
        <v>0</v>
      </c>
      <c r="O24" s="38">
        <f t="shared" ca="1" si="15"/>
        <v>0</v>
      </c>
      <c r="P24" s="39">
        <f ca="1">SUMIFS('Отчет 16-22.02'!H:H,'Отчет 16-22.02'!D:D,"Выручка",'Отчет 16-22.02'!E:E,B24)</f>
        <v>0</v>
      </c>
      <c r="Q24" s="39">
        <f ca="1">SUMIFS('Отчет 16-22.02'!H:H,'Отчет 16-22.02'!D:D,"Возврат выручки",'Отчет 16-22.02'!E:E,B24)</f>
        <v>0</v>
      </c>
      <c r="R24" s="40">
        <f t="shared" ca="1" si="1"/>
        <v>0</v>
      </c>
      <c r="S24" s="41">
        <f ca="1">SUMIFS('Отчет 16-22.02'!P:P,'Отчет 16-22.02'!C:C,"Продажи",'Отчет 16-22.02'!E:E,B24)</f>
        <v>0</v>
      </c>
      <c r="T24" s="42">
        <f ca="1">SUMIFS('Отчет 16-22.02'!P:P,'Отчет 16-22.02'!C:C,"Возвраты",'Отчет 16-22.02'!E:E,B24)</f>
        <v>0</v>
      </c>
      <c r="U24" s="40">
        <f t="shared" ca="1" si="2"/>
        <v>0</v>
      </c>
      <c r="V24" s="43" t="e">
        <f t="shared" ca="1" si="16"/>
        <v>#DIV/0!</v>
      </c>
      <c r="W24" s="44">
        <f t="shared" ca="1" si="3"/>
        <v>0</v>
      </c>
      <c r="X24" s="42">
        <f ca="1">-SUMIFS('Отчет 16-22.02'!P:P,'Отчет 16-22.02'!C:C,"Вознаграждение Ozon",'Отчет 16-22.02'!E:E,B24)</f>
        <v>0</v>
      </c>
      <c r="Y24" s="45">
        <f t="shared" ca="1" si="4"/>
        <v>0</v>
      </c>
      <c r="Z24" s="42">
        <f ca="1">-SUMIFS('Отчет 16-22.02'!P:P,'Отчет 16-22.02'!C:C,"Услуги доставки",'Отчет 16-22.02'!E:E,B24)</f>
        <v>0</v>
      </c>
      <c r="AA24" s="32"/>
      <c r="AB24" s="55"/>
      <c r="AC24" s="42"/>
      <c r="AD24" s="46" t="e">
        <f t="shared" ca="1" si="17"/>
        <v>#DIV/0!</v>
      </c>
      <c r="AE24" s="47" t="e">
        <f t="shared" ca="1" si="5"/>
        <v>#DIV/0!</v>
      </c>
      <c r="AF24" s="46"/>
      <c r="AG24" s="48">
        <f t="shared" ca="1" si="6"/>
        <v>0</v>
      </c>
      <c r="AH24" s="49">
        <f t="shared" si="7"/>
        <v>991.12</v>
      </c>
      <c r="AI24" s="49">
        <f t="shared" ca="1" si="8"/>
        <v>0</v>
      </c>
      <c r="AJ24" s="49">
        <f t="shared" ca="1" si="9"/>
        <v>0</v>
      </c>
      <c r="AK24" s="49">
        <f t="shared" ca="1" si="10"/>
        <v>0</v>
      </c>
      <c r="AL24" s="49" t="e">
        <f t="array" aca="1" ref="AL24" ca="1">_xlfn.IFS(R24=0,AE24,R24&lt;0,AE24/-R24,R24&gt;0,AE24/R24)</f>
        <v>#DIV/0!</v>
      </c>
      <c r="AM24" s="50">
        <f t="shared" ca="1" si="11"/>
        <v>0</v>
      </c>
      <c r="AN24" s="51" t="e">
        <f t="shared" ca="1" si="12"/>
        <v>#DIV/0!</v>
      </c>
      <c r="AP24" s="53" t="e">
        <f t="shared" ca="1" si="13"/>
        <v>#DIV/0!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 t="e">
        <f t="shared" ref="AG25:AN25" ca="1" si="18">AVERAGEIF(AG3:AG24,"&lt;&gt;0",AG3:AG24)</f>
        <v>#DIV/0!</v>
      </c>
      <c r="AH25" s="58">
        <f t="shared" si="18"/>
        <v>447.87636363636369</v>
      </c>
      <c r="AI25" s="58" t="e">
        <f t="shared" ca="1" si="18"/>
        <v>#DIV/0!</v>
      </c>
      <c r="AJ25" s="58" t="e">
        <f t="shared" ca="1" si="18"/>
        <v>#DIV/0!</v>
      </c>
      <c r="AK25" s="58" t="e">
        <f t="shared" ca="1" si="18"/>
        <v>#DIV/0!</v>
      </c>
      <c r="AL25" s="58" t="e">
        <f t="shared" ca="1" si="18"/>
        <v>#DIV/0!</v>
      </c>
      <c r="AM25" s="59" t="e">
        <f t="shared" ca="1" si="18"/>
        <v>#DIV/0!</v>
      </c>
      <c r="AN25" s="59" t="e">
        <f t="shared" ca="1" si="18"/>
        <v>#DIV/0!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0</v>
      </c>
      <c r="L26" s="67"/>
      <c r="M26" s="67"/>
      <c r="N26" s="68"/>
      <c r="O26" s="69"/>
      <c r="P26" s="64">
        <f ca="1">SUM(P3:P24)</f>
        <v>0</v>
      </c>
      <c r="Q26" s="64">
        <f t="shared" ref="Q26:Z26" ca="1" si="19">SUM(Q3:Q24)</f>
        <v>0</v>
      </c>
      <c r="R26" s="64">
        <f t="shared" ca="1" si="19"/>
        <v>0</v>
      </c>
      <c r="S26" s="70">
        <f ca="1">SUM(S3:S24)</f>
        <v>0</v>
      </c>
      <c r="T26" s="64">
        <f t="shared" ca="1" si="19"/>
        <v>0</v>
      </c>
      <c r="U26" s="64">
        <f t="shared" ca="1" si="19"/>
        <v>0</v>
      </c>
      <c r="V26" s="71" t="e">
        <f t="shared" ca="1" si="19"/>
        <v>#DIV/0!</v>
      </c>
      <c r="W26" s="64">
        <f t="shared" ca="1" si="19"/>
        <v>0</v>
      </c>
      <c r="X26" s="64">
        <f t="shared" ca="1" si="19"/>
        <v>0</v>
      </c>
      <c r="Y26" s="72">
        <f ca="1">IF(U26=0,0,X26/U26)</f>
        <v>0</v>
      </c>
      <c r="Z26" s="64">
        <f t="shared" ca="1" si="19"/>
        <v>0</v>
      </c>
      <c r="AA26" s="64">
        <f ca="1">IFERROR(P26*AA51/P51,0)</f>
        <v>0</v>
      </c>
      <c r="AB26" s="64">
        <f t="shared" ref="AB26:AE26" si="20">SUM(AB3:AB24)</f>
        <v>0</v>
      </c>
      <c r="AC26" s="64">
        <f t="shared" si="20"/>
        <v>0</v>
      </c>
      <c r="AD26" s="73" t="e">
        <f t="shared" ca="1" si="20"/>
        <v>#DIV/0!</v>
      </c>
      <c r="AE26" s="74" t="e">
        <f t="shared" ca="1" si="20"/>
        <v>#DIV/0!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 t="e">
        <f ca="1">SUM(AP3:AP24)</f>
        <v>#DIV/0!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0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/>
      <c r="L28" s="36"/>
      <c r="M28" s="36"/>
      <c r="N28" s="37">
        <f t="shared" ref="N28:N47" si="22">K28/$O$1</f>
        <v>0</v>
      </c>
      <c r="O28" s="38">
        <f t="shared" ref="O28:O47" ca="1" si="23">R28/$O$1</f>
        <v>0</v>
      </c>
      <c r="P28" s="39">
        <f ca="1">SUMIFS('Отчет 16-22.02'!H:H,'Отчет 16-22.02'!D:D,"Выручка",'Отчет 16-22.02'!E:E,B28)</f>
        <v>0</v>
      </c>
      <c r="Q28" s="39">
        <f ca="1">SUMIFS('Отчет 16-22.02'!H:H,'Отчет 16-22.02'!D:D,"Возврат выручки",'Отчет 16-22.02'!E:E,B28)</f>
        <v>0</v>
      </c>
      <c r="R28" s="40">
        <f t="shared" ref="R28:R47" ca="1" si="24">P28-Q28</f>
        <v>0</v>
      </c>
      <c r="S28" s="41">
        <f ca="1">SUMIFS('Отчет 16-22.02'!P:P,'Отчет 16-22.02'!C:C,"Продажи",'Отчет 16-22.02'!E:E,B28)</f>
        <v>0</v>
      </c>
      <c r="T28" s="42">
        <f ca="1">SUMIFS('Отчет 16-22.02'!P:P,'Отчет 16-22.02'!C:C,"Возвраты",'Отчет 16-22.02'!E:E,B28)</f>
        <v>0</v>
      </c>
      <c r="U28" s="40">
        <f t="shared" ref="U28:U47" ca="1" si="25">S28+T28</f>
        <v>0</v>
      </c>
      <c r="V28" s="43" t="e">
        <f t="shared" ref="V28:V47" ca="1" si="26">U28/$U$51</f>
        <v>#DIV/0!</v>
      </c>
      <c r="W28" s="44">
        <f t="shared" ref="W28:W47" ca="1" si="27">R28*H28</f>
        <v>0</v>
      </c>
      <c r="X28" s="42">
        <f ca="1">-SUMIFS('Отчет 16-22.02'!P:P,'Отчет 16-22.02'!C:C,"Вознаграждение Ozon",'Отчет 16-22.02'!E:E,B28)</f>
        <v>0</v>
      </c>
      <c r="Y28" s="45">
        <f t="shared" ref="Y28:Y47" ca="1" si="28">IF(U28=0,0,X28/U28)</f>
        <v>0</v>
      </c>
      <c r="Z28" s="42">
        <f ca="1">-SUMIFS('Отчет 16-22.02'!P:P,'Отчет 16-22.02'!C:C,"Услуги доставки",'Отчет 16-22.02'!E:E,B28)</f>
        <v>0</v>
      </c>
      <c r="AA28" s="32"/>
      <c r="AB28" s="55"/>
      <c r="AC28" s="42"/>
      <c r="AD28" s="46" t="e">
        <f t="shared" ref="AD28:AD47" ca="1" si="29">U28*1%/$AE$1</f>
        <v>#DIV/0!</v>
      </c>
      <c r="AE28" s="47" t="e">
        <f t="shared" ref="AE28:AE47" ca="1" si="30">U28-W28-X28-Z28-AA28-AB28-AC28-AD28</f>
        <v>#DIV/0!</v>
      </c>
      <c r="AF28" s="46"/>
      <c r="AG28" s="48">
        <f t="shared" ref="AG28:AG47" ca="1" si="31">IF(R28=0,0,U28/R28)</f>
        <v>0</v>
      </c>
      <c r="AH28" s="49">
        <f t="shared" ref="AH28:AH47" si="32">H28</f>
        <v>672</v>
      </c>
      <c r="AI28" s="49">
        <f t="shared" ref="AI28:AI47" ca="1" si="33">IF(R28=0,0,X28/R28)</f>
        <v>0</v>
      </c>
      <c r="AJ28" s="49">
        <f t="shared" ref="AJ28:AJ47" ca="1" si="34">IF(P28=0,Z28/1,Z28/P28)</f>
        <v>0</v>
      </c>
      <c r="AK28" s="49">
        <f t="shared" ref="AK28:AK47" ca="1" si="35">IF(P28=0,0,AA28/P28)</f>
        <v>0</v>
      </c>
      <c r="AL28" s="49" t="e">
        <f t="array" aca="1" ref="AL28" ca="1">_xlfn.IFS(R28=0,AE28,R28&lt;0,AE28/-R28,R28&gt;0,AE28/R28)</f>
        <v>#DIV/0!</v>
      </c>
      <c r="AM28" s="50">
        <f t="shared" ref="AM28:AM47" ca="1" si="36">IF(AG28=0,0,AL28/AG28)</f>
        <v>0</v>
      </c>
      <c r="AN28" s="51" t="e">
        <f t="shared" ref="AN28:AN47" ca="1" si="37">IF(AH28=0,0,AL28/AH28)</f>
        <v>#DIV/0!</v>
      </c>
      <c r="AP28" s="53" t="e">
        <f t="shared" ref="AP28:AP47" ca="1" si="38">AL28*C28</f>
        <v>#DIV/0!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/>
      <c r="L29" s="36"/>
      <c r="M29" s="36"/>
      <c r="N29" s="37">
        <f t="shared" si="22"/>
        <v>0</v>
      </c>
      <c r="O29" s="38">
        <f t="shared" ca="1" si="23"/>
        <v>0</v>
      </c>
      <c r="P29" s="39">
        <f ca="1">SUMIFS('Отчет 16-22.02'!H:H,'Отчет 16-22.02'!D:D,"Выручка",'Отчет 16-22.02'!E:E,B29)</f>
        <v>0</v>
      </c>
      <c r="Q29" s="39">
        <f ca="1">SUMIFS('Отчет 16-22.02'!H:H,'Отчет 16-22.02'!D:D,"Возврат выручки",'Отчет 16-22.02'!E:E,B29)</f>
        <v>0</v>
      </c>
      <c r="R29" s="40">
        <f t="shared" ca="1" si="24"/>
        <v>0</v>
      </c>
      <c r="S29" s="41">
        <f ca="1">SUMIFS('Отчет 16-22.02'!P:P,'Отчет 16-22.02'!C:C,"Продажи",'Отчет 16-22.02'!E:E,B29)</f>
        <v>0</v>
      </c>
      <c r="T29" s="42">
        <f ca="1">SUMIFS('Отчет 16-22.02'!P:P,'Отчет 16-22.02'!C:C,"Возвраты",'Отчет 16-22.02'!E:E,B29)</f>
        <v>0</v>
      </c>
      <c r="U29" s="40">
        <f t="shared" ca="1" si="25"/>
        <v>0</v>
      </c>
      <c r="V29" s="43" t="e">
        <f t="shared" ca="1" si="26"/>
        <v>#DIV/0!</v>
      </c>
      <c r="W29" s="44">
        <f t="shared" ca="1" si="27"/>
        <v>0</v>
      </c>
      <c r="X29" s="42">
        <f ca="1">-SUMIFS('Отчет 16-22.02'!P:P,'Отчет 16-22.02'!C:C,"Вознаграждение Ozon",'Отчет 16-22.02'!E:E,B29)</f>
        <v>0</v>
      </c>
      <c r="Y29" s="45">
        <f t="shared" ca="1" si="28"/>
        <v>0</v>
      </c>
      <c r="Z29" s="42">
        <f ca="1">-SUMIFS('Отчет 16-22.02'!P:P,'Отчет 16-22.02'!C:C,"Услуги доставки",'Отчет 16-22.02'!E:E,B29)</f>
        <v>0</v>
      </c>
      <c r="AA29" s="32"/>
      <c r="AB29" s="55"/>
      <c r="AC29" s="42"/>
      <c r="AD29" s="46" t="e">
        <f t="shared" ca="1" si="29"/>
        <v>#DIV/0!</v>
      </c>
      <c r="AE29" s="47" t="e">
        <f t="shared" ca="1" si="30"/>
        <v>#DIV/0!</v>
      </c>
      <c r="AF29" s="46"/>
      <c r="AG29" s="48">
        <f t="shared" ca="1" si="31"/>
        <v>0</v>
      </c>
      <c r="AH29" s="49">
        <f t="shared" si="32"/>
        <v>627</v>
      </c>
      <c r="AI29" s="49">
        <f t="shared" ca="1" si="33"/>
        <v>0</v>
      </c>
      <c r="AJ29" s="49">
        <f t="shared" ca="1" si="34"/>
        <v>0</v>
      </c>
      <c r="AK29" s="49">
        <f t="shared" ca="1" si="35"/>
        <v>0</v>
      </c>
      <c r="AL29" s="49" t="e">
        <f t="array" aca="1" ref="AL29" ca="1">_xlfn.IFS(R29=0,AE29,R29&lt;0,AE29/-R29,R29&gt;0,AE29/R29)</f>
        <v>#DIV/0!</v>
      </c>
      <c r="AM29" s="50">
        <f t="shared" ca="1" si="36"/>
        <v>0</v>
      </c>
      <c r="AN29" s="51" t="e">
        <f t="shared" ca="1" si="37"/>
        <v>#DIV/0!</v>
      </c>
      <c r="AP29" s="53" t="e">
        <f t="shared" ca="1" si="38"/>
        <v>#DIV/0!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/>
      <c r="L30" s="36"/>
      <c r="M30" s="36"/>
      <c r="N30" s="37">
        <f t="shared" si="22"/>
        <v>0</v>
      </c>
      <c r="O30" s="38">
        <f t="shared" ca="1" si="23"/>
        <v>0</v>
      </c>
      <c r="P30" s="39">
        <f ca="1">SUMIFS('Отчет 16-22.02'!H:H,'Отчет 16-22.02'!D:D,"Выручка",'Отчет 16-22.02'!E:E,B30)</f>
        <v>0</v>
      </c>
      <c r="Q30" s="39">
        <f ca="1">SUMIFS('Отчет 16-22.02'!H:H,'Отчет 16-22.02'!D:D,"Возврат выручки",'Отчет 16-22.02'!E:E,B30)</f>
        <v>0</v>
      </c>
      <c r="R30" s="40">
        <f t="shared" ca="1" si="24"/>
        <v>0</v>
      </c>
      <c r="S30" s="41">
        <f ca="1">SUMIFS('Отчет 16-22.02'!P:P,'Отчет 16-22.02'!C:C,"Продажи",'Отчет 16-22.02'!E:E,B30)</f>
        <v>0</v>
      </c>
      <c r="T30" s="42">
        <f ca="1">SUMIFS('Отчет 16-22.02'!P:P,'Отчет 16-22.02'!C:C,"Возвраты",'Отчет 16-22.02'!E:E,B30)</f>
        <v>0</v>
      </c>
      <c r="U30" s="40">
        <f t="shared" ca="1" si="25"/>
        <v>0</v>
      </c>
      <c r="V30" s="43" t="e">
        <f t="shared" ca="1" si="26"/>
        <v>#DIV/0!</v>
      </c>
      <c r="W30" s="44">
        <f t="shared" ca="1" si="27"/>
        <v>0</v>
      </c>
      <c r="X30" s="42">
        <f ca="1">-SUMIFS('Отчет 16-22.02'!P:P,'Отчет 16-22.02'!C:C,"Вознаграждение Ozon",'Отчет 16-22.02'!E:E,B30)</f>
        <v>0</v>
      </c>
      <c r="Y30" s="45">
        <f t="shared" ca="1" si="28"/>
        <v>0</v>
      </c>
      <c r="Z30" s="42">
        <f ca="1">-SUMIFS('Отчет 16-22.02'!P:P,'Отчет 16-22.02'!C:C,"Услуги доставки",'Отчет 16-22.02'!E:E,B30)</f>
        <v>0</v>
      </c>
      <c r="AA30" s="32"/>
      <c r="AB30" s="55"/>
      <c r="AC30" s="42"/>
      <c r="AD30" s="46" t="e">
        <f t="shared" ca="1" si="29"/>
        <v>#DIV/0!</v>
      </c>
      <c r="AE30" s="47" t="e">
        <f t="shared" ca="1" si="30"/>
        <v>#DIV/0!</v>
      </c>
      <c r="AF30" s="46"/>
      <c r="AG30" s="48">
        <f t="shared" ca="1" si="31"/>
        <v>0</v>
      </c>
      <c r="AH30" s="49">
        <f t="shared" si="32"/>
        <v>627</v>
      </c>
      <c r="AI30" s="49">
        <f t="shared" ca="1" si="33"/>
        <v>0</v>
      </c>
      <c r="AJ30" s="49">
        <f t="shared" ca="1" si="34"/>
        <v>0</v>
      </c>
      <c r="AK30" s="49">
        <f t="shared" ca="1" si="35"/>
        <v>0</v>
      </c>
      <c r="AL30" s="49" t="e">
        <f t="array" aca="1" ref="AL30" ca="1">_xlfn.IFS(R30=0,AE30,R30&lt;0,AE30/-R30,R30&gt;0,AE30/R30)</f>
        <v>#DIV/0!</v>
      </c>
      <c r="AM30" s="50">
        <f t="shared" ca="1" si="36"/>
        <v>0</v>
      </c>
      <c r="AN30" s="51" t="e">
        <f t="shared" ca="1" si="37"/>
        <v>#DIV/0!</v>
      </c>
      <c r="AP30" s="53" t="e">
        <f t="shared" ca="1" si="38"/>
        <v>#DIV/0!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/>
      <c r="L31" s="36"/>
      <c r="M31" s="36"/>
      <c r="N31" s="37">
        <f t="shared" si="22"/>
        <v>0</v>
      </c>
      <c r="O31" s="38">
        <f t="shared" ca="1" si="23"/>
        <v>0</v>
      </c>
      <c r="P31" s="39">
        <f ca="1">SUMIFS('Отчет 16-22.02'!H:H,'Отчет 16-22.02'!D:D,"Выручка",'Отчет 16-22.02'!E:E,B31)</f>
        <v>0</v>
      </c>
      <c r="Q31" s="39">
        <f ca="1">SUMIFS('Отчет 16-22.02'!H:H,'Отчет 16-22.02'!D:D,"Возврат выручки",'Отчет 16-22.02'!E:E,B31)</f>
        <v>0</v>
      </c>
      <c r="R31" s="40">
        <f t="shared" ca="1" si="24"/>
        <v>0</v>
      </c>
      <c r="S31" s="41">
        <f ca="1">SUMIFS('Отчет 16-22.02'!P:P,'Отчет 16-22.02'!C:C,"Продажи",'Отчет 16-22.02'!E:E,B31)</f>
        <v>0</v>
      </c>
      <c r="T31" s="42">
        <f ca="1">SUMIFS('Отчет 16-22.02'!P:P,'Отчет 16-22.02'!C:C,"Возвраты",'Отчет 16-22.02'!E:E,B31)</f>
        <v>0</v>
      </c>
      <c r="U31" s="40">
        <f t="shared" ca="1" si="25"/>
        <v>0</v>
      </c>
      <c r="V31" s="43" t="e">
        <f t="shared" ca="1" si="26"/>
        <v>#DIV/0!</v>
      </c>
      <c r="W31" s="44">
        <f t="shared" ca="1" si="27"/>
        <v>0</v>
      </c>
      <c r="X31" s="42">
        <f ca="1">-SUMIFS('Отчет 16-22.02'!P:P,'Отчет 16-22.02'!C:C,"Вознаграждение Ozon",'Отчет 16-22.02'!E:E,B31)</f>
        <v>0</v>
      </c>
      <c r="Y31" s="45">
        <f t="shared" ca="1" si="28"/>
        <v>0</v>
      </c>
      <c r="Z31" s="42">
        <f ca="1">-SUMIFS('Отчет 16-22.02'!P:P,'Отчет 16-22.02'!C:C,"Услуги доставки",'Отчет 16-22.02'!E:E,B31)</f>
        <v>0</v>
      </c>
      <c r="AA31" s="32"/>
      <c r="AB31" s="55"/>
      <c r="AC31" s="42"/>
      <c r="AD31" s="46" t="e">
        <f t="shared" ca="1" si="29"/>
        <v>#DIV/0!</v>
      </c>
      <c r="AE31" s="47" t="e">
        <f t="shared" ca="1" si="30"/>
        <v>#DIV/0!</v>
      </c>
      <c r="AF31" s="46"/>
      <c r="AG31" s="48">
        <f t="shared" ca="1" si="31"/>
        <v>0</v>
      </c>
      <c r="AH31" s="49">
        <f t="shared" si="32"/>
        <v>567</v>
      </c>
      <c r="AI31" s="49">
        <f t="shared" ca="1" si="33"/>
        <v>0</v>
      </c>
      <c r="AJ31" s="49">
        <f t="shared" ca="1" si="34"/>
        <v>0</v>
      </c>
      <c r="AK31" s="49">
        <f t="shared" ca="1" si="35"/>
        <v>0</v>
      </c>
      <c r="AL31" s="49" t="e">
        <f t="array" aca="1" ref="AL31" ca="1">_xlfn.IFS(R31=0,AE31,R31&lt;0,AE31/-R31,R31&gt;0,AE31/R31)</f>
        <v>#DIV/0!</v>
      </c>
      <c r="AM31" s="50">
        <f t="shared" ca="1" si="36"/>
        <v>0</v>
      </c>
      <c r="AN31" s="51" t="e">
        <f t="shared" ca="1" si="37"/>
        <v>#DIV/0!</v>
      </c>
      <c r="AP31" s="53" t="e">
        <f t="shared" ca="1" si="38"/>
        <v>#DIV/0!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/>
      <c r="L32" s="36"/>
      <c r="M32" s="36"/>
      <c r="N32" s="37">
        <f t="shared" si="22"/>
        <v>0</v>
      </c>
      <c r="O32" s="38">
        <f t="shared" ca="1" si="23"/>
        <v>0</v>
      </c>
      <c r="P32" s="39">
        <f ca="1">SUMIFS('Отчет 16-22.02'!H:H,'Отчет 16-22.02'!D:D,"Выручка",'Отчет 16-22.02'!E:E,B32)</f>
        <v>0</v>
      </c>
      <c r="Q32" s="39">
        <f ca="1">SUMIFS('Отчет 16-22.02'!H:H,'Отчет 16-22.02'!D:D,"Возврат выручки",'Отчет 16-22.02'!E:E,B32)</f>
        <v>0</v>
      </c>
      <c r="R32" s="40">
        <f t="shared" ca="1" si="24"/>
        <v>0</v>
      </c>
      <c r="S32" s="41">
        <f ca="1">SUMIFS('Отчет 16-22.02'!P:P,'Отчет 16-22.02'!C:C,"Продажи",'Отчет 16-22.02'!E:E,B32)</f>
        <v>0</v>
      </c>
      <c r="T32" s="42">
        <f ca="1">SUMIFS('Отчет 16-22.02'!P:P,'Отчет 16-22.02'!C:C,"Возвраты",'Отчет 16-22.02'!E:E,B32)</f>
        <v>0</v>
      </c>
      <c r="U32" s="40">
        <f t="shared" ca="1" si="25"/>
        <v>0</v>
      </c>
      <c r="V32" s="43" t="e">
        <f t="shared" ca="1" si="26"/>
        <v>#DIV/0!</v>
      </c>
      <c r="W32" s="44">
        <f t="shared" ca="1" si="27"/>
        <v>0</v>
      </c>
      <c r="X32" s="42">
        <f ca="1">-SUMIFS('Отчет 16-22.02'!P:P,'Отчет 16-22.02'!C:C,"Вознаграждение Ozon",'Отчет 16-22.02'!E:E,B32)</f>
        <v>0</v>
      </c>
      <c r="Y32" s="45">
        <f t="shared" ca="1" si="28"/>
        <v>0</v>
      </c>
      <c r="Z32" s="42">
        <f ca="1">-SUMIFS('Отчет 16-22.02'!P:P,'Отчет 16-22.02'!C:C,"Услуги доставки",'Отчет 16-22.02'!E:E,B32)</f>
        <v>0</v>
      </c>
      <c r="AA32" s="32"/>
      <c r="AB32" s="55"/>
      <c r="AC32" s="42"/>
      <c r="AD32" s="46" t="e">
        <f t="shared" ca="1" si="29"/>
        <v>#DIV/0!</v>
      </c>
      <c r="AE32" s="47" t="e">
        <f t="shared" ca="1" si="30"/>
        <v>#DIV/0!</v>
      </c>
      <c r="AF32" s="46"/>
      <c r="AG32" s="48">
        <f t="shared" ca="1" si="31"/>
        <v>0</v>
      </c>
      <c r="AH32" s="49">
        <f t="shared" si="32"/>
        <v>567</v>
      </c>
      <c r="AI32" s="49">
        <f t="shared" ca="1" si="33"/>
        <v>0</v>
      </c>
      <c r="AJ32" s="49">
        <f t="shared" ca="1" si="34"/>
        <v>0</v>
      </c>
      <c r="AK32" s="49">
        <f t="shared" ca="1" si="35"/>
        <v>0</v>
      </c>
      <c r="AL32" s="49" t="e">
        <f t="array" aca="1" ref="AL32" ca="1">_xlfn.IFS(R32=0,AE32,R32&lt;0,AE32/-R32,R32&gt;0,AE32/R32)</f>
        <v>#DIV/0!</v>
      </c>
      <c r="AM32" s="50">
        <f t="shared" ca="1" si="36"/>
        <v>0</v>
      </c>
      <c r="AN32" s="51" t="e">
        <f t="shared" ca="1" si="37"/>
        <v>#DIV/0!</v>
      </c>
      <c r="AP32" s="53" t="e">
        <f t="shared" ca="1" si="38"/>
        <v>#DIV/0!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/>
      <c r="L33" s="36"/>
      <c r="M33" s="36"/>
      <c r="N33" s="37">
        <f t="shared" si="22"/>
        <v>0</v>
      </c>
      <c r="O33" s="38">
        <f t="shared" ca="1" si="23"/>
        <v>0</v>
      </c>
      <c r="P33" s="39">
        <f ca="1">SUMIFS('Отчет 16-22.02'!H:H,'Отчет 16-22.02'!D:D,"Выручка",'Отчет 16-22.02'!E:E,B33)</f>
        <v>0</v>
      </c>
      <c r="Q33" s="39">
        <f ca="1">SUMIFS('Отчет 16-22.02'!H:H,'Отчет 16-22.02'!D:D,"Возврат выручки",'Отчет 16-22.02'!E:E,B33)</f>
        <v>0</v>
      </c>
      <c r="R33" s="40">
        <f t="shared" ca="1" si="24"/>
        <v>0</v>
      </c>
      <c r="S33" s="41">
        <f ca="1">SUMIFS('Отчет 16-22.02'!P:P,'Отчет 16-22.02'!C:C,"Продажи",'Отчет 16-22.02'!E:E,B33)</f>
        <v>0</v>
      </c>
      <c r="T33" s="42">
        <f ca="1">SUMIFS('Отчет 16-22.02'!P:P,'Отчет 16-22.02'!C:C,"Возвраты",'Отчет 16-22.02'!E:E,B33)</f>
        <v>0</v>
      </c>
      <c r="U33" s="40">
        <f t="shared" ca="1" si="25"/>
        <v>0</v>
      </c>
      <c r="V33" s="43" t="e">
        <f t="shared" ca="1" si="26"/>
        <v>#DIV/0!</v>
      </c>
      <c r="W33" s="44">
        <f t="shared" ca="1" si="27"/>
        <v>0</v>
      </c>
      <c r="X33" s="42">
        <f ca="1">-SUMIFS('Отчет 16-22.02'!P:P,'Отчет 16-22.02'!C:C,"Вознаграждение Ozon",'Отчет 16-22.02'!E:E,B33)</f>
        <v>0</v>
      </c>
      <c r="Y33" s="45">
        <f t="shared" ca="1" si="28"/>
        <v>0</v>
      </c>
      <c r="Z33" s="42">
        <f ca="1">-SUMIFS('Отчет 16-22.02'!P:P,'Отчет 16-22.02'!C:C,"Услуги доставки",'Отчет 16-22.02'!E:E,B33)</f>
        <v>0</v>
      </c>
      <c r="AA33" s="32"/>
      <c r="AB33" s="55"/>
      <c r="AC33" s="42"/>
      <c r="AD33" s="46" t="e">
        <f t="shared" ca="1" si="29"/>
        <v>#DIV/0!</v>
      </c>
      <c r="AE33" s="47" t="e">
        <f t="shared" ca="1" si="30"/>
        <v>#DIV/0!</v>
      </c>
      <c r="AF33" s="46"/>
      <c r="AG33" s="48">
        <f t="shared" ca="1" si="31"/>
        <v>0</v>
      </c>
      <c r="AH33" s="49">
        <f t="shared" si="32"/>
        <v>657</v>
      </c>
      <c r="AI33" s="49">
        <f t="shared" ca="1" si="33"/>
        <v>0</v>
      </c>
      <c r="AJ33" s="49">
        <f t="shared" ca="1" si="34"/>
        <v>0</v>
      </c>
      <c r="AK33" s="49">
        <f t="shared" ca="1" si="35"/>
        <v>0</v>
      </c>
      <c r="AL33" s="49" t="e">
        <f t="array" aca="1" ref="AL33" ca="1">_xlfn.IFS(R33=0,AE33,R33&lt;0,AE33/-R33,R33&gt;0,AE33/R33)</f>
        <v>#DIV/0!</v>
      </c>
      <c r="AM33" s="50">
        <f t="shared" ca="1" si="36"/>
        <v>0</v>
      </c>
      <c r="AN33" s="51" t="e">
        <f t="shared" ca="1" si="37"/>
        <v>#DIV/0!</v>
      </c>
      <c r="AP33" s="53" t="e">
        <f t="shared" ca="1" si="38"/>
        <v>#DIV/0!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/>
      <c r="L34" s="36"/>
      <c r="M34" s="36"/>
      <c r="N34" s="37">
        <f t="shared" si="22"/>
        <v>0</v>
      </c>
      <c r="O34" s="38">
        <f t="shared" ca="1" si="23"/>
        <v>0</v>
      </c>
      <c r="P34" s="39">
        <f ca="1">SUMIFS('Отчет 16-22.02'!H:H,'Отчет 16-22.02'!D:D,"Выручка",'Отчет 16-22.02'!E:E,B34)</f>
        <v>0</v>
      </c>
      <c r="Q34" s="39">
        <f ca="1">SUMIFS('Отчет 16-22.02'!H:H,'Отчет 16-22.02'!D:D,"Возврат выручки",'Отчет 16-22.02'!E:E,B34)</f>
        <v>0</v>
      </c>
      <c r="R34" s="40">
        <f t="shared" ca="1" si="24"/>
        <v>0</v>
      </c>
      <c r="S34" s="41">
        <f ca="1">SUMIFS('Отчет 16-22.02'!P:P,'Отчет 16-22.02'!C:C,"Продажи",'Отчет 16-22.02'!E:E,B34)</f>
        <v>0</v>
      </c>
      <c r="T34" s="42">
        <f ca="1">SUMIFS('Отчет 16-22.02'!P:P,'Отчет 16-22.02'!C:C,"Возвраты",'Отчет 16-22.02'!E:E,B34)</f>
        <v>0</v>
      </c>
      <c r="U34" s="40">
        <f t="shared" ca="1" si="25"/>
        <v>0</v>
      </c>
      <c r="V34" s="43" t="e">
        <f t="shared" ca="1" si="26"/>
        <v>#DIV/0!</v>
      </c>
      <c r="W34" s="44">
        <f t="shared" ca="1" si="27"/>
        <v>0</v>
      </c>
      <c r="X34" s="42">
        <f ca="1">-SUMIFS('Отчет 16-22.02'!P:P,'Отчет 16-22.02'!C:C,"Вознаграждение Ozon",'Отчет 16-22.02'!E:E,B34)</f>
        <v>0</v>
      </c>
      <c r="Y34" s="45">
        <f t="shared" ca="1" si="28"/>
        <v>0</v>
      </c>
      <c r="Z34" s="42">
        <f ca="1">-SUMIFS('Отчет 16-22.02'!P:P,'Отчет 16-22.02'!C:C,"Услуги доставки",'Отчет 16-22.02'!E:E,B34)</f>
        <v>0</v>
      </c>
      <c r="AA34" s="32"/>
      <c r="AB34" s="55"/>
      <c r="AC34" s="42"/>
      <c r="AD34" s="46" t="e">
        <f t="shared" ca="1" si="29"/>
        <v>#DIV/0!</v>
      </c>
      <c r="AE34" s="47" t="e">
        <f t="shared" ca="1" si="30"/>
        <v>#DIV/0!</v>
      </c>
      <c r="AF34" s="46"/>
      <c r="AG34" s="48">
        <f t="shared" ca="1" si="31"/>
        <v>0</v>
      </c>
      <c r="AH34" s="49">
        <f t="shared" si="32"/>
        <v>597</v>
      </c>
      <c r="AI34" s="49">
        <f t="shared" ca="1" si="33"/>
        <v>0</v>
      </c>
      <c r="AJ34" s="49">
        <f t="shared" ca="1" si="34"/>
        <v>0</v>
      </c>
      <c r="AK34" s="49">
        <f t="shared" ca="1" si="35"/>
        <v>0</v>
      </c>
      <c r="AL34" s="49" t="e">
        <f t="array" aca="1" ref="AL34" ca="1">_xlfn.IFS(R34=0,AE34,R34&lt;0,AE34/-R34,R34&gt;0,AE34/R34)</f>
        <v>#DIV/0!</v>
      </c>
      <c r="AM34" s="50">
        <f t="shared" ca="1" si="36"/>
        <v>0</v>
      </c>
      <c r="AN34" s="51" t="e">
        <f t="shared" ca="1" si="37"/>
        <v>#DIV/0!</v>
      </c>
      <c r="AP34" s="53" t="e">
        <f t="shared" ca="1" si="38"/>
        <v>#DIV/0!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/>
      <c r="L35" s="36"/>
      <c r="M35" s="36"/>
      <c r="N35" s="37">
        <f t="shared" si="22"/>
        <v>0</v>
      </c>
      <c r="O35" s="38">
        <f t="shared" ca="1" si="23"/>
        <v>0</v>
      </c>
      <c r="P35" s="39">
        <f ca="1">SUMIFS('Отчет 16-22.02'!H:H,'Отчет 16-22.02'!D:D,"Выручка",'Отчет 16-22.02'!E:E,B35)</f>
        <v>0</v>
      </c>
      <c r="Q35" s="39">
        <f ca="1">SUMIFS('Отчет 16-22.02'!H:H,'Отчет 16-22.02'!D:D,"Возврат выручки",'Отчет 16-22.02'!E:E,B35)</f>
        <v>0</v>
      </c>
      <c r="R35" s="40">
        <f t="shared" ca="1" si="24"/>
        <v>0</v>
      </c>
      <c r="S35" s="41">
        <f ca="1">SUMIFS('Отчет 16-22.02'!P:P,'Отчет 16-22.02'!C:C,"Продажи",'Отчет 16-22.02'!E:E,B35)</f>
        <v>0</v>
      </c>
      <c r="T35" s="42">
        <f ca="1">SUMIFS('Отчет 16-22.02'!P:P,'Отчет 16-22.02'!C:C,"Возвраты",'Отчет 16-22.02'!E:E,B35)</f>
        <v>0</v>
      </c>
      <c r="U35" s="40">
        <f t="shared" ca="1" si="25"/>
        <v>0</v>
      </c>
      <c r="V35" s="43" t="e">
        <f t="shared" ca="1" si="26"/>
        <v>#DIV/0!</v>
      </c>
      <c r="W35" s="44">
        <f t="shared" ca="1" si="27"/>
        <v>0</v>
      </c>
      <c r="X35" s="42">
        <f ca="1">-SUMIFS('Отчет 16-22.02'!P:P,'Отчет 16-22.02'!C:C,"Вознаграждение Ozon",'Отчет 16-22.02'!E:E,B35)</f>
        <v>0</v>
      </c>
      <c r="Y35" s="45">
        <f t="shared" ca="1" si="28"/>
        <v>0</v>
      </c>
      <c r="Z35" s="42">
        <f ca="1">-SUMIFS('Отчет 16-22.02'!P:P,'Отчет 16-22.02'!C:C,"Услуги доставки",'Отчет 16-22.02'!E:E,B35)</f>
        <v>0</v>
      </c>
      <c r="AA35" s="32"/>
      <c r="AB35" s="55"/>
      <c r="AC35" s="42"/>
      <c r="AD35" s="46" t="e">
        <f t="shared" ca="1" si="29"/>
        <v>#DIV/0!</v>
      </c>
      <c r="AE35" s="47" t="e">
        <f t="shared" ca="1" si="30"/>
        <v>#DIV/0!</v>
      </c>
      <c r="AF35" s="46"/>
      <c r="AG35" s="48">
        <f t="shared" ca="1" si="31"/>
        <v>0</v>
      </c>
      <c r="AH35" s="49">
        <f t="shared" si="32"/>
        <v>552</v>
      </c>
      <c r="AI35" s="49">
        <f t="shared" ca="1" si="33"/>
        <v>0</v>
      </c>
      <c r="AJ35" s="49">
        <f t="shared" ca="1" si="34"/>
        <v>0</v>
      </c>
      <c r="AK35" s="49">
        <f t="shared" ca="1" si="35"/>
        <v>0</v>
      </c>
      <c r="AL35" s="49" t="e">
        <f t="array" aca="1" ref="AL35" ca="1">_xlfn.IFS(R35=0,AE35,R35&lt;0,AE35/-R35,R35&gt;0,AE35/R35)</f>
        <v>#DIV/0!</v>
      </c>
      <c r="AM35" s="50">
        <f t="shared" ca="1" si="36"/>
        <v>0</v>
      </c>
      <c r="AN35" s="51" t="e">
        <f t="shared" ca="1" si="37"/>
        <v>#DIV/0!</v>
      </c>
      <c r="AP35" s="53" t="e">
        <f t="shared" ca="1" si="38"/>
        <v>#DIV/0!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/>
      <c r="L36" s="36"/>
      <c r="M36" s="36"/>
      <c r="N36" s="37">
        <f t="shared" si="22"/>
        <v>0</v>
      </c>
      <c r="O36" s="38">
        <f t="shared" ca="1" si="23"/>
        <v>0</v>
      </c>
      <c r="P36" s="39">
        <f ca="1">SUMIFS('Отчет 16-22.02'!H:H,'Отчет 16-22.02'!D:D,"Выручка",'Отчет 16-22.02'!E:E,B36)</f>
        <v>0</v>
      </c>
      <c r="Q36" s="39">
        <f ca="1">SUMIFS('Отчет 16-22.02'!H:H,'Отчет 16-22.02'!D:D,"Возврат выручки",'Отчет 16-22.02'!E:E,B36)</f>
        <v>0</v>
      </c>
      <c r="R36" s="40">
        <f t="shared" ca="1" si="24"/>
        <v>0</v>
      </c>
      <c r="S36" s="41">
        <f ca="1">SUMIFS('Отчет 16-22.02'!P:P,'Отчет 16-22.02'!C:C,"Продажи",'Отчет 16-22.02'!E:E,B36)</f>
        <v>0</v>
      </c>
      <c r="T36" s="42">
        <f ca="1">SUMIFS('Отчет 16-22.02'!P:P,'Отчет 16-22.02'!C:C,"Возвраты",'Отчет 16-22.02'!E:E,B36)</f>
        <v>0</v>
      </c>
      <c r="U36" s="40">
        <f t="shared" ca="1" si="25"/>
        <v>0</v>
      </c>
      <c r="V36" s="43" t="e">
        <f t="shared" ca="1" si="26"/>
        <v>#DIV/0!</v>
      </c>
      <c r="W36" s="44">
        <f t="shared" ca="1" si="27"/>
        <v>0</v>
      </c>
      <c r="X36" s="42">
        <f ca="1">-SUMIFS('Отчет 16-22.02'!P:P,'Отчет 16-22.02'!C:C,"Вознаграждение Ozon",'Отчет 16-22.02'!E:E,B36)</f>
        <v>0</v>
      </c>
      <c r="Y36" s="45">
        <f t="shared" ca="1" si="28"/>
        <v>0</v>
      </c>
      <c r="Z36" s="42">
        <f ca="1">-SUMIFS('Отчет 16-22.02'!P:P,'Отчет 16-22.02'!C:C,"Услуги доставки",'Отчет 16-22.02'!E:E,B36)</f>
        <v>0</v>
      </c>
      <c r="AA36" s="32"/>
      <c r="AB36" s="55"/>
      <c r="AC36" s="42"/>
      <c r="AD36" s="46" t="e">
        <f t="shared" ca="1" si="29"/>
        <v>#DIV/0!</v>
      </c>
      <c r="AE36" s="47" t="e">
        <f t="shared" ca="1" si="30"/>
        <v>#DIV/0!</v>
      </c>
      <c r="AF36" s="46"/>
      <c r="AG36" s="48">
        <f t="shared" ca="1" si="31"/>
        <v>0</v>
      </c>
      <c r="AH36" s="49">
        <f t="shared" si="32"/>
        <v>552</v>
      </c>
      <c r="AI36" s="49">
        <f t="shared" ca="1" si="33"/>
        <v>0</v>
      </c>
      <c r="AJ36" s="49">
        <f t="shared" ca="1" si="34"/>
        <v>0</v>
      </c>
      <c r="AK36" s="49">
        <f t="shared" ca="1" si="35"/>
        <v>0</v>
      </c>
      <c r="AL36" s="49" t="e">
        <f t="array" aca="1" ref="AL36" ca="1">_xlfn.IFS(R36=0,AE36,R36&lt;0,AE36/-R36,R36&gt;0,AE36/R36)</f>
        <v>#DIV/0!</v>
      </c>
      <c r="AM36" s="50">
        <f t="shared" ca="1" si="36"/>
        <v>0</v>
      </c>
      <c r="AN36" s="51" t="e">
        <f t="shared" ca="1" si="37"/>
        <v>#DIV/0!</v>
      </c>
      <c r="AP36" s="53" t="e">
        <f t="shared" ca="1" si="38"/>
        <v>#DIV/0!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/>
      <c r="L37" s="36"/>
      <c r="M37" s="36"/>
      <c r="N37" s="37">
        <f t="shared" si="22"/>
        <v>0</v>
      </c>
      <c r="O37" s="38">
        <f t="shared" ca="1" si="23"/>
        <v>0</v>
      </c>
      <c r="P37" s="39">
        <f ca="1">SUMIFS('Отчет 16-22.02'!H:H,'Отчет 16-22.02'!D:D,"Выручка",'Отчет 16-22.02'!E:E,B37)</f>
        <v>0</v>
      </c>
      <c r="Q37" s="39">
        <f ca="1">SUMIFS('Отчет 16-22.02'!H:H,'Отчет 16-22.02'!D:D,"Возврат выручки",'Отчет 16-22.02'!E:E,B37)</f>
        <v>0</v>
      </c>
      <c r="R37" s="40">
        <f t="shared" ca="1" si="24"/>
        <v>0</v>
      </c>
      <c r="S37" s="41">
        <f ca="1">SUMIFS('Отчет 16-22.02'!P:P,'Отчет 16-22.02'!C:C,"Продажи",'Отчет 16-22.02'!E:E,B37)</f>
        <v>0</v>
      </c>
      <c r="T37" s="42">
        <f ca="1">SUMIFS('Отчет 16-22.02'!P:P,'Отчет 16-22.02'!C:C,"Возвраты",'Отчет 16-22.02'!E:E,B37)</f>
        <v>0</v>
      </c>
      <c r="U37" s="40">
        <f t="shared" ca="1" si="25"/>
        <v>0</v>
      </c>
      <c r="V37" s="43" t="e">
        <f t="shared" ca="1" si="26"/>
        <v>#DIV/0!</v>
      </c>
      <c r="W37" s="44">
        <f t="shared" ca="1" si="27"/>
        <v>0</v>
      </c>
      <c r="X37" s="42">
        <f ca="1">-SUMIFS('Отчет 16-22.02'!P:P,'Отчет 16-22.02'!C:C,"Вознаграждение Ozon",'Отчет 16-22.02'!E:E,B37)</f>
        <v>0</v>
      </c>
      <c r="Y37" s="45">
        <f t="shared" ca="1" si="28"/>
        <v>0</v>
      </c>
      <c r="Z37" s="42">
        <f ca="1">-SUMIFS('Отчет 16-22.02'!P:P,'Отчет 16-22.02'!C:C,"Услуги доставки",'Отчет 16-22.02'!E:E,B37)</f>
        <v>0</v>
      </c>
      <c r="AA37" s="32"/>
      <c r="AB37" s="55"/>
      <c r="AC37" s="42"/>
      <c r="AD37" s="46" t="e">
        <f t="shared" ca="1" si="29"/>
        <v>#DIV/0!</v>
      </c>
      <c r="AE37" s="47" t="e">
        <f t="shared" ca="1" si="30"/>
        <v>#DIV/0!</v>
      </c>
      <c r="AF37" s="46"/>
      <c r="AG37" s="48">
        <f t="shared" ca="1" si="31"/>
        <v>0</v>
      </c>
      <c r="AH37" s="49">
        <f t="shared" si="32"/>
        <v>687</v>
      </c>
      <c r="AI37" s="49">
        <f t="shared" ca="1" si="33"/>
        <v>0</v>
      </c>
      <c r="AJ37" s="49">
        <f t="shared" ca="1" si="34"/>
        <v>0</v>
      </c>
      <c r="AK37" s="49">
        <f t="shared" ca="1" si="35"/>
        <v>0</v>
      </c>
      <c r="AL37" s="49" t="e">
        <f t="array" aca="1" ref="AL37" ca="1">_xlfn.IFS(R37=0,AE37,R37&lt;0,AE37/-R37,R37&gt;0,AE37/R37)</f>
        <v>#DIV/0!</v>
      </c>
      <c r="AM37" s="50">
        <f t="shared" ca="1" si="36"/>
        <v>0</v>
      </c>
      <c r="AN37" s="51" t="e">
        <f t="shared" ca="1" si="37"/>
        <v>#DIV/0!</v>
      </c>
      <c r="AP37" s="53" t="e">
        <f t="shared" ca="1" si="38"/>
        <v>#DIV/0!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/>
      <c r="L38" s="36"/>
      <c r="M38" s="36"/>
      <c r="N38" s="37">
        <f t="shared" si="22"/>
        <v>0</v>
      </c>
      <c r="O38" s="38">
        <f t="shared" ca="1" si="23"/>
        <v>0</v>
      </c>
      <c r="P38" s="39">
        <f ca="1">SUMIFS('Отчет 16-22.02'!H:H,'Отчет 16-22.02'!D:D,"Выручка",'Отчет 16-22.02'!E:E,B38)</f>
        <v>0</v>
      </c>
      <c r="Q38" s="39">
        <f ca="1">SUMIFS('Отчет 16-22.02'!H:H,'Отчет 16-22.02'!D:D,"Возврат выручки",'Отчет 16-22.02'!E:E,B38)</f>
        <v>0</v>
      </c>
      <c r="R38" s="40">
        <f t="shared" ca="1" si="24"/>
        <v>0</v>
      </c>
      <c r="S38" s="41">
        <f ca="1">SUMIFS('Отчет 16-22.02'!P:P,'Отчет 16-22.02'!C:C,"Продажи",'Отчет 16-22.02'!E:E,B38)</f>
        <v>0</v>
      </c>
      <c r="T38" s="42">
        <f ca="1">SUMIFS('Отчет 16-22.02'!P:P,'Отчет 16-22.02'!C:C,"Возвраты",'Отчет 16-22.02'!E:E,B38)</f>
        <v>0</v>
      </c>
      <c r="U38" s="40">
        <f t="shared" ca="1" si="25"/>
        <v>0</v>
      </c>
      <c r="V38" s="43" t="e">
        <f t="shared" ca="1" si="26"/>
        <v>#DIV/0!</v>
      </c>
      <c r="W38" s="44">
        <f t="shared" ca="1" si="27"/>
        <v>0</v>
      </c>
      <c r="X38" s="42">
        <f ca="1">-SUMIFS('Отчет 16-22.02'!P:P,'Отчет 16-22.02'!C:C,"Вознаграждение Ozon",'Отчет 16-22.02'!E:E,B38)</f>
        <v>0</v>
      </c>
      <c r="Y38" s="45">
        <f t="shared" ca="1" si="28"/>
        <v>0</v>
      </c>
      <c r="Z38" s="42">
        <f ca="1">-SUMIFS('Отчет 16-22.02'!P:P,'Отчет 16-22.02'!C:C,"Услуги доставки",'Отчет 16-22.02'!E:E,B38)</f>
        <v>0</v>
      </c>
      <c r="AA38" s="32"/>
      <c r="AB38" s="55"/>
      <c r="AC38" s="42"/>
      <c r="AD38" s="46" t="e">
        <f t="shared" ca="1" si="29"/>
        <v>#DIV/0!</v>
      </c>
      <c r="AE38" s="47" t="e">
        <f t="shared" ca="1" si="30"/>
        <v>#DIV/0!</v>
      </c>
      <c r="AF38" s="46"/>
      <c r="AG38" s="48">
        <f t="shared" ca="1" si="31"/>
        <v>0</v>
      </c>
      <c r="AH38" s="49">
        <f t="shared" si="32"/>
        <v>687</v>
      </c>
      <c r="AI38" s="49">
        <f t="shared" ca="1" si="33"/>
        <v>0</v>
      </c>
      <c r="AJ38" s="49">
        <f t="shared" ca="1" si="34"/>
        <v>0</v>
      </c>
      <c r="AK38" s="49">
        <f t="shared" ca="1" si="35"/>
        <v>0</v>
      </c>
      <c r="AL38" s="49" t="e">
        <f t="array" aca="1" ref="AL38" ca="1">_xlfn.IFS(R38=0,AE38,R38&lt;0,AE38/-R38,R38&gt;0,AE38/R38)</f>
        <v>#DIV/0!</v>
      </c>
      <c r="AM38" s="50">
        <f t="shared" ca="1" si="36"/>
        <v>0</v>
      </c>
      <c r="AN38" s="51" t="e">
        <f t="shared" ca="1" si="37"/>
        <v>#DIV/0!</v>
      </c>
      <c r="AP38" s="53" t="e">
        <f t="shared" ca="1" si="38"/>
        <v>#DIV/0!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/>
      <c r="L39" s="36"/>
      <c r="M39" s="36"/>
      <c r="N39" s="37">
        <f t="shared" si="22"/>
        <v>0</v>
      </c>
      <c r="O39" s="38">
        <f t="shared" ca="1" si="23"/>
        <v>0</v>
      </c>
      <c r="P39" s="39">
        <f ca="1">SUMIFS('Отчет 16-22.02'!H:H,'Отчет 16-22.02'!D:D,"Выручка",'Отчет 16-22.02'!E:E,B39)</f>
        <v>0</v>
      </c>
      <c r="Q39" s="39">
        <f ca="1">SUMIFS('Отчет 16-22.02'!H:H,'Отчет 16-22.02'!D:D,"Возврат выручки",'Отчет 16-22.02'!E:E,B39)</f>
        <v>0</v>
      </c>
      <c r="R39" s="40">
        <f t="shared" ca="1" si="24"/>
        <v>0</v>
      </c>
      <c r="S39" s="41">
        <f ca="1">SUMIFS('Отчет 16-22.02'!P:P,'Отчет 16-22.02'!C:C,"Продажи",'Отчет 16-22.02'!E:E,B39)</f>
        <v>0</v>
      </c>
      <c r="T39" s="42">
        <f ca="1">SUMIFS('Отчет 16-22.02'!P:P,'Отчет 16-22.02'!C:C,"Возвраты",'Отчет 16-22.02'!E:E,B39)</f>
        <v>0</v>
      </c>
      <c r="U39" s="40">
        <f t="shared" ca="1" si="25"/>
        <v>0</v>
      </c>
      <c r="V39" s="43" t="e">
        <f t="shared" ca="1" si="26"/>
        <v>#DIV/0!</v>
      </c>
      <c r="W39" s="44">
        <f t="shared" ca="1" si="27"/>
        <v>0</v>
      </c>
      <c r="X39" s="42">
        <f ca="1">-SUMIFS('Отчет 16-22.02'!P:P,'Отчет 16-22.02'!C:C,"Вознаграждение Ozon",'Отчет 16-22.02'!E:E,B39)</f>
        <v>0</v>
      </c>
      <c r="Y39" s="45">
        <f t="shared" ca="1" si="28"/>
        <v>0</v>
      </c>
      <c r="Z39" s="42">
        <f ca="1">-SUMIFS('Отчет 16-22.02'!P:P,'Отчет 16-22.02'!C:C,"Услуги доставки",'Отчет 16-22.02'!E:E,B39)</f>
        <v>0</v>
      </c>
      <c r="AA39" s="32"/>
      <c r="AB39" s="55"/>
      <c r="AC39" s="42"/>
      <c r="AD39" s="46" t="e">
        <f t="shared" ca="1" si="29"/>
        <v>#DIV/0!</v>
      </c>
      <c r="AE39" s="47" t="e">
        <f t="shared" ca="1" si="30"/>
        <v>#DIV/0!</v>
      </c>
      <c r="AF39" s="46"/>
      <c r="AG39" s="48">
        <f t="shared" ca="1" si="31"/>
        <v>0</v>
      </c>
      <c r="AH39" s="49">
        <f t="shared" si="32"/>
        <v>597</v>
      </c>
      <c r="AI39" s="49">
        <f t="shared" ca="1" si="33"/>
        <v>0</v>
      </c>
      <c r="AJ39" s="49">
        <f t="shared" ca="1" si="34"/>
        <v>0</v>
      </c>
      <c r="AK39" s="49">
        <f t="shared" ca="1" si="35"/>
        <v>0</v>
      </c>
      <c r="AL39" s="49" t="e">
        <f t="array" aca="1" ref="AL39" ca="1">_xlfn.IFS(R39=0,AE39,R39&lt;0,AE39/-R39,R39&gt;0,AE39/R39)</f>
        <v>#DIV/0!</v>
      </c>
      <c r="AM39" s="50">
        <f t="shared" ca="1" si="36"/>
        <v>0</v>
      </c>
      <c r="AN39" s="51" t="e">
        <f t="shared" ca="1" si="37"/>
        <v>#DIV/0!</v>
      </c>
      <c r="AP39" s="53" t="e">
        <f t="shared" ca="1" si="38"/>
        <v>#DIV/0!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/>
      <c r="L40" s="36"/>
      <c r="M40" s="36"/>
      <c r="N40" s="37">
        <f t="shared" si="22"/>
        <v>0</v>
      </c>
      <c r="O40" s="38">
        <f t="shared" ca="1" si="23"/>
        <v>0</v>
      </c>
      <c r="P40" s="39">
        <f ca="1">SUMIFS('Отчет 16-22.02'!H:H,'Отчет 16-22.02'!D:D,"Выручка",'Отчет 16-22.02'!E:E,B40)</f>
        <v>0</v>
      </c>
      <c r="Q40" s="39">
        <f ca="1">SUMIFS('Отчет 16-22.02'!H:H,'Отчет 16-22.02'!D:D,"Возврат выручки",'Отчет 16-22.02'!E:E,B40)</f>
        <v>0</v>
      </c>
      <c r="R40" s="40">
        <f t="shared" ca="1" si="24"/>
        <v>0</v>
      </c>
      <c r="S40" s="41">
        <f ca="1">SUMIFS('Отчет 16-22.02'!P:P,'Отчет 16-22.02'!C:C,"Продажи",'Отчет 16-22.02'!E:E,B40)</f>
        <v>0</v>
      </c>
      <c r="T40" s="42">
        <f ca="1">SUMIFS('Отчет 16-22.02'!P:P,'Отчет 16-22.02'!C:C,"Возвраты",'Отчет 16-22.02'!E:E,B40)</f>
        <v>0</v>
      </c>
      <c r="U40" s="40">
        <f t="shared" ca="1" si="25"/>
        <v>0</v>
      </c>
      <c r="V40" s="43" t="e">
        <f t="shared" ca="1" si="26"/>
        <v>#DIV/0!</v>
      </c>
      <c r="W40" s="44">
        <f t="shared" ca="1" si="27"/>
        <v>0</v>
      </c>
      <c r="X40" s="42">
        <f ca="1">-SUMIFS('Отчет 16-22.02'!P:P,'Отчет 16-22.02'!C:C,"Вознаграждение Ozon",'Отчет 16-22.02'!E:E,B40)</f>
        <v>0</v>
      </c>
      <c r="Y40" s="45">
        <f t="shared" ca="1" si="28"/>
        <v>0</v>
      </c>
      <c r="Z40" s="42">
        <f ca="1">-SUMIFS('Отчет 16-22.02'!P:P,'Отчет 16-22.02'!C:C,"Услуги доставки",'Отчет 16-22.02'!E:E,B40)</f>
        <v>0</v>
      </c>
      <c r="AA40" s="32"/>
      <c r="AB40" s="55"/>
      <c r="AC40" s="42"/>
      <c r="AD40" s="46" t="e">
        <f t="shared" ca="1" si="29"/>
        <v>#DIV/0!</v>
      </c>
      <c r="AE40" s="47" t="e">
        <f t="shared" ca="1" si="30"/>
        <v>#DIV/0!</v>
      </c>
      <c r="AF40" s="46"/>
      <c r="AG40" s="48">
        <f t="shared" ca="1" si="31"/>
        <v>0</v>
      </c>
      <c r="AH40" s="49">
        <f t="shared" si="32"/>
        <v>597</v>
      </c>
      <c r="AI40" s="49">
        <f t="shared" ca="1" si="33"/>
        <v>0</v>
      </c>
      <c r="AJ40" s="49">
        <f t="shared" ca="1" si="34"/>
        <v>0</v>
      </c>
      <c r="AK40" s="49">
        <f t="shared" ca="1" si="35"/>
        <v>0</v>
      </c>
      <c r="AL40" s="49" t="e">
        <f t="array" aca="1" ref="AL40" ca="1">_xlfn.IFS(R40=0,AE40,R40&lt;0,AE40/-R40,R40&gt;0,AE40/R40)</f>
        <v>#DIV/0!</v>
      </c>
      <c r="AM40" s="50">
        <f t="shared" ca="1" si="36"/>
        <v>0</v>
      </c>
      <c r="AN40" s="51" t="e">
        <f t="shared" ca="1" si="37"/>
        <v>#DIV/0!</v>
      </c>
      <c r="AP40" s="53" t="e">
        <f t="shared" ca="1" si="38"/>
        <v>#DIV/0!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/>
      <c r="L41" s="36"/>
      <c r="M41" s="36"/>
      <c r="N41" s="37">
        <f t="shared" si="22"/>
        <v>0</v>
      </c>
      <c r="O41" s="38">
        <f t="shared" ca="1" si="23"/>
        <v>0</v>
      </c>
      <c r="P41" s="39">
        <f ca="1">SUMIFS('Отчет 16-22.02'!H:H,'Отчет 16-22.02'!D:D,"Выручка",'Отчет 16-22.02'!E:E,B41)</f>
        <v>0</v>
      </c>
      <c r="Q41" s="39">
        <f ca="1">SUMIFS('Отчет 16-22.02'!H:H,'Отчет 16-22.02'!D:D,"Возврат выручки",'Отчет 16-22.02'!E:E,B41)</f>
        <v>0</v>
      </c>
      <c r="R41" s="40">
        <f t="shared" ca="1" si="24"/>
        <v>0</v>
      </c>
      <c r="S41" s="41">
        <f ca="1">SUMIFS('Отчет 16-22.02'!P:P,'Отчет 16-22.02'!C:C,"Продажи",'Отчет 16-22.02'!E:E,B41)</f>
        <v>0</v>
      </c>
      <c r="T41" s="42">
        <f ca="1">SUMIFS('Отчет 16-22.02'!P:P,'Отчет 16-22.02'!C:C,"Возвраты",'Отчет 16-22.02'!E:E,B41)</f>
        <v>0</v>
      </c>
      <c r="U41" s="40">
        <f t="shared" ca="1" si="25"/>
        <v>0</v>
      </c>
      <c r="V41" s="43" t="e">
        <f t="shared" ca="1" si="26"/>
        <v>#DIV/0!</v>
      </c>
      <c r="W41" s="44">
        <f t="shared" ca="1" si="27"/>
        <v>0</v>
      </c>
      <c r="X41" s="42">
        <f ca="1">-SUMIFS('Отчет 16-22.02'!P:P,'Отчет 16-22.02'!C:C,"Вознаграждение Ozon",'Отчет 16-22.02'!E:E,B41)</f>
        <v>0</v>
      </c>
      <c r="Y41" s="45">
        <f t="shared" ca="1" si="28"/>
        <v>0</v>
      </c>
      <c r="Z41" s="42">
        <f ca="1">-SUMIFS('Отчет 16-22.02'!P:P,'Отчет 16-22.02'!C:C,"Услуги доставки",'Отчет 16-22.02'!E:E,B41)</f>
        <v>0</v>
      </c>
      <c r="AA41" s="32"/>
      <c r="AB41" s="55"/>
      <c r="AC41" s="42"/>
      <c r="AD41" s="46" t="e">
        <f t="shared" ca="1" si="29"/>
        <v>#DIV/0!</v>
      </c>
      <c r="AE41" s="47" t="e">
        <f t="shared" ca="1" si="30"/>
        <v>#DIV/0!</v>
      </c>
      <c r="AF41" s="46"/>
      <c r="AG41" s="48">
        <f t="shared" ca="1" si="31"/>
        <v>0</v>
      </c>
      <c r="AH41" s="49">
        <f t="shared" si="32"/>
        <v>597</v>
      </c>
      <c r="AI41" s="49">
        <f t="shared" ca="1" si="33"/>
        <v>0</v>
      </c>
      <c r="AJ41" s="49">
        <f t="shared" ca="1" si="34"/>
        <v>0</v>
      </c>
      <c r="AK41" s="49">
        <f t="shared" ca="1" si="35"/>
        <v>0</v>
      </c>
      <c r="AL41" s="49" t="e">
        <f t="array" aca="1" ref="AL41" ca="1">_xlfn.IFS(R41=0,AE41,R41&lt;0,AE41/-R41,R41&gt;0,AE41/R41)</f>
        <v>#DIV/0!</v>
      </c>
      <c r="AM41" s="50">
        <f t="shared" ca="1" si="36"/>
        <v>0</v>
      </c>
      <c r="AN41" s="51" t="e">
        <f t="shared" ca="1" si="37"/>
        <v>#DIV/0!</v>
      </c>
      <c r="AP41" s="53" t="e">
        <f t="shared" ca="1" si="38"/>
        <v>#DIV/0!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/>
      <c r="L42" s="36"/>
      <c r="M42" s="36"/>
      <c r="N42" s="37">
        <f t="shared" si="22"/>
        <v>0</v>
      </c>
      <c r="O42" s="38">
        <f t="shared" ca="1" si="23"/>
        <v>0</v>
      </c>
      <c r="P42" s="39">
        <f ca="1">SUMIFS('Отчет 16-22.02'!H:H,'Отчет 16-22.02'!D:D,"Выручка",'Отчет 16-22.02'!E:E,B42)</f>
        <v>0</v>
      </c>
      <c r="Q42" s="39">
        <f ca="1">SUMIFS('Отчет 16-22.02'!H:H,'Отчет 16-22.02'!D:D,"Возврат выручки",'Отчет 16-22.02'!E:E,B42)</f>
        <v>0</v>
      </c>
      <c r="R42" s="40">
        <f t="shared" ca="1" si="24"/>
        <v>0</v>
      </c>
      <c r="S42" s="41">
        <f ca="1">SUMIFS('Отчет 16-22.02'!P:P,'Отчет 16-22.02'!C:C,"Продажи",'Отчет 16-22.02'!E:E,B42)</f>
        <v>0</v>
      </c>
      <c r="T42" s="42">
        <f ca="1">SUMIFS('Отчет 16-22.02'!P:P,'Отчет 16-22.02'!C:C,"Возвраты",'Отчет 16-22.02'!E:E,B42)</f>
        <v>0</v>
      </c>
      <c r="U42" s="40">
        <f t="shared" ca="1" si="25"/>
        <v>0</v>
      </c>
      <c r="V42" s="43" t="e">
        <f t="shared" ca="1" si="26"/>
        <v>#DIV/0!</v>
      </c>
      <c r="W42" s="44">
        <f t="shared" ca="1" si="27"/>
        <v>0</v>
      </c>
      <c r="X42" s="42">
        <f ca="1">-SUMIFS('Отчет 16-22.02'!P:P,'Отчет 16-22.02'!C:C,"Вознаграждение Ozon",'Отчет 16-22.02'!E:E,B42)</f>
        <v>0</v>
      </c>
      <c r="Y42" s="45">
        <f t="shared" ca="1" si="28"/>
        <v>0</v>
      </c>
      <c r="Z42" s="42">
        <f ca="1">-SUMIFS('Отчет 16-22.02'!P:P,'Отчет 16-22.02'!C:C,"Услуги доставки",'Отчет 16-22.02'!E:E,B42)</f>
        <v>0</v>
      </c>
      <c r="AA42" s="32"/>
      <c r="AB42" s="55"/>
      <c r="AC42" s="42"/>
      <c r="AD42" s="46" t="e">
        <f t="shared" ca="1" si="29"/>
        <v>#DIV/0!</v>
      </c>
      <c r="AE42" s="47" t="e">
        <f t="shared" ca="1" si="30"/>
        <v>#DIV/0!</v>
      </c>
      <c r="AF42" s="46"/>
      <c r="AG42" s="48">
        <f t="shared" ca="1" si="31"/>
        <v>0</v>
      </c>
      <c r="AH42" s="49">
        <f t="shared" si="32"/>
        <v>642</v>
      </c>
      <c r="AI42" s="49">
        <f t="shared" ca="1" si="33"/>
        <v>0</v>
      </c>
      <c r="AJ42" s="49">
        <f t="shared" ca="1" si="34"/>
        <v>0</v>
      </c>
      <c r="AK42" s="49">
        <f t="shared" ca="1" si="35"/>
        <v>0</v>
      </c>
      <c r="AL42" s="49" t="e">
        <f t="array" aca="1" ref="AL42" ca="1">_xlfn.IFS(R42=0,AE42,R42&lt;0,AE42/-R42,R42&gt;0,AE42/R42)</f>
        <v>#DIV/0!</v>
      </c>
      <c r="AM42" s="50">
        <f t="shared" ca="1" si="36"/>
        <v>0</v>
      </c>
      <c r="AN42" s="51" t="e">
        <f t="shared" ca="1" si="37"/>
        <v>#DIV/0!</v>
      </c>
      <c r="AP42" s="53" t="e">
        <f t="shared" ca="1" si="38"/>
        <v>#DIV/0!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/>
      <c r="L43" s="36"/>
      <c r="M43" s="36"/>
      <c r="N43" s="37">
        <f t="shared" si="22"/>
        <v>0</v>
      </c>
      <c r="O43" s="38">
        <f t="shared" ca="1" si="23"/>
        <v>0</v>
      </c>
      <c r="P43" s="39">
        <f ca="1">SUMIFS('Отчет 16-22.02'!H:H,'Отчет 16-22.02'!D:D,"Выручка",'Отчет 16-22.02'!E:E,B43)</f>
        <v>0</v>
      </c>
      <c r="Q43" s="39">
        <f ca="1">SUMIFS('Отчет 16-22.02'!H:H,'Отчет 16-22.02'!D:D,"Возврат выручки",'Отчет 16-22.02'!E:E,B43)</f>
        <v>0</v>
      </c>
      <c r="R43" s="40">
        <f t="shared" ca="1" si="24"/>
        <v>0</v>
      </c>
      <c r="S43" s="41">
        <f ca="1">SUMIFS('Отчет 16-22.02'!P:P,'Отчет 16-22.02'!C:C,"Продажи",'Отчет 16-22.02'!E:E,B43)</f>
        <v>0</v>
      </c>
      <c r="T43" s="42">
        <f ca="1">SUMIFS('Отчет 16-22.02'!P:P,'Отчет 16-22.02'!C:C,"Возвраты",'Отчет 16-22.02'!E:E,B43)</f>
        <v>0</v>
      </c>
      <c r="U43" s="40">
        <f t="shared" ca="1" si="25"/>
        <v>0</v>
      </c>
      <c r="V43" s="43" t="e">
        <f t="shared" ca="1" si="26"/>
        <v>#DIV/0!</v>
      </c>
      <c r="W43" s="44">
        <f t="shared" ca="1" si="27"/>
        <v>0</v>
      </c>
      <c r="X43" s="42">
        <f ca="1">-SUMIFS('Отчет 16-22.02'!P:P,'Отчет 16-22.02'!C:C,"Вознаграждение Ozon",'Отчет 16-22.02'!E:E,B43)</f>
        <v>0</v>
      </c>
      <c r="Y43" s="45">
        <f t="shared" ca="1" si="28"/>
        <v>0</v>
      </c>
      <c r="Z43" s="42">
        <f ca="1">-SUMIFS('Отчет 16-22.02'!P:P,'Отчет 16-22.02'!C:C,"Услуги доставки",'Отчет 16-22.02'!E:E,B43)</f>
        <v>0</v>
      </c>
      <c r="AA43" s="32"/>
      <c r="AB43" s="55"/>
      <c r="AC43" s="42"/>
      <c r="AD43" s="46" t="e">
        <f t="shared" ca="1" si="29"/>
        <v>#DIV/0!</v>
      </c>
      <c r="AE43" s="47" t="e">
        <f t="shared" ca="1" si="30"/>
        <v>#DIV/0!</v>
      </c>
      <c r="AF43" s="46"/>
      <c r="AG43" s="48">
        <f t="shared" ca="1" si="31"/>
        <v>0</v>
      </c>
      <c r="AH43" s="49">
        <f t="shared" si="32"/>
        <v>642</v>
      </c>
      <c r="AI43" s="49">
        <f t="shared" ca="1" si="33"/>
        <v>0</v>
      </c>
      <c r="AJ43" s="49">
        <f t="shared" ca="1" si="34"/>
        <v>0</v>
      </c>
      <c r="AK43" s="49">
        <f t="shared" ca="1" si="35"/>
        <v>0</v>
      </c>
      <c r="AL43" s="49" t="e">
        <f t="array" aca="1" ref="AL43" ca="1">_xlfn.IFS(R43=0,AE43,R43&lt;0,AE43/-R43,R43&gt;0,AE43/R43)</f>
        <v>#DIV/0!</v>
      </c>
      <c r="AM43" s="50">
        <f t="shared" ca="1" si="36"/>
        <v>0</v>
      </c>
      <c r="AN43" s="51" t="e">
        <f t="shared" ca="1" si="37"/>
        <v>#DIV/0!</v>
      </c>
      <c r="AP43" s="53" t="e">
        <f t="shared" ca="1" si="38"/>
        <v>#DIV/0!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/>
      <c r="L44" s="36"/>
      <c r="M44" s="36"/>
      <c r="N44" s="37">
        <f t="shared" si="22"/>
        <v>0</v>
      </c>
      <c r="O44" s="38">
        <f t="shared" ca="1" si="23"/>
        <v>0</v>
      </c>
      <c r="P44" s="39">
        <f ca="1">SUMIFS('Отчет 16-22.02'!H:H,'Отчет 16-22.02'!D:D,"Выручка",'Отчет 16-22.02'!E:E,B44)</f>
        <v>0</v>
      </c>
      <c r="Q44" s="39">
        <f ca="1">SUMIFS('Отчет 16-22.02'!H:H,'Отчет 16-22.02'!D:D,"Возврат выручки",'Отчет 16-22.02'!E:E,B44)</f>
        <v>0</v>
      </c>
      <c r="R44" s="40">
        <f t="shared" ca="1" si="24"/>
        <v>0</v>
      </c>
      <c r="S44" s="41">
        <f ca="1">SUMIFS('Отчет 16-22.02'!P:P,'Отчет 16-22.02'!C:C,"Продажи",'Отчет 16-22.02'!E:E,B44)</f>
        <v>0</v>
      </c>
      <c r="T44" s="42">
        <f ca="1">SUMIFS('Отчет 16-22.02'!P:P,'Отчет 16-22.02'!C:C,"Возвраты",'Отчет 16-22.02'!E:E,B44)</f>
        <v>0</v>
      </c>
      <c r="U44" s="40">
        <f t="shared" ca="1" si="25"/>
        <v>0</v>
      </c>
      <c r="V44" s="43" t="e">
        <f t="shared" ca="1" si="26"/>
        <v>#DIV/0!</v>
      </c>
      <c r="W44" s="44">
        <f t="shared" ca="1" si="27"/>
        <v>0</v>
      </c>
      <c r="X44" s="42">
        <f ca="1">-SUMIFS('Отчет 16-22.02'!P:P,'Отчет 16-22.02'!C:C,"Вознаграждение Ozon",'Отчет 16-22.02'!E:E,B44)</f>
        <v>0</v>
      </c>
      <c r="Y44" s="45">
        <f t="shared" ca="1" si="28"/>
        <v>0</v>
      </c>
      <c r="Z44" s="42">
        <f ca="1">-SUMIFS('Отчет 16-22.02'!P:P,'Отчет 16-22.02'!C:C,"Услуги доставки",'Отчет 16-22.02'!E:E,B44)</f>
        <v>0</v>
      </c>
      <c r="AA44" s="32"/>
      <c r="AB44" s="55"/>
      <c r="AC44" s="42"/>
      <c r="AD44" s="46" t="e">
        <f t="shared" ca="1" si="29"/>
        <v>#DIV/0!</v>
      </c>
      <c r="AE44" s="47" t="e">
        <f t="shared" ca="1" si="30"/>
        <v>#DIV/0!</v>
      </c>
      <c r="AF44" s="46"/>
      <c r="AG44" s="48">
        <f t="shared" ca="1" si="31"/>
        <v>0</v>
      </c>
      <c r="AH44" s="49">
        <f t="shared" si="32"/>
        <v>687</v>
      </c>
      <c r="AI44" s="49">
        <f t="shared" ca="1" si="33"/>
        <v>0</v>
      </c>
      <c r="AJ44" s="49">
        <f t="shared" ca="1" si="34"/>
        <v>0</v>
      </c>
      <c r="AK44" s="49">
        <f t="shared" ca="1" si="35"/>
        <v>0</v>
      </c>
      <c r="AL44" s="49" t="e">
        <f t="array" aca="1" ref="AL44" ca="1">_xlfn.IFS(R44=0,AE44,R44&lt;0,AE44/-R44,R44&gt;0,AE44/R44)</f>
        <v>#DIV/0!</v>
      </c>
      <c r="AM44" s="50">
        <f t="shared" ca="1" si="36"/>
        <v>0</v>
      </c>
      <c r="AN44" s="51" t="e">
        <f t="shared" ca="1" si="37"/>
        <v>#DIV/0!</v>
      </c>
      <c r="AP44" s="53" t="e">
        <f t="shared" ca="1" si="38"/>
        <v>#DIV/0!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/>
      <c r="L45" s="36"/>
      <c r="M45" s="36"/>
      <c r="N45" s="37">
        <f t="shared" si="22"/>
        <v>0</v>
      </c>
      <c r="O45" s="38">
        <f t="shared" ca="1" si="23"/>
        <v>0</v>
      </c>
      <c r="P45" s="39">
        <f ca="1">SUMIFS('Отчет 16-22.02'!H:H,'Отчет 16-22.02'!D:D,"Выручка",'Отчет 16-22.02'!E:E,B45)</f>
        <v>0</v>
      </c>
      <c r="Q45" s="39">
        <f ca="1">SUMIFS('Отчет 16-22.02'!H:H,'Отчет 16-22.02'!D:D,"Возврат выручки",'Отчет 16-22.02'!E:E,B45)</f>
        <v>0</v>
      </c>
      <c r="R45" s="40">
        <f t="shared" ca="1" si="24"/>
        <v>0</v>
      </c>
      <c r="S45" s="41">
        <f ca="1">SUMIFS('Отчет 16-22.02'!P:P,'Отчет 16-22.02'!C:C,"Продажи",'Отчет 16-22.02'!E:E,B45)</f>
        <v>0</v>
      </c>
      <c r="T45" s="42">
        <f ca="1">SUMIFS('Отчет 16-22.02'!P:P,'Отчет 16-22.02'!C:C,"Возвраты",'Отчет 16-22.02'!E:E,B45)</f>
        <v>0</v>
      </c>
      <c r="U45" s="40">
        <f t="shared" ca="1" si="25"/>
        <v>0</v>
      </c>
      <c r="V45" s="43" t="e">
        <f t="shared" ca="1" si="26"/>
        <v>#DIV/0!</v>
      </c>
      <c r="W45" s="44">
        <f t="shared" ca="1" si="27"/>
        <v>0</v>
      </c>
      <c r="X45" s="42">
        <f ca="1">-SUMIFS('Отчет 16-22.02'!P:P,'Отчет 16-22.02'!C:C,"Вознаграждение Ozon",'Отчет 16-22.02'!E:E,B45)</f>
        <v>0</v>
      </c>
      <c r="Y45" s="45">
        <f t="shared" ca="1" si="28"/>
        <v>0</v>
      </c>
      <c r="Z45" s="42">
        <f ca="1">-SUMIFS('Отчет 16-22.02'!P:P,'Отчет 16-22.02'!C:C,"Услуги доставки",'Отчет 16-22.02'!E:E,B45)</f>
        <v>0</v>
      </c>
      <c r="AA45" s="32"/>
      <c r="AB45" s="55"/>
      <c r="AC45" s="42"/>
      <c r="AD45" s="46" t="e">
        <f t="shared" ca="1" si="29"/>
        <v>#DIV/0!</v>
      </c>
      <c r="AE45" s="47" t="e">
        <f t="shared" ca="1" si="30"/>
        <v>#DIV/0!</v>
      </c>
      <c r="AF45" s="46"/>
      <c r="AG45" s="48">
        <f t="shared" ca="1" si="31"/>
        <v>0</v>
      </c>
      <c r="AH45" s="49">
        <f t="shared" si="32"/>
        <v>687</v>
      </c>
      <c r="AI45" s="49">
        <f t="shared" ca="1" si="33"/>
        <v>0</v>
      </c>
      <c r="AJ45" s="49">
        <f t="shared" ca="1" si="34"/>
        <v>0</v>
      </c>
      <c r="AK45" s="49">
        <f t="shared" ca="1" si="35"/>
        <v>0</v>
      </c>
      <c r="AL45" s="49" t="e">
        <f t="array" aca="1" ref="AL45" ca="1">_xlfn.IFS(R45=0,AE45,R45&lt;0,AE45/-R45,R45&gt;0,AE45/R45)</f>
        <v>#DIV/0!</v>
      </c>
      <c r="AM45" s="50">
        <f t="shared" ca="1" si="36"/>
        <v>0</v>
      </c>
      <c r="AN45" s="51" t="e">
        <f t="shared" ca="1" si="37"/>
        <v>#DIV/0!</v>
      </c>
      <c r="AP45" s="53" t="e">
        <f t="shared" ca="1" si="38"/>
        <v>#DIV/0!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/>
      <c r="L46" s="36"/>
      <c r="M46" s="36"/>
      <c r="N46" s="37">
        <f t="shared" si="22"/>
        <v>0</v>
      </c>
      <c r="O46" s="38">
        <f t="shared" ca="1" si="23"/>
        <v>0</v>
      </c>
      <c r="P46" s="39">
        <f ca="1">SUMIFS('Отчет 16-22.02'!H:H,'Отчет 16-22.02'!D:D,"Выручка",'Отчет 16-22.02'!E:E,B46)</f>
        <v>0</v>
      </c>
      <c r="Q46" s="39">
        <f ca="1">SUMIFS('Отчет 16-22.02'!H:H,'Отчет 16-22.02'!D:D,"Возврат выручки",'Отчет 16-22.02'!E:E,B46)</f>
        <v>0</v>
      </c>
      <c r="R46" s="40">
        <f t="shared" ca="1" si="24"/>
        <v>0</v>
      </c>
      <c r="S46" s="41">
        <f ca="1">SUMIFS('Отчет 16-22.02'!P:P,'Отчет 16-22.02'!C:C,"Продажи",'Отчет 16-22.02'!E:E,B46)</f>
        <v>0</v>
      </c>
      <c r="T46" s="42">
        <f ca="1">SUMIFS('Отчет 16-22.02'!P:P,'Отчет 16-22.02'!C:C,"Возвраты",'Отчет 16-22.02'!E:E,B46)</f>
        <v>0</v>
      </c>
      <c r="U46" s="40">
        <f t="shared" ca="1" si="25"/>
        <v>0</v>
      </c>
      <c r="V46" s="43" t="e">
        <f t="shared" ca="1" si="26"/>
        <v>#DIV/0!</v>
      </c>
      <c r="W46" s="44">
        <f t="shared" ca="1" si="27"/>
        <v>0</v>
      </c>
      <c r="X46" s="42">
        <f ca="1">-SUMIFS('Отчет 16-22.02'!P:P,'Отчет 16-22.02'!C:C,"Вознаграждение Ozon",'Отчет 16-22.02'!E:E,B46)</f>
        <v>0</v>
      </c>
      <c r="Y46" s="45">
        <f t="shared" ca="1" si="28"/>
        <v>0</v>
      </c>
      <c r="Z46" s="42">
        <f ca="1">-SUMIFS('Отчет 16-22.02'!P:P,'Отчет 16-22.02'!C:C,"Услуги доставки",'Отчет 16-22.02'!E:E,B46)</f>
        <v>0</v>
      </c>
      <c r="AA46" s="32"/>
      <c r="AB46" s="55"/>
      <c r="AC46" s="42"/>
      <c r="AD46" s="46" t="e">
        <f t="shared" ca="1" si="29"/>
        <v>#DIV/0!</v>
      </c>
      <c r="AE46" s="47" t="e">
        <f t="shared" ca="1" si="30"/>
        <v>#DIV/0!</v>
      </c>
      <c r="AF46" s="46"/>
      <c r="AG46" s="48">
        <f t="shared" ca="1" si="31"/>
        <v>0</v>
      </c>
      <c r="AH46" s="49">
        <f t="shared" si="32"/>
        <v>552</v>
      </c>
      <c r="AI46" s="49">
        <f t="shared" ca="1" si="33"/>
        <v>0</v>
      </c>
      <c r="AJ46" s="49">
        <f t="shared" ca="1" si="34"/>
        <v>0</v>
      </c>
      <c r="AK46" s="49">
        <f t="shared" ca="1" si="35"/>
        <v>0</v>
      </c>
      <c r="AL46" s="49" t="e">
        <f t="array" aca="1" ref="AL46" ca="1">_xlfn.IFS(R46=0,AE46,R46&lt;0,AE46/-R46,R46&gt;0,AE46/R46)</f>
        <v>#DIV/0!</v>
      </c>
      <c r="AM46" s="50">
        <f t="shared" ca="1" si="36"/>
        <v>0</v>
      </c>
      <c r="AN46" s="51" t="e">
        <f t="shared" ca="1" si="37"/>
        <v>#DIV/0!</v>
      </c>
      <c r="AP46" s="53" t="e">
        <f t="shared" ca="1" si="38"/>
        <v>#DIV/0!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/>
      <c r="L47" s="36"/>
      <c r="M47" s="36"/>
      <c r="N47" s="37">
        <f t="shared" si="22"/>
        <v>0</v>
      </c>
      <c r="O47" s="38">
        <f t="shared" ca="1" si="23"/>
        <v>0</v>
      </c>
      <c r="P47" s="39">
        <f ca="1">SUMIFS('Отчет 16-22.02'!H:H,'Отчет 16-22.02'!D:D,"Выручка",'Отчет 16-22.02'!E:E,B47)</f>
        <v>0</v>
      </c>
      <c r="Q47" s="39">
        <f ca="1">SUMIFS('Отчет 16-22.02'!H:H,'Отчет 16-22.02'!D:D,"Возврат выручки",'Отчет 16-22.02'!E:E,B47)</f>
        <v>0</v>
      </c>
      <c r="R47" s="40">
        <f t="shared" ca="1" si="24"/>
        <v>0</v>
      </c>
      <c r="S47" s="41">
        <f ca="1">SUMIFS('Отчет 16-22.02'!P:P,'Отчет 16-22.02'!C:C,"Продажи",'Отчет 16-22.02'!E:E,B47)</f>
        <v>0</v>
      </c>
      <c r="T47" s="42">
        <f ca="1">SUMIFS('Отчет 16-22.02'!P:P,'Отчет 16-22.02'!C:C,"Возвраты",'Отчет 16-22.02'!E:E,B47)</f>
        <v>0</v>
      </c>
      <c r="U47" s="40">
        <f t="shared" ca="1" si="25"/>
        <v>0</v>
      </c>
      <c r="V47" s="43" t="e">
        <f t="shared" ca="1" si="26"/>
        <v>#DIV/0!</v>
      </c>
      <c r="W47" s="44">
        <f t="shared" ca="1" si="27"/>
        <v>0</v>
      </c>
      <c r="X47" s="42">
        <f ca="1">-SUMIFS('Отчет 16-22.02'!P:P,'Отчет 16-22.02'!C:C,"Вознаграждение Ozon",'Отчет 16-22.02'!E:E,B47)</f>
        <v>0</v>
      </c>
      <c r="Y47" s="45">
        <f t="shared" ca="1" si="28"/>
        <v>0</v>
      </c>
      <c r="Z47" s="42">
        <f ca="1">-SUMIFS('Отчет 16-22.02'!P:P,'Отчет 16-22.02'!C:C,"Услуги доставки",'Отчет 16-22.02'!E:E,B47)</f>
        <v>0</v>
      </c>
      <c r="AA47" s="32"/>
      <c r="AB47" s="55"/>
      <c r="AC47" s="42"/>
      <c r="AD47" s="46" t="e">
        <f t="shared" ca="1" si="29"/>
        <v>#DIV/0!</v>
      </c>
      <c r="AE47" s="47" t="e">
        <f t="shared" ca="1" si="30"/>
        <v>#DIV/0!</v>
      </c>
      <c r="AF47" s="46"/>
      <c r="AG47" s="48">
        <f t="shared" ca="1" si="31"/>
        <v>0</v>
      </c>
      <c r="AH47" s="49">
        <f t="shared" si="32"/>
        <v>552</v>
      </c>
      <c r="AI47" s="49">
        <f t="shared" ca="1" si="33"/>
        <v>0</v>
      </c>
      <c r="AJ47" s="49">
        <f t="shared" ca="1" si="34"/>
        <v>0</v>
      </c>
      <c r="AK47" s="49">
        <f t="shared" ca="1" si="35"/>
        <v>0</v>
      </c>
      <c r="AL47" s="49" t="e">
        <f t="array" aca="1" ref="AL47" ca="1">_xlfn.IFS(R47=0,AE47,R47&lt;0,AE47/-R47,R47&gt;0,AE47/R47)</f>
        <v>#DIV/0!</v>
      </c>
      <c r="AM47" s="50">
        <f t="shared" ca="1" si="36"/>
        <v>0</v>
      </c>
      <c r="AN47" s="51" t="e">
        <f t="shared" ca="1" si="37"/>
        <v>#DIV/0!</v>
      </c>
      <c r="AP47" s="53" t="e">
        <f t="shared" ca="1" si="38"/>
        <v>#DIV/0!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 t="e">
        <f t="shared" ref="AG48:AN48" ca="1" si="39">AVERAGEIF(AG28:AG47,"&lt;&gt;0",AG28:AG47)</f>
        <v>#DIV/0!</v>
      </c>
      <c r="AH48" s="86">
        <f t="shared" si="39"/>
        <v>617.25</v>
      </c>
      <c r="AI48" s="86" t="e">
        <f t="shared" ca="1" si="39"/>
        <v>#DIV/0!</v>
      </c>
      <c r="AJ48" s="86" t="e">
        <f t="shared" ca="1" si="39"/>
        <v>#DIV/0!</v>
      </c>
      <c r="AK48" s="86" t="e">
        <f t="shared" ca="1" si="39"/>
        <v>#DIV/0!</v>
      </c>
      <c r="AL48" s="86" t="e">
        <f t="shared" ca="1" si="39"/>
        <v>#DIV/0!</v>
      </c>
      <c r="AM48" s="87" t="e">
        <f t="shared" ca="1" si="39"/>
        <v>#DIV/0!</v>
      </c>
      <c r="AN48" s="87" t="e">
        <f t="shared" ca="1" si="39"/>
        <v>#DIV/0!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0</v>
      </c>
      <c r="L49" s="93"/>
      <c r="M49" s="93"/>
      <c r="N49" s="94"/>
      <c r="O49" s="95"/>
      <c r="P49" s="90">
        <f t="shared" ref="P49:X49" ca="1" si="40">SUM(P28:P47)</f>
        <v>0</v>
      </c>
      <c r="Q49" s="90">
        <f t="shared" ca="1" si="40"/>
        <v>0</v>
      </c>
      <c r="R49" s="96">
        <f t="shared" ca="1" si="40"/>
        <v>0</v>
      </c>
      <c r="S49" s="90">
        <f t="shared" ca="1" si="40"/>
        <v>0</v>
      </c>
      <c r="T49" s="90">
        <f t="shared" ca="1" si="40"/>
        <v>0</v>
      </c>
      <c r="U49" s="96">
        <f t="shared" ca="1" si="40"/>
        <v>0</v>
      </c>
      <c r="V49" s="97" t="e">
        <f t="shared" ca="1" si="40"/>
        <v>#DIV/0!</v>
      </c>
      <c r="W49" s="90">
        <f t="shared" ca="1" si="40"/>
        <v>0</v>
      </c>
      <c r="X49" s="90">
        <f t="shared" ca="1" si="40"/>
        <v>0</v>
      </c>
      <c r="Y49" s="98">
        <f ca="1">IF(U49=0,0,X49/U49)</f>
        <v>0</v>
      </c>
      <c r="Z49" s="90">
        <f ca="1">SUM(Z28:Z47)</f>
        <v>0</v>
      </c>
      <c r="AA49" s="90">
        <f ca="1">IFERROR(P49*AA51/P51,0)</f>
        <v>0</v>
      </c>
      <c r="AB49" s="90">
        <f>SUM(AB28:AB47)</f>
        <v>0</v>
      </c>
      <c r="AC49" s="90">
        <f>SUM(AC28:AC47)</f>
        <v>0</v>
      </c>
      <c r="AD49" s="96" t="e">
        <f ca="1">SUM(AD28:AD47)</f>
        <v>#DIV/0!</v>
      </c>
      <c r="AE49" s="90" t="e">
        <f ca="1">SUM(AE28:AE47)</f>
        <v>#DIV/0!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 t="e">
        <f ca="1">SUM(AP28:AP47)</f>
        <v>#DIV/0!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0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0</v>
      </c>
      <c r="L51" s="119"/>
      <c r="M51" s="119"/>
      <c r="N51" s="119"/>
      <c r="O51" s="119"/>
      <c r="P51" s="120">
        <f t="shared" ref="P51:X51" ca="1" si="41">P26+P49</f>
        <v>0</v>
      </c>
      <c r="Q51" s="118">
        <f t="shared" ca="1" si="41"/>
        <v>0</v>
      </c>
      <c r="R51" s="121">
        <f ca="1">R26-R49</f>
        <v>0</v>
      </c>
      <c r="S51" s="118">
        <f t="shared" ca="1" si="41"/>
        <v>0</v>
      </c>
      <c r="T51" s="118">
        <f t="shared" ca="1" si="41"/>
        <v>0</v>
      </c>
      <c r="U51" s="121">
        <f t="shared" ca="1" si="41"/>
        <v>0</v>
      </c>
      <c r="V51" s="122" t="e">
        <f t="shared" ca="1" si="41"/>
        <v>#DIV/0!</v>
      </c>
      <c r="W51" s="118">
        <f t="shared" ca="1" si="41"/>
        <v>0</v>
      </c>
      <c r="X51" s="118">
        <f t="shared" ca="1" si="41"/>
        <v>0</v>
      </c>
      <c r="Y51" s="123" t="e">
        <f ca="1">X51/U51</f>
        <v>#DIV/0!</v>
      </c>
      <c r="Z51" s="118">
        <f ca="1">Z26+Z49</f>
        <v>0</v>
      </c>
      <c r="AA51" s="124"/>
      <c r="AB51" s="125"/>
      <c r="AC51" s="125">
        <f>SUM(AC3:AC47)</f>
        <v>0</v>
      </c>
      <c r="AD51" s="118" t="e">
        <f ca="1">AD26+AD49</f>
        <v>#DIV/0!</v>
      </c>
      <c r="AE51" s="126" t="e">
        <f ca="1">AE26+AE49</f>
        <v>#DIV/0!</v>
      </c>
      <c r="AF51" s="127"/>
      <c r="AG51" s="128"/>
      <c r="AH51" s="129"/>
      <c r="AI51" s="129"/>
      <c r="AJ51" s="129"/>
      <c r="AK51" s="129" t="e">
        <f ca="1">AA52/P51</f>
        <v>#DIV/0!</v>
      </c>
      <c r="AL51" s="129"/>
      <c r="AM51" s="129"/>
      <c r="AN51" s="130"/>
      <c r="AP51" s="126" t="e">
        <f ca="1">SUM(AP3:AP47)</f>
        <v>#DIV/0!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 ca="1">AA26+AA49</f>
        <v>0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0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 t="e">
        <f ca="1">AP51-K58-K60</f>
        <v>#DIV/0!</v>
      </c>
      <c r="L59" s="161" t="e">
        <f ca="1"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53" priority="40" operator="greaterThan">
      <formula>120</formula>
    </cfRule>
  </conditionalFormatting>
  <conditionalFormatting sqref="AM56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{BC6CB8F7-EE73-42FB-ABB0-1B5370E5C0E4}</x14:id>
        </ext>
      </extLst>
    </cfRule>
  </conditionalFormatting>
  <conditionalFormatting sqref="AP3:AP7 AP27:AP47 AP50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{9214C26A-8DFE-4E32-8D37-D45E7079DD3A}</x14:id>
        </ext>
      </extLst>
    </cfRule>
  </conditionalFormatting>
  <conditionalFormatting sqref="AL3:AL7 AL27:AL47 AL50 AL10:AL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{6D3AD3B5-CBC4-49CC-A2CF-3502C868AA15}</x14:id>
        </ext>
      </extLst>
    </cfRule>
  </conditionalFormatting>
  <conditionalFormatting sqref="AM3:AN7 AM27:AN47 AM50:AN50 AM10:AN2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{6FBBF15B-ADB5-449A-A1E1-9E51177E0186}</x14:id>
        </ext>
      </extLst>
    </cfRule>
  </conditionalFormatting>
  <conditionalFormatting sqref="AP3:AP7 AP27:AP47 AP10:AP2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{B3CDDC5F-6363-47D3-90AD-B0F20E68F6CF}</x14:id>
        </ext>
      </extLst>
    </cfRule>
  </conditionalFormatting>
  <conditionalFormatting sqref="U27 U48 U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{0A77D81F-0EA8-4672-89B5-DFD02B3E0CB7}</x14:id>
        </ext>
      </extLst>
    </cfRule>
  </conditionalFormatting>
  <conditionalFormatting sqref="AP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{78279050-37E6-4632-89AA-B09125BD1685}</x14:id>
        </ext>
      </extLst>
    </cfRule>
  </conditionalFormatting>
  <conditionalFormatting sqref="AP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{46B68C6F-CCFF-4EAC-9122-3CF4E23CE82F}</x14:id>
        </ext>
      </extLst>
    </cfRule>
  </conditionalFormatting>
  <conditionalFormatting sqref="P50">
    <cfRule type="cellIs" dxfId="152" priority="36" operator="greaterThan">
      <formula>120</formula>
    </cfRule>
  </conditionalFormatting>
  <conditionalFormatting sqref="Q50">
    <cfRule type="cellIs" dxfId="151" priority="35" operator="greaterThan">
      <formula>120</formula>
    </cfRule>
  </conditionalFormatting>
  <conditionalFormatting sqref="R50">
    <cfRule type="cellIs" dxfId="150" priority="34" operator="greaterThan">
      <formula>120</formula>
    </cfRule>
  </conditionalFormatting>
  <conditionalFormatting sqref="S50">
    <cfRule type="cellIs" dxfId="149" priority="33" operator="greaterThan">
      <formula>120</formula>
    </cfRule>
  </conditionalFormatting>
  <conditionalFormatting sqref="T50">
    <cfRule type="cellIs" dxfId="148" priority="32" operator="greaterThan">
      <formula>120</formula>
    </cfRule>
  </conditionalFormatting>
  <conditionalFormatting sqref="U50">
    <cfRule type="cellIs" dxfId="147" priority="31" operator="greaterThan">
      <formula>120</formula>
    </cfRule>
  </conditionalFormatting>
  <conditionalFormatting sqref="W50">
    <cfRule type="cellIs" dxfId="146" priority="29" operator="greaterThan">
      <formula>120</formula>
    </cfRule>
  </conditionalFormatting>
  <conditionalFormatting sqref="X50">
    <cfRule type="cellIs" dxfId="145" priority="28" operator="greaterThan">
      <formula>120</formula>
    </cfRule>
  </conditionalFormatting>
  <conditionalFormatting sqref="Z50">
    <cfRule type="cellIs" dxfId="144" priority="27" operator="greaterThan">
      <formula>120</formula>
    </cfRule>
  </conditionalFormatting>
  <conditionalFormatting sqref="AP4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{E59839B7-5A6B-41E9-9E87-D527D7529B89}</x14:id>
        </ext>
      </extLst>
    </cfRule>
  </conditionalFormatting>
  <conditionalFormatting sqref="AP4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{7A44B2CF-F761-49B8-8CBD-C76A3B367107}</x14:id>
        </ext>
      </extLst>
    </cfRule>
  </conditionalFormatting>
  <conditionalFormatting sqref="J8:J9">
    <cfRule type="cellIs" dxfId="143" priority="18" operator="greaterThan">
      <formula>120</formula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{C4095958-6C07-492B-B32E-EEE6064E6499}</x14:id>
        </ext>
      </extLst>
    </cfRule>
  </conditionalFormatting>
  <conditionalFormatting sqref="AL8:AL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{1F7D5178-364D-46E5-8BB5-6D1CB6DD3FDE}</x14:id>
        </ext>
      </extLst>
    </cfRule>
  </conditionalFormatting>
  <conditionalFormatting sqref="AM8:AN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{9AF09F6A-BA82-4B96-9D8E-DDFF09B4F13A}</x14:id>
        </ext>
      </extLst>
    </cfRule>
  </conditionalFormatting>
  <conditionalFormatting sqref="AP8:AP9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{67325660-7B6D-460C-AF84-0F2192CB7775}</x14:id>
        </ext>
      </extLst>
    </cfRule>
  </conditionalFormatting>
  <conditionalFormatting sqref="U3:U24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{D28D2CE6-A098-4D69-93E8-612F34D59B42}</x14:id>
        </ext>
      </extLst>
    </cfRule>
  </conditionalFormatting>
  <conditionalFormatting sqref="U28:U47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{ACCDA3D9-0635-422D-A821-E7EB0B55C387}</x14:id>
        </ext>
      </extLst>
    </cfRule>
  </conditionalFormatting>
  <conditionalFormatting sqref="N50">
    <cfRule type="cellIs" dxfId="142" priority="13" operator="between">
      <formula>0.000001</formula>
      <formula>25</formula>
    </cfRule>
  </conditionalFormatting>
  <conditionalFormatting sqref="V1 V52:V55 V57:V1048576">
    <cfRule type="cellIs" dxfId="141" priority="10" operator="greaterThan">
      <formula>0.23</formula>
    </cfRule>
  </conditionalFormatting>
  <conditionalFormatting sqref="V27 V48 V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{919EDBB3-9187-472E-9F01-840AE06494EC}</x14:id>
        </ext>
      </extLst>
    </cfRule>
  </conditionalFormatting>
  <conditionalFormatting sqref="V27 V48 V25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{8964216E-8C9B-45E2-B83E-7016D14A1E32}</x14:id>
        </ext>
      </extLst>
    </cfRule>
  </conditionalFormatting>
  <conditionalFormatting sqref="V50">
    <cfRule type="cellIs" dxfId="140" priority="9" operator="greaterThan">
      <formula>120</formula>
    </cfRule>
  </conditionalFormatting>
  <conditionalFormatting sqref="V3:V2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{F98DB48F-7386-462A-B42D-FF689627CDAB}</x14:id>
        </ext>
      </extLst>
    </cfRule>
  </conditionalFormatting>
  <conditionalFormatting sqref="V3:V2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{F9E51D5A-8C05-46FD-8256-E94E0AE341E7}</x14:id>
        </ext>
      </extLst>
    </cfRule>
  </conditionalFormatting>
  <conditionalFormatting sqref="V28:V4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{2DCB8782-4187-4231-B424-5D68A7E37DBD}</x14:id>
        </ext>
      </extLst>
    </cfRule>
  </conditionalFormatting>
  <conditionalFormatting sqref="V28:V4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{CA0B45B2-7699-4FE4-9DBC-74217A644AAB}</x14:id>
        </ext>
      </extLst>
    </cfRule>
  </conditionalFormatting>
  <conditionalFormatting sqref="AE3:AE7 AE27:AE48 AE50 AE10:AE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{FFDD5C6C-8088-4384-8C38-99277AD1777D}</x14:id>
        </ext>
      </extLst>
    </cfRule>
  </conditionalFormatting>
  <conditionalFormatting sqref="AE3:AE7 AE27:AE48 AE10:AE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{07088D29-B993-47B8-8A05-E08B3C978F93}</x14:id>
        </ext>
      </extLst>
    </cfRule>
  </conditionalFormatting>
  <conditionalFormatting sqref="AE8:AE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{D9E09C69-4ED9-45A3-A0A8-161F1FA08B8D}</x14:id>
        </ext>
      </extLst>
    </cfRule>
  </conditionalFormatting>
  <conditionalFormatting sqref="AE8:AE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{4C87ACDC-B33F-4D19-A5FA-4C9F5444D58C}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6CB8F7-EE73-42FB-ABB0-1B5370E5C0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9214C26A-8DFE-4E32-8D37-D45E7079DD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D3AD3B5-CBC4-49CC-A2CF-3502C868AA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FBBF15B-ADB5-449A-A1E1-9E51177E0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3CDDC5F-6363-47D3-90AD-B0F20E68F6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0A77D81F-0EA8-4672-89B5-DFD02B3E0C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78279050-37E6-4632-89AA-B09125BD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6B68C6F-CCFF-4EAC-9122-3CF4E23CE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E59839B7-5A6B-41E9-9E87-D527D7529B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7A44B2CF-F761-49B8-8CBD-C76A3B367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4095958-6C07-492B-B32E-EEE6064E64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1F7D5178-364D-46E5-8BB5-6D1CB6DD3F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9AF09F6A-BA82-4B96-9D8E-DDFF09B4F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7325660-7B6D-460C-AF84-0F2192CB7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28D2CE6-A098-4D69-93E8-612F34D59B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ACCDA3D9-0635-422D-A821-E7EB0B55C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19EDBB3-9187-472E-9F01-840AE0649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8964216E-8C9B-45E2-B83E-7016D14A1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F98DB48F-7386-462A-B42D-FF689627C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9E51D5A-8C05-46FD-8256-E94E0AE341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2DCB8782-4187-4231-B424-5D68A7E37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CA0B45B2-7699-4FE4-9DBC-74217A644A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FDD5C6C-8088-4384-8C38-99277AD17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07088D29-B993-47B8-8A05-E08B3C978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E09C69-4ED9-45A3-A0A8-161F1FA08B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4C87ACDC-B33F-4D19-A5FA-4C9F5444D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7716-D651-4B02-A79E-50F671C58F3B}">
  <dimension ref="A1:AZ64"/>
  <sheetViews>
    <sheetView zoomScale="70" zoomScaleNormal="70" workbookViewId="0">
      <pane xSplit="2" ySplit="2" topLeftCell="V36" activePane="bottomRight" state="frozen"/>
      <selection pane="topRight" activeCell="C1" sqref="C1"/>
      <selection pane="bottomLeft" activeCell="A3" sqref="A3"/>
      <selection pane="bottomRight" activeCell="AA41" sqref="AA4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1001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v>97586</v>
      </c>
      <c r="AE1" s="341">
        <f>U51/AD1</f>
        <v>2.2783083639046589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508</v>
      </c>
      <c r="D3" s="33"/>
      <c r="E3" s="33"/>
      <c r="F3" s="33"/>
      <c r="G3" s="34"/>
      <c r="H3" s="35">
        <v>142.97999999999999</v>
      </c>
      <c r="I3" s="33">
        <f t="shared" ref="I3:I24" si="0">C3*H3</f>
        <v>72633.84</v>
      </c>
      <c r="J3" s="36"/>
      <c r="K3" s="32">
        <v>57</v>
      </c>
      <c r="L3" s="36"/>
      <c r="M3" s="36"/>
      <c r="N3" s="37">
        <f>K3/$O$1</f>
        <v>8.1428571428571423</v>
      </c>
      <c r="O3" s="38">
        <f>R3/$O$1</f>
        <v>5.7142857142857144</v>
      </c>
      <c r="P3" s="39">
        <f>SUMIFS('Отчет 09-15.02'!H:H,'Отчет 09-15.02'!D:D,"Выручка",'Отчет 09-15.02'!E:E,B3)</f>
        <v>41</v>
      </c>
      <c r="Q3" s="39">
        <f>SUMIFS('Отчет 09-15.02'!H:H,'Отчет 09-15.02'!D:D,"Возврат выручки",'Отчет 09-15.02'!E:E,B3)</f>
        <v>1</v>
      </c>
      <c r="R3" s="40">
        <f t="shared" ref="R3:R24" si="1">P3-Q3</f>
        <v>40</v>
      </c>
      <c r="S3" s="41">
        <f>SUMIFS('Отчет 09-15.02'!P:P,'Отчет 09-15.02'!C:C,"Продажи",'Отчет 09-15.02'!E:E,B3)</f>
        <v>85860.000000000029</v>
      </c>
      <c r="T3" s="42">
        <f>SUMIFS('Отчет 09-15.02'!P:P,'Отчет 09-15.02'!C:C,"Возвраты",'Отчет 09-15.02'!E:E,B3)</f>
        <v>-1692</v>
      </c>
      <c r="U3" s="40">
        <f t="shared" ref="U3:U24" si="2">S3+T3</f>
        <v>84168.000000000029</v>
      </c>
      <c r="V3" s="43">
        <f>U3/$U$51</f>
        <v>0.37857068964741769</v>
      </c>
      <c r="W3" s="44">
        <f t="shared" ref="W3:W24" si="3">R3*H3</f>
        <v>5719.2</v>
      </c>
      <c r="X3" s="42">
        <f>-SUMIFS('Отчет 09-15.02'!P:P,'Отчет 09-15.02'!C:C,"Вознаграждение Ozon",'Отчет 09-15.02'!E:E,B3)</f>
        <v>36192.240000000005</v>
      </c>
      <c r="Y3" s="45">
        <f t="shared" ref="Y3:Y24" si="4">IF(U3=0,0,X3/U3)</f>
        <v>0.42999999999999994</v>
      </c>
      <c r="Z3" s="42">
        <f>-SUMIFS('Отчет 09-15.02'!P:P,'Отчет 09-15.02'!C:C,"Услуги доставки",'Отчет 09-15.02'!E:E,B3)</f>
        <v>8965.2800000000152</v>
      </c>
      <c r="AA3" s="32">
        <v>14659.970589</v>
      </c>
      <c r="AB3" s="42"/>
      <c r="AC3" s="42"/>
      <c r="AD3" s="46">
        <f>U3*1%/$AE$1</f>
        <v>369.43199319932899</v>
      </c>
      <c r="AE3" s="47">
        <f t="shared" ref="AE3:AE24" si="5">U3-W3-X3-Z3-AA3-AB3-AC3-AD3</f>
        <v>18261.877417800682</v>
      </c>
      <c r="AF3" s="46"/>
      <c r="AG3" s="48">
        <f t="shared" ref="AG3:AG24" si="6">IF(R3=0,0,U3/R3)</f>
        <v>2104.2000000000007</v>
      </c>
      <c r="AH3" s="49">
        <f t="shared" ref="AH3:AH24" si="7">H3</f>
        <v>142.97999999999999</v>
      </c>
      <c r="AI3" s="49">
        <f t="shared" ref="AI3:AI24" si="8">IF(R3=0,0,X3/R3)</f>
        <v>904.80600000000015</v>
      </c>
      <c r="AJ3" s="49">
        <f t="shared" ref="AJ3:AJ24" si="9">IF(P3=0,Z3/1,Z3/P3)</f>
        <v>218.6653658536589</v>
      </c>
      <c r="AK3" s="49">
        <f t="shared" ref="AK3:AK24" si="10">IF(P3=0,0,AA3/P3)</f>
        <v>357.56025826829267</v>
      </c>
      <c r="AL3" s="49">
        <f>_xlfn.IFS(R3=0,AE3,R3&lt;0,AE3/-R3,R3&gt;0,AE3/R3)</f>
        <v>456.54693544501708</v>
      </c>
      <c r="AM3" s="50">
        <f t="shared" ref="AM3:AM24" si="11">IF(AG3=0,0,AL3/AG3)</f>
        <v>0.21696936386513493</v>
      </c>
      <c r="AN3" s="51">
        <f t="shared" ref="AN3:AN24" si="12">IF(AH3=0,0,AL3/AH3)</f>
        <v>3.1930824971675555</v>
      </c>
      <c r="AP3" s="53">
        <f t="shared" ref="AP3:AP24" si="13">AL3*C3</f>
        <v>231925.84320606868</v>
      </c>
    </row>
    <row r="4" spans="1:42">
      <c r="A4" s="30">
        <v>2638638550</v>
      </c>
      <c r="B4" s="31" t="s">
        <v>39</v>
      </c>
      <c r="C4" s="32">
        <v>491</v>
      </c>
      <c r="D4" s="33"/>
      <c r="E4" s="33"/>
      <c r="F4" s="33"/>
      <c r="G4" s="34"/>
      <c r="H4" s="35">
        <v>123.09</v>
      </c>
      <c r="I4" s="33">
        <f t="shared" si="0"/>
        <v>60437.19</v>
      </c>
      <c r="J4" s="36"/>
      <c r="K4" s="32">
        <v>2</v>
      </c>
      <c r="L4" s="36"/>
      <c r="M4" s="36"/>
      <c r="N4" s="37">
        <f t="shared" ref="N4:N24" si="14">K4/$O$1</f>
        <v>0.2857142857142857</v>
      </c>
      <c r="O4" s="38">
        <f t="shared" ref="O4:O24" si="15">R4/$O$1</f>
        <v>0.14285714285714285</v>
      </c>
      <c r="P4" s="39">
        <f>SUMIFS('Отчет 09-15.02'!H:H,'Отчет 09-15.02'!D:D,"Выручка",'Отчет 09-15.02'!E:E,B4)</f>
        <v>1</v>
      </c>
      <c r="Q4" s="39">
        <f>SUMIFS('Отчет 09-15.02'!H:H,'Отчет 09-15.02'!D:D,"Возврат выручки",'Отчет 09-15.02'!E:E,B4)</f>
        <v>0</v>
      </c>
      <c r="R4" s="40">
        <f t="shared" si="1"/>
        <v>1</v>
      </c>
      <c r="S4" s="41">
        <f>SUMIFS('Отчет 09-15.02'!P:P,'Отчет 09-15.02'!C:C,"Продажи",'Отчет 09-15.02'!E:E,B4)</f>
        <v>2000</v>
      </c>
      <c r="T4" s="42">
        <f>SUMIFS('Отчет 09-15.02'!P:P,'Отчет 09-15.02'!C:C,"Возвраты",'Отчет 09-15.02'!E:E,B4)</f>
        <v>0</v>
      </c>
      <c r="U4" s="40">
        <f t="shared" si="2"/>
        <v>2000</v>
      </c>
      <c r="V4" s="43">
        <f t="shared" ref="V4:V24" si="16">U4/$U$51</f>
        <v>8.9955966554371627E-3</v>
      </c>
      <c r="W4" s="44">
        <f t="shared" si="3"/>
        <v>123.09</v>
      </c>
      <c r="X4" s="42">
        <f>-SUMIFS('Отчет 09-15.02'!P:P,'Отчет 09-15.02'!C:C,"Вознаграждение Ozon",'Отчет 09-15.02'!E:E,B4)</f>
        <v>860</v>
      </c>
      <c r="Y4" s="45">
        <f t="shared" si="4"/>
        <v>0.43</v>
      </c>
      <c r="Z4" s="42">
        <f>-SUMIFS('Отчет 09-15.02'!P:P,'Отчет 09-15.02'!C:C,"Услуги доставки",'Отчет 09-15.02'!E:E,B4)</f>
        <v>134.83000000000001</v>
      </c>
      <c r="AA4" s="32">
        <v>0</v>
      </c>
      <c r="AB4" s="42"/>
      <c r="AC4" s="42"/>
      <c r="AD4" s="46">
        <f t="shared" ref="AD4:AD24" si="17">U4*1%/$AE$1</f>
        <v>8.7784429521749097</v>
      </c>
      <c r="AE4" s="47">
        <f t="shared" si="5"/>
        <v>873.3015570478251</v>
      </c>
      <c r="AF4" s="46"/>
      <c r="AG4" s="48">
        <f t="shared" si="6"/>
        <v>2000</v>
      </c>
      <c r="AH4" s="49">
        <f t="shared" si="7"/>
        <v>123.09</v>
      </c>
      <c r="AI4" s="49">
        <f t="shared" si="8"/>
        <v>860</v>
      </c>
      <c r="AJ4" s="49">
        <f t="shared" si="9"/>
        <v>134.83000000000001</v>
      </c>
      <c r="AK4" s="49">
        <f t="shared" si="10"/>
        <v>0</v>
      </c>
      <c r="AL4" s="49">
        <f t="array" ref="AL4">_xlfn.IFS(R4=0,AE4,R4&lt;0,AE4/-R4,R4&gt;0,AE4/R4)</f>
        <v>873.3015570478251</v>
      </c>
      <c r="AM4" s="50">
        <f t="shared" si="11"/>
        <v>0.43665077852391254</v>
      </c>
      <c r="AN4" s="51">
        <f t="shared" si="12"/>
        <v>7.0948213262476649</v>
      </c>
      <c r="AP4" s="53">
        <f t="shared" si="13"/>
        <v>428791.06451048213</v>
      </c>
    </row>
    <row r="5" spans="1:42">
      <c r="A5" s="30">
        <v>2638691131</v>
      </c>
      <c r="B5" s="31" t="s">
        <v>40</v>
      </c>
      <c r="C5" s="32">
        <v>499</v>
      </c>
      <c r="D5" s="33"/>
      <c r="E5" s="33"/>
      <c r="F5" s="33"/>
      <c r="G5" s="34"/>
      <c r="H5" s="35">
        <v>123.09</v>
      </c>
      <c r="I5" s="54">
        <f t="shared" si="0"/>
        <v>61421.91</v>
      </c>
      <c r="J5" s="36"/>
      <c r="K5" s="32">
        <v>1</v>
      </c>
      <c r="L5" s="36"/>
      <c r="M5" s="36"/>
      <c r="N5" s="37">
        <f t="shared" si="14"/>
        <v>0.14285714285714285</v>
      </c>
      <c r="O5" s="38">
        <f t="shared" si="15"/>
        <v>0.14285714285714285</v>
      </c>
      <c r="P5" s="39">
        <f>SUMIFS('Отчет 09-15.02'!H:H,'Отчет 09-15.02'!D:D,"Выручка",'Отчет 09-15.02'!E:E,B5)</f>
        <v>1</v>
      </c>
      <c r="Q5" s="39">
        <f>SUMIFS('Отчет 09-15.02'!H:H,'Отчет 09-15.02'!D:D,"Возврат выручки",'Отчет 09-15.02'!E:E,B5)</f>
        <v>0</v>
      </c>
      <c r="R5" s="40">
        <f t="shared" si="1"/>
        <v>1</v>
      </c>
      <c r="S5" s="41">
        <f>SUMIFS('Отчет 09-15.02'!P:P,'Отчет 09-15.02'!C:C,"Продажи",'Отчет 09-15.02'!E:E,B5)</f>
        <v>2000</v>
      </c>
      <c r="T5" s="42">
        <f>SUMIFS('Отчет 09-15.02'!P:P,'Отчет 09-15.02'!C:C,"Возвраты",'Отчет 09-15.02'!E:E,B5)</f>
        <v>0</v>
      </c>
      <c r="U5" s="40">
        <f t="shared" si="2"/>
        <v>2000</v>
      </c>
      <c r="V5" s="43">
        <f t="shared" si="16"/>
        <v>8.9955966554371627E-3</v>
      </c>
      <c r="W5" s="44">
        <f t="shared" si="3"/>
        <v>123.09</v>
      </c>
      <c r="X5" s="42">
        <f>-SUMIFS('Отчет 09-15.02'!P:P,'Отчет 09-15.02'!C:C,"Вознаграждение Ozon",'Отчет 09-15.02'!E:E,B5)</f>
        <v>860</v>
      </c>
      <c r="Y5" s="45">
        <f t="shared" si="4"/>
        <v>0.43</v>
      </c>
      <c r="Z5" s="42">
        <f>-SUMIFS('Отчет 09-15.02'!P:P,'Отчет 09-15.02'!C:C,"Услуги доставки",'Отчет 09-15.02'!E:E,B5)</f>
        <v>237.18</v>
      </c>
      <c r="AA5" s="32">
        <v>460</v>
      </c>
      <c r="AB5" s="55"/>
      <c r="AC5" s="42"/>
      <c r="AD5" s="46">
        <f t="shared" si="17"/>
        <v>8.7784429521749097</v>
      </c>
      <c r="AE5" s="47">
        <f t="shared" si="5"/>
        <v>310.95155704782513</v>
      </c>
      <c r="AF5" s="46"/>
      <c r="AG5" s="48">
        <f t="shared" si="6"/>
        <v>2000</v>
      </c>
      <c r="AH5" s="49">
        <f t="shared" si="7"/>
        <v>123.09</v>
      </c>
      <c r="AI5" s="49">
        <f t="shared" si="8"/>
        <v>860</v>
      </c>
      <c r="AJ5" s="49">
        <f t="shared" si="9"/>
        <v>237.18</v>
      </c>
      <c r="AK5" s="49">
        <f t="shared" si="10"/>
        <v>460</v>
      </c>
      <c r="AL5" s="49">
        <f t="array" ref="AL5">_xlfn.IFS(R5=0,AE5,R5&lt;0,AE5/-R5,R5&gt;0,AE5/R5)</f>
        <v>310.95155704782513</v>
      </c>
      <c r="AM5" s="50">
        <f t="shared" si="11"/>
        <v>0.15547577852391256</v>
      </c>
      <c r="AN5" s="51">
        <f t="shared" si="12"/>
        <v>2.5262129908832978</v>
      </c>
      <c r="AP5" s="53">
        <f t="shared" si="13"/>
        <v>155164.82696686476</v>
      </c>
    </row>
    <row r="6" spans="1:42">
      <c r="A6" s="30">
        <v>2638382749</v>
      </c>
      <c r="B6" s="31" t="s">
        <v>41</v>
      </c>
      <c r="C6" s="32">
        <v>1044</v>
      </c>
      <c r="D6" s="33"/>
      <c r="E6" s="33"/>
      <c r="F6" s="33"/>
      <c r="G6" s="34"/>
      <c r="H6" s="35">
        <v>123.09</v>
      </c>
      <c r="I6" s="54">
        <f t="shared" si="0"/>
        <v>128505.96</v>
      </c>
      <c r="J6" s="36"/>
      <c r="K6" s="32">
        <v>4</v>
      </c>
      <c r="L6" s="36"/>
      <c r="M6" s="36"/>
      <c r="N6" s="37">
        <f t="shared" si="14"/>
        <v>0.5714285714285714</v>
      </c>
      <c r="O6" s="38">
        <f t="shared" si="15"/>
        <v>0</v>
      </c>
      <c r="P6" s="39">
        <f>SUMIFS('Отчет 09-15.02'!H:H,'Отчет 09-15.02'!D:D,"Выручка",'Отчет 09-15.02'!E:E,B6)</f>
        <v>0</v>
      </c>
      <c r="Q6" s="39">
        <f>SUMIFS('Отчет 09-15.02'!H:H,'Отчет 09-15.02'!D:D,"Возврат выручки",'Отчет 09-15.02'!E:E,B6)</f>
        <v>0</v>
      </c>
      <c r="R6" s="40">
        <f t="shared" si="1"/>
        <v>0</v>
      </c>
      <c r="S6" s="41">
        <f>SUMIFS('Отчет 09-15.02'!P:P,'Отчет 09-15.02'!C:C,"Продажи",'Отчет 09-15.02'!E:E,B6)</f>
        <v>0</v>
      </c>
      <c r="T6" s="42">
        <f>SUMIFS('Отчет 09-15.02'!P:P,'Отчет 09-15.02'!C:C,"Возвраты",'Отчет 09-15.02'!E:E,B6)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09-15.02'!P:P,'Отчет 09-15.02'!C:C,"Вознаграждение Ozon",'Отчет 09-15.02'!E:E,B6)</f>
        <v>0</v>
      </c>
      <c r="Y6" s="45">
        <f t="shared" si="4"/>
        <v>0</v>
      </c>
      <c r="Z6" s="42">
        <f>-SUMIFS('Отчет 09-15.02'!P:P,'Отчет 09-15.02'!C:C,"Услуги доставки",'Отчет 09-15.02'!E:E,B6)</f>
        <v>93.54</v>
      </c>
      <c r="AA6" s="32">
        <v>1357.8362930000001</v>
      </c>
      <c r="AB6" s="55"/>
      <c r="AC6" s="42"/>
      <c r="AD6" s="46">
        <f t="shared" si="17"/>
        <v>0</v>
      </c>
      <c r="AE6" s="47">
        <f t="shared" si="5"/>
        <v>-1451.376293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-1451.376293</v>
      </c>
      <c r="AM6" s="50">
        <f t="shared" si="11"/>
        <v>0</v>
      </c>
      <c r="AN6" s="51">
        <f t="shared" si="12"/>
        <v>-11.791179567795922</v>
      </c>
      <c r="AP6" s="53">
        <f t="shared" si="13"/>
        <v>-1515236.849892</v>
      </c>
    </row>
    <row r="7" spans="1:42">
      <c r="A7" s="30">
        <v>2638569317</v>
      </c>
      <c r="B7" s="31" t="s">
        <v>42</v>
      </c>
      <c r="C7" s="32">
        <v>811</v>
      </c>
      <c r="D7" s="33"/>
      <c r="E7" s="33"/>
      <c r="F7" s="33"/>
      <c r="G7" s="34"/>
      <c r="H7" s="35">
        <v>117.24</v>
      </c>
      <c r="I7" s="54">
        <f t="shared" si="0"/>
        <v>95081.64</v>
      </c>
      <c r="J7" s="36"/>
      <c r="K7" s="32">
        <v>18</v>
      </c>
      <c r="L7" s="36"/>
      <c r="M7" s="36"/>
      <c r="N7" s="37">
        <f t="shared" si="14"/>
        <v>2.5714285714285716</v>
      </c>
      <c r="O7" s="38">
        <f t="shared" si="15"/>
        <v>0.7142857142857143</v>
      </c>
      <c r="P7" s="39">
        <f>SUMIFS('Отчет 09-15.02'!H:H,'Отчет 09-15.02'!D:D,"Выручка",'Отчет 09-15.02'!E:E,B7)</f>
        <v>5</v>
      </c>
      <c r="Q7" s="39">
        <f>SUMIFS('Отчет 09-15.02'!H:H,'Отчет 09-15.02'!D:D,"Возврат выручки",'Отчет 09-15.02'!E:E,B7)</f>
        <v>0</v>
      </c>
      <c r="R7" s="40">
        <f t="shared" si="1"/>
        <v>5</v>
      </c>
      <c r="S7" s="41">
        <f>SUMIFS('Отчет 09-15.02'!P:P,'Отчет 09-15.02'!C:C,"Продажи",'Отчет 09-15.02'!E:E,B7)</f>
        <v>11600</v>
      </c>
      <c r="T7" s="42">
        <f>SUMIFS('Отчет 09-15.02'!P:P,'Отчет 09-15.02'!C:C,"Возвраты",'Отчет 09-15.02'!E:E,B7)</f>
        <v>0</v>
      </c>
      <c r="U7" s="40">
        <f t="shared" si="2"/>
        <v>11600</v>
      </c>
      <c r="V7" s="43">
        <f t="shared" si="16"/>
        <v>5.2174460601535542E-2</v>
      </c>
      <c r="W7" s="44">
        <f t="shared" si="3"/>
        <v>586.19999999999993</v>
      </c>
      <c r="X7" s="42">
        <f>-SUMIFS('Отчет 09-15.02'!P:P,'Отчет 09-15.02'!C:C,"Вознаграждение Ozon",'Отчет 09-15.02'!E:E,B7)</f>
        <v>4988</v>
      </c>
      <c r="Y7" s="45">
        <f t="shared" si="4"/>
        <v>0.43</v>
      </c>
      <c r="Z7" s="42">
        <f>-SUMIFS('Отчет 09-15.02'!P:P,'Отчет 09-15.02'!C:C,"Услуги доставки",'Отчет 09-15.02'!E:E,B7)</f>
        <v>1190.47</v>
      </c>
      <c r="AA7" s="32">
        <v>2523.3831319999999</v>
      </c>
      <c r="AB7" s="55"/>
      <c r="AC7" s="42"/>
      <c r="AD7" s="46">
        <f t="shared" si="17"/>
        <v>50.914969122614472</v>
      </c>
      <c r="AE7" s="47">
        <f t="shared" si="5"/>
        <v>2261.0318988773847</v>
      </c>
      <c r="AF7" s="46"/>
      <c r="AG7" s="48">
        <f t="shared" si="6"/>
        <v>2320</v>
      </c>
      <c r="AH7" s="49">
        <f t="shared" si="7"/>
        <v>117.24</v>
      </c>
      <c r="AI7" s="49">
        <f t="shared" si="8"/>
        <v>997.6</v>
      </c>
      <c r="AJ7" s="49">
        <f t="shared" si="9"/>
        <v>238.09399999999999</v>
      </c>
      <c r="AK7" s="49">
        <f t="shared" si="10"/>
        <v>504.67662639999998</v>
      </c>
      <c r="AL7" s="49">
        <f t="array" ref="AL7">_xlfn.IFS(R7=0,AE7,R7&lt;0,AE7/-R7,R7&gt;0,AE7/R7)</f>
        <v>452.20637977547693</v>
      </c>
      <c r="AM7" s="50">
        <f t="shared" si="11"/>
        <v>0.19491654300667108</v>
      </c>
      <c r="AN7" s="51">
        <f t="shared" si="12"/>
        <v>3.8570997933766371</v>
      </c>
      <c r="AP7" s="53">
        <f t="shared" si="13"/>
        <v>366739.37399791181</v>
      </c>
    </row>
    <row r="8" spans="1:42">
      <c r="A8" s="30">
        <v>3064334128</v>
      </c>
      <c r="B8" s="31" t="s">
        <v>43</v>
      </c>
      <c r="C8" s="32">
        <v>686</v>
      </c>
      <c r="D8" s="33"/>
      <c r="E8" s="33"/>
      <c r="F8" s="33"/>
      <c r="G8" s="34"/>
      <c r="H8" s="35">
        <v>123</v>
      </c>
      <c r="I8" s="54">
        <f t="shared" si="0"/>
        <v>84378</v>
      </c>
      <c r="J8" s="36"/>
      <c r="K8" s="32">
        <v>5</v>
      </c>
      <c r="L8" s="36"/>
      <c r="M8" s="36"/>
      <c r="N8" s="37">
        <f t="shared" si="14"/>
        <v>0.7142857142857143</v>
      </c>
      <c r="O8" s="38">
        <f t="shared" si="15"/>
        <v>0</v>
      </c>
      <c r="P8" s="39">
        <f>SUMIFS('Отчет 09-15.02'!H:H,'Отчет 09-15.02'!D:D,"Выручка",'Отчет 09-15.02'!E:E,B8)</f>
        <v>0</v>
      </c>
      <c r="Q8" s="39">
        <f>SUMIFS('Отчет 09-15.02'!H:H,'Отчет 09-15.02'!D:D,"Возврат выручки",'Отчет 09-15.02'!E:E,B8)</f>
        <v>0</v>
      </c>
      <c r="R8" s="40">
        <f t="shared" si="1"/>
        <v>0</v>
      </c>
      <c r="S8" s="41">
        <f>SUMIFS('Отчет 09-15.02'!P:P,'Отчет 09-15.02'!C:C,"Продажи",'Отчет 09-15.02'!E:E,B8)</f>
        <v>0</v>
      </c>
      <c r="T8" s="42">
        <f>SUMIFS('Отчет 09-15.02'!P:P,'Отчет 09-15.02'!C:C,"Возвраты",'Отчет 09-15.02'!E:E,B8)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09-15.02'!P:P,'Отчет 09-15.02'!C:C,"Вознаграждение Ozon",'Отчет 09-15.02'!E:E,B8)</f>
        <v>0</v>
      </c>
      <c r="Y8" s="45">
        <f t="shared" si="4"/>
        <v>0</v>
      </c>
      <c r="Z8" s="42">
        <f>-SUMIFS('Отчет 09-15.02'!P:P,'Отчет 09-15.02'!C:C,"Услуги доставки",'Отчет 09-15.02'!E:E,B8)</f>
        <v>0</v>
      </c>
      <c r="AA8" s="32">
        <v>425.04</v>
      </c>
      <c r="AB8" s="55"/>
      <c r="AC8" s="42"/>
      <c r="AD8" s="46">
        <f t="shared" si="17"/>
        <v>0</v>
      </c>
      <c r="AE8" s="47">
        <f t="shared" si="5"/>
        <v>-425.04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-425.04</v>
      </c>
      <c r="AM8" s="50">
        <f t="shared" si="11"/>
        <v>0</v>
      </c>
      <c r="AN8" s="51">
        <f t="shared" si="12"/>
        <v>-3.4556097560975609</v>
      </c>
      <c r="AP8" s="53">
        <f t="shared" si="13"/>
        <v>-291577.44</v>
      </c>
    </row>
    <row r="9" spans="1:42">
      <c r="A9" s="30">
        <v>3064334311</v>
      </c>
      <c r="B9" s="31" t="s">
        <v>44</v>
      </c>
      <c r="C9" s="32">
        <v>662</v>
      </c>
      <c r="D9" s="33"/>
      <c r="E9" s="33"/>
      <c r="F9" s="33"/>
      <c r="G9" s="34"/>
      <c r="H9" s="35">
        <v>123</v>
      </c>
      <c r="I9" s="54">
        <f t="shared" si="0"/>
        <v>81426</v>
      </c>
      <c r="J9" s="36"/>
      <c r="K9" s="32">
        <v>13</v>
      </c>
      <c r="L9" s="36"/>
      <c r="M9" s="36"/>
      <c r="N9" s="37">
        <f t="shared" si="14"/>
        <v>1.8571428571428572</v>
      </c>
      <c r="O9" s="38">
        <f t="shared" si="15"/>
        <v>0.7142857142857143</v>
      </c>
      <c r="P9" s="39">
        <f>SUMIFS('Отчет 09-15.02'!H:H,'Отчет 09-15.02'!D:D,"Выручка",'Отчет 09-15.02'!E:E,B9)</f>
        <v>5</v>
      </c>
      <c r="Q9" s="39">
        <f>SUMIFS('Отчет 09-15.02'!H:H,'Отчет 09-15.02'!D:D,"Возврат выручки",'Отчет 09-15.02'!E:E,B9)</f>
        <v>0</v>
      </c>
      <c r="R9" s="40">
        <f t="shared" si="1"/>
        <v>5</v>
      </c>
      <c r="S9" s="41">
        <f>SUMIFS('Отчет 09-15.02'!P:P,'Отчет 09-15.02'!C:C,"Продажи",'Отчет 09-15.02'!E:E,B9)</f>
        <v>9794</v>
      </c>
      <c r="T9" s="42">
        <f>SUMIFS('Отчет 09-15.02'!P:P,'Отчет 09-15.02'!C:C,"Возвраты",'Отчет 09-15.02'!E:E,B9)</f>
        <v>0</v>
      </c>
      <c r="U9" s="40">
        <f t="shared" si="2"/>
        <v>9794</v>
      </c>
      <c r="V9" s="43">
        <f t="shared" si="16"/>
        <v>4.4051436821675782E-2</v>
      </c>
      <c r="W9" s="44">
        <f t="shared" si="3"/>
        <v>615</v>
      </c>
      <c r="X9" s="42">
        <f>-SUMIFS('Отчет 09-15.02'!P:P,'Отчет 09-15.02'!C:C,"Вознаграждение Ozon",'Отчет 09-15.02'!E:E,B9)</f>
        <v>4211.42</v>
      </c>
      <c r="Y9" s="45">
        <f t="shared" si="4"/>
        <v>0.43</v>
      </c>
      <c r="Z9" s="42">
        <f>-SUMIFS('Отчет 09-15.02'!P:P,'Отчет 09-15.02'!C:C,"Услуги доставки",'Отчет 09-15.02'!E:E,B9)</f>
        <v>985.92</v>
      </c>
      <c r="AA9" s="32">
        <v>2702.1</v>
      </c>
      <c r="AB9" s="55"/>
      <c r="AC9" s="42"/>
      <c r="AD9" s="46">
        <f t="shared" si="17"/>
        <v>42.988035136800526</v>
      </c>
      <c r="AE9" s="47">
        <f t="shared" si="5"/>
        <v>1236.5719648631994</v>
      </c>
      <c r="AF9" s="46"/>
      <c r="AG9" s="48">
        <f t="shared" si="6"/>
        <v>1958.8</v>
      </c>
      <c r="AH9" s="49">
        <f t="shared" si="7"/>
        <v>123</v>
      </c>
      <c r="AI9" s="49">
        <f t="shared" si="8"/>
        <v>842.28399999999999</v>
      </c>
      <c r="AJ9" s="49">
        <f t="shared" si="9"/>
        <v>197.184</v>
      </c>
      <c r="AK9" s="49">
        <f t="shared" si="10"/>
        <v>540.41999999999996</v>
      </c>
      <c r="AL9" s="49">
        <f t="array" ref="AL9">_xlfn.IFS(R9=0,AE9,R9&lt;0,AE9/-R9,R9&gt;0,AE9/R9)</f>
        <v>247.31439297263987</v>
      </c>
      <c r="AM9" s="50">
        <f t="shared" si="11"/>
        <v>0.1262581136270369</v>
      </c>
      <c r="AN9" s="51">
        <f t="shared" si="12"/>
        <v>2.0106861217287793</v>
      </c>
      <c r="AP9" s="53">
        <f t="shared" si="13"/>
        <v>163722.12814788759</v>
      </c>
    </row>
    <row r="10" spans="1:42">
      <c r="A10" s="30">
        <v>2638291563</v>
      </c>
      <c r="B10" s="31" t="s">
        <v>45</v>
      </c>
      <c r="C10" s="32">
        <v>382</v>
      </c>
      <c r="D10" s="33"/>
      <c r="E10" s="33"/>
      <c r="F10" s="33"/>
      <c r="G10" s="34"/>
      <c r="H10" s="35">
        <v>169.89</v>
      </c>
      <c r="I10" s="54">
        <f t="shared" si="0"/>
        <v>64897.979999999996</v>
      </c>
      <c r="J10" s="36"/>
      <c r="K10" s="32">
        <v>2</v>
      </c>
      <c r="L10" s="36"/>
      <c r="M10" s="36"/>
      <c r="N10" s="37">
        <f t="shared" si="14"/>
        <v>0.2857142857142857</v>
      </c>
      <c r="O10" s="38">
        <f t="shared" si="15"/>
        <v>0.5714285714285714</v>
      </c>
      <c r="P10" s="39">
        <f>SUMIFS('Отчет 09-15.02'!H:H,'Отчет 09-15.02'!D:D,"Выручка",'Отчет 09-15.02'!E:E,B10)</f>
        <v>4</v>
      </c>
      <c r="Q10" s="39">
        <f>SUMIFS('Отчет 09-15.02'!H:H,'Отчет 09-15.02'!D:D,"Возврат выручки",'Отчет 09-15.02'!E:E,B10)</f>
        <v>0</v>
      </c>
      <c r="R10" s="40">
        <f t="shared" si="1"/>
        <v>4</v>
      </c>
      <c r="S10" s="41">
        <f>SUMIFS('Отчет 09-15.02'!P:P,'Отчет 09-15.02'!C:C,"Продажи",'Отчет 09-15.02'!E:E,B10)</f>
        <v>9200</v>
      </c>
      <c r="T10" s="42">
        <f>SUMIFS('Отчет 09-15.02'!P:P,'Отчет 09-15.02'!C:C,"Возвраты",'Отчет 09-15.02'!E:E,B10)</f>
        <v>0</v>
      </c>
      <c r="U10" s="40">
        <f t="shared" si="2"/>
        <v>9200</v>
      </c>
      <c r="V10" s="43">
        <f t="shared" si="16"/>
        <v>4.1379744615010948E-2</v>
      </c>
      <c r="W10" s="44">
        <f t="shared" si="3"/>
        <v>679.56</v>
      </c>
      <c r="X10" s="42">
        <f>-SUMIFS('Отчет 09-15.02'!P:P,'Отчет 09-15.02'!C:C,"Вознаграждение Ozon",'Отчет 09-15.02'!E:E,B10)</f>
        <v>3956</v>
      </c>
      <c r="Y10" s="45">
        <f t="shared" si="4"/>
        <v>0.43</v>
      </c>
      <c r="Z10" s="42">
        <f>-SUMIFS('Отчет 09-15.02'!P:P,'Отчет 09-15.02'!C:C,"Услуги доставки",'Отчет 09-15.02'!E:E,B10)</f>
        <v>945.08999999999992</v>
      </c>
      <c r="AA10" s="32">
        <v>2751.8935590000001</v>
      </c>
      <c r="AB10" s="55"/>
      <c r="AC10" s="42"/>
      <c r="AD10" s="46">
        <f t="shared" si="17"/>
        <v>40.380837580004581</v>
      </c>
      <c r="AE10" s="47">
        <f t="shared" si="5"/>
        <v>827.07560341999567</v>
      </c>
      <c r="AF10" s="46"/>
      <c r="AG10" s="48">
        <f t="shared" si="6"/>
        <v>2300</v>
      </c>
      <c r="AH10" s="49">
        <f t="shared" si="7"/>
        <v>169.89</v>
      </c>
      <c r="AI10" s="49">
        <f t="shared" si="8"/>
        <v>989</v>
      </c>
      <c r="AJ10" s="49">
        <f t="shared" si="9"/>
        <v>236.27249999999998</v>
      </c>
      <c r="AK10" s="49">
        <f t="shared" si="10"/>
        <v>687.97338975000002</v>
      </c>
      <c r="AL10" s="49">
        <f t="array" ref="AL10">_xlfn.IFS(R10=0,AE10,R10&lt;0,AE10/-R10,R10&gt;0,AE10/R10)</f>
        <v>206.76890085499892</v>
      </c>
      <c r="AM10" s="50">
        <f t="shared" si="11"/>
        <v>8.9899522110869101E-2</v>
      </c>
      <c r="AN10" s="51">
        <f t="shared" si="12"/>
        <v>1.217075171316728</v>
      </c>
      <c r="AP10" s="53">
        <f t="shared" si="13"/>
        <v>78985.72012660958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3</v>
      </c>
      <c r="L11" s="36"/>
      <c r="M11" s="36"/>
      <c r="N11" s="37">
        <f t="shared" si="14"/>
        <v>0.42857142857142855</v>
      </c>
      <c r="O11" s="38">
        <f t="shared" si="15"/>
        <v>0</v>
      </c>
      <c r="P11" s="39">
        <f>SUMIFS('Отчет 09-15.02'!H:H,'Отчет 09-15.02'!D:D,"Выручка",'Отчет 09-15.02'!E:E,B11)</f>
        <v>0</v>
      </c>
      <c r="Q11" s="39">
        <f>SUMIFS('Отчет 09-15.02'!H:H,'Отчет 09-15.02'!D:D,"Возврат выручки",'Отчет 09-15.02'!E:E,B11)</f>
        <v>0</v>
      </c>
      <c r="R11" s="40">
        <f t="shared" si="1"/>
        <v>0</v>
      </c>
      <c r="S11" s="41">
        <f>SUMIFS('Отчет 09-15.02'!P:P,'Отчет 09-15.02'!C:C,"Продажи",'Отчет 09-15.02'!E:E,B11)</f>
        <v>0</v>
      </c>
      <c r="T11" s="42">
        <f>SUMIFS('Отчет 09-15.02'!P:P,'Отчет 09-15.02'!C:C,"Возвраты",'Отчет 09-15.02'!E:E,B11)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09-15.02'!P:P,'Отчет 09-15.02'!C:C,"Вознаграждение Ozon",'Отчет 09-15.02'!E:E,B11)</f>
        <v>0</v>
      </c>
      <c r="Y11" s="45">
        <f t="shared" si="4"/>
        <v>0</v>
      </c>
      <c r="Z11" s="42">
        <f>-SUMIFS('Отчет 09-15.02'!P:P,'Отчет 09-15.02'!C:C,"Услуги доставки",'Отчет 09-15.02'!E:E,B11)</f>
        <v>187.08</v>
      </c>
      <c r="AA11" s="32">
        <v>0</v>
      </c>
      <c r="AB11" s="55"/>
      <c r="AC11" s="42"/>
      <c r="AD11" s="46">
        <f t="shared" si="17"/>
        <v>0</v>
      </c>
      <c r="AE11" s="47">
        <f t="shared" si="5"/>
        <v>-187.08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187.08</v>
      </c>
      <c r="AK11" s="49">
        <f t="shared" si="10"/>
        <v>0</v>
      </c>
      <c r="AL11" s="49">
        <f t="array" ref="AL11">_xlfn.IFS(R11=0,AE11,R11&lt;0,AE11/-R11,R11&gt;0,AE11/R11)</f>
        <v>-187.08</v>
      </c>
      <c r="AM11" s="50">
        <f t="shared" si="11"/>
        <v>0</v>
      </c>
      <c r="AN11" s="51">
        <f t="shared" si="12"/>
        <v>-1.1011831184884338</v>
      </c>
      <c r="AP11" s="53">
        <f t="shared" si="13"/>
        <v>-8044.4400000000005</v>
      </c>
    </row>
    <row r="12" spans="1:42">
      <c r="A12" s="30">
        <v>2730131249</v>
      </c>
      <c r="B12" s="31" t="s">
        <v>47</v>
      </c>
      <c r="C12" s="32">
        <v>37</v>
      </c>
      <c r="D12" s="33"/>
      <c r="E12" s="33"/>
      <c r="F12" s="33"/>
      <c r="G12" s="34"/>
      <c r="H12" s="35">
        <v>169.89</v>
      </c>
      <c r="I12" s="54">
        <f t="shared" si="0"/>
        <v>6285.9299999999994</v>
      </c>
      <c r="J12" s="36"/>
      <c r="K12" s="32">
        <v>2</v>
      </c>
      <c r="L12" s="36"/>
      <c r="M12" s="36"/>
      <c r="N12" s="37">
        <f t="shared" si="14"/>
        <v>0.2857142857142857</v>
      </c>
      <c r="O12" s="38">
        <f t="shared" si="15"/>
        <v>0.14285714285714285</v>
      </c>
      <c r="P12" s="39">
        <f>SUMIFS('Отчет 09-15.02'!H:H,'Отчет 09-15.02'!D:D,"Выручка",'Отчет 09-15.02'!E:E,B12)</f>
        <v>1</v>
      </c>
      <c r="Q12" s="39">
        <f>SUMIFS('Отчет 09-15.02'!H:H,'Отчет 09-15.02'!D:D,"Возврат выручки",'Отчет 09-15.02'!E:E,B12)</f>
        <v>0</v>
      </c>
      <c r="R12" s="40">
        <f t="shared" si="1"/>
        <v>1</v>
      </c>
      <c r="S12" s="41">
        <f>SUMIFS('Отчет 09-15.02'!P:P,'Отчет 09-15.02'!C:C,"Продажи",'Отчет 09-15.02'!E:E,B12)</f>
        <v>1102</v>
      </c>
      <c r="T12" s="42">
        <f>SUMIFS('Отчет 09-15.02'!P:P,'Отчет 09-15.02'!C:C,"Возвраты",'Отчет 09-15.02'!E:E,B12)</f>
        <v>0</v>
      </c>
      <c r="U12" s="40">
        <f t="shared" si="2"/>
        <v>1102</v>
      </c>
      <c r="V12" s="43">
        <f t="shared" si="16"/>
        <v>4.9565737571458761E-3</v>
      </c>
      <c r="W12" s="44">
        <f t="shared" si="3"/>
        <v>169.89</v>
      </c>
      <c r="X12" s="42">
        <f>-SUMIFS('Отчет 09-15.02'!P:P,'Отчет 09-15.02'!C:C,"Вознаграждение Ozon",'Отчет 09-15.02'!E:E,B12)</f>
        <v>473.86</v>
      </c>
      <c r="Y12" s="45">
        <f t="shared" si="4"/>
        <v>0.43</v>
      </c>
      <c r="Z12" s="42">
        <f>-SUMIFS('Отчет 09-15.02'!P:P,'Отчет 09-15.02'!C:C,"Услуги доставки",'Отчет 09-15.02'!E:E,B12)</f>
        <v>124.2</v>
      </c>
      <c r="AA12" s="32">
        <v>0</v>
      </c>
      <c r="AB12" s="55"/>
      <c r="AC12" s="42"/>
      <c r="AD12" s="46">
        <f t="shared" si="17"/>
        <v>4.8369220666483743</v>
      </c>
      <c r="AE12" s="47">
        <f t="shared" si="5"/>
        <v>329.21307793335166</v>
      </c>
      <c r="AF12" s="46"/>
      <c r="AG12" s="48">
        <f t="shared" si="6"/>
        <v>1102</v>
      </c>
      <c r="AH12" s="49">
        <f t="shared" si="7"/>
        <v>169.89</v>
      </c>
      <c r="AI12" s="49">
        <f t="shared" si="8"/>
        <v>473.86</v>
      </c>
      <c r="AJ12" s="49">
        <f t="shared" si="9"/>
        <v>124.2</v>
      </c>
      <c r="AK12" s="49">
        <f t="shared" si="10"/>
        <v>0</v>
      </c>
      <c r="AL12" s="49">
        <f t="array" ref="AL12">_xlfn.IFS(R12=0,AE12,R12&lt;0,AE12/-R12,R12&gt;0,AE12/R12)</f>
        <v>329.21307793335166</v>
      </c>
      <c r="AM12" s="50">
        <f t="shared" si="11"/>
        <v>0.29874145003026464</v>
      </c>
      <c r="AN12" s="51">
        <f t="shared" si="12"/>
        <v>1.9378013887418428</v>
      </c>
      <c r="AP12" s="53">
        <f t="shared" si="13"/>
        <v>12180.883883534012</v>
      </c>
    </row>
    <row r="13" spans="1:42">
      <c r="A13" s="30">
        <v>2730130553</v>
      </c>
      <c r="B13" s="31" t="s">
        <v>48</v>
      </c>
      <c r="C13" s="32">
        <v>16</v>
      </c>
      <c r="D13" s="33"/>
      <c r="E13" s="33"/>
      <c r="F13" s="33"/>
      <c r="G13" s="34"/>
      <c r="H13" s="35">
        <v>169.89</v>
      </c>
      <c r="I13" s="54">
        <f t="shared" si="0"/>
        <v>2718.24</v>
      </c>
      <c r="J13" s="36"/>
      <c r="K13" s="32">
        <v>5</v>
      </c>
      <c r="L13" s="36"/>
      <c r="M13" s="36"/>
      <c r="N13" s="37">
        <f t="shared" si="14"/>
        <v>0.7142857142857143</v>
      </c>
      <c r="O13" s="38">
        <f t="shared" si="15"/>
        <v>0.14285714285714285</v>
      </c>
      <c r="P13" s="39">
        <f>SUMIFS('Отчет 09-15.02'!H:H,'Отчет 09-15.02'!D:D,"Выручка",'Отчет 09-15.02'!E:E,B13)</f>
        <v>1</v>
      </c>
      <c r="Q13" s="39">
        <f>SUMIFS('Отчет 09-15.02'!H:H,'Отчет 09-15.02'!D:D,"Возврат выручки",'Отчет 09-15.02'!E:E,B13)</f>
        <v>0</v>
      </c>
      <c r="R13" s="40">
        <f t="shared" si="1"/>
        <v>1</v>
      </c>
      <c r="S13" s="41">
        <f>SUMIFS('Отчет 09-15.02'!P:P,'Отчет 09-15.02'!C:C,"Продажи",'Отчет 09-15.02'!E:E,B13)</f>
        <v>1800</v>
      </c>
      <c r="T13" s="42">
        <f>SUMIFS('Отчет 09-15.02'!P:P,'Отчет 09-15.02'!C:C,"Возвраты",'Отчет 09-15.02'!E:E,B13)</f>
        <v>0</v>
      </c>
      <c r="U13" s="40">
        <f t="shared" si="2"/>
        <v>1800</v>
      </c>
      <c r="V13" s="43">
        <f t="shared" si="16"/>
        <v>8.0960369898934459E-3</v>
      </c>
      <c r="W13" s="44">
        <f t="shared" si="3"/>
        <v>169.89</v>
      </c>
      <c r="X13" s="42">
        <f>-SUMIFS('Отчет 09-15.02'!P:P,'Отчет 09-15.02'!C:C,"Вознаграждение Ozon",'Отчет 09-15.02'!E:E,B13)</f>
        <v>774</v>
      </c>
      <c r="Y13" s="45">
        <f t="shared" si="4"/>
        <v>0.43</v>
      </c>
      <c r="Z13" s="42">
        <f>-SUMIFS('Отчет 09-15.02'!P:P,'Отчет 09-15.02'!C:C,"Услуги доставки",'Отчет 09-15.02'!E:E,B13)</f>
        <v>405.34999999999997</v>
      </c>
      <c r="AA13" s="32">
        <v>300.38</v>
      </c>
      <c r="AB13" s="55"/>
      <c r="AC13" s="42"/>
      <c r="AD13" s="46">
        <f t="shared" si="17"/>
        <v>7.9005986569574178</v>
      </c>
      <c r="AE13" s="47">
        <f t="shared" si="5"/>
        <v>142.47940134304275</v>
      </c>
      <c r="AF13" s="46"/>
      <c r="AG13" s="48">
        <f t="shared" si="6"/>
        <v>1800</v>
      </c>
      <c r="AH13" s="49">
        <f t="shared" si="7"/>
        <v>169.89</v>
      </c>
      <c r="AI13" s="49">
        <f t="shared" si="8"/>
        <v>774</v>
      </c>
      <c r="AJ13" s="49">
        <f t="shared" si="9"/>
        <v>405.34999999999997</v>
      </c>
      <c r="AK13" s="49">
        <f t="shared" si="10"/>
        <v>300.38</v>
      </c>
      <c r="AL13" s="49">
        <f t="array" ref="AL13">_xlfn.IFS(R13=0,AE13,R13&lt;0,AE13/-R13,R13&gt;0,AE13/R13)</f>
        <v>142.47940134304275</v>
      </c>
      <c r="AM13" s="50">
        <f t="shared" si="11"/>
        <v>7.9155222968357086E-2</v>
      </c>
      <c r="AN13" s="51">
        <f t="shared" si="12"/>
        <v>0.8386567858204883</v>
      </c>
      <c r="AP13" s="53">
        <f t="shared" si="13"/>
        <v>2279.670421488684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1</v>
      </c>
      <c r="L14" s="36"/>
      <c r="M14" s="36"/>
      <c r="N14" s="37">
        <f t="shared" si="14"/>
        <v>0.14285714285714285</v>
      </c>
      <c r="O14" s="38">
        <f t="shared" si="15"/>
        <v>0</v>
      </c>
      <c r="P14" s="39">
        <f>SUMIFS('Отчет 09-15.02'!H:H,'Отчет 09-15.02'!D:D,"Выручка",'Отчет 09-15.02'!E:E,B14)</f>
        <v>0</v>
      </c>
      <c r="Q14" s="39">
        <f>SUMIFS('Отчет 09-15.02'!H:H,'Отчет 09-15.02'!D:D,"Возврат выручки",'Отчет 09-15.02'!E:E,B14)</f>
        <v>0</v>
      </c>
      <c r="R14" s="40">
        <f t="shared" si="1"/>
        <v>0</v>
      </c>
      <c r="S14" s="41">
        <f>SUMIFS('Отчет 09-15.02'!P:P,'Отчет 09-15.02'!C:C,"Продажи",'Отчет 09-15.02'!E:E,B14)</f>
        <v>0</v>
      </c>
      <c r="T14" s="42">
        <f>SUMIFS('Отчет 09-15.02'!P:P,'Отчет 09-15.02'!C:C,"Возвраты",'Отчет 09-15.02'!E:E,B14)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09-15.02'!P:P,'Отчет 09-15.02'!C:C,"Вознаграждение Ozon",'Отчет 09-15.02'!E:E,B14)</f>
        <v>0</v>
      </c>
      <c r="Y14" s="45">
        <f t="shared" si="4"/>
        <v>0</v>
      </c>
      <c r="Z14" s="42">
        <f>-SUMIFS('Отчет 09-15.02'!P:P,'Отчет 09-15.02'!C:C,"Услуги доставки",'Отчет 09-15.02'!E:E,B14)</f>
        <v>0</v>
      </c>
      <c r="AA14" s="32">
        <v>387.09</v>
      </c>
      <c r="AB14" s="55"/>
      <c r="AC14" s="42"/>
      <c r="AD14" s="46">
        <f t="shared" si="17"/>
        <v>0</v>
      </c>
      <c r="AE14" s="47">
        <f t="shared" si="5"/>
        <v>-387.09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-387.09</v>
      </c>
      <c r="AM14" s="50">
        <f t="shared" si="11"/>
        <v>0</v>
      </c>
      <c r="AN14" s="51">
        <f t="shared" si="12"/>
        <v>-2.2784743069044677</v>
      </c>
      <c r="AP14" s="53">
        <f t="shared" si="13"/>
        <v>-387.09</v>
      </c>
    </row>
    <row r="15" spans="1:42" ht="13.75" customHeight="1">
      <c r="A15" s="30">
        <v>2730130141</v>
      </c>
      <c r="B15" s="31" t="s">
        <v>50</v>
      </c>
      <c r="C15" s="32">
        <v>27</v>
      </c>
      <c r="D15" s="33"/>
      <c r="E15" s="33"/>
      <c r="F15" s="33"/>
      <c r="G15" s="34"/>
      <c r="H15" s="35">
        <v>169.89</v>
      </c>
      <c r="I15" s="54">
        <f t="shared" si="0"/>
        <v>4587.03</v>
      </c>
      <c r="J15" s="36"/>
      <c r="K15" s="32">
        <v>6</v>
      </c>
      <c r="L15" s="36"/>
      <c r="M15" s="36"/>
      <c r="N15" s="37">
        <f t="shared" si="14"/>
        <v>0.8571428571428571</v>
      </c>
      <c r="O15" s="38">
        <f t="shared" si="15"/>
        <v>0.14285714285714285</v>
      </c>
      <c r="P15" s="39">
        <f>SUMIFS('Отчет 09-15.02'!H:H,'Отчет 09-15.02'!D:D,"Выручка",'Отчет 09-15.02'!E:E,B15)</f>
        <v>1</v>
      </c>
      <c r="Q15" s="39">
        <f>SUMIFS('Отчет 09-15.02'!H:H,'Отчет 09-15.02'!D:D,"Возврат выручки",'Отчет 09-15.02'!E:E,B15)</f>
        <v>0</v>
      </c>
      <c r="R15" s="40">
        <f t="shared" si="1"/>
        <v>1</v>
      </c>
      <c r="S15" s="41">
        <f>SUMIFS('Отчет 09-15.02'!P:P,'Отчет 09-15.02'!C:C,"Продажи",'Отчет 09-15.02'!E:E,B15)</f>
        <v>2100</v>
      </c>
      <c r="T15" s="42">
        <f>SUMIFS('Отчет 09-15.02'!P:P,'Отчет 09-15.02'!C:C,"Возвраты",'Отчет 09-15.02'!E:E,B15)</f>
        <v>0</v>
      </c>
      <c r="U15" s="40">
        <f t="shared" si="2"/>
        <v>2100</v>
      </c>
      <c r="V15" s="43">
        <f t="shared" si="16"/>
        <v>9.4453764882090202E-3</v>
      </c>
      <c r="W15" s="44">
        <f t="shared" si="3"/>
        <v>169.89</v>
      </c>
      <c r="X15" s="42">
        <f>-SUMIFS('Отчет 09-15.02'!P:P,'Отчет 09-15.02'!C:C,"Вознаграждение Ozon",'Отчет 09-15.02'!E:E,B15)</f>
        <v>903</v>
      </c>
      <c r="Y15" s="45">
        <f t="shared" si="4"/>
        <v>0.43</v>
      </c>
      <c r="Z15" s="42">
        <f>-SUMIFS('Отчет 09-15.02'!P:P,'Отчет 09-15.02'!C:C,"Услуги доставки",'Отчет 09-15.02'!E:E,B15)</f>
        <v>240.48000000000002</v>
      </c>
      <c r="AA15" s="32">
        <v>897</v>
      </c>
      <c r="AB15" s="55"/>
      <c r="AC15" s="42"/>
      <c r="AD15" s="46">
        <f t="shared" si="17"/>
        <v>9.2173650997836543</v>
      </c>
      <c r="AE15" s="47">
        <f t="shared" si="5"/>
        <v>-119.58736509978354</v>
      </c>
      <c r="AF15" s="46"/>
      <c r="AG15" s="48">
        <f t="shared" si="6"/>
        <v>2100</v>
      </c>
      <c r="AH15" s="49">
        <f t="shared" si="7"/>
        <v>169.89</v>
      </c>
      <c r="AI15" s="49">
        <f t="shared" si="8"/>
        <v>903</v>
      </c>
      <c r="AJ15" s="49">
        <f t="shared" si="9"/>
        <v>240.48000000000002</v>
      </c>
      <c r="AK15" s="49">
        <f t="shared" si="10"/>
        <v>897</v>
      </c>
      <c r="AL15" s="49">
        <f t="array" ref="AL15">_xlfn.IFS(R15=0,AE15,R15&lt;0,AE15/-R15,R15&gt;0,AE15/R15)</f>
        <v>-119.58736509978354</v>
      </c>
      <c r="AM15" s="50">
        <f t="shared" si="11"/>
        <v>-5.6946364333230255E-2</v>
      </c>
      <c r="AN15" s="51">
        <f t="shared" si="12"/>
        <v>-0.7039105603613135</v>
      </c>
      <c r="AP15" s="53">
        <f t="shared" si="13"/>
        <v>-3228.8588576941556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1</v>
      </c>
      <c r="L16" s="36"/>
      <c r="M16" s="36"/>
      <c r="N16" s="37">
        <f t="shared" si="14"/>
        <v>0.14285714285714285</v>
      </c>
      <c r="O16" s="38">
        <f t="shared" si="15"/>
        <v>0</v>
      </c>
      <c r="P16" s="39">
        <f>SUMIFS('Отчет 09-15.02'!H:H,'Отчет 09-15.02'!D:D,"Выручка",'Отчет 09-15.02'!E:E,B16)</f>
        <v>0</v>
      </c>
      <c r="Q16" s="39">
        <f>SUMIFS('Отчет 09-15.02'!H:H,'Отчет 09-15.02'!D:D,"Возврат выручки",'Отчет 09-15.02'!E:E,B16)</f>
        <v>0</v>
      </c>
      <c r="R16" s="40">
        <f t="shared" si="1"/>
        <v>0</v>
      </c>
      <c r="S16" s="41">
        <f>SUMIFS('Отчет 09-15.02'!P:P,'Отчет 09-15.02'!C:C,"Продажи",'Отчет 09-15.02'!E:E,B16)</f>
        <v>0</v>
      </c>
      <c r="T16" s="42">
        <f>SUMIFS('Отчет 09-15.02'!P:P,'Отчет 09-15.02'!C:C,"Возвраты",'Отчет 09-15.02'!E:E,B16)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09-15.02'!P:P,'Отчет 09-15.02'!C:C,"Вознаграждение Ozon",'Отчет 09-15.02'!E:E,B16)</f>
        <v>0</v>
      </c>
      <c r="Y16" s="45">
        <f t="shared" si="4"/>
        <v>0</v>
      </c>
      <c r="Z16" s="42">
        <f>-SUMIFS('Отчет 09-15.02'!P:P,'Отчет 09-15.02'!C:C,"Услуги доставки",'Отчет 09-15.02'!E:E,B16)</f>
        <v>93.54</v>
      </c>
      <c r="AA16" s="32">
        <v>475.64</v>
      </c>
      <c r="AB16" s="55"/>
      <c r="AC16" s="42"/>
      <c r="AD16" s="46">
        <f t="shared" si="17"/>
        <v>0</v>
      </c>
      <c r="AE16" s="47">
        <f t="shared" si="5"/>
        <v>-569.17999999999995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-569.17999999999995</v>
      </c>
      <c r="AM16" s="50">
        <f t="shared" si="11"/>
        <v>0</v>
      </c>
      <c r="AN16" s="51">
        <f t="shared" si="12"/>
        <v>-3.3502854788392491</v>
      </c>
      <c r="AP16" s="53">
        <f t="shared" si="13"/>
        <v>-10814.419999999998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09-15.02'!H:H,'Отчет 09-15.02'!D:D,"Выручка",'Отчет 09-15.02'!E:E,B17)</f>
        <v>0</v>
      </c>
      <c r="Q17" s="39">
        <f>SUMIFS('Отчет 09-15.02'!H:H,'Отчет 09-15.02'!D:D,"Возврат выручки",'Отчет 09-15.02'!E:E,B17)</f>
        <v>0</v>
      </c>
      <c r="R17" s="40">
        <f t="shared" si="1"/>
        <v>0</v>
      </c>
      <c r="S17" s="41">
        <f>SUMIFS('Отчет 09-15.02'!P:P,'Отчет 09-15.02'!C:C,"Продажи",'Отчет 09-15.02'!E:E,B17)</f>
        <v>0</v>
      </c>
      <c r="T17" s="42">
        <f>SUMIFS('Отчет 09-15.02'!P:P,'Отчет 09-15.02'!C:C,"Возвраты",'Отчет 09-15.02'!E:E,B17)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09-15.02'!P:P,'Отчет 09-15.02'!C:C,"Вознаграждение Ozon",'Отчет 09-15.02'!E:E,B17)</f>
        <v>0</v>
      </c>
      <c r="Y17" s="45">
        <f t="shared" si="4"/>
        <v>0</v>
      </c>
      <c r="Z17" s="42">
        <f>-SUMIFS('Отчет 09-15.02'!P:P,'Отчет 09-15.02'!C:C,"Услуги доставки",'Отчет 09-15.02'!E:E,B17)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09-15.02'!H:H,'Отчет 09-15.02'!D:D,"Выручка",'Отчет 09-15.02'!E:E,B18)</f>
        <v>0</v>
      </c>
      <c r="Q18" s="39">
        <f>SUMIFS('Отчет 09-15.02'!H:H,'Отчет 09-15.02'!D:D,"Возврат выручки",'Отчет 09-15.02'!E:E,B18)</f>
        <v>0</v>
      </c>
      <c r="R18" s="40">
        <f t="shared" si="1"/>
        <v>0</v>
      </c>
      <c r="S18" s="41">
        <f>SUMIFS('Отчет 09-15.02'!P:P,'Отчет 09-15.02'!C:C,"Продажи",'Отчет 09-15.02'!E:E,B18)</f>
        <v>0</v>
      </c>
      <c r="T18" s="42">
        <f>SUMIFS('Отчет 09-15.02'!P:P,'Отчет 09-15.02'!C:C,"Возвраты",'Отчет 09-15.02'!E:E,B18)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09-15.02'!P:P,'Отчет 09-15.02'!C:C,"Вознаграждение Ozon",'Отчет 09-15.02'!E:E,B18)</f>
        <v>0</v>
      </c>
      <c r="Y18" s="45">
        <f t="shared" si="4"/>
        <v>0</v>
      </c>
      <c r="Z18" s="42">
        <f>-SUMIFS('Отчет 09-15.02'!P:P,'Отчет 09-15.02'!C:C,"Услуги доставки",'Отчет 09-15.02'!E:E,B18)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0</v>
      </c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4"/>
        <v>0.14285714285714285</v>
      </c>
      <c r="O19" s="38">
        <f t="shared" si="15"/>
        <v>0</v>
      </c>
      <c r="P19" s="39">
        <f>SUMIFS('Отчет 09-15.02'!H:H,'Отчет 09-15.02'!D:D,"Выручка",'Отчет 09-15.02'!E:E,B19)</f>
        <v>0</v>
      </c>
      <c r="Q19" s="39">
        <f>SUMIFS('Отчет 09-15.02'!H:H,'Отчет 09-15.02'!D:D,"Возврат выручки",'Отчет 09-15.02'!E:E,B19)</f>
        <v>0</v>
      </c>
      <c r="R19" s="40">
        <f t="shared" si="1"/>
        <v>0</v>
      </c>
      <c r="S19" s="41">
        <f>SUMIFS('Отчет 09-15.02'!P:P,'Отчет 09-15.02'!C:C,"Продажи",'Отчет 09-15.02'!E:E,B19)</f>
        <v>0</v>
      </c>
      <c r="T19" s="42">
        <f>SUMIFS('Отчет 09-15.02'!P:P,'Отчет 09-15.02'!C:C,"Возвраты",'Отчет 09-15.02'!E:E,B19)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09-15.02'!P:P,'Отчет 09-15.02'!C:C,"Вознаграждение Ozon",'Отчет 09-15.02'!E:E,B19)</f>
        <v>0</v>
      </c>
      <c r="Y19" s="45">
        <f t="shared" si="4"/>
        <v>0</v>
      </c>
      <c r="Z19" s="42">
        <f>-SUMIFS('Отчет 09-15.02'!P:P,'Отчет 09-15.02'!C:C,"Услуги доставки",'Отчет 09-15.02'!E:E,B19)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-0.14285714285714285</v>
      </c>
      <c r="P20" s="39">
        <f>SUMIFS('Отчет 09-15.02'!H:H,'Отчет 09-15.02'!D:D,"Выручка",'Отчет 09-15.02'!E:E,B20)</f>
        <v>0</v>
      </c>
      <c r="Q20" s="39">
        <f>SUMIFS('Отчет 09-15.02'!H:H,'Отчет 09-15.02'!D:D,"Возврат выручки",'Отчет 09-15.02'!E:E,B20)</f>
        <v>1</v>
      </c>
      <c r="R20" s="40">
        <f t="shared" si="1"/>
        <v>-1</v>
      </c>
      <c r="S20" s="41">
        <f>SUMIFS('Отчет 09-15.02'!P:P,'Отчет 09-15.02'!C:C,"Продажи",'Отчет 09-15.02'!E:E,B20)</f>
        <v>0</v>
      </c>
      <c r="T20" s="42">
        <f>SUMIFS('Отчет 09-15.02'!P:P,'Отчет 09-15.02'!C:C,"Возвраты",'Отчет 09-15.02'!E:E,B20)</f>
        <v>-3185</v>
      </c>
      <c r="U20" s="40">
        <f t="shared" si="2"/>
        <v>-3185</v>
      </c>
      <c r="V20" s="43">
        <f t="shared" si="16"/>
        <v>-1.4325487673783681E-2</v>
      </c>
      <c r="W20" s="44">
        <f t="shared" si="3"/>
        <v>-932.62</v>
      </c>
      <c r="X20" s="42">
        <f>-SUMIFS('Отчет 09-15.02'!P:P,'Отчет 09-15.02'!C:C,"Вознаграждение Ozon",'Отчет 09-15.02'!E:E,B20)</f>
        <v>-1369.55</v>
      </c>
      <c r="Y20" s="45">
        <f t="shared" si="4"/>
        <v>0.43</v>
      </c>
      <c r="Z20" s="42">
        <f>-SUMIFS('Отчет 09-15.02'!P:P,'Отчет 09-15.02'!C:C,"Услуги доставки",'Отчет 09-15.02'!E:E,B20)</f>
        <v>56.94</v>
      </c>
      <c r="AA20" s="32">
        <v>0</v>
      </c>
      <c r="AB20" s="55"/>
      <c r="AC20" s="42"/>
      <c r="AD20" s="46">
        <f t="shared" si="17"/>
        <v>-13.979670401338543</v>
      </c>
      <c r="AE20" s="47">
        <f t="shared" si="5"/>
        <v>-925.79032959866163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56.94</v>
      </c>
      <c r="AK20" s="49">
        <f t="shared" si="10"/>
        <v>0</v>
      </c>
      <c r="AL20" s="49">
        <f t="array" ref="AL20">_xlfn.IFS(R20=0,AE20,R20&lt;0,AE20/-R20,R20&gt;0,AE20/R20)</f>
        <v>-925.79032959866163</v>
      </c>
      <c r="AM20" s="50">
        <f t="shared" si="11"/>
        <v>-0.29067200301370849</v>
      </c>
      <c r="AN20" s="51">
        <f t="shared" si="12"/>
        <v>-0.99267689905713108</v>
      </c>
      <c r="AP20" s="53">
        <f t="shared" si="13"/>
        <v>-925.79032959866163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09-15.02'!H:H,'Отчет 09-15.02'!D:D,"Выручка",'Отчет 09-15.02'!E:E,B21)</f>
        <v>0</v>
      </c>
      <c r="Q21" s="39">
        <f>SUMIFS('Отчет 09-15.02'!H:H,'Отчет 09-15.02'!D:D,"Возврат выручки",'Отчет 09-15.02'!E:E,B21)</f>
        <v>0</v>
      </c>
      <c r="R21" s="40">
        <f t="shared" si="1"/>
        <v>0</v>
      </c>
      <c r="S21" s="41">
        <f>SUMIFS('Отчет 09-15.02'!P:P,'Отчет 09-15.02'!C:C,"Продажи",'Отчет 09-15.02'!E:E,B21)</f>
        <v>0</v>
      </c>
      <c r="T21" s="42">
        <f>SUMIFS('Отчет 09-15.02'!P:P,'Отчет 09-15.02'!C:C,"Возвраты",'Отчет 09-15.02'!E:E,B21)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09-15.02'!P:P,'Отчет 09-15.02'!C:C,"Вознаграждение Ozon",'Отчет 09-15.02'!E:E,B21)</f>
        <v>0</v>
      </c>
      <c r="Y21" s="45">
        <f t="shared" si="4"/>
        <v>0</v>
      </c>
      <c r="Z21" s="42">
        <f>-SUMIFS('Отчет 09-15.02'!P:P,'Отчет 09-15.02'!C:C,"Услуги доставки",'Отчет 09-15.02'!E:E,B21)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09-15.02'!H:H,'Отчет 09-15.02'!D:D,"Выручка",'Отчет 09-15.02'!E:E,B22)</f>
        <v>0</v>
      </c>
      <c r="Q22" s="39">
        <f>SUMIFS('Отчет 09-15.02'!H:H,'Отчет 09-15.02'!D:D,"Возврат выручки",'Отчет 09-15.02'!E:E,B22)</f>
        <v>0</v>
      </c>
      <c r="R22" s="40">
        <f t="shared" si="1"/>
        <v>0</v>
      </c>
      <c r="S22" s="41">
        <f>SUMIFS('Отчет 09-15.02'!P:P,'Отчет 09-15.02'!C:C,"Продажи",'Отчет 09-15.02'!E:E,B22)</f>
        <v>0</v>
      </c>
      <c r="T22" s="42">
        <f>SUMIFS('Отчет 09-15.02'!P:P,'Отчет 09-15.02'!C:C,"Возвраты",'Отчет 09-15.02'!E:E,B22)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09-15.02'!P:P,'Отчет 09-15.02'!C:C,"Вознаграждение Ozon",'Отчет 09-15.02'!E:E,B22)</f>
        <v>0</v>
      </c>
      <c r="Y22" s="45">
        <f t="shared" si="4"/>
        <v>0</v>
      </c>
      <c r="Z22" s="42">
        <f>-SUMIFS('Отчет 09-15.02'!P:P,'Отчет 09-15.02'!C:C,"Услуги доставки",'Отчет 09-15.02'!E:E,B22)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09-15.02'!H:H,'Отчет 09-15.02'!D:D,"Выручка",'Отчет 09-15.02'!E:E,B23)</f>
        <v>0</v>
      </c>
      <c r="Q23" s="39">
        <f>SUMIFS('Отчет 09-15.02'!H:H,'Отчет 09-15.02'!D:D,"Возврат выручки",'Отчет 09-15.02'!E:E,B23)</f>
        <v>0</v>
      </c>
      <c r="R23" s="40">
        <f t="shared" si="1"/>
        <v>0</v>
      </c>
      <c r="S23" s="41">
        <f>SUMIFS('Отчет 09-15.02'!P:P,'Отчет 09-15.02'!C:C,"Продажи",'Отчет 09-15.02'!E:E,B23)</f>
        <v>0</v>
      </c>
      <c r="T23" s="42">
        <f>SUMIFS('Отчет 09-15.02'!P:P,'Отчет 09-15.02'!C:C,"Возвраты",'Отчет 09-15.02'!E:E,B23)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09-15.02'!P:P,'Отчет 09-15.02'!C:C,"Вознаграждение Ozon",'Отчет 09-15.02'!E:E,B23)</f>
        <v>0</v>
      </c>
      <c r="Y23" s="45">
        <f t="shared" si="4"/>
        <v>0</v>
      </c>
      <c r="Z23" s="42">
        <f>-SUMIFS('Отчет 09-15.02'!P:P,'Отчет 09-15.02'!C:C,"Услуги доставки",'Отчет 09-15.02'!E:E,B23)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09-15.02'!H:H,'Отчет 09-15.02'!D:D,"Выручка",'Отчет 09-15.02'!E:E,B24)</f>
        <v>0</v>
      </c>
      <c r="Q24" s="39">
        <f>SUMIFS('Отчет 09-15.02'!H:H,'Отчет 09-15.02'!D:D,"Возврат выручки",'Отчет 09-15.02'!E:E,B24)</f>
        <v>0</v>
      </c>
      <c r="R24" s="40">
        <f t="shared" si="1"/>
        <v>0</v>
      </c>
      <c r="S24" s="41">
        <f>SUMIFS('Отчет 09-15.02'!P:P,'Отчет 09-15.02'!C:C,"Продажи",'Отчет 09-15.02'!E:E,B24)</f>
        <v>0</v>
      </c>
      <c r="T24" s="42">
        <f>SUMIFS('Отчет 09-15.02'!P:P,'Отчет 09-15.02'!C:C,"Возвраты",'Отчет 09-15.02'!E:E,B24)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09-15.02'!P:P,'Отчет 09-15.02'!C:C,"Вознаграждение Ozon",'Отчет 09-15.02'!E:E,B24)</f>
        <v>0</v>
      </c>
      <c r="Y24" s="45">
        <f t="shared" si="4"/>
        <v>0</v>
      </c>
      <c r="Z24" s="42">
        <f>-SUMIFS('Отчет 09-15.02'!P:P,'Отчет 09-15.02'!C:C,"Услуги доставки",'Отчет 09-15.02'!E:E,B24)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2087</v>
      </c>
      <c r="AH25" s="58">
        <f t="shared" si="18"/>
        <v>447.87636363636369</v>
      </c>
      <c r="AI25" s="58">
        <f t="shared" si="18"/>
        <v>897.40999999999985</v>
      </c>
      <c r="AJ25" s="58">
        <f t="shared" si="18"/>
        <v>189.48891275797376</v>
      </c>
      <c r="AK25" s="58">
        <f t="shared" si="18"/>
        <v>535.43003920261322</v>
      </c>
      <c r="AL25" s="58">
        <f t="shared" si="18"/>
        <v>-69.75745235188451</v>
      </c>
      <c r="AM25" s="59">
        <f t="shared" si="18"/>
        <v>0.12504484053092207</v>
      </c>
      <c r="AN25" s="59">
        <f t="shared" si="18"/>
        <v>-6.6525574150738911E-2</v>
      </c>
      <c r="AO25" s="60"/>
      <c r="AP25" s="61"/>
    </row>
    <row r="26" spans="1:52">
      <c r="A26" s="62" t="s">
        <v>60</v>
      </c>
      <c r="B26" s="63"/>
      <c r="C26" s="64">
        <f>SUM(C3:C24)</f>
        <v>5229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676015.05000000016</v>
      </c>
      <c r="J26" s="67"/>
      <c r="K26" s="64">
        <f>SUM(K3:K24)</f>
        <v>121</v>
      </c>
      <c r="L26" s="67"/>
      <c r="M26" s="67"/>
      <c r="N26" s="68"/>
      <c r="O26" s="69"/>
      <c r="P26" s="64">
        <f>SUM(P3:P24)</f>
        <v>60</v>
      </c>
      <c r="Q26" s="64">
        <f t="shared" ref="Q26:AE26" si="19">SUM(Q3:Q24)</f>
        <v>2</v>
      </c>
      <c r="R26" s="64">
        <f t="shared" si="19"/>
        <v>58</v>
      </c>
      <c r="S26" s="70">
        <f>SUM(S3:S24)</f>
        <v>125456.00000000003</v>
      </c>
      <c r="T26" s="64">
        <f t="shared" si="19"/>
        <v>-4877</v>
      </c>
      <c r="U26" s="64">
        <f t="shared" si="19"/>
        <v>120579.00000000003</v>
      </c>
      <c r="V26" s="71">
        <f t="shared" si="19"/>
        <v>0.54234002455797881</v>
      </c>
      <c r="W26" s="64">
        <f t="shared" si="19"/>
        <v>7423.19</v>
      </c>
      <c r="X26" s="64">
        <f t="shared" si="19"/>
        <v>51848.97</v>
      </c>
      <c r="Y26" s="72">
        <f>IF(U26=0,0,X26/U26)</f>
        <v>0.42999999999999988</v>
      </c>
      <c r="Z26" s="64">
        <f t="shared" si="19"/>
        <v>13659.900000000018</v>
      </c>
      <c r="AA26" s="64">
        <f>IFERROR(P26*AA51/P51,0)</f>
        <v>32650.368292682924</v>
      </c>
      <c r="AB26" s="64">
        <f t="shared" si="19"/>
        <v>0</v>
      </c>
      <c r="AC26" s="64">
        <f t="shared" si="19"/>
        <v>0</v>
      </c>
      <c r="AD26" s="73">
        <f t="shared" si="19"/>
        <v>529.24793636514926</v>
      </c>
      <c r="AE26" s="74">
        <f t="shared" si="19"/>
        <v>20177.358490634859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-390425.37781844538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26940.333573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53</v>
      </c>
      <c r="D28" s="33"/>
      <c r="E28" s="33"/>
      <c r="F28" s="33"/>
      <c r="G28" s="34"/>
      <c r="H28" s="84">
        <v>672</v>
      </c>
      <c r="I28" s="54">
        <f t="shared" ref="I28:I46" si="20">C28*H28</f>
        <v>35616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09-15.02'!H:H,'Отчет 09-15.02'!D:D,"Выручка",'Отчет 09-15.02'!E:E,B28)</f>
        <v>0</v>
      </c>
      <c r="Q28" s="39">
        <f>SUMIFS('Отчет 09-15.02'!H:H,'Отчет 09-15.02'!D:D,"Возврат выручки",'Отчет 09-15.02'!E:E,B28)</f>
        <v>0</v>
      </c>
      <c r="R28" s="40">
        <f t="shared" ref="R28:R47" si="23">P28-Q28</f>
        <v>0</v>
      </c>
      <c r="S28" s="41">
        <f>SUMIFS('Отчет 09-15.02'!P:P,'Отчет 09-15.02'!C:C,"Продажи",'Отчет 09-15.02'!E:E,B28)</f>
        <v>0</v>
      </c>
      <c r="T28" s="42">
        <f>SUMIFS('Отчет 09-15.02'!P:P,'Отчет 09-15.02'!C:C,"Возвраты",'Отчет 09-15.02'!E:E,B28)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09-15.02'!P:P,'Отчет 09-15.02'!C:C,"Вознаграждение Ozon",'Отчет 09-15.02'!E:E,B28)</f>
        <v>0</v>
      </c>
      <c r="Y28" s="45">
        <f t="shared" ref="Y28:Y47" si="27">IF(U28=0,0,X28/U28)</f>
        <v>0</v>
      </c>
      <c r="Z28" s="42">
        <f>-SUMIFS('Отчет 09-15.02'!P:P,'Отчет 09-15.02'!C:C,"Услуги доставки",'Отчет 09-15.02'!E:E,B28)</f>
        <v>0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>
        <v>46</v>
      </c>
      <c r="D29" s="33"/>
      <c r="E29" s="33"/>
      <c r="F29" s="33"/>
      <c r="G29" s="34"/>
      <c r="H29" s="84">
        <v>627</v>
      </c>
      <c r="I29" s="54">
        <f t="shared" si="20"/>
        <v>28842</v>
      </c>
      <c r="J29" s="36"/>
      <c r="K29" s="32">
        <v>2</v>
      </c>
      <c r="L29" s="36"/>
      <c r="M29" s="36"/>
      <c r="N29" s="37">
        <f t="shared" si="21"/>
        <v>0.2857142857142857</v>
      </c>
      <c r="O29" s="38">
        <f t="shared" si="22"/>
        <v>0.14285714285714285</v>
      </c>
      <c r="P29" s="39">
        <f>SUMIFS('Отчет 09-15.02'!H:H,'Отчет 09-15.02'!D:D,"Выручка",'Отчет 09-15.02'!E:E,B29)</f>
        <v>1</v>
      </c>
      <c r="Q29" s="39">
        <f>SUMIFS('Отчет 09-15.02'!H:H,'Отчет 09-15.02'!D:D,"Возврат выручки",'Отчет 09-15.02'!E:E,B29)</f>
        <v>0</v>
      </c>
      <c r="R29" s="40">
        <f t="shared" si="23"/>
        <v>1</v>
      </c>
      <c r="S29" s="41">
        <f>SUMIFS('Отчет 09-15.02'!P:P,'Отчет 09-15.02'!C:C,"Продажи",'Отчет 09-15.02'!E:E,B29)</f>
        <v>5000</v>
      </c>
      <c r="T29" s="42">
        <f>SUMIFS('Отчет 09-15.02'!P:P,'Отчет 09-15.02'!C:C,"Возвраты",'Отчет 09-15.02'!E:E,B29)</f>
        <v>0</v>
      </c>
      <c r="U29" s="40">
        <f t="shared" si="24"/>
        <v>5000</v>
      </c>
      <c r="V29" s="43">
        <f t="shared" si="25"/>
        <v>2.2488991638592908E-2</v>
      </c>
      <c r="W29" s="44">
        <f t="shared" si="26"/>
        <v>627</v>
      </c>
      <c r="X29" s="42">
        <f>-SUMIFS('Отчет 09-15.02'!P:P,'Отчет 09-15.02'!C:C,"Вознаграждение Ozon",'Отчет 09-15.02'!E:E,B29)</f>
        <v>2150</v>
      </c>
      <c r="Y29" s="45">
        <f t="shared" si="27"/>
        <v>0.43</v>
      </c>
      <c r="Z29" s="42">
        <f>-SUMIFS('Отчет 09-15.02'!P:P,'Отчет 09-15.02'!C:C,"Услуги доставки",'Отчет 09-15.02'!E:E,B29)</f>
        <v>250.31</v>
      </c>
      <c r="AA29" s="32">
        <v>0</v>
      </c>
      <c r="AB29" s="55"/>
      <c r="AC29" s="42"/>
      <c r="AD29" s="46">
        <f t="shared" si="28"/>
        <v>21.946107380437272</v>
      </c>
      <c r="AE29" s="47">
        <f t="shared" si="29"/>
        <v>1950.7438926195628</v>
      </c>
      <c r="AF29" s="46"/>
      <c r="AG29" s="48">
        <f t="shared" si="30"/>
        <v>5000</v>
      </c>
      <c r="AH29" s="49">
        <f t="shared" si="31"/>
        <v>627</v>
      </c>
      <c r="AI29" s="49">
        <f t="shared" si="32"/>
        <v>2150</v>
      </c>
      <c r="AJ29" s="49">
        <f t="shared" si="33"/>
        <v>250.31</v>
      </c>
      <c r="AK29" s="49">
        <f t="shared" si="34"/>
        <v>0</v>
      </c>
      <c r="AL29" s="49">
        <f t="array" ref="AL29">_xlfn.IFS(R29=0,AE29,R29&lt;0,AE29/-R29,R29&gt;0,AE29/R29)</f>
        <v>1950.7438926195628</v>
      </c>
      <c r="AM29" s="50">
        <f t="shared" si="35"/>
        <v>0.39014877852391255</v>
      </c>
      <c r="AN29" s="51">
        <f t="shared" si="36"/>
        <v>3.1112342785000999</v>
      </c>
      <c r="AP29" s="53">
        <f t="shared" si="37"/>
        <v>89734.21906049989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09-15.02'!H:H,'Отчет 09-15.02'!D:D,"Выручка",'Отчет 09-15.02'!E:E,B30)</f>
        <v>0</v>
      </c>
      <c r="Q30" s="39">
        <f>SUMIFS('Отчет 09-15.02'!H:H,'Отчет 09-15.02'!D:D,"Возврат выручки",'Отчет 09-15.02'!E:E,B30)</f>
        <v>0</v>
      </c>
      <c r="R30" s="40">
        <f t="shared" si="23"/>
        <v>0</v>
      </c>
      <c r="S30" s="41">
        <f>SUMIFS('Отчет 09-15.02'!P:P,'Отчет 09-15.02'!C:C,"Продажи",'Отчет 09-15.02'!E:E,B30)</f>
        <v>0</v>
      </c>
      <c r="T30" s="42">
        <f>SUMIFS('Отчет 09-15.02'!P:P,'Отчет 09-15.02'!C:C,"Возвраты",'Отчет 09-15.02'!E:E,B30)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09-15.02'!P:P,'Отчет 09-15.02'!C:C,"Вознаграждение Ozon",'Отчет 09-15.02'!E:E,B30)</f>
        <v>0</v>
      </c>
      <c r="Y30" s="45">
        <f t="shared" si="27"/>
        <v>0</v>
      </c>
      <c r="Z30" s="42">
        <f>-SUMIFS('Отчет 09-15.02'!P:P,'Отчет 09-15.02'!C:C,"Услуги доставки",'Отчет 09-15.02'!E:E,B30)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-4782.96</v>
      </c>
    </row>
    <row r="31" spans="1:52">
      <c r="A31" s="30">
        <v>2774720465</v>
      </c>
      <c r="B31" s="31" t="s">
        <v>64</v>
      </c>
      <c r="C31" s="32">
        <v>14</v>
      </c>
      <c r="D31" s="33"/>
      <c r="E31" s="33"/>
      <c r="F31" s="33"/>
      <c r="G31" s="34"/>
      <c r="H31" s="84">
        <v>567</v>
      </c>
      <c r="I31" s="54">
        <f t="shared" si="20"/>
        <v>7938</v>
      </c>
      <c r="J31" s="36"/>
      <c r="K31" s="32">
        <v>2</v>
      </c>
      <c r="L31" s="36"/>
      <c r="M31" s="36"/>
      <c r="N31" s="37">
        <f t="shared" si="21"/>
        <v>0.2857142857142857</v>
      </c>
      <c r="O31" s="38">
        <f t="shared" si="22"/>
        <v>0.14285714285714285</v>
      </c>
      <c r="P31" s="39">
        <f>SUMIFS('Отчет 09-15.02'!H:H,'Отчет 09-15.02'!D:D,"Выручка",'Отчет 09-15.02'!E:E,B31)</f>
        <v>1</v>
      </c>
      <c r="Q31" s="39">
        <f>SUMIFS('Отчет 09-15.02'!H:H,'Отчет 09-15.02'!D:D,"Возврат выручки",'Отчет 09-15.02'!E:E,B31)</f>
        <v>0</v>
      </c>
      <c r="R31" s="40">
        <f t="shared" si="23"/>
        <v>1</v>
      </c>
      <c r="S31" s="41">
        <f>SUMIFS('Отчет 09-15.02'!P:P,'Отчет 09-15.02'!C:C,"Продажи",'Отчет 09-15.02'!E:E,B31)</f>
        <v>4300</v>
      </c>
      <c r="T31" s="42">
        <f>SUMIFS('Отчет 09-15.02'!P:P,'Отчет 09-15.02'!C:C,"Возвраты",'Отчет 09-15.02'!E:E,B31)</f>
        <v>0</v>
      </c>
      <c r="U31" s="40">
        <f t="shared" si="24"/>
        <v>4300</v>
      </c>
      <c r="V31" s="43">
        <f t="shared" si="25"/>
        <v>1.93405328091899E-2</v>
      </c>
      <c r="W31" s="44">
        <f t="shared" si="26"/>
        <v>567</v>
      </c>
      <c r="X31" s="42">
        <f>-SUMIFS('Отчет 09-15.02'!P:P,'Отчет 09-15.02'!C:C,"Вознаграждение Ozon",'Отчет 09-15.02'!E:E,B31)</f>
        <v>1849</v>
      </c>
      <c r="Y31" s="45">
        <f t="shared" si="27"/>
        <v>0.43</v>
      </c>
      <c r="Z31" s="42">
        <f>-SUMIFS('Отчет 09-15.02'!P:P,'Отчет 09-15.02'!C:C,"Услуги доставки",'Отчет 09-15.02'!E:E,B31)</f>
        <v>236.42</v>
      </c>
      <c r="AA31" s="32">
        <v>0</v>
      </c>
      <c r="AB31" s="55"/>
      <c r="AC31" s="42"/>
      <c r="AD31" s="46">
        <f t="shared" si="28"/>
        <v>18.873652347176055</v>
      </c>
      <c r="AE31" s="47">
        <f t="shared" si="29"/>
        <v>1628.706347652824</v>
      </c>
      <c r="AF31" s="46"/>
      <c r="AG31" s="48">
        <f t="shared" si="30"/>
        <v>4300</v>
      </c>
      <c r="AH31" s="49">
        <f t="shared" si="31"/>
        <v>567</v>
      </c>
      <c r="AI31" s="49">
        <f t="shared" si="32"/>
        <v>1849</v>
      </c>
      <c r="AJ31" s="49">
        <f t="shared" si="33"/>
        <v>236.42</v>
      </c>
      <c r="AK31" s="49">
        <f t="shared" si="34"/>
        <v>0</v>
      </c>
      <c r="AL31" s="49">
        <f t="array" ref="AL31">_xlfn.IFS(R31=0,AE31,R31&lt;0,AE31/-R31,R31&gt;0,AE31/R31)</f>
        <v>1628.706347652824</v>
      </c>
      <c r="AM31" s="50">
        <f t="shared" si="35"/>
        <v>0.37876891805879626</v>
      </c>
      <c r="AN31" s="51">
        <f t="shared" si="36"/>
        <v>2.8724979676416647</v>
      </c>
      <c r="AP31" s="53">
        <f t="shared" si="37"/>
        <v>22801.888867139536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09-15.02'!H:H,'Отчет 09-15.02'!D:D,"Выручка",'Отчет 09-15.02'!E:E,B32)</f>
        <v>0</v>
      </c>
      <c r="Q32" s="39">
        <f>SUMIFS('Отчет 09-15.02'!H:H,'Отчет 09-15.02'!D:D,"Возврат выручки",'Отчет 09-15.02'!E:E,B32)</f>
        <v>0</v>
      </c>
      <c r="R32" s="40">
        <f t="shared" si="23"/>
        <v>0</v>
      </c>
      <c r="S32" s="41">
        <f>SUMIFS('Отчет 09-15.02'!P:P,'Отчет 09-15.02'!C:C,"Продажи",'Отчет 09-15.02'!E:E,B32)</f>
        <v>0</v>
      </c>
      <c r="T32" s="42">
        <f>SUMIFS('Отчет 09-15.02'!P:P,'Отчет 09-15.02'!C:C,"Возвраты",'Отчет 09-15.02'!E:E,B32)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09-15.02'!P:P,'Отчет 09-15.02'!C:C,"Вознаграждение Ozon",'Отчет 09-15.02'!E:E,B32)</f>
        <v>0</v>
      </c>
      <c r="Y32" s="45">
        <f t="shared" si="27"/>
        <v>0</v>
      </c>
      <c r="Z32" s="42">
        <f>-SUMIFS('Отчет 09-15.02'!P:P,'Отчет 09-15.02'!C:C,"Услуги доставки",'Отчет 09-15.02'!E:E,B32)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10</v>
      </c>
      <c r="D33" s="33"/>
      <c r="E33" s="33"/>
      <c r="F33" s="33"/>
      <c r="G33" s="34"/>
      <c r="H33" s="84">
        <v>657</v>
      </c>
      <c r="I33" s="54">
        <f t="shared" si="20"/>
        <v>6570</v>
      </c>
      <c r="J33" s="36"/>
      <c r="K33" s="32">
        <v>1</v>
      </c>
      <c r="L33" s="36"/>
      <c r="M33" s="36"/>
      <c r="N33" s="37">
        <f t="shared" si="21"/>
        <v>0.14285714285714285</v>
      </c>
      <c r="O33" s="38">
        <f t="shared" si="22"/>
        <v>0.2857142857142857</v>
      </c>
      <c r="P33" s="39">
        <f>SUMIFS('Отчет 09-15.02'!H:H,'Отчет 09-15.02'!D:D,"Выручка",'Отчет 09-15.02'!E:E,B33)</f>
        <v>2</v>
      </c>
      <c r="Q33" s="39">
        <f>SUMIFS('Отчет 09-15.02'!H:H,'Отчет 09-15.02'!D:D,"Возврат выручки",'Отчет 09-15.02'!E:E,B33)</f>
        <v>0</v>
      </c>
      <c r="R33" s="40">
        <f t="shared" si="23"/>
        <v>2</v>
      </c>
      <c r="S33" s="41">
        <f>SUMIFS('Отчет 09-15.02'!P:P,'Отчет 09-15.02'!C:C,"Продажи",'Отчет 09-15.02'!E:E,B33)</f>
        <v>6233</v>
      </c>
      <c r="T33" s="42">
        <f>SUMIFS('Отчет 09-15.02'!P:P,'Отчет 09-15.02'!C:C,"Возвраты",'Отчет 09-15.02'!E:E,B33)</f>
        <v>0</v>
      </c>
      <c r="U33" s="40">
        <f t="shared" si="24"/>
        <v>6233</v>
      </c>
      <c r="V33" s="43">
        <f t="shared" si="25"/>
        <v>2.8034776976669916E-2</v>
      </c>
      <c r="W33" s="44">
        <f t="shared" si="26"/>
        <v>1314</v>
      </c>
      <c r="X33" s="42">
        <f>-SUMIFS('Отчет 09-15.02'!P:P,'Отчет 09-15.02'!C:C,"Вознаграждение Ozon",'Отчет 09-15.02'!E:E,B33)</f>
        <v>2680.19</v>
      </c>
      <c r="Y33" s="45">
        <f t="shared" si="27"/>
        <v>0.43</v>
      </c>
      <c r="Z33" s="42">
        <f>-SUMIFS('Отчет 09-15.02'!P:P,'Отчет 09-15.02'!C:C,"Услуги доставки",'Отчет 09-15.02'!E:E,B33)</f>
        <v>470.32</v>
      </c>
      <c r="AA33" s="32">
        <v>0</v>
      </c>
      <c r="AB33" s="55"/>
      <c r="AC33" s="42"/>
      <c r="AD33" s="46">
        <f t="shared" si="28"/>
        <v>27.358017460453102</v>
      </c>
      <c r="AE33" s="47">
        <f t="shared" si="29"/>
        <v>1741.1319825395469</v>
      </c>
      <c r="AF33" s="46"/>
      <c r="AG33" s="48">
        <f t="shared" si="30"/>
        <v>3116.5</v>
      </c>
      <c r="AH33" s="49">
        <f t="shared" si="31"/>
        <v>657</v>
      </c>
      <c r="AI33" s="49">
        <f t="shared" si="32"/>
        <v>1340.095</v>
      </c>
      <c r="AJ33" s="49">
        <f t="shared" si="33"/>
        <v>235.16</v>
      </c>
      <c r="AK33" s="49">
        <f t="shared" si="34"/>
        <v>0</v>
      </c>
      <c r="AL33" s="49">
        <f t="array" ref="AL33">_xlfn.IFS(R33=0,AE33,R33&lt;0,AE33/-R33,R33&gt;0,AE33/R33)</f>
        <v>870.56599126977346</v>
      </c>
      <c r="AM33" s="50">
        <f t="shared" si="35"/>
        <v>0.27934092452102471</v>
      </c>
      <c r="AN33" s="51">
        <f t="shared" si="36"/>
        <v>1.3250623915826081</v>
      </c>
      <c r="AP33" s="53">
        <f t="shared" si="37"/>
        <v>8705.6599126977344</v>
      </c>
    </row>
    <row r="34" spans="1:42">
      <c r="A34" s="30">
        <v>2774719501</v>
      </c>
      <c r="B34" s="31" t="s">
        <v>67</v>
      </c>
      <c r="C34" s="32">
        <v>33</v>
      </c>
      <c r="D34" s="33"/>
      <c r="E34" s="33"/>
      <c r="F34" s="33"/>
      <c r="G34" s="34"/>
      <c r="H34" s="84">
        <v>597</v>
      </c>
      <c r="I34" s="54">
        <f t="shared" si="20"/>
        <v>19701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09-15.02'!H:H,'Отчет 09-15.02'!D:D,"Выручка",'Отчет 09-15.02'!E:E,B34)</f>
        <v>0</v>
      </c>
      <c r="Q34" s="39">
        <f>SUMIFS('Отчет 09-15.02'!H:H,'Отчет 09-15.02'!D:D,"Возврат выручки",'Отчет 09-15.02'!E:E,B34)</f>
        <v>0</v>
      </c>
      <c r="R34" s="40">
        <f t="shared" si="23"/>
        <v>0</v>
      </c>
      <c r="S34" s="41">
        <f>SUMIFS('Отчет 09-15.02'!P:P,'Отчет 09-15.02'!C:C,"Продажи",'Отчет 09-15.02'!E:E,B34)</f>
        <v>0</v>
      </c>
      <c r="T34" s="42">
        <f>SUMIFS('Отчет 09-15.02'!P:P,'Отчет 09-15.02'!C:C,"Возвраты",'Отчет 09-15.02'!E:E,B34)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09-15.02'!P:P,'Отчет 09-15.02'!C:C,"Вознаграждение Ozon",'Отчет 09-15.02'!E:E,B34)</f>
        <v>0</v>
      </c>
      <c r="Y34" s="45">
        <f t="shared" si="27"/>
        <v>0</v>
      </c>
      <c r="Z34" s="42">
        <f>-SUMIFS('Отчет 09-15.02'!P:P,'Отчет 09-15.02'!C:C,"Услуги доставки",'Отчет 09-15.02'!E:E,B34)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1</v>
      </c>
      <c r="L35" s="36"/>
      <c r="M35" s="36"/>
      <c r="N35" s="37">
        <f t="shared" si="21"/>
        <v>0.14285714285714285</v>
      </c>
      <c r="O35" s="38">
        <f t="shared" si="22"/>
        <v>0</v>
      </c>
      <c r="P35" s="39">
        <f>SUMIFS('Отчет 09-15.02'!H:H,'Отчет 09-15.02'!D:D,"Выручка",'Отчет 09-15.02'!E:E,B35)</f>
        <v>0</v>
      </c>
      <c r="Q35" s="39">
        <f>SUMIFS('Отчет 09-15.02'!H:H,'Отчет 09-15.02'!D:D,"Возврат выручки",'Отчет 09-15.02'!E:E,B35)</f>
        <v>0</v>
      </c>
      <c r="R35" s="40">
        <f t="shared" si="23"/>
        <v>0</v>
      </c>
      <c r="S35" s="41">
        <f>SUMIFS('Отчет 09-15.02'!P:P,'Отчет 09-15.02'!C:C,"Продажи",'Отчет 09-15.02'!E:E,B35)</f>
        <v>0</v>
      </c>
      <c r="T35" s="42">
        <f>SUMIFS('Отчет 09-15.02'!P:P,'Отчет 09-15.02'!C:C,"Возвраты",'Отчет 09-15.02'!E:E,B35)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09-15.02'!P:P,'Отчет 09-15.02'!C:C,"Вознаграждение Ozon",'Отчет 09-15.02'!E:E,B35)</f>
        <v>0</v>
      </c>
      <c r="Y35" s="45">
        <f t="shared" si="27"/>
        <v>0</v>
      </c>
      <c r="Z35" s="42">
        <f>-SUMIFS('Отчет 09-15.02'!P:P,'Отчет 09-15.02'!C:C,"Услуги доставки",'Отчет 09-15.02'!E:E,B35)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2</v>
      </c>
      <c r="L36" s="36"/>
      <c r="M36" s="36"/>
      <c r="N36" s="37">
        <f t="shared" si="21"/>
        <v>0.2857142857142857</v>
      </c>
      <c r="O36" s="38">
        <f t="shared" si="22"/>
        <v>0</v>
      </c>
      <c r="P36" s="39">
        <f>SUMIFS('Отчет 09-15.02'!H:H,'Отчет 09-15.02'!D:D,"Выручка",'Отчет 09-15.02'!E:E,B36)</f>
        <v>0</v>
      </c>
      <c r="Q36" s="39">
        <f>SUMIFS('Отчет 09-15.02'!H:H,'Отчет 09-15.02'!D:D,"Возврат выручки",'Отчет 09-15.02'!E:E,B36)</f>
        <v>0</v>
      </c>
      <c r="R36" s="40">
        <f t="shared" si="23"/>
        <v>0</v>
      </c>
      <c r="S36" s="41">
        <f>SUMIFS('Отчет 09-15.02'!P:P,'Отчет 09-15.02'!C:C,"Продажи",'Отчет 09-15.02'!E:E,B36)</f>
        <v>0</v>
      </c>
      <c r="T36" s="42">
        <f>SUMIFS('Отчет 09-15.02'!P:P,'Отчет 09-15.02'!C:C,"Возвраты",'Отчет 09-15.02'!E:E,B36)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09-15.02'!P:P,'Отчет 09-15.02'!C:C,"Вознаграждение Ozon",'Отчет 09-15.02'!E:E,B36)</f>
        <v>0</v>
      </c>
      <c r="Y36" s="45">
        <f t="shared" si="27"/>
        <v>0</v>
      </c>
      <c r="Z36" s="42">
        <f>-SUMIFS('Отчет 09-15.02'!P:P,'Отчет 09-15.02'!C:C,"Услуги доставки",'Отчет 09-15.02'!E:E,B36)</f>
        <v>227.76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-227.76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227.76</v>
      </c>
      <c r="AK36" s="49">
        <f t="shared" si="34"/>
        <v>0</v>
      </c>
      <c r="AL36" s="49">
        <f t="array" ref="AL36">_xlfn.IFS(R36=0,AE36,R36&lt;0,AE36/-R36,R36&gt;0,AE36/R36)</f>
        <v>-227.76</v>
      </c>
      <c r="AM36" s="50">
        <f t="shared" si="35"/>
        <v>0</v>
      </c>
      <c r="AN36" s="51">
        <f t="shared" si="36"/>
        <v>-0.4126086956521739</v>
      </c>
      <c r="AP36" s="53">
        <f t="shared" si="37"/>
        <v>-3871.92</v>
      </c>
    </row>
    <row r="37" spans="1:42">
      <c r="A37" s="30">
        <v>2774712116</v>
      </c>
      <c r="B37" s="31" t="s">
        <v>70</v>
      </c>
      <c r="C37" s="32">
        <v>4</v>
      </c>
      <c r="D37" s="33"/>
      <c r="E37" s="33"/>
      <c r="F37" s="33"/>
      <c r="G37" s="34"/>
      <c r="H37" s="84">
        <v>687</v>
      </c>
      <c r="I37" s="54">
        <f t="shared" si="20"/>
        <v>2748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0.42857142857142855</v>
      </c>
      <c r="P37" s="39">
        <f>SUMIFS('Отчет 09-15.02'!H:H,'Отчет 09-15.02'!D:D,"Выручка",'Отчет 09-15.02'!E:E,B37)</f>
        <v>3</v>
      </c>
      <c r="Q37" s="39">
        <f>SUMIFS('Отчет 09-15.02'!H:H,'Отчет 09-15.02'!D:D,"Возврат выручки",'Отчет 09-15.02'!E:E,B37)</f>
        <v>0</v>
      </c>
      <c r="R37" s="40">
        <f t="shared" si="23"/>
        <v>3</v>
      </c>
      <c r="S37" s="41">
        <f>SUMIFS('Отчет 09-15.02'!P:P,'Отчет 09-15.02'!C:C,"Продажи",'Отчет 09-15.02'!E:E,B37)</f>
        <v>15287</v>
      </c>
      <c r="T37" s="42">
        <f>SUMIFS('Отчет 09-15.02'!P:P,'Отчет 09-15.02'!C:C,"Возвраты",'Отчет 09-15.02'!E:E,B37)</f>
        <v>0</v>
      </c>
      <c r="U37" s="40">
        <f t="shared" si="24"/>
        <v>15287</v>
      </c>
      <c r="V37" s="43">
        <f t="shared" si="25"/>
        <v>6.8757843035833946E-2</v>
      </c>
      <c r="W37" s="44">
        <f t="shared" si="26"/>
        <v>2061</v>
      </c>
      <c r="X37" s="42">
        <f>-SUMIFS('Отчет 09-15.02'!P:P,'Отчет 09-15.02'!C:C,"Вознаграждение Ozon",'Отчет 09-15.02'!E:E,B37)</f>
        <v>6573.41</v>
      </c>
      <c r="Y37" s="45">
        <f t="shared" si="27"/>
        <v>0.43</v>
      </c>
      <c r="Z37" s="42">
        <f>-SUMIFS('Отчет 09-15.02'!P:P,'Отчет 09-15.02'!C:C,"Услуги доставки",'Отчет 09-15.02'!E:E,B37)</f>
        <v>940.37000000000012</v>
      </c>
      <c r="AA37" s="32">
        <v>0</v>
      </c>
      <c r="AB37" s="55"/>
      <c r="AC37" s="42"/>
      <c r="AD37" s="46">
        <f t="shared" si="28"/>
        <v>67.098028704948916</v>
      </c>
      <c r="AE37" s="47">
        <f t="shared" si="29"/>
        <v>5645.1219712950515</v>
      </c>
      <c r="AF37" s="46"/>
      <c r="AG37" s="48">
        <f t="shared" si="30"/>
        <v>5095.666666666667</v>
      </c>
      <c r="AH37" s="49">
        <f t="shared" si="31"/>
        <v>687</v>
      </c>
      <c r="AI37" s="49">
        <f t="shared" si="32"/>
        <v>2191.1366666666668</v>
      </c>
      <c r="AJ37" s="49">
        <f t="shared" si="33"/>
        <v>313.45666666666671</v>
      </c>
      <c r="AK37" s="49">
        <f t="shared" si="34"/>
        <v>0</v>
      </c>
      <c r="AL37" s="49">
        <f t="array" ref="AL37">_xlfn.IFS(R37=0,AE37,R37&lt;0,AE37/-R37,R37&gt;0,AE37/R37)</f>
        <v>1881.7073237650172</v>
      </c>
      <c r="AM37" s="50">
        <f t="shared" si="35"/>
        <v>0.36927598425427172</v>
      </c>
      <c r="AN37" s="51">
        <f t="shared" si="36"/>
        <v>2.7390208497307382</v>
      </c>
      <c r="AP37" s="53">
        <f t="shared" si="37"/>
        <v>7526.8292950600689</v>
      </c>
    </row>
    <row r="38" spans="1:42">
      <c r="A38" s="30">
        <v>2774719012</v>
      </c>
      <c r="B38" s="31" t="s">
        <v>71</v>
      </c>
      <c r="C38" s="32">
        <v>7</v>
      </c>
      <c r="D38" s="33"/>
      <c r="E38" s="33"/>
      <c r="F38" s="33"/>
      <c r="G38" s="34"/>
      <c r="H38" s="84">
        <v>687</v>
      </c>
      <c r="I38" s="54">
        <f t="shared" si="20"/>
        <v>4809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-0.14285714285714285</v>
      </c>
      <c r="P38" s="39">
        <f>SUMIFS('Отчет 09-15.02'!H:H,'Отчет 09-15.02'!D:D,"Выручка",'Отчет 09-15.02'!E:E,B38)</f>
        <v>0</v>
      </c>
      <c r="Q38" s="39">
        <f>SUMIFS('Отчет 09-15.02'!H:H,'Отчет 09-15.02'!D:D,"Возврат выручки",'Отчет 09-15.02'!E:E,B38)</f>
        <v>1</v>
      </c>
      <c r="R38" s="40">
        <f t="shared" si="23"/>
        <v>-1</v>
      </c>
      <c r="S38" s="41">
        <f>SUMIFS('Отчет 09-15.02'!P:P,'Отчет 09-15.02'!C:C,"Продажи",'Отчет 09-15.02'!E:E,B38)</f>
        <v>0</v>
      </c>
      <c r="T38" s="42">
        <f>SUMIFS('Отчет 09-15.02'!P:P,'Отчет 09-15.02'!C:C,"Возвраты",'Отчет 09-15.02'!E:E,B38)</f>
        <v>-3635</v>
      </c>
      <c r="U38" s="40">
        <f t="shared" si="24"/>
        <v>-3635</v>
      </c>
      <c r="V38" s="43">
        <f t="shared" si="25"/>
        <v>-1.6349496921257041E-2</v>
      </c>
      <c r="W38" s="44">
        <f t="shared" si="26"/>
        <v>-687</v>
      </c>
      <c r="X38" s="42">
        <f>-SUMIFS('Отчет 09-15.02'!P:P,'Отчет 09-15.02'!C:C,"Вознаграждение Ozon",'Отчет 09-15.02'!E:E,B38)</f>
        <v>-1563.05</v>
      </c>
      <c r="Y38" s="45">
        <f t="shared" si="27"/>
        <v>0.43</v>
      </c>
      <c r="Z38" s="42">
        <f>-SUMIFS('Отчет 09-15.02'!P:P,'Отчет 09-15.02'!C:C,"Услуги доставки",'Отчет 09-15.02'!E:E,B38)</f>
        <v>56.94</v>
      </c>
      <c r="AA38" s="32">
        <v>0</v>
      </c>
      <c r="AB38" s="55"/>
      <c r="AC38" s="42"/>
      <c r="AD38" s="46">
        <f t="shared" si="28"/>
        <v>-15.954820065577897</v>
      </c>
      <c r="AE38" s="47">
        <f t="shared" si="29"/>
        <v>-1425.9351799344222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56.94</v>
      </c>
      <c r="AK38" s="49">
        <f t="shared" si="34"/>
        <v>0</v>
      </c>
      <c r="AL38" s="49">
        <f t="array" ref="AL38">_xlfn.IFS(R38=0,AE38,R38&lt;0,AE38/-R38,R38&gt;0,AE38/R38)</f>
        <v>-1425.9351799344222</v>
      </c>
      <c r="AM38" s="50">
        <f t="shared" si="35"/>
        <v>-0.3922792792116705</v>
      </c>
      <c r="AN38" s="51">
        <f t="shared" si="36"/>
        <v>-2.0755970595843118</v>
      </c>
      <c r="AP38" s="53">
        <f t="shared" si="37"/>
        <v>-9981.5462595409554</v>
      </c>
    </row>
    <row r="39" spans="1:42">
      <c r="A39" s="30">
        <v>2774719433</v>
      </c>
      <c r="B39" s="31" t="s">
        <v>72</v>
      </c>
      <c r="C39" s="32">
        <v>14</v>
      </c>
      <c r="D39" s="33"/>
      <c r="E39" s="33"/>
      <c r="F39" s="33"/>
      <c r="G39" s="34"/>
      <c r="H39" s="84">
        <v>597</v>
      </c>
      <c r="I39" s="54">
        <f t="shared" si="20"/>
        <v>8358</v>
      </c>
      <c r="J39" s="36"/>
      <c r="K39" s="32">
        <v>1</v>
      </c>
      <c r="L39" s="36"/>
      <c r="M39" s="36"/>
      <c r="N39" s="37">
        <f t="shared" si="21"/>
        <v>0.14285714285714285</v>
      </c>
      <c r="O39" s="38">
        <f t="shared" si="22"/>
        <v>0</v>
      </c>
      <c r="P39" s="39">
        <f>SUMIFS('Отчет 09-15.02'!H:H,'Отчет 09-15.02'!D:D,"Выручка",'Отчет 09-15.02'!E:E,B39)</f>
        <v>0</v>
      </c>
      <c r="Q39" s="39">
        <f>SUMIFS('Отчет 09-15.02'!H:H,'Отчет 09-15.02'!D:D,"Возврат выручки",'Отчет 09-15.02'!E:E,B39)</f>
        <v>0</v>
      </c>
      <c r="R39" s="40">
        <f t="shared" si="23"/>
        <v>0</v>
      </c>
      <c r="S39" s="41">
        <f>SUMIFS('Отчет 09-15.02'!P:P,'Отчет 09-15.02'!C:C,"Продажи",'Отчет 09-15.02'!E:E,B39)</f>
        <v>0</v>
      </c>
      <c r="T39" s="42">
        <f>SUMIFS('Отчет 09-15.02'!P:P,'Отчет 09-15.02'!C:C,"Возвраты",'Отчет 09-15.02'!E:E,B39)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09-15.02'!P:P,'Отчет 09-15.02'!C:C,"Вознаграждение Ozon",'Отчет 09-15.02'!E:E,B39)</f>
        <v>0</v>
      </c>
      <c r="Y39" s="45">
        <f t="shared" si="27"/>
        <v>0</v>
      </c>
      <c r="Z39" s="42">
        <f>-SUMIFS('Отчет 09-15.02'!P:P,'Отчет 09-15.02'!C:C,"Услуги доставки",'Отчет 09-15.02'!E:E,B39)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1</v>
      </c>
      <c r="L40" s="36"/>
      <c r="M40" s="36"/>
      <c r="N40" s="37">
        <f t="shared" si="21"/>
        <v>0.14285714285714285</v>
      </c>
      <c r="O40" s="38">
        <f t="shared" si="22"/>
        <v>0</v>
      </c>
      <c r="P40" s="39">
        <f>SUMIFS('Отчет 09-15.02'!H:H,'Отчет 09-15.02'!D:D,"Выручка",'Отчет 09-15.02'!E:E,B40)</f>
        <v>0</v>
      </c>
      <c r="Q40" s="39">
        <f>SUMIFS('Отчет 09-15.02'!H:H,'Отчет 09-15.02'!D:D,"Возврат выручки",'Отчет 09-15.02'!E:E,B40)</f>
        <v>0</v>
      </c>
      <c r="R40" s="40">
        <f t="shared" si="23"/>
        <v>0</v>
      </c>
      <c r="S40" s="41">
        <f>SUMIFS('Отчет 09-15.02'!P:P,'Отчет 09-15.02'!C:C,"Продажи",'Отчет 09-15.02'!E:E,B40)</f>
        <v>0</v>
      </c>
      <c r="T40" s="42">
        <f>SUMIFS('Отчет 09-15.02'!P:P,'Отчет 09-15.02'!C:C,"Возвраты",'Отчет 09-15.02'!E:E,B40)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09-15.02'!P:P,'Отчет 09-15.02'!C:C,"Вознаграждение Ozon",'Отчет 09-15.02'!E:E,B40)</f>
        <v>0</v>
      </c>
      <c r="Y40" s="45">
        <f t="shared" si="27"/>
        <v>0</v>
      </c>
      <c r="Z40" s="42">
        <f>-SUMIFS('Отчет 09-15.02'!P:P,'Отчет 09-15.02'!C:C,"Услуги доставки",'Отчет 09-15.02'!E:E,B40)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09-15.02'!H:H,'Отчет 09-15.02'!D:D,"Выручка",'Отчет 09-15.02'!E:E,B41)</f>
        <v>0</v>
      </c>
      <c r="Q41" s="39">
        <f>SUMIFS('Отчет 09-15.02'!H:H,'Отчет 09-15.02'!D:D,"Возврат выручки",'Отчет 09-15.02'!E:E,B41)</f>
        <v>0</v>
      </c>
      <c r="R41" s="40">
        <f t="shared" si="23"/>
        <v>0</v>
      </c>
      <c r="S41" s="41">
        <f>SUMIFS('Отчет 09-15.02'!P:P,'Отчет 09-15.02'!C:C,"Продажи",'Отчет 09-15.02'!E:E,B41)</f>
        <v>0</v>
      </c>
      <c r="T41" s="42">
        <f>SUMIFS('Отчет 09-15.02'!P:P,'Отчет 09-15.02'!C:C,"Возвраты",'Отчет 09-15.02'!E:E,B41)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09-15.02'!P:P,'Отчет 09-15.02'!C:C,"Вознаграждение Ozon",'Отчет 09-15.02'!E:E,B41)</f>
        <v>0</v>
      </c>
      <c r="Y41" s="45">
        <f t="shared" si="27"/>
        <v>0</v>
      </c>
      <c r="Z41" s="42">
        <f>-SUMIFS('Отчет 09-15.02'!P:P,'Отчет 09-15.02'!C:C,"Услуги доставки",'Отчет 09-15.02'!E:E,B41)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11</v>
      </c>
      <c r="D42" s="33"/>
      <c r="E42" s="33"/>
      <c r="F42" s="33"/>
      <c r="G42" s="34"/>
      <c r="H42" s="84">
        <v>642</v>
      </c>
      <c r="I42" s="54">
        <f t="shared" si="20"/>
        <v>7062</v>
      </c>
      <c r="J42" s="36"/>
      <c r="K42" s="32">
        <v>2</v>
      </c>
      <c r="L42" s="36"/>
      <c r="M42" s="36"/>
      <c r="N42" s="37">
        <f t="shared" si="21"/>
        <v>0.2857142857142857</v>
      </c>
      <c r="O42" s="38">
        <f t="shared" si="22"/>
        <v>0.2857142857142857</v>
      </c>
      <c r="P42" s="39">
        <f>SUMIFS('Отчет 09-15.02'!H:H,'Отчет 09-15.02'!D:D,"Выручка",'Отчет 09-15.02'!E:E,B42)</f>
        <v>2</v>
      </c>
      <c r="Q42" s="39">
        <f>SUMIFS('Отчет 09-15.02'!H:H,'Отчет 09-15.02'!D:D,"Возврат выручки",'Отчет 09-15.02'!E:E,B42)</f>
        <v>0</v>
      </c>
      <c r="R42" s="40">
        <f t="shared" si="23"/>
        <v>2</v>
      </c>
      <c r="S42" s="41">
        <f>SUMIFS('Отчет 09-15.02'!P:P,'Отчет 09-15.02'!C:C,"Продажи",'Отчет 09-15.02'!E:E,B42)</f>
        <v>8600</v>
      </c>
      <c r="T42" s="42">
        <f>SUMIFS('Отчет 09-15.02'!P:P,'Отчет 09-15.02'!C:C,"Возвраты",'Отчет 09-15.02'!E:E,B42)</f>
        <v>0</v>
      </c>
      <c r="U42" s="40">
        <f t="shared" si="24"/>
        <v>8600</v>
      </c>
      <c r="V42" s="43">
        <f t="shared" si="25"/>
        <v>3.8681065618379799E-2</v>
      </c>
      <c r="W42" s="44">
        <f t="shared" si="26"/>
        <v>1284</v>
      </c>
      <c r="X42" s="42">
        <f>-SUMIFS('Отчет 09-15.02'!P:P,'Отчет 09-15.02'!C:C,"Вознаграждение Ozon",'Отчет 09-15.02'!E:E,B42)</f>
        <v>3698</v>
      </c>
      <c r="Y42" s="45">
        <f t="shared" si="27"/>
        <v>0.43</v>
      </c>
      <c r="Z42" s="42">
        <f>-SUMIFS('Отчет 09-15.02'!P:P,'Отчет 09-15.02'!C:C,"Услуги доставки",'Отчет 09-15.02'!E:E,B42)</f>
        <v>570.4</v>
      </c>
      <c r="AA42" s="32">
        <v>1433.59</v>
      </c>
      <c r="AB42" s="55"/>
      <c r="AC42" s="42"/>
      <c r="AD42" s="46">
        <f t="shared" si="28"/>
        <v>37.74730469435211</v>
      </c>
      <c r="AE42" s="47">
        <f t="shared" si="29"/>
        <v>1576.2626953056479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285.2</v>
      </c>
      <c r="AK42" s="49">
        <f t="shared" si="34"/>
        <v>716.79499999999996</v>
      </c>
      <c r="AL42" s="49">
        <f t="array" ref="AL42">_xlfn.IFS(R42=0,AE42,R42&lt;0,AE42/-R42,R42&gt;0,AE42/R42)</f>
        <v>788.13134765282393</v>
      </c>
      <c r="AM42" s="50">
        <f t="shared" si="35"/>
        <v>0.18328635991926137</v>
      </c>
      <c r="AN42" s="51">
        <f t="shared" si="36"/>
        <v>1.2276189215776074</v>
      </c>
      <c r="AP42" s="53">
        <f t="shared" si="37"/>
        <v>8669.4448241810642</v>
      </c>
    </row>
    <row r="43" spans="1:42">
      <c r="A43" s="30">
        <v>2774721668</v>
      </c>
      <c r="B43" s="31" t="s">
        <v>76</v>
      </c>
      <c r="C43" s="32">
        <v>17</v>
      </c>
      <c r="D43" s="33"/>
      <c r="E43" s="33"/>
      <c r="F43" s="33"/>
      <c r="G43" s="34"/>
      <c r="H43" s="84">
        <v>642</v>
      </c>
      <c r="I43" s="54">
        <f t="shared" si="20"/>
        <v>10914</v>
      </c>
      <c r="J43" s="36"/>
      <c r="K43" s="32">
        <v>1</v>
      </c>
      <c r="L43" s="36"/>
      <c r="M43" s="36"/>
      <c r="N43" s="37">
        <f t="shared" si="21"/>
        <v>0.14285714285714285</v>
      </c>
      <c r="O43" s="38">
        <f t="shared" si="22"/>
        <v>0</v>
      </c>
      <c r="P43" s="39">
        <f>SUMIFS('Отчет 09-15.02'!H:H,'Отчет 09-15.02'!D:D,"Выручка",'Отчет 09-15.02'!E:E,B43)</f>
        <v>0</v>
      </c>
      <c r="Q43" s="39">
        <f>SUMIFS('Отчет 09-15.02'!H:H,'Отчет 09-15.02'!D:D,"Возврат выручки",'Отчет 09-15.02'!E:E,B43)</f>
        <v>0</v>
      </c>
      <c r="R43" s="40">
        <f t="shared" si="23"/>
        <v>0</v>
      </c>
      <c r="S43" s="41">
        <f>SUMIFS('Отчет 09-15.02'!P:P,'Отчет 09-15.02'!C:C,"Продажи",'Отчет 09-15.02'!E:E,B43)</f>
        <v>0</v>
      </c>
      <c r="T43" s="42">
        <f>SUMIFS('Отчет 09-15.02'!P:P,'Отчет 09-15.02'!C:C,"Возвраты",'Отчет 09-15.02'!E:E,B43)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09-15.02'!P:P,'Отчет 09-15.02'!C:C,"Вознаграждение Ozon",'Отчет 09-15.02'!E:E,B43)</f>
        <v>0</v>
      </c>
      <c r="Y43" s="45">
        <f t="shared" si="27"/>
        <v>0</v>
      </c>
      <c r="Z43" s="42">
        <f>-SUMIFS('Отчет 09-15.02'!P:P,'Отчет 09-15.02'!C:C,"Услуги доставки",'Отчет 09-15.02'!E:E,B43)</f>
        <v>113.88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-113.88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113.88</v>
      </c>
      <c r="AK43" s="49">
        <f t="shared" si="34"/>
        <v>0</v>
      </c>
      <c r="AL43" s="49">
        <f t="array" ref="AL43">_xlfn.IFS(R43=0,AE43,R43&lt;0,AE43/-R43,R43&gt;0,AE43/R43)</f>
        <v>-113.88</v>
      </c>
      <c r="AM43" s="50">
        <f t="shared" si="35"/>
        <v>0</v>
      </c>
      <c r="AN43" s="51">
        <f t="shared" si="36"/>
        <v>-0.17738317757009345</v>
      </c>
      <c r="AP43" s="53">
        <f t="shared" si="37"/>
        <v>-1935.96</v>
      </c>
    </row>
    <row r="44" spans="1:42">
      <c r="A44" s="30">
        <v>2774722656</v>
      </c>
      <c r="B44" s="31" t="s">
        <v>77</v>
      </c>
      <c r="C44" s="32">
        <v>28</v>
      </c>
      <c r="D44" s="33"/>
      <c r="E44" s="33"/>
      <c r="F44" s="33"/>
      <c r="G44" s="34"/>
      <c r="H44" s="84">
        <v>687</v>
      </c>
      <c r="I44" s="54">
        <f t="shared" si="20"/>
        <v>19236</v>
      </c>
      <c r="J44" s="36"/>
      <c r="K44" s="32">
        <v>6</v>
      </c>
      <c r="L44" s="36"/>
      <c r="M44" s="36"/>
      <c r="N44" s="37">
        <f t="shared" si="21"/>
        <v>0.8571428571428571</v>
      </c>
      <c r="O44" s="38">
        <f t="shared" si="22"/>
        <v>1</v>
      </c>
      <c r="P44" s="39">
        <f>SUMIFS('Отчет 09-15.02'!H:H,'Отчет 09-15.02'!D:D,"Выручка",'Отчет 09-15.02'!E:E,B44)</f>
        <v>8</v>
      </c>
      <c r="Q44" s="39">
        <f>SUMIFS('Отчет 09-15.02'!H:H,'Отчет 09-15.02'!D:D,"Возврат выручки",'Отчет 09-15.02'!E:E,B44)</f>
        <v>1</v>
      </c>
      <c r="R44" s="40">
        <f t="shared" si="23"/>
        <v>7</v>
      </c>
      <c r="S44" s="41">
        <f>SUMIFS('Отчет 09-15.02'!P:P,'Отчет 09-15.02'!C:C,"Продажи",'Отчет 09-15.02'!E:E,B44)</f>
        <v>43059.999999999993</v>
      </c>
      <c r="T44" s="42">
        <f>SUMIFS('Отчет 09-15.02'!P:P,'Отчет 09-15.02'!C:C,"Возвраты",'Отчет 09-15.02'!E:E,B44)</f>
        <v>-5412</v>
      </c>
      <c r="U44" s="40">
        <f t="shared" si="24"/>
        <v>37647.999999999993</v>
      </c>
      <c r="V44" s="43">
        <f t="shared" si="25"/>
        <v>0.16933311144194912</v>
      </c>
      <c r="W44" s="44">
        <f t="shared" si="26"/>
        <v>4809</v>
      </c>
      <c r="X44" s="42">
        <f>-SUMIFS('Отчет 09-15.02'!P:P,'Отчет 09-15.02'!C:C,"Вознаграждение Ozon",'Отчет 09-15.02'!E:E,B44)</f>
        <v>16188.64</v>
      </c>
      <c r="Y44" s="45">
        <f t="shared" si="27"/>
        <v>0.43000000000000005</v>
      </c>
      <c r="Z44" s="42">
        <f>-SUMIFS('Отчет 09-15.02'!P:P,'Отчет 09-15.02'!C:C,"Услуги доставки",'Отчет 09-15.02'!E:E,B44)</f>
        <v>3080.9900000000002</v>
      </c>
      <c r="AA44" s="32">
        <v>6348.7363809999997</v>
      </c>
      <c r="AB44" s="55"/>
      <c r="AC44" s="42"/>
      <c r="AD44" s="46">
        <f t="shared" si="28"/>
        <v>165.24541013174047</v>
      </c>
      <c r="AE44" s="47">
        <f t="shared" si="29"/>
        <v>7055.3882088682531</v>
      </c>
      <c r="AF44" s="46"/>
      <c r="AG44" s="48">
        <f t="shared" si="30"/>
        <v>5378.2857142857129</v>
      </c>
      <c r="AH44" s="49">
        <f t="shared" si="31"/>
        <v>687</v>
      </c>
      <c r="AI44" s="49">
        <f t="shared" si="32"/>
        <v>2312.6628571428569</v>
      </c>
      <c r="AJ44" s="49">
        <f t="shared" si="33"/>
        <v>385.12375000000003</v>
      </c>
      <c r="AK44" s="49">
        <f t="shared" si="34"/>
        <v>793.59204762499996</v>
      </c>
      <c r="AL44" s="49">
        <f t="array" ref="AL44">_xlfn.IFS(R44=0,AE44,R44&lt;0,AE44/-R44,R44&gt;0,AE44/R44)</f>
        <v>1007.9126012668933</v>
      </c>
      <c r="AM44" s="50">
        <f t="shared" si="35"/>
        <v>0.18740406419645811</v>
      </c>
      <c r="AN44" s="51">
        <f t="shared" si="36"/>
        <v>1.4671216903448228</v>
      </c>
      <c r="AP44" s="53">
        <f t="shared" si="37"/>
        <v>28221.552835473012</v>
      </c>
    </row>
    <row r="45" spans="1:42">
      <c r="A45" s="30">
        <v>2774721190</v>
      </c>
      <c r="B45" s="31" t="s">
        <v>78</v>
      </c>
      <c r="C45" s="32">
        <v>24</v>
      </c>
      <c r="D45" s="33"/>
      <c r="E45" s="33"/>
      <c r="F45" s="33"/>
      <c r="G45" s="34"/>
      <c r="H45" s="84">
        <v>687</v>
      </c>
      <c r="I45" s="54">
        <f t="shared" si="20"/>
        <v>16488</v>
      </c>
      <c r="J45" s="36"/>
      <c r="K45" s="32">
        <v>17</v>
      </c>
      <c r="L45" s="36"/>
      <c r="M45" s="36"/>
      <c r="N45" s="37">
        <f t="shared" si="21"/>
        <v>2.4285714285714284</v>
      </c>
      <c r="O45" s="38">
        <f t="shared" si="22"/>
        <v>0.5714285714285714</v>
      </c>
      <c r="P45" s="39">
        <f>SUMIFS('Отчет 09-15.02'!H:H,'Отчет 09-15.02'!D:D,"Выручка",'Отчет 09-15.02'!E:E,B45)</f>
        <v>4</v>
      </c>
      <c r="Q45" s="39">
        <f>SUMIFS('Отчет 09-15.02'!H:H,'Отчет 09-15.02'!D:D,"Возврат выручки",'Отчет 09-15.02'!E:E,B45)</f>
        <v>0</v>
      </c>
      <c r="R45" s="40">
        <f t="shared" si="23"/>
        <v>4</v>
      </c>
      <c r="S45" s="41">
        <f>SUMIFS('Отчет 09-15.02'!P:P,'Отчет 09-15.02'!C:C,"Продажи",'Отчет 09-15.02'!E:E,B45)</f>
        <v>23319</v>
      </c>
      <c r="T45" s="42">
        <f>SUMIFS('Отчет 09-15.02'!P:P,'Отчет 09-15.02'!C:C,"Возвраты",'Отчет 09-15.02'!E:E,B45)</f>
        <v>0</v>
      </c>
      <c r="U45" s="40">
        <f t="shared" si="24"/>
        <v>23319</v>
      </c>
      <c r="V45" s="43">
        <f t="shared" si="25"/>
        <v>0.1048841592040696</v>
      </c>
      <c r="W45" s="44">
        <f t="shared" si="26"/>
        <v>2748</v>
      </c>
      <c r="X45" s="42">
        <f>-SUMIFS('Отчет 09-15.02'!P:P,'Отчет 09-15.02'!C:C,"Вознаграждение Ozon",'Отчет 09-15.02'!E:E,B45)</f>
        <v>10027.17</v>
      </c>
      <c r="Y45" s="45">
        <f t="shared" si="27"/>
        <v>0.43</v>
      </c>
      <c r="Z45" s="42">
        <f>-SUMIFS('Отчет 09-15.02'!P:P,'Отчет 09-15.02'!C:C,"Услуги доставки",'Отчет 09-15.02'!E:E,B45)</f>
        <v>1830.8000000000006</v>
      </c>
      <c r="AA45" s="32">
        <v>3919.531575</v>
      </c>
      <c r="AB45" s="55"/>
      <c r="AC45" s="42"/>
      <c r="AD45" s="46">
        <f t="shared" si="28"/>
        <v>102.35225560088335</v>
      </c>
      <c r="AE45" s="47">
        <f t="shared" si="29"/>
        <v>4691.1461693991159</v>
      </c>
      <c r="AF45" s="46"/>
      <c r="AG45" s="48">
        <f t="shared" si="30"/>
        <v>5829.75</v>
      </c>
      <c r="AH45" s="49">
        <f t="shared" si="31"/>
        <v>687</v>
      </c>
      <c r="AI45" s="49">
        <f t="shared" si="32"/>
        <v>2506.7925</v>
      </c>
      <c r="AJ45" s="49">
        <f t="shared" si="33"/>
        <v>457.70000000000016</v>
      </c>
      <c r="AK45" s="49">
        <f t="shared" si="34"/>
        <v>979.88289374999999</v>
      </c>
      <c r="AL45" s="49">
        <f t="array" ref="AL45">_xlfn.IFS(R45=0,AE45,R45&lt;0,AE45/-R45,R45&gt;0,AE45/R45)</f>
        <v>1172.786542349779</v>
      </c>
      <c r="AM45" s="50">
        <f t="shared" si="35"/>
        <v>0.20117269906081375</v>
      </c>
      <c r="AN45" s="51">
        <f t="shared" si="36"/>
        <v>1.7071128709603769</v>
      </c>
      <c r="AP45" s="53">
        <f t="shared" si="37"/>
        <v>28146.877016394697</v>
      </c>
    </row>
    <row r="46" spans="1:42">
      <c r="A46" s="30">
        <v>2774718796</v>
      </c>
      <c r="B46" s="31" t="s">
        <v>79</v>
      </c>
      <c r="C46" s="32">
        <v>49</v>
      </c>
      <c r="D46" s="33"/>
      <c r="E46" s="33"/>
      <c r="F46" s="33"/>
      <c r="G46" s="34"/>
      <c r="H46" s="84">
        <v>552</v>
      </c>
      <c r="I46" s="54">
        <f t="shared" si="20"/>
        <v>27048</v>
      </c>
      <c r="J46" s="36"/>
      <c r="K46" s="32">
        <v>11</v>
      </c>
      <c r="L46" s="36"/>
      <c r="M46" s="36"/>
      <c r="N46" s="37">
        <f t="shared" si="21"/>
        <v>1.5714285714285714</v>
      </c>
      <c r="O46" s="38">
        <f t="shared" si="22"/>
        <v>0.14285714285714285</v>
      </c>
      <c r="P46" s="39">
        <f>SUMIFS('Отчет 09-15.02'!H:H,'Отчет 09-15.02'!D:D,"Выручка",'Отчет 09-15.02'!E:E,B46)</f>
        <v>1</v>
      </c>
      <c r="Q46" s="39">
        <f>SUMIFS('Отчет 09-15.02'!H:H,'Отчет 09-15.02'!D:D,"Возврат выручки",'Отчет 09-15.02'!E:E,B46)</f>
        <v>0</v>
      </c>
      <c r="R46" s="40">
        <f t="shared" si="23"/>
        <v>1</v>
      </c>
      <c r="S46" s="41">
        <f>SUMIFS('Отчет 09-15.02'!P:P,'Отчет 09-15.02'!C:C,"Продажи",'Отчет 09-15.02'!E:E,B46)</f>
        <v>5000</v>
      </c>
      <c r="T46" s="42">
        <f>SUMIFS('Отчет 09-15.02'!P:P,'Отчет 09-15.02'!C:C,"Возвраты",'Отчет 09-15.02'!E:E,B46)</f>
        <v>0</v>
      </c>
      <c r="U46" s="40">
        <f t="shared" si="24"/>
        <v>5000</v>
      </c>
      <c r="V46" s="43">
        <f t="shared" si="25"/>
        <v>2.2488991638592908E-2</v>
      </c>
      <c r="W46" s="44">
        <f t="shared" si="26"/>
        <v>552</v>
      </c>
      <c r="X46" s="42">
        <f>-SUMIFS('Отчет 09-15.02'!P:P,'Отчет 09-15.02'!C:C,"Вознаграждение Ozon",'Отчет 09-15.02'!E:E,B46)</f>
        <v>2150</v>
      </c>
      <c r="Y46" s="45">
        <f t="shared" si="27"/>
        <v>0.43</v>
      </c>
      <c r="Z46" s="42">
        <f>-SUMIFS('Отчет 09-15.02'!P:P,'Отчет 09-15.02'!C:C,"Услуги доставки",'Отчет 09-15.02'!E:E,B46)</f>
        <v>601.16</v>
      </c>
      <c r="AA46" s="32">
        <v>5979.9685760000002</v>
      </c>
      <c r="AB46" s="55"/>
      <c r="AC46" s="42"/>
      <c r="AD46" s="46">
        <f t="shared" si="28"/>
        <v>21.946107380437272</v>
      </c>
      <c r="AE46" s="47">
        <f t="shared" si="29"/>
        <v>-4305.0746833804369</v>
      </c>
      <c r="AF46" s="46"/>
      <c r="AG46" s="48">
        <f t="shared" si="30"/>
        <v>5000</v>
      </c>
      <c r="AH46" s="49">
        <f t="shared" si="31"/>
        <v>552</v>
      </c>
      <c r="AI46" s="49">
        <f t="shared" si="32"/>
        <v>2150</v>
      </c>
      <c r="AJ46" s="49">
        <f t="shared" si="33"/>
        <v>601.16</v>
      </c>
      <c r="AK46" s="49">
        <f t="shared" si="34"/>
        <v>5979.9685760000002</v>
      </c>
      <c r="AL46" s="49">
        <f t="array" ref="AL46">_xlfn.IFS(R46=0,AE46,R46&lt;0,AE46/-R46,R46&gt;0,AE46/R46)</f>
        <v>-4305.0746833804369</v>
      </c>
      <c r="AM46" s="50">
        <f t="shared" si="35"/>
        <v>-0.86101493667608742</v>
      </c>
      <c r="AN46" s="51">
        <f t="shared" si="36"/>
        <v>-7.7990483394573129</v>
      </c>
      <c r="AP46" s="53">
        <f t="shared" si="37"/>
        <v>-210948.6594856414</v>
      </c>
    </row>
    <row r="47" spans="1:42">
      <c r="A47" s="30">
        <v>2774719500</v>
      </c>
      <c r="B47" s="31" t="s">
        <v>80</v>
      </c>
      <c r="C47" s="32">
        <v>13</v>
      </c>
      <c r="D47" s="33"/>
      <c r="E47" s="33"/>
      <c r="F47" s="33"/>
      <c r="G47" s="34"/>
      <c r="H47" s="84">
        <v>552</v>
      </c>
      <c r="I47" s="54">
        <f>C47*H47</f>
        <v>7176</v>
      </c>
      <c r="J47" s="36"/>
      <c r="K47" s="32">
        <v>5</v>
      </c>
      <c r="L47" s="36"/>
      <c r="M47" s="36"/>
      <c r="N47" s="37">
        <f t="shared" si="21"/>
        <v>0.7142857142857143</v>
      </c>
      <c r="O47" s="38">
        <f t="shared" si="22"/>
        <v>0</v>
      </c>
      <c r="P47" s="39">
        <f>SUMIFS('Отчет 09-15.02'!H:H,'Отчет 09-15.02'!D:D,"Выручка",'Отчет 09-15.02'!E:E,B47)</f>
        <v>0</v>
      </c>
      <c r="Q47" s="39">
        <f>SUMIFS('Отчет 09-15.02'!H:H,'Отчет 09-15.02'!D:D,"Возврат выручки",'Отчет 09-15.02'!E:E,B47)</f>
        <v>0</v>
      </c>
      <c r="R47" s="40">
        <f t="shared" si="23"/>
        <v>0</v>
      </c>
      <c r="S47" s="41">
        <f>SUMIFS('Отчет 09-15.02'!P:P,'Отчет 09-15.02'!C:C,"Продажи",'Отчет 09-15.02'!E:E,B47)</f>
        <v>0</v>
      </c>
      <c r="T47" s="42">
        <f>SUMIFS('Отчет 09-15.02'!P:P,'Отчет 09-15.02'!C:C,"Возвраты",'Отчет 09-15.02'!E:E,B47)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09-15.02'!P:P,'Отчет 09-15.02'!C:C,"Вознаграждение Ozon",'Отчет 09-15.02'!E:E,B47)</f>
        <v>0</v>
      </c>
      <c r="Y47" s="45">
        <f t="shared" si="27"/>
        <v>0</v>
      </c>
      <c r="Z47" s="42">
        <f>-SUMIFS('Отчет 09-15.02'!P:P,'Отчет 09-15.02'!C:C,"Услуги доставки",'Отчет 09-15.02'!E:E,B47)</f>
        <v>227.76</v>
      </c>
      <c r="AA47" s="32">
        <v>0</v>
      </c>
      <c r="AB47" s="55"/>
      <c r="AC47" s="42"/>
      <c r="AD47" s="46">
        <f t="shared" si="28"/>
        <v>0</v>
      </c>
      <c r="AE47" s="47">
        <f t="shared" si="29"/>
        <v>-227.76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227.76</v>
      </c>
      <c r="AK47" s="49">
        <f t="shared" si="34"/>
        <v>0</v>
      </c>
      <c r="AL47" s="49">
        <f t="array" ref="AL47">_xlfn.IFS(R47=0,AE47,R47&lt;0,AE47/-R47,R47&gt;0,AE47/R47)</f>
        <v>-227.76</v>
      </c>
      <c r="AM47" s="50">
        <f t="shared" si="35"/>
        <v>0</v>
      </c>
      <c r="AN47" s="51">
        <f t="shared" si="36"/>
        <v>-0.4126086956521739</v>
      </c>
      <c r="AP47" s="53">
        <f t="shared" si="37"/>
        <v>-2960.88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4628.3558201058204</v>
      </c>
      <c r="AH48" s="86">
        <f t="shared" si="38"/>
        <v>617.25</v>
      </c>
      <c r="AI48" s="86">
        <f t="shared" si="38"/>
        <v>1990.1930026455027</v>
      </c>
      <c r="AJ48" s="86">
        <f t="shared" si="38"/>
        <v>269.59618589743593</v>
      </c>
      <c r="AK48" s="86">
        <f t="shared" si="38"/>
        <v>2117.5596293437502</v>
      </c>
      <c r="AL48" s="86">
        <f t="shared" si="38"/>
        <v>222.02032178937029</v>
      </c>
      <c r="AM48" s="87">
        <f t="shared" si="38"/>
        <v>8.1789279182975599E-2</v>
      </c>
      <c r="AN48" s="87">
        <f t="shared" si="38"/>
        <v>0.26083047755103678</v>
      </c>
      <c r="AO48" s="60"/>
      <c r="AP48" s="61"/>
    </row>
    <row r="49" spans="1:42">
      <c r="A49" s="88" t="s">
        <v>81</v>
      </c>
      <c r="B49" s="89"/>
      <c r="C49" s="90">
        <f>SUM(C28:C47)</f>
        <v>452</v>
      </c>
      <c r="D49" s="91"/>
      <c r="E49" s="91"/>
      <c r="F49" s="91"/>
      <c r="G49" s="91"/>
      <c r="H49" s="92"/>
      <c r="I49" s="90">
        <f>SUM(I28:I47)</f>
        <v>278769</v>
      </c>
      <c r="J49" s="93"/>
      <c r="K49" s="90">
        <f>SUM(K28:K47)</f>
        <v>54</v>
      </c>
      <c r="L49" s="93"/>
      <c r="M49" s="93"/>
      <c r="N49" s="94"/>
      <c r="O49" s="95"/>
      <c r="P49" s="90">
        <f t="shared" ref="P49:X49" si="39">SUM(P28:P47)</f>
        <v>22</v>
      </c>
      <c r="Q49" s="90">
        <f t="shared" si="39"/>
        <v>2</v>
      </c>
      <c r="R49" s="96">
        <f t="shared" si="39"/>
        <v>20</v>
      </c>
      <c r="S49" s="90">
        <f t="shared" si="39"/>
        <v>110799</v>
      </c>
      <c r="T49" s="90">
        <f t="shared" si="39"/>
        <v>-9047</v>
      </c>
      <c r="U49" s="96">
        <f t="shared" si="39"/>
        <v>101752</v>
      </c>
      <c r="V49" s="97">
        <f t="shared" si="39"/>
        <v>0.45765997544202103</v>
      </c>
      <c r="W49" s="90">
        <f t="shared" si="39"/>
        <v>13275</v>
      </c>
      <c r="X49" s="90">
        <f t="shared" si="39"/>
        <v>43753.36</v>
      </c>
      <c r="Y49" s="98">
        <f>IF(U49=0,0,X49/U49)</f>
        <v>0.43</v>
      </c>
      <c r="Z49" s="90">
        <f>SUM(Z28:Z47)</f>
        <v>8720.9900000000016</v>
      </c>
      <c r="AA49" s="90">
        <f>IFERROR(P49*AA51/P51,0)</f>
        <v>11971.801707317072</v>
      </c>
      <c r="AB49" s="90">
        <f>SUM(AB28:AB47)</f>
        <v>0</v>
      </c>
      <c r="AC49" s="90">
        <f>SUM(AC28:AC47)</f>
        <v>0</v>
      </c>
      <c r="AD49" s="96">
        <f>SUM(AD28:AD47)</f>
        <v>446.61206363485064</v>
      </c>
      <c r="AE49" s="90">
        <f>SUM(AE28:AE47)</f>
        <v>17874.211404365142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-40675.45393373636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17681.826531999999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5681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954784.05000000016</v>
      </c>
      <c r="J51" s="118">
        <f>J26+J49</f>
        <v>0</v>
      </c>
      <c r="K51" s="118">
        <f>K26+K49</f>
        <v>175</v>
      </c>
      <c r="L51" s="119"/>
      <c r="M51" s="119"/>
      <c r="N51" s="119"/>
      <c r="O51" s="119"/>
      <c r="P51" s="120">
        <f t="shared" ref="P51:X51" si="40">P26+P49</f>
        <v>82</v>
      </c>
      <c r="Q51" s="118">
        <f t="shared" si="40"/>
        <v>4</v>
      </c>
      <c r="R51" s="121">
        <f>R26-R49</f>
        <v>38</v>
      </c>
      <c r="S51" s="118">
        <f t="shared" si="40"/>
        <v>236255.00000000003</v>
      </c>
      <c r="T51" s="118">
        <f t="shared" si="40"/>
        <v>-13924</v>
      </c>
      <c r="U51" s="121">
        <f t="shared" si="40"/>
        <v>222331.00000000003</v>
      </c>
      <c r="V51" s="122">
        <f t="shared" si="40"/>
        <v>0.99999999999999978</v>
      </c>
      <c r="W51" s="118">
        <f t="shared" si="40"/>
        <v>20698.189999999999</v>
      </c>
      <c r="X51" s="118">
        <f t="shared" si="40"/>
        <v>95602.33</v>
      </c>
      <c r="Y51" s="123">
        <f>X51/U51</f>
        <v>0.42999999999999994</v>
      </c>
      <c r="Z51" s="118">
        <f>Z26+Z49</f>
        <v>22380.890000000021</v>
      </c>
      <c r="AA51" s="124">
        <v>44622.17</v>
      </c>
      <c r="AB51" s="125"/>
      <c r="AC51" s="125">
        <f>SUM(AC3:AC47)</f>
        <v>0</v>
      </c>
      <c r="AD51" s="118">
        <f>AD26+AD49</f>
        <v>975.8599999999999</v>
      </c>
      <c r="AE51" s="126">
        <f>AE26+AE49</f>
        <v>38051.569895000001</v>
      </c>
      <c r="AF51" s="127"/>
      <c r="AG51" s="128"/>
      <c r="AH51" s="129"/>
      <c r="AI51" s="129"/>
      <c r="AJ51" s="129"/>
      <c r="AK51" s="129">
        <f>AA52/P51</f>
        <v>544.17280487804874</v>
      </c>
      <c r="AL51" s="129"/>
      <c r="AM51" s="129"/>
      <c r="AN51" s="130"/>
      <c r="AP51" s="126">
        <f>SUM(AP3:AP47)</f>
        <v>-821526.20957062708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44622.17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44622.160105000003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954784.05000000016</v>
      </c>
      <c r="J59" s="164">
        <f>I59/I51</f>
        <v>1</v>
      </c>
      <c r="K59" s="160">
        <f>AP51-K58-K60</f>
        <v>-821526.20957062708</v>
      </c>
      <c r="L59" s="161">
        <f>K59/I59</f>
        <v>-0.8604314342815288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9" priority="36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{F35FF075-671B-4E83-BA04-3B1EAFA1F2E4}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{4968754C-B444-400F-A675-BBE1193F93D0}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{2CEE45AB-C036-41A6-AEEF-9C206342ADD8}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{32BD43E9-B4B0-4274-9106-E4DE738DBD72}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{8D79CDDF-1997-4FE1-A2E5-F6D6D5BD7A48}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{16D27D76-BA68-4561-AAF3-0D72BB0621D9}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{2AF5353A-D3B9-41AB-854C-56ECCAFAEFC4}</x14:id>
        </ext>
      </extLst>
    </cfRule>
  </conditionalFormatting>
  <conditionalFormatting sqref="U27 U48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{D920EEED-BD9F-47DA-A138-7F4A79825E74}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{24B47199-BAC7-451E-9C10-54D10888372C}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{62BBBB5A-452C-4C88-9857-176AE6DC26F1}</x14:id>
        </ext>
      </extLst>
    </cfRule>
  </conditionalFormatting>
  <conditionalFormatting sqref="P50">
    <cfRule type="cellIs" dxfId="138" priority="32" operator="greaterThan">
      <formula>120</formula>
    </cfRule>
  </conditionalFormatting>
  <conditionalFormatting sqref="Q50">
    <cfRule type="cellIs" dxfId="137" priority="31" operator="greaterThan">
      <formula>120</formula>
    </cfRule>
  </conditionalFormatting>
  <conditionalFormatting sqref="R50">
    <cfRule type="cellIs" dxfId="136" priority="30" operator="greaterThan">
      <formula>120</formula>
    </cfRule>
  </conditionalFormatting>
  <conditionalFormatting sqref="S50">
    <cfRule type="cellIs" dxfId="135" priority="29" operator="greaterThan">
      <formula>120</formula>
    </cfRule>
  </conditionalFormatting>
  <conditionalFormatting sqref="T50">
    <cfRule type="cellIs" dxfId="134" priority="28" operator="greaterThan">
      <formula>120</formula>
    </cfRule>
  </conditionalFormatting>
  <conditionalFormatting sqref="U50">
    <cfRule type="cellIs" dxfId="133" priority="27" operator="greaterThan">
      <formula>120</formula>
    </cfRule>
  </conditionalFormatting>
  <conditionalFormatting sqref="W50">
    <cfRule type="cellIs" dxfId="132" priority="25" operator="greaterThan">
      <formula>120</formula>
    </cfRule>
  </conditionalFormatting>
  <conditionalFormatting sqref="X50">
    <cfRule type="cellIs" dxfId="131" priority="24" operator="greaterThan">
      <formula>120</formula>
    </cfRule>
  </conditionalFormatting>
  <conditionalFormatting sqref="Z50">
    <cfRule type="cellIs" dxfId="130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{DF46E8F3-126F-4A8C-B050-C1E44C05F434}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{39C9E277-20AF-45C2-A3B4-69E034806912}</x14:id>
        </ext>
      </extLst>
    </cfRule>
  </conditionalFormatting>
  <conditionalFormatting sqref="J8:J9">
    <cfRule type="cellIs" dxfId="129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{E31617FB-C2E1-4D15-AE33-6B7F7AFC269D}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{4946945A-E1E7-4F76-869C-0BCB60931669}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{ECBA20DA-C321-4ADA-AB95-7322C6F33837}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{D7F39CA4-4DD3-4BE0-A797-5AB0F8DF4A25}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{CF921E99-EEFD-4B31-9149-7A704D140D62}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{09430272-5B2F-4BE6-94AF-BBFA2FF73491}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{C109EF7B-2291-4D0B-BC00-6254326C397A}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{7AADA2D2-84C4-42A5-A62C-78C3E2BB3F87}</x14:id>
        </ext>
      </extLst>
    </cfRule>
  </conditionalFormatting>
  <conditionalFormatting sqref="N50">
    <cfRule type="cellIs" dxfId="128" priority="9" operator="between">
      <formula>0.000001</formula>
      <formula>25</formula>
    </cfRule>
  </conditionalFormatting>
  <conditionalFormatting sqref="V1 V52:V55 V57:V1048576">
    <cfRule type="cellIs" dxfId="127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{A44136E8-C585-4728-8661-CEB0BB10D527}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{18FC04DA-E1D8-4B91-AAD2-231449D7B99E}</x14:id>
        </ext>
      </extLst>
    </cfRule>
  </conditionalFormatting>
  <conditionalFormatting sqref="V50">
    <cfRule type="cellIs" dxfId="126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{E75E6C65-6409-4350-8571-F4C4C081888C}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{EC594A4F-5C7B-40C1-8D00-0F0858C0D7FD}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{E3801207-92D1-4D82-A604-D08B5521A425}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{F19B6697-4F64-407C-B494-A693FCA65A06}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5FF075-671B-4E83-BA04-3B1EAFA1F2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968754C-B444-400F-A675-BBE1193F93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2CEE45AB-C036-41A6-AEEF-9C206342AD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2BD43E9-B4B0-4274-9106-E4DE738DBD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79CDDF-1997-4FE1-A2E5-F6D6D5BD7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16D27D76-BA68-4561-AAF3-0D72BB062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F5353A-D3B9-41AB-854C-56ECCAFAEF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D920EEED-BD9F-47DA-A138-7F4A79825E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24B47199-BAC7-451E-9C10-54D108883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62BBBB5A-452C-4C88-9857-176AE6DC26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DF46E8F3-126F-4A8C-B050-C1E44C05F4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9C9E277-20AF-45C2-A3B4-69E034806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31617FB-C2E1-4D15-AE33-6B7F7AFC26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946945A-E1E7-4F76-869C-0BCB6093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CBA20DA-C321-4ADA-AB95-7322C6F338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7F39CA4-4DD3-4BE0-A797-5AB0F8DF4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F921E99-EEFD-4B31-9149-7A704D140D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9430272-5B2F-4BE6-94AF-BBFA2FF734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109EF7B-2291-4D0B-BC00-6254326C39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7AADA2D2-84C4-42A5-A62C-78C3E2BB3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A44136E8-C585-4728-8661-CEB0BB10D5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18FC04DA-E1D8-4B91-AAD2-231449D7B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75E6C65-6409-4350-8571-F4C4C0818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C594A4F-5C7B-40C1-8D00-0F0858C0D7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3801207-92D1-4D82-A604-D08B5521A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F19B6697-4F64-407C-B494-A693FCA65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599-3869-44EC-ADB6-11AE76126FB2}">
  <dimension ref="A1:AZ64"/>
  <sheetViews>
    <sheetView topLeftCell="P31" zoomScale="70" zoomScaleNormal="70" workbookViewId="0">
      <selection activeCell="AD2" sqref="AD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954</v>
      </c>
      <c r="C1" s="3"/>
      <c r="D1" s="4"/>
      <c r="E1" s="4"/>
      <c r="F1" s="4"/>
      <c r="G1" s="4"/>
      <c r="N1" s="296" t="s">
        <v>997</v>
      </c>
      <c r="O1" s="297">
        <v>7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v>98743</v>
      </c>
      <c r="AE1" s="341">
        <f>U51/AD1</f>
        <v>2.2330798132525849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1012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530</v>
      </c>
      <c r="D3" s="33"/>
      <c r="E3" s="33"/>
      <c r="F3" s="33"/>
      <c r="G3" s="34"/>
      <c r="H3" s="35">
        <v>142.97999999999999</v>
      </c>
      <c r="I3" s="33">
        <f t="shared" ref="I3:I24" si="0">C3*H3</f>
        <v>75779.399999999994</v>
      </c>
      <c r="J3" s="36"/>
      <c r="K3" s="32">
        <v>86</v>
      </c>
      <c r="L3" s="36"/>
      <c r="M3" s="36"/>
      <c r="N3" s="37">
        <f>K3/$O$1</f>
        <v>12.285714285714286</v>
      </c>
      <c r="O3" s="38">
        <f>R3/$O$1</f>
        <v>5.4285714285714288</v>
      </c>
      <c r="P3" s="39">
        <f>SUMIFS('Отчет 02-08.02'!H:H,'Отчет 02-08.02'!D:D,"Выручка",'Отчет 02-08.02'!E:E,B3)</f>
        <v>42</v>
      </c>
      <c r="Q3" s="39">
        <f>SUMIFS('Отчет 02-08.02'!H:H,'Отчет 02-08.02'!D:D,"Возврат выручки",'Отчет 02-08.02'!E:E,B3)</f>
        <v>4</v>
      </c>
      <c r="R3" s="40">
        <f t="shared" ref="R3:R24" si="1">P3-Q3</f>
        <v>38</v>
      </c>
      <c r="S3" s="41">
        <f>SUMIFS('Отчет 02-08.02'!P:P,'Отчет 02-08.02'!C:C,"Продажи",'Отчет 02-08.02'!E:E,B3)</f>
        <v>77971.999999999985</v>
      </c>
      <c r="T3" s="42">
        <f>SUMIFS('Отчет 02-08.02'!P:P,'Отчет 02-08.02'!C:C,"Возвраты",'Отчет 02-08.02'!E:E,B3)</f>
        <v>-7800</v>
      </c>
      <c r="U3" s="40">
        <f t="shared" ref="U3:U24" si="2">S3+T3</f>
        <v>70171.999999999985</v>
      </c>
      <c r="V3" s="43">
        <f>U3/$U$51</f>
        <v>0.31823891955138517</v>
      </c>
      <c r="W3" s="44">
        <f t="shared" ref="W3:W24" si="3">R3*H3</f>
        <v>5433.24</v>
      </c>
      <c r="X3" s="42">
        <f>-SUMIFS('Отчет 02-08.02'!P:P,'Отчет 02-08.02'!C:C,"Вознаграждение Ozon",'Отчет 02-08.02'!E:E,B3)</f>
        <v>30173.960000000003</v>
      </c>
      <c r="Y3" s="45">
        <f t="shared" ref="Y3:Y24" si="4">IF(U3=0,0,X3/U3)</f>
        <v>0.4300000000000001</v>
      </c>
      <c r="Z3" s="42">
        <f>-SUMIFS('Отчет 02-08.02'!P:P,'Отчет 02-08.02'!C:C,"Услуги доставки",'Отчет 02-08.02'!E:E,B3)</f>
        <v>8288.8100000000122</v>
      </c>
      <c r="AA3" s="32">
        <v>15679.549513999998</v>
      </c>
      <c r="AB3" s="42"/>
      <c r="AC3" s="42"/>
      <c r="AD3" s="46">
        <f>U3*1%/$AE$1</f>
        <v>314.23865633262432</v>
      </c>
      <c r="AE3" s="47">
        <f t="shared" ref="AE3:AE24" si="5">U3-W3-X3-Z3-AA3-AB3-AC3-AD3</f>
        <v>10282.201829667354</v>
      </c>
      <c r="AF3" s="46"/>
      <c r="AG3" s="48">
        <f t="shared" ref="AG3:AG24" si="6">IF(R3=0,0,U3/R3)</f>
        <v>1846.6315789473681</v>
      </c>
      <c r="AH3" s="49">
        <f t="shared" ref="AH3:AH24" si="7">H3</f>
        <v>142.97999999999999</v>
      </c>
      <c r="AI3" s="49">
        <f t="shared" ref="AI3:AI24" si="8">IF(R3=0,0,X3/R3)</f>
        <v>794.05157894736851</v>
      </c>
      <c r="AJ3" s="49">
        <f t="shared" ref="AJ3:AJ24" si="9">IF(P3=0,Z3/1,Z3/P3)</f>
        <v>197.35261904761933</v>
      </c>
      <c r="AK3" s="49">
        <f t="shared" ref="AK3:AK24" si="10">IF(P3=0,0,AA3/P3)</f>
        <v>373.32260747619046</v>
      </c>
      <c r="AL3" s="49">
        <f>_xlfn.IFS(R3=0,AE3,R3&lt;0,AE3/-R3,R3&gt;0,AE3/R3)</f>
        <v>270.58425867545668</v>
      </c>
      <c r="AM3" s="50">
        <f t="shared" ref="AM3:AM24" si="11">IF(AG3=0,0,AL3/AG3)</f>
        <v>0.14652855597200246</v>
      </c>
      <c r="AN3" s="51">
        <f t="shared" ref="AN3:AN24" si="12">IF(AH3=0,0,AL3/AH3)</f>
        <v>1.8924622931560826</v>
      </c>
      <c r="AP3" s="53">
        <f t="shared" ref="AP3:AP24" si="13">AL3*C3</f>
        <v>143409.65709799205</v>
      </c>
    </row>
    <row r="4" spans="1:42">
      <c r="A4" s="30">
        <v>2638638550</v>
      </c>
      <c r="B4" s="31" t="s">
        <v>39</v>
      </c>
      <c r="C4" s="32">
        <v>492</v>
      </c>
      <c r="D4" s="33"/>
      <c r="E4" s="33"/>
      <c r="F4" s="33"/>
      <c r="G4" s="34"/>
      <c r="H4" s="35">
        <v>123.09</v>
      </c>
      <c r="I4" s="33">
        <f t="shared" si="0"/>
        <v>60560.28</v>
      </c>
      <c r="J4" s="36"/>
      <c r="K4" s="32">
        <v>1</v>
      </c>
      <c r="L4" s="36"/>
      <c r="M4" s="36"/>
      <c r="N4" s="37">
        <f t="shared" ref="N4:N24" si="14">K4/$O$1</f>
        <v>0.14285714285714285</v>
      </c>
      <c r="O4" s="38">
        <f t="shared" ref="O4:O24" si="15">R4/$O$1</f>
        <v>0.14285714285714285</v>
      </c>
      <c r="P4" s="39">
        <f>SUMIFS('Отчет 02-08.02'!H:H,'Отчет 02-08.02'!D:D,"Выручка",'Отчет 02-08.02'!E:E,B4)</f>
        <v>1</v>
      </c>
      <c r="Q4" s="39">
        <f>SUMIFS('Отчет 02-08.02'!H:H,'Отчет 02-08.02'!D:D,"Возврат выручки",'Отчет 02-08.02'!E:E,B4)</f>
        <v>0</v>
      </c>
      <c r="R4" s="40">
        <f t="shared" si="1"/>
        <v>1</v>
      </c>
      <c r="S4" s="41">
        <f>SUMIFS('Отчет 02-08.02'!P:P,'Отчет 02-08.02'!C:C,"Продажи",'Отчет 02-08.02'!E:E,B4)</f>
        <v>1700</v>
      </c>
      <c r="T4" s="42">
        <f>SUMIFS('Отчет 02-08.02'!P:P,'Отчет 02-08.02'!C:C,"Возвраты",'Отчет 02-08.02'!E:E,B4)</f>
        <v>0</v>
      </c>
      <c r="U4" s="40">
        <f t="shared" si="2"/>
        <v>1700</v>
      </c>
      <c r="V4" s="43">
        <f t="shared" ref="V4:V24" si="16">U4/$U$51</f>
        <v>7.7097156021968156E-3</v>
      </c>
      <c r="W4" s="44">
        <f t="shared" si="3"/>
        <v>123.09</v>
      </c>
      <c r="X4" s="42">
        <f>-SUMIFS('Отчет 02-08.02'!P:P,'Отчет 02-08.02'!C:C,"Вознаграждение Ozon",'Отчет 02-08.02'!E:E,B4)</f>
        <v>731</v>
      </c>
      <c r="Y4" s="45">
        <f t="shared" si="4"/>
        <v>0.43</v>
      </c>
      <c r="Z4" s="42">
        <f>-SUMIFS('Отчет 02-08.02'!P:P,'Отчет 02-08.02'!C:C,"Услуги доставки",'Отчет 02-08.02'!E:E,B4)</f>
        <v>236.5</v>
      </c>
      <c r="AA4" s="32">
        <v>0</v>
      </c>
      <c r="AB4" s="42"/>
      <c r="AC4" s="42"/>
      <c r="AD4" s="46">
        <f t="shared" ref="AD4:AD24" si="17">U4*1%/$AE$1</f>
        <v>7.6128044770772023</v>
      </c>
      <c r="AE4" s="47">
        <f t="shared" si="5"/>
        <v>601.79719552292283</v>
      </c>
      <c r="AF4" s="46"/>
      <c r="AG4" s="48">
        <f t="shared" si="6"/>
        <v>1700</v>
      </c>
      <c r="AH4" s="49">
        <f t="shared" si="7"/>
        <v>123.09</v>
      </c>
      <c r="AI4" s="49">
        <f t="shared" si="8"/>
        <v>731</v>
      </c>
      <c r="AJ4" s="49">
        <f t="shared" si="9"/>
        <v>236.5</v>
      </c>
      <c r="AK4" s="49">
        <f t="shared" si="10"/>
        <v>0</v>
      </c>
      <c r="AL4" s="49">
        <f t="array" ref="AL4">_xlfn.IFS(R4=0,AE4,R4&lt;0,AE4/-R4,R4&gt;0,AE4/R4)</f>
        <v>601.79719552292283</v>
      </c>
      <c r="AM4" s="50">
        <f t="shared" si="11"/>
        <v>0.35399835030760168</v>
      </c>
      <c r="AN4" s="51">
        <f t="shared" si="12"/>
        <v>4.8890827485817114</v>
      </c>
      <c r="AP4" s="53">
        <f t="shared" si="13"/>
        <v>296084.22019727802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2</v>
      </c>
      <c r="L5" s="36"/>
      <c r="M5" s="36"/>
      <c r="N5" s="37">
        <f t="shared" si="14"/>
        <v>0.2857142857142857</v>
      </c>
      <c r="O5" s="38">
        <f t="shared" si="15"/>
        <v>0.2857142857142857</v>
      </c>
      <c r="P5" s="39">
        <f>SUMIFS('Отчет 02-08.02'!H:H,'Отчет 02-08.02'!D:D,"Выручка",'Отчет 02-08.02'!E:E,B5)</f>
        <v>2</v>
      </c>
      <c r="Q5" s="39">
        <f>SUMIFS('Отчет 02-08.02'!H:H,'Отчет 02-08.02'!D:D,"Возврат выручки",'Отчет 02-08.02'!E:E,B5)</f>
        <v>0</v>
      </c>
      <c r="R5" s="40">
        <f t="shared" si="1"/>
        <v>2</v>
      </c>
      <c r="S5" s="41">
        <f>SUMIFS('Отчет 02-08.02'!P:P,'Отчет 02-08.02'!C:C,"Продажи",'Отчет 02-08.02'!E:E,B5)</f>
        <v>3310</v>
      </c>
      <c r="T5" s="42">
        <f>SUMIFS('Отчет 02-08.02'!P:P,'Отчет 02-08.02'!C:C,"Возвраты",'Отчет 02-08.02'!E:E,B5)</f>
        <v>0</v>
      </c>
      <c r="U5" s="40">
        <f t="shared" si="2"/>
        <v>3310</v>
      </c>
      <c r="V5" s="43">
        <f t="shared" si="16"/>
        <v>1.5011269790159681E-2</v>
      </c>
      <c r="W5" s="44">
        <f t="shared" si="3"/>
        <v>246.18</v>
      </c>
      <c r="X5" s="42">
        <f>-SUMIFS('Отчет 02-08.02'!P:P,'Отчет 02-08.02'!C:C,"Вознаграждение Ozon",'Отчет 02-08.02'!E:E,B5)</f>
        <v>1423.3</v>
      </c>
      <c r="Y5" s="45">
        <f t="shared" si="4"/>
        <v>0.43</v>
      </c>
      <c r="Z5" s="42">
        <f>-SUMIFS('Отчет 02-08.02'!P:P,'Отчет 02-08.02'!C:C,"Услуги доставки",'Отчет 02-08.02'!E:E,B5)</f>
        <v>315.16000000000003</v>
      </c>
      <c r="AA5" s="32">
        <v>761.3</v>
      </c>
      <c r="AB5" s="55"/>
      <c r="AC5" s="42"/>
      <c r="AD5" s="46">
        <f t="shared" si="17"/>
        <v>14.822578128897376</v>
      </c>
      <c r="AE5" s="47">
        <f t="shared" si="5"/>
        <v>549.23742187110281</v>
      </c>
      <c r="AF5" s="46"/>
      <c r="AG5" s="48">
        <f t="shared" si="6"/>
        <v>1655</v>
      </c>
      <c r="AH5" s="49">
        <f t="shared" si="7"/>
        <v>123.09</v>
      </c>
      <c r="AI5" s="49">
        <f t="shared" si="8"/>
        <v>711.65</v>
      </c>
      <c r="AJ5" s="49">
        <f t="shared" si="9"/>
        <v>157.58000000000001</v>
      </c>
      <c r="AK5" s="49">
        <f t="shared" si="10"/>
        <v>380.65</v>
      </c>
      <c r="AL5" s="49">
        <f t="array" ref="AL5">_xlfn.IFS(R5=0,AE5,R5&lt;0,AE5/-R5,R5&gt;0,AE5/R5)</f>
        <v>274.61871093555141</v>
      </c>
      <c r="AM5" s="50">
        <f t="shared" si="11"/>
        <v>0.16593275585229691</v>
      </c>
      <c r="AN5" s="51">
        <f t="shared" si="12"/>
        <v>2.231039978353655</v>
      </c>
      <c r="AP5" s="53">
        <f t="shared" si="13"/>
        <v>137309.35546777569</v>
      </c>
    </row>
    <row r="6" spans="1:42">
      <c r="A6" s="30">
        <v>2638382749</v>
      </c>
      <c r="B6" s="31" t="s">
        <v>41</v>
      </c>
      <c r="C6" s="32">
        <v>1048</v>
      </c>
      <c r="D6" s="33"/>
      <c r="E6" s="33"/>
      <c r="F6" s="33"/>
      <c r="G6" s="34"/>
      <c r="H6" s="35">
        <v>123.09</v>
      </c>
      <c r="I6" s="54">
        <f t="shared" si="0"/>
        <v>128998.32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02-08.02'!H:H,'Отчет 02-08.02'!D:D,"Выручка",'Отчет 02-08.02'!E:E,B6)</f>
        <v>0</v>
      </c>
      <c r="Q6" s="39">
        <f>SUMIFS('Отчет 02-08.02'!H:H,'Отчет 02-08.02'!D:D,"Возврат выручки",'Отчет 02-08.02'!E:E,B6)</f>
        <v>0</v>
      </c>
      <c r="R6" s="40">
        <f t="shared" si="1"/>
        <v>0</v>
      </c>
      <c r="S6" s="41">
        <f>SUMIFS('Отчет 02-08.02'!P:P,'Отчет 02-08.02'!C:C,"Продажи",'Отчет 02-08.02'!E:E,B6)</f>
        <v>0</v>
      </c>
      <c r="T6" s="42">
        <f>SUMIFS('Отчет 02-08.02'!P:P,'Отчет 02-08.02'!C:C,"Возвраты",'Отчет 02-08.02'!E:E,B6)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02-08.02'!P:P,'Отчет 02-08.02'!C:C,"Вознаграждение Ozon",'Отчет 02-08.02'!E:E,B6)</f>
        <v>0</v>
      </c>
      <c r="Y6" s="45">
        <f t="shared" si="4"/>
        <v>0</v>
      </c>
      <c r="Z6" s="42">
        <f>-SUMIFS('Отчет 02-08.02'!P:P,'Отчет 02-08.02'!C:C,"Услуги доставки",'Отчет 02-08.02'!E:E,B6)</f>
        <v>93.54</v>
      </c>
      <c r="AA6" s="32">
        <v>170.4</v>
      </c>
      <c r="AB6" s="55"/>
      <c r="AC6" s="42"/>
      <c r="AD6" s="46">
        <f t="shared" si="17"/>
        <v>0</v>
      </c>
      <c r="AE6" s="47">
        <f t="shared" si="5"/>
        <v>-263.94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93.54</v>
      </c>
      <c r="AK6" s="49">
        <f t="shared" si="10"/>
        <v>0</v>
      </c>
      <c r="AL6" s="49">
        <f t="array" ref="AL6">_xlfn.IFS(R6=0,AE6,R6&lt;0,AE6/-R6,R6&gt;0,AE6/R6)</f>
        <v>-263.94</v>
      </c>
      <c r="AM6" s="50">
        <f t="shared" si="11"/>
        <v>0</v>
      </c>
      <c r="AN6" s="51">
        <f t="shared" si="12"/>
        <v>-2.1442846697538385</v>
      </c>
      <c r="AP6" s="53">
        <f t="shared" si="13"/>
        <v>-276609.12</v>
      </c>
    </row>
    <row r="7" spans="1:42">
      <c r="A7" s="30">
        <v>2638569317</v>
      </c>
      <c r="B7" s="31" t="s">
        <v>42</v>
      </c>
      <c r="C7" s="32">
        <v>817</v>
      </c>
      <c r="D7" s="33"/>
      <c r="E7" s="33"/>
      <c r="F7" s="33"/>
      <c r="G7" s="34"/>
      <c r="H7" s="35">
        <v>117.24</v>
      </c>
      <c r="I7" s="54">
        <f t="shared" si="0"/>
        <v>95785.08</v>
      </c>
      <c r="J7" s="36"/>
      <c r="K7" s="32">
        <v>20</v>
      </c>
      <c r="L7" s="36"/>
      <c r="M7" s="36"/>
      <c r="N7" s="37">
        <f t="shared" si="14"/>
        <v>2.8571428571428572</v>
      </c>
      <c r="O7" s="38">
        <f t="shared" si="15"/>
        <v>1.1428571428571428</v>
      </c>
      <c r="P7" s="39">
        <f>SUMIFS('Отчет 02-08.02'!H:H,'Отчет 02-08.02'!D:D,"Выручка",'Отчет 02-08.02'!E:E,B7)</f>
        <v>8</v>
      </c>
      <c r="Q7" s="39">
        <f>SUMIFS('Отчет 02-08.02'!H:H,'Отчет 02-08.02'!D:D,"Возврат выручки",'Отчет 02-08.02'!E:E,B7)</f>
        <v>0</v>
      </c>
      <c r="R7" s="40">
        <f t="shared" si="1"/>
        <v>8</v>
      </c>
      <c r="S7" s="41">
        <f>SUMIFS('Отчет 02-08.02'!P:P,'Отчет 02-08.02'!C:C,"Продажи",'Отчет 02-08.02'!E:E,B7)</f>
        <v>14999.999999999998</v>
      </c>
      <c r="T7" s="42">
        <f>SUMIFS('Отчет 02-08.02'!P:P,'Отчет 02-08.02'!C:C,"Возвраты",'Отчет 02-08.02'!E:E,B7)</f>
        <v>0</v>
      </c>
      <c r="U7" s="40">
        <f t="shared" si="2"/>
        <v>14999.999999999998</v>
      </c>
      <c r="V7" s="43">
        <f t="shared" si="16"/>
        <v>6.8026902372324838E-2</v>
      </c>
      <c r="W7" s="44">
        <f t="shared" si="3"/>
        <v>937.92</v>
      </c>
      <c r="X7" s="42">
        <f>-SUMIFS('Отчет 02-08.02'!P:P,'Отчет 02-08.02'!C:C,"Вознаграждение Ozon",'Отчет 02-08.02'!E:E,B7)</f>
        <v>6450</v>
      </c>
      <c r="Y7" s="45">
        <f t="shared" si="4"/>
        <v>0.43000000000000005</v>
      </c>
      <c r="Z7" s="42">
        <f>-SUMIFS('Отчет 02-08.02'!P:P,'Отчет 02-08.02'!C:C,"Услуги доставки",'Отчет 02-08.02'!E:E,B7)</f>
        <v>2029.3899999999999</v>
      </c>
      <c r="AA7" s="32">
        <v>5543.7926989999996</v>
      </c>
      <c r="AB7" s="55"/>
      <c r="AC7" s="42"/>
      <c r="AD7" s="46">
        <f t="shared" si="17"/>
        <v>67.171804209504714</v>
      </c>
      <c r="AE7" s="47">
        <f t="shared" si="5"/>
        <v>-28.274503209505653</v>
      </c>
      <c r="AF7" s="46"/>
      <c r="AG7" s="48">
        <f t="shared" si="6"/>
        <v>1874.9999999999998</v>
      </c>
      <c r="AH7" s="49">
        <f t="shared" si="7"/>
        <v>117.24</v>
      </c>
      <c r="AI7" s="49">
        <f t="shared" si="8"/>
        <v>806.25</v>
      </c>
      <c r="AJ7" s="49">
        <f t="shared" si="9"/>
        <v>253.67374999999998</v>
      </c>
      <c r="AK7" s="49">
        <f t="shared" si="10"/>
        <v>692.97408737499995</v>
      </c>
      <c r="AL7" s="49">
        <f t="array" ref="AL7">_xlfn.IFS(R7=0,AE7,R7&lt;0,AE7/-R7,R7&gt;0,AE7/R7)</f>
        <v>-3.5343129011882066</v>
      </c>
      <c r="AM7" s="50">
        <f t="shared" si="11"/>
        <v>-1.8849668806337103E-3</v>
      </c>
      <c r="AN7" s="51">
        <f t="shared" si="12"/>
        <v>-3.0145964697954681E-2</v>
      </c>
      <c r="AP7" s="53">
        <f t="shared" si="13"/>
        <v>-2887.5336402707649</v>
      </c>
    </row>
    <row r="8" spans="1:42">
      <c r="A8" s="30">
        <v>3064334128</v>
      </c>
      <c r="B8" s="31" t="s">
        <v>43</v>
      </c>
      <c r="C8" s="32">
        <v>690</v>
      </c>
      <c r="D8" s="33"/>
      <c r="E8" s="33"/>
      <c r="F8" s="33"/>
      <c r="G8" s="34"/>
      <c r="H8" s="35">
        <v>123</v>
      </c>
      <c r="I8" s="54">
        <f t="shared" si="0"/>
        <v>84870</v>
      </c>
      <c r="J8" s="36"/>
      <c r="K8" s="32">
        <v>2</v>
      </c>
      <c r="L8" s="36"/>
      <c r="M8" s="36"/>
      <c r="N8" s="37">
        <f t="shared" si="14"/>
        <v>0.2857142857142857</v>
      </c>
      <c r="O8" s="38">
        <f t="shared" si="15"/>
        <v>0.2857142857142857</v>
      </c>
      <c r="P8" s="39">
        <f>SUMIFS('Отчет 02-08.02'!H:H,'Отчет 02-08.02'!D:D,"Выручка",'Отчет 02-08.02'!E:E,B8)</f>
        <v>2</v>
      </c>
      <c r="Q8" s="39">
        <f>SUMIFS('Отчет 02-08.02'!H:H,'Отчет 02-08.02'!D:D,"Возврат выручки",'Отчет 02-08.02'!E:E,B8)</f>
        <v>0</v>
      </c>
      <c r="R8" s="40">
        <f t="shared" si="1"/>
        <v>2</v>
      </c>
      <c r="S8" s="41">
        <f>SUMIFS('Отчет 02-08.02'!P:P,'Отчет 02-08.02'!C:C,"Продажи",'Отчет 02-08.02'!E:E,B8)</f>
        <v>3348</v>
      </c>
      <c r="T8" s="42">
        <f>SUMIFS('Отчет 02-08.02'!P:P,'Отчет 02-08.02'!C:C,"Возвраты",'Отчет 02-08.02'!E:E,B8)</f>
        <v>0</v>
      </c>
      <c r="U8" s="40">
        <f t="shared" si="2"/>
        <v>3348</v>
      </c>
      <c r="V8" s="43">
        <f t="shared" si="16"/>
        <v>1.5183604609502905E-2</v>
      </c>
      <c r="W8" s="44">
        <f t="shared" si="3"/>
        <v>246</v>
      </c>
      <c r="X8" s="42">
        <f>-SUMIFS('Отчет 02-08.02'!P:P,'Отчет 02-08.02'!C:C,"Вознаграждение Ozon",'Отчет 02-08.02'!E:E,B8)</f>
        <v>1439.64</v>
      </c>
      <c r="Y8" s="45">
        <f t="shared" si="4"/>
        <v>0.43000000000000005</v>
      </c>
      <c r="Z8" s="42">
        <f>-SUMIFS('Отчет 02-08.02'!P:P,'Отчет 02-08.02'!C:C,"Услуги доставки",'Отчет 02-08.02'!E:E,B8)</f>
        <v>343.64</v>
      </c>
      <c r="AA8" s="32">
        <v>1184.04</v>
      </c>
      <c r="AB8" s="55"/>
      <c r="AC8" s="42"/>
      <c r="AD8" s="46">
        <f t="shared" si="17"/>
        <v>14.992746699561456</v>
      </c>
      <c r="AE8" s="47">
        <f t="shared" si="5"/>
        <v>119.68725330043839</v>
      </c>
      <c r="AF8" s="46"/>
      <c r="AG8" s="48">
        <f t="shared" si="6"/>
        <v>1674</v>
      </c>
      <c r="AH8" s="49">
        <f t="shared" si="7"/>
        <v>123</v>
      </c>
      <c r="AI8" s="49">
        <f t="shared" si="8"/>
        <v>719.82</v>
      </c>
      <c r="AJ8" s="49">
        <f t="shared" si="9"/>
        <v>171.82</v>
      </c>
      <c r="AK8" s="49">
        <f t="shared" si="10"/>
        <v>592.02</v>
      </c>
      <c r="AL8" s="49">
        <f t="array" ref="AL8">_xlfn.IFS(R8=0,AE8,R8&lt;0,AE8/-R8,R8&gt;0,AE8/R8)</f>
        <v>59.843626650219193</v>
      </c>
      <c r="AM8" s="50">
        <f t="shared" si="11"/>
        <v>3.5748880914109431E-2</v>
      </c>
      <c r="AN8" s="51">
        <f t="shared" si="12"/>
        <v>0.48653355000178206</v>
      </c>
      <c r="AP8" s="53">
        <f t="shared" si="13"/>
        <v>41292.102388651241</v>
      </c>
    </row>
    <row r="9" spans="1:42">
      <c r="A9" s="30">
        <v>3064334311</v>
      </c>
      <c r="B9" s="31" t="s">
        <v>44</v>
      </c>
      <c r="C9" s="32">
        <v>669</v>
      </c>
      <c r="D9" s="33"/>
      <c r="E9" s="33"/>
      <c r="F9" s="33"/>
      <c r="G9" s="34"/>
      <c r="H9" s="35">
        <v>123</v>
      </c>
      <c r="I9" s="54">
        <f t="shared" si="0"/>
        <v>82287</v>
      </c>
      <c r="J9" s="36"/>
      <c r="K9" s="32">
        <v>3</v>
      </c>
      <c r="L9" s="36"/>
      <c r="M9" s="36"/>
      <c r="N9" s="37">
        <f t="shared" si="14"/>
        <v>0.42857142857142855</v>
      </c>
      <c r="O9" s="38">
        <f t="shared" si="15"/>
        <v>0.7142857142857143</v>
      </c>
      <c r="P9" s="39">
        <f>SUMIFS('Отчет 02-08.02'!H:H,'Отчет 02-08.02'!D:D,"Выручка",'Отчет 02-08.02'!E:E,B9)</f>
        <v>5</v>
      </c>
      <c r="Q9" s="39">
        <f>SUMIFS('Отчет 02-08.02'!H:H,'Отчет 02-08.02'!D:D,"Возврат выручки",'Отчет 02-08.02'!E:E,B9)</f>
        <v>0</v>
      </c>
      <c r="R9" s="40">
        <f t="shared" si="1"/>
        <v>5</v>
      </c>
      <c r="S9" s="41">
        <f>SUMIFS('Отчет 02-08.02'!P:P,'Отчет 02-08.02'!C:C,"Продажи",'Отчет 02-08.02'!E:E,B9)</f>
        <v>9075</v>
      </c>
      <c r="T9" s="42">
        <f>SUMIFS('Отчет 02-08.02'!P:P,'Отчет 02-08.02'!C:C,"Возвраты",'Отчет 02-08.02'!E:E,B9)</f>
        <v>0</v>
      </c>
      <c r="U9" s="40">
        <f t="shared" si="2"/>
        <v>9075</v>
      </c>
      <c r="V9" s="43">
        <f t="shared" si="16"/>
        <v>4.1156275935256531E-2</v>
      </c>
      <c r="W9" s="44">
        <f t="shared" si="3"/>
        <v>615</v>
      </c>
      <c r="X9" s="42">
        <f>-SUMIFS('Отчет 02-08.02'!P:P,'Отчет 02-08.02'!C:C,"Вознаграждение Ozon",'Отчет 02-08.02'!E:E,B9)</f>
        <v>3902.25</v>
      </c>
      <c r="Y9" s="45">
        <f t="shared" si="4"/>
        <v>0.43</v>
      </c>
      <c r="Z9" s="42">
        <f>-SUMIFS('Отчет 02-08.02'!P:P,'Отчет 02-08.02'!C:C,"Услуги доставки",'Отчет 02-08.02'!E:E,B9)</f>
        <v>792.2299999999999</v>
      </c>
      <c r="AA9" s="32">
        <v>1623.11986</v>
      </c>
      <c r="AB9" s="55"/>
      <c r="AC9" s="42"/>
      <c r="AD9" s="46">
        <f t="shared" si="17"/>
        <v>40.63894154675036</v>
      </c>
      <c r="AE9" s="47">
        <f t="shared" si="5"/>
        <v>2101.7611984532496</v>
      </c>
      <c r="AF9" s="46"/>
      <c r="AG9" s="48">
        <f t="shared" si="6"/>
        <v>1815</v>
      </c>
      <c r="AH9" s="49">
        <f t="shared" si="7"/>
        <v>123</v>
      </c>
      <c r="AI9" s="49">
        <f t="shared" si="8"/>
        <v>780.45</v>
      </c>
      <c r="AJ9" s="49">
        <f t="shared" si="9"/>
        <v>158.44599999999997</v>
      </c>
      <c r="AK9" s="49">
        <f t="shared" si="10"/>
        <v>324.62397199999998</v>
      </c>
      <c r="AL9" s="49">
        <f t="array" ref="AL9">_xlfn.IFS(R9=0,AE9,R9&lt;0,AE9/-R9,R9&gt;0,AE9/R9)</f>
        <v>420.35223969064992</v>
      </c>
      <c r="AM9" s="50">
        <f t="shared" si="11"/>
        <v>0.23159903013258948</v>
      </c>
      <c r="AN9" s="51">
        <f t="shared" si="12"/>
        <v>3.4174978836638203</v>
      </c>
      <c r="AP9" s="53">
        <f t="shared" si="13"/>
        <v>281215.64835304482</v>
      </c>
    </row>
    <row r="10" spans="1:42">
      <c r="A10" s="30">
        <v>2638291563</v>
      </c>
      <c r="B10" s="31" t="s">
        <v>45</v>
      </c>
      <c r="C10" s="32">
        <v>380</v>
      </c>
      <c r="D10" s="33"/>
      <c r="E10" s="33"/>
      <c r="F10" s="33"/>
      <c r="G10" s="34"/>
      <c r="H10" s="35">
        <v>169.89</v>
      </c>
      <c r="I10" s="54">
        <f t="shared" si="0"/>
        <v>64558.2</v>
      </c>
      <c r="J10" s="36"/>
      <c r="K10" s="32">
        <v>8</v>
      </c>
      <c r="L10" s="36"/>
      <c r="M10" s="36"/>
      <c r="N10" s="37">
        <f t="shared" si="14"/>
        <v>1.1428571428571428</v>
      </c>
      <c r="O10" s="38">
        <f t="shared" si="15"/>
        <v>0</v>
      </c>
      <c r="P10" s="39">
        <f>SUMIFS('Отчет 02-08.02'!H:H,'Отчет 02-08.02'!D:D,"Выручка",'Отчет 02-08.02'!E:E,B10)</f>
        <v>0</v>
      </c>
      <c r="Q10" s="39">
        <f>SUMIFS('Отчет 02-08.02'!H:H,'Отчет 02-08.02'!D:D,"Возврат выручки",'Отчет 02-08.02'!E:E,B10)</f>
        <v>0</v>
      </c>
      <c r="R10" s="40">
        <f t="shared" si="1"/>
        <v>0</v>
      </c>
      <c r="S10" s="41">
        <f>SUMIFS('Отчет 02-08.02'!P:P,'Отчет 02-08.02'!C:C,"Продажи",'Отчет 02-08.02'!E:E,B10)</f>
        <v>0</v>
      </c>
      <c r="T10" s="42">
        <f>SUMIFS('Отчет 02-08.02'!P:P,'Отчет 02-08.02'!C:C,"Возвраты",'Отчет 02-08.02'!E:E,B10)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02-08.02'!P:P,'Отчет 02-08.02'!C:C,"Вознаграждение Ozon",'Отчет 02-08.02'!E:E,B10)</f>
        <v>0</v>
      </c>
      <c r="Y10" s="45">
        <f t="shared" si="4"/>
        <v>0</v>
      </c>
      <c r="Z10" s="42">
        <f>-SUMIFS('Отчет 02-08.02'!P:P,'Отчет 02-08.02'!C:C,"Услуги доставки",'Отчет 02-08.02'!E:E,B10)</f>
        <v>0</v>
      </c>
      <c r="AA10" s="32">
        <v>460</v>
      </c>
      <c r="AB10" s="55"/>
      <c r="AC10" s="42"/>
      <c r="AD10" s="46">
        <f t="shared" si="17"/>
        <v>0</v>
      </c>
      <c r="AE10" s="47">
        <f t="shared" si="5"/>
        <v>-460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-460</v>
      </c>
      <c r="AM10" s="50">
        <f t="shared" si="11"/>
        <v>0</v>
      </c>
      <c r="AN10" s="51">
        <f t="shared" si="12"/>
        <v>-2.7076343516392964</v>
      </c>
      <c r="AP10" s="53">
        <f t="shared" si="13"/>
        <v>-174800</v>
      </c>
    </row>
    <row r="11" spans="1:42">
      <c r="A11" s="30">
        <v>2730130733</v>
      </c>
      <c r="B11" s="31" t="s">
        <v>46</v>
      </c>
      <c r="C11" s="32">
        <v>42</v>
      </c>
      <c r="D11" s="33"/>
      <c r="E11" s="33"/>
      <c r="F11" s="33"/>
      <c r="G11" s="34"/>
      <c r="H11" s="35">
        <v>169.89</v>
      </c>
      <c r="I11" s="54">
        <f t="shared" si="0"/>
        <v>7135.3799999999992</v>
      </c>
      <c r="J11" s="36"/>
      <c r="K11" s="32">
        <v>2</v>
      </c>
      <c r="L11" s="36"/>
      <c r="M11" s="36"/>
      <c r="N11" s="37">
        <f t="shared" si="14"/>
        <v>0.2857142857142857</v>
      </c>
      <c r="O11" s="38">
        <f t="shared" si="15"/>
        <v>0</v>
      </c>
      <c r="P11" s="39">
        <f>SUMIFS('Отчет 02-08.02'!H:H,'Отчет 02-08.02'!D:D,"Выручка",'Отчет 02-08.02'!E:E,B11)</f>
        <v>0</v>
      </c>
      <c r="Q11" s="39">
        <f>SUMIFS('Отчет 02-08.02'!H:H,'Отчет 02-08.02'!D:D,"Возврат выручки",'Отчет 02-08.02'!E:E,B11)</f>
        <v>0</v>
      </c>
      <c r="R11" s="40">
        <f t="shared" si="1"/>
        <v>0</v>
      </c>
      <c r="S11" s="41">
        <f>SUMIFS('Отчет 02-08.02'!P:P,'Отчет 02-08.02'!C:C,"Продажи",'Отчет 02-08.02'!E:E,B11)</f>
        <v>0</v>
      </c>
      <c r="T11" s="42">
        <f>SUMIFS('Отчет 02-08.02'!P:P,'Отчет 02-08.02'!C:C,"Возвраты",'Отчет 02-08.02'!E:E,B11)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02-08.02'!P:P,'Отчет 02-08.02'!C:C,"Вознаграждение Ozon",'Отчет 02-08.02'!E:E,B11)</f>
        <v>0</v>
      </c>
      <c r="Y11" s="45">
        <f t="shared" si="4"/>
        <v>0</v>
      </c>
      <c r="Z11" s="42">
        <f>-SUMIFS('Отчет 02-08.02'!P:P,'Отчет 02-08.02'!C:C,"Услуги доставки",'Отчет 02-08.02'!E:E,B11)</f>
        <v>93.54</v>
      </c>
      <c r="AA11" s="32">
        <v>0</v>
      </c>
      <c r="AB11" s="55"/>
      <c r="AC11" s="42"/>
      <c r="AD11" s="46">
        <f t="shared" si="17"/>
        <v>0</v>
      </c>
      <c r="AE11" s="47">
        <f t="shared" si="5"/>
        <v>-93.54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93.54</v>
      </c>
      <c r="AK11" s="49">
        <f t="shared" si="10"/>
        <v>0</v>
      </c>
      <c r="AL11" s="49">
        <f t="array" ref="AL11">_xlfn.IFS(R11=0,AE11,R11&lt;0,AE11/-R11,R11&gt;0,AE11/R11)</f>
        <v>-93.54</v>
      </c>
      <c r="AM11" s="50">
        <f t="shared" si="11"/>
        <v>0</v>
      </c>
      <c r="AN11" s="51">
        <f t="shared" si="12"/>
        <v>-0.55059155924421688</v>
      </c>
      <c r="AP11" s="53">
        <f t="shared" si="13"/>
        <v>-3928.6800000000003</v>
      </c>
    </row>
    <row r="12" spans="1:42">
      <c r="A12" s="30">
        <v>2730131249</v>
      </c>
      <c r="B12" s="31" t="s">
        <v>47</v>
      </c>
      <c r="C12" s="32">
        <v>39</v>
      </c>
      <c r="D12" s="33"/>
      <c r="E12" s="33"/>
      <c r="F12" s="33"/>
      <c r="G12" s="34"/>
      <c r="H12" s="35">
        <v>169.89</v>
      </c>
      <c r="I12" s="54">
        <f t="shared" si="0"/>
        <v>6625.7099999999991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02-08.02'!H:H,'Отчет 02-08.02'!D:D,"Выручка",'Отчет 02-08.02'!E:E,B12)</f>
        <v>0</v>
      </c>
      <c r="Q12" s="39">
        <f>SUMIFS('Отчет 02-08.02'!H:H,'Отчет 02-08.02'!D:D,"Возврат выручки",'Отчет 02-08.02'!E:E,B12)</f>
        <v>0</v>
      </c>
      <c r="R12" s="40">
        <f t="shared" si="1"/>
        <v>0</v>
      </c>
      <c r="S12" s="41">
        <f>SUMIFS('Отчет 02-08.02'!P:P,'Отчет 02-08.02'!C:C,"Продажи",'Отчет 02-08.02'!E:E,B12)</f>
        <v>0</v>
      </c>
      <c r="T12" s="42">
        <f>SUMIFS('Отчет 02-08.02'!P:P,'Отчет 02-08.02'!C:C,"Возвраты",'Отчет 02-08.02'!E:E,B12)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02-08.02'!P:P,'Отчет 02-08.02'!C:C,"Вознаграждение Ozon",'Отчет 02-08.02'!E:E,B12)</f>
        <v>0</v>
      </c>
      <c r="Y12" s="45">
        <f t="shared" si="4"/>
        <v>0</v>
      </c>
      <c r="Z12" s="42">
        <f>-SUMIFS('Отчет 02-08.02'!P:P,'Отчет 02-08.02'!C:C,"Услуги доставки",'Отчет 02-08.02'!E:E,B12)</f>
        <v>93.54</v>
      </c>
      <c r="AA12" s="32">
        <v>0</v>
      </c>
      <c r="AB12" s="55"/>
      <c r="AC12" s="42"/>
      <c r="AD12" s="46">
        <f t="shared" si="17"/>
        <v>0</v>
      </c>
      <c r="AE12" s="47">
        <f t="shared" si="5"/>
        <v>-93.54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93.54</v>
      </c>
      <c r="AK12" s="49">
        <f t="shared" si="10"/>
        <v>0</v>
      </c>
      <c r="AL12" s="49">
        <f t="array" ref="AL12">_xlfn.IFS(R12=0,AE12,R12&lt;0,AE12/-R12,R12&gt;0,AE12/R12)</f>
        <v>-93.54</v>
      </c>
      <c r="AM12" s="50">
        <f t="shared" si="11"/>
        <v>0</v>
      </c>
      <c r="AN12" s="51">
        <f t="shared" si="12"/>
        <v>-0.55059155924421688</v>
      </c>
      <c r="AP12" s="53">
        <f t="shared" si="13"/>
        <v>-3648.0600000000004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7</v>
      </c>
      <c r="L13" s="36"/>
      <c r="M13" s="36"/>
      <c r="N13" s="37">
        <f t="shared" si="14"/>
        <v>1</v>
      </c>
      <c r="O13" s="38">
        <f t="shared" si="15"/>
        <v>0.42857142857142855</v>
      </c>
      <c r="P13" s="39">
        <f>SUMIFS('Отчет 02-08.02'!H:H,'Отчет 02-08.02'!D:D,"Выручка",'Отчет 02-08.02'!E:E,B13)</f>
        <v>4</v>
      </c>
      <c r="Q13" s="39">
        <f>SUMIFS('Отчет 02-08.02'!H:H,'Отчет 02-08.02'!D:D,"Возврат выручки",'Отчет 02-08.02'!E:E,B13)</f>
        <v>1</v>
      </c>
      <c r="R13" s="40">
        <f t="shared" si="1"/>
        <v>3</v>
      </c>
      <c r="S13" s="41">
        <f>SUMIFS('Отчет 02-08.02'!P:P,'Отчет 02-08.02'!C:C,"Продажи",'Отчет 02-08.02'!E:E,B13)</f>
        <v>6228</v>
      </c>
      <c r="T13" s="42">
        <f>SUMIFS('Отчет 02-08.02'!P:P,'Отчет 02-08.02'!C:C,"Возвраты",'Отчет 02-08.02'!E:E,B13)</f>
        <v>-1387</v>
      </c>
      <c r="U13" s="40">
        <f t="shared" si="2"/>
        <v>4841</v>
      </c>
      <c r="V13" s="43">
        <f t="shared" si="16"/>
        <v>2.1954548958961637E-2</v>
      </c>
      <c r="W13" s="44">
        <f t="shared" si="3"/>
        <v>509.66999999999996</v>
      </c>
      <c r="X13" s="42">
        <f>-SUMIFS('Отчет 02-08.02'!P:P,'Отчет 02-08.02'!C:C,"Вознаграждение Ozon",'Отчет 02-08.02'!E:E,B13)</f>
        <v>2081.63</v>
      </c>
      <c r="Y13" s="45">
        <f t="shared" si="4"/>
        <v>0.43000000000000005</v>
      </c>
      <c r="Z13" s="42">
        <f>-SUMIFS('Отчет 02-08.02'!P:P,'Отчет 02-08.02'!C:C,"Услуги доставки",'Отчет 02-08.02'!E:E,B13)</f>
        <v>1054.26</v>
      </c>
      <c r="AA13" s="32">
        <v>1432.44</v>
      </c>
      <c r="AB13" s="55"/>
      <c r="AC13" s="42"/>
      <c r="AD13" s="46">
        <f t="shared" si="17"/>
        <v>21.678580278547493</v>
      </c>
      <c r="AE13" s="47">
        <f t="shared" si="5"/>
        <v>-258.67858027854771</v>
      </c>
      <c r="AF13" s="46"/>
      <c r="AG13" s="48">
        <f t="shared" si="6"/>
        <v>1613.6666666666667</v>
      </c>
      <c r="AH13" s="49">
        <f t="shared" si="7"/>
        <v>169.89</v>
      </c>
      <c r="AI13" s="49">
        <f t="shared" si="8"/>
        <v>693.87666666666667</v>
      </c>
      <c r="AJ13" s="49">
        <f t="shared" si="9"/>
        <v>263.565</v>
      </c>
      <c r="AK13" s="49">
        <f t="shared" si="10"/>
        <v>358.11</v>
      </c>
      <c r="AL13" s="49">
        <f t="array" ref="AL13">_xlfn.IFS(R13=0,AE13,R13&lt;0,AE13/-R13,R13&gt;0,AE13/R13)</f>
        <v>-86.226193426182576</v>
      </c>
      <c r="AM13" s="50">
        <f t="shared" si="11"/>
        <v>-5.3434947382472155E-2</v>
      </c>
      <c r="AN13" s="51">
        <f t="shared" si="12"/>
        <v>-0.50754131159092697</v>
      </c>
      <c r="AP13" s="53">
        <f t="shared" si="13"/>
        <v>-1465.8452882451038</v>
      </c>
    </row>
    <row r="14" spans="1:42" ht="13.75" customHeight="1">
      <c r="A14" s="30">
        <v>2730129638</v>
      </c>
      <c r="B14" s="31" t="s">
        <v>49</v>
      </c>
      <c r="C14" s="32">
        <v>2</v>
      </c>
      <c r="D14" s="33"/>
      <c r="E14" s="33"/>
      <c r="F14" s="33"/>
      <c r="G14" s="34"/>
      <c r="H14" s="35">
        <v>169.89</v>
      </c>
      <c r="I14" s="54">
        <f t="shared" si="0"/>
        <v>339.78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02-08.02'!H:H,'Отчет 02-08.02'!D:D,"Выручка",'Отчет 02-08.02'!E:E,B14)</f>
        <v>0</v>
      </c>
      <c r="Q14" s="39">
        <f>SUMIFS('Отчет 02-08.02'!H:H,'Отчет 02-08.02'!D:D,"Возврат выручки",'Отчет 02-08.02'!E:E,B14)</f>
        <v>0</v>
      </c>
      <c r="R14" s="40">
        <f t="shared" si="1"/>
        <v>0</v>
      </c>
      <c r="S14" s="41">
        <f>SUMIFS('Отчет 02-08.02'!P:P,'Отчет 02-08.02'!C:C,"Продажи",'Отчет 02-08.02'!E:E,B14)</f>
        <v>0</v>
      </c>
      <c r="T14" s="42">
        <f>SUMIFS('Отчет 02-08.02'!P:P,'Отчет 02-08.02'!C:C,"Возвраты",'Отчет 02-08.02'!E:E,B14)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02-08.02'!P:P,'Отчет 02-08.02'!C:C,"Вознаграждение Ozon",'Отчет 02-08.02'!E:E,B14)</f>
        <v>0</v>
      </c>
      <c r="Y14" s="45">
        <f t="shared" si="4"/>
        <v>0</v>
      </c>
      <c r="Z14" s="42">
        <f>-SUMIFS('Отчет 02-08.02'!P:P,'Отчет 02-08.02'!C:C,"Услуги доставки",'Отчет 02-08.02'!E:E,B14)</f>
        <v>93.54</v>
      </c>
      <c r="AA14" s="32">
        <v>0</v>
      </c>
      <c r="AB14" s="55"/>
      <c r="AC14" s="42"/>
      <c r="AD14" s="46">
        <f t="shared" si="17"/>
        <v>0</v>
      </c>
      <c r="AE14" s="47">
        <f t="shared" si="5"/>
        <v>-93.54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93.54</v>
      </c>
      <c r="AK14" s="49">
        <f t="shared" si="10"/>
        <v>0</v>
      </c>
      <c r="AL14" s="49">
        <f t="array" ref="AL14">_xlfn.IFS(R14=0,AE14,R14&lt;0,AE14/-R14,R14&gt;0,AE14/R14)</f>
        <v>-93.54</v>
      </c>
      <c r="AM14" s="50">
        <f t="shared" si="11"/>
        <v>0</v>
      </c>
      <c r="AN14" s="51">
        <f t="shared" si="12"/>
        <v>-0.55059155924421688</v>
      </c>
      <c r="AP14" s="53">
        <f t="shared" si="13"/>
        <v>-187.08</v>
      </c>
    </row>
    <row r="15" spans="1:42" ht="13.75" customHeight="1">
      <c r="A15" s="30">
        <v>2730130141</v>
      </c>
      <c r="B15" s="31" t="s">
        <v>50</v>
      </c>
      <c r="C15" s="32">
        <v>32</v>
      </c>
      <c r="D15" s="33"/>
      <c r="E15" s="33"/>
      <c r="F15" s="33"/>
      <c r="G15" s="34"/>
      <c r="H15" s="35">
        <v>169.89</v>
      </c>
      <c r="I15" s="54">
        <f t="shared" si="0"/>
        <v>5436.48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02-08.02'!H:H,'Отчет 02-08.02'!D:D,"Выручка",'Отчет 02-08.02'!E:E,B15)</f>
        <v>0</v>
      </c>
      <c r="Q15" s="39">
        <f>SUMIFS('Отчет 02-08.02'!H:H,'Отчет 02-08.02'!D:D,"Возврат выручки",'Отчет 02-08.02'!E:E,B15)</f>
        <v>0</v>
      </c>
      <c r="R15" s="40">
        <f t="shared" si="1"/>
        <v>0</v>
      </c>
      <c r="S15" s="41">
        <f>SUMIFS('Отчет 02-08.02'!P:P,'Отчет 02-08.02'!C:C,"Продажи",'Отчет 02-08.02'!E:E,B15)</f>
        <v>0</v>
      </c>
      <c r="T15" s="42">
        <f>SUMIFS('Отчет 02-08.02'!P:P,'Отчет 02-08.02'!C:C,"Возвраты",'Отчет 02-08.02'!E:E,B15)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02-08.02'!P:P,'Отчет 02-08.02'!C:C,"Вознаграждение Ozon",'Отчет 02-08.02'!E:E,B15)</f>
        <v>0</v>
      </c>
      <c r="Y15" s="45">
        <f t="shared" si="4"/>
        <v>0</v>
      </c>
      <c r="Z15" s="42">
        <f>-SUMIFS('Отчет 02-08.02'!P:P,'Отчет 02-08.02'!C:C,"Услуги доставки",'Отчет 02-08.02'!E:E,B15)</f>
        <v>93.54</v>
      </c>
      <c r="AA15" s="32">
        <v>0</v>
      </c>
      <c r="AB15" s="55"/>
      <c r="AC15" s="42"/>
      <c r="AD15" s="46">
        <f t="shared" si="17"/>
        <v>0</v>
      </c>
      <c r="AE15" s="47">
        <f t="shared" si="5"/>
        <v>-93.54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93.54</v>
      </c>
      <c r="AK15" s="49">
        <f t="shared" si="10"/>
        <v>0</v>
      </c>
      <c r="AL15" s="49">
        <f t="array" ref="AL15">_xlfn.IFS(R15=0,AE15,R15&lt;0,AE15/-R15,R15&gt;0,AE15/R15)</f>
        <v>-93.54</v>
      </c>
      <c r="AM15" s="50">
        <f t="shared" si="11"/>
        <v>0</v>
      </c>
      <c r="AN15" s="51">
        <f t="shared" si="12"/>
        <v>-0.55059155924421688</v>
      </c>
      <c r="AP15" s="53">
        <f t="shared" si="13"/>
        <v>-2993.28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02-08.02'!H:H,'Отчет 02-08.02'!D:D,"Выручка",'Отчет 02-08.02'!E:E,B16)</f>
        <v>0</v>
      </c>
      <c r="Q16" s="39">
        <f>SUMIFS('Отчет 02-08.02'!H:H,'Отчет 02-08.02'!D:D,"Возврат выручки",'Отчет 02-08.02'!E:E,B16)</f>
        <v>0</v>
      </c>
      <c r="R16" s="40">
        <f t="shared" si="1"/>
        <v>0</v>
      </c>
      <c r="S16" s="41">
        <f>SUMIFS('Отчет 02-08.02'!P:P,'Отчет 02-08.02'!C:C,"Продажи",'Отчет 02-08.02'!E:E,B16)</f>
        <v>0</v>
      </c>
      <c r="T16" s="42">
        <f>SUMIFS('Отчет 02-08.02'!P:P,'Отчет 02-08.02'!C:C,"Возвраты",'Отчет 02-08.02'!E:E,B16)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02-08.02'!P:P,'Отчет 02-08.02'!C:C,"Вознаграждение Ozon",'Отчет 02-08.02'!E:E,B16)</f>
        <v>0</v>
      </c>
      <c r="Y16" s="45">
        <f t="shared" si="4"/>
        <v>0</v>
      </c>
      <c r="Z16" s="42">
        <f>-SUMIFS('Отчет 02-08.02'!P:P,'Отчет 02-08.02'!C:C,"Услуги доставки",'Отчет 02-08.02'!E:E,B16)</f>
        <v>0</v>
      </c>
      <c r="AA16" s="32">
        <v>0</v>
      </c>
      <c r="AB16" s="55"/>
      <c r="AC16" s="42"/>
      <c r="AD16" s="46">
        <f t="shared" si="17"/>
        <v>0</v>
      </c>
      <c r="AE16" s="47">
        <f t="shared" si="5"/>
        <v>0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0</v>
      </c>
      <c r="AK16" s="49">
        <f t="shared" si="10"/>
        <v>0</v>
      </c>
      <c r="AL16" s="49">
        <f t="array" ref="AL16">_xlfn.IFS(R16=0,AE16,R16&lt;0,AE16/-R16,R16&gt;0,AE16/R16)</f>
        <v>0</v>
      </c>
      <c r="AM16" s="50">
        <f t="shared" si="11"/>
        <v>0</v>
      </c>
      <c r="AN16" s="51">
        <f t="shared" si="12"/>
        <v>0</v>
      </c>
      <c r="AP16" s="53">
        <f t="shared" si="13"/>
        <v>0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02-08.02'!H:H,'Отчет 02-08.02'!D:D,"Выручка",'Отчет 02-08.02'!E:E,B17)</f>
        <v>0</v>
      </c>
      <c r="Q17" s="39">
        <f>SUMIFS('Отчет 02-08.02'!H:H,'Отчет 02-08.02'!D:D,"Возврат выручки",'Отчет 02-08.02'!E:E,B17)</f>
        <v>0</v>
      </c>
      <c r="R17" s="40">
        <f t="shared" si="1"/>
        <v>0</v>
      </c>
      <c r="S17" s="41">
        <f>SUMIFS('Отчет 02-08.02'!P:P,'Отчет 02-08.02'!C:C,"Продажи",'Отчет 02-08.02'!E:E,B17)</f>
        <v>0</v>
      </c>
      <c r="T17" s="42">
        <f>SUMIFS('Отчет 02-08.02'!P:P,'Отчет 02-08.02'!C:C,"Возвраты",'Отчет 02-08.02'!E:E,B17)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02-08.02'!P:P,'Отчет 02-08.02'!C:C,"Вознаграждение Ozon",'Отчет 02-08.02'!E:E,B17)</f>
        <v>0</v>
      </c>
      <c r="Y17" s="45">
        <f t="shared" si="4"/>
        <v>0</v>
      </c>
      <c r="Z17" s="42">
        <f>-SUMIFS('Отчет 02-08.02'!P:P,'Отчет 02-08.02'!C:C,"Услуги доставки",'Отчет 02-08.02'!E:E,B17)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02-08.02'!H:H,'Отчет 02-08.02'!D:D,"Выручка",'Отчет 02-08.02'!E:E,B18)</f>
        <v>0</v>
      </c>
      <c r="Q18" s="39">
        <f>SUMIFS('Отчет 02-08.02'!H:H,'Отчет 02-08.02'!D:D,"Возврат выручки",'Отчет 02-08.02'!E:E,B18)</f>
        <v>0</v>
      </c>
      <c r="R18" s="40">
        <f t="shared" si="1"/>
        <v>0</v>
      </c>
      <c r="S18" s="41">
        <f>SUMIFS('Отчет 02-08.02'!P:P,'Отчет 02-08.02'!C:C,"Продажи",'Отчет 02-08.02'!E:E,B18)</f>
        <v>0</v>
      </c>
      <c r="T18" s="42">
        <f>SUMIFS('Отчет 02-08.02'!P:P,'Отчет 02-08.02'!C:C,"Возвраты",'Отчет 02-08.02'!E:E,B18)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02-08.02'!P:P,'Отчет 02-08.02'!C:C,"Вознаграждение Ozon",'Отчет 02-08.02'!E:E,B18)</f>
        <v>0</v>
      </c>
      <c r="Y18" s="45">
        <f t="shared" si="4"/>
        <v>0</v>
      </c>
      <c r="Z18" s="42">
        <f>-SUMIFS('Отчет 02-08.02'!P:P,'Отчет 02-08.02'!C:C,"Услуги доставки",'Отчет 02-08.02'!E:E,B18)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02-08.02'!H:H,'Отчет 02-08.02'!D:D,"Выручка",'Отчет 02-08.02'!E:E,B19)</f>
        <v>0</v>
      </c>
      <c r="Q19" s="39">
        <f>SUMIFS('Отчет 02-08.02'!H:H,'Отчет 02-08.02'!D:D,"Возврат выручки",'Отчет 02-08.02'!E:E,B19)</f>
        <v>0</v>
      </c>
      <c r="R19" s="40">
        <f t="shared" si="1"/>
        <v>0</v>
      </c>
      <c r="S19" s="41">
        <f>SUMIFS('Отчет 02-08.02'!P:P,'Отчет 02-08.02'!C:C,"Продажи",'Отчет 02-08.02'!E:E,B19)</f>
        <v>0</v>
      </c>
      <c r="T19" s="42">
        <f>SUMIFS('Отчет 02-08.02'!P:P,'Отчет 02-08.02'!C:C,"Возвраты",'Отчет 02-08.02'!E:E,B19)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02-08.02'!P:P,'Отчет 02-08.02'!C:C,"Вознаграждение Ozon",'Отчет 02-08.02'!E:E,B19)</f>
        <v>0</v>
      </c>
      <c r="Y19" s="45">
        <f t="shared" si="4"/>
        <v>0</v>
      </c>
      <c r="Z19" s="42">
        <f>-SUMIFS('Отчет 02-08.02'!P:P,'Отчет 02-08.02'!C:C,"Услуги доставки",'Отчет 02-08.02'!E:E,B19)</f>
        <v>113.88</v>
      </c>
      <c r="AA19" s="32">
        <v>0</v>
      </c>
      <c r="AB19" s="55"/>
      <c r="AC19" s="42"/>
      <c r="AD19" s="46">
        <f t="shared" si="17"/>
        <v>0</v>
      </c>
      <c r="AE19" s="47">
        <f t="shared" si="5"/>
        <v>-113.88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113.88</v>
      </c>
      <c r="AK19" s="49">
        <f t="shared" si="10"/>
        <v>0</v>
      </c>
      <c r="AL19" s="49">
        <f t="array" ref="AL19">_xlfn.IFS(R19=0,AE19,R19&lt;0,AE19/-R19,R19&gt;0,AE19/R19)</f>
        <v>-113.88</v>
      </c>
      <c r="AM19" s="50">
        <f t="shared" si="11"/>
        <v>0</v>
      </c>
      <c r="AN19" s="51">
        <f t="shared" si="12"/>
        <v>-0.12525021446954532</v>
      </c>
      <c r="AP19" s="53">
        <f t="shared" si="13"/>
        <v>-113.88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0.14285714285714285</v>
      </c>
      <c r="P20" s="39">
        <f>SUMIFS('Отчет 02-08.02'!H:H,'Отчет 02-08.02'!D:D,"Выручка",'Отчет 02-08.02'!E:E,B20)</f>
        <v>1</v>
      </c>
      <c r="Q20" s="39">
        <f>SUMIFS('Отчет 02-08.02'!H:H,'Отчет 02-08.02'!D:D,"Возврат выручки",'Отчет 02-08.02'!E:E,B20)</f>
        <v>0</v>
      </c>
      <c r="R20" s="40">
        <f t="shared" si="1"/>
        <v>1</v>
      </c>
      <c r="S20" s="41">
        <f>SUMIFS('Отчет 02-08.02'!P:P,'Отчет 02-08.02'!C:C,"Продажи",'Отчет 02-08.02'!E:E,B20)</f>
        <v>3185</v>
      </c>
      <c r="T20" s="42">
        <f>SUMIFS('Отчет 02-08.02'!P:P,'Отчет 02-08.02'!C:C,"Возвраты",'Отчет 02-08.02'!E:E,B20)</f>
        <v>0</v>
      </c>
      <c r="U20" s="40">
        <f t="shared" si="2"/>
        <v>3185</v>
      </c>
      <c r="V20" s="43">
        <f t="shared" si="16"/>
        <v>1.4444378937056974E-2</v>
      </c>
      <c r="W20" s="44">
        <f t="shared" si="3"/>
        <v>932.62</v>
      </c>
      <c r="X20" s="42">
        <f>-SUMIFS('Отчет 02-08.02'!P:P,'Отчет 02-08.02'!C:C,"Вознаграждение Ozon",'Отчет 02-08.02'!E:E,B20)</f>
        <v>1369.55</v>
      </c>
      <c r="Y20" s="45">
        <f t="shared" si="4"/>
        <v>0.43</v>
      </c>
      <c r="Z20" s="42">
        <f>-SUMIFS('Отчет 02-08.02'!P:P,'Отчет 02-08.02'!C:C,"Услуги доставки",'Отчет 02-08.02'!E:E,B20)</f>
        <v>221.24</v>
      </c>
      <c r="AA20" s="32">
        <v>0</v>
      </c>
      <c r="AB20" s="55"/>
      <c r="AC20" s="42"/>
      <c r="AD20" s="46">
        <f t="shared" si="17"/>
        <v>14.262813093818171</v>
      </c>
      <c r="AE20" s="47">
        <f t="shared" si="5"/>
        <v>647.32718690618196</v>
      </c>
      <c r="AF20" s="46"/>
      <c r="AG20" s="48">
        <f t="shared" si="6"/>
        <v>3185</v>
      </c>
      <c r="AH20" s="49">
        <f t="shared" si="7"/>
        <v>932.62</v>
      </c>
      <c r="AI20" s="49">
        <f t="shared" si="8"/>
        <v>1369.55</v>
      </c>
      <c r="AJ20" s="49">
        <f t="shared" si="9"/>
        <v>221.24</v>
      </c>
      <c r="AK20" s="49">
        <f t="shared" si="10"/>
        <v>0</v>
      </c>
      <c r="AL20" s="49">
        <f t="array" ref="AL20">_xlfn.IFS(R20=0,AE20,R20&lt;0,AE20/-R20,R20&gt;0,AE20/R20)</f>
        <v>647.32718690618196</v>
      </c>
      <c r="AM20" s="50">
        <f t="shared" si="11"/>
        <v>0.20324244486850296</v>
      </c>
      <c r="AN20" s="51">
        <f t="shared" si="12"/>
        <v>0.6940953302590358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02-08.02'!H:H,'Отчет 02-08.02'!D:D,"Выручка",'Отчет 02-08.02'!E:E,B21)</f>
        <v>0</v>
      </c>
      <c r="Q21" s="39">
        <f>SUMIFS('Отчет 02-08.02'!H:H,'Отчет 02-08.02'!D:D,"Возврат выручки",'Отчет 02-08.02'!E:E,B21)</f>
        <v>0</v>
      </c>
      <c r="R21" s="40">
        <f t="shared" si="1"/>
        <v>0</v>
      </c>
      <c r="S21" s="41">
        <f>SUMIFS('Отчет 02-08.02'!P:P,'Отчет 02-08.02'!C:C,"Продажи",'Отчет 02-08.02'!E:E,B21)</f>
        <v>0</v>
      </c>
      <c r="T21" s="42">
        <f>SUMIFS('Отчет 02-08.02'!P:P,'Отчет 02-08.02'!C:C,"Возвраты",'Отчет 02-08.02'!E:E,B21)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02-08.02'!P:P,'Отчет 02-08.02'!C:C,"Вознаграждение Ozon",'Отчет 02-08.02'!E:E,B21)</f>
        <v>0</v>
      </c>
      <c r="Y21" s="45">
        <f t="shared" si="4"/>
        <v>0</v>
      </c>
      <c r="Z21" s="42">
        <f>-SUMIFS('Отчет 02-08.02'!P:P,'Отчет 02-08.02'!C:C,"Услуги доставки",'Отчет 02-08.02'!E:E,B21)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02-08.02'!H:H,'Отчет 02-08.02'!D:D,"Выручка",'Отчет 02-08.02'!E:E,B22)</f>
        <v>0</v>
      </c>
      <c r="Q22" s="39">
        <f>SUMIFS('Отчет 02-08.02'!H:H,'Отчет 02-08.02'!D:D,"Возврат выручки",'Отчет 02-08.02'!E:E,B22)</f>
        <v>0</v>
      </c>
      <c r="R22" s="40">
        <f t="shared" si="1"/>
        <v>0</v>
      </c>
      <c r="S22" s="41">
        <f>SUMIFS('Отчет 02-08.02'!P:P,'Отчет 02-08.02'!C:C,"Продажи",'Отчет 02-08.02'!E:E,B22)</f>
        <v>0</v>
      </c>
      <c r="T22" s="42">
        <f>SUMIFS('Отчет 02-08.02'!P:P,'Отчет 02-08.02'!C:C,"Возвраты",'Отчет 02-08.02'!E:E,B22)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02-08.02'!P:P,'Отчет 02-08.02'!C:C,"Вознаграждение Ozon",'Отчет 02-08.02'!E:E,B22)</f>
        <v>0</v>
      </c>
      <c r="Y22" s="45">
        <f t="shared" si="4"/>
        <v>0</v>
      </c>
      <c r="Z22" s="42">
        <f>-SUMIFS('Отчет 02-08.02'!P:P,'Отчет 02-08.02'!C:C,"Услуги доставки",'Отчет 02-08.02'!E:E,B22)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02-08.02'!H:H,'Отчет 02-08.02'!D:D,"Выручка",'Отчет 02-08.02'!E:E,B23)</f>
        <v>0</v>
      </c>
      <c r="Q23" s="39">
        <f>SUMIFS('Отчет 02-08.02'!H:H,'Отчет 02-08.02'!D:D,"Возврат выручки",'Отчет 02-08.02'!E:E,B23)</f>
        <v>0</v>
      </c>
      <c r="R23" s="40">
        <f t="shared" si="1"/>
        <v>0</v>
      </c>
      <c r="S23" s="41">
        <f>SUMIFS('Отчет 02-08.02'!P:P,'Отчет 02-08.02'!C:C,"Продажи",'Отчет 02-08.02'!E:E,B23)</f>
        <v>0</v>
      </c>
      <c r="T23" s="42">
        <f>SUMIFS('Отчет 02-08.02'!P:P,'Отчет 02-08.02'!C:C,"Возвраты",'Отчет 02-08.02'!E:E,B23)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02-08.02'!P:P,'Отчет 02-08.02'!C:C,"Вознаграждение Ozon",'Отчет 02-08.02'!E:E,B23)</f>
        <v>0</v>
      </c>
      <c r="Y23" s="45">
        <f t="shared" si="4"/>
        <v>0</v>
      </c>
      <c r="Z23" s="42">
        <f>-SUMIFS('Отчет 02-08.02'!P:P,'Отчет 02-08.02'!C:C,"Услуги доставки",'Отчет 02-08.02'!E:E,B23)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02-08.02'!H:H,'Отчет 02-08.02'!D:D,"Выручка",'Отчет 02-08.02'!E:E,B24)</f>
        <v>0</v>
      </c>
      <c r="Q24" s="39">
        <f>SUMIFS('Отчет 02-08.02'!H:H,'Отчет 02-08.02'!D:D,"Возврат выручки",'Отчет 02-08.02'!E:E,B24)</f>
        <v>0</v>
      </c>
      <c r="R24" s="40">
        <f t="shared" si="1"/>
        <v>0</v>
      </c>
      <c r="S24" s="41">
        <f>SUMIFS('Отчет 02-08.02'!P:P,'Отчет 02-08.02'!C:C,"Продажи",'Отчет 02-08.02'!E:E,B24)</f>
        <v>0</v>
      </c>
      <c r="T24" s="42">
        <f>SUMIFS('Отчет 02-08.02'!P:P,'Отчет 02-08.02'!C:C,"Возвраты",'Отчет 02-08.02'!E:E,B24)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02-08.02'!P:P,'Отчет 02-08.02'!C:C,"Вознаграждение Ozon",'Отчет 02-08.02'!E:E,B24)</f>
        <v>0</v>
      </c>
      <c r="Y24" s="45">
        <f t="shared" si="4"/>
        <v>0</v>
      </c>
      <c r="Z24" s="42">
        <f>-SUMIFS('Отчет 02-08.02'!P:P,'Отчет 02-08.02'!C:C,"Услуги доставки",'Отчет 02-08.02'!E:E,B24)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1920.5372807017543</v>
      </c>
      <c r="AH25" s="58">
        <f t="shared" si="18"/>
        <v>447.87636363636369</v>
      </c>
      <c r="AI25" s="58">
        <f t="shared" si="18"/>
        <v>825.83103070175446</v>
      </c>
      <c r="AJ25" s="58">
        <f t="shared" si="18"/>
        <v>160.12552636054423</v>
      </c>
      <c r="AK25" s="58">
        <f t="shared" si="18"/>
        <v>453.61677780853171</v>
      </c>
      <c r="AL25" s="58">
        <f t="shared" si="18"/>
        <v>64.8521808035741</v>
      </c>
      <c r="AM25" s="59">
        <f t="shared" si="18"/>
        <v>0.13521626297299966</v>
      </c>
      <c r="AN25" s="59">
        <f t="shared" si="18"/>
        <v>0.3928992689925106</v>
      </c>
      <c r="AO25" s="60"/>
      <c r="AP25" s="61"/>
    </row>
    <row r="26" spans="1:52">
      <c r="A26" s="62" t="s">
        <v>60</v>
      </c>
      <c r="B26" s="63"/>
      <c r="C26" s="64">
        <f>SUM(C3:C24)</f>
        <v>5280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682951.53</v>
      </c>
      <c r="J26" s="67"/>
      <c r="K26" s="64">
        <f>SUM(K3:K24)</f>
        <v>131</v>
      </c>
      <c r="L26" s="67"/>
      <c r="M26" s="67"/>
      <c r="N26" s="68"/>
      <c r="O26" s="69"/>
      <c r="P26" s="64">
        <f>SUM(P3:P24)</f>
        <v>65</v>
      </c>
      <c r="Q26" s="64">
        <f t="shared" ref="Q26:AE26" si="19">SUM(Q3:Q24)</f>
        <v>5</v>
      </c>
      <c r="R26" s="64">
        <f t="shared" si="19"/>
        <v>60</v>
      </c>
      <c r="S26" s="70">
        <f>SUM(S3:S24)</f>
        <v>119817.99999999999</v>
      </c>
      <c r="T26" s="64">
        <f t="shared" si="19"/>
        <v>-9187</v>
      </c>
      <c r="U26" s="320">
        <f t="shared" si="19"/>
        <v>110630.99999999999</v>
      </c>
      <c r="V26" s="71">
        <f t="shared" si="19"/>
        <v>0.50172561575684449</v>
      </c>
      <c r="W26" s="64">
        <f t="shared" si="19"/>
        <v>9043.7200000000012</v>
      </c>
      <c r="X26" s="64">
        <f t="shared" si="19"/>
        <v>47571.33</v>
      </c>
      <c r="Y26" s="72">
        <f>IF(U26=0,0,X26/U26)</f>
        <v>0.43000000000000005</v>
      </c>
      <c r="Z26" s="64">
        <f t="shared" si="19"/>
        <v>13862.810000000014</v>
      </c>
      <c r="AA26" s="64">
        <f>IFERROR(P26*AA51/P51,0)</f>
        <v>34221.47752808989</v>
      </c>
      <c r="AB26" s="64">
        <f t="shared" si="19"/>
        <v>0</v>
      </c>
      <c r="AC26" s="64">
        <f t="shared" si="19"/>
        <v>0</v>
      </c>
      <c r="AD26" s="73">
        <f t="shared" si="19"/>
        <v>495.41892476678106</v>
      </c>
      <c r="AE26" s="74">
        <f t="shared" si="19"/>
        <v>12803.079002233193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432677.50457622594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26854.642072999999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51</v>
      </c>
      <c r="D28" s="33"/>
      <c r="E28" s="33"/>
      <c r="F28" s="33"/>
      <c r="G28" s="34"/>
      <c r="H28" s="84">
        <v>672</v>
      </c>
      <c r="I28" s="54">
        <f t="shared" ref="I28:I46" si="20">C28*H28</f>
        <v>34272</v>
      </c>
      <c r="J28" s="36"/>
      <c r="K28" s="32">
        <v>0</v>
      </c>
      <c r="L28" s="36"/>
      <c r="M28" s="36"/>
      <c r="N28" s="37">
        <f t="shared" ref="N28:N47" si="21">K28/$O$1</f>
        <v>0</v>
      </c>
      <c r="O28" s="38">
        <f t="shared" ref="O28:O47" si="22">R28/$O$1</f>
        <v>0</v>
      </c>
      <c r="P28" s="39">
        <f>SUMIFS('Отчет 02-08.02'!H:H,'Отчет 02-08.02'!D:D,"Выручка",'Отчет 02-08.02'!E:E,B28)</f>
        <v>0</v>
      </c>
      <c r="Q28" s="39">
        <f>SUMIFS('Отчет 02-08.02'!H:H,'Отчет 02-08.02'!D:D,"Возврат выручки",'Отчет 02-08.02'!E:E,B28)</f>
        <v>0</v>
      </c>
      <c r="R28" s="40">
        <f t="shared" ref="R28:R47" si="23">P28-Q28</f>
        <v>0</v>
      </c>
      <c r="S28" s="41">
        <f>SUMIFS('Отчет 02-08.02'!P:P,'Отчет 02-08.02'!C:C,"Продажи",'Отчет 02-08.02'!E:E,B28)</f>
        <v>0</v>
      </c>
      <c r="T28" s="42">
        <f>SUMIFS('Отчет 02-08.02'!P:P,'Отчет 02-08.02'!C:C,"Возвраты",'Отчет 02-08.02'!E:E,B28)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02-08.02'!P:P,'Отчет 02-08.02'!C:C,"Вознаграждение Ozon",'Отчет 02-08.02'!E:E,B28)</f>
        <v>0</v>
      </c>
      <c r="Y28" s="45">
        <f t="shared" ref="Y28:Y47" si="27">IF(U28=0,0,X28/U28)</f>
        <v>0</v>
      </c>
      <c r="Z28" s="42">
        <f>-SUMIFS('Отчет 02-08.02'!P:P,'Отчет 02-08.02'!C:C,"Услуги доставки",'Отчет 02-08.02'!E:E,B28)</f>
        <v>113.88</v>
      </c>
      <c r="AA28" s="32">
        <v>0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-113.88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-113.88</v>
      </c>
      <c r="AM28" s="50">
        <f t="shared" ref="AM28:AM47" si="35">IF(AG28=0,0,AL28/AG28)</f>
        <v>0</v>
      </c>
      <c r="AN28" s="51">
        <f t="shared" ref="AN28:AN47" si="36">IF(AH28=0,0,AL28/AH28)</f>
        <v>-0.16946428571428571</v>
      </c>
      <c r="AP28" s="53">
        <f t="shared" ref="AP28:AP47" si="37">AL28*C28</f>
        <v>-5807.88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02-08.02'!H:H,'Отчет 02-08.02'!D:D,"Выручка",'Отчет 02-08.02'!E:E,B29)</f>
        <v>0</v>
      </c>
      <c r="Q29" s="39">
        <f>SUMIFS('Отчет 02-08.02'!H:H,'Отчет 02-08.02'!D:D,"Возврат выручки",'Отчет 02-08.02'!E:E,B29)</f>
        <v>0</v>
      </c>
      <c r="R29" s="40">
        <f t="shared" si="23"/>
        <v>0</v>
      </c>
      <c r="S29" s="41">
        <f>SUMIFS('Отчет 02-08.02'!P:P,'Отчет 02-08.02'!C:C,"Продажи",'Отчет 02-08.02'!E:E,B29)</f>
        <v>0</v>
      </c>
      <c r="T29" s="42">
        <f>SUMIFS('Отчет 02-08.02'!P:P,'Отчет 02-08.02'!C:C,"Возвраты",'Отчет 02-08.02'!E:E,B29)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02-08.02'!P:P,'Отчет 02-08.02'!C:C,"Вознаграждение Ozon",'Отчет 02-08.02'!E:E,B29)</f>
        <v>0</v>
      </c>
      <c r="Y29" s="45">
        <f t="shared" si="27"/>
        <v>0</v>
      </c>
      <c r="Z29" s="42">
        <f>-SUMIFS('Отчет 02-08.02'!P:P,'Отчет 02-08.02'!C:C,"Услуги доставки",'Отчет 02-08.02'!E:E,B29)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-5466.24</v>
      </c>
    </row>
    <row r="30" spans="1:52">
      <c r="A30" s="30">
        <v>2774709606</v>
      </c>
      <c r="B30" s="31" t="s">
        <v>63</v>
      </c>
      <c r="C30" s="32">
        <v>42</v>
      </c>
      <c r="D30" s="33"/>
      <c r="E30" s="33"/>
      <c r="F30" s="33"/>
      <c r="G30" s="34"/>
      <c r="H30" s="84">
        <v>627</v>
      </c>
      <c r="I30" s="54">
        <f t="shared" si="20"/>
        <v>26334</v>
      </c>
      <c r="J30" s="36"/>
      <c r="K30" s="32">
        <v>1</v>
      </c>
      <c r="L30" s="36"/>
      <c r="M30" s="36"/>
      <c r="N30" s="37">
        <f t="shared" si="21"/>
        <v>0.14285714285714285</v>
      </c>
      <c r="O30" s="38">
        <f t="shared" si="22"/>
        <v>0</v>
      </c>
      <c r="P30" s="39">
        <f>SUMIFS('Отчет 02-08.02'!H:H,'Отчет 02-08.02'!D:D,"Выручка",'Отчет 02-08.02'!E:E,B30)</f>
        <v>0</v>
      </c>
      <c r="Q30" s="39">
        <f>SUMIFS('Отчет 02-08.02'!H:H,'Отчет 02-08.02'!D:D,"Возврат выручки",'Отчет 02-08.02'!E:E,B30)</f>
        <v>0</v>
      </c>
      <c r="R30" s="40">
        <f t="shared" si="23"/>
        <v>0</v>
      </c>
      <c r="S30" s="41">
        <f>SUMIFS('Отчет 02-08.02'!P:P,'Отчет 02-08.02'!C:C,"Продажи",'Отчет 02-08.02'!E:E,B30)</f>
        <v>0</v>
      </c>
      <c r="T30" s="42">
        <f>SUMIFS('Отчет 02-08.02'!P:P,'Отчет 02-08.02'!C:C,"Возвраты",'Отчет 02-08.02'!E:E,B30)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02-08.02'!P:P,'Отчет 02-08.02'!C:C,"Вознаграждение Ozon",'Отчет 02-08.02'!E:E,B30)</f>
        <v>0</v>
      </c>
      <c r="Y30" s="45">
        <f t="shared" si="27"/>
        <v>0</v>
      </c>
      <c r="Z30" s="42">
        <f>-SUMIFS('Отчет 02-08.02'!P:P,'Отчет 02-08.02'!C:C,"Услуги доставки",'Отчет 02-08.02'!E:E,B30)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16</v>
      </c>
      <c r="D31" s="33"/>
      <c r="E31" s="33"/>
      <c r="F31" s="33"/>
      <c r="G31" s="34"/>
      <c r="H31" s="84">
        <v>567</v>
      </c>
      <c r="I31" s="54">
        <f t="shared" si="20"/>
        <v>9072</v>
      </c>
      <c r="J31" s="36"/>
      <c r="K31" s="32">
        <v>1</v>
      </c>
      <c r="L31" s="36"/>
      <c r="M31" s="36"/>
      <c r="N31" s="37">
        <f t="shared" si="21"/>
        <v>0.14285714285714285</v>
      </c>
      <c r="O31" s="38">
        <f t="shared" si="22"/>
        <v>0</v>
      </c>
      <c r="P31" s="39">
        <f>SUMIFS('Отчет 02-08.02'!H:H,'Отчет 02-08.02'!D:D,"Выручка",'Отчет 02-08.02'!E:E,B31)</f>
        <v>0</v>
      </c>
      <c r="Q31" s="39">
        <f>SUMIFS('Отчет 02-08.02'!H:H,'Отчет 02-08.02'!D:D,"Возврат выручки",'Отчет 02-08.02'!E:E,B31)</f>
        <v>0</v>
      </c>
      <c r="R31" s="40">
        <f t="shared" si="23"/>
        <v>0</v>
      </c>
      <c r="S31" s="41">
        <f>SUMIFS('Отчет 02-08.02'!P:P,'Отчет 02-08.02'!C:C,"Продажи",'Отчет 02-08.02'!E:E,B31)</f>
        <v>0</v>
      </c>
      <c r="T31" s="42">
        <f>SUMIFS('Отчет 02-08.02'!P:P,'Отчет 02-08.02'!C:C,"Возвраты",'Отчет 02-08.02'!E:E,B31)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02-08.02'!P:P,'Отчет 02-08.02'!C:C,"Вознаграждение Ozon",'Отчет 02-08.02'!E:E,B31)</f>
        <v>0</v>
      </c>
      <c r="Y31" s="45">
        <f t="shared" si="27"/>
        <v>0</v>
      </c>
      <c r="Z31" s="42">
        <f>-SUMIFS('Отчет 02-08.02'!P:P,'Отчет 02-08.02'!C:C,"Услуги доставки",'Отчет 02-08.02'!E:E,B31)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02-08.02'!H:H,'Отчет 02-08.02'!D:D,"Выручка",'Отчет 02-08.02'!E:E,B32)</f>
        <v>0</v>
      </c>
      <c r="Q32" s="39">
        <f>SUMIFS('Отчет 02-08.02'!H:H,'Отчет 02-08.02'!D:D,"Возврат выручки",'Отчет 02-08.02'!E:E,B32)</f>
        <v>0</v>
      </c>
      <c r="R32" s="40">
        <f t="shared" si="23"/>
        <v>0</v>
      </c>
      <c r="S32" s="41">
        <f>SUMIFS('Отчет 02-08.02'!P:P,'Отчет 02-08.02'!C:C,"Продажи",'Отчет 02-08.02'!E:E,B32)</f>
        <v>0</v>
      </c>
      <c r="T32" s="42">
        <f>SUMIFS('Отчет 02-08.02'!P:P,'Отчет 02-08.02'!C:C,"Возвраты",'Отчет 02-08.02'!E:E,B32)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02-08.02'!P:P,'Отчет 02-08.02'!C:C,"Вознаграждение Ozon",'Отчет 02-08.02'!E:E,B32)</f>
        <v>0</v>
      </c>
      <c r="Y32" s="45">
        <f t="shared" si="27"/>
        <v>0</v>
      </c>
      <c r="Z32" s="42">
        <f>-SUMIFS('Отчет 02-08.02'!P:P,'Отчет 02-08.02'!C:C,"Услуги доставки",'Отчет 02-08.02'!E:E,B32)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9</v>
      </c>
      <c r="D33" s="33"/>
      <c r="E33" s="33"/>
      <c r="F33" s="33"/>
      <c r="G33" s="34"/>
      <c r="H33" s="84">
        <v>657</v>
      </c>
      <c r="I33" s="54">
        <f t="shared" si="20"/>
        <v>5913</v>
      </c>
      <c r="J33" s="36"/>
      <c r="K33" s="32">
        <v>5</v>
      </c>
      <c r="L33" s="36"/>
      <c r="M33" s="36"/>
      <c r="N33" s="37">
        <f t="shared" si="21"/>
        <v>0.7142857142857143</v>
      </c>
      <c r="O33" s="38">
        <f t="shared" si="22"/>
        <v>0</v>
      </c>
      <c r="P33" s="39">
        <f>SUMIFS('Отчет 02-08.02'!H:H,'Отчет 02-08.02'!D:D,"Выручка",'Отчет 02-08.02'!E:E,B33)</f>
        <v>0</v>
      </c>
      <c r="Q33" s="39">
        <f>SUMIFS('Отчет 02-08.02'!H:H,'Отчет 02-08.02'!D:D,"Возврат выручки",'Отчет 02-08.02'!E:E,B33)</f>
        <v>0</v>
      </c>
      <c r="R33" s="40">
        <f t="shared" si="23"/>
        <v>0</v>
      </c>
      <c r="S33" s="41">
        <f>SUMIFS('Отчет 02-08.02'!P:P,'Отчет 02-08.02'!C:C,"Продажи",'Отчет 02-08.02'!E:E,B33)</f>
        <v>0</v>
      </c>
      <c r="T33" s="42">
        <f>SUMIFS('Отчет 02-08.02'!P:P,'Отчет 02-08.02'!C:C,"Возвраты",'Отчет 02-08.02'!E:E,B33)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02-08.02'!P:P,'Отчет 02-08.02'!C:C,"Вознаграждение Ozon",'Отчет 02-08.02'!E:E,B33)</f>
        <v>0</v>
      </c>
      <c r="Y33" s="45">
        <f t="shared" si="27"/>
        <v>0</v>
      </c>
      <c r="Z33" s="42">
        <f>-SUMIFS('Отчет 02-08.02'!P:P,'Отчет 02-08.02'!C:C,"Услуги доставки",'Отчет 02-08.02'!E:E,B33)</f>
        <v>227.76</v>
      </c>
      <c r="AA33" s="32">
        <v>0</v>
      </c>
      <c r="AB33" s="55"/>
      <c r="AC33" s="42"/>
      <c r="AD33" s="46">
        <f t="shared" si="28"/>
        <v>0</v>
      </c>
      <c r="AE33" s="47">
        <f t="shared" si="29"/>
        <v>-227.76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227.76</v>
      </c>
      <c r="AK33" s="49">
        <f t="shared" si="34"/>
        <v>0</v>
      </c>
      <c r="AL33" s="49">
        <f t="array" ref="AL33">_xlfn.IFS(R33=0,AE33,R33&lt;0,AE33/-R33,R33&gt;0,AE33/R33)</f>
        <v>-227.76</v>
      </c>
      <c r="AM33" s="50">
        <f t="shared" si="35"/>
        <v>0</v>
      </c>
      <c r="AN33" s="51">
        <f t="shared" si="36"/>
        <v>-0.34666666666666668</v>
      </c>
      <c r="AP33" s="53">
        <f t="shared" si="37"/>
        <v>-2049.84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21"/>
        <v>0.14285714285714285</v>
      </c>
      <c r="O34" s="38">
        <f t="shared" si="22"/>
        <v>0.2857142857142857</v>
      </c>
      <c r="P34" s="39">
        <f>SUMIFS('Отчет 02-08.02'!H:H,'Отчет 02-08.02'!D:D,"Выручка",'Отчет 02-08.02'!E:E,B34)</f>
        <v>2</v>
      </c>
      <c r="Q34" s="39">
        <f>SUMIFS('Отчет 02-08.02'!H:H,'Отчет 02-08.02'!D:D,"Возврат выручки",'Отчет 02-08.02'!E:E,B34)</f>
        <v>0</v>
      </c>
      <c r="R34" s="40">
        <f t="shared" si="23"/>
        <v>2</v>
      </c>
      <c r="S34" s="41">
        <f>SUMIFS('Отчет 02-08.02'!P:P,'Отчет 02-08.02'!C:C,"Продажи",'Отчет 02-08.02'!E:E,B34)</f>
        <v>8876</v>
      </c>
      <c r="T34" s="42">
        <f>SUMIFS('Отчет 02-08.02'!P:P,'Отчет 02-08.02'!C:C,"Возвраты",'Отчет 02-08.02'!E:E,B34)</f>
        <v>0</v>
      </c>
      <c r="U34" s="40">
        <f t="shared" si="24"/>
        <v>8876</v>
      </c>
      <c r="V34" s="43">
        <f t="shared" si="25"/>
        <v>4.0253785697117017E-2</v>
      </c>
      <c r="W34" s="44">
        <f t="shared" si="26"/>
        <v>1194</v>
      </c>
      <c r="X34" s="42">
        <f>-SUMIFS('Отчет 02-08.02'!P:P,'Отчет 02-08.02'!C:C,"Вознаграждение Ozon",'Отчет 02-08.02'!E:E,B34)</f>
        <v>3816.6800000000003</v>
      </c>
      <c r="Y34" s="45">
        <f t="shared" si="27"/>
        <v>0.43000000000000005</v>
      </c>
      <c r="Z34" s="42">
        <f>-SUMIFS('Отчет 02-08.02'!P:P,'Отчет 02-08.02'!C:C,"Услуги доставки",'Отчет 02-08.02'!E:E,B34)</f>
        <v>545.65</v>
      </c>
      <c r="AA34" s="32">
        <v>0</v>
      </c>
      <c r="AB34" s="55"/>
      <c r="AC34" s="42"/>
      <c r="AD34" s="46">
        <f t="shared" si="28"/>
        <v>39.747795610904262</v>
      </c>
      <c r="AE34" s="47">
        <f t="shared" si="29"/>
        <v>3279.9222043890954</v>
      </c>
      <c r="AF34" s="46"/>
      <c r="AG34" s="48">
        <f t="shared" si="30"/>
        <v>4438</v>
      </c>
      <c r="AH34" s="49">
        <f t="shared" si="31"/>
        <v>597</v>
      </c>
      <c r="AI34" s="49">
        <f t="shared" si="32"/>
        <v>1908.3400000000001</v>
      </c>
      <c r="AJ34" s="49">
        <f t="shared" si="33"/>
        <v>272.82499999999999</v>
      </c>
      <c r="AK34" s="49">
        <f t="shared" si="34"/>
        <v>0</v>
      </c>
      <c r="AL34" s="49">
        <f t="array" ref="AL34">_xlfn.IFS(R34=0,AE34,R34&lt;0,AE34/-R34,R34&gt;0,AE34/R34)</f>
        <v>1639.9611021945477</v>
      </c>
      <c r="AM34" s="50">
        <f t="shared" si="35"/>
        <v>0.36952706223401255</v>
      </c>
      <c r="AN34" s="51">
        <f t="shared" si="36"/>
        <v>2.747003521263899</v>
      </c>
      <c r="AP34" s="53">
        <f t="shared" si="37"/>
        <v>22959.455430723669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02-08.02'!H:H,'Отчет 02-08.02'!D:D,"Выручка",'Отчет 02-08.02'!E:E,B35)</f>
        <v>0</v>
      </c>
      <c r="Q35" s="39">
        <f>SUMIFS('Отчет 02-08.02'!H:H,'Отчет 02-08.02'!D:D,"Возврат выручки",'Отчет 02-08.02'!E:E,B35)</f>
        <v>0</v>
      </c>
      <c r="R35" s="40">
        <f t="shared" si="23"/>
        <v>0</v>
      </c>
      <c r="S35" s="41">
        <f>SUMIFS('Отчет 02-08.02'!P:P,'Отчет 02-08.02'!C:C,"Продажи",'Отчет 02-08.02'!E:E,B35)</f>
        <v>0</v>
      </c>
      <c r="T35" s="42">
        <f>SUMIFS('Отчет 02-08.02'!P:P,'Отчет 02-08.02'!C:C,"Возвраты",'Отчет 02-08.02'!E:E,B35)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02-08.02'!P:P,'Отчет 02-08.02'!C:C,"Вознаграждение Ozon",'Отчет 02-08.02'!E:E,B35)</f>
        <v>0</v>
      </c>
      <c r="Y35" s="45">
        <f t="shared" si="27"/>
        <v>0</v>
      </c>
      <c r="Z35" s="42">
        <f>-SUMIFS('Отчет 02-08.02'!P:P,'Отчет 02-08.02'!C:C,"Услуги доставки",'Отчет 02-08.02'!E:E,B35)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>
        <v>18</v>
      </c>
      <c r="D36" s="33"/>
      <c r="E36" s="33"/>
      <c r="F36" s="33"/>
      <c r="G36" s="34"/>
      <c r="H36" s="84">
        <v>552</v>
      </c>
      <c r="I36" s="54">
        <f t="shared" si="20"/>
        <v>9936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02-08.02'!H:H,'Отчет 02-08.02'!D:D,"Выручка",'Отчет 02-08.02'!E:E,B36)</f>
        <v>0</v>
      </c>
      <c r="Q36" s="39">
        <f>SUMIFS('Отчет 02-08.02'!H:H,'Отчет 02-08.02'!D:D,"Возврат выручки",'Отчет 02-08.02'!E:E,B36)</f>
        <v>0</v>
      </c>
      <c r="R36" s="40">
        <f t="shared" si="23"/>
        <v>0</v>
      </c>
      <c r="S36" s="41">
        <f>SUMIFS('Отчет 02-08.02'!P:P,'Отчет 02-08.02'!C:C,"Продажи",'Отчет 02-08.02'!E:E,B36)</f>
        <v>0</v>
      </c>
      <c r="T36" s="42">
        <f>SUMIFS('Отчет 02-08.02'!P:P,'Отчет 02-08.02'!C:C,"Возвраты",'Отчет 02-08.02'!E:E,B36)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02-08.02'!P:P,'Отчет 02-08.02'!C:C,"Вознаграждение Ozon",'Отчет 02-08.02'!E:E,B36)</f>
        <v>0</v>
      </c>
      <c r="Y36" s="45">
        <f t="shared" si="27"/>
        <v>0</v>
      </c>
      <c r="Z36" s="42">
        <f>-SUMIFS('Отчет 02-08.02'!P:P,'Отчет 02-08.02'!C:C,"Услуги доставки",'Отчет 02-08.02'!E:E,B36)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-2049.84</v>
      </c>
    </row>
    <row r="37" spans="1:42">
      <c r="A37" s="30">
        <v>2774712116</v>
      </c>
      <c r="B37" s="31" t="s">
        <v>70</v>
      </c>
      <c r="C37" s="32">
        <v>2</v>
      </c>
      <c r="D37" s="33"/>
      <c r="E37" s="33"/>
      <c r="F37" s="33"/>
      <c r="G37" s="34"/>
      <c r="H37" s="84">
        <v>687</v>
      </c>
      <c r="I37" s="54">
        <f t="shared" si="20"/>
        <v>1374</v>
      </c>
      <c r="J37" s="36"/>
      <c r="K37" s="32">
        <v>9</v>
      </c>
      <c r="L37" s="36"/>
      <c r="M37" s="36"/>
      <c r="N37" s="37">
        <f t="shared" si="21"/>
        <v>1.2857142857142858</v>
      </c>
      <c r="O37" s="38">
        <f t="shared" si="22"/>
        <v>0.2857142857142857</v>
      </c>
      <c r="P37" s="39">
        <f>SUMIFS('Отчет 02-08.02'!H:H,'Отчет 02-08.02'!D:D,"Выручка",'Отчет 02-08.02'!E:E,B37)</f>
        <v>2</v>
      </c>
      <c r="Q37" s="39">
        <f>SUMIFS('Отчет 02-08.02'!H:H,'Отчет 02-08.02'!D:D,"Возврат выручки",'Отчет 02-08.02'!E:E,B37)</f>
        <v>0</v>
      </c>
      <c r="R37" s="40">
        <f t="shared" si="23"/>
        <v>2</v>
      </c>
      <c r="S37" s="41">
        <f>SUMIFS('Отчет 02-08.02'!P:P,'Отчет 02-08.02'!C:C,"Продажи",'Отчет 02-08.02'!E:E,B37)</f>
        <v>9012.0000000000018</v>
      </c>
      <c r="T37" s="42">
        <f>SUMIFS('Отчет 02-08.02'!P:P,'Отчет 02-08.02'!C:C,"Возвраты",'Отчет 02-08.02'!E:E,B37)</f>
        <v>0</v>
      </c>
      <c r="U37" s="40">
        <f t="shared" si="24"/>
        <v>9012.0000000000018</v>
      </c>
      <c r="V37" s="43">
        <f t="shared" si="25"/>
        <v>4.0870562945292774E-2</v>
      </c>
      <c r="W37" s="44">
        <f t="shared" si="26"/>
        <v>1374</v>
      </c>
      <c r="X37" s="42">
        <f>-SUMIFS('Отчет 02-08.02'!P:P,'Отчет 02-08.02'!C:C,"Вознаграждение Ozon",'Отчет 02-08.02'!E:E,B37)</f>
        <v>3875.16</v>
      </c>
      <c r="Y37" s="45">
        <f t="shared" si="27"/>
        <v>0.42999999999999988</v>
      </c>
      <c r="Z37" s="42">
        <f>-SUMIFS('Отчет 02-08.02'!P:P,'Отчет 02-08.02'!C:C,"Услуги доставки",'Отчет 02-08.02'!E:E,B37)</f>
        <v>662.40000000000009</v>
      </c>
      <c r="AA37" s="32">
        <v>0</v>
      </c>
      <c r="AB37" s="55"/>
      <c r="AC37" s="42"/>
      <c r="AD37" s="46">
        <f t="shared" si="28"/>
        <v>40.356819969070443</v>
      </c>
      <c r="AE37" s="47">
        <f t="shared" si="29"/>
        <v>3060.0831800309315</v>
      </c>
      <c r="AF37" s="46"/>
      <c r="AG37" s="48">
        <f t="shared" si="30"/>
        <v>4506.0000000000009</v>
      </c>
      <c r="AH37" s="49">
        <f t="shared" si="31"/>
        <v>687</v>
      </c>
      <c r="AI37" s="49">
        <f t="shared" si="32"/>
        <v>1937.58</v>
      </c>
      <c r="AJ37" s="49">
        <f t="shared" si="33"/>
        <v>331.20000000000005</v>
      </c>
      <c r="AK37" s="49">
        <f t="shared" si="34"/>
        <v>0</v>
      </c>
      <c r="AL37" s="49">
        <f t="array" ref="AL37">_xlfn.IFS(R37=0,AE37,R37&lt;0,AE37/-R37,R37&gt;0,AE37/R37)</f>
        <v>1530.0415900154658</v>
      </c>
      <c r="AM37" s="50">
        <f t="shared" si="35"/>
        <v>0.33955650022535849</v>
      </c>
      <c r="AN37" s="51">
        <f t="shared" si="36"/>
        <v>2.2271347744038805</v>
      </c>
      <c r="AP37" s="53">
        <f t="shared" si="37"/>
        <v>3060.0831800309315</v>
      </c>
    </row>
    <row r="38" spans="1:42">
      <c r="A38" s="30">
        <v>2774719012</v>
      </c>
      <c r="B38" s="31" t="s">
        <v>71</v>
      </c>
      <c r="C38" s="32">
        <v>6</v>
      </c>
      <c r="D38" s="33"/>
      <c r="E38" s="33"/>
      <c r="F38" s="33"/>
      <c r="G38" s="34"/>
      <c r="H38" s="84">
        <v>687</v>
      </c>
      <c r="I38" s="54">
        <f t="shared" si="20"/>
        <v>4122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02-08.02'!H:H,'Отчет 02-08.02'!D:D,"Выручка",'Отчет 02-08.02'!E:E,B38)</f>
        <v>1</v>
      </c>
      <c r="Q38" s="39">
        <f>SUMIFS('Отчет 02-08.02'!H:H,'Отчет 02-08.02'!D:D,"Возврат выручки",'Отчет 02-08.02'!E:E,B38)</f>
        <v>0</v>
      </c>
      <c r="R38" s="40">
        <f t="shared" si="23"/>
        <v>1</v>
      </c>
      <c r="S38" s="41">
        <f>SUMIFS('Отчет 02-08.02'!P:P,'Отчет 02-08.02'!C:C,"Продажи",'Отчет 02-08.02'!E:E,B38)</f>
        <v>3635</v>
      </c>
      <c r="T38" s="42">
        <f>SUMIFS('Отчет 02-08.02'!P:P,'Отчет 02-08.02'!C:C,"Возвраты",'Отчет 02-08.02'!E:E,B38)</f>
        <v>0</v>
      </c>
      <c r="U38" s="40">
        <f t="shared" si="24"/>
        <v>3635</v>
      </c>
      <c r="V38" s="43">
        <f t="shared" si="25"/>
        <v>1.648518600822672E-2</v>
      </c>
      <c r="W38" s="44">
        <f t="shared" si="26"/>
        <v>687</v>
      </c>
      <c r="X38" s="42">
        <f>-SUMIFS('Отчет 02-08.02'!P:P,'Отчет 02-08.02'!C:C,"Вознаграждение Ozon",'Отчет 02-08.02'!E:E,B38)</f>
        <v>1563.05</v>
      </c>
      <c r="Y38" s="45">
        <f t="shared" si="27"/>
        <v>0.43</v>
      </c>
      <c r="Z38" s="42">
        <f>-SUMIFS('Отчет 02-08.02'!P:P,'Отчет 02-08.02'!C:C,"Услуги доставки",'Отчет 02-08.02'!E:E,B38)</f>
        <v>420.76</v>
      </c>
      <c r="AA38" s="32">
        <v>0</v>
      </c>
      <c r="AB38" s="55"/>
      <c r="AC38" s="42"/>
      <c r="AD38" s="46">
        <f t="shared" si="28"/>
        <v>16.27796722010331</v>
      </c>
      <c r="AE38" s="47">
        <f t="shared" si="29"/>
        <v>947.91203277989678</v>
      </c>
      <c r="AF38" s="46"/>
      <c r="AG38" s="48">
        <f t="shared" si="30"/>
        <v>3635</v>
      </c>
      <c r="AH38" s="49">
        <f t="shared" si="31"/>
        <v>687</v>
      </c>
      <c r="AI38" s="49">
        <f t="shared" si="32"/>
        <v>1563.05</v>
      </c>
      <c r="AJ38" s="49">
        <f t="shared" si="33"/>
        <v>420.76</v>
      </c>
      <c r="AK38" s="49">
        <f t="shared" si="34"/>
        <v>0</v>
      </c>
      <c r="AL38" s="49">
        <f t="array" ref="AL38">_xlfn.IFS(R38=0,AE38,R38&lt;0,AE38/-R38,R38&gt;0,AE38/R38)</f>
        <v>947.91203277989678</v>
      </c>
      <c r="AM38" s="50">
        <f t="shared" si="35"/>
        <v>0.26077359911413944</v>
      </c>
      <c r="AN38" s="51">
        <f t="shared" si="36"/>
        <v>1.3797846183113489</v>
      </c>
      <c r="AP38" s="53">
        <f t="shared" si="37"/>
        <v>5687.4721966793804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0.14285714285714285</v>
      </c>
      <c r="P39" s="39">
        <f>SUMIFS('Отчет 02-08.02'!H:H,'Отчет 02-08.02'!D:D,"Выручка",'Отчет 02-08.02'!E:E,B39)</f>
        <v>1</v>
      </c>
      <c r="Q39" s="39">
        <f>SUMIFS('Отчет 02-08.02'!H:H,'Отчет 02-08.02'!D:D,"Возврат выручки",'Отчет 02-08.02'!E:E,B39)</f>
        <v>0</v>
      </c>
      <c r="R39" s="40">
        <f t="shared" si="23"/>
        <v>1</v>
      </c>
      <c r="S39" s="41">
        <f>SUMIFS('Отчет 02-08.02'!P:P,'Отчет 02-08.02'!C:C,"Продажи",'Отчет 02-08.02'!E:E,B39)</f>
        <v>3499</v>
      </c>
      <c r="T39" s="42">
        <f>SUMIFS('Отчет 02-08.02'!P:P,'Отчет 02-08.02'!C:C,"Возвраты",'Отчет 02-08.02'!E:E,B39)</f>
        <v>0</v>
      </c>
      <c r="U39" s="40">
        <f t="shared" si="24"/>
        <v>3499</v>
      </c>
      <c r="V39" s="43">
        <f t="shared" si="25"/>
        <v>1.5868408760050974E-2</v>
      </c>
      <c r="W39" s="44">
        <f t="shared" si="26"/>
        <v>597</v>
      </c>
      <c r="X39" s="42">
        <f>-SUMIFS('Отчет 02-08.02'!P:P,'Отчет 02-08.02'!C:C,"Вознаграждение Ozon",'Отчет 02-08.02'!E:E,B39)</f>
        <v>1504.57</v>
      </c>
      <c r="Y39" s="45">
        <f t="shared" si="27"/>
        <v>0.43</v>
      </c>
      <c r="Z39" s="42">
        <f>-SUMIFS('Отчет 02-08.02'!P:P,'Отчет 02-08.02'!C:C,"Услуги доставки",'Отчет 02-08.02'!E:E,B39)</f>
        <v>236.42</v>
      </c>
      <c r="AA39" s="32">
        <v>0</v>
      </c>
      <c r="AB39" s="55"/>
      <c r="AC39" s="42"/>
      <c r="AD39" s="46">
        <f t="shared" si="28"/>
        <v>15.668942861937136</v>
      </c>
      <c r="AE39" s="47">
        <f t="shared" si="29"/>
        <v>1145.3410571380628</v>
      </c>
      <c r="AF39" s="46"/>
      <c r="AG39" s="48">
        <f t="shared" si="30"/>
        <v>3499</v>
      </c>
      <c r="AH39" s="49">
        <f t="shared" si="31"/>
        <v>597</v>
      </c>
      <c r="AI39" s="49">
        <f t="shared" si="32"/>
        <v>1504.57</v>
      </c>
      <c r="AJ39" s="49">
        <f t="shared" si="33"/>
        <v>236.42</v>
      </c>
      <c r="AK39" s="49">
        <f t="shared" si="34"/>
        <v>0</v>
      </c>
      <c r="AL39" s="49">
        <f t="array" ref="AL39">_xlfn.IFS(R39=0,AE39,R39&lt;0,AE39/-R39,R39&gt;0,AE39/R39)</f>
        <v>1145.3410571380628</v>
      </c>
      <c r="AM39" s="50">
        <f t="shared" si="35"/>
        <v>0.32733382598972927</v>
      </c>
      <c r="AN39" s="51">
        <f t="shared" si="36"/>
        <v>1.9184942330620816</v>
      </c>
      <c r="AP39" s="53">
        <f t="shared" si="37"/>
        <v>17180.115857070941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02-08.02'!H:H,'Отчет 02-08.02'!D:D,"Выручка",'Отчет 02-08.02'!E:E,B40)</f>
        <v>0</v>
      </c>
      <c r="Q40" s="39">
        <f>SUMIFS('Отчет 02-08.02'!H:H,'Отчет 02-08.02'!D:D,"Возврат выручки",'Отчет 02-08.02'!E:E,B40)</f>
        <v>0</v>
      </c>
      <c r="R40" s="40">
        <f t="shared" si="23"/>
        <v>0</v>
      </c>
      <c r="S40" s="41">
        <f>SUMIFS('Отчет 02-08.02'!P:P,'Отчет 02-08.02'!C:C,"Продажи",'Отчет 02-08.02'!E:E,B40)</f>
        <v>0</v>
      </c>
      <c r="T40" s="42">
        <f>SUMIFS('Отчет 02-08.02'!P:P,'Отчет 02-08.02'!C:C,"Возвраты",'Отчет 02-08.02'!E:E,B40)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02-08.02'!P:P,'Отчет 02-08.02'!C:C,"Вознаграждение Ozon",'Отчет 02-08.02'!E:E,B40)</f>
        <v>0</v>
      </c>
      <c r="Y40" s="45">
        <f t="shared" si="27"/>
        <v>0</v>
      </c>
      <c r="Z40" s="42">
        <f>-SUMIFS('Отчет 02-08.02'!P:P,'Отчет 02-08.02'!C:C,"Услуги доставки",'Отчет 02-08.02'!E:E,B40)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02-08.02'!H:H,'Отчет 02-08.02'!D:D,"Выручка",'Отчет 02-08.02'!E:E,B41)</f>
        <v>0</v>
      </c>
      <c r="Q41" s="39">
        <f>SUMIFS('Отчет 02-08.02'!H:H,'Отчет 02-08.02'!D:D,"Возврат выручки",'Отчет 02-08.02'!E:E,B41)</f>
        <v>0</v>
      </c>
      <c r="R41" s="40">
        <f t="shared" si="23"/>
        <v>0</v>
      </c>
      <c r="S41" s="41">
        <f>SUMIFS('Отчет 02-08.02'!P:P,'Отчет 02-08.02'!C:C,"Продажи",'Отчет 02-08.02'!E:E,B41)</f>
        <v>0</v>
      </c>
      <c r="T41" s="42">
        <f>SUMIFS('Отчет 02-08.02'!P:P,'Отчет 02-08.02'!C:C,"Возвраты",'Отчет 02-08.02'!E:E,B41)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02-08.02'!P:P,'Отчет 02-08.02'!C:C,"Вознаграждение Ozon",'Отчет 02-08.02'!E:E,B41)</f>
        <v>0</v>
      </c>
      <c r="Y41" s="45">
        <f t="shared" si="27"/>
        <v>0</v>
      </c>
      <c r="Z41" s="42">
        <f>-SUMIFS('Отчет 02-08.02'!P:P,'Отчет 02-08.02'!C:C,"Услуги доставки",'Отчет 02-08.02'!E:E,B41)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13</v>
      </c>
      <c r="D42" s="33"/>
      <c r="E42" s="33"/>
      <c r="F42" s="33"/>
      <c r="G42" s="34"/>
      <c r="H42" s="84">
        <v>642</v>
      </c>
      <c r="I42" s="54">
        <f t="shared" si="20"/>
        <v>8346</v>
      </c>
      <c r="J42" s="36"/>
      <c r="K42" s="32">
        <v>6</v>
      </c>
      <c r="L42" s="36"/>
      <c r="M42" s="36"/>
      <c r="N42" s="37">
        <f t="shared" si="21"/>
        <v>0.8571428571428571</v>
      </c>
      <c r="O42" s="38">
        <f t="shared" si="22"/>
        <v>0.14285714285714285</v>
      </c>
      <c r="P42" s="39">
        <f>SUMIFS('Отчет 02-08.02'!H:H,'Отчет 02-08.02'!D:D,"Выручка",'Отчет 02-08.02'!E:E,B42)</f>
        <v>1</v>
      </c>
      <c r="Q42" s="39">
        <f>SUMIFS('Отчет 02-08.02'!H:H,'Отчет 02-08.02'!D:D,"Возврат выручки",'Отчет 02-08.02'!E:E,B42)</f>
        <v>0</v>
      </c>
      <c r="R42" s="40">
        <f t="shared" si="23"/>
        <v>1</v>
      </c>
      <c r="S42" s="41">
        <f>SUMIFS('Отчет 02-08.02'!P:P,'Отчет 02-08.02'!C:C,"Продажи",'Отчет 02-08.02'!E:E,B42)</f>
        <v>4300</v>
      </c>
      <c r="T42" s="42">
        <f>SUMIFS('Отчет 02-08.02'!P:P,'Отчет 02-08.02'!C:C,"Возвраты",'Отчет 02-08.02'!E:E,B42)</f>
        <v>0</v>
      </c>
      <c r="U42" s="40">
        <f t="shared" si="24"/>
        <v>4300</v>
      </c>
      <c r="V42" s="43">
        <f t="shared" si="25"/>
        <v>1.9501045346733123E-2</v>
      </c>
      <c r="W42" s="44">
        <f t="shared" si="26"/>
        <v>642</v>
      </c>
      <c r="X42" s="42">
        <f>-SUMIFS('Отчет 02-08.02'!P:P,'Отчет 02-08.02'!C:C,"Вознаграждение Ozon",'Отчет 02-08.02'!E:E,B42)</f>
        <v>1849</v>
      </c>
      <c r="Y42" s="45">
        <f t="shared" si="27"/>
        <v>0.43</v>
      </c>
      <c r="Z42" s="42">
        <f>-SUMIFS('Отчет 02-08.02'!P:P,'Отчет 02-08.02'!C:C,"Услуги доставки",'Отчет 02-08.02'!E:E,B42)</f>
        <v>333.98</v>
      </c>
      <c r="AA42" s="32">
        <v>4945</v>
      </c>
      <c r="AB42" s="55"/>
      <c r="AC42" s="42"/>
      <c r="AD42" s="46">
        <f t="shared" si="28"/>
        <v>19.255917206724686</v>
      </c>
      <c r="AE42" s="47">
        <f t="shared" si="29"/>
        <v>-3489.2359172067245</v>
      </c>
      <c r="AF42" s="46"/>
      <c r="AG42" s="48">
        <f t="shared" si="30"/>
        <v>4300</v>
      </c>
      <c r="AH42" s="49">
        <f t="shared" si="31"/>
        <v>642</v>
      </c>
      <c r="AI42" s="49">
        <f t="shared" si="32"/>
        <v>1849</v>
      </c>
      <c r="AJ42" s="49">
        <f t="shared" si="33"/>
        <v>333.98</v>
      </c>
      <c r="AK42" s="49">
        <f t="shared" si="34"/>
        <v>4945</v>
      </c>
      <c r="AL42" s="49">
        <f t="array" ref="AL42">_xlfn.IFS(R42=0,AE42,R42&lt;0,AE42/-R42,R42&gt;0,AE42/R42)</f>
        <v>-3489.2359172067245</v>
      </c>
      <c r="AM42" s="50">
        <f t="shared" si="35"/>
        <v>-0.81145021330388944</v>
      </c>
      <c r="AN42" s="51">
        <f t="shared" si="36"/>
        <v>-5.4349469115369544</v>
      </c>
      <c r="AP42" s="53">
        <f t="shared" si="37"/>
        <v>-45360.066923687416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2</v>
      </c>
      <c r="L43" s="36"/>
      <c r="M43" s="36"/>
      <c r="N43" s="37">
        <f t="shared" si="21"/>
        <v>0.2857142857142857</v>
      </c>
      <c r="O43" s="38">
        <f t="shared" si="22"/>
        <v>0.14285714285714285</v>
      </c>
      <c r="P43" s="39">
        <f>SUMIFS('Отчет 02-08.02'!H:H,'Отчет 02-08.02'!D:D,"Выручка",'Отчет 02-08.02'!E:E,B43)</f>
        <v>1</v>
      </c>
      <c r="Q43" s="39">
        <f>SUMIFS('Отчет 02-08.02'!H:H,'Отчет 02-08.02'!D:D,"Возврат выручки",'Отчет 02-08.02'!E:E,B43)</f>
        <v>0</v>
      </c>
      <c r="R43" s="40">
        <f t="shared" si="23"/>
        <v>1</v>
      </c>
      <c r="S43" s="41">
        <f>SUMIFS('Отчет 02-08.02'!P:P,'Отчет 02-08.02'!C:C,"Продажи",'Отчет 02-08.02'!E:E,B43)</f>
        <v>4300</v>
      </c>
      <c r="T43" s="42">
        <f>SUMIFS('Отчет 02-08.02'!P:P,'Отчет 02-08.02'!C:C,"Возвраты",'Отчет 02-08.02'!E:E,B43)</f>
        <v>0</v>
      </c>
      <c r="U43" s="40">
        <f t="shared" si="24"/>
        <v>4300</v>
      </c>
      <c r="V43" s="43">
        <f t="shared" si="25"/>
        <v>1.9501045346733123E-2</v>
      </c>
      <c r="W43" s="44">
        <f t="shared" si="26"/>
        <v>642</v>
      </c>
      <c r="X43" s="42">
        <f>-SUMIFS('Отчет 02-08.02'!P:P,'Отчет 02-08.02'!C:C,"Вознаграждение Ozon",'Отчет 02-08.02'!E:E,B43)</f>
        <v>1849</v>
      </c>
      <c r="Y43" s="45">
        <f t="shared" si="27"/>
        <v>0.43</v>
      </c>
      <c r="Z43" s="42">
        <f>-SUMIFS('Отчет 02-08.02'!P:P,'Отчет 02-08.02'!C:C,"Услуги доставки",'Отчет 02-08.02'!E:E,B43)</f>
        <v>333.98</v>
      </c>
      <c r="AA43" s="32">
        <v>0</v>
      </c>
      <c r="AB43" s="55"/>
      <c r="AC43" s="42"/>
      <c r="AD43" s="46">
        <f t="shared" si="28"/>
        <v>19.255917206724686</v>
      </c>
      <c r="AE43" s="47">
        <f t="shared" si="29"/>
        <v>1455.7640827932753</v>
      </c>
      <c r="AF43" s="46"/>
      <c r="AG43" s="48">
        <f t="shared" si="30"/>
        <v>4300</v>
      </c>
      <c r="AH43" s="49">
        <f t="shared" si="31"/>
        <v>642</v>
      </c>
      <c r="AI43" s="49">
        <f t="shared" si="32"/>
        <v>1849</v>
      </c>
      <c r="AJ43" s="49">
        <f t="shared" si="33"/>
        <v>333.98</v>
      </c>
      <c r="AK43" s="49">
        <f t="shared" si="34"/>
        <v>0</v>
      </c>
      <c r="AL43" s="49">
        <f t="array" ref="AL43">_xlfn.IFS(R43=0,AE43,R43&lt;0,AE43/-R43,R43&gt;0,AE43/R43)</f>
        <v>1455.7640827932753</v>
      </c>
      <c r="AM43" s="50">
        <f t="shared" si="35"/>
        <v>0.33854978669611052</v>
      </c>
      <c r="AN43" s="51">
        <f t="shared" si="36"/>
        <v>2.2675453003010517</v>
      </c>
      <c r="AP43" s="53">
        <f t="shared" si="37"/>
        <v>26203.753490278956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23</v>
      </c>
      <c r="L44" s="36"/>
      <c r="M44" s="36"/>
      <c r="N44" s="37">
        <f t="shared" si="21"/>
        <v>3.2857142857142856</v>
      </c>
      <c r="O44" s="38">
        <f t="shared" si="22"/>
        <v>0.8571428571428571</v>
      </c>
      <c r="P44" s="39">
        <f>SUMIFS('Отчет 02-08.02'!H:H,'Отчет 02-08.02'!D:D,"Выручка",'Отчет 02-08.02'!E:E,B44)</f>
        <v>7</v>
      </c>
      <c r="Q44" s="39">
        <f>SUMIFS('Отчет 02-08.02'!H:H,'Отчет 02-08.02'!D:D,"Возврат выручки",'Отчет 02-08.02'!E:E,B44)</f>
        <v>1</v>
      </c>
      <c r="R44" s="40">
        <f t="shared" si="23"/>
        <v>6</v>
      </c>
      <c r="S44" s="41">
        <f>SUMIFS('Отчет 02-08.02'!P:P,'Отчет 02-08.02'!C:C,"Продажи",'Отчет 02-08.02'!E:E,B44)</f>
        <v>35908</v>
      </c>
      <c r="T44" s="42">
        <f>SUMIFS('Отчет 02-08.02'!P:P,'Отчет 02-08.02'!C:C,"Возвраты",'Отчет 02-08.02'!E:E,B44)</f>
        <v>-4178</v>
      </c>
      <c r="U44" s="40">
        <f t="shared" si="24"/>
        <v>31730</v>
      </c>
      <c r="V44" s="43">
        <f t="shared" si="25"/>
        <v>0.14389957415159116</v>
      </c>
      <c r="W44" s="44">
        <f t="shared" si="26"/>
        <v>4122</v>
      </c>
      <c r="X44" s="42">
        <f>-SUMIFS('Отчет 02-08.02'!P:P,'Отчет 02-08.02'!C:C,"Вознаграждение Ozon",'Отчет 02-08.02'!E:E,B44)</f>
        <v>13643.9</v>
      </c>
      <c r="Y44" s="45">
        <f t="shared" si="27"/>
        <v>0.43</v>
      </c>
      <c r="Z44" s="42">
        <f>-SUMIFS('Отчет 02-08.02'!P:P,'Отчет 02-08.02'!C:C,"Услуги доставки",'Отчет 02-08.02'!E:E,B44)</f>
        <v>4135.6900000000014</v>
      </c>
      <c r="AA44" s="32">
        <v>8223.1610579999997</v>
      </c>
      <c r="AB44" s="55"/>
      <c r="AC44" s="42"/>
      <c r="AD44" s="46">
        <f t="shared" si="28"/>
        <v>142.09075650450566</v>
      </c>
      <c r="AE44" s="47">
        <f t="shared" si="29"/>
        <v>1463.1581854954945</v>
      </c>
      <c r="AF44" s="46"/>
      <c r="AG44" s="48">
        <f t="shared" si="30"/>
        <v>5288.333333333333</v>
      </c>
      <c r="AH44" s="49">
        <f t="shared" si="31"/>
        <v>687</v>
      </c>
      <c r="AI44" s="49">
        <f t="shared" si="32"/>
        <v>2273.9833333333331</v>
      </c>
      <c r="AJ44" s="49">
        <f t="shared" si="33"/>
        <v>590.8128571428573</v>
      </c>
      <c r="AK44" s="49">
        <f t="shared" si="34"/>
        <v>1174.737294</v>
      </c>
      <c r="AL44" s="49">
        <f t="array" ref="AL44">_xlfn.IFS(R44=0,AE44,R44&lt;0,AE44/-R44,R44&gt;0,AE44/R44)</f>
        <v>243.85969758258241</v>
      </c>
      <c r="AM44" s="50">
        <f t="shared" si="35"/>
        <v>4.6112769791852963E-2</v>
      </c>
      <c r="AN44" s="51">
        <f t="shared" si="36"/>
        <v>0.35496316969808211</v>
      </c>
      <c r="AP44" s="53">
        <f t="shared" si="37"/>
        <v>731.57909274774727</v>
      </c>
    </row>
    <row r="45" spans="1:42">
      <c r="A45" s="30">
        <v>2774721190</v>
      </c>
      <c r="B45" s="31" t="s">
        <v>78</v>
      </c>
      <c r="C45" s="32">
        <v>5</v>
      </c>
      <c r="D45" s="33"/>
      <c r="E45" s="33"/>
      <c r="F45" s="33"/>
      <c r="G45" s="34"/>
      <c r="H45" s="84">
        <v>687</v>
      </c>
      <c r="I45" s="54">
        <f t="shared" si="20"/>
        <v>3435</v>
      </c>
      <c r="J45" s="36"/>
      <c r="K45" s="32">
        <v>9</v>
      </c>
      <c r="L45" s="36"/>
      <c r="M45" s="36"/>
      <c r="N45" s="37">
        <f t="shared" si="21"/>
        <v>1.2857142857142858</v>
      </c>
      <c r="O45" s="38">
        <f t="shared" si="22"/>
        <v>0.2857142857142857</v>
      </c>
      <c r="P45" s="39">
        <f>SUMIFS('Отчет 02-08.02'!H:H,'Отчет 02-08.02'!D:D,"Выручка",'Отчет 02-08.02'!E:E,B45)</f>
        <v>2</v>
      </c>
      <c r="Q45" s="39">
        <f>SUMIFS('Отчет 02-08.02'!H:H,'Отчет 02-08.02'!D:D,"Возврат выручки",'Отчет 02-08.02'!E:E,B45)</f>
        <v>0</v>
      </c>
      <c r="R45" s="40">
        <f t="shared" si="23"/>
        <v>2</v>
      </c>
      <c r="S45" s="41">
        <f>SUMIFS('Отчет 02-08.02'!P:P,'Отчет 02-08.02'!C:C,"Продажи",'Отчет 02-08.02'!E:E,B45)</f>
        <v>10340</v>
      </c>
      <c r="T45" s="42">
        <f>SUMIFS('Отчет 02-08.02'!P:P,'Отчет 02-08.02'!C:C,"Возвраты",'Отчет 02-08.02'!E:E,B45)</f>
        <v>0</v>
      </c>
      <c r="U45" s="40">
        <f t="shared" si="24"/>
        <v>10340</v>
      </c>
      <c r="V45" s="43">
        <f t="shared" si="25"/>
        <v>4.6893211368655922E-2</v>
      </c>
      <c r="W45" s="44">
        <f t="shared" si="26"/>
        <v>1374</v>
      </c>
      <c r="X45" s="42">
        <f>-SUMIFS('Отчет 02-08.02'!P:P,'Отчет 02-08.02'!C:C,"Вознаграждение Ozon",'Отчет 02-08.02'!E:E,B45)</f>
        <v>4446.2</v>
      </c>
      <c r="Y45" s="45">
        <f t="shared" si="27"/>
        <v>0.43</v>
      </c>
      <c r="Z45" s="42">
        <f>-SUMIFS('Отчет 02-08.02'!P:P,'Отчет 02-08.02'!C:C,"Услуги доставки",'Отчет 02-08.02'!E:E,B45)</f>
        <v>1611.5000000000009</v>
      </c>
      <c r="AA45" s="32">
        <v>1692.6</v>
      </c>
      <c r="AB45" s="55"/>
      <c r="AC45" s="42"/>
      <c r="AD45" s="46">
        <f t="shared" si="28"/>
        <v>46.303763701751926</v>
      </c>
      <c r="AE45" s="47">
        <f t="shared" si="29"/>
        <v>1169.3962362982475</v>
      </c>
      <c r="AF45" s="46"/>
      <c r="AG45" s="48">
        <f t="shared" si="30"/>
        <v>5170</v>
      </c>
      <c r="AH45" s="49">
        <f t="shared" si="31"/>
        <v>687</v>
      </c>
      <c r="AI45" s="49">
        <f t="shared" si="32"/>
        <v>2223.1</v>
      </c>
      <c r="AJ45" s="49">
        <f t="shared" si="33"/>
        <v>805.75000000000045</v>
      </c>
      <c r="AK45" s="49">
        <f t="shared" si="34"/>
        <v>846.3</v>
      </c>
      <c r="AL45" s="49">
        <f t="array" ref="AL45">_xlfn.IFS(R45=0,AE45,R45&lt;0,AE45/-R45,R45&gt;0,AE45/R45)</f>
        <v>584.69811814912373</v>
      </c>
      <c r="AM45" s="50">
        <f t="shared" si="35"/>
        <v>0.11309441356849588</v>
      </c>
      <c r="AN45" s="51">
        <f t="shared" si="36"/>
        <v>0.8510889638269632</v>
      </c>
      <c r="AP45" s="53">
        <f t="shared" si="37"/>
        <v>2923.4905907456186</v>
      </c>
    </row>
    <row r="46" spans="1:42">
      <c r="A46" s="30">
        <v>2774718796</v>
      </c>
      <c r="B46" s="31" t="s">
        <v>79</v>
      </c>
      <c r="C46" s="32">
        <v>35</v>
      </c>
      <c r="D46" s="33"/>
      <c r="E46" s="33"/>
      <c r="F46" s="33"/>
      <c r="G46" s="34"/>
      <c r="H46" s="84">
        <v>552</v>
      </c>
      <c r="I46" s="54">
        <f t="shared" si="20"/>
        <v>19320</v>
      </c>
      <c r="J46" s="36"/>
      <c r="K46" s="32">
        <v>6</v>
      </c>
      <c r="L46" s="36"/>
      <c r="M46" s="36"/>
      <c r="N46" s="37">
        <f t="shared" si="21"/>
        <v>0.8571428571428571</v>
      </c>
      <c r="O46" s="38">
        <f t="shared" si="22"/>
        <v>1</v>
      </c>
      <c r="P46" s="39">
        <f>SUMIFS('Отчет 02-08.02'!H:H,'Отчет 02-08.02'!D:D,"Выручка",'Отчет 02-08.02'!E:E,B46)</f>
        <v>7</v>
      </c>
      <c r="Q46" s="39">
        <f>SUMIFS('Отчет 02-08.02'!H:H,'Отчет 02-08.02'!D:D,"Возврат выручки",'Отчет 02-08.02'!E:E,B46)</f>
        <v>0</v>
      </c>
      <c r="R46" s="40">
        <f t="shared" si="23"/>
        <v>7</v>
      </c>
      <c r="S46" s="41">
        <f>SUMIFS('Отчет 02-08.02'!P:P,'Отчет 02-08.02'!C:C,"Продажи",'Отчет 02-08.02'!E:E,B46)</f>
        <v>34178</v>
      </c>
      <c r="T46" s="42">
        <f>SUMIFS('Отчет 02-08.02'!P:P,'Отчет 02-08.02'!C:C,"Возвраты",'Отчет 02-08.02'!E:E,B46)</f>
        <v>0</v>
      </c>
      <c r="U46" s="40">
        <f t="shared" si="24"/>
        <v>34178</v>
      </c>
      <c r="V46" s="43">
        <f t="shared" si="25"/>
        <v>0.15500156461875456</v>
      </c>
      <c r="W46" s="44">
        <f t="shared" si="26"/>
        <v>3864</v>
      </c>
      <c r="X46" s="42">
        <f>-SUMIFS('Отчет 02-08.02'!P:P,'Отчет 02-08.02'!C:C,"Вознаграждение Ozon",'Отчет 02-08.02'!E:E,B46)</f>
        <v>14696.54</v>
      </c>
      <c r="Y46" s="45">
        <f t="shared" si="27"/>
        <v>0.43000000000000005</v>
      </c>
      <c r="Z46" s="42">
        <f>-SUMIFS('Отчет 02-08.02'!P:P,'Отчет 02-08.02'!C:C,"Услуги доставки",'Отчет 02-08.02'!E:E,B46)</f>
        <v>2517.7000000000003</v>
      </c>
      <c r="AA46" s="32">
        <v>5141.8433949999999</v>
      </c>
      <c r="AB46" s="55"/>
      <c r="AC46" s="42"/>
      <c r="AD46" s="46">
        <f t="shared" si="28"/>
        <v>153.05319495149683</v>
      </c>
      <c r="AE46" s="47">
        <f t="shared" si="29"/>
        <v>7804.8634100485015</v>
      </c>
      <c r="AF46" s="46"/>
      <c r="AG46" s="48">
        <f t="shared" si="30"/>
        <v>4882.5714285714284</v>
      </c>
      <c r="AH46" s="49">
        <f t="shared" si="31"/>
        <v>552</v>
      </c>
      <c r="AI46" s="49">
        <f t="shared" si="32"/>
        <v>2099.5057142857145</v>
      </c>
      <c r="AJ46" s="49">
        <f t="shared" si="33"/>
        <v>359.67142857142863</v>
      </c>
      <c r="AK46" s="49">
        <f t="shared" si="34"/>
        <v>734.54905642857136</v>
      </c>
      <c r="AL46" s="49">
        <f t="array" ref="AL46">_xlfn.IFS(R46=0,AE46,R46&lt;0,AE46/-R46,R46&gt;0,AE46/R46)</f>
        <v>1114.9804871497859</v>
      </c>
      <c r="AM46" s="50">
        <f t="shared" si="35"/>
        <v>0.22835927819206803</v>
      </c>
      <c r="AN46" s="51">
        <f t="shared" si="36"/>
        <v>2.0198921868655542</v>
      </c>
      <c r="AP46" s="53">
        <f t="shared" si="37"/>
        <v>39024.317050242506</v>
      </c>
    </row>
    <row r="47" spans="1:42">
      <c r="A47" s="30">
        <v>2774719500</v>
      </c>
      <c r="B47" s="31" t="s">
        <v>80</v>
      </c>
      <c r="C47" s="32">
        <v>16</v>
      </c>
      <c r="D47" s="33"/>
      <c r="E47" s="33"/>
      <c r="F47" s="33"/>
      <c r="G47" s="34"/>
      <c r="H47" s="84">
        <v>552</v>
      </c>
      <c r="I47" s="54">
        <f>C47*H47</f>
        <v>8832</v>
      </c>
      <c r="J47" s="36"/>
      <c r="K47" s="32">
        <v>3</v>
      </c>
      <c r="L47" s="36"/>
      <c r="M47" s="36"/>
      <c r="N47" s="37">
        <f t="shared" si="21"/>
        <v>0.42857142857142855</v>
      </c>
      <c r="O47" s="38">
        <f t="shared" si="22"/>
        <v>0</v>
      </c>
      <c r="P47" s="39">
        <f>SUMIFS('Отчет 02-08.02'!H:H,'Отчет 02-08.02'!D:D,"Выручка",'Отчет 02-08.02'!E:E,B47)</f>
        <v>0</v>
      </c>
      <c r="Q47" s="39">
        <f>SUMIFS('Отчет 02-08.02'!H:H,'Отчет 02-08.02'!D:D,"Возврат выручки",'Отчет 02-08.02'!E:E,B47)</f>
        <v>0</v>
      </c>
      <c r="R47" s="40">
        <f t="shared" si="23"/>
        <v>0</v>
      </c>
      <c r="S47" s="41">
        <f>SUMIFS('Отчет 02-08.02'!P:P,'Отчет 02-08.02'!C:C,"Продажи",'Отчет 02-08.02'!E:E,B47)</f>
        <v>0</v>
      </c>
      <c r="T47" s="42">
        <f>SUMIFS('Отчет 02-08.02'!P:P,'Отчет 02-08.02'!C:C,"Возвраты",'Отчет 02-08.02'!E:E,B47)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02-08.02'!P:P,'Отчет 02-08.02'!C:C,"Вознаграждение Ozon",'Отчет 02-08.02'!E:E,B47)</f>
        <v>0</v>
      </c>
      <c r="Y47" s="45">
        <f t="shared" si="27"/>
        <v>0</v>
      </c>
      <c r="Z47" s="42">
        <f>-SUMIFS('Отчет 02-08.02'!P:P,'Отчет 02-08.02'!C:C,"Услуги доставки",'Отчет 02-08.02'!E:E,B47)</f>
        <v>113.88</v>
      </c>
      <c r="AA47" s="32"/>
      <c r="AB47" s="55"/>
      <c r="AC47" s="42"/>
      <c r="AD47" s="46">
        <f t="shared" si="28"/>
        <v>0</v>
      </c>
      <c r="AE47" s="47">
        <f t="shared" si="29"/>
        <v>-113.88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113.88</v>
      </c>
      <c r="AK47" s="49">
        <f t="shared" si="34"/>
        <v>0</v>
      </c>
      <c r="AL47" s="49">
        <f t="array" ref="AL47">_xlfn.IFS(R47=0,AE47,R47&lt;0,AE47/-R47,R47&gt;0,AE47/R47)</f>
        <v>-113.88</v>
      </c>
      <c r="AM47" s="50">
        <f t="shared" si="35"/>
        <v>0</v>
      </c>
      <c r="AN47" s="51">
        <f t="shared" si="36"/>
        <v>-0.20630434782608695</v>
      </c>
      <c r="AP47" s="53">
        <f t="shared" si="37"/>
        <v>-1822.08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4446.5449735449729</v>
      </c>
      <c r="AH48" s="86">
        <f t="shared" si="38"/>
        <v>617.25</v>
      </c>
      <c r="AI48" s="86">
        <f t="shared" si="38"/>
        <v>1912.0143386243387</v>
      </c>
      <c r="AJ48" s="86">
        <f t="shared" si="38"/>
        <v>312.04852040816331</v>
      </c>
      <c r="AK48" s="86">
        <f t="shared" si="38"/>
        <v>1925.1465876071429</v>
      </c>
      <c r="AL48" s="86">
        <f t="shared" si="38"/>
        <v>320.7173036140012</v>
      </c>
      <c r="AM48" s="87">
        <f t="shared" si="38"/>
        <v>0.13465078027865307</v>
      </c>
      <c r="AN48" s="87">
        <f t="shared" si="38"/>
        <v>0.51575667242174339</v>
      </c>
      <c r="AO48" s="60"/>
      <c r="AP48" s="61"/>
    </row>
    <row r="49" spans="1:42">
      <c r="A49" s="88" t="s">
        <v>81</v>
      </c>
      <c r="B49" s="89"/>
      <c r="C49" s="90">
        <f>SUM(C28:C47)</f>
        <v>381</v>
      </c>
      <c r="D49" s="91"/>
      <c r="E49" s="91"/>
      <c r="F49" s="91"/>
      <c r="G49" s="91"/>
      <c r="H49" s="92"/>
      <c r="I49" s="90">
        <f>SUM(I28:I47)</f>
        <v>232527</v>
      </c>
      <c r="J49" s="93"/>
      <c r="K49" s="90">
        <f>SUM(K28:K47)</f>
        <v>68</v>
      </c>
      <c r="L49" s="93"/>
      <c r="M49" s="93"/>
      <c r="N49" s="94"/>
      <c r="O49" s="95"/>
      <c r="P49" s="90">
        <f t="shared" ref="P49:X49" si="39">SUM(P28:P47)</f>
        <v>24</v>
      </c>
      <c r="Q49" s="90">
        <f t="shared" si="39"/>
        <v>1</v>
      </c>
      <c r="R49" s="96">
        <f t="shared" si="39"/>
        <v>23</v>
      </c>
      <c r="S49" s="90">
        <f t="shared" si="39"/>
        <v>114048</v>
      </c>
      <c r="T49" s="90">
        <f t="shared" si="39"/>
        <v>-4178</v>
      </c>
      <c r="U49" s="96">
        <f t="shared" si="39"/>
        <v>109870</v>
      </c>
      <c r="V49" s="97">
        <f t="shared" si="39"/>
        <v>0.4982743842431554</v>
      </c>
      <c r="W49" s="90">
        <f t="shared" si="39"/>
        <v>14496</v>
      </c>
      <c r="X49" s="90">
        <f t="shared" si="39"/>
        <v>47244.100000000006</v>
      </c>
      <c r="Y49" s="98">
        <f>IF(U49=0,0,X49/U49)</f>
        <v>0.43000000000000005</v>
      </c>
      <c r="Z49" s="90">
        <f>SUM(Z28:Z47)</f>
        <v>11481.360000000002</v>
      </c>
      <c r="AA49" s="90">
        <f>IFERROR(P49*AA51/P51,0)</f>
        <v>12635.622471910112</v>
      </c>
      <c r="AB49" s="90">
        <f>SUM(AB28:AB47)</f>
        <v>0</v>
      </c>
      <c r="AC49" s="90">
        <f>SUM(AC28:AC47)</f>
        <v>0</v>
      </c>
      <c r="AD49" s="96">
        <f>SUM(AD28:AD47)</f>
        <v>492.01107523321889</v>
      </c>
      <c r="AE49" s="90">
        <f>SUM(AE28:AE47)</f>
        <v>16153.924471766783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55214.319964832335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20002.604453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5661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915478.53</v>
      </c>
      <c r="J51" s="118">
        <f>J26+J49</f>
        <v>0</v>
      </c>
      <c r="K51" s="118">
        <f>K26+K49</f>
        <v>199</v>
      </c>
      <c r="L51" s="119"/>
      <c r="M51" s="119"/>
      <c r="N51" s="119"/>
      <c r="O51" s="119"/>
      <c r="P51" s="120">
        <f t="shared" ref="P51:X51" si="40">P26+P49</f>
        <v>89</v>
      </c>
      <c r="Q51" s="118">
        <f t="shared" si="40"/>
        <v>6</v>
      </c>
      <c r="R51" s="121">
        <f>R26-R49</f>
        <v>37</v>
      </c>
      <c r="S51" s="118">
        <f t="shared" si="40"/>
        <v>233866</v>
      </c>
      <c r="T51" s="118">
        <f t="shared" si="40"/>
        <v>-13365</v>
      </c>
      <c r="U51" s="121">
        <f t="shared" si="40"/>
        <v>220501</v>
      </c>
      <c r="V51" s="122">
        <f t="shared" si="40"/>
        <v>0.99999999999999989</v>
      </c>
      <c r="W51" s="118">
        <f t="shared" si="40"/>
        <v>23539.72</v>
      </c>
      <c r="X51" s="118">
        <f t="shared" si="40"/>
        <v>94815.430000000008</v>
      </c>
      <c r="Y51" s="123">
        <f>X51/U51</f>
        <v>0.43000000000000005</v>
      </c>
      <c r="Z51" s="118">
        <f>Z26+Z49</f>
        <v>25344.170000000016</v>
      </c>
      <c r="AA51" s="124">
        <v>46857.1</v>
      </c>
      <c r="AB51" s="125"/>
      <c r="AC51" s="125">
        <f>SUM(AC3:AC47)</f>
        <v>0</v>
      </c>
      <c r="AD51" s="118">
        <f>AD26+AD49</f>
        <v>987.43</v>
      </c>
      <c r="AE51" s="126">
        <f>AE26+AE49</f>
        <v>28957.003473999976</v>
      </c>
      <c r="AF51" s="127"/>
      <c r="AG51" s="128"/>
      <c r="AH51" s="129"/>
      <c r="AI51" s="129"/>
      <c r="AJ51" s="129"/>
      <c r="AK51" s="129">
        <f>AA52/P51</f>
        <v>526.48426966292141</v>
      </c>
      <c r="AL51" s="129"/>
      <c r="AM51" s="129"/>
      <c r="AN51" s="130"/>
      <c r="AP51" s="126">
        <f>SUM(AP3:AP47)</f>
        <v>920569.32911728404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46857.100000000006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46857.246526000003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915478.53</v>
      </c>
      <c r="J59" s="164">
        <f>I59/I51</f>
        <v>1</v>
      </c>
      <c r="K59" s="160">
        <f>AP51-K58-K60</f>
        <v>920569.32911728404</v>
      </c>
      <c r="L59" s="161">
        <f>K59/I59</f>
        <v>1.0055608066715491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25" priority="37" operator="greaterThan">
      <formula>120</formula>
    </cfRule>
  </conditionalFormatting>
  <conditionalFormatting sqref="AM56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{D7775AAF-EECD-4F5C-A92F-B55A8D65AB59}</x14:id>
        </ext>
      </extLst>
    </cfRule>
  </conditionalFormatting>
  <conditionalFormatting sqref="AP3:AP7 AP27:AP47 AP50 AP10:AP2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{A6054D61-F094-4DEA-ABB2-108C5C787B69}</x14:id>
        </ext>
      </extLst>
    </cfRule>
  </conditionalFormatting>
  <conditionalFormatting sqref="AE3:AE7 AE27:AE48 AE50 AE10:AE25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{509D0DFE-7C03-4A28-B384-DA4A13B1322A}</x14:id>
        </ext>
      </extLst>
    </cfRule>
  </conditionalFormatting>
  <conditionalFormatting sqref="AL3:AL7 AL27:AL47 AL50 AL10:AL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{B7C701F4-FC51-4068-A375-BDBE6B7A53CF}</x14:id>
        </ext>
      </extLst>
    </cfRule>
  </conditionalFormatting>
  <conditionalFormatting sqref="AM3:AN7 AM27:AN47 AM50:AN50 AM10:AN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{8DA3B68F-3A33-4D47-A51F-6C998DC30387}</x14:id>
        </ext>
      </extLst>
    </cfRule>
  </conditionalFormatting>
  <conditionalFormatting sqref="AP3:AP7 AP27:AP47 AP10:AP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{E2468A1F-A019-45F4-B7DD-05D515BEE30B}</x14:id>
        </ext>
      </extLst>
    </cfRule>
  </conditionalFormatting>
  <conditionalFormatting sqref="AE3:AE7 AE27:AE48 AE10:AE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{9D52AA50-2C9E-490C-9CA0-90B84D862DEC}</x14:id>
        </ext>
      </extLst>
    </cfRule>
  </conditionalFormatting>
  <conditionalFormatting sqref="U27 U48 U2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{75BE45BB-0B8C-4765-A127-C1CAB382F218}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{970C22D8-67AB-4FCB-BF61-E5DA85F887C6}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{47EC5BCA-BF94-4E0D-8392-D20466FF9536}</x14:id>
        </ext>
      </extLst>
    </cfRule>
  </conditionalFormatting>
  <conditionalFormatting sqref="P50">
    <cfRule type="cellIs" dxfId="124" priority="32" operator="greaterThan">
      <formula>120</formula>
    </cfRule>
  </conditionalFormatting>
  <conditionalFormatting sqref="Q50">
    <cfRule type="cellIs" dxfId="123" priority="31" operator="greaterThan">
      <formula>120</formula>
    </cfRule>
  </conditionalFormatting>
  <conditionalFormatting sqref="R50">
    <cfRule type="cellIs" dxfId="122" priority="30" operator="greaterThan">
      <formula>120</formula>
    </cfRule>
  </conditionalFormatting>
  <conditionalFormatting sqref="S50">
    <cfRule type="cellIs" dxfId="121" priority="29" operator="greaterThan">
      <formula>120</formula>
    </cfRule>
  </conditionalFormatting>
  <conditionalFormatting sqref="T50">
    <cfRule type="cellIs" dxfId="120" priority="28" operator="greaterThan">
      <formula>120</formula>
    </cfRule>
  </conditionalFormatting>
  <conditionalFormatting sqref="U50">
    <cfRule type="cellIs" dxfId="119" priority="27" operator="greaterThan">
      <formula>120</formula>
    </cfRule>
  </conditionalFormatting>
  <conditionalFormatting sqref="W50">
    <cfRule type="cellIs" dxfId="118" priority="25" operator="greaterThan">
      <formula>120</formula>
    </cfRule>
  </conditionalFormatting>
  <conditionalFormatting sqref="X50">
    <cfRule type="cellIs" dxfId="117" priority="24" operator="greaterThan">
      <formula>120</formula>
    </cfRule>
  </conditionalFormatting>
  <conditionalFormatting sqref="Z50">
    <cfRule type="cellIs" dxfId="116" priority="23" operator="greaterThan">
      <formula>120</formula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{4E509F10-773B-4522-9989-433EB6AE592A}</x14:id>
        </ext>
      </extLst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{8D0736A2-927A-46BE-8AE1-C046DCD86C3C}</x14:id>
        </ext>
      </extLst>
    </cfRule>
  </conditionalFormatting>
  <conditionalFormatting sqref="J8:J9">
    <cfRule type="cellIs" dxfId="115" priority="14" operator="greaterThan">
      <formula>120</formula>
    </cfRule>
  </conditionalFormatting>
  <conditionalFormatting sqref="AP8:AP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{688DAEC7-D971-4F9B-9B46-4A3FBFFF3519}</x14:id>
        </ext>
      </extLst>
    </cfRule>
  </conditionalFormatting>
  <conditionalFormatting sqref="AE8:AE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{C3697682-E057-4D9D-B956-1897888AA8D7}</x14:id>
        </ext>
      </extLst>
    </cfRule>
  </conditionalFormatting>
  <conditionalFormatting sqref="AL8:AL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{609D6143-9628-4E8C-A999-F82805A19404}</x14:id>
        </ext>
      </extLst>
    </cfRule>
  </conditionalFormatting>
  <conditionalFormatting sqref="AM8:AN9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{ECE4B7FF-6DBE-4CAD-A468-64A007242863}</x14:id>
        </ext>
      </extLst>
    </cfRule>
  </conditionalFormatting>
  <conditionalFormatting sqref="AP8:AP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{58C8470A-A44D-41B8-9FC4-993045A2E8E9}</x14:id>
        </ext>
      </extLst>
    </cfRule>
  </conditionalFormatting>
  <conditionalFormatting sqref="AE8:AE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{B9E7EF56-192C-4C53-A5D3-C7335E02BBC5}</x14:id>
        </ext>
      </extLst>
    </cfRule>
  </conditionalFormatting>
  <conditionalFormatting sqref="U3:U2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{F4CACFC0-0A5B-4EA7-A177-83A2DB4C991E}</x14:id>
        </ext>
      </extLst>
    </cfRule>
  </conditionalFormatting>
  <conditionalFormatting sqref="U28:U47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{BA00856F-065C-44DC-BF89-603296A2C582}</x14:id>
        </ext>
      </extLst>
    </cfRule>
  </conditionalFormatting>
  <conditionalFormatting sqref="N50">
    <cfRule type="cellIs" dxfId="114" priority="9" operator="between">
      <formula>0.000001</formula>
      <formula>25</formula>
    </cfRule>
  </conditionalFormatting>
  <conditionalFormatting sqref="V1 V52:V55 V57:V1048576">
    <cfRule type="cellIs" dxfId="113" priority="6" operator="greaterThan">
      <formula>0.23</formula>
    </cfRule>
  </conditionalFormatting>
  <conditionalFormatting sqref="V27 V48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{3FA8C692-C23F-450F-8C55-09873C514E29}</x14:id>
        </ext>
      </extLst>
    </cfRule>
  </conditionalFormatting>
  <conditionalFormatting sqref="V27 V48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{E4D9D7D6-453B-425B-A864-5C3D9781FADC}</x14:id>
        </ext>
      </extLst>
    </cfRule>
  </conditionalFormatting>
  <conditionalFormatting sqref="V50">
    <cfRule type="cellIs" dxfId="112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{C6A57C10-0E6D-4507-A964-3DC3691A7720}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{EA38E824-9FAE-48E8-9040-7E37BBB89C4D}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{D2E03C53-37C4-497F-BB59-07BEA296870E}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{16A9331C-7D3C-4CF4-9B59-4DA7347CA415}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775AAF-EECD-4F5C-A92F-B55A8D65AB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A6054D61-F094-4DEA-ABB2-108C5C787B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509D0DFE-7C03-4A28-B384-DA4A13B132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B7C701F4-FC51-4068-A375-BDBE6B7A53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8DA3B68F-3A33-4D47-A51F-6C998DC30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E2468A1F-A019-45F4-B7DD-05D515BEE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D52AA50-2C9E-490C-9CA0-90B84D86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75BE45BB-0B8C-4765-A127-C1CAB382F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 U48 U25</xm:sqref>
        </x14:conditionalFormatting>
        <x14:conditionalFormatting xmlns:xm="http://schemas.microsoft.com/office/excel/2006/main">
          <x14:cfRule type="dataBar" id="{970C22D8-67AB-4FCB-BF61-E5DA85F887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7EC5BCA-BF94-4E0D-8392-D20466FF95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509F10-773B-4522-9989-433EB6AE5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D0736A2-927A-46BE-8AE1-C046DCD86C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88DAEC7-D971-4F9B-9B46-4A3FBFFF3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3697682-E057-4D9D-B956-1897888AA8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09D6143-9628-4E8C-A999-F82805A19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ECE4B7FF-6DBE-4CAD-A468-64A007242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58C8470A-A44D-41B8-9FC4-993045A2E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9E7EF56-192C-4C53-A5D3-C7335E02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F4CACFC0-0A5B-4EA7-A177-83A2DB4C9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BA00856F-065C-44DC-BF89-603296A2C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3FA8C692-C23F-450F-8C55-09873C514E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E4D9D7D6-453B-425B-A864-5C3D9781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C6A57C10-0E6D-4507-A964-3DC3691A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A38E824-9FAE-48E8-9040-7E37BBB89C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D2E03C53-37C4-497F-BB59-07BEA29687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16A9331C-7D3C-4CF4-9B59-4DA7347CA4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3ADCA-B77A-4CE0-8460-28C64B46BD37}">
  <dimension ref="A1:AZ64"/>
  <sheetViews>
    <sheetView topLeftCell="P40" zoomScale="70" zoomScaleNormal="70" workbookViewId="0">
      <selection activeCell="AA1" sqref="AA1:AE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955</v>
      </c>
      <c r="C1" s="3"/>
      <c r="D1" s="4"/>
      <c r="E1" s="4"/>
      <c r="F1" s="4"/>
      <c r="G1" s="4"/>
      <c r="N1" s="296" t="s">
        <v>997</v>
      </c>
      <c r="O1" s="297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339" t="s">
        <v>1264</v>
      </c>
      <c r="AB1" s="8"/>
      <c r="AC1" s="8"/>
      <c r="AD1" s="340">
        <f>7451+67</f>
        <v>7518</v>
      </c>
      <c r="AE1" s="341">
        <f>U51/AD1</f>
        <v>2.1886139930832669</v>
      </c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957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v>11</v>
      </c>
      <c r="L3" s="36"/>
      <c r="M3" s="36"/>
      <c r="N3" s="37">
        <f>K3/$O$1</f>
        <v>11</v>
      </c>
      <c r="O3" s="38">
        <f>R3/$O$1</f>
        <v>5</v>
      </c>
      <c r="P3" s="39">
        <f>SUMIFS('Отчет 01.02'!H:H,'Отчет 01.02'!D:D,"Выручка",'Отчет 01.02'!E:E,B3)</f>
        <v>5</v>
      </c>
      <c r="Q3" s="39">
        <f>SUMIFS('Отчет 01.02'!H:H,'Отчет 01.02'!D:D,"Возврат выручки",'Отчет 01.02'!E:E,B3)</f>
        <v>0</v>
      </c>
      <c r="R3" s="40">
        <f t="shared" ref="R3:R24" si="1">P3-Q3</f>
        <v>5</v>
      </c>
      <c r="S3" s="41">
        <f>SUMIFS('Отчет 01.02'!P:P,'Отчет 01.02'!C:C,"Продажи",'Отчет 01.02'!E:E,B3)</f>
        <v>8740</v>
      </c>
      <c r="T3" s="42">
        <f>SUMIFS('Отчет 01.02'!P:P,'Отчет 01.02'!C:C,"Возвраты",'Отчет 01.02'!E:E,B3)</f>
        <v>0</v>
      </c>
      <c r="U3" s="40">
        <f t="shared" ref="U3:U24" si="2">S3+T3</f>
        <v>8740</v>
      </c>
      <c r="V3" s="43">
        <f>U3/$U$51</f>
        <v>0.53117782909930711</v>
      </c>
      <c r="W3" s="44">
        <f t="shared" ref="W3:W24" si="3">R3*H3</f>
        <v>714.9</v>
      </c>
      <c r="X3" s="42">
        <f>-SUMIFS('Отчет 01.02'!P:P,'Отчет 01.02'!C:C,"Вознаграждение Ozon",'Отчет 01.02'!E:E,B3)</f>
        <v>3758.2</v>
      </c>
      <c r="Y3" s="45">
        <f t="shared" ref="Y3:Y24" si="4">IF(U3=0,0,X3/U3)</f>
        <v>0.43</v>
      </c>
      <c r="Z3" s="42">
        <f>-SUMIFS('Отчет 01.02'!P:P,'Отчет 01.02'!C:C,"Услуги доставки",'Отчет 01.02'!E:E,B3)</f>
        <v>1112.26</v>
      </c>
      <c r="AA3" s="32">
        <v>2899.670932</v>
      </c>
      <c r="AB3" s="42"/>
      <c r="AC3" s="42"/>
      <c r="AD3" s="46">
        <f>U3*1%/$AE$1</f>
        <v>39.933949191685912</v>
      </c>
      <c r="AE3" s="47">
        <f t="shared" ref="AE3:AE24" si="5">U3-W3-X3-Z3-AA3-AB3-AC3-AD3</f>
        <v>215.03511880831442</v>
      </c>
      <c r="AF3" s="46"/>
      <c r="AG3" s="48">
        <f t="shared" ref="AG3:AG24" si="6">IF(R3=0,0,U3/R3)</f>
        <v>1748</v>
      </c>
      <c r="AH3" s="49">
        <f t="shared" ref="AH3:AH24" si="7">H3</f>
        <v>142.97999999999999</v>
      </c>
      <c r="AI3" s="49">
        <f t="shared" ref="AI3:AI24" si="8">IF(R3=0,0,X3/R3)</f>
        <v>751.64</v>
      </c>
      <c r="AJ3" s="49">
        <f t="shared" ref="AJ3:AJ24" si="9">IF(P3=0,Z3/1,Z3/P3)</f>
        <v>222.452</v>
      </c>
      <c r="AK3" s="49">
        <f t="shared" ref="AK3:AK24" si="10">IF(P3=0,0,AA3/P3)</f>
        <v>579.93418640000004</v>
      </c>
      <c r="AL3" s="49">
        <f>_xlfn.IFS(R3=0,AE3,R3&lt;0,AE3/-R3,R3&gt;0,AE3/R3)</f>
        <v>43.007023761662886</v>
      </c>
      <c r="AM3" s="50">
        <f t="shared" ref="AM3:AM24" si="11">IF(AG3=0,0,AL3/AG3)</f>
        <v>2.4603560504383802E-2</v>
      </c>
      <c r="AN3" s="51">
        <f t="shared" ref="AN3:AN24" si="12">IF(AH3=0,0,AL3/AH3)</f>
        <v>0.30079048651323886</v>
      </c>
      <c r="AP3" s="53">
        <f t="shared" ref="AP3:AP24" si="13">AL3*C3</f>
        <v>24514.003544147847</v>
      </c>
    </row>
    <row r="4" spans="1:42">
      <c r="A4" s="30">
        <v>2638638550</v>
      </c>
      <c r="B4" s="31" t="s">
        <v>39</v>
      </c>
      <c r="C4" s="32"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v>0</v>
      </c>
      <c r="L4" s="36"/>
      <c r="M4" s="36"/>
      <c r="N4" s="37">
        <f t="shared" ref="N4:N24" si="14">K4/$O$1</f>
        <v>0</v>
      </c>
      <c r="O4" s="38">
        <f t="shared" ref="O4:O24" si="15">R4/$O$1</f>
        <v>0</v>
      </c>
      <c r="P4" s="39">
        <f>SUMIFS('Отчет 01.02'!H:H,'Отчет 01.02'!D:D,"Выручка",'Отчет 01.02'!E:E,B4)</f>
        <v>0</v>
      </c>
      <c r="Q4" s="39">
        <f>SUMIFS('Отчет 01.02'!H:H,'Отчет 01.02'!D:D,"Возврат выручки",'Отчет 01.02'!E:E,B4)</f>
        <v>0</v>
      </c>
      <c r="R4" s="40">
        <f t="shared" si="1"/>
        <v>0</v>
      </c>
      <c r="S4" s="41">
        <f>SUMIFS('Отчет 01.02'!P:P,'Отчет 01.02'!C:C,"Продажи",'Отчет 01.02'!E:E,B4)</f>
        <v>0</v>
      </c>
      <c r="T4" s="42">
        <f>SUMIFS('Отчет 01.02'!P:P,'Отчет 01.02'!C:C,"Возвраты",'Отчет 01.02'!E:E,B4)</f>
        <v>0</v>
      </c>
      <c r="U4" s="40">
        <f t="shared" si="2"/>
        <v>0</v>
      </c>
      <c r="V4" s="43">
        <f t="shared" ref="V4:V24" si="16">U4/$U$51</f>
        <v>0</v>
      </c>
      <c r="W4" s="44">
        <f t="shared" si="3"/>
        <v>0</v>
      </c>
      <c r="X4" s="42">
        <f>-SUMIFS('Отчет 01.02'!P:P,'Отчет 01.02'!C:C,"Вознаграждение Ozon",'Отчет 01.02'!E:E,B4)</f>
        <v>0</v>
      </c>
      <c r="Y4" s="45">
        <f t="shared" si="4"/>
        <v>0</v>
      </c>
      <c r="Z4" s="42">
        <f>-SUMIFS('Отчет 01.02'!P:P,'Отчет 01.02'!C:C,"Услуги доставки",'Отчет 01.02'!E:E,B4)</f>
        <v>0</v>
      </c>
      <c r="AA4" s="32">
        <v>0</v>
      </c>
      <c r="AB4" s="42"/>
      <c r="AC4" s="42"/>
      <c r="AD4" s="46">
        <f t="shared" ref="AD4:AD24" si="17">U4*1%/$AE$1</f>
        <v>0</v>
      </c>
      <c r="AE4" s="47">
        <f t="shared" si="5"/>
        <v>0</v>
      </c>
      <c r="AF4" s="46"/>
      <c r="AG4" s="48">
        <f t="shared" si="6"/>
        <v>0</v>
      </c>
      <c r="AH4" s="49">
        <f t="shared" si="7"/>
        <v>123.09</v>
      </c>
      <c r="AI4" s="49">
        <f t="shared" si="8"/>
        <v>0</v>
      </c>
      <c r="AJ4" s="49">
        <f t="shared" si="9"/>
        <v>0</v>
      </c>
      <c r="AK4" s="49">
        <f t="shared" si="10"/>
        <v>0</v>
      </c>
      <c r="AL4" s="49">
        <f t="array" ref="AL4">_xlfn.IFS(R4=0,AE4,R4&lt;0,AE4/-R4,R4&gt;0,AE4/R4)</f>
        <v>0</v>
      </c>
      <c r="AM4" s="50">
        <f t="shared" si="11"/>
        <v>0</v>
      </c>
      <c r="AN4" s="51">
        <f t="shared" si="12"/>
        <v>0</v>
      </c>
      <c r="AP4" s="53">
        <f t="shared" si="13"/>
        <v>0</v>
      </c>
    </row>
    <row r="5" spans="1:42">
      <c r="A5" s="30">
        <v>2638691131</v>
      </c>
      <c r="B5" s="31" t="s">
        <v>40</v>
      </c>
      <c r="C5" s="32"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v>0</v>
      </c>
      <c r="L5" s="36"/>
      <c r="M5" s="36"/>
      <c r="N5" s="37">
        <f t="shared" si="14"/>
        <v>0</v>
      </c>
      <c r="O5" s="38">
        <f t="shared" si="15"/>
        <v>0</v>
      </c>
      <c r="P5" s="39">
        <f>SUMIFS('Отчет 01.02'!H:H,'Отчет 01.02'!D:D,"Выручка",'Отчет 01.02'!E:E,B5)</f>
        <v>1</v>
      </c>
      <c r="Q5" s="39">
        <f>SUMIFS('Отчет 01.02'!H:H,'Отчет 01.02'!D:D,"Возврат выручки",'Отчет 01.02'!E:E,B5)</f>
        <v>1</v>
      </c>
      <c r="R5" s="40">
        <f t="shared" si="1"/>
        <v>0</v>
      </c>
      <c r="S5" s="41">
        <f>SUMIFS('Отчет 01.02'!P:P,'Отчет 01.02'!C:C,"Продажи",'Отчет 01.02'!E:E,B5)</f>
        <v>1655</v>
      </c>
      <c r="T5" s="42">
        <f>SUMIFS('Отчет 01.02'!P:P,'Отчет 01.02'!C:C,"Возвраты",'Отчет 01.02'!E:E,B5)</f>
        <v>-1655</v>
      </c>
      <c r="U5" s="40">
        <f t="shared" si="2"/>
        <v>0</v>
      </c>
      <c r="V5" s="43">
        <f t="shared" si="16"/>
        <v>0</v>
      </c>
      <c r="W5" s="44">
        <f t="shared" si="3"/>
        <v>0</v>
      </c>
      <c r="X5" s="42">
        <f>-SUMIFS('Отчет 01.02'!P:P,'Отчет 01.02'!C:C,"Вознаграждение Ozon",'Отчет 01.02'!E:E,B5)</f>
        <v>0</v>
      </c>
      <c r="Y5" s="45">
        <f t="shared" si="4"/>
        <v>0</v>
      </c>
      <c r="Z5" s="42">
        <f>-SUMIFS('Отчет 01.02'!P:P,'Отчет 01.02'!C:C,"Услуги доставки",'Отчет 01.02'!E:E,B5)</f>
        <v>141.32</v>
      </c>
      <c r="AA5" s="32">
        <v>0</v>
      </c>
      <c r="AB5" s="55"/>
      <c r="AC5" s="42"/>
      <c r="AD5" s="46">
        <f t="shared" si="17"/>
        <v>0</v>
      </c>
      <c r="AE5" s="47">
        <f t="shared" si="5"/>
        <v>-141.32</v>
      </c>
      <c r="AF5" s="46"/>
      <c r="AG5" s="48">
        <f t="shared" si="6"/>
        <v>0</v>
      </c>
      <c r="AH5" s="49">
        <f t="shared" si="7"/>
        <v>123.09</v>
      </c>
      <c r="AI5" s="49">
        <f t="shared" si="8"/>
        <v>0</v>
      </c>
      <c r="AJ5" s="49">
        <f t="shared" si="9"/>
        <v>141.32</v>
      </c>
      <c r="AK5" s="49">
        <f t="shared" si="10"/>
        <v>0</v>
      </c>
      <c r="AL5" s="49">
        <f t="array" ref="AL5">_xlfn.IFS(R5=0,AE5,R5&lt;0,AE5/-R5,R5&gt;0,AE5/R5)</f>
        <v>-141.32</v>
      </c>
      <c r="AM5" s="50">
        <f t="shared" si="11"/>
        <v>0</v>
      </c>
      <c r="AN5" s="51">
        <f t="shared" si="12"/>
        <v>-1.1481030140547566</v>
      </c>
      <c r="AP5" s="53">
        <f t="shared" si="13"/>
        <v>-70660</v>
      </c>
    </row>
    <row r="6" spans="1:42">
      <c r="A6" s="30">
        <v>2638382749</v>
      </c>
      <c r="B6" s="31" t="s">
        <v>41</v>
      </c>
      <c r="C6" s="32"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v>0</v>
      </c>
      <c r="L6" s="36"/>
      <c r="M6" s="36"/>
      <c r="N6" s="37">
        <f t="shared" si="14"/>
        <v>0</v>
      </c>
      <c r="O6" s="38">
        <f t="shared" si="15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16"/>
        <v>0</v>
      </c>
      <c r="W6" s="44">
        <f t="shared" si="3"/>
        <v>0</v>
      </c>
      <c r="X6" s="42">
        <f>-SUMIFS('Отчет 01.02'!P:P,'Отчет 01.02'!C:C,"Вознаграждение Ozon",'Отчет 01.02'!E:E,B6)</f>
        <v>0</v>
      </c>
      <c r="Y6" s="45">
        <f t="shared" si="4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17"/>
        <v>0</v>
      </c>
      <c r="AE6" s="47">
        <f t="shared" si="5"/>
        <v>0</v>
      </c>
      <c r="AF6" s="46"/>
      <c r="AG6" s="48">
        <f t="shared" si="6"/>
        <v>0</v>
      </c>
      <c r="AH6" s="49">
        <f t="shared" si="7"/>
        <v>123.09</v>
      </c>
      <c r="AI6" s="49">
        <f t="shared" si="8"/>
        <v>0</v>
      </c>
      <c r="AJ6" s="49">
        <f t="shared" si="9"/>
        <v>0</v>
      </c>
      <c r="AK6" s="49">
        <f t="shared" si="10"/>
        <v>0</v>
      </c>
      <c r="AL6" s="49">
        <f t="array" ref="AL6">_xlfn.IFS(R6=0,AE6,R6&lt;0,AE6/-R6,R6&gt;0,AE6/R6)</f>
        <v>0</v>
      </c>
      <c r="AM6" s="50">
        <f t="shared" si="11"/>
        <v>0</v>
      </c>
      <c r="AN6" s="51">
        <f t="shared" si="12"/>
        <v>0</v>
      </c>
      <c r="AP6" s="53">
        <f t="shared" si="13"/>
        <v>0</v>
      </c>
    </row>
    <row r="7" spans="1:42">
      <c r="A7" s="30">
        <v>2638569317</v>
      </c>
      <c r="B7" s="31" t="s">
        <v>42</v>
      </c>
      <c r="C7" s="32"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v>1</v>
      </c>
      <c r="L7" s="36"/>
      <c r="M7" s="36"/>
      <c r="N7" s="37">
        <f t="shared" si="14"/>
        <v>1</v>
      </c>
      <c r="O7" s="38">
        <f t="shared" si="15"/>
        <v>0</v>
      </c>
      <c r="P7" s="39">
        <f>SUMIFS('Отчет 01.02'!H:H,'Отчет 01.02'!D:D,"Выручка",'Отчет 01.02'!E:E,B7)</f>
        <v>0</v>
      </c>
      <c r="Q7" s="39">
        <f>SUMIFS('Отчет 01.02'!H:H,'Отчет 01.02'!D:D,"Возврат выручки",'Отчет 01.02'!E:E,B7)</f>
        <v>0</v>
      </c>
      <c r="R7" s="40">
        <f t="shared" si="1"/>
        <v>0</v>
      </c>
      <c r="S7" s="41">
        <f>SUMIFS('Отчет 01.02'!P:P,'Отчет 01.02'!C:C,"Продажи",'Отчет 01.02'!E:E,B7)</f>
        <v>0</v>
      </c>
      <c r="T7" s="42">
        <f>SUMIFS('Отчет 01.02'!P:P,'Отчет 01.02'!C:C,"Возвраты",'Отчет 01.02'!E:E,B7)</f>
        <v>0</v>
      </c>
      <c r="U7" s="40">
        <f t="shared" si="2"/>
        <v>0</v>
      </c>
      <c r="V7" s="43">
        <f t="shared" si="16"/>
        <v>0</v>
      </c>
      <c r="W7" s="44">
        <f t="shared" si="3"/>
        <v>0</v>
      </c>
      <c r="X7" s="42">
        <f>-SUMIFS('Отчет 01.02'!P:P,'Отчет 01.02'!C:C,"Вознаграждение Ozon",'Отчет 01.02'!E:E,B7)</f>
        <v>0</v>
      </c>
      <c r="Y7" s="45">
        <f t="shared" si="4"/>
        <v>0</v>
      </c>
      <c r="Z7" s="42">
        <f>-SUMIFS('Отчет 01.02'!P:P,'Отчет 01.02'!C:C,"Услуги доставки",'Отчет 01.02'!E:E,B7)</f>
        <v>0</v>
      </c>
      <c r="AA7" s="32">
        <v>0</v>
      </c>
      <c r="AB7" s="55"/>
      <c r="AC7" s="42"/>
      <c r="AD7" s="46">
        <f t="shared" si="17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v>1</v>
      </c>
      <c r="L8" s="36"/>
      <c r="M8" s="36"/>
      <c r="N8" s="37">
        <f t="shared" si="14"/>
        <v>1</v>
      </c>
      <c r="O8" s="38">
        <f t="shared" si="15"/>
        <v>0</v>
      </c>
      <c r="P8" s="39">
        <f>SUMIFS('Отчет 01.02'!H:H,'Отчет 01.02'!D:D,"Выручка",'Отчет 01.02'!E:E,B8)</f>
        <v>0</v>
      </c>
      <c r="Q8" s="39">
        <f>SUMIFS('Отчет 01.02'!H:H,'Отчет 01.02'!D:D,"Возврат выручки",'Отчет 01.02'!E:E,B8)</f>
        <v>0</v>
      </c>
      <c r="R8" s="40">
        <f t="shared" si="1"/>
        <v>0</v>
      </c>
      <c r="S8" s="41">
        <f>SUMIFS('Отчет 01.02'!P:P,'Отчет 01.02'!C:C,"Продажи",'Отчет 01.02'!E:E,B8)</f>
        <v>0</v>
      </c>
      <c r="T8" s="42">
        <f>SUMIFS('Отчет 01.02'!P:P,'Отчет 01.02'!C:C,"Возвраты",'Отчет 01.02'!E:E,B8)</f>
        <v>0</v>
      </c>
      <c r="U8" s="40">
        <f t="shared" si="2"/>
        <v>0</v>
      </c>
      <c r="V8" s="43">
        <f t="shared" si="16"/>
        <v>0</v>
      </c>
      <c r="W8" s="44">
        <f t="shared" si="3"/>
        <v>0</v>
      </c>
      <c r="X8" s="42">
        <f>-SUMIFS('Отчет 01.02'!P:P,'Отчет 01.02'!C:C,"Вознаграждение Ozon",'Отчет 01.02'!E:E,B8)</f>
        <v>0</v>
      </c>
      <c r="Y8" s="45">
        <f t="shared" si="4"/>
        <v>0</v>
      </c>
      <c r="Z8" s="42">
        <f>-SUMIFS('Отчет 01.02'!P:P,'Отчет 01.02'!C:C,"Услуги доставки",'Отчет 01.02'!E:E,B8)</f>
        <v>0</v>
      </c>
      <c r="AA8" s="32">
        <v>0</v>
      </c>
      <c r="AB8" s="55"/>
      <c r="AC8" s="42"/>
      <c r="AD8" s="46">
        <f t="shared" si="17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v>3</v>
      </c>
      <c r="L9" s="36"/>
      <c r="M9" s="36"/>
      <c r="N9" s="37">
        <f t="shared" si="14"/>
        <v>3</v>
      </c>
      <c r="O9" s="38">
        <f t="shared" si="15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si="1"/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si="2"/>
        <v>0</v>
      </c>
      <c r="V9" s="43">
        <f t="shared" si="16"/>
        <v>0</v>
      </c>
      <c r="W9" s="44">
        <f t="shared" si="3"/>
        <v>0</v>
      </c>
      <c r="X9" s="42">
        <f>-SUMIFS('Отчет 01.02'!P:P,'Отчет 01.02'!C:C,"Вознаграждение Ozon",'Отчет 01.02'!E:E,B9)</f>
        <v>0</v>
      </c>
      <c r="Y9" s="45">
        <f t="shared" si="4"/>
        <v>0</v>
      </c>
      <c r="Z9" s="42">
        <f>-SUMIFS('Отчет 01.02'!P:P,'Отчет 01.02'!C:C,"Услуги доставки",'Отчет 01.02'!E:E,B9)</f>
        <v>0</v>
      </c>
      <c r="AA9" s="32">
        <v>439.32217800000001</v>
      </c>
      <c r="AB9" s="55"/>
      <c r="AC9" s="42"/>
      <c r="AD9" s="46">
        <f t="shared" si="17"/>
        <v>0</v>
      </c>
      <c r="AE9" s="47">
        <f t="shared" si="5"/>
        <v>-439.32217800000001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-439.32217800000001</v>
      </c>
      <c r="AM9" s="50">
        <f t="shared" si="11"/>
        <v>0</v>
      </c>
      <c r="AN9" s="51">
        <f t="shared" si="12"/>
        <v>-3.5717250243902439</v>
      </c>
      <c r="AP9" s="53">
        <f t="shared" si="13"/>
        <v>-294345.85926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0</v>
      </c>
      <c r="L10" s="36"/>
      <c r="M10" s="36"/>
      <c r="N10" s="37">
        <f t="shared" si="14"/>
        <v>0</v>
      </c>
      <c r="O10" s="38">
        <f t="shared" si="15"/>
        <v>0</v>
      </c>
      <c r="P10" s="39">
        <f>SUMIFS('Отчет 01.02'!H:H,'Отчет 01.02'!D:D,"Выручка",'Отчет 01.02'!E:E,B10)</f>
        <v>0</v>
      </c>
      <c r="Q10" s="39">
        <f>SUMIFS('Отчет 01.02'!H:H,'Отчет 01.02'!D:D,"Возврат выручки",'Отчет 01.02'!E:E,B10)</f>
        <v>0</v>
      </c>
      <c r="R10" s="40">
        <f t="shared" si="1"/>
        <v>0</v>
      </c>
      <c r="S10" s="41">
        <f>SUMIFS('Отчет 01.02'!P:P,'Отчет 01.02'!C:C,"Продажи",'Отчет 01.02'!E:E,B10)</f>
        <v>0</v>
      </c>
      <c r="T10" s="42">
        <f>SUMIFS('Отчет 01.02'!P:P,'Отчет 01.02'!C:C,"Возвраты",'Отчет 01.02'!E:E,B10)</f>
        <v>0</v>
      </c>
      <c r="U10" s="40">
        <f t="shared" si="2"/>
        <v>0</v>
      </c>
      <c r="V10" s="43">
        <f t="shared" si="16"/>
        <v>0</v>
      </c>
      <c r="W10" s="44">
        <f t="shared" si="3"/>
        <v>0</v>
      </c>
      <c r="X10" s="42">
        <f>-SUMIFS('Отчет 01.02'!P:P,'Отчет 01.02'!C:C,"Вознаграждение Ozon",'Отчет 01.02'!E:E,B10)</f>
        <v>0</v>
      </c>
      <c r="Y10" s="45">
        <f t="shared" si="4"/>
        <v>0</v>
      </c>
      <c r="Z10" s="42">
        <f>-SUMIFS('Отчет 01.02'!P:P,'Отчет 01.02'!C:C,"Услуги доставки",'Отчет 01.02'!E:E,B10)</f>
        <v>0</v>
      </c>
      <c r="AA10" s="32">
        <v>0</v>
      </c>
      <c r="AB10" s="55"/>
      <c r="AC10" s="42"/>
      <c r="AD10" s="46">
        <f t="shared" si="17"/>
        <v>0</v>
      </c>
      <c r="AE10" s="47">
        <f t="shared" si="5"/>
        <v>0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0</v>
      </c>
      <c r="AK10" s="49">
        <f t="shared" si="10"/>
        <v>0</v>
      </c>
      <c r="AL10" s="49">
        <f t="array" ref="AL10">_xlfn.IFS(R10=0,AE10,R10&lt;0,AE10/-R10,R10&gt;0,AE10/R10)</f>
        <v>0</v>
      </c>
      <c r="AM10" s="50">
        <f t="shared" si="11"/>
        <v>0</v>
      </c>
      <c r="AN10" s="51">
        <f t="shared" si="12"/>
        <v>0</v>
      </c>
      <c r="AP10" s="53">
        <f t="shared" si="13"/>
        <v>0</v>
      </c>
    </row>
    <row r="11" spans="1:42">
      <c r="A11" s="30">
        <v>2730130733</v>
      </c>
      <c r="B11" s="31" t="s">
        <v>46</v>
      </c>
      <c r="C11" s="32"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v>0</v>
      </c>
      <c r="L11" s="36"/>
      <c r="M11" s="36"/>
      <c r="N11" s="37">
        <f t="shared" si="14"/>
        <v>0</v>
      </c>
      <c r="O11" s="38">
        <f t="shared" si="15"/>
        <v>0</v>
      </c>
      <c r="P11" s="39">
        <f>SUMIFS('Отчет 01.02'!H:H,'Отчет 01.02'!D:D,"Выручка",'Отчет 01.02'!E:E,B11)</f>
        <v>0</v>
      </c>
      <c r="Q11" s="39">
        <f>SUMIFS('Отчет 01.02'!H:H,'Отчет 01.02'!D:D,"Возврат выручки",'Отчет 01.02'!E:E,B11)</f>
        <v>0</v>
      </c>
      <c r="R11" s="40">
        <f t="shared" si="1"/>
        <v>0</v>
      </c>
      <c r="S11" s="41">
        <f>SUMIFS('Отчет 01.02'!P:P,'Отчет 01.02'!C:C,"Продажи",'Отчет 01.02'!E:E,B11)</f>
        <v>0</v>
      </c>
      <c r="T11" s="42">
        <f>SUMIFS('Отчет 01.02'!P:P,'Отчет 01.02'!C:C,"Возвраты",'Отчет 01.02'!E:E,B11)</f>
        <v>0</v>
      </c>
      <c r="U11" s="40">
        <f t="shared" si="2"/>
        <v>0</v>
      </c>
      <c r="V11" s="43">
        <f t="shared" si="16"/>
        <v>0</v>
      </c>
      <c r="W11" s="44">
        <f t="shared" si="3"/>
        <v>0</v>
      </c>
      <c r="X11" s="42">
        <f>-SUMIFS('Отчет 01.02'!P:P,'Отчет 01.02'!C:C,"Вознаграждение Ozon",'Отчет 01.02'!E:E,B11)</f>
        <v>0</v>
      </c>
      <c r="Y11" s="45">
        <f t="shared" si="4"/>
        <v>0</v>
      </c>
      <c r="Z11" s="42">
        <f>-SUMIFS('Отчет 01.02'!P:P,'Отчет 01.02'!C:C,"Услуги доставки",'Отчет 01.02'!E:E,B11)</f>
        <v>0</v>
      </c>
      <c r="AA11" s="32">
        <v>0</v>
      </c>
      <c r="AB11" s="55"/>
      <c r="AC11" s="42"/>
      <c r="AD11" s="46">
        <f t="shared" si="17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v>0</v>
      </c>
      <c r="L12" s="36"/>
      <c r="M12" s="36"/>
      <c r="N12" s="37">
        <f t="shared" si="14"/>
        <v>0</v>
      </c>
      <c r="O12" s="38">
        <f t="shared" si="15"/>
        <v>0</v>
      </c>
      <c r="P12" s="39">
        <f>SUMIFS('Отчет 01.02'!H:H,'Отчет 01.02'!D:D,"Выручка",'Отчет 01.02'!E:E,B12)</f>
        <v>0</v>
      </c>
      <c r="Q12" s="39">
        <f>SUMIFS('Отчет 01.02'!H:H,'Отчет 01.02'!D:D,"Возврат выручки",'Отчет 01.02'!E:E,B12)</f>
        <v>0</v>
      </c>
      <c r="R12" s="40">
        <f t="shared" si="1"/>
        <v>0</v>
      </c>
      <c r="S12" s="41">
        <f>SUMIFS('Отчет 01.02'!P:P,'Отчет 01.02'!C:C,"Продажи",'Отчет 01.02'!E:E,B12)</f>
        <v>0</v>
      </c>
      <c r="T12" s="42">
        <f>SUMIFS('Отчет 01.02'!P:P,'Отчет 01.02'!C:C,"Возвраты",'Отчет 01.02'!E:E,B12)</f>
        <v>0</v>
      </c>
      <c r="U12" s="40">
        <f t="shared" si="2"/>
        <v>0</v>
      </c>
      <c r="V12" s="43">
        <f t="shared" si="16"/>
        <v>0</v>
      </c>
      <c r="W12" s="44">
        <f t="shared" si="3"/>
        <v>0</v>
      </c>
      <c r="X12" s="42">
        <f>-SUMIFS('Отчет 01.02'!P:P,'Отчет 01.02'!C:C,"Вознаграждение Ozon",'Отчет 01.02'!E:E,B12)</f>
        <v>0</v>
      </c>
      <c r="Y12" s="45">
        <f t="shared" si="4"/>
        <v>0</v>
      </c>
      <c r="Z12" s="42">
        <f>-SUMIFS('Отчет 01.02'!P:P,'Отчет 01.02'!C:C,"Услуги доставки",'Отчет 01.02'!E:E,B12)</f>
        <v>0</v>
      </c>
      <c r="AA12" s="32">
        <v>0</v>
      </c>
      <c r="AB12" s="55"/>
      <c r="AC12" s="42"/>
      <c r="AD12" s="46">
        <f t="shared" si="17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v>3</v>
      </c>
      <c r="L13" s="36"/>
      <c r="M13" s="36"/>
      <c r="N13" s="37">
        <f t="shared" si="14"/>
        <v>3</v>
      </c>
      <c r="O13" s="38">
        <f t="shared" si="15"/>
        <v>2</v>
      </c>
      <c r="P13" s="39">
        <f>SUMIFS('Отчет 01.02'!H:H,'Отчет 01.02'!D:D,"Выручка",'Отчет 01.02'!E:E,B13)</f>
        <v>2</v>
      </c>
      <c r="Q13" s="39">
        <f>SUMIFS('Отчет 01.02'!H:H,'Отчет 01.02'!D:D,"Возврат выручки",'Отчет 01.02'!E:E,B13)</f>
        <v>0</v>
      </c>
      <c r="R13" s="40">
        <f t="shared" si="1"/>
        <v>2</v>
      </c>
      <c r="S13" s="41">
        <f>SUMIFS('Отчет 01.02'!P:P,'Отчет 01.02'!C:C,"Продажи",'Отчет 01.02'!E:E,B13)</f>
        <v>2774</v>
      </c>
      <c r="T13" s="42">
        <f>SUMIFS('Отчет 01.02'!P:P,'Отчет 01.02'!C:C,"Возвраты",'Отчет 01.02'!E:E,B13)</f>
        <v>0</v>
      </c>
      <c r="U13" s="40">
        <f t="shared" si="2"/>
        <v>2774</v>
      </c>
      <c r="V13" s="43">
        <f t="shared" si="16"/>
        <v>0.16859122401847576</v>
      </c>
      <c r="W13" s="44">
        <f t="shared" si="3"/>
        <v>339.78</v>
      </c>
      <c r="X13" s="42">
        <f>-SUMIFS('Отчет 01.02'!P:P,'Отчет 01.02'!C:C,"Вознаграждение Ozon",'Отчет 01.02'!E:E,B13)</f>
        <v>1192.82</v>
      </c>
      <c r="Y13" s="45">
        <f t="shared" si="4"/>
        <v>0.43</v>
      </c>
      <c r="Z13" s="42">
        <f>-SUMIFS('Отчет 01.02'!P:P,'Отчет 01.02'!C:C,"Услуги доставки",'Отчет 01.02'!E:E,B13)</f>
        <v>267.72000000000003</v>
      </c>
      <c r="AA13" s="32">
        <v>0</v>
      </c>
      <c r="AB13" s="55"/>
      <c r="AC13" s="42"/>
      <c r="AD13" s="46">
        <f t="shared" si="17"/>
        <v>12.674688221709008</v>
      </c>
      <c r="AE13" s="47">
        <f t="shared" si="5"/>
        <v>961.00531177829123</v>
      </c>
      <c r="AF13" s="46"/>
      <c r="AG13" s="48">
        <f t="shared" si="6"/>
        <v>1387</v>
      </c>
      <c r="AH13" s="49">
        <f t="shared" si="7"/>
        <v>169.89</v>
      </c>
      <c r="AI13" s="49">
        <f t="shared" si="8"/>
        <v>596.41</v>
      </c>
      <c r="AJ13" s="49">
        <f t="shared" si="9"/>
        <v>133.86000000000001</v>
      </c>
      <c r="AK13" s="49">
        <f t="shared" si="10"/>
        <v>0</v>
      </c>
      <c r="AL13" s="49">
        <f t="array" ref="AL13">_xlfn.IFS(R13=0,AE13,R13&lt;0,AE13/-R13,R13&gt;0,AE13/R13)</f>
        <v>480.50265588914561</v>
      </c>
      <c r="AM13" s="50">
        <f t="shared" si="11"/>
        <v>0.34643306120342149</v>
      </c>
      <c r="AN13" s="51">
        <f t="shared" si="12"/>
        <v>2.8283162981290579</v>
      </c>
      <c r="AP13" s="53">
        <f t="shared" si="13"/>
        <v>8168.5451501154757</v>
      </c>
    </row>
    <row r="14" spans="1:42" ht="13.75" customHeight="1">
      <c r="A14" s="30">
        <v>2730129638</v>
      </c>
      <c r="B14" s="31" t="s">
        <v>49</v>
      </c>
      <c r="C14" s="32"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v>0</v>
      </c>
      <c r="L14" s="36"/>
      <c r="M14" s="36"/>
      <c r="N14" s="37">
        <f t="shared" si="14"/>
        <v>0</v>
      </c>
      <c r="O14" s="38">
        <f t="shared" si="15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"/>
        <v>0</v>
      </c>
      <c r="V14" s="43">
        <f t="shared" si="16"/>
        <v>0</v>
      </c>
      <c r="W14" s="44">
        <f t="shared" si="3"/>
        <v>0</v>
      </c>
      <c r="X14" s="42">
        <f>-SUMIFS('Отчет 01.02'!P:P,'Отчет 01.02'!C:C,"Вознаграждение Ozon",'Отчет 01.02'!E:E,B14)</f>
        <v>0</v>
      </c>
      <c r="Y14" s="45">
        <f t="shared" si="4"/>
        <v>0</v>
      </c>
      <c r="Z14" s="42">
        <f>-SUMIFS('Отчет 01.02'!P:P,'Отчет 01.02'!C:C,"Услуги доставки",'Отчет 01.02'!E:E,B14)</f>
        <v>0</v>
      </c>
      <c r="AA14" s="32">
        <v>0</v>
      </c>
      <c r="AB14" s="55"/>
      <c r="AC14" s="42"/>
      <c r="AD14" s="46">
        <f t="shared" si="17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4"/>
        <v>0</v>
      </c>
      <c r="O15" s="38">
        <f t="shared" si="15"/>
        <v>0</v>
      </c>
      <c r="P15" s="39">
        <f>SUMIFS('Отчет 01.02'!H:H,'Отчет 01.02'!D:D,"Выручка",'Отчет 01.02'!E:E,B15)</f>
        <v>0</v>
      </c>
      <c r="Q15" s="39">
        <f>SUMIFS('Отчет 01.02'!H:H,'Отчет 01.02'!D:D,"Возврат выручки",'Отчет 01.02'!E:E,B15)</f>
        <v>0</v>
      </c>
      <c r="R15" s="40">
        <f t="shared" si="1"/>
        <v>0</v>
      </c>
      <c r="S15" s="41">
        <f>SUMIFS('Отчет 01.02'!P:P,'Отчет 01.02'!C:C,"Продажи",'Отчет 01.02'!E:E,B15)</f>
        <v>0</v>
      </c>
      <c r="T15" s="42">
        <f>SUMIFS('Отчет 01.02'!P:P,'Отчет 01.02'!C:C,"Возвраты",'Отчет 01.02'!E:E,B15)</f>
        <v>0</v>
      </c>
      <c r="U15" s="40">
        <f t="shared" si="2"/>
        <v>0</v>
      </c>
      <c r="V15" s="43">
        <f t="shared" si="16"/>
        <v>0</v>
      </c>
      <c r="W15" s="44">
        <f t="shared" si="3"/>
        <v>0</v>
      </c>
      <c r="X15" s="42">
        <f>-SUMIFS('Отчет 01.02'!P:P,'Отчет 01.02'!C:C,"Вознаграждение Ozon",'Отчет 01.02'!E:E,B15)</f>
        <v>0</v>
      </c>
      <c r="Y15" s="45">
        <f t="shared" si="4"/>
        <v>0</v>
      </c>
      <c r="Z15" s="42">
        <f>-SUMIFS('Отчет 01.02'!P:P,'Отчет 01.02'!C:C,"Услуги доставки",'Отчет 01.02'!E:E,B15)</f>
        <v>0</v>
      </c>
      <c r="AA15" s="32">
        <v>0</v>
      </c>
      <c r="AB15" s="55"/>
      <c r="AC15" s="42"/>
      <c r="AD15" s="46">
        <f t="shared" si="17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v>0</v>
      </c>
      <c r="L16" s="36"/>
      <c r="M16" s="36"/>
      <c r="N16" s="37">
        <f t="shared" si="14"/>
        <v>0</v>
      </c>
      <c r="O16" s="38">
        <f t="shared" si="15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"/>
        <v>0</v>
      </c>
      <c r="V16" s="43">
        <f t="shared" si="16"/>
        <v>0</v>
      </c>
      <c r="W16" s="44">
        <f t="shared" si="3"/>
        <v>0</v>
      </c>
      <c r="X16" s="42">
        <f>-SUMIFS('Отчет 01.02'!P:P,'Отчет 01.02'!C:C,"Вознаграждение Ozon",'Отчет 01.02'!E:E,B16)</f>
        <v>0</v>
      </c>
      <c r="Y16" s="45">
        <f t="shared" si="4"/>
        <v>0</v>
      </c>
      <c r="Z16" s="42">
        <f>-SUMIFS('Отчет 01.02'!P:P,'Отчет 01.02'!C:C,"Услуги доставки",'Отчет 01.02'!E:E,B16)</f>
        <v>93.54</v>
      </c>
      <c r="AA16" s="32">
        <v>0</v>
      </c>
      <c r="AB16" s="55"/>
      <c r="AC16" s="42"/>
      <c r="AD16" s="46">
        <f t="shared" si="17"/>
        <v>0</v>
      </c>
      <c r="AE16" s="47">
        <f t="shared" si="5"/>
        <v>-93.54</v>
      </c>
      <c r="AF16" s="46"/>
      <c r="AG16" s="48">
        <f t="shared" si="6"/>
        <v>0</v>
      </c>
      <c r="AH16" s="49">
        <f t="shared" si="7"/>
        <v>169.89</v>
      </c>
      <c r="AI16" s="49">
        <f t="shared" si="8"/>
        <v>0</v>
      </c>
      <c r="AJ16" s="49">
        <f t="shared" si="9"/>
        <v>93.54</v>
      </c>
      <c r="AK16" s="49">
        <f t="shared" si="10"/>
        <v>0</v>
      </c>
      <c r="AL16" s="49">
        <f t="array" ref="AL16">_xlfn.IFS(R16=0,AE16,R16&lt;0,AE16/-R16,R16&gt;0,AE16/R16)</f>
        <v>-93.54</v>
      </c>
      <c r="AM16" s="50">
        <f t="shared" si="11"/>
        <v>0</v>
      </c>
      <c r="AN16" s="51">
        <f t="shared" si="12"/>
        <v>-0.55059155924421688</v>
      </c>
      <c r="AP16" s="53">
        <f t="shared" si="13"/>
        <v>-1777.2600000000002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4"/>
        <v>0</v>
      </c>
      <c r="O17" s="38">
        <f t="shared" si="15"/>
        <v>0</v>
      </c>
      <c r="P17" s="39">
        <f>SUMIFS('Отчет 01.02'!H:H,'Отчет 01.02'!D:D,"Выручка",'Отчет 01.02'!E:E,B17)</f>
        <v>0</v>
      </c>
      <c r="Q17" s="39">
        <f>SUMIFS('Отчет 01.02'!H:H,'Отчет 01.02'!D:D,"Возврат выручки",'Отчет 01.02'!E:E,B17)</f>
        <v>0</v>
      </c>
      <c r="R17" s="40">
        <f t="shared" si="1"/>
        <v>0</v>
      </c>
      <c r="S17" s="41">
        <f>SUMIFS('Отчет 01.02'!P:P,'Отчет 01.02'!C:C,"Продажи",'Отчет 01.02'!E:E,B17)</f>
        <v>0</v>
      </c>
      <c r="T17" s="42">
        <f>SUMIFS('Отчет 01.02'!P:P,'Отчет 01.02'!C:C,"Возвраты",'Отчет 01.02'!E:E,B17)</f>
        <v>0</v>
      </c>
      <c r="U17" s="40">
        <f t="shared" si="2"/>
        <v>0</v>
      </c>
      <c r="V17" s="43">
        <f t="shared" si="16"/>
        <v>0</v>
      </c>
      <c r="W17" s="44">
        <f t="shared" si="3"/>
        <v>0</v>
      </c>
      <c r="X17" s="42">
        <f>-SUMIFS('Отчет 01.02'!P:P,'Отчет 01.02'!C:C,"Вознаграждение Ozon",'Отчет 01.02'!E:E,B17)</f>
        <v>0</v>
      </c>
      <c r="Y17" s="45">
        <f t="shared" si="4"/>
        <v>0</v>
      </c>
      <c r="Z17" s="42">
        <f>-SUMIFS('Отчет 01.02'!P:P,'Отчет 01.02'!C:C,"Услуги доставки",'Отчет 01.02'!E:E,B17)</f>
        <v>0</v>
      </c>
      <c r="AA17" s="32">
        <v>0</v>
      </c>
      <c r="AB17" s="55"/>
      <c r="AC17" s="42"/>
      <c r="AD17" s="46">
        <f t="shared" si="17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4"/>
        <v>0</v>
      </c>
      <c r="O18" s="38">
        <f t="shared" si="15"/>
        <v>0</v>
      </c>
      <c r="P18" s="39">
        <f>SUMIFS('Отчет 01.02'!H:H,'Отчет 01.02'!D:D,"Выручка",'Отчет 01.02'!E:E,B18)</f>
        <v>0</v>
      </c>
      <c r="Q18" s="39">
        <f>SUMIFS('Отчет 01.02'!H:H,'Отчет 01.02'!D:D,"Возврат выручки",'Отчет 01.02'!E:E,B18)</f>
        <v>0</v>
      </c>
      <c r="R18" s="40">
        <f t="shared" si="1"/>
        <v>0</v>
      </c>
      <c r="S18" s="41">
        <f>SUMIFS('Отчет 01.02'!P:P,'Отчет 01.02'!C:C,"Продажи",'Отчет 01.02'!E:E,B18)</f>
        <v>0</v>
      </c>
      <c r="T18" s="42">
        <f>SUMIFS('Отчет 01.02'!P:P,'Отчет 01.02'!C:C,"Возвраты",'Отчет 01.02'!E:E,B18)</f>
        <v>0</v>
      </c>
      <c r="U18" s="40">
        <f t="shared" si="2"/>
        <v>0</v>
      </c>
      <c r="V18" s="43">
        <f t="shared" si="16"/>
        <v>0</v>
      </c>
      <c r="W18" s="44">
        <f t="shared" si="3"/>
        <v>0</v>
      </c>
      <c r="X18" s="42">
        <f>-SUMIFS('Отчет 01.02'!P:P,'Отчет 01.02'!C:C,"Вознаграждение Ozon",'Отчет 01.02'!E:E,B18)</f>
        <v>0</v>
      </c>
      <c r="Y18" s="45">
        <f t="shared" si="4"/>
        <v>0</v>
      </c>
      <c r="Z18" s="42">
        <f>-SUMIFS('Отчет 01.02'!P:P,'Отчет 01.02'!C:C,"Услуги доставки",'Отчет 01.02'!E:E,B18)</f>
        <v>0</v>
      </c>
      <c r="AA18" s="32">
        <v>0</v>
      </c>
      <c r="AB18" s="55"/>
      <c r="AC18" s="42"/>
      <c r="AD18" s="46">
        <f t="shared" si="17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4"/>
        <v>0</v>
      </c>
      <c r="O19" s="38">
        <f t="shared" si="15"/>
        <v>0</v>
      </c>
      <c r="P19" s="39">
        <f>SUMIFS('Отчет 01.02'!H:H,'Отчет 01.02'!D:D,"Выручка",'Отчет 01.02'!E:E,B19)</f>
        <v>0</v>
      </c>
      <c r="Q19" s="39">
        <f>SUMIFS('Отчет 01.02'!H:H,'Отчет 01.02'!D:D,"Возврат выручки",'Отчет 01.02'!E:E,B19)</f>
        <v>0</v>
      </c>
      <c r="R19" s="40">
        <f t="shared" si="1"/>
        <v>0</v>
      </c>
      <c r="S19" s="41">
        <f>SUMIFS('Отчет 01.02'!P:P,'Отчет 01.02'!C:C,"Продажи",'Отчет 01.02'!E:E,B19)</f>
        <v>0</v>
      </c>
      <c r="T19" s="42">
        <f>SUMIFS('Отчет 01.02'!P:P,'Отчет 01.02'!C:C,"Возвраты",'Отчет 01.02'!E:E,B19)</f>
        <v>0</v>
      </c>
      <c r="U19" s="40">
        <f t="shared" si="2"/>
        <v>0</v>
      </c>
      <c r="V19" s="43">
        <f t="shared" si="16"/>
        <v>0</v>
      </c>
      <c r="W19" s="44">
        <f t="shared" si="3"/>
        <v>0</v>
      </c>
      <c r="X19" s="42">
        <f>-SUMIFS('Отчет 01.02'!P:P,'Отчет 01.02'!C:C,"Вознаграждение Ozon",'Отчет 01.02'!E:E,B19)</f>
        <v>0</v>
      </c>
      <c r="Y19" s="45">
        <f t="shared" si="4"/>
        <v>0</v>
      </c>
      <c r="Z19" s="42">
        <f>-SUMIFS('Отчет 01.02'!P:P,'Отчет 01.02'!C:C,"Услуги доставки",'Отчет 01.02'!E:E,B19)</f>
        <v>0</v>
      </c>
      <c r="AA19" s="32">
        <v>0</v>
      </c>
      <c r="AB19" s="55"/>
      <c r="AC19" s="42"/>
      <c r="AD19" s="46">
        <f t="shared" si="17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4"/>
        <v>0</v>
      </c>
      <c r="O20" s="38">
        <f t="shared" si="15"/>
        <v>0</v>
      </c>
      <c r="P20" s="39">
        <f>SUMIFS('Отчет 01.02'!H:H,'Отчет 01.02'!D:D,"Выручка",'Отчет 01.02'!E:E,B20)</f>
        <v>0</v>
      </c>
      <c r="Q20" s="39">
        <f>SUMIFS('Отчет 01.02'!H:H,'Отчет 01.02'!D:D,"Возврат выручки",'Отчет 01.02'!E:E,B20)</f>
        <v>0</v>
      </c>
      <c r="R20" s="40">
        <f t="shared" si="1"/>
        <v>0</v>
      </c>
      <c r="S20" s="41">
        <f>SUMIFS('Отчет 01.02'!P:P,'Отчет 01.02'!C:C,"Продажи",'Отчет 01.02'!E:E,B20)</f>
        <v>0</v>
      </c>
      <c r="T20" s="42">
        <f>SUMIFS('Отчет 01.02'!P:P,'Отчет 01.02'!C:C,"Возвраты",'Отчет 01.02'!E:E,B20)</f>
        <v>0</v>
      </c>
      <c r="U20" s="40">
        <f t="shared" si="2"/>
        <v>0</v>
      </c>
      <c r="V20" s="43">
        <f t="shared" si="16"/>
        <v>0</v>
      </c>
      <c r="W20" s="44">
        <f t="shared" si="3"/>
        <v>0</v>
      </c>
      <c r="X20" s="42">
        <f>-SUMIFS('Отчет 01.02'!P:P,'Отчет 01.02'!C:C,"Вознаграждение Ozon",'Отчет 01.02'!E:E,B20)</f>
        <v>0</v>
      </c>
      <c r="Y20" s="45">
        <f t="shared" si="4"/>
        <v>0</v>
      </c>
      <c r="Z20" s="42">
        <f>-SUMIFS('Отчет 01.02'!P:P,'Отчет 01.02'!C:C,"Услуги доставки",'Отчет 01.02'!E:E,B20)</f>
        <v>0</v>
      </c>
      <c r="AA20" s="32">
        <v>0</v>
      </c>
      <c r="AB20" s="55"/>
      <c r="AC20" s="42"/>
      <c r="AD20" s="46">
        <f t="shared" si="17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4"/>
        <v>0</v>
      </c>
      <c r="O21" s="38">
        <f t="shared" si="15"/>
        <v>0</v>
      </c>
      <c r="P21" s="39">
        <f>SUMIFS('Отчет 01.02'!H:H,'Отчет 01.02'!D:D,"Выручка",'Отчет 01.02'!E:E,B21)</f>
        <v>0</v>
      </c>
      <c r="Q21" s="39">
        <f>SUMIFS('Отчет 01.02'!H:H,'Отчет 01.02'!D:D,"Возврат выручки",'Отчет 01.02'!E:E,B21)</f>
        <v>0</v>
      </c>
      <c r="R21" s="40">
        <f t="shared" si="1"/>
        <v>0</v>
      </c>
      <c r="S21" s="41">
        <f>SUMIFS('Отчет 01.02'!P:P,'Отчет 01.02'!C:C,"Продажи",'Отчет 01.02'!E:E,B21)</f>
        <v>0</v>
      </c>
      <c r="T21" s="42">
        <f>SUMIFS('Отчет 01.02'!P:P,'Отчет 01.02'!C:C,"Возвраты",'Отчет 01.02'!E:E,B21)</f>
        <v>0</v>
      </c>
      <c r="U21" s="40">
        <f t="shared" si="2"/>
        <v>0</v>
      </c>
      <c r="V21" s="43">
        <f t="shared" si="16"/>
        <v>0</v>
      </c>
      <c r="W21" s="44">
        <f t="shared" si="3"/>
        <v>0</v>
      </c>
      <c r="X21" s="42">
        <f>-SUMIFS('Отчет 01.02'!P:P,'Отчет 01.02'!C:C,"Вознаграждение Ozon",'Отчет 01.02'!E:E,B21)</f>
        <v>0</v>
      </c>
      <c r="Y21" s="45">
        <f t="shared" si="4"/>
        <v>0</v>
      </c>
      <c r="Z21" s="42">
        <f>-SUMIFS('Отчет 01.02'!P:P,'Отчет 01.02'!C:C,"Услуги доставки",'Отчет 01.02'!E:E,B21)</f>
        <v>0</v>
      </c>
      <c r="AA21" s="32">
        <v>0</v>
      </c>
      <c r="AB21" s="55"/>
      <c r="AC21" s="42"/>
      <c r="AD21" s="46">
        <f t="shared" si="17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4"/>
        <v>0</v>
      </c>
      <c r="O22" s="38">
        <f t="shared" si="15"/>
        <v>0</v>
      </c>
      <c r="P22" s="39">
        <f>SUMIFS('Отчет 01.02'!H:H,'Отчет 01.02'!D:D,"Выручка",'Отчет 01.02'!E:E,B22)</f>
        <v>0</v>
      </c>
      <c r="Q22" s="39">
        <f>SUMIFS('Отчет 01.02'!H:H,'Отчет 01.02'!D:D,"Возврат выручки",'Отчет 01.02'!E:E,B22)</f>
        <v>0</v>
      </c>
      <c r="R22" s="40">
        <f t="shared" si="1"/>
        <v>0</v>
      </c>
      <c r="S22" s="41">
        <f>SUMIFS('Отчет 01.02'!P:P,'Отчет 01.02'!C:C,"Продажи",'Отчет 01.02'!E:E,B22)</f>
        <v>0</v>
      </c>
      <c r="T22" s="42">
        <f>SUMIFS('Отчет 01.02'!P:P,'Отчет 01.02'!C:C,"Возвраты",'Отчет 01.02'!E:E,B22)</f>
        <v>0</v>
      </c>
      <c r="U22" s="40">
        <f t="shared" si="2"/>
        <v>0</v>
      </c>
      <c r="V22" s="43">
        <f t="shared" si="16"/>
        <v>0</v>
      </c>
      <c r="W22" s="44">
        <f t="shared" si="3"/>
        <v>0</v>
      </c>
      <c r="X22" s="42">
        <f>-SUMIFS('Отчет 01.02'!P:P,'Отчет 01.02'!C:C,"Вознаграждение Ozon",'Отчет 01.02'!E:E,B22)</f>
        <v>0</v>
      </c>
      <c r="Y22" s="45">
        <f t="shared" si="4"/>
        <v>0</v>
      </c>
      <c r="Z22" s="42">
        <f>-SUMIFS('Отчет 01.02'!P:P,'Отчет 01.02'!C:C,"Услуги доставки",'Отчет 01.02'!E:E,B22)</f>
        <v>0</v>
      </c>
      <c r="AA22" s="32">
        <v>0</v>
      </c>
      <c r="AB22" s="55"/>
      <c r="AC22" s="42"/>
      <c r="AD22" s="46">
        <f t="shared" si="17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4"/>
        <v>0</v>
      </c>
      <c r="O23" s="38">
        <f t="shared" si="15"/>
        <v>0</v>
      </c>
      <c r="P23" s="39">
        <f>SUMIFS('Отчет 01.02'!H:H,'Отчет 01.02'!D:D,"Выручка",'Отчет 01.02'!E:E,B23)</f>
        <v>0</v>
      </c>
      <c r="Q23" s="39">
        <f>SUMIFS('Отчет 01.02'!H:H,'Отчет 01.02'!D:D,"Возврат выручки",'Отчет 01.02'!E:E,B23)</f>
        <v>0</v>
      </c>
      <c r="R23" s="40">
        <f t="shared" si="1"/>
        <v>0</v>
      </c>
      <c r="S23" s="41">
        <f>SUMIFS('Отчет 01.02'!P:P,'Отчет 01.02'!C:C,"Продажи",'Отчет 01.02'!E:E,B23)</f>
        <v>0</v>
      </c>
      <c r="T23" s="42">
        <f>SUMIFS('Отчет 01.02'!P:P,'Отчет 01.02'!C:C,"Возвраты",'Отчет 01.02'!E:E,B23)</f>
        <v>0</v>
      </c>
      <c r="U23" s="40">
        <f t="shared" si="2"/>
        <v>0</v>
      </c>
      <c r="V23" s="43">
        <f t="shared" si="16"/>
        <v>0</v>
      </c>
      <c r="W23" s="44">
        <f t="shared" si="3"/>
        <v>0</v>
      </c>
      <c r="X23" s="42">
        <f>-SUMIFS('Отчет 01.02'!P:P,'Отчет 01.02'!C:C,"Вознаграждение Ozon",'Отчет 01.02'!E:E,B23)</f>
        <v>0</v>
      </c>
      <c r="Y23" s="45">
        <f t="shared" si="4"/>
        <v>0</v>
      </c>
      <c r="Z23" s="42">
        <f>-SUMIFS('Отчет 01.02'!P:P,'Отчет 01.02'!C:C,"Услуги доставки",'Отчет 01.02'!E:E,B23)</f>
        <v>0</v>
      </c>
      <c r="AA23" s="32">
        <v>0</v>
      </c>
      <c r="AB23" s="55"/>
      <c r="AC23" s="42"/>
      <c r="AD23" s="46">
        <f t="shared" si="17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4"/>
        <v>0</v>
      </c>
      <c r="O24" s="38">
        <f t="shared" si="15"/>
        <v>0</v>
      </c>
      <c r="P24" s="39">
        <f>SUMIFS('Отчет 01.02'!H:H,'Отчет 01.02'!D:D,"Выручка",'Отчет 01.02'!E:E,B24)</f>
        <v>0</v>
      </c>
      <c r="Q24" s="39">
        <f>SUMIFS('Отчет 01.02'!H:H,'Отчет 01.02'!D:D,"Возврат выручки",'Отчет 01.02'!E:E,B24)</f>
        <v>0</v>
      </c>
      <c r="R24" s="40">
        <f t="shared" si="1"/>
        <v>0</v>
      </c>
      <c r="S24" s="41">
        <f>SUMIFS('Отчет 01.02'!P:P,'Отчет 01.02'!C:C,"Продажи",'Отчет 01.02'!E:E,B24)</f>
        <v>0</v>
      </c>
      <c r="T24" s="42">
        <f>SUMIFS('Отчет 01.02'!P:P,'Отчет 01.02'!C:C,"Возвраты",'Отчет 01.02'!E:E,B24)</f>
        <v>0</v>
      </c>
      <c r="U24" s="40">
        <f t="shared" si="2"/>
        <v>0</v>
      </c>
      <c r="V24" s="43">
        <f t="shared" si="16"/>
        <v>0</v>
      </c>
      <c r="W24" s="44">
        <f t="shared" si="3"/>
        <v>0</v>
      </c>
      <c r="X24" s="42">
        <f>-SUMIFS('Отчет 01.02'!P:P,'Отчет 01.02'!C:C,"Вознаграждение Ozon",'Отчет 01.02'!E:E,B24)</f>
        <v>0</v>
      </c>
      <c r="Y24" s="45">
        <f t="shared" si="4"/>
        <v>0</v>
      </c>
      <c r="Z24" s="42">
        <f>-SUMIFS('Отчет 01.02'!P:P,'Отчет 01.02'!C:C,"Услуги доставки",'Отчет 01.02'!E:E,B24)</f>
        <v>0</v>
      </c>
      <c r="AA24" s="32">
        <v>0</v>
      </c>
      <c r="AB24" s="55"/>
      <c r="AC24" s="42"/>
      <c r="AD24" s="46">
        <f t="shared" si="17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1567.5</v>
      </c>
      <c r="AH25" s="58">
        <f t="shared" si="18"/>
        <v>447.87636363636369</v>
      </c>
      <c r="AI25" s="58">
        <f t="shared" si="18"/>
        <v>674.02499999999998</v>
      </c>
      <c r="AJ25" s="58">
        <f t="shared" si="18"/>
        <v>147.79300000000001</v>
      </c>
      <c r="AK25" s="58">
        <f t="shared" si="18"/>
        <v>579.93418640000004</v>
      </c>
      <c r="AL25" s="58">
        <f t="shared" si="18"/>
        <v>-30.134499669838306</v>
      </c>
      <c r="AM25" s="59">
        <f t="shared" si="18"/>
        <v>0.18551831085390263</v>
      </c>
      <c r="AN25" s="59">
        <f t="shared" si="18"/>
        <v>-0.42826256260938422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19</v>
      </c>
      <c r="L26" s="67"/>
      <c r="M26" s="67"/>
      <c r="N26" s="68"/>
      <c r="O26" s="69"/>
      <c r="P26" s="64">
        <f>SUM(P3:P24)</f>
        <v>8</v>
      </c>
      <c r="Q26" s="64">
        <f t="shared" ref="Q26:AE26" si="19">SUM(Q3:Q24)</f>
        <v>1</v>
      </c>
      <c r="R26" s="64">
        <f t="shared" si="19"/>
        <v>7</v>
      </c>
      <c r="S26" s="70">
        <f>SUM(S3:S24)</f>
        <v>13169</v>
      </c>
      <c r="T26" s="64">
        <f t="shared" si="19"/>
        <v>-1655</v>
      </c>
      <c r="U26" s="64">
        <f t="shared" si="19"/>
        <v>11514</v>
      </c>
      <c r="V26" s="71">
        <f t="shared" si="19"/>
        <v>0.69976905311778292</v>
      </c>
      <c r="W26" s="64">
        <f t="shared" si="19"/>
        <v>1054.6799999999998</v>
      </c>
      <c r="X26" s="64">
        <f t="shared" si="19"/>
        <v>4951.0199999999995</v>
      </c>
      <c r="Y26" s="72">
        <f>IF(U26=0,0,X26/U26)</f>
        <v>0.42999999999999994</v>
      </c>
      <c r="Z26" s="64">
        <f t="shared" si="19"/>
        <v>1614.84</v>
      </c>
      <c r="AA26" s="64">
        <f>IFERROR(P26*AA51/P51,0)</f>
        <v>7028.3911111111111</v>
      </c>
      <c r="AB26" s="64">
        <f t="shared" si="19"/>
        <v>0</v>
      </c>
      <c r="AC26" s="64">
        <f t="shared" si="19"/>
        <v>0</v>
      </c>
      <c r="AD26" s="73">
        <f t="shared" si="19"/>
        <v>52.608637413394916</v>
      </c>
      <c r="AE26" s="74">
        <f t="shared" si="19"/>
        <v>501.8582525866056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-334100.57056573668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3338.9931099999999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0</v>
      </c>
      <c r="L28" s="36"/>
      <c r="M28" s="36"/>
      <c r="N28" s="37">
        <f t="shared" ref="N28" si="21">K28/$O$1</f>
        <v>0</v>
      </c>
      <c r="O28" s="38">
        <f t="shared" ref="O28" si="22">R28/$O$1</f>
        <v>0</v>
      </c>
      <c r="P28" s="39">
        <f>SUMIFS('Отчет 01.02'!H:H,'Отчет 01.02'!D:D,"Выручка",'Отчет 01.02'!E:E,B28)</f>
        <v>0</v>
      </c>
      <c r="Q28" s="39">
        <f>SUMIFS('Отчет 01.02'!H:H,'Отчет 01.02'!D:D,"Возврат выручки",'Отчет 01.02'!E:E,B28)</f>
        <v>0</v>
      </c>
      <c r="R28" s="40">
        <f t="shared" ref="R28:R47" si="23">P28-Q28</f>
        <v>0</v>
      </c>
      <c r="S28" s="41">
        <f>SUMIFS('Отчет 01.02'!P:P,'Отчет 01.02'!C:C,"Продажи",'Отчет 01.02'!E:E,B28)</f>
        <v>0</v>
      </c>
      <c r="T28" s="42">
        <f>SUMIFS('Отчет 01.02'!P:P,'Отчет 01.02'!C:C,"Возвраты",'Отчет 01.02'!E:E,B28)</f>
        <v>0</v>
      </c>
      <c r="U28" s="40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42">
        <f>-SUMIFS('Отчет 01.02'!P:P,'Отчет 01.02'!C:C,"Вознаграждение Ozon",'Отчет 01.02'!E:E,B28)</f>
        <v>0</v>
      </c>
      <c r="Y28" s="45">
        <f t="shared" ref="Y28:Y47" si="27">IF(U28=0,0,X28/U28)</f>
        <v>0</v>
      </c>
      <c r="Z28" s="42">
        <f>-SUMIFS('Отчет 01.02'!P:P,'Отчет 01.02'!C:C,"Услуги доставки",'Отчет 01.02'!E:E,B28)</f>
        <v>0</v>
      </c>
      <c r="AA28" s="32">
        <v>427.6</v>
      </c>
      <c r="AB28" s="55"/>
      <c r="AC28" s="42"/>
      <c r="AD28" s="46">
        <f t="shared" ref="AD28:AD47" si="28">U28*1%/$AE$1</f>
        <v>0</v>
      </c>
      <c r="AE28" s="47">
        <f t="shared" ref="AE28:AE47" si="29">U28-W28-X28-Z28-AA28-AB28-AC28-AD28</f>
        <v>-427.6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-427.6</v>
      </c>
      <c r="AM28" s="50">
        <f t="shared" ref="AM28:AM47" si="35">IF(AG28=0,0,AL28/AG28)</f>
        <v>0</v>
      </c>
      <c r="AN28" s="51">
        <f t="shared" ref="AN28:AN47" si="36">IF(AH28=0,0,AL28/AH28)</f>
        <v>-0.63630952380952388</v>
      </c>
      <c r="AP28" s="53">
        <f t="shared" ref="AP28:AP47" si="37">AL28*C28</f>
        <v>-21380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ref="N29:N47" si="38">K29/$O$1</f>
        <v>0</v>
      </c>
      <c r="O29" s="38">
        <f t="shared" ref="O29:O47" si="39">R29/$O$1</f>
        <v>0</v>
      </c>
      <c r="P29" s="39">
        <f>SUMIFS('Отчет 01.02'!H:H,'Отчет 01.02'!D:D,"Выручка",'Отчет 01.02'!E:E,B29)</f>
        <v>0</v>
      </c>
      <c r="Q29" s="39">
        <f>SUMIFS('Отчет 01.02'!H:H,'Отчет 01.02'!D:D,"Возврат выручки",'Отчет 01.02'!E:E,B29)</f>
        <v>0</v>
      </c>
      <c r="R29" s="40">
        <f t="shared" si="23"/>
        <v>0</v>
      </c>
      <c r="S29" s="41">
        <f>SUMIFS('Отчет 01.02'!P:P,'Отчет 01.02'!C:C,"Продажи",'Отчет 01.02'!E:E,B29)</f>
        <v>0</v>
      </c>
      <c r="T29" s="42">
        <f>SUMIFS('Отчет 01.02'!P:P,'Отчет 01.02'!C:C,"Возвраты",'Отчет 01.02'!E:E,B29)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01.02'!P:P,'Отчет 01.02'!C:C,"Вознаграждение Ozon",'Отчет 01.02'!E:E,B29)</f>
        <v>0</v>
      </c>
      <c r="Y29" s="45">
        <f t="shared" si="27"/>
        <v>0</v>
      </c>
      <c r="Z29" s="42">
        <f>-SUMIFS('Отчет 01.02'!P:P,'Отчет 01.02'!C:C,"Услуги доставки",'Отчет 01.02'!E:E,B29)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01.02'!H:H,'Отчет 01.02'!D:D,"Выручка",'Отчет 01.02'!E:E,B30)</f>
        <v>0</v>
      </c>
      <c r="Q30" s="39">
        <f>SUMIFS('Отчет 01.02'!H:H,'Отчет 01.02'!D:D,"Возврат выручки",'Отчет 01.02'!E:E,B30)</f>
        <v>0</v>
      </c>
      <c r="R30" s="40">
        <f t="shared" si="23"/>
        <v>0</v>
      </c>
      <c r="S30" s="41">
        <f>SUMIFS('Отчет 01.02'!P:P,'Отчет 01.02'!C:C,"Продажи",'Отчет 01.02'!E:E,B30)</f>
        <v>0</v>
      </c>
      <c r="T30" s="42">
        <f>SUMIFS('Отчет 01.02'!P:P,'Отчет 01.02'!C:C,"Возвраты",'Отчет 01.02'!E:E,B30)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01.02'!P:P,'Отчет 01.02'!C:C,"Вознаграждение Ozon",'Отчет 01.02'!E:E,B30)</f>
        <v>0</v>
      </c>
      <c r="Y30" s="45">
        <f t="shared" si="27"/>
        <v>0</v>
      </c>
      <c r="Z30" s="42">
        <f>-SUMIFS('Отчет 01.02'!P:P,'Отчет 01.02'!C:C,"Услуги доставки",'Отчет 01.02'!E:E,B30)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>
        <v>17</v>
      </c>
      <c r="D31" s="33"/>
      <c r="E31" s="33"/>
      <c r="F31" s="33"/>
      <c r="G31" s="34"/>
      <c r="H31" s="84">
        <v>567</v>
      </c>
      <c r="I31" s="54">
        <f t="shared" si="20"/>
        <v>9639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01.02'!H:H,'Отчет 01.02'!D:D,"Выручка",'Отчет 01.02'!E:E,B31)</f>
        <v>0</v>
      </c>
      <c r="Q31" s="39">
        <f>SUMIFS('Отчет 01.02'!H:H,'Отчет 01.02'!D:D,"Возврат выручки",'Отчет 01.02'!E:E,B31)</f>
        <v>0</v>
      </c>
      <c r="R31" s="40">
        <f t="shared" si="23"/>
        <v>0</v>
      </c>
      <c r="S31" s="41">
        <f>SUMIFS('Отчет 01.02'!P:P,'Отчет 01.02'!C:C,"Продажи",'Отчет 01.02'!E:E,B31)</f>
        <v>0</v>
      </c>
      <c r="T31" s="42">
        <f>SUMIFS('Отчет 01.02'!P:P,'Отчет 01.02'!C:C,"Возвраты",'Отчет 01.02'!E:E,B31)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01.02'!P:P,'Отчет 01.02'!C:C,"Вознаграждение Ozon",'Отчет 01.02'!E:E,B31)</f>
        <v>0</v>
      </c>
      <c r="Y31" s="45">
        <f t="shared" si="27"/>
        <v>0</v>
      </c>
      <c r="Z31" s="42">
        <f>-SUMIFS('Отчет 01.02'!P:P,'Отчет 01.02'!C:C,"Услуги доставки",'Отчет 01.02'!E:E,B31)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01.02'!H:H,'Отчет 01.02'!D:D,"Выручка",'Отчет 01.02'!E:E,B32)</f>
        <v>0</v>
      </c>
      <c r="Q32" s="39">
        <f>SUMIFS('Отчет 01.02'!H:H,'Отчет 01.02'!D:D,"Возврат выручки",'Отчет 01.02'!E:E,B32)</f>
        <v>0</v>
      </c>
      <c r="R32" s="40">
        <f t="shared" si="23"/>
        <v>0</v>
      </c>
      <c r="S32" s="41">
        <f>SUMIFS('Отчет 01.02'!P:P,'Отчет 01.02'!C:C,"Продажи",'Отчет 01.02'!E:E,B32)</f>
        <v>0</v>
      </c>
      <c r="T32" s="42">
        <f>SUMIFS('Отчет 01.02'!P:P,'Отчет 01.02'!C:C,"Возвраты",'Отчет 01.02'!E:E,B32)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01.02'!P:P,'Отчет 01.02'!C:C,"Вознаграждение Ozon",'Отчет 01.02'!E:E,B32)</f>
        <v>0</v>
      </c>
      <c r="Y32" s="45">
        <f t="shared" si="27"/>
        <v>0</v>
      </c>
      <c r="Z32" s="42">
        <f>-SUMIFS('Отчет 01.02'!P:P,'Отчет 01.02'!C:C,"Услуги доставки",'Отчет 01.02'!E:E,B32)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>
        <v>13</v>
      </c>
      <c r="D33" s="33"/>
      <c r="E33" s="33"/>
      <c r="F33" s="33"/>
      <c r="G33" s="34"/>
      <c r="H33" s="84">
        <v>657</v>
      </c>
      <c r="I33" s="54">
        <f t="shared" si="20"/>
        <v>8541</v>
      </c>
      <c r="J33" s="36"/>
      <c r="K33" s="32">
        <v>0</v>
      </c>
      <c r="L33" s="36"/>
      <c r="M33" s="36"/>
      <c r="N33" s="37">
        <f t="shared" si="38"/>
        <v>0</v>
      </c>
      <c r="O33" s="38">
        <f t="shared" si="39"/>
        <v>0</v>
      </c>
      <c r="P33" s="39">
        <f>SUMIFS('Отчет 01.02'!H:H,'Отчет 01.02'!D:D,"Выручка",'Отчет 01.02'!E:E,B33)</f>
        <v>0</v>
      </c>
      <c r="Q33" s="39">
        <f>SUMIFS('Отчет 01.02'!H:H,'Отчет 01.02'!D:D,"Возврат выручки",'Отчет 01.02'!E:E,B33)</f>
        <v>0</v>
      </c>
      <c r="R33" s="40">
        <f t="shared" si="23"/>
        <v>0</v>
      </c>
      <c r="S33" s="41">
        <f>SUMIFS('Отчет 01.02'!P:P,'Отчет 01.02'!C:C,"Продажи",'Отчет 01.02'!E:E,B33)</f>
        <v>0</v>
      </c>
      <c r="T33" s="42">
        <f>SUMIFS('Отчет 01.02'!P:P,'Отчет 01.02'!C:C,"Возвраты",'Отчет 01.02'!E:E,B33)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01.02'!P:P,'Отчет 01.02'!C:C,"Вознаграждение Ozon",'Отчет 01.02'!E:E,B33)</f>
        <v>0</v>
      </c>
      <c r="Y33" s="45">
        <f t="shared" si="27"/>
        <v>0</v>
      </c>
      <c r="Z33" s="42">
        <f>-SUMIFS('Отчет 01.02'!P:P,'Отчет 01.02'!C:C,"Услуги доставки",'Отчет 01.02'!E:E,B33)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>
        <v>14</v>
      </c>
      <c r="D34" s="33"/>
      <c r="E34" s="33"/>
      <c r="F34" s="33"/>
      <c r="G34" s="34"/>
      <c r="H34" s="84">
        <v>597</v>
      </c>
      <c r="I34" s="54">
        <f t="shared" si="20"/>
        <v>8358</v>
      </c>
      <c r="J34" s="36"/>
      <c r="K34" s="32">
        <v>1</v>
      </c>
      <c r="L34" s="36"/>
      <c r="M34" s="36"/>
      <c r="N34" s="37">
        <f t="shared" si="38"/>
        <v>1</v>
      </c>
      <c r="O34" s="38">
        <f t="shared" si="39"/>
        <v>0</v>
      </c>
      <c r="P34" s="39">
        <f>SUMIFS('Отчет 01.02'!H:H,'Отчет 01.02'!D:D,"Выручка",'Отчет 01.02'!E:E,B34)</f>
        <v>0</v>
      </c>
      <c r="Q34" s="39">
        <f>SUMIFS('Отчет 01.02'!H:H,'Отчет 01.02'!D:D,"Возврат выручки",'Отчет 01.02'!E:E,B34)</f>
        <v>0</v>
      </c>
      <c r="R34" s="40">
        <f t="shared" si="23"/>
        <v>0</v>
      </c>
      <c r="S34" s="41">
        <f>SUMIFS('Отчет 01.02'!P:P,'Отчет 01.02'!C:C,"Продажи",'Отчет 01.02'!E:E,B34)</f>
        <v>0</v>
      </c>
      <c r="T34" s="42">
        <f>SUMIFS('Отчет 01.02'!P:P,'Отчет 01.02'!C:C,"Возвраты",'Отчет 01.02'!E:E,B34)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01.02'!P:P,'Отчет 01.02'!C:C,"Вознаграждение Ozon",'Отчет 01.02'!E:E,B34)</f>
        <v>0</v>
      </c>
      <c r="Y34" s="45">
        <f t="shared" si="27"/>
        <v>0</v>
      </c>
      <c r="Z34" s="42">
        <f>-SUMIFS('Отчет 01.02'!P:P,'Отчет 01.02'!C:C,"Услуги доставки",'Отчет 01.02'!E:E,B34)</f>
        <v>113.88</v>
      </c>
      <c r="AA34" s="32">
        <v>0</v>
      </c>
      <c r="AB34" s="55"/>
      <c r="AC34" s="42"/>
      <c r="AD34" s="46">
        <f t="shared" si="28"/>
        <v>0</v>
      </c>
      <c r="AE34" s="47">
        <f t="shared" si="29"/>
        <v>-113.88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113.88</v>
      </c>
      <c r="AK34" s="49">
        <f t="shared" si="34"/>
        <v>0</v>
      </c>
      <c r="AL34" s="49">
        <f t="array" ref="AL34">_xlfn.IFS(R34=0,AE34,R34&lt;0,AE34/-R34,R34&gt;0,AE34/R34)</f>
        <v>-113.88</v>
      </c>
      <c r="AM34" s="50">
        <f t="shared" si="35"/>
        <v>0</v>
      </c>
      <c r="AN34" s="51">
        <f t="shared" si="36"/>
        <v>-0.1907537688442211</v>
      </c>
      <c r="AP34" s="53">
        <f t="shared" si="37"/>
        <v>-1594.32</v>
      </c>
    </row>
    <row r="35" spans="1:42">
      <c r="A35" s="30">
        <v>2774714412</v>
      </c>
      <c r="B35" s="31" t="s">
        <v>68</v>
      </c>
      <c r="C35" s="32">
        <v>15</v>
      </c>
      <c r="D35" s="33"/>
      <c r="E35" s="33"/>
      <c r="F35" s="33"/>
      <c r="G35" s="34"/>
      <c r="H35" s="84">
        <v>552</v>
      </c>
      <c r="I35" s="54">
        <f t="shared" si="20"/>
        <v>8280</v>
      </c>
      <c r="J35" s="36"/>
      <c r="K35" s="32">
        <v>0</v>
      </c>
      <c r="L35" s="36"/>
      <c r="M35" s="36"/>
      <c r="N35" s="37">
        <f t="shared" si="38"/>
        <v>0</v>
      </c>
      <c r="O35" s="38">
        <f t="shared" si="39"/>
        <v>0</v>
      </c>
      <c r="P35" s="39">
        <f>SUMIFS('Отчет 01.02'!H:H,'Отчет 01.02'!D:D,"Выручка",'Отчет 01.02'!E:E,B35)</f>
        <v>0</v>
      </c>
      <c r="Q35" s="39">
        <f>SUMIFS('Отчет 01.02'!H:H,'Отчет 01.02'!D:D,"Возврат выручки",'Отчет 01.02'!E:E,B35)</f>
        <v>0</v>
      </c>
      <c r="R35" s="40">
        <f t="shared" si="23"/>
        <v>0</v>
      </c>
      <c r="S35" s="41">
        <f>SUMIFS('Отчет 01.02'!P:P,'Отчет 01.02'!C:C,"Продажи",'Отчет 01.02'!E:E,B35)</f>
        <v>0</v>
      </c>
      <c r="T35" s="42">
        <f>SUMIFS('Отчет 01.02'!P:P,'Отчет 01.02'!C:C,"Возвраты",'Отчет 01.02'!E:E,B35)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01.02'!P:P,'Отчет 01.02'!C:C,"Вознаграждение Ozon",'Отчет 01.02'!E:E,B35)</f>
        <v>0</v>
      </c>
      <c r="Y35" s="45">
        <f t="shared" si="27"/>
        <v>0</v>
      </c>
      <c r="Z35" s="42">
        <f>-SUMIFS('Отчет 01.02'!P:P,'Отчет 01.02'!C:C,"Услуги доставки",'Отчет 01.02'!E:E,B35)</f>
        <v>113.88</v>
      </c>
      <c r="AA35" s="32">
        <v>0</v>
      </c>
      <c r="AB35" s="55"/>
      <c r="AC35" s="42"/>
      <c r="AD35" s="46">
        <f t="shared" si="28"/>
        <v>0</v>
      </c>
      <c r="AE35" s="47">
        <f t="shared" si="29"/>
        <v>-113.88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113.88</v>
      </c>
      <c r="AK35" s="49">
        <f t="shared" si="34"/>
        <v>0</v>
      </c>
      <c r="AL35" s="49">
        <f t="array" ref="AL35">_xlfn.IFS(R35=0,AE35,R35&lt;0,AE35/-R35,R35&gt;0,AE35/R35)</f>
        <v>-113.88</v>
      </c>
      <c r="AM35" s="50">
        <f t="shared" si="35"/>
        <v>0</v>
      </c>
      <c r="AN35" s="51">
        <f t="shared" si="36"/>
        <v>-0.20630434782608695</v>
      </c>
      <c r="AP35" s="53">
        <f t="shared" si="37"/>
        <v>-1708.1999999999998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01.02'!H:H,'Отчет 01.02'!D:D,"Выручка",'Отчет 01.02'!E:E,B36)</f>
        <v>0</v>
      </c>
      <c r="Q36" s="39">
        <f>SUMIFS('Отчет 01.02'!H:H,'Отчет 01.02'!D:D,"Возврат выручки",'Отчет 01.02'!E:E,B36)</f>
        <v>0</v>
      </c>
      <c r="R36" s="40">
        <f t="shared" si="23"/>
        <v>0</v>
      </c>
      <c r="S36" s="41">
        <f>SUMIFS('Отчет 01.02'!P:P,'Отчет 01.02'!C:C,"Продажи",'Отчет 01.02'!E:E,B36)</f>
        <v>0</v>
      </c>
      <c r="T36" s="42">
        <f>SUMIFS('Отчет 01.02'!P:P,'Отчет 01.02'!C:C,"Возвраты",'Отчет 01.02'!E:E,B36)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01.02'!P:P,'Отчет 01.02'!C:C,"Вознаграждение Ozon",'Отчет 01.02'!E:E,B36)</f>
        <v>0</v>
      </c>
      <c r="Y36" s="45">
        <f t="shared" si="27"/>
        <v>0</v>
      </c>
      <c r="Z36" s="42">
        <f>-SUMIFS('Отчет 01.02'!P:P,'Отчет 01.02'!C:C,"Услуги доставки",'Отчет 01.02'!E:E,B36)</f>
        <v>113.88</v>
      </c>
      <c r="AA36" s="32"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-1935.96</v>
      </c>
    </row>
    <row r="37" spans="1:42">
      <c r="A37" s="30">
        <v>2774712116</v>
      </c>
      <c r="B37" s="31" t="s">
        <v>70</v>
      </c>
      <c r="C37" s="32">
        <v>8</v>
      </c>
      <c r="D37" s="33"/>
      <c r="E37" s="33"/>
      <c r="F37" s="33"/>
      <c r="G37" s="34"/>
      <c r="H37" s="84">
        <v>687</v>
      </c>
      <c r="I37" s="54">
        <f t="shared" si="20"/>
        <v>5496</v>
      </c>
      <c r="J37" s="36"/>
      <c r="K37" s="32">
        <v>1</v>
      </c>
      <c r="L37" s="36"/>
      <c r="M37" s="36"/>
      <c r="N37" s="37">
        <f t="shared" si="38"/>
        <v>1</v>
      </c>
      <c r="O37" s="38">
        <f t="shared" si="39"/>
        <v>0</v>
      </c>
      <c r="P37" s="39">
        <f>SUMIFS('Отчет 01.02'!H:H,'Отчет 01.02'!D:D,"Выручка",'Отчет 01.02'!E:E,B37)</f>
        <v>0</v>
      </c>
      <c r="Q37" s="39">
        <f>SUMIFS('Отчет 01.02'!H:H,'Отчет 01.02'!D:D,"Возврат выручки",'Отчет 01.02'!E:E,B37)</f>
        <v>0</v>
      </c>
      <c r="R37" s="40">
        <f t="shared" si="23"/>
        <v>0</v>
      </c>
      <c r="S37" s="41">
        <f>SUMIFS('Отчет 01.02'!P:P,'Отчет 01.02'!C:C,"Продажи",'Отчет 01.02'!E:E,B37)</f>
        <v>0</v>
      </c>
      <c r="T37" s="42">
        <f>SUMIFS('Отчет 01.02'!P:P,'Отчет 01.02'!C:C,"Возвраты",'Отчет 01.02'!E:E,B37)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01.02'!P:P,'Отчет 01.02'!C:C,"Вознаграждение Ozon",'Отчет 01.02'!E:E,B37)</f>
        <v>0</v>
      </c>
      <c r="Y37" s="45">
        <f t="shared" si="27"/>
        <v>0</v>
      </c>
      <c r="Z37" s="42">
        <f>-SUMIFS('Отчет 01.02'!P:P,'Отчет 01.02'!C:C,"Услуги доставки",'Отчет 01.02'!E:E,B37)</f>
        <v>0</v>
      </c>
      <c r="AA37" s="32">
        <v>0</v>
      </c>
      <c r="AB37" s="55"/>
      <c r="AC37" s="42"/>
      <c r="AD37" s="46">
        <f t="shared" si="28"/>
        <v>0</v>
      </c>
      <c r="AE37" s="47">
        <f t="shared" si="29"/>
        <v>0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0</v>
      </c>
      <c r="AK37" s="49">
        <f t="shared" si="34"/>
        <v>0</v>
      </c>
      <c r="AL37" s="49">
        <f t="array" ref="AL37">_xlfn.IFS(R37=0,AE37,R37&lt;0,AE37/-R37,R37&gt;0,AE37/R37)</f>
        <v>0</v>
      </c>
      <c r="AM37" s="50">
        <f t="shared" si="35"/>
        <v>0</v>
      </c>
      <c r="AN37" s="51">
        <f t="shared" si="36"/>
        <v>0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0</v>
      </c>
      <c r="L38" s="36"/>
      <c r="M38" s="36"/>
      <c r="N38" s="37">
        <f t="shared" si="38"/>
        <v>0</v>
      </c>
      <c r="O38" s="38">
        <f t="shared" si="39"/>
        <v>0</v>
      </c>
      <c r="P38" s="39">
        <f>SUMIFS('Отчет 01.02'!H:H,'Отчет 01.02'!D:D,"Выручка",'Отчет 01.02'!E:E,B38)</f>
        <v>0</v>
      </c>
      <c r="Q38" s="39">
        <f>SUMIFS('Отчет 01.02'!H:H,'Отчет 01.02'!D:D,"Возврат выручки",'Отчет 01.02'!E:E,B38)</f>
        <v>0</v>
      </c>
      <c r="R38" s="40">
        <f t="shared" si="23"/>
        <v>0</v>
      </c>
      <c r="S38" s="41">
        <f>SUMIFS('Отчет 01.02'!P:P,'Отчет 01.02'!C:C,"Продажи",'Отчет 01.02'!E:E,B38)</f>
        <v>0</v>
      </c>
      <c r="T38" s="42">
        <f>SUMIFS('Отчет 01.02'!P:P,'Отчет 01.02'!C:C,"Возвраты",'Отчет 01.02'!E:E,B38)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01.02'!P:P,'Отчет 01.02'!C:C,"Вознаграждение Ozon",'Отчет 01.02'!E:E,B38)</f>
        <v>0</v>
      </c>
      <c r="Y38" s="45">
        <f t="shared" si="27"/>
        <v>0</v>
      </c>
      <c r="Z38" s="42">
        <f>-SUMIFS('Отчет 01.02'!P:P,'Отчет 01.02'!C:C,"Услуги доставки",'Отчет 01.02'!E:E,B38)</f>
        <v>170.82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-170.82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170.82</v>
      </c>
      <c r="AK38" s="49">
        <f t="shared" si="34"/>
        <v>0</v>
      </c>
      <c r="AL38" s="49">
        <f t="array" ref="AL38">_xlfn.IFS(R38=0,AE38,R38&lt;0,AE38/-R38,R38&gt;0,AE38/R38)</f>
        <v>-170.82</v>
      </c>
      <c r="AM38" s="50">
        <f t="shared" si="35"/>
        <v>0</v>
      </c>
      <c r="AN38" s="51">
        <f t="shared" si="36"/>
        <v>-0.24864628820960696</v>
      </c>
      <c r="AP38" s="53">
        <f t="shared" si="37"/>
        <v>-854.09999999999991</v>
      </c>
    </row>
    <row r="39" spans="1:42">
      <c r="A39" s="30">
        <v>2774719433</v>
      </c>
      <c r="B39" s="31" t="s">
        <v>72</v>
      </c>
      <c r="C39" s="32">
        <v>15</v>
      </c>
      <c r="D39" s="33"/>
      <c r="E39" s="33"/>
      <c r="F39" s="33"/>
      <c r="G39" s="34"/>
      <c r="H39" s="84">
        <v>597</v>
      </c>
      <c r="I39" s="54">
        <f t="shared" si="20"/>
        <v>8955</v>
      </c>
      <c r="J39" s="36"/>
      <c r="K39" s="32">
        <v>0</v>
      </c>
      <c r="L39" s="36"/>
      <c r="M39" s="36"/>
      <c r="N39" s="37">
        <f t="shared" si="38"/>
        <v>0</v>
      </c>
      <c r="O39" s="38">
        <f t="shared" si="39"/>
        <v>0</v>
      </c>
      <c r="P39" s="39">
        <f>SUMIFS('Отчет 01.02'!H:H,'Отчет 01.02'!D:D,"Выручка",'Отчет 01.02'!E:E,B39)</f>
        <v>0</v>
      </c>
      <c r="Q39" s="39">
        <f>SUMIFS('Отчет 01.02'!H:H,'Отчет 01.02'!D:D,"Возврат выручки",'Отчет 01.02'!E:E,B39)</f>
        <v>0</v>
      </c>
      <c r="R39" s="40">
        <f t="shared" si="23"/>
        <v>0</v>
      </c>
      <c r="S39" s="41">
        <f>SUMIFS('Отчет 01.02'!P:P,'Отчет 01.02'!C:C,"Продажи",'Отчет 01.02'!E:E,B39)</f>
        <v>0</v>
      </c>
      <c r="T39" s="42">
        <f>SUMIFS('Отчет 01.02'!P:P,'Отчет 01.02'!C:C,"Возвраты",'Отчет 01.02'!E:E,B39)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01.02'!P:P,'Отчет 01.02'!C:C,"Вознаграждение Ozon",'Отчет 01.02'!E:E,B39)</f>
        <v>0</v>
      </c>
      <c r="Y39" s="45">
        <f t="shared" si="27"/>
        <v>0</v>
      </c>
      <c r="Z39" s="42">
        <f>-SUMIFS('Отчет 01.02'!P:P,'Отчет 01.02'!C:C,"Услуги доставки",'Отчет 01.02'!E:E,B39)</f>
        <v>113.88</v>
      </c>
      <c r="AA39" s="32">
        <v>0</v>
      </c>
      <c r="AB39" s="55"/>
      <c r="AC39" s="42"/>
      <c r="AD39" s="46">
        <f t="shared" si="28"/>
        <v>0</v>
      </c>
      <c r="AE39" s="47">
        <f t="shared" si="29"/>
        <v>-113.88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113.88</v>
      </c>
      <c r="AK39" s="49">
        <f t="shared" si="34"/>
        <v>0</v>
      </c>
      <c r="AL39" s="49">
        <f t="array" ref="AL39">_xlfn.IFS(R39=0,AE39,R39&lt;0,AE39/-R39,R39&gt;0,AE39/R39)</f>
        <v>-113.88</v>
      </c>
      <c r="AM39" s="50">
        <f t="shared" si="35"/>
        <v>0</v>
      </c>
      <c r="AN39" s="51">
        <f t="shared" si="36"/>
        <v>-0.1907537688442211</v>
      </c>
      <c r="AP39" s="53">
        <f t="shared" si="37"/>
        <v>-1708.1999999999998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38"/>
        <v>0</v>
      </c>
      <c r="O40" s="38">
        <f t="shared" si="39"/>
        <v>0</v>
      </c>
      <c r="P40" s="39">
        <f>SUMIFS('Отчет 01.02'!H:H,'Отчет 01.02'!D:D,"Выручка",'Отчет 01.02'!E:E,B40)</f>
        <v>0</v>
      </c>
      <c r="Q40" s="39">
        <f>SUMIFS('Отчет 01.02'!H:H,'Отчет 01.02'!D:D,"Возврат выручки",'Отчет 01.02'!E:E,B40)</f>
        <v>0</v>
      </c>
      <c r="R40" s="40">
        <f t="shared" si="23"/>
        <v>0</v>
      </c>
      <c r="S40" s="41">
        <f>SUMIFS('Отчет 01.02'!P:P,'Отчет 01.02'!C:C,"Продажи",'Отчет 01.02'!E:E,B40)</f>
        <v>0</v>
      </c>
      <c r="T40" s="42">
        <f>SUMIFS('Отчет 01.02'!P:P,'Отчет 01.02'!C:C,"Возвраты",'Отчет 01.02'!E:E,B40)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01.02'!P:P,'Отчет 01.02'!C:C,"Вознаграждение Ozon",'Отчет 01.02'!E:E,B40)</f>
        <v>0</v>
      </c>
      <c r="Y40" s="45">
        <f t="shared" si="27"/>
        <v>0</v>
      </c>
      <c r="Z40" s="42">
        <f>-SUMIFS('Отчет 01.02'!P:P,'Отчет 01.02'!C:C,"Услуги доставки",'Отчет 01.02'!E:E,B40)</f>
        <v>113.88</v>
      </c>
      <c r="AA40" s="32">
        <v>0</v>
      </c>
      <c r="AB40" s="55"/>
      <c r="AC40" s="42"/>
      <c r="AD40" s="46">
        <f t="shared" si="28"/>
        <v>0</v>
      </c>
      <c r="AE40" s="47">
        <f t="shared" si="29"/>
        <v>-113.88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113.88</v>
      </c>
      <c r="AK40" s="49">
        <f t="shared" si="34"/>
        <v>0</v>
      </c>
      <c r="AL40" s="49">
        <f t="array" ref="AL40">_xlfn.IFS(R40=0,AE40,R40&lt;0,AE40/-R40,R40&gt;0,AE40/R40)</f>
        <v>-113.88</v>
      </c>
      <c r="AM40" s="50">
        <f t="shared" si="35"/>
        <v>0</v>
      </c>
      <c r="AN40" s="51">
        <f t="shared" si="36"/>
        <v>-0.1907537688442211</v>
      </c>
      <c r="AP40" s="53">
        <f t="shared" si="37"/>
        <v>-2049.84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01.02'!H:H,'Отчет 01.02'!D:D,"Выручка",'Отчет 01.02'!E:E,B41)</f>
        <v>0</v>
      </c>
      <c r="Q41" s="39">
        <f>SUMIFS('Отчет 01.02'!H:H,'Отчет 01.02'!D:D,"Возврат выручки",'Отчет 01.02'!E:E,B41)</f>
        <v>0</v>
      </c>
      <c r="R41" s="40">
        <f t="shared" si="23"/>
        <v>0</v>
      </c>
      <c r="S41" s="41">
        <f>SUMIFS('Отчет 01.02'!P:P,'Отчет 01.02'!C:C,"Продажи",'Отчет 01.02'!E:E,B41)</f>
        <v>0</v>
      </c>
      <c r="T41" s="42">
        <f>SUMIFS('Отчет 01.02'!P:P,'Отчет 01.02'!C:C,"Возвраты",'Отчет 01.02'!E:E,B41)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01.02'!P:P,'Отчет 01.02'!C:C,"Вознаграждение Ozon",'Отчет 01.02'!E:E,B41)</f>
        <v>0</v>
      </c>
      <c r="Y41" s="45">
        <f t="shared" si="27"/>
        <v>0</v>
      </c>
      <c r="Z41" s="42">
        <f>-SUMIFS('Отчет 01.02'!P:P,'Отчет 01.02'!C:C,"Услуги доставки",'Отчет 01.02'!E:E,B41)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>
        <v>17</v>
      </c>
      <c r="D42" s="33"/>
      <c r="E42" s="33"/>
      <c r="F42" s="33"/>
      <c r="G42" s="34"/>
      <c r="H42" s="84">
        <v>642</v>
      </c>
      <c r="I42" s="54">
        <f t="shared" si="20"/>
        <v>10914</v>
      </c>
      <c r="J42" s="36"/>
      <c r="K42" s="32">
        <v>0</v>
      </c>
      <c r="L42" s="36"/>
      <c r="M42" s="36"/>
      <c r="N42" s="37">
        <f t="shared" si="38"/>
        <v>0</v>
      </c>
      <c r="O42" s="38">
        <f t="shared" si="39"/>
        <v>0</v>
      </c>
      <c r="P42" s="39">
        <f>SUMIFS('Отчет 01.02'!H:H,'Отчет 01.02'!D:D,"Выручка",'Отчет 01.02'!E:E,B42)</f>
        <v>0</v>
      </c>
      <c r="Q42" s="39">
        <f>SUMIFS('Отчет 01.02'!H:H,'Отчет 01.02'!D:D,"Возврат выручки",'Отчет 01.02'!E:E,B42)</f>
        <v>0</v>
      </c>
      <c r="R42" s="40">
        <f t="shared" si="23"/>
        <v>0</v>
      </c>
      <c r="S42" s="41">
        <f>SUMIFS('Отчет 01.02'!P:P,'Отчет 01.02'!C:C,"Продажи",'Отчет 01.02'!E:E,B42)</f>
        <v>0</v>
      </c>
      <c r="T42" s="42">
        <f>SUMIFS('Отчет 01.02'!P:P,'Отчет 01.02'!C:C,"Возвраты",'Отчет 01.02'!E:E,B42)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01.02'!P:P,'Отчет 01.02'!C:C,"Вознаграждение Ozon",'Отчет 01.02'!E:E,B42)</f>
        <v>0</v>
      </c>
      <c r="Y42" s="45">
        <f t="shared" si="27"/>
        <v>0</v>
      </c>
      <c r="Z42" s="42">
        <f>-SUMIFS('Отчет 01.02'!P:P,'Отчет 01.02'!C:C,"Услуги доставки",'Отчет 01.02'!E:E,B42)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>
        <v>18</v>
      </c>
      <c r="D43" s="33"/>
      <c r="E43" s="33"/>
      <c r="F43" s="33"/>
      <c r="G43" s="34"/>
      <c r="H43" s="84">
        <v>642</v>
      </c>
      <c r="I43" s="54">
        <f t="shared" si="20"/>
        <v>11556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01.02'!H:H,'Отчет 01.02'!D:D,"Выручка",'Отчет 01.02'!E:E,B43)</f>
        <v>0</v>
      </c>
      <c r="Q43" s="39">
        <f>SUMIFS('Отчет 01.02'!H:H,'Отчет 01.02'!D:D,"Возврат выручки",'Отчет 01.02'!E:E,B43)</f>
        <v>0</v>
      </c>
      <c r="R43" s="40">
        <f t="shared" si="23"/>
        <v>0</v>
      </c>
      <c r="S43" s="41">
        <f>SUMIFS('Отчет 01.02'!P:P,'Отчет 01.02'!C:C,"Продажи",'Отчет 01.02'!E:E,B43)</f>
        <v>0</v>
      </c>
      <c r="T43" s="42">
        <f>SUMIFS('Отчет 01.02'!P:P,'Отчет 01.02'!C:C,"Возвраты",'Отчет 01.02'!E:E,B43)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01.02'!P:P,'Отчет 01.02'!C:C,"Вознаграждение Ozon",'Отчет 01.02'!E:E,B43)</f>
        <v>0</v>
      </c>
      <c r="Y43" s="45">
        <f t="shared" si="27"/>
        <v>0</v>
      </c>
      <c r="Z43" s="42">
        <f>-SUMIFS('Отчет 01.02'!P:P,'Отчет 01.02'!C:C,"Услуги доставки",'Отчет 01.02'!E:E,B43)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>
        <v>3</v>
      </c>
      <c r="D44" s="33"/>
      <c r="E44" s="33"/>
      <c r="F44" s="33"/>
      <c r="G44" s="34"/>
      <c r="H44" s="84">
        <v>687</v>
      </c>
      <c r="I44" s="54">
        <f t="shared" si="20"/>
        <v>2061</v>
      </c>
      <c r="J44" s="36"/>
      <c r="K44" s="32">
        <v>1</v>
      </c>
      <c r="L44" s="36"/>
      <c r="M44" s="36"/>
      <c r="N44" s="37">
        <f t="shared" si="38"/>
        <v>1</v>
      </c>
      <c r="O44" s="38">
        <f t="shared" si="39"/>
        <v>0</v>
      </c>
      <c r="P44" s="39">
        <f>SUMIFS('Отчет 01.02'!H:H,'Отчет 01.02'!D:D,"Выручка",'Отчет 01.02'!E:E,B44)</f>
        <v>0</v>
      </c>
      <c r="Q44" s="39">
        <f>SUMIFS('Отчет 01.02'!H:H,'Отчет 01.02'!D:D,"Возврат выручки",'Отчет 01.02'!E:E,B44)</f>
        <v>0</v>
      </c>
      <c r="R44" s="40">
        <f t="shared" si="23"/>
        <v>0</v>
      </c>
      <c r="S44" s="41">
        <f>SUMIFS('Отчет 01.02'!P:P,'Отчет 01.02'!C:C,"Продажи",'Отчет 01.02'!E:E,B44)</f>
        <v>0</v>
      </c>
      <c r="T44" s="42">
        <f>SUMIFS('Отчет 01.02'!P:P,'Отчет 01.02'!C:C,"Возвраты",'Отчет 01.02'!E:E,B44)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01.02'!P:P,'Отчет 01.02'!C:C,"Вознаграждение Ozon",'Отчет 01.02'!E:E,B44)</f>
        <v>0</v>
      </c>
      <c r="Y44" s="45">
        <f t="shared" si="27"/>
        <v>0</v>
      </c>
      <c r="Z44" s="42">
        <f>-SUMIFS('Отчет 01.02'!P:P,'Отчет 01.02'!C:C,"Услуги доставки",'Отчет 01.02'!E:E,B44)</f>
        <v>341.64</v>
      </c>
      <c r="AA44" s="32">
        <v>1028.844889</v>
      </c>
      <c r="AB44" s="55"/>
      <c r="AC44" s="42"/>
      <c r="AD44" s="46">
        <f t="shared" si="28"/>
        <v>0</v>
      </c>
      <c r="AE44" s="47">
        <f t="shared" si="29"/>
        <v>-1370.4848889999998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341.64</v>
      </c>
      <c r="AK44" s="49">
        <f t="shared" si="34"/>
        <v>0</v>
      </c>
      <c r="AL44" s="49">
        <f t="array" ref="AL44">_xlfn.IFS(R44=0,AE44,R44&lt;0,AE44/-R44,R44&gt;0,AE44/R44)</f>
        <v>-1370.4848889999998</v>
      </c>
      <c r="AM44" s="50">
        <f t="shared" si="35"/>
        <v>0</v>
      </c>
      <c r="AN44" s="51">
        <f t="shared" si="36"/>
        <v>-1.9948833901018921</v>
      </c>
      <c r="AP44" s="53">
        <f t="shared" si="37"/>
        <v>-4111.454667</v>
      </c>
    </row>
    <row r="45" spans="1:42">
      <c r="A45" s="30">
        <v>2774721190</v>
      </c>
      <c r="B45" s="31" t="s">
        <v>78</v>
      </c>
      <c r="C45" s="32">
        <v>2</v>
      </c>
      <c r="D45" s="33"/>
      <c r="E45" s="33"/>
      <c r="F45" s="33"/>
      <c r="G45" s="34"/>
      <c r="H45" s="84">
        <v>687</v>
      </c>
      <c r="I45" s="54">
        <f t="shared" si="20"/>
        <v>1374</v>
      </c>
      <c r="J45" s="36"/>
      <c r="K45" s="32">
        <v>1</v>
      </c>
      <c r="L45" s="36"/>
      <c r="M45" s="36"/>
      <c r="N45" s="37">
        <f t="shared" si="38"/>
        <v>1</v>
      </c>
      <c r="O45" s="38">
        <f t="shared" si="39"/>
        <v>1</v>
      </c>
      <c r="P45" s="39">
        <f>SUMIFS('Отчет 01.02'!H:H,'Отчет 01.02'!D:D,"Выручка",'Отчет 01.02'!E:E,B45)</f>
        <v>1</v>
      </c>
      <c r="Q45" s="39">
        <f>SUMIFS('Отчет 01.02'!H:H,'Отчет 01.02'!D:D,"Возврат выручки",'Отчет 01.02'!E:E,B45)</f>
        <v>0</v>
      </c>
      <c r="R45" s="40">
        <f t="shared" si="23"/>
        <v>1</v>
      </c>
      <c r="S45" s="41">
        <f>SUMIFS('Отчет 01.02'!P:P,'Отчет 01.02'!C:C,"Продажи",'Отчет 01.02'!E:E,B45)</f>
        <v>4940</v>
      </c>
      <c r="T45" s="42">
        <f>SUMIFS('Отчет 01.02'!P:P,'Отчет 01.02'!C:C,"Возвраты",'Отчет 01.02'!E:E,B45)</f>
        <v>0</v>
      </c>
      <c r="U45" s="40">
        <f t="shared" si="24"/>
        <v>4940</v>
      </c>
      <c r="V45" s="43">
        <f t="shared" si="25"/>
        <v>0.30023094688221708</v>
      </c>
      <c r="W45" s="44">
        <f t="shared" si="26"/>
        <v>687</v>
      </c>
      <c r="X45" s="42">
        <f>-SUMIFS('Отчет 01.02'!P:P,'Отчет 01.02'!C:C,"Вознаграждение Ozon",'Отчет 01.02'!E:E,B45)</f>
        <v>2124.1999999999998</v>
      </c>
      <c r="Y45" s="45">
        <f t="shared" si="27"/>
        <v>0.42999999999999994</v>
      </c>
      <c r="Z45" s="42">
        <f>-SUMIFS('Отчет 01.02'!P:P,'Отчет 01.02'!C:C,"Услуги доставки",'Отчет 01.02'!E:E,B45)</f>
        <v>287.93</v>
      </c>
      <c r="AA45" s="32">
        <v>2320.0100000000002</v>
      </c>
      <c r="AB45" s="55"/>
      <c r="AC45" s="42"/>
      <c r="AD45" s="46">
        <f t="shared" si="28"/>
        <v>22.57136258660508</v>
      </c>
      <c r="AE45" s="47">
        <f t="shared" si="29"/>
        <v>-501.71136258660516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2124.1999999999998</v>
      </c>
      <c r="AJ45" s="49">
        <f t="shared" si="33"/>
        <v>287.93</v>
      </c>
      <c r="AK45" s="49">
        <f t="shared" si="34"/>
        <v>2320.0100000000002</v>
      </c>
      <c r="AL45" s="49">
        <f t="array" ref="AL45">_xlfn.IFS(R45=0,AE45,R45&lt;0,AE45/-R45,R45&gt;0,AE45/R45)</f>
        <v>-501.71136258660516</v>
      </c>
      <c r="AM45" s="50">
        <f t="shared" si="35"/>
        <v>-0.10156100457218728</v>
      </c>
      <c r="AN45" s="51">
        <f t="shared" si="36"/>
        <v>-0.7302931042017542</v>
      </c>
      <c r="AP45" s="53">
        <f t="shared" si="37"/>
        <v>-1003.4227251732103</v>
      </c>
    </row>
    <row r="46" spans="1:42">
      <c r="A46" s="30">
        <v>2774718796</v>
      </c>
      <c r="B46" s="31" t="s">
        <v>79</v>
      </c>
      <c r="C46" s="32">
        <v>34</v>
      </c>
      <c r="D46" s="33"/>
      <c r="E46" s="33"/>
      <c r="F46" s="33"/>
      <c r="G46" s="34"/>
      <c r="H46" s="84">
        <v>552</v>
      </c>
      <c r="I46" s="54">
        <f t="shared" si="20"/>
        <v>18768</v>
      </c>
      <c r="J46" s="36"/>
      <c r="K46" s="32">
        <v>3</v>
      </c>
      <c r="L46" s="36"/>
      <c r="M46" s="36"/>
      <c r="N46" s="37">
        <f t="shared" si="38"/>
        <v>3</v>
      </c>
      <c r="O46" s="38">
        <f t="shared" si="39"/>
        <v>0</v>
      </c>
      <c r="P46" s="39">
        <f>SUMIFS('Отчет 01.02'!H:H,'Отчет 01.02'!D:D,"Выручка",'Отчет 01.02'!E:E,B46)</f>
        <v>0</v>
      </c>
      <c r="Q46" s="39">
        <f>SUMIFS('Отчет 01.02'!H:H,'Отчет 01.02'!D:D,"Возврат выручки",'Отчет 01.02'!E:E,B46)</f>
        <v>0</v>
      </c>
      <c r="R46" s="40">
        <f t="shared" si="23"/>
        <v>0</v>
      </c>
      <c r="S46" s="41">
        <f>SUMIFS('Отчет 01.02'!P:P,'Отчет 01.02'!C:C,"Продажи",'Отчет 01.02'!E:E,B46)</f>
        <v>0</v>
      </c>
      <c r="T46" s="42">
        <f>SUMIFS('Отчет 01.02'!P:P,'Отчет 01.02'!C:C,"Возвраты",'Отчет 01.02'!E:E,B46)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01.02'!P:P,'Отчет 01.02'!C:C,"Вознаграждение Ozon",'Отчет 01.02'!E:E,B46)</f>
        <v>0</v>
      </c>
      <c r="Y46" s="45">
        <f t="shared" si="27"/>
        <v>0</v>
      </c>
      <c r="Z46" s="42">
        <f>-SUMIFS('Отчет 01.02'!P:P,'Отчет 01.02'!C:C,"Услуги доставки",'Отчет 01.02'!E:E,B46)</f>
        <v>113.88</v>
      </c>
      <c r="AA46" s="32">
        <v>791.49744299999998</v>
      </c>
      <c r="AB46" s="55"/>
      <c r="AC46" s="42"/>
      <c r="AD46" s="46">
        <f t="shared" si="28"/>
        <v>0</v>
      </c>
      <c r="AE46" s="47">
        <f t="shared" si="29"/>
        <v>-905.37744299999997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-905.37744299999997</v>
      </c>
      <c r="AM46" s="50">
        <f t="shared" si="35"/>
        <v>0</v>
      </c>
      <c r="AN46" s="51">
        <f t="shared" si="36"/>
        <v>-1.640176527173913</v>
      </c>
      <c r="AP46" s="53">
        <f t="shared" si="37"/>
        <v>-30782.833061999998</v>
      </c>
    </row>
    <row r="47" spans="1:42">
      <c r="A47" s="30">
        <v>2774719500</v>
      </c>
      <c r="B47" s="31" t="s">
        <v>80</v>
      </c>
      <c r="C47" s="32"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v>0</v>
      </c>
      <c r="L47" s="36"/>
      <c r="M47" s="36"/>
      <c r="N47" s="37">
        <f t="shared" si="38"/>
        <v>0</v>
      </c>
      <c r="O47" s="38">
        <f t="shared" si="39"/>
        <v>0</v>
      </c>
      <c r="P47" s="39">
        <f>SUMIFS('Отчет 01.02'!H:H,'Отчет 01.02'!D:D,"Выручка",'Отчет 01.02'!E:E,B47)</f>
        <v>0</v>
      </c>
      <c r="Q47" s="39">
        <f>SUMIFS('Отчет 01.02'!H:H,'Отчет 01.02'!D:D,"Возврат выручки",'Отчет 01.02'!E:E,B47)</f>
        <v>0</v>
      </c>
      <c r="R47" s="40">
        <f t="shared" si="23"/>
        <v>0</v>
      </c>
      <c r="S47" s="41">
        <f>SUMIFS('Отчет 01.02'!P:P,'Отчет 01.02'!C:C,"Продажи",'Отчет 01.02'!E:E,B47)</f>
        <v>0</v>
      </c>
      <c r="T47" s="42">
        <f>SUMIFS('Отчет 01.02'!P:P,'Отчет 01.02'!C:C,"Возвраты",'Отчет 01.02'!E:E,B47)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01.02'!P:P,'Отчет 01.02'!C:C,"Вознаграждение Ozon",'Отчет 01.02'!E:E,B47)</f>
        <v>0</v>
      </c>
      <c r="Y47" s="45">
        <f t="shared" si="27"/>
        <v>0</v>
      </c>
      <c r="Z47" s="42">
        <f>-SUMIFS('Отчет 01.02'!P:P,'Отчет 01.02'!C:C,"Услуги доставки",'Отчет 01.02'!E:E,B47)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4940</v>
      </c>
      <c r="AH48" s="86">
        <f t="shared" si="40"/>
        <v>617.25</v>
      </c>
      <c r="AI48" s="86">
        <f t="shared" si="40"/>
        <v>2124.1999999999998</v>
      </c>
      <c r="AJ48" s="86">
        <f t="shared" si="40"/>
        <v>164.85222222222222</v>
      </c>
      <c r="AK48" s="86">
        <f t="shared" si="40"/>
        <v>2320.0100000000002</v>
      </c>
      <c r="AL48" s="86">
        <f t="shared" si="40"/>
        <v>-394.53936945866047</v>
      </c>
      <c r="AM48" s="87">
        <f t="shared" si="40"/>
        <v>-0.10156100457218728</v>
      </c>
      <c r="AN48" s="87">
        <f t="shared" si="40"/>
        <v>-0.62351788356815274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7</v>
      </c>
      <c r="L49" s="93"/>
      <c r="M49" s="93"/>
      <c r="N49" s="94"/>
      <c r="O49" s="95"/>
      <c r="P49" s="90">
        <f t="shared" ref="P49:X49" si="41">SUM(P28:P47)</f>
        <v>1</v>
      </c>
      <c r="Q49" s="90">
        <f t="shared" si="41"/>
        <v>0</v>
      </c>
      <c r="R49" s="96">
        <f t="shared" si="41"/>
        <v>1</v>
      </c>
      <c r="S49" s="90">
        <f t="shared" si="41"/>
        <v>4940</v>
      </c>
      <c r="T49" s="90">
        <f t="shared" si="41"/>
        <v>0</v>
      </c>
      <c r="U49" s="96">
        <f t="shared" si="41"/>
        <v>4940</v>
      </c>
      <c r="V49" s="97">
        <f t="shared" si="41"/>
        <v>0.30023094688221708</v>
      </c>
      <c r="W49" s="90">
        <f t="shared" si="41"/>
        <v>687</v>
      </c>
      <c r="X49" s="90">
        <f t="shared" si="41"/>
        <v>2124.1999999999998</v>
      </c>
      <c r="Y49" s="98">
        <f>IF(U49=0,0,X49/U49)</f>
        <v>0.42999999999999994</v>
      </c>
      <c r="Z49" s="90">
        <f>SUM(Z28:Z47)</f>
        <v>1483.67</v>
      </c>
      <c r="AA49" s="90">
        <f>IFERROR(P49*AA51/P51,0)</f>
        <v>878.54888888888888</v>
      </c>
      <c r="AB49" s="90">
        <f>SUM(AB28:AB47)</f>
        <v>0</v>
      </c>
      <c r="AC49" s="90">
        <f>SUM(AC28:AC47)</f>
        <v>0</v>
      </c>
      <c r="AD49" s="96">
        <f>SUM(AD28:AD47)</f>
        <v>22.57136258660508</v>
      </c>
      <c r="AE49" s="90">
        <f>SUM(AE28:AE47)</f>
        <v>-3945.3936945866049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-67128.330454173207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4567.9523319999998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26</v>
      </c>
      <c r="L51" s="119"/>
      <c r="M51" s="119"/>
      <c r="N51" s="119"/>
      <c r="O51" s="119"/>
      <c r="P51" s="120">
        <f t="shared" ref="P51:X51" si="42">P26+P49</f>
        <v>9</v>
      </c>
      <c r="Q51" s="118">
        <f t="shared" si="42"/>
        <v>1</v>
      </c>
      <c r="R51" s="121">
        <f>R26-R49</f>
        <v>6</v>
      </c>
      <c r="S51" s="118">
        <f t="shared" si="42"/>
        <v>18109</v>
      </c>
      <c r="T51" s="118">
        <f t="shared" si="42"/>
        <v>-1655</v>
      </c>
      <c r="U51" s="121">
        <f t="shared" si="42"/>
        <v>16454</v>
      </c>
      <c r="V51" s="122">
        <f t="shared" si="42"/>
        <v>1</v>
      </c>
      <c r="W51" s="118">
        <f t="shared" si="42"/>
        <v>1741.6799999999998</v>
      </c>
      <c r="X51" s="118">
        <f t="shared" si="42"/>
        <v>7075.2199999999993</v>
      </c>
      <c r="Y51" s="123">
        <f>X51/U51</f>
        <v>0.42999999999999994</v>
      </c>
      <c r="Z51" s="118">
        <f>Z26+Z49</f>
        <v>3098.51</v>
      </c>
      <c r="AA51" s="124">
        <v>7906.94</v>
      </c>
      <c r="AB51" s="125"/>
      <c r="AC51" s="125">
        <f>SUM(AC3:AC47)</f>
        <v>0</v>
      </c>
      <c r="AD51" s="118">
        <f>AD26+AD49</f>
        <v>75.179999999999993</v>
      </c>
      <c r="AE51" s="126">
        <f>AE26+AE49</f>
        <v>-3443.5354419999994</v>
      </c>
      <c r="AF51" s="127"/>
      <c r="AG51" s="128"/>
      <c r="AH51" s="129"/>
      <c r="AI51" s="129"/>
      <c r="AJ51" s="129"/>
      <c r="AK51" s="129">
        <f>AA52/P51</f>
        <v>878.54888888888888</v>
      </c>
      <c r="AL51" s="129"/>
      <c r="AM51" s="129"/>
      <c r="AN51" s="130"/>
      <c r="AP51" s="126">
        <f>SUM(AP3:AP47)</f>
        <v>-735329.47158564627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7906.94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7906.9454420000002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-735329.47158564627</v>
      </c>
      <c r="L59" s="161">
        <f>K59/I59</f>
        <v>-0.79055655906126199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11" priority="36" operator="greaterThan">
      <formula>120</formula>
    </cfRule>
  </conditionalFormatting>
  <conditionalFormatting sqref="N50">
    <cfRule type="cellIs" dxfId="110" priority="35" operator="between">
      <formula>0.000001</formula>
      <formula>25</formula>
    </cfRule>
  </conditionalFormatting>
  <conditionalFormatting sqref="AM56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{1682DB8C-CA9F-406F-8A60-9CC7B2DDACF6}</x14:id>
        </ext>
      </extLst>
    </cfRule>
  </conditionalFormatting>
  <conditionalFormatting sqref="AP3:AP7 AP27:AP47 AP50 AP10:AP2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{1C6A774D-0B76-4C76-947F-CE59567A84BC}</x14:id>
        </ext>
      </extLst>
    </cfRule>
  </conditionalFormatting>
  <conditionalFormatting sqref="AE3:AE7 AE27:AE48 AE50 AE10:AE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{9C2B357B-B8B2-4F9C-B866-C73652472201}</x14:id>
        </ext>
      </extLst>
    </cfRule>
  </conditionalFormatting>
  <conditionalFormatting sqref="AL3:AL7 AL27:AL47 AL50 AL10:AL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{91BFB6F7-FD5F-4183-9B00-C7E9E1F2B5E4}</x14:id>
        </ext>
      </extLst>
    </cfRule>
  </conditionalFormatting>
  <conditionalFormatting sqref="AM3:AN7 AM27:AN47 AM50:AN50 AM10:AN24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{D0F1A848-E8C9-46DD-9BE5-4F0339EEBFEE}</x14:id>
        </ext>
      </extLst>
    </cfRule>
  </conditionalFormatting>
  <conditionalFormatting sqref="AP3:AP7 AP27:AP47 AP10:AP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{9954848C-4B2C-421A-892B-4DD08B6275E9}</x14:id>
        </ext>
      </extLst>
    </cfRule>
  </conditionalFormatting>
  <conditionalFormatting sqref="AE3:AE7 AE27:AE48 AE10:AE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{5334A925-5F19-4FF1-ADEF-8116CD2B2E7B}</x14:id>
        </ext>
      </extLst>
    </cfRule>
  </conditionalFormatting>
  <conditionalFormatting sqref="U48 U27 U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{3A68A40B-4707-47FA-93BE-6F473BC91FC5}</x14:id>
        </ext>
      </extLst>
    </cfRule>
  </conditionalFormatting>
  <conditionalFormatting sqref="AP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{4BBA79B8-A0E0-4167-BAB7-E74F0DB62A48}</x14:id>
        </ext>
      </extLst>
    </cfRule>
  </conditionalFormatting>
  <conditionalFormatting sqref="AP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{7CC1C07D-CD89-4329-B996-E075630D7672}</x14:id>
        </ext>
      </extLst>
    </cfRule>
  </conditionalFormatting>
  <conditionalFormatting sqref="P50">
    <cfRule type="cellIs" dxfId="109" priority="31" operator="greaterThan">
      <formula>120</formula>
    </cfRule>
  </conditionalFormatting>
  <conditionalFormatting sqref="Q50">
    <cfRule type="cellIs" dxfId="108" priority="30" operator="greaterThan">
      <formula>120</formula>
    </cfRule>
  </conditionalFormatting>
  <conditionalFormatting sqref="R50">
    <cfRule type="cellIs" dxfId="107" priority="29" operator="greaterThan">
      <formula>120</formula>
    </cfRule>
  </conditionalFormatting>
  <conditionalFormatting sqref="S50">
    <cfRule type="cellIs" dxfId="106" priority="28" operator="greaterThan">
      <formula>120</formula>
    </cfRule>
  </conditionalFormatting>
  <conditionalFormatting sqref="T50">
    <cfRule type="cellIs" dxfId="105" priority="27" operator="greaterThan">
      <formula>120</formula>
    </cfRule>
  </conditionalFormatting>
  <conditionalFormatting sqref="U50">
    <cfRule type="cellIs" dxfId="104" priority="26" operator="greaterThan">
      <formula>120</formula>
    </cfRule>
  </conditionalFormatting>
  <conditionalFormatting sqref="W50">
    <cfRule type="cellIs" dxfId="103" priority="24" operator="greaterThan">
      <formula>120</formula>
    </cfRule>
  </conditionalFormatting>
  <conditionalFormatting sqref="X50">
    <cfRule type="cellIs" dxfId="102" priority="23" operator="greaterThan">
      <formula>120</formula>
    </cfRule>
  </conditionalFormatting>
  <conditionalFormatting sqref="Z50">
    <cfRule type="cellIs" dxfId="101" priority="22" operator="greaterThan">
      <formula>120</formula>
    </cfRule>
  </conditionalFormatting>
  <conditionalFormatting sqref="AP4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{F6500501-2FF8-4D5D-B680-9CB5772A3438}</x14:id>
        </ext>
      </extLst>
    </cfRule>
  </conditionalFormatting>
  <conditionalFormatting sqref="AP48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{1BF3BAF3-F2A7-44CA-9931-5A55933CA8BE}</x14:id>
        </ext>
      </extLst>
    </cfRule>
  </conditionalFormatting>
  <conditionalFormatting sqref="J8:J9">
    <cfRule type="cellIs" dxfId="100" priority="13" operator="greaterThan">
      <formula>120</formula>
    </cfRule>
  </conditionalFormatting>
  <conditionalFormatting sqref="AP8:AP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{AB490E2E-6CD1-4278-AD5A-88EFF00A3FBF}</x14:id>
        </ext>
      </extLst>
    </cfRule>
  </conditionalFormatting>
  <conditionalFormatting sqref="AE8:AE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{053C7498-A576-4C4F-B49B-17E4D360D684}</x14:id>
        </ext>
      </extLst>
    </cfRule>
  </conditionalFormatting>
  <conditionalFormatting sqref="AL8:AL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{94B986D3-C442-4EA5-92AD-75A3AD47A41D}</x14:id>
        </ext>
      </extLst>
    </cfRule>
  </conditionalFormatting>
  <conditionalFormatting sqref="AM8:AN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{D88B2E95-92E8-455C-990B-59047E812772}</x14:id>
        </ext>
      </extLst>
    </cfRule>
  </conditionalFormatting>
  <conditionalFormatting sqref="AP8:AP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{9463A600-B50A-4C1A-AB43-74B67C1E612D}</x14:id>
        </ext>
      </extLst>
    </cfRule>
  </conditionalFormatting>
  <conditionalFormatting sqref="AE8:AE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{FF145F65-85F2-4762-992E-D4EB8E7FF820}</x14:id>
        </ext>
      </extLst>
    </cfRule>
  </conditionalFormatting>
  <conditionalFormatting sqref="U3:U24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{AB05484A-8B0B-4846-9EE5-075079B182D4}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{80F59DDB-E026-4960-9C6C-5016BD565DC1}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{55FE14AD-8313-4E74-9615-178B32F53B1C}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{2591E367-DAA9-4F18-B5FF-8E094B154411}</x14:id>
        </ext>
      </extLst>
    </cfRule>
  </conditionalFormatting>
  <conditionalFormatting sqref="V1 V52:V55 V57:V1048576">
    <cfRule type="cellIs" dxfId="99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{D91181FE-BA1E-490C-B56E-31B830CCDA8E}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{8EE346D7-6B91-4C6F-92FA-FA3531CA10B0}</x14:id>
        </ext>
      </extLst>
    </cfRule>
  </conditionalFormatting>
  <conditionalFormatting sqref="V50">
    <cfRule type="cellIs" dxfId="98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{8C97612A-7605-4D83-AE52-EA5C8D27B2CE}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{CC4E9630-9CD5-48E4-B63B-0028D516929D}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82DB8C-CA9F-406F-8A60-9CC7B2DDAC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1C6A774D-0B76-4C76-947F-CE59567A84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C2B357B-B8B2-4F9C-B866-C736524722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91BFB6F7-FD5F-4183-9B00-C7E9E1F2B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0F1A848-E8C9-46DD-9BE5-4F0339EEB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9954848C-4B2C-421A-892B-4DD08B6275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334A925-5F19-4FF1-ADEF-8116CD2B2E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3A68A40B-4707-47FA-93BE-6F473BC91F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4BBA79B8-A0E0-4167-BAB7-E74F0DB62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7CC1C07D-CD89-4329-B996-E075630D76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6500501-2FF8-4D5D-B680-9CB5772A34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1BF3BAF3-F2A7-44CA-9931-5A55933CA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B490E2E-6CD1-4278-AD5A-88EFF00A3F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053C7498-A576-4C4F-B49B-17E4D360D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94B986D3-C442-4EA5-92AD-75A3AD47A4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88B2E95-92E8-455C-990B-59047E8127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463A600-B50A-4C1A-AB43-74B67C1E6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F145F65-85F2-4762-992E-D4EB8E7FF8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AB05484A-8B0B-4846-9EE5-075079B182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80F59DDB-E026-4960-9C6C-5016BD565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5FE14AD-8313-4E74-9615-178B32F53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2591E367-DAA9-4F18-B5FF-8E094B154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D91181FE-BA1E-490C-B56E-31B830CCD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EE346D7-6B91-4C6F-92FA-FA3531CA10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8C97612A-7605-4D83-AE52-EA5C8D27B2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CC4E9630-9CD5-48E4-B63B-0028D5169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B64F2-69E3-4358-8D4E-40C0BF9AA3B2}">
  <dimension ref="A1:AZ64"/>
  <sheetViews>
    <sheetView zoomScale="70" zoomScaleNormal="70" workbookViewId="0">
      <pane xSplit="2" ySplit="2" topLeftCell="T41" activePane="bottomRight" state="frozen"/>
      <selection pane="topRight" activeCell="C1" sqref="C1"/>
      <selection pane="bottomLeft" activeCell="A3" sqref="A3"/>
      <selection pane="bottomRight" activeCell="AD56" sqref="AD5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330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3.179687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5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323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5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748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324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1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  <c r="AR2" s="10" t="s">
        <v>1261</v>
      </c>
      <c r="AS2" s="10" t="s">
        <v>1262</v>
      </c>
    </row>
    <row r="3" spans="1:45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f>'Юнит 01-04.01'!K3+'Юнит 05-11.01'!K3+'Юнит 12-18.01'!K3+'Юнит 19-25.01'!K3+'Юнит 26-31.01'!K3</f>
        <v>286</v>
      </c>
      <c r="L3" s="36"/>
      <c r="M3" s="36"/>
      <c r="N3" s="37">
        <f>K3/31</f>
        <v>9.2258064516129039</v>
      </c>
      <c r="O3" s="38">
        <f>R3/31</f>
        <v>5.612903225806452</v>
      </c>
      <c r="P3" s="32">
        <f>'Юнит 01-04.01'!P3+'Юнит 05-11.01'!P3+'Юнит 12-18.01'!P3+'Юнит 19-25.01'!P3+'Юнит 26-31.01'!P3</f>
        <v>179</v>
      </c>
      <c r="Q3" s="32">
        <f>'Юнит 01-04.01'!Q3+'Юнит 05-11.01'!Q3+'Юнит 12-18.01'!Q3+'Юнит 19-25.01'!Q3+'Юнит 26-31.01'!Q3</f>
        <v>5</v>
      </c>
      <c r="R3" s="40">
        <f>P3-Q3</f>
        <v>174</v>
      </c>
      <c r="S3" s="32">
        <f>'Юнит 01-04.01'!S3+'Юнит 05-11.01'!S3+'Юнит 12-18.01'!S3+'Юнит 19-25.01'!S3+'Юнит 26-31.01'!S3</f>
        <v>295858.00000000006</v>
      </c>
      <c r="T3" s="32">
        <f>'Юнит 01-04.01'!T3+'Юнит 05-11.01'!T3+'Юнит 12-18.01'!T3+'Юнит 19-25.01'!T3+'Юнит 26-31.01'!T3</f>
        <v>-8452</v>
      </c>
      <c r="U3" s="325">
        <f t="shared" ref="U3:U24" si="1">S3+T3</f>
        <v>287406.00000000006</v>
      </c>
      <c r="V3" s="43">
        <f>U3/$U$51</f>
        <v>0.45624997023483532</v>
      </c>
      <c r="W3" s="44">
        <f t="shared" ref="W3:W24" si="2">R3*H3</f>
        <v>24878.519999999997</v>
      </c>
      <c r="X3" s="32">
        <f>'Юнит 01-04.01'!X3+'Юнит 05-11.01'!X3+'Юнит 12-18.01'!X3+'Юнит 19-25.01'!X3+'Юнит 26-31.01'!X3</f>
        <v>123584.57999999999</v>
      </c>
      <c r="Y3" s="45">
        <f t="shared" ref="Y3:Y24" si="3">IF(U3=0,0,X3/U3)</f>
        <v>0.42999999999999988</v>
      </c>
      <c r="Z3" s="32">
        <f>'Юнит 01-04.01'!Z3+'Юнит 05-11.01'!Z3+'Юнит 12-18.01'!Z3+'Юнит 19-25.01'!Z3+'Юнит 26-31.01'!Z3</f>
        <v>32336.160000000022</v>
      </c>
      <c r="AA3" s="32">
        <f>'Юнит 01-04.01'!AA3+'Юнит 05-11.01'!AA3+'Юнит 12-18.01'!AA3+'Юнит 19-25.01'!AA3+'Юнит 26-31.01'!AA3</f>
        <v>64662.952641000003</v>
      </c>
      <c r="AB3" s="42"/>
      <c r="AC3" s="42"/>
      <c r="AD3" s="46">
        <f>2656.15*U3/$U$51</f>
        <v>1211.8683584392579</v>
      </c>
      <c r="AE3" s="47">
        <f>U3-W3-X3-Z3-AA3-AB3-AC3-AD3</f>
        <v>40731.919000560774</v>
      </c>
      <c r="AF3" s="46"/>
      <c r="AG3" s="48">
        <f t="shared" ref="AG3:AG24" si="4">IF(R3=0,0,U3/R3)</f>
        <v>1651.7586206896556</v>
      </c>
      <c r="AH3" s="49">
        <f t="shared" ref="AH3:AH24" si="5">H3</f>
        <v>142.97999999999999</v>
      </c>
      <c r="AI3" s="49">
        <f t="shared" ref="AI3:AI24" si="6">IF(R3=0,0,X3/R3)</f>
        <v>710.2562068965517</v>
      </c>
      <c r="AJ3" s="49">
        <f t="shared" ref="AJ3:AJ24" si="7">IF(P3=0,Z3/1,Z3/P3)</f>
        <v>180.64893854748615</v>
      </c>
      <c r="AK3" s="49">
        <f t="shared" ref="AK3:AK24" si="8">IF(P3=0,0,AA3/P3)</f>
        <v>361.24554548044694</v>
      </c>
      <c r="AL3" s="49">
        <f>_xlfn.IFS(R3=0,AE3,R3&lt;0,AE3/-R3,R3&gt;0,AE3/R3)</f>
        <v>234.09148850896997</v>
      </c>
      <c r="AM3" s="50">
        <f t="shared" ref="AM3:AM24" si="9">IF(AG3=0,0,AL3/AG3)</f>
        <v>0.14172257712281847</v>
      </c>
      <c r="AN3" s="51">
        <f t="shared" ref="AN3:AN24" si="10">IF(AH3=0,0,AL3/AH3)</f>
        <v>1.6372323996990488</v>
      </c>
      <c r="AP3" s="53">
        <f t="shared" ref="AP3:AP24" si="11">AL3*C3</f>
        <v>0</v>
      </c>
      <c r="AR3" s="331">
        <v>0.68</v>
      </c>
      <c r="AS3" s="333">
        <f>U3/AR3</f>
        <v>422655.8823529412</v>
      </c>
    </row>
    <row r="4" spans="1:45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11</v>
      </c>
      <c r="L4" s="36"/>
      <c r="M4" s="36"/>
      <c r="N4" s="37">
        <f t="shared" ref="N4:N24" si="12">K4/31</f>
        <v>0.35483870967741937</v>
      </c>
      <c r="O4" s="38">
        <f t="shared" ref="O4:O24" si="13">R4/31</f>
        <v>0.29032258064516131</v>
      </c>
      <c r="P4" s="32">
        <f>'Юнит 01-04.01'!P4+'Юнит 05-11.01'!P4+'Юнит 12-18.01'!P4+'Юнит 19-25.01'!P4+'Юнит 26-31.01'!P4</f>
        <v>9</v>
      </c>
      <c r="Q4" s="32">
        <f>'Юнит 01-04.01'!Q4+'Юнит 05-11.01'!Q4+'Юнит 12-18.01'!Q4+'Юнит 19-25.01'!Q4+'Юнит 26-31.01'!Q4</f>
        <v>0</v>
      </c>
      <c r="R4" s="40">
        <f t="shared" ref="R4:R24" si="14">P4-Q4</f>
        <v>9</v>
      </c>
      <c r="S4" s="32">
        <f>'Юнит 01-04.01'!S4+'Юнит 05-11.01'!S4+'Юнит 12-18.01'!S4+'Юнит 19-25.01'!S4+'Юнит 26-31.01'!S4</f>
        <v>14267</v>
      </c>
      <c r="T4" s="32">
        <f>'Юнит 01-04.01'!T4+'Юнит 05-11.01'!T4+'Юнит 12-18.01'!T4+'Юнит 19-25.01'!T4+'Юнит 26-31.01'!T4</f>
        <v>0</v>
      </c>
      <c r="U4" s="325">
        <f t="shared" si="1"/>
        <v>14267</v>
      </c>
      <c r="V4" s="43">
        <f t="shared" ref="V4:V24" si="15">U4/$U$51</f>
        <v>2.2648512297378603E-2</v>
      </c>
      <c r="W4" s="44">
        <f t="shared" si="2"/>
        <v>1107.81</v>
      </c>
      <c r="X4" s="32">
        <f>'Юнит 01-04.01'!X4+'Юнит 05-11.01'!X4+'Юнит 12-18.01'!X4+'Юнит 19-25.01'!X4+'Юнит 26-31.01'!X4</f>
        <v>6134.81</v>
      </c>
      <c r="Y4" s="45">
        <f t="shared" si="3"/>
        <v>0.43000000000000005</v>
      </c>
      <c r="Z4" s="32">
        <f>'Юнит 01-04.01'!Z4+'Юнит 05-11.01'!Z4+'Юнит 12-18.01'!Z4+'Юнит 19-25.01'!Z4+'Юнит 26-31.01'!Z4</f>
        <v>1415.0500000000002</v>
      </c>
      <c r="AA4" s="32">
        <f>'Юнит 01-04.01'!AA4+'Юнит 05-11.01'!AA4+'Юнит 12-18.01'!AA4+'Юнит 19-25.01'!AA4+'Юнит 26-31.01'!AA4</f>
        <v>5180.2253089999995</v>
      </c>
      <c r="AB4" s="42"/>
      <c r="AC4" s="42"/>
      <c r="AD4" s="46">
        <f t="shared" ref="AD4:AD24" si="16">2656.15*U4/$U$51</f>
        <v>60.157845938682179</v>
      </c>
      <c r="AE4" s="47">
        <f t="shared" ref="AE4:AE24" si="17">U4-W4-X4-Z4-AA4-AB4-AC4-AD4</f>
        <v>368.9468450613183</v>
      </c>
      <c r="AF4" s="46"/>
      <c r="AG4" s="48">
        <f t="shared" si="4"/>
        <v>1585.2222222222222</v>
      </c>
      <c r="AH4" s="49">
        <f t="shared" si="5"/>
        <v>123.09</v>
      </c>
      <c r="AI4" s="49">
        <f t="shared" si="6"/>
        <v>681.64555555555557</v>
      </c>
      <c r="AJ4" s="49">
        <f t="shared" si="7"/>
        <v>157.22777777777779</v>
      </c>
      <c r="AK4" s="49">
        <f t="shared" si="8"/>
        <v>575.58058988888888</v>
      </c>
      <c r="AL4" s="49">
        <f t="array" ref="AL4">_xlfn.IFS(R4=0,AE4,R4&lt;0,AE4/-R4,R4&gt;0,AE4/R4)</f>
        <v>40.994093895702036</v>
      </c>
      <c r="AM4" s="50">
        <f t="shared" si="9"/>
        <v>2.5860155958598047E-2</v>
      </c>
      <c r="AN4" s="51">
        <f t="shared" si="10"/>
        <v>0.33304162722968589</v>
      </c>
      <c r="AP4" s="53">
        <f t="shared" si="11"/>
        <v>0</v>
      </c>
      <c r="AR4" s="332">
        <v>0.57999999999999996</v>
      </c>
      <c r="AS4" s="333">
        <f t="shared" ref="AS4:AS9" si="18">U4/AR4</f>
        <v>24598.275862068967</v>
      </c>
    </row>
    <row r="5" spans="1:45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5</v>
      </c>
      <c r="L5" s="36"/>
      <c r="M5" s="36"/>
      <c r="N5" s="37">
        <f t="shared" si="12"/>
        <v>0.16129032258064516</v>
      </c>
      <c r="O5" s="38">
        <f t="shared" si="13"/>
        <v>0.12903225806451613</v>
      </c>
      <c r="P5" s="32">
        <f>'Юнит 01-04.01'!P5+'Юнит 05-11.01'!P5+'Юнит 12-18.01'!P5+'Юнит 19-25.01'!P5+'Юнит 26-31.01'!P5</f>
        <v>4</v>
      </c>
      <c r="Q5" s="32">
        <f>'Юнит 01-04.01'!Q5+'Юнит 05-11.01'!Q5+'Юнит 12-18.01'!Q5+'Юнит 19-25.01'!Q5+'Юнит 26-31.01'!Q5</f>
        <v>0</v>
      </c>
      <c r="R5" s="40">
        <f t="shared" si="14"/>
        <v>4</v>
      </c>
      <c r="S5" s="32">
        <f>'Юнит 01-04.01'!S5+'Юнит 05-11.01'!S5+'Юнит 12-18.01'!S5+'Юнит 19-25.01'!S5+'Юнит 26-31.01'!S5</f>
        <v>4824</v>
      </c>
      <c r="T5" s="32">
        <f>'Юнит 01-04.01'!T5+'Юнит 05-11.01'!T5+'Юнит 12-18.01'!T5+'Юнит 19-25.01'!T5+'Юнит 26-31.01'!T5</f>
        <v>0</v>
      </c>
      <c r="U5" s="325">
        <f t="shared" si="1"/>
        <v>4824</v>
      </c>
      <c r="V5" s="43">
        <f t="shared" si="15"/>
        <v>7.6579815884596884E-3</v>
      </c>
      <c r="W5" s="44">
        <f t="shared" si="2"/>
        <v>492.36</v>
      </c>
      <c r="X5" s="32">
        <f>'Юнит 01-04.01'!X5+'Юнит 05-11.01'!X5+'Юнит 12-18.01'!X5+'Юнит 19-25.01'!X5+'Юнит 26-31.01'!X5</f>
        <v>2074.3200000000002</v>
      </c>
      <c r="Y5" s="45">
        <f t="shared" si="3"/>
        <v>0.43000000000000005</v>
      </c>
      <c r="Z5" s="32">
        <f>'Юнит 01-04.01'!Z5+'Юнит 05-11.01'!Z5+'Юнит 12-18.01'!Z5+'Юнит 19-25.01'!Z5+'Юнит 26-31.01'!Z5</f>
        <v>508.66999999999996</v>
      </c>
      <c r="AA5" s="32">
        <f>'Юнит 01-04.01'!AA5+'Юнит 05-11.01'!AA5+'Юнит 12-18.01'!AA5+'Юнит 19-25.01'!AA5+'Юнит 26-31.01'!AA5</f>
        <v>0</v>
      </c>
      <c r="AB5" s="55"/>
      <c r="AC5" s="42"/>
      <c r="AD5" s="46">
        <f t="shared" si="16"/>
        <v>20.340747796187202</v>
      </c>
      <c r="AE5" s="47">
        <f t="shared" si="17"/>
        <v>1728.3092522038128</v>
      </c>
      <c r="AF5" s="46"/>
      <c r="AG5" s="48">
        <f t="shared" si="4"/>
        <v>1206</v>
      </c>
      <c r="AH5" s="49">
        <f t="shared" si="5"/>
        <v>123.09</v>
      </c>
      <c r="AI5" s="49">
        <f t="shared" si="6"/>
        <v>518.58000000000004</v>
      </c>
      <c r="AJ5" s="49">
        <f t="shared" si="7"/>
        <v>127.16749999999999</v>
      </c>
      <c r="AK5" s="49">
        <f t="shared" si="8"/>
        <v>0</v>
      </c>
      <c r="AL5" s="49">
        <f t="array" ref="AL5">_xlfn.IFS(R5=0,AE5,R5&lt;0,AE5/-R5,R5&gt;0,AE5/R5)</f>
        <v>432.07731305095319</v>
      </c>
      <c r="AM5" s="50">
        <f t="shared" si="9"/>
        <v>0.35827306223130445</v>
      </c>
      <c r="AN5" s="51">
        <f t="shared" si="10"/>
        <v>3.5102552039235779</v>
      </c>
      <c r="AP5" s="53">
        <f t="shared" si="11"/>
        <v>0</v>
      </c>
      <c r="AR5" s="332">
        <v>0.76</v>
      </c>
      <c r="AS5" s="333">
        <f t="shared" si="18"/>
        <v>6347.3684210526317</v>
      </c>
    </row>
    <row r="6" spans="1:45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30</v>
      </c>
      <c r="L6" s="36"/>
      <c r="M6" s="36"/>
      <c r="N6" s="37">
        <f t="shared" si="12"/>
        <v>0.967741935483871</v>
      </c>
      <c r="O6" s="38">
        <f t="shared" si="13"/>
        <v>1.064516129032258</v>
      </c>
      <c r="P6" s="32">
        <f>'Юнит 01-04.01'!P6+'Юнит 05-11.01'!P6+'Юнит 12-18.01'!P6+'Юнит 19-25.01'!P6+'Юнит 26-31.01'!P6</f>
        <v>34</v>
      </c>
      <c r="Q6" s="32">
        <f>'Юнит 01-04.01'!Q6+'Юнит 05-11.01'!Q6+'Юнит 12-18.01'!Q6+'Юнит 19-25.01'!Q6+'Юнит 26-31.01'!Q6</f>
        <v>1</v>
      </c>
      <c r="R6" s="40">
        <f t="shared" si="14"/>
        <v>33</v>
      </c>
      <c r="S6" s="32">
        <f>'Юнит 01-04.01'!S6+'Юнит 05-11.01'!S6+'Юнит 12-18.01'!S6+'Юнит 19-25.01'!S6+'Юнит 26-31.01'!S6</f>
        <v>52492</v>
      </c>
      <c r="T6" s="32">
        <f>'Юнит 01-04.01'!T6+'Юнит 05-11.01'!T6+'Юнит 12-18.01'!T6+'Юнит 19-25.01'!T6+'Юнит 26-31.01'!T6</f>
        <v>-1687</v>
      </c>
      <c r="U6" s="325">
        <f t="shared" si="1"/>
        <v>50805</v>
      </c>
      <c r="V6" s="43">
        <f t="shared" si="15"/>
        <v>8.0651690423236833E-2</v>
      </c>
      <c r="W6" s="44">
        <f t="shared" si="2"/>
        <v>4061.9700000000003</v>
      </c>
      <c r="X6" s="32">
        <f>'Юнит 01-04.01'!X6+'Юнит 05-11.01'!X6+'Юнит 12-18.01'!X6+'Юнит 19-25.01'!X6+'Юнит 26-31.01'!X6</f>
        <v>21846.15</v>
      </c>
      <c r="Y6" s="45">
        <f t="shared" si="3"/>
        <v>0.43000000000000005</v>
      </c>
      <c r="Z6" s="32">
        <f>'Юнит 01-04.01'!Z6+'Юнит 05-11.01'!Z6+'Юнит 12-18.01'!Z6+'Юнит 19-25.01'!Z6+'Юнит 26-31.01'!Z6</f>
        <v>5305.11</v>
      </c>
      <c r="AA6" s="32">
        <f>'Юнит 01-04.01'!AA6+'Юнит 05-11.01'!AA6+'Юнит 12-18.01'!AA6+'Юнит 19-25.01'!AA6+'Юнит 26-31.01'!AA6</f>
        <v>12048.636912</v>
      </c>
      <c r="AB6" s="55"/>
      <c r="AC6" s="42"/>
      <c r="AD6" s="46">
        <f t="shared" si="16"/>
        <v>214.22298751768051</v>
      </c>
      <c r="AE6" s="47">
        <f t="shared" si="17"/>
        <v>7328.910100482316</v>
      </c>
      <c r="AF6" s="46"/>
      <c r="AG6" s="48">
        <f t="shared" si="4"/>
        <v>1539.5454545454545</v>
      </c>
      <c r="AH6" s="49">
        <f t="shared" si="5"/>
        <v>123.09</v>
      </c>
      <c r="AI6" s="49">
        <f t="shared" si="6"/>
        <v>662.00454545454545</v>
      </c>
      <c r="AJ6" s="49">
        <f t="shared" si="7"/>
        <v>156.03264705882353</v>
      </c>
      <c r="AK6" s="49">
        <f t="shared" si="8"/>
        <v>354.37167388235292</v>
      </c>
      <c r="AL6" s="49">
        <f t="array" ref="AL6">_xlfn.IFS(R6=0,AE6,R6&lt;0,AE6/-R6,R6&gt;0,AE6/R6)</f>
        <v>222.08818486310048</v>
      </c>
      <c r="AM6" s="50">
        <f t="shared" si="9"/>
        <v>0.1442556854735226</v>
      </c>
      <c r="AN6" s="51">
        <f t="shared" si="10"/>
        <v>1.8042747978154234</v>
      </c>
      <c r="AP6" s="53">
        <f t="shared" si="11"/>
        <v>0</v>
      </c>
      <c r="AR6" s="332">
        <v>0.74</v>
      </c>
      <c r="AS6" s="333">
        <f t="shared" si="18"/>
        <v>68655.4054054054</v>
      </c>
    </row>
    <row r="7" spans="1:45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26</v>
      </c>
      <c r="L7" s="36"/>
      <c r="M7" s="36"/>
      <c r="N7" s="37">
        <f t="shared" si="12"/>
        <v>0.83870967741935487</v>
      </c>
      <c r="O7" s="38">
        <f t="shared" si="13"/>
        <v>0.38709677419354838</v>
      </c>
      <c r="P7" s="32">
        <f>'Юнит 01-04.01'!P7+'Юнит 05-11.01'!P7+'Юнит 12-18.01'!P7+'Юнит 19-25.01'!P7+'Юнит 26-31.01'!P7</f>
        <v>12</v>
      </c>
      <c r="Q7" s="32">
        <f>'Юнит 01-04.01'!Q7+'Юнит 05-11.01'!Q7+'Юнит 12-18.01'!Q7+'Юнит 19-25.01'!Q7+'Юнит 26-31.01'!Q7</f>
        <v>0</v>
      </c>
      <c r="R7" s="40">
        <f t="shared" si="14"/>
        <v>12</v>
      </c>
      <c r="S7" s="32">
        <f>'Юнит 01-04.01'!S7+'Юнит 05-11.01'!S7+'Юнит 12-18.01'!S7+'Юнит 19-25.01'!S7+'Юнит 26-31.01'!S7</f>
        <v>20028</v>
      </c>
      <c r="T7" s="32">
        <f>'Юнит 01-04.01'!T7+'Юнит 05-11.01'!T7+'Юнит 12-18.01'!T7+'Юнит 19-25.01'!T7+'Юнит 26-31.01'!T7</f>
        <v>0</v>
      </c>
      <c r="U7" s="325">
        <f t="shared" si="1"/>
        <v>20028</v>
      </c>
      <c r="V7" s="43">
        <f t="shared" si="15"/>
        <v>3.1793958385918461E-2</v>
      </c>
      <c r="W7" s="44">
        <f t="shared" si="2"/>
        <v>1406.8799999999999</v>
      </c>
      <c r="X7" s="32">
        <f>'Юнит 01-04.01'!X7+'Юнит 05-11.01'!X7+'Юнит 12-18.01'!X7+'Юнит 19-25.01'!X7+'Юнит 26-31.01'!X7</f>
        <v>8612.0400000000009</v>
      </c>
      <c r="Y7" s="45">
        <f t="shared" si="3"/>
        <v>0.43000000000000005</v>
      </c>
      <c r="Z7" s="32">
        <f>'Юнит 01-04.01'!Z7+'Юнит 05-11.01'!Z7+'Юнит 12-18.01'!Z7+'Юнит 19-25.01'!Z7+'Юнит 26-31.01'!Z7</f>
        <v>2443.7599999999998</v>
      </c>
      <c r="AA7" s="32">
        <f>'Юнит 01-04.01'!AA7+'Юнит 05-11.01'!AA7+'Юнит 12-18.01'!AA7+'Юнит 19-25.01'!AA7+'Юнит 26-31.01'!AA7</f>
        <v>2181.0972550000001</v>
      </c>
      <c r="AB7" s="55"/>
      <c r="AC7" s="42"/>
      <c r="AD7" s="46">
        <f t="shared" si="16"/>
        <v>84.44952256675731</v>
      </c>
      <c r="AE7" s="47">
        <f t="shared" si="17"/>
        <v>5299.7732224332403</v>
      </c>
      <c r="AF7" s="46"/>
      <c r="AG7" s="48">
        <f t="shared" si="4"/>
        <v>1669</v>
      </c>
      <c r="AH7" s="49">
        <f t="shared" si="5"/>
        <v>117.24</v>
      </c>
      <c r="AI7" s="49">
        <f t="shared" si="6"/>
        <v>717.67000000000007</v>
      </c>
      <c r="AJ7" s="49">
        <f t="shared" si="7"/>
        <v>203.64666666666665</v>
      </c>
      <c r="AK7" s="49">
        <f t="shared" si="8"/>
        <v>181.75810458333333</v>
      </c>
      <c r="AL7" s="49">
        <f t="array" ref="AL7">_xlfn.IFS(R7=0,AE7,R7&lt;0,AE7/-R7,R7&gt;0,AE7/R7)</f>
        <v>441.64776853610334</v>
      </c>
      <c r="AM7" s="50">
        <f t="shared" si="9"/>
        <v>0.26461819564775513</v>
      </c>
      <c r="AN7" s="51">
        <f t="shared" si="10"/>
        <v>3.7670399909254808</v>
      </c>
      <c r="AP7" s="53">
        <f t="shared" si="11"/>
        <v>0</v>
      </c>
      <c r="AR7" s="332">
        <v>0.6</v>
      </c>
      <c r="AS7" s="333">
        <f t="shared" si="18"/>
        <v>33380</v>
      </c>
    </row>
    <row r="8" spans="1:45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4</v>
      </c>
      <c r="L8" s="36"/>
      <c r="M8" s="36"/>
      <c r="N8" s="37">
        <f t="shared" si="12"/>
        <v>0.12903225806451613</v>
      </c>
      <c r="O8" s="38">
        <f t="shared" si="13"/>
        <v>9.6774193548387094E-2</v>
      </c>
      <c r="P8" s="32">
        <f>'Юнит 01-04.01'!P8+'Юнит 05-11.01'!P8+'Юнит 12-18.01'!P8+'Юнит 19-25.01'!P8+'Юнит 26-31.01'!P8</f>
        <v>3</v>
      </c>
      <c r="Q8" s="32">
        <f>'Юнит 01-04.01'!Q8+'Юнит 05-11.01'!Q8+'Юнит 12-18.01'!Q8+'Юнит 19-25.01'!Q8+'Юнит 26-31.01'!Q8</f>
        <v>0</v>
      </c>
      <c r="R8" s="40">
        <f t="shared" si="14"/>
        <v>3</v>
      </c>
      <c r="S8" s="32">
        <f>'Юнит 01-04.01'!S8+'Юнит 05-11.01'!S8+'Юнит 12-18.01'!S8+'Юнит 19-25.01'!S8+'Юнит 26-31.01'!S8</f>
        <v>4617</v>
      </c>
      <c r="T8" s="32">
        <f>'Юнит 01-04.01'!T8+'Юнит 05-11.01'!T8+'Юнит 12-18.01'!T8+'Юнит 19-25.01'!T8+'Юнит 26-31.01'!T8</f>
        <v>0</v>
      </c>
      <c r="U8" s="325">
        <f t="shared" si="1"/>
        <v>4617</v>
      </c>
      <c r="V8" s="43">
        <f t="shared" si="15"/>
        <v>7.3293741695519034E-3</v>
      </c>
      <c r="W8" s="44">
        <f t="shared" si="2"/>
        <v>369</v>
      </c>
      <c r="X8" s="32">
        <f>'Юнит 01-04.01'!X8+'Юнит 05-11.01'!X8+'Юнит 12-18.01'!X8+'Юнит 19-25.01'!X8+'Юнит 26-31.01'!X8</f>
        <v>1985.31</v>
      </c>
      <c r="Y8" s="45">
        <f t="shared" si="3"/>
        <v>0.43</v>
      </c>
      <c r="Z8" s="32">
        <f>'Юнит 01-04.01'!Z8+'Юнит 05-11.01'!Z8+'Юнит 12-18.01'!Z8+'Юнит 19-25.01'!Z8+'Юнит 26-31.01'!Z8</f>
        <v>511.47999999999996</v>
      </c>
      <c r="AA8" s="32">
        <f>'Юнит 01-04.01'!AA8+'Юнит 05-11.01'!AA8+'Юнит 12-18.01'!AA8+'Юнит 19-25.01'!AA8+'Юнит 26-31.01'!AA8</f>
        <v>0</v>
      </c>
      <c r="AB8" s="55"/>
      <c r="AC8" s="42"/>
      <c r="AD8" s="46">
        <f t="shared" si="16"/>
        <v>19.46791720045529</v>
      </c>
      <c r="AE8" s="47">
        <f t="shared" si="17"/>
        <v>1731.7420827995447</v>
      </c>
      <c r="AF8" s="46"/>
      <c r="AG8" s="48">
        <f t="shared" si="4"/>
        <v>1539</v>
      </c>
      <c r="AH8" s="49">
        <f t="shared" si="5"/>
        <v>123</v>
      </c>
      <c r="AI8" s="49">
        <f t="shared" si="6"/>
        <v>661.77</v>
      </c>
      <c r="AJ8" s="49">
        <f t="shared" si="7"/>
        <v>170.49333333333331</v>
      </c>
      <c r="AK8" s="49">
        <f t="shared" si="8"/>
        <v>0</v>
      </c>
      <c r="AL8" s="49">
        <f t="array" ref="AL8">_xlfn.IFS(R8=0,AE8,R8&lt;0,AE8/-R8,R8&gt;0,AE8/R8)</f>
        <v>577.24736093318154</v>
      </c>
      <c r="AM8" s="50">
        <f t="shared" si="9"/>
        <v>0.37507950677919527</v>
      </c>
      <c r="AN8" s="51">
        <f t="shared" si="10"/>
        <v>4.6930679750665165</v>
      </c>
      <c r="AP8" s="53">
        <f t="shared" si="11"/>
        <v>0</v>
      </c>
      <c r="AR8" s="332">
        <v>0.52</v>
      </c>
      <c r="AS8" s="333">
        <f t="shared" si="18"/>
        <v>8878.8461538461543</v>
      </c>
    </row>
    <row r="9" spans="1:45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20</v>
      </c>
      <c r="L9" s="36"/>
      <c r="M9" s="36"/>
      <c r="N9" s="37">
        <f t="shared" si="12"/>
        <v>0.64516129032258063</v>
      </c>
      <c r="O9" s="38">
        <f t="shared" si="13"/>
        <v>0.35483870967741937</v>
      </c>
      <c r="P9" s="32">
        <f>'Юнит 01-04.01'!P9+'Юнит 05-11.01'!P9+'Юнит 12-18.01'!P9+'Юнит 19-25.01'!P9+'Юнит 26-31.01'!P9</f>
        <v>12</v>
      </c>
      <c r="Q9" s="32">
        <f>'Юнит 01-04.01'!Q9+'Юнит 05-11.01'!Q9+'Юнит 12-18.01'!Q9+'Юнит 19-25.01'!Q9+'Юнит 26-31.01'!Q9</f>
        <v>1</v>
      </c>
      <c r="R9" s="40">
        <f t="shared" si="14"/>
        <v>11</v>
      </c>
      <c r="S9" s="32">
        <f>'Юнит 01-04.01'!S9+'Юнит 05-11.01'!S9+'Юнит 12-18.01'!S9+'Юнит 19-25.01'!S9+'Юнит 26-31.01'!S9</f>
        <v>21669</v>
      </c>
      <c r="T9" s="32">
        <f>'Юнит 01-04.01'!T9+'Юнит 05-11.01'!T9+'Юнит 12-18.01'!T9+'Юнит 19-25.01'!T9+'Юнит 26-31.01'!T9</f>
        <v>-1778</v>
      </c>
      <c r="U9" s="325">
        <f t="shared" si="1"/>
        <v>19891</v>
      </c>
      <c r="V9" s="43">
        <f t="shared" si="15"/>
        <v>3.1576474248766931E-2</v>
      </c>
      <c r="W9" s="44">
        <f t="shared" si="2"/>
        <v>1353</v>
      </c>
      <c r="X9" s="32">
        <f>'Юнит 01-04.01'!X9+'Юнит 05-11.01'!X9+'Юнит 12-18.01'!X9+'Юнит 19-25.01'!X9+'Юнит 26-31.01'!X9</f>
        <v>8553.130000000001</v>
      </c>
      <c r="Y9" s="45">
        <f t="shared" si="3"/>
        <v>0.43000000000000005</v>
      </c>
      <c r="Z9" s="32">
        <f>'Юнит 01-04.01'!Z9+'Юнит 05-11.01'!Z9+'Юнит 12-18.01'!Z9+'Юнит 19-25.01'!Z9+'Юнит 26-31.01'!Z9</f>
        <v>2345.8000000000002</v>
      </c>
      <c r="AA9" s="32">
        <f>'Юнит 01-04.01'!AA9+'Юнит 05-11.01'!AA9+'Юнит 12-18.01'!AA9+'Юнит 19-25.01'!AA9+'Юнит 26-31.01'!AA9</f>
        <v>7765.2895939999999</v>
      </c>
      <c r="AB9" s="55"/>
      <c r="AC9" s="42"/>
      <c r="AD9" s="46">
        <f t="shared" si="16"/>
        <v>83.871852075862279</v>
      </c>
      <c r="AE9" s="47">
        <f t="shared" si="17"/>
        <v>-210.09144607586333</v>
      </c>
      <c r="AF9" s="46"/>
      <c r="AG9" s="48">
        <f t="shared" si="4"/>
        <v>1808.2727272727273</v>
      </c>
      <c r="AH9" s="49">
        <f t="shared" si="5"/>
        <v>123</v>
      </c>
      <c r="AI9" s="49">
        <f t="shared" si="6"/>
        <v>777.55727272727279</v>
      </c>
      <c r="AJ9" s="49">
        <f t="shared" si="7"/>
        <v>195.48333333333335</v>
      </c>
      <c r="AK9" s="49">
        <f t="shared" si="8"/>
        <v>647.10746616666665</v>
      </c>
      <c r="AL9" s="49">
        <f t="array" ref="AL9">_xlfn.IFS(R9=0,AE9,R9&lt;0,AE9/-R9,R9&gt;0,AE9/R9)</f>
        <v>-19.099222370533031</v>
      </c>
      <c r="AM9" s="50">
        <f t="shared" si="9"/>
        <v>-1.0562135944691737E-2</v>
      </c>
      <c r="AN9" s="51">
        <f t="shared" si="10"/>
        <v>-0.15527823065474008</v>
      </c>
      <c r="AP9" s="53">
        <f t="shared" si="11"/>
        <v>0</v>
      </c>
      <c r="AR9" s="332">
        <v>0.65</v>
      </c>
      <c r="AS9" s="333">
        <f t="shared" si="18"/>
        <v>30601.538461538461</v>
      </c>
    </row>
    <row r="10" spans="1:45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2"/>
        <v>0.19354838709677419</v>
      </c>
      <c r="O10" s="38">
        <f t="shared" si="13"/>
        <v>3.2258064516129031E-2</v>
      </c>
      <c r="P10" s="32">
        <f>'Юнит 01-04.01'!P10+'Юнит 05-11.01'!P10+'Юнит 12-18.01'!P10+'Юнит 19-25.01'!P10+'Юнит 26-31.01'!P10</f>
        <v>1</v>
      </c>
      <c r="Q10" s="32">
        <f>'Юнит 01-04.01'!Q10+'Юнит 05-11.01'!Q10+'Юнит 12-18.01'!Q10+'Юнит 19-25.01'!Q10+'Юнит 26-31.01'!Q10</f>
        <v>0</v>
      </c>
      <c r="R10" s="40">
        <f t="shared" si="14"/>
        <v>1</v>
      </c>
      <c r="S10" s="32">
        <f>'Юнит 01-04.01'!S10+'Юнит 05-11.01'!S10+'Юнит 12-18.01'!S10+'Юнит 19-25.01'!S10+'Юнит 26-31.01'!S10</f>
        <v>1711</v>
      </c>
      <c r="T10" s="32">
        <f>'Юнит 01-04.01'!T10+'Юнит 05-11.01'!T10+'Юнит 12-18.01'!T10+'Юнит 19-25.01'!T10+'Юнит 26-31.01'!T10</f>
        <v>0</v>
      </c>
      <c r="U10" s="325">
        <f t="shared" si="1"/>
        <v>1711</v>
      </c>
      <c r="V10" s="43">
        <f t="shared" si="15"/>
        <v>2.7161705012136248E-3</v>
      </c>
      <c r="W10" s="44">
        <f t="shared" si="2"/>
        <v>169.89</v>
      </c>
      <c r="X10" s="32">
        <f>'Юнит 01-04.01'!X10+'Юнит 05-11.01'!X10+'Юнит 12-18.01'!X10+'Юнит 19-25.01'!X10+'Юнит 26-31.01'!X10</f>
        <v>735.73</v>
      </c>
      <c r="Y10" s="45">
        <f t="shared" si="3"/>
        <v>0.43</v>
      </c>
      <c r="Z10" s="32">
        <f>'Юнит 01-04.01'!Z10+'Юнит 05-11.01'!Z10+'Юнит 12-18.01'!Z10+'Юнит 19-25.01'!Z10+'Юнит 26-31.01'!Z10</f>
        <v>512.23</v>
      </c>
      <c r="AA10" s="32">
        <f>'Юнит 01-04.01'!AA10+'Юнит 05-11.01'!AA10+'Юнит 12-18.01'!AA10+'Юнит 19-25.01'!AA10+'Юнит 26-31.01'!AA10</f>
        <v>0</v>
      </c>
      <c r="AB10" s="55"/>
      <c r="AC10" s="42"/>
      <c r="AD10" s="46">
        <f t="shared" si="16"/>
        <v>7.2145562767985707</v>
      </c>
      <c r="AE10" s="47">
        <f t="shared" si="17"/>
        <v>285.9354437232015</v>
      </c>
      <c r="AF10" s="46"/>
      <c r="AG10" s="48">
        <f t="shared" si="4"/>
        <v>1711</v>
      </c>
      <c r="AH10" s="49">
        <f t="shared" si="5"/>
        <v>169.89</v>
      </c>
      <c r="AI10" s="49">
        <f t="shared" si="6"/>
        <v>735.73</v>
      </c>
      <c r="AJ10" s="49">
        <f t="shared" si="7"/>
        <v>512.23</v>
      </c>
      <c r="AK10" s="49">
        <f t="shared" si="8"/>
        <v>0</v>
      </c>
      <c r="AL10" s="49">
        <f t="array" ref="AL10">_xlfn.IFS(R10=0,AE10,R10&lt;0,AE10/-R10,R10&gt;0,AE10/R10)</f>
        <v>285.9354437232015</v>
      </c>
      <c r="AM10" s="50">
        <f t="shared" si="9"/>
        <v>0.16711598113571099</v>
      </c>
      <c r="AN10" s="51">
        <f t="shared" si="10"/>
        <v>1.6830622386438374</v>
      </c>
      <c r="AP10" s="53">
        <f t="shared" si="11"/>
        <v>0</v>
      </c>
      <c r="AR10" s="332">
        <v>0.55000000000000004</v>
      </c>
      <c r="AS10" s="333">
        <f>U10/AR10</f>
        <v>3110.9090909090905</v>
      </c>
    </row>
    <row r="11" spans="1:45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4</v>
      </c>
      <c r="L11" s="36"/>
      <c r="M11" s="36"/>
      <c r="N11" s="37">
        <f t="shared" si="12"/>
        <v>0.12903225806451613</v>
      </c>
      <c r="O11" s="38">
        <f t="shared" si="13"/>
        <v>0</v>
      </c>
      <c r="P11" s="32">
        <f>'Юнит 01-04.01'!P11+'Юнит 05-11.01'!P11+'Юнит 12-18.01'!P11+'Юнит 19-25.01'!P11+'Юнит 26-31.01'!P11</f>
        <v>0</v>
      </c>
      <c r="Q11" s="32">
        <f>'Юнит 01-04.01'!Q11+'Юнит 05-11.01'!Q11+'Юнит 12-18.01'!Q11+'Юнит 19-25.01'!Q11+'Юнит 26-31.01'!Q11</f>
        <v>0</v>
      </c>
      <c r="R11" s="40">
        <f t="shared" si="14"/>
        <v>0</v>
      </c>
      <c r="S11" s="32">
        <f>'Юнит 01-04.01'!S11+'Юнит 05-11.01'!S11+'Юнит 12-18.01'!S11+'Юнит 19-25.01'!S11+'Юнит 26-31.01'!S11</f>
        <v>0</v>
      </c>
      <c r="T11" s="32">
        <f>'Юнит 01-04.01'!T11+'Юнит 05-11.01'!T11+'Юнит 12-18.01'!T11+'Юнит 19-25.01'!T11+'Юнит 26-31.01'!T11</f>
        <v>0</v>
      </c>
      <c r="U11" s="325">
        <f t="shared" si="1"/>
        <v>0</v>
      </c>
      <c r="V11" s="43">
        <f t="shared" si="15"/>
        <v>0</v>
      </c>
      <c r="W11" s="44">
        <f t="shared" si="2"/>
        <v>0</v>
      </c>
      <c r="X11" s="32">
        <f>'Юнит 01-04.01'!X11+'Юнит 05-11.01'!X11+'Юнит 12-18.01'!X11+'Юнит 19-25.01'!X11+'Юнит 26-31.01'!X11</f>
        <v>0</v>
      </c>
      <c r="Y11" s="45">
        <f t="shared" si="3"/>
        <v>0</v>
      </c>
      <c r="Z11" s="32">
        <f>'Юнит 01-04.01'!Z11+'Юнит 05-11.01'!Z11+'Юнит 12-18.01'!Z11+'Юнит 19-25.01'!Z11+'Юнит 26-31.01'!Z11</f>
        <v>93.54</v>
      </c>
      <c r="AA11" s="32">
        <f>'Юнит 01-04.01'!AA11+'Юнит 05-11.01'!AA11+'Юнит 12-18.01'!AA11+'Юнит 19-25.01'!AA11+'Юнит 26-31.01'!AA11</f>
        <v>0</v>
      </c>
      <c r="AB11" s="55"/>
      <c r="AC11" s="42"/>
      <c r="AD11" s="46">
        <f t="shared" si="16"/>
        <v>0</v>
      </c>
      <c r="AE11" s="47">
        <f t="shared" si="17"/>
        <v>-93.54</v>
      </c>
      <c r="AF11" s="46"/>
      <c r="AG11" s="48">
        <f t="shared" si="4"/>
        <v>0</v>
      </c>
      <c r="AH11" s="49">
        <f t="shared" si="5"/>
        <v>169.89</v>
      </c>
      <c r="AI11" s="49">
        <f t="shared" si="6"/>
        <v>0</v>
      </c>
      <c r="AJ11" s="49">
        <f t="shared" si="7"/>
        <v>93.54</v>
      </c>
      <c r="AK11" s="49">
        <f t="shared" si="8"/>
        <v>0</v>
      </c>
      <c r="AL11" s="49">
        <f t="array" ref="AL11">_xlfn.IFS(R11=0,AE11,R11&lt;0,AE11/-R11,R11&gt;0,AE11/R11)</f>
        <v>-93.54</v>
      </c>
      <c r="AM11" s="50">
        <f t="shared" si="9"/>
        <v>0</v>
      </c>
      <c r="AN11" s="51">
        <f t="shared" si="10"/>
        <v>-0.55059155924421688</v>
      </c>
      <c r="AP11" s="53">
        <f t="shared" si="11"/>
        <v>0</v>
      </c>
      <c r="AR11" s="332">
        <v>0.64</v>
      </c>
      <c r="AS11" s="333">
        <f>SUM(U11:U24)/AR11</f>
        <v>59968.75</v>
      </c>
    </row>
    <row r="12" spans="1:45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2"/>
        <v>0.16129032258064516</v>
      </c>
      <c r="O12" s="38">
        <f t="shared" si="13"/>
        <v>0.12903225806451613</v>
      </c>
      <c r="P12" s="32">
        <f>'Юнит 01-04.01'!P12+'Юнит 05-11.01'!P12+'Юнит 12-18.01'!P12+'Юнит 19-25.01'!P12+'Юнит 26-31.01'!P12</f>
        <v>4</v>
      </c>
      <c r="Q12" s="32">
        <f>'Юнит 01-04.01'!Q12+'Юнит 05-11.01'!Q12+'Юнит 12-18.01'!Q12+'Юнит 19-25.01'!Q12+'Юнит 26-31.01'!Q12</f>
        <v>0</v>
      </c>
      <c r="R12" s="40">
        <f t="shared" si="14"/>
        <v>4</v>
      </c>
      <c r="S12" s="32">
        <f>'Юнит 01-04.01'!S12+'Юнит 05-11.01'!S12+'Юнит 12-18.01'!S12+'Юнит 19-25.01'!S12+'Юнит 26-31.01'!S12</f>
        <v>4588</v>
      </c>
      <c r="T12" s="32">
        <f>'Юнит 01-04.01'!T12+'Юнит 05-11.01'!T12+'Юнит 12-18.01'!T12+'Юнит 19-25.01'!T12+'Юнит 26-31.01'!T12</f>
        <v>0</v>
      </c>
      <c r="U12" s="325">
        <f t="shared" si="1"/>
        <v>4588</v>
      </c>
      <c r="V12" s="43">
        <f t="shared" si="15"/>
        <v>7.2833373813957405E-3</v>
      </c>
      <c r="W12" s="44">
        <f t="shared" si="2"/>
        <v>679.56</v>
      </c>
      <c r="X12" s="32">
        <f>'Юнит 01-04.01'!X12+'Юнит 05-11.01'!X12+'Юнит 12-18.01'!X12+'Юнит 19-25.01'!X12+'Юнит 26-31.01'!X12</f>
        <v>1972.8400000000001</v>
      </c>
      <c r="Y12" s="45">
        <f t="shared" si="3"/>
        <v>0.43000000000000005</v>
      </c>
      <c r="Z12" s="32">
        <f>'Юнит 01-04.01'!Z12+'Юнит 05-11.01'!Z12+'Юнит 12-18.01'!Z12+'Юнит 19-25.01'!Z12+'Юнит 26-31.01'!Z12</f>
        <v>440.93</v>
      </c>
      <c r="AA12" s="32">
        <f>'Юнит 01-04.01'!AA12+'Юнит 05-11.01'!AA12+'Юнит 12-18.01'!AA12+'Юнит 19-25.01'!AA12+'Юнит 26-31.01'!AA12</f>
        <v>0</v>
      </c>
      <c r="AB12" s="55"/>
      <c r="AC12" s="42"/>
      <c r="AD12" s="46">
        <f t="shared" si="16"/>
        <v>19.345636585594296</v>
      </c>
      <c r="AE12" s="47">
        <f t="shared" si="17"/>
        <v>1475.3243634144055</v>
      </c>
      <c r="AF12" s="46"/>
      <c r="AG12" s="48">
        <f t="shared" si="4"/>
        <v>1147</v>
      </c>
      <c r="AH12" s="49">
        <f t="shared" si="5"/>
        <v>169.89</v>
      </c>
      <c r="AI12" s="49">
        <f t="shared" si="6"/>
        <v>493.21000000000004</v>
      </c>
      <c r="AJ12" s="49">
        <f t="shared" si="7"/>
        <v>110.2325</v>
      </c>
      <c r="AK12" s="49">
        <f t="shared" si="8"/>
        <v>0</v>
      </c>
      <c r="AL12" s="49">
        <f t="array" ref="AL12">_xlfn.IFS(R12=0,AE12,R12&lt;0,AE12/-R12,R12&gt;0,AE12/R12)</f>
        <v>368.83109085360138</v>
      </c>
      <c r="AM12" s="50">
        <f t="shared" si="9"/>
        <v>0.32156154390026276</v>
      </c>
      <c r="AN12" s="51">
        <f t="shared" si="10"/>
        <v>2.1709994164082724</v>
      </c>
      <c r="AP12" s="53">
        <f t="shared" si="11"/>
        <v>0</v>
      </c>
    </row>
    <row r="13" spans="1:45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15</v>
      </c>
      <c r="L13" s="36"/>
      <c r="M13" s="36"/>
      <c r="N13" s="37">
        <f t="shared" si="12"/>
        <v>0.4838709677419355</v>
      </c>
      <c r="O13" s="38">
        <f t="shared" si="13"/>
        <v>0.16129032258064516</v>
      </c>
      <c r="P13" s="32">
        <f>'Юнит 01-04.01'!P13+'Юнит 05-11.01'!P13+'Юнит 12-18.01'!P13+'Юнит 19-25.01'!P13+'Юнит 26-31.01'!P13</f>
        <v>6</v>
      </c>
      <c r="Q13" s="32">
        <f>'Юнит 01-04.01'!Q13+'Юнит 05-11.01'!Q13+'Юнит 12-18.01'!Q13+'Юнит 19-25.01'!Q13+'Юнит 26-31.01'!Q13</f>
        <v>1</v>
      </c>
      <c r="R13" s="40">
        <f t="shared" si="14"/>
        <v>5</v>
      </c>
      <c r="S13" s="32">
        <f>'Юнит 01-04.01'!S13+'Юнит 05-11.01'!S13+'Юнит 12-18.01'!S13+'Юнит 19-25.01'!S13+'Юнит 26-31.01'!S13</f>
        <v>7850</v>
      </c>
      <c r="T13" s="32">
        <f>'Юнит 01-04.01'!T13+'Юнит 05-11.01'!T13+'Юнит 12-18.01'!T13+'Юнит 19-25.01'!T13+'Юнит 26-31.01'!T13</f>
        <v>-971</v>
      </c>
      <c r="U13" s="325">
        <f t="shared" si="1"/>
        <v>6879</v>
      </c>
      <c r="V13" s="43">
        <f t="shared" si="15"/>
        <v>1.0920243645732628E-2</v>
      </c>
      <c r="W13" s="44">
        <f t="shared" si="2"/>
        <v>849.44999999999993</v>
      </c>
      <c r="X13" s="32">
        <f>'Юнит 01-04.01'!X13+'Юнит 05-11.01'!X13+'Юнит 12-18.01'!X13+'Юнит 19-25.01'!X13+'Юнит 26-31.01'!X13</f>
        <v>2957.97</v>
      </c>
      <c r="Y13" s="45">
        <f t="shared" si="3"/>
        <v>0.43</v>
      </c>
      <c r="Z13" s="32">
        <f>'Юнит 01-04.01'!Z13+'Юнит 05-11.01'!Z13+'Юнит 12-18.01'!Z13+'Юнит 19-25.01'!Z13+'Юнит 26-31.01'!Z13</f>
        <v>1142.4399999999998</v>
      </c>
      <c r="AA13" s="32">
        <f>'Юнит 01-04.01'!AA13+'Юнит 05-11.01'!AA13+'Юнит 12-18.01'!AA13+'Юнит 19-25.01'!AA13+'Юнит 26-31.01'!AA13</f>
        <v>1124.47</v>
      </c>
      <c r="AB13" s="55"/>
      <c r="AC13" s="42"/>
      <c r="AD13" s="46">
        <f t="shared" si="16"/>
        <v>29.005805159612724</v>
      </c>
      <c r="AE13" s="47">
        <f t="shared" si="17"/>
        <v>775.66419484038784</v>
      </c>
      <c r="AF13" s="46"/>
      <c r="AG13" s="48">
        <f t="shared" si="4"/>
        <v>1375.8</v>
      </c>
      <c r="AH13" s="49">
        <f t="shared" si="5"/>
        <v>169.89</v>
      </c>
      <c r="AI13" s="49">
        <f t="shared" si="6"/>
        <v>591.59399999999994</v>
      </c>
      <c r="AJ13" s="49">
        <f t="shared" si="7"/>
        <v>190.40666666666664</v>
      </c>
      <c r="AK13" s="49">
        <f t="shared" si="8"/>
        <v>187.41166666666666</v>
      </c>
      <c r="AL13" s="49">
        <f t="array" ref="AL13">_xlfn.IFS(R13=0,AE13,R13&lt;0,AE13/-R13,R13&gt;0,AE13/R13)</f>
        <v>155.13283896807758</v>
      </c>
      <c r="AM13" s="50">
        <f t="shared" si="9"/>
        <v>0.11275827806954324</v>
      </c>
      <c r="AN13" s="51">
        <f t="shared" si="10"/>
        <v>0.91313696490716101</v>
      </c>
      <c r="AP13" s="53">
        <f t="shared" si="11"/>
        <v>0</v>
      </c>
    </row>
    <row r="14" spans="1:45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f>'Юнит 01-04.01'!K14+'Юнит 05-11.01'!K14+'Юнит 12-18.01'!K14+'Юнит 19-25.01'!K14+'Юнит 26-31.01'!K14</f>
        <v>6</v>
      </c>
      <c r="L14" s="36"/>
      <c r="M14" s="36"/>
      <c r="N14" s="37">
        <f t="shared" si="12"/>
        <v>0.19354838709677419</v>
      </c>
      <c r="O14" s="38">
        <f t="shared" si="13"/>
        <v>0.16129032258064516</v>
      </c>
      <c r="P14" s="32">
        <f>'Юнит 01-04.01'!P14+'Юнит 05-11.01'!P14+'Юнит 12-18.01'!P14+'Юнит 19-25.01'!P14+'Юнит 26-31.01'!P14</f>
        <v>5</v>
      </c>
      <c r="Q14" s="32">
        <f>'Юнит 01-04.01'!Q14+'Юнит 05-11.01'!Q14+'Юнит 12-18.01'!Q14+'Юнит 19-25.01'!Q14+'Юнит 26-31.01'!Q14</f>
        <v>0</v>
      </c>
      <c r="R14" s="40">
        <f t="shared" si="14"/>
        <v>5</v>
      </c>
      <c r="S14" s="32">
        <f>'Юнит 01-04.01'!S14+'Юнит 05-11.01'!S14+'Юнит 12-18.01'!S14+'Юнит 19-25.01'!S14+'Юнит 26-31.01'!S14</f>
        <v>7145</v>
      </c>
      <c r="T14" s="32">
        <f>'Юнит 01-04.01'!T14+'Юнит 05-11.01'!T14+'Юнит 12-18.01'!T14+'Юнит 19-25.01'!T14+'Юнит 26-31.01'!T14</f>
        <v>0</v>
      </c>
      <c r="U14" s="325">
        <f t="shared" si="1"/>
        <v>7145</v>
      </c>
      <c r="V14" s="43">
        <f t="shared" si="15"/>
        <v>1.1342512116406401E-2</v>
      </c>
      <c r="W14" s="44">
        <f t="shared" si="2"/>
        <v>849.44999999999993</v>
      </c>
      <c r="X14" s="32">
        <f>'Юнит 01-04.01'!X14+'Юнит 05-11.01'!X14+'Юнит 12-18.01'!X14+'Юнит 19-25.01'!X14+'Юнит 26-31.01'!X14</f>
        <v>3072.3500000000004</v>
      </c>
      <c r="Y14" s="45">
        <f t="shared" si="3"/>
        <v>0.43000000000000005</v>
      </c>
      <c r="Z14" s="32">
        <f>'Юнит 01-04.01'!Z14+'Юнит 05-11.01'!Z14+'Юнит 12-18.01'!Z14+'Юнит 19-25.01'!Z14+'Юнит 26-31.01'!Z14</f>
        <v>744.01</v>
      </c>
      <c r="AA14" s="32">
        <f>'Юнит 01-04.01'!AA14+'Юнит 05-11.01'!AA14+'Юнит 12-18.01'!AA14+'Юнит 19-25.01'!AA14+'Юнит 26-31.01'!AA14</f>
        <v>908.04</v>
      </c>
      <c r="AB14" s="55"/>
      <c r="AC14" s="42"/>
      <c r="AD14" s="46">
        <f t="shared" si="16"/>
        <v>30.12741355799286</v>
      </c>
      <c r="AE14" s="47">
        <f t="shared" si="17"/>
        <v>1541.0225864420067</v>
      </c>
      <c r="AF14" s="46"/>
      <c r="AG14" s="48">
        <f t="shared" si="4"/>
        <v>1429</v>
      </c>
      <c r="AH14" s="49">
        <f t="shared" si="5"/>
        <v>169.89</v>
      </c>
      <c r="AI14" s="49">
        <f t="shared" si="6"/>
        <v>614.47</v>
      </c>
      <c r="AJ14" s="49">
        <f t="shared" si="7"/>
        <v>148.80199999999999</v>
      </c>
      <c r="AK14" s="49">
        <f t="shared" si="8"/>
        <v>181.608</v>
      </c>
      <c r="AL14" s="49">
        <f t="array" ref="AL14">_xlfn.IFS(R14=0,AE14,R14&lt;0,AE14/-R14,R14&gt;0,AE14/R14)</f>
        <v>308.20451728840135</v>
      </c>
      <c r="AM14" s="50">
        <f t="shared" si="9"/>
        <v>0.21567845856431164</v>
      </c>
      <c r="AN14" s="51">
        <f t="shared" si="10"/>
        <v>1.8141416050880061</v>
      </c>
      <c r="AP14" s="53">
        <f t="shared" si="11"/>
        <v>0</v>
      </c>
    </row>
    <row r="15" spans="1:45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5</v>
      </c>
      <c r="L15" s="36"/>
      <c r="M15" s="36"/>
      <c r="N15" s="37">
        <f t="shared" si="12"/>
        <v>0.16129032258064516</v>
      </c>
      <c r="O15" s="38">
        <f t="shared" si="13"/>
        <v>6.4516129032258063E-2</v>
      </c>
      <c r="P15" s="32">
        <f>'Юнит 01-04.01'!P15+'Юнит 05-11.01'!P15+'Юнит 12-18.01'!P15+'Юнит 19-25.01'!P15+'Юнит 26-31.01'!P15</f>
        <v>2</v>
      </c>
      <c r="Q15" s="32">
        <f>'Юнит 01-04.01'!Q15+'Юнит 05-11.01'!Q15+'Юнит 12-18.01'!Q15+'Юнит 19-25.01'!Q15+'Юнит 26-31.01'!Q15</f>
        <v>0</v>
      </c>
      <c r="R15" s="40">
        <f t="shared" si="14"/>
        <v>2</v>
      </c>
      <c r="S15" s="32">
        <f>'Юнит 01-04.01'!S15+'Юнит 05-11.01'!S15+'Юнит 12-18.01'!S15+'Юнит 19-25.01'!S15+'Юнит 26-31.01'!S15</f>
        <v>2670</v>
      </c>
      <c r="T15" s="32">
        <f>'Юнит 01-04.01'!T15+'Юнит 05-11.01'!T15+'Юнит 12-18.01'!T15+'Юнит 19-25.01'!T15+'Юнит 26-31.01'!T15</f>
        <v>0</v>
      </c>
      <c r="U15" s="325">
        <f t="shared" si="1"/>
        <v>2670</v>
      </c>
      <c r="V15" s="43">
        <f t="shared" si="15"/>
        <v>4.2385594612743297E-3</v>
      </c>
      <c r="W15" s="44">
        <f t="shared" si="2"/>
        <v>339.78</v>
      </c>
      <c r="X15" s="32">
        <f>'Юнит 01-04.01'!X15+'Юнит 05-11.01'!X15+'Юнит 12-18.01'!X15+'Юнит 19-25.01'!X15+'Юнит 26-31.01'!X15</f>
        <v>1148.0999999999999</v>
      </c>
      <c r="Y15" s="45">
        <f t="shared" si="3"/>
        <v>0.43</v>
      </c>
      <c r="Z15" s="32">
        <f>'Юнит 01-04.01'!Z15+'Юнит 05-11.01'!Z15+'Юнит 12-18.01'!Z15+'Юнит 19-25.01'!Z15+'Юнит 26-31.01'!Z15</f>
        <v>583.5</v>
      </c>
      <c r="AA15" s="32">
        <f>'Юнит 01-04.01'!AA15+'Юнит 05-11.01'!AA15+'Юнит 12-18.01'!AA15+'Юнит 19-25.01'!AA15+'Юнит 26-31.01'!AA15</f>
        <v>1528.58</v>
      </c>
      <c r="AB15" s="55"/>
      <c r="AC15" s="42"/>
      <c r="AD15" s="46">
        <f t="shared" si="16"/>
        <v>11.258249713063812</v>
      </c>
      <c r="AE15" s="47">
        <f t="shared" si="17"/>
        <v>-941.21824971306341</v>
      </c>
      <c r="AF15" s="46"/>
      <c r="AG15" s="48">
        <f t="shared" si="4"/>
        <v>1335</v>
      </c>
      <c r="AH15" s="49">
        <f t="shared" si="5"/>
        <v>169.89</v>
      </c>
      <c r="AI15" s="49">
        <f t="shared" si="6"/>
        <v>574.04999999999995</v>
      </c>
      <c r="AJ15" s="49">
        <f t="shared" si="7"/>
        <v>291.75</v>
      </c>
      <c r="AK15" s="49">
        <f t="shared" si="8"/>
        <v>764.29</v>
      </c>
      <c r="AL15" s="49">
        <f t="array" ref="AL15">_xlfn.IFS(R15=0,AE15,R15&lt;0,AE15/-R15,R15&gt;0,AE15/R15)</f>
        <v>-470.60912485653171</v>
      </c>
      <c r="AM15" s="50">
        <f t="shared" si="9"/>
        <v>-0.35251619839440579</v>
      </c>
      <c r="AN15" s="51">
        <f t="shared" si="10"/>
        <v>-2.7700813753401126</v>
      </c>
      <c r="AP15" s="53">
        <f t="shared" si="11"/>
        <v>0</v>
      </c>
    </row>
    <row r="16" spans="1:45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f>'Юнит 01-04.01'!K16+'Юнит 05-11.01'!K16+'Юнит 12-18.01'!K16+'Юнит 19-25.01'!K16+'Юнит 26-31.01'!K16</f>
        <v>6</v>
      </c>
      <c r="L16" s="36"/>
      <c r="M16" s="36"/>
      <c r="N16" s="37">
        <f t="shared" si="12"/>
        <v>0.19354838709677419</v>
      </c>
      <c r="O16" s="38">
        <f t="shared" si="13"/>
        <v>0.12903225806451613</v>
      </c>
      <c r="P16" s="32">
        <f>'Юнит 01-04.01'!P16+'Юнит 05-11.01'!P16+'Юнит 12-18.01'!P16+'Юнит 19-25.01'!P16+'Юнит 26-31.01'!P16</f>
        <v>4</v>
      </c>
      <c r="Q16" s="32">
        <f>'Юнит 01-04.01'!Q16+'Юнит 05-11.01'!Q16+'Юнит 12-18.01'!Q16+'Юнит 19-25.01'!Q16+'Юнит 26-31.01'!Q16</f>
        <v>0</v>
      </c>
      <c r="R16" s="40">
        <f t="shared" si="14"/>
        <v>4</v>
      </c>
      <c r="S16" s="32">
        <f>'Юнит 01-04.01'!S16+'Юнит 05-11.01'!S16+'Юнит 12-18.01'!S16+'Юнит 19-25.01'!S16+'Юнит 26-31.01'!S16</f>
        <v>5179</v>
      </c>
      <c r="T16" s="32">
        <f>'Юнит 01-04.01'!T16+'Юнит 05-11.01'!T16+'Юнит 12-18.01'!T16+'Юнит 19-25.01'!T16+'Юнит 26-31.01'!T16</f>
        <v>0</v>
      </c>
      <c r="U16" s="325">
        <f t="shared" si="1"/>
        <v>5179</v>
      </c>
      <c r="V16" s="43">
        <f t="shared" si="15"/>
        <v>8.2215353745092711E-3</v>
      </c>
      <c r="W16" s="44">
        <f t="shared" si="2"/>
        <v>679.56</v>
      </c>
      <c r="X16" s="32">
        <f>'Юнит 01-04.01'!X16+'Юнит 05-11.01'!X16+'Юнит 12-18.01'!X16+'Юнит 19-25.01'!X16+'Юнит 26-31.01'!X16</f>
        <v>2226.9700000000003</v>
      </c>
      <c r="Y16" s="45">
        <f t="shared" si="3"/>
        <v>0.43000000000000005</v>
      </c>
      <c r="Z16" s="32">
        <f>'Юнит 01-04.01'!Z16+'Юнит 05-11.01'!Z16+'Юнит 12-18.01'!Z16+'Юнит 19-25.01'!Z16+'Юнит 26-31.01'!Z16</f>
        <v>475.99</v>
      </c>
      <c r="AA16" s="32">
        <f>'Юнит 01-04.01'!AA16+'Юнит 05-11.01'!AA16+'Юнит 12-18.01'!AA16+'Юнит 19-25.01'!AA16+'Юнит 26-31.01'!AA16</f>
        <v>627.21</v>
      </c>
      <c r="AB16" s="55"/>
      <c r="AC16" s="42"/>
      <c r="AD16" s="46">
        <f t="shared" si="16"/>
        <v>21.837631185002802</v>
      </c>
      <c r="AE16" s="47">
        <f t="shared" si="17"/>
        <v>1147.4323688149975</v>
      </c>
      <c r="AF16" s="46"/>
      <c r="AG16" s="48">
        <f t="shared" si="4"/>
        <v>1294.75</v>
      </c>
      <c r="AH16" s="49">
        <f t="shared" si="5"/>
        <v>169.89</v>
      </c>
      <c r="AI16" s="49">
        <f t="shared" si="6"/>
        <v>556.74250000000006</v>
      </c>
      <c r="AJ16" s="49">
        <f t="shared" si="7"/>
        <v>118.9975</v>
      </c>
      <c r="AK16" s="49">
        <f t="shared" si="8"/>
        <v>156.80250000000001</v>
      </c>
      <c r="AL16" s="49">
        <f t="array" ref="AL16">_xlfn.IFS(R16=0,AE16,R16&lt;0,AE16/-R16,R16&gt;0,AE16/R16)</f>
        <v>286.85809220374938</v>
      </c>
      <c r="AM16" s="50">
        <f t="shared" si="9"/>
        <v>0.22155481151090897</v>
      </c>
      <c r="AN16" s="51">
        <f t="shared" si="10"/>
        <v>1.6884930967317053</v>
      </c>
      <c r="AP16" s="53">
        <f t="shared" si="11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>C17*H17</f>
        <v>0</v>
      </c>
      <c r="J17" s="36"/>
      <c r="K17" s="32">
        <f>'Юнит 01-04.01'!K17+'Юнит 05-11.01'!K17+'Юнит 12-18.01'!K17+'Юнит 19-25.01'!K17+'Юнит 26-31.01'!K17</f>
        <v>0</v>
      </c>
      <c r="L17" s="36"/>
      <c r="M17" s="36"/>
      <c r="N17" s="37">
        <f t="shared" si="12"/>
        <v>0</v>
      </c>
      <c r="O17" s="38">
        <f t="shared" si="13"/>
        <v>0</v>
      </c>
      <c r="P17" s="32">
        <f>'Юнит 01-04.01'!P17+'Юнит 05-11.01'!P17+'Юнит 12-18.01'!P17+'Юнит 19-25.01'!P17+'Юнит 26-31.01'!P17</f>
        <v>0</v>
      </c>
      <c r="Q17" s="32">
        <f>'Юнит 01-04.01'!Q17+'Юнит 05-11.01'!Q17+'Юнит 12-18.01'!Q17+'Юнит 19-25.01'!Q17+'Юнит 26-31.01'!Q17</f>
        <v>0</v>
      </c>
      <c r="R17" s="40">
        <f t="shared" si="14"/>
        <v>0</v>
      </c>
      <c r="S17" s="32">
        <f>'Юнит 01-04.01'!S17+'Юнит 05-11.01'!S17+'Юнит 12-18.01'!S17+'Юнит 19-25.01'!S17+'Юнит 26-31.01'!S17</f>
        <v>0</v>
      </c>
      <c r="T17" s="32">
        <f>'Юнит 01-04.01'!T17+'Юнит 05-11.01'!T17+'Юнит 12-18.01'!T17+'Юнит 19-25.01'!T17+'Юнит 26-31.01'!T17</f>
        <v>0</v>
      </c>
      <c r="U17" s="325">
        <f t="shared" si="1"/>
        <v>0</v>
      </c>
      <c r="V17" s="43">
        <f t="shared" si="15"/>
        <v>0</v>
      </c>
      <c r="W17" s="44">
        <f t="shared" si="2"/>
        <v>0</v>
      </c>
      <c r="X17" s="32">
        <f>'Юнит 01-04.01'!X17+'Юнит 05-11.01'!X17+'Юнит 12-18.01'!X17+'Юнит 19-25.01'!X17+'Юнит 26-31.01'!X17</f>
        <v>0</v>
      </c>
      <c r="Y17" s="45">
        <f t="shared" si="3"/>
        <v>0</v>
      </c>
      <c r="Z17" s="32">
        <f>'Юнит 01-04.01'!Z17+'Юнит 05-11.01'!Z17+'Юнит 12-18.01'!Z17+'Юнит 19-25.01'!Z17+'Юнит 26-31.01'!Z17</f>
        <v>0</v>
      </c>
      <c r="AA17" s="32">
        <f>'Юнит 01-04.01'!AA17+'Юнит 05-11.01'!AA17+'Юнит 12-18.01'!AA17+'Юнит 19-25.01'!AA17+'Юнит 26-31.01'!AA17</f>
        <v>0</v>
      </c>
      <c r="AB17" s="55"/>
      <c r="AC17" s="42"/>
      <c r="AD17" s="46">
        <f t="shared" si="16"/>
        <v>0</v>
      </c>
      <c r="AE17" s="47">
        <f t="shared" si="17"/>
        <v>0</v>
      </c>
      <c r="AF17" s="46"/>
      <c r="AG17" s="48">
        <f t="shared" si="4"/>
        <v>0</v>
      </c>
      <c r="AH17" s="49">
        <f t="shared" si="5"/>
        <v>1002.82</v>
      </c>
      <c r="AI17" s="49">
        <f t="shared" si="6"/>
        <v>0</v>
      </c>
      <c r="AJ17" s="49">
        <f t="shared" si="7"/>
        <v>0</v>
      </c>
      <c r="AK17" s="49">
        <f t="shared" si="8"/>
        <v>0</v>
      </c>
      <c r="AL17" s="49">
        <f t="array" ref="AL17">_xlfn.IFS(R17=0,AE17,R17&lt;0,AE17/-R17,R17&gt;0,AE17/R17)</f>
        <v>0</v>
      </c>
      <c r="AM17" s="50">
        <f t="shared" si="9"/>
        <v>0</v>
      </c>
      <c r="AN17" s="51">
        <f t="shared" si="10"/>
        <v>0</v>
      </c>
      <c r="AP17" s="53">
        <f t="shared" si="11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01-04.01'!K18+'Юнит 05-11.01'!K18+'Юнит 12-18.01'!K18+'Юнит 19-25.01'!K18+'Юнит 26-31.01'!K18</f>
        <v>1</v>
      </c>
      <c r="L18" s="36"/>
      <c r="M18" s="36"/>
      <c r="N18" s="37">
        <f t="shared" si="12"/>
        <v>3.2258064516129031E-2</v>
      </c>
      <c r="O18" s="38">
        <f t="shared" si="13"/>
        <v>3.2258064516129031E-2</v>
      </c>
      <c r="P18" s="32">
        <f>'Юнит 01-04.01'!P18+'Юнит 05-11.01'!P18+'Юнит 12-18.01'!P18+'Юнит 19-25.01'!P18+'Юнит 26-31.01'!P18</f>
        <v>1</v>
      </c>
      <c r="Q18" s="32">
        <f>'Юнит 01-04.01'!Q18+'Юнит 05-11.01'!Q18+'Юнит 12-18.01'!Q18+'Юнит 19-25.01'!Q18+'Юнит 26-31.01'!Q18</f>
        <v>0</v>
      </c>
      <c r="R18" s="40">
        <f t="shared" si="14"/>
        <v>1</v>
      </c>
      <c r="S18" s="32">
        <f>'Юнит 01-04.01'!S18+'Юнит 05-11.01'!S18+'Юнит 12-18.01'!S18+'Юнит 19-25.01'!S18+'Юнит 26-31.01'!S18</f>
        <v>3256</v>
      </c>
      <c r="T18" s="32">
        <f>'Юнит 01-04.01'!T18+'Юнит 05-11.01'!T18+'Юнит 12-18.01'!T18+'Юнит 19-25.01'!T18+'Юнит 26-31.01'!T18</f>
        <v>0</v>
      </c>
      <c r="U18" s="325">
        <f t="shared" si="1"/>
        <v>3256</v>
      </c>
      <c r="V18" s="43">
        <f t="shared" si="15"/>
        <v>5.1688200771195575E-3</v>
      </c>
      <c r="W18" s="44">
        <f t="shared" si="2"/>
        <v>909.22</v>
      </c>
      <c r="X18" s="32">
        <f>'Юнит 01-04.01'!X18+'Юнит 05-11.01'!X18+'Юнит 12-18.01'!X18+'Юнит 19-25.01'!X18+'Юнит 26-31.01'!X18</f>
        <v>1400.08</v>
      </c>
      <c r="Y18" s="45">
        <f t="shared" si="3"/>
        <v>0.43</v>
      </c>
      <c r="Z18" s="32">
        <f>'Юнит 01-04.01'!Z18+'Юнит 05-11.01'!Z18+'Юнит 12-18.01'!Z18+'Юнит 19-25.01'!Z18+'Юнит 26-31.01'!Z18</f>
        <v>229.22</v>
      </c>
      <c r="AA18" s="32">
        <f>'Юнит 01-04.01'!AA18+'Юнит 05-11.01'!AA18+'Юнит 12-18.01'!AA18+'Юнит 19-25.01'!AA18+'Юнит 26-31.01'!AA18</f>
        <v>0</v>
      </c>
      <c r="AB18" s="55"/>
      <c r="AC18" s="42"/>
      <c r="AD18" s="46">
        <f t="shared" si="16"/>
        <v>13.729161447841113</v>
      </c>
      <c r="AE18" s="47">
        <f t="shared" si="17"/>
        <v>703.75083855215871</v>
      </c>
      <c r="AF18" s="46"/>
      <c r="AG18" s="48">
        <f t="shared" si="4"/>
        <v>3256</v>
      </c>
      <c r="AH18" s="49">
        <f t="shared" si="5"/>
        <v>909.22</v>
      </c>
      <c r="AI18" s="49">
        <f t="shared" si="6"/>
        <v>1400.08</v>
      </c>
      <c r="AJ18" s="49">
        <f t="shared" si="7"/>
        <v>229.22</v>
      </c>
      <c r="AK18" s="49">
        <f t="shared" si="8"/>
        <v>0</v>
      </c>
      <c r="AL18" s="49">
        <f t="array" ref="AL18">_xlfn.IFS(R18=0,AE18,R18&lt;0,AE18/-R18,R18&gt;0,AE18/R18)</f>
        <v>703.75083855215871</v>
      </c>
      <c r="AM18" s="50">
        <f t="shared" si="9"/>
        <v>0.21613969243002418</v>
      </c>
      <c r="AN18" s="51">
        <f t="shared" si="10"/>
        <v>0.77401601213365157</v>
      </c>
      <c r="AP18" s="53">
        <f t="shared" si="11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f>'Юнит 01-04.01'!K19+'Юнит 05-11.01'!K19+'Юнит 12-18.01'!K19+'Юнит 19-25.01'!K19+'Юнит 26-31.01'!K19</f>
        <v>2</v>
      </c>
      <c r="L19" s="36"/>
      <c r="M19" s="36"/>
      <c r="N19" s="37">
        <f t="shared" si="12"/>
        <v>6.4516129032258063E-2</v>
      </c>
      <c r="O19" s="38">
        <f t="shared" si="13"/>
        <v>3.2258064516129031E-2</v>
      </c>
      <c r="P19" s="32">
        <f>'Юнит 01-04.01'!P19+'Юнит 05-11.01'!P19+'Юнит 12-18.01'!P19+'Юнит 19-25.01'!P19+'Юнит 26-31.01'!P19</f>
        <v>1</v>
      </c>
      <c r="Q19" s="32">
        <f>'Юнит 01-04.01'!Q19+'Юнит 05-11.01'!Q19+'Юнит 12-18.01'!Q19+'Юнит 19-25.01'!Q19+'Юнит 26-31.01'!Q19</f>
        <v>0</v>
      </c>
      <c r="R19" s="40">
        <f t="shared" si="14"/>
        <v>1</v>
      </c>
      <c r="S19" s="32">
        <f>'Юнит 01-04.01'!S19+'Юнит 05-11.01'!S19+'Юнит 12-18.01'!S19+'Юнит 19-25.01'!S19+'Юнит 26-31.01'!S19</f>
        <v>3663</v>
      </c>
      <c r="T19" s="32">
        <f>'Юнит 01-04.01'!T19+'Юнит 05-11.01'!T19+'Юнит 12-18.01'!T19+'Юнит 19-25.01'!T19+'Юнит 26-31.01'!T19</f>
        <v>0</v>
      </c>
      <c r="U19" s="325">
        <f t="shared" si="1"/>
        <v>3663</v>
      </c>
      <c r="V19" s="43">
        <f t="shared" si="15"/>
        <v>5.8149225867595022E-3</v>
      </c>
      <c r="W19" s="44">
        <f t="shared" si="2"/>
        <v>909.22</v>
      </c>
      <c r="X19" s="32">
        <f>'Юнит 01-04.01'!X19+'Юнит 05-11.01'!X19+'Юнит 12-18.01'!X19+'Юнит 19-25.01'!X19+'Юнит 26-31.01'!X19</f>
        <v>1575.09</v>
      </c>
      <c r="Y19" s="45">
        <f t="shared" si="3"/>
        <v>0.43</v>
      </c>
      <c r="Z19" s="32">
        <f>'Юнит 01-04.01'!Z19+'Юнит 05-11.01'!Z19+'Юнит 12-18.01'!Z19+'Юнит 19-25.01'!Z19+'Юнит 26-31.01'!Z19</f>
        <v>227.41</v>
      </c>
      <c r="AA19" s="32">
        <f>'Юнит 01-04.01'!AA19+'Юнит 05-11.01'!AA19+'Юнит 12-18.01'!AA19+'Юнит 19-25.01'!AA19+'Юнит 26-31.01'!AA19</f>
        <v>0</v>
      </c>
      <c r="AB19" s="55"/>
      <c r="AC19" s="42"/>
      <c r="AD19" s="46">
        <f t="shared" si="16"/>
        <v>15.445306628821253</v>
      </c>
      <c r="AE19" s="47">
        <f t="shared" si="17"/>
        <v>935.83469337117856</v>
      </c>
      <c r="AF19" s="46"/>
      <c r="AG19" s="48">
        <f t="shared" si="4"/>
        <v>3663</v>
      </c>
      <c r="AH19" s="49">
        <f t="shared" si="5"/>
        <v>909.22</v>
      </c>
      <c r="AI19" s="49">
        <f t="shared" si="6"/>
        <v>1575.09</v>
      </c>
      <c r="AJ19" s="49">
        <f t="shared" si="7"/>
        <v>227.41</v>
      </c>
      <c r="AK19" s="49">
        <f t="shared" si="8"/>
        <v>0</v>
      </c>
      <c r="AL19" s="49">
        <f t="array" ref="AL19">_xlfn.IFS(R19=0,AE19,R19&lt;0,AE19/-R19,R19&gt;0,AE19/R19)</f>
        <v>935.83469337117856</v>
      </c>
      <c r="AM19" s="50">
        <f t="shared" si="9"/>
        <v>0.25548312677345852</v>
      </c>
      <c r="AN19" s="51">
        <f t="shared" si="10"/>
        <v>1.0292720060834326</v>
      </c>
      <c r="AP19" s="53">
        <f t="shared" si="11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01-04.01'!K20+'Юнит 05-11.01'!K20+'Юнит 12-18.01'!K20+'Юнит 19-25.01'!K20+'Юнит 26-31.01'!K20</f>
        <v>1</v>
      </c>
      <c r="L20" s="36"/>
      <c r="M20" s="36"/>
      <c r="N20" s="37">
        <f t="shared" si="12"/>
        <v>3.2258064516129031E-2</v>
      </c>
      <c r="O20" s="38">
        <f t="shared" si="13"/>
        <v>3.2258064516129031E-2</v>
      </c>
      <c r="P20" s="32">
        <f>'Юнит 01-04.01'!P20+'Юнит 05-11.01'!P20+'Юнит 12-18.01'!P20+'Юнит 19-25.01'!P20+'Юнит 26-31.01'!P20</f>
        <v>1</v>
      </c>
      <c r="Q20" s="32">
        <f>'Юнит 01-04.01'!Q20+'Юнит 05-11.01'!Q20+'Юнит 12-18.01'!Q20+'Юнит 19-25.01'!Q20+'Юнит 26-31.01'!Q20</f>
        <v>0</v>
      </c>
      <c r="R20" s="40">
        <f t="shared" si="14"/>
        <v>1</v>
      </c>
      <c r="S20" s="32">
        <f>'Юнит 01-04.01'!S20+'Юнит 05-11.01'!S20+'Юнит 12-18.01'!S20+'Юнит 19-25.01'!S20+'Юнит 26-31.01'!S20</f>
        <v>5000</v>
      </c>
      <c r="T20" s="32">
        <f>'Юнит 01-04.01'!T20+'Юнит 05-11.01'!T20+'Юнит 12-18.01'!T20+'Юнит 19-25.01'!T20+'Юнит 26-31.01'!T20</f>
        <v>0</v>
      </c>
      <c r="U20" s="325">
        <f t="shared" si="1"/>
        <v>5000</v>
      </c>
      <c r="V20" s="43">
        <f t="shared" si="15"/>
        <v>7.9373772683039891E-3</v>
      </c>
      <c r="W20" s="44">
        <f t="shared" si="2"/>
        <v>932.62</v>
      </c>
      <c r="X20" s="32">
        <f>'Юнит 01-04.01'!X20+'Юнит 05-11.01'!X20+'Юнит 12-18.01'!X20+'Юнит 19-25.01'!X20+'Юнит 26-31.01'!X20</f>
        <v>2150</v>
      </c>
      <c r="Y20" s="45">
        <f t="shared" si="3"/>
        <v>0.43</v>
      </c>
      <c r="Z20" s="32">
        <f>'Юнит 01-04.01'!Z20+'Юнит 05-11.01'!Z20+'Юнит 12-18.01'!Z20+'Юнит 19-25.01'!Z20+'Юнит 26-31.01'!Z20</f>
        <v>222.69</v>
      </c>
      <c r="AA20" s="32">
        <f>'Юнит 01-04.01'!AA20+'Юнит 05-11.01'!AA20+'Юнит 12-18.01'!AA20+'Юнит 19-25.01'!AA20+'Юнит 26-31.01'!AA20</f>
        <v>0</v>
      </c>
      <c r="AB20" s="55"/>
      <c r="AC20" s="42"/>
      <c r="AD20" s="46">
        <f t="shared" si="16"/>
        <v>21.082864631205641</v>
      </c>
      <c r="AE20" s="47">
        <f t="shared" si="17"/>
        <v>1673.6071353687944</v>
      </c>
      <c r="AF20" s="46"/>
      <c r="AG20" s="48">
        <f t="shared" si="4"/>
        <v>5000</v>
      </c>
      <c r="AH20" s="49">
        <f t="shared" si="5"/>
        <v>932.62</v>
      </c>
      <c r="AI20" s="49">
        <f t="shared" si="6"/>
        <v>2150</v>
      </c>
      <c r="AJ20" s="49">
        <f t="shared" si="7"/>
        <v>222.69</v>
      </c>
      <c r="AK20" s="49">
        <f t="shared" si="8"/>
        <v>0</v>
      </c>
      <c r="AL20" s="49">
        <f t="array" ref="AL20">_xlfn.IFS(R20=0,AE20,R20&lt;0,AE20/-R20,R20&gt;0,AE20/R20)</f>
        <v>1673.6071353687944</v>
      </c>
      <c r="AM20" s="50">
        <f t="shared" si="9"/>
        <v>0.3347214270737589</v>
      </c>
      <c r="AN20" s="51">
        <f t="shared" si="10"/>
        <v>1.7945220297321465</v>
      </c>
      <c r="AP20" s="53">
        <f t="shared" si="11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01-04.01'!K21+'Юнит 05-11.01'!K21+'Юнит 12-18.01'!K21+'Юнит 19-25.01'!K21+'Юнит 26-31.01'!K21</f>
        <v>0</v>
      </c>
      <c r="L21" s="36"/>
      <c r="M21" s="36"/>
      <c r="N21" s="37">
        <f t="shared" si="12"/>
        <v>0</v>
      </c>
      <c r="O21" s="38">
        <f t="shared" si="13"/>
        <v>0</v>
      </c>
      <c r="P21" s="32">
        <f>'Юнит 01-04.01'!P21+'Юнит 05-11.01'!P21+'Юнит 12-18.01'!P21+'Юнит 19-25.01'!P21+'Юнит 26-31.01'!P21</f>
        <v>0</v>
      </c>
      <c r="Q21" s="32">
        <f>'Юнит 01-04.01'!Q21+'Юнит 05-11.01'!Q21+'Юнит 12-18.01'!Q21+'Юнит 19-25.01'!Q21+'Юнит 26-31.01'!Q21</f>
        <v>0</v>
      </c>
      <c r="R21" s="40">
        <f t="shared" si="14"/>
        <v>0</v>
      </c>
      <c r="S21" s="32">
        <f>'Юнит 01-04.01'!S21+'Юнит 05-11.01'!S21+'Юнит 12-18.01'!S21+'Юнит 19-25.01'!S21+'Юнит 26-31.01'!S21</f>
        <v>0</v>
      </c>
      <c r="T21" s="32">
        <f>'Юнит 01-04.01'!T21+'Юнит 05-11.01'!T21+'Юнит 12-18.01'!T21+'Юнит 19-25.01'!T21+'Юнит 26-31.01'!T21</f>
        <v>0</v>
      </c>
      <c r="U21" s="325">
        <f t="shared" si="1"/>
        <v>0</v>
      </c>
      <c r="V21" s="43">
        <f t="shared" si="15"/>
        <v>0</v>
      </c>
      <c r="W21" s="44">
        <f t="shared" si="2"/>
        <v>0</v>
      </c>
      <c r="X21" s="32">
        <f>'Юнит 01-04.01'!X21+'Юнит 05-11.01'!X21+'Юнит 12-18.01'!X21+'Юнит 19-25.01'!X21+'Юнит 26-31.01'!X21</f>
        <v>0</v>
      </c>
      <c r="Y21" s="45">
        <f t="shared" si="3"/>
        <v>0</v>
      </c>
      <c r="Z21" s="32">
        <f>'Юнит 01-04.01'!Z21+'Юнит 05-11.01'!Z21+'Юнит 12-18.01'!Z21+'Юнит 19-25.01'!Z21+'Юнит 26-31.01'!Z21</f>
        <v>0</v>
      </c>
      <c r="AA21" s="32">
        <f>'Юнит 01-04.01'!AA21+'Юнит 05-11.01'!AA21+'Юнит 12-18.01'!AA21+'Юнит 19-25.01'!AA21+'Юнит 26-31.01'!AA21</f>
        <v>0</v>
      </c>
      <c r="AB21" s="55"/>
      <c r="AC21" s="42"/>
      <c r="AD21" s="46">
        <f t="shared" si="16"/>
        <v>0</v>
      </c>
      <c r="AE21" s="47">
        <f t="shared" si="17"/>
        <v>0</v>
      </c>
      <c r="AF21" s="46"/>
      <c r="AG21" s="48">
        <f t="shared" si="4"/>
        <v>0</v>
      </c>
      <c r="AH21" s="49">
        <f t="shared" si="5"/>
        <v>1014.52</v>
      </c>
      <c r="AI21" s="49">
        <f t="shared" si="6"/>
        <v>0</v>
      </c>
      <c r="AJ21" s="49">
        <f t="shared" si="7"/>
        <v>0</v>
      </c>
      <c r="AK21" s="49">
        <f t="shared" si="8"/>
        <v>0</v>
      </c>
      <c r="AL21" s="49">
        <f t="array" ref="AL21">_xlfn.IFS(R21=0,AE21,R21&lt;0,AE21/-R21,R21&gt;0,AE21/R21)</f>
        <v>0</v>
      </c>
      <c r="AM21" s="50">
        <f t="shared" si="9"/>
        <v>0</v>
      </c>
      <c r="AN21" s="51">
        <f t="shared" si="10"/>
        <v>0</v>
      </c>
      <c r="AP21" s="53">
        <f t="shared" si="11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01-04.01'!K22+'Юнит 05-11.01'!K22+'Юнит 12-18.01'!K22+'Юнит 19-25.01'!K22+'Юнит 26-31.01'!K22</f>
        <v>0</v>
      </c>
      <c r="L22" s="36"/>
      <c r="M22" s="36"/>
      <c r="N22" s="37">
        <f t="shared" si="12"/>
        <v>0</v>
      </c>
      <c r="O22" s="38">
        <f t="shared" si="13"/>
        <v>0</v>
      </c>
      <c r="P22" s="32">
        <f>'Юнит 01-04.01'!P22+'Юнит 05-11.01'!P22+'Юнит 12-18.01'!P22+'Юнит 19-25.01'!P22+'Юнит 26-31.01'!P22</f>
        <v>0</v>
      </c>
      <c r="Q22" s="32">
        <f>'Юнит 01-04.01'!Q22+'Юнит 05-11.01'!Q22+'Юнит 12-18.01'!Q22+'Юнит 19-25.01'!Q22+'Юнит 26-31.01'!Q22</f>
        <v>0</v>
      </c>
      <c r="R22" s="40">
        <f t="shared" si="14"/>
        <v>0</v>
      </c>
      <c r="S22" s="32">
        <f>'Юнит 01-04.01'!S22+'Юнит 05-11.01'!S22+'Юнит 12-18.01'!S22+'Юнит 19-25.01'!S22+'Юнит 26-31.01'!S22</f>
        <v>0</v>
      </c>
      <c r="T22" s="32">
        <f>'Юнит 01-04.01'!T22+'Юнит 05-11.01'!T22+'Юнит 12-18.01'!T22+'Юнит 19-25.01'!T22+'Юнит 26-31.01'!T22</f>
        <v>0</v>
      </c>
      <c r="U22" s="325">
        <f t="shared" si="1"/>
        <v>0</v>
      </c>
      <c r="V22" s="43">
        <f t="shared" si="15"/>
        <v>0</v>
      </c>
      <c r="W22" s="44">
        <f t="shared" si="2"/>
        <v>0</v>
      </c>
      <c r="X22" s="32">
        <f>'Юнит 01-04.01'!X22+'Юнит 05-11.01'!X22+'Юнит 12-18.01'!X22+'Юнит 19-25.01'!X22+'Юнит 26-31.01'!X22</f>
        <v>0</v>
      </c>
      <c r="Y22" s="45">
        <f t="shared" si="3"/>
        <v>0</v>
      </c>
      <c r="Z22" s="32">
        <f>'Юнит 01-04.01'!Z22+'Юнит 05-11.01'!Z22+'Юнит 12-18.01'!Z22+'Юнит 19-25.01'!Z22+'Юнит 26-31.01'!Z22</f>
        <v>0</v>
      </c>
      <c r="AA22" s="32">
        <f>'Юнит 01-04.01'!AA22+'Юнит 05-11.01'!AA22+'Юнит 12-18.01'!AA22+'Юнит 19-25.01'!AA22+'Юнит 26-31.01'!AA22</f>
        <v>0</v>
      </c>
      <c r="AB22" s="55"/>
      <c r="AC22" s="42"/>
      <c r="AD22" s="46">
        <f t="shared" si="16"/>
        <v>0</v>
      </c>
      <c r="AE22" s="47">
        <f t="shared" si="17"/>
        <v>0</v>
      </c>
      <c r="AF22" s="46"/>
      <c r="AG22" s="48">
        <f t="shared" si="4"/>
        <v>0</v>
      </c>
      <c r="AH22" s="49">
        <f t="shared" si="5"/>
        <v>1014.52</v>
      </c>
      <c r="AI22" s="49">
        <f t="shared" si="6"/>
        <v>0</v>
      </c>
      <c r="AJ22" s="49">
        <f t="shared" si="7"/>
        <v>0</v>
      </c>
      <c r="AK22" s="49">
        <f t="shared" si="8"/>
        <v>0</v>
      </c>
      <c r="AL22" s="49">
        <f t="array" ref="AL22">_xlfn.IFS(R22=0,AE22,R22&lt;0,AE22/-R22,R22&gt;0,AE22/R22)</f>
        <v>0</v>
      </c>
      <c r="AM22" s="50">
        <f t="shared" si="9"/>
        <v>0</v>
      </c>
      <c r="AN22" s="51">
        <f t="shared" si="10"/>
        <v>0</v>
      </c>
      <c r="AP22" s="53">
        <f t="shared" si="11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01-04.01'!K23+'Юнит 05-11.01'!K23+'Юнит 12-18.01'!K23+'Юнит 19-25.01'!K23+'Юнит 26-31.01'!K23</f>
        <v>0</v>
      </c>
      <c r="L23" s="36"/>
      <c r="M23" s="36"/>
      <c r="N23" s="37">
        <f t="shared" si="12"/>
        <v>0</v>
      </c>
      <c r="O23" s="38">
        <f t="shared" si="13"/>
        <v>0</v>
      </c>
      <c r="P23" s="32">
        <f>'Юнит 01-04.01'!P23+'Юнит 05-11.01'!P23+'Юнит 12-18.01'!P23+'Юнит 19-25.01'!P23+'Юнит 26-31.01'!P23</f>
        <v>0</v>
      </c>
      <c r="Q23" s="32">
        <f>'Юнит 01-04.01'!Q23+'Юнит 05-11.01'!Q23+'Юнит 12-18.01'!Q23+'Юнит 19-25.01'!Q23+'Юнит 26-31.01'!Q23</f>
        <v>0</v>
      </c>
      <c r="R23" s="40">
        <f t="shared" si="14"/>
        <v>0</v>
      </c>
      <c r="S23" s="32">
        <f>'Юнит 01-04.01'!S23+'Юнит 05-11.01'!S23+'Юнит 12-18.01'!S23+'Юнит 19-25.01'!S23+'Юнит 26-31.01'!S23</f>
        <v>0</v>
      </c>
      <c r="T23" s="32">
        <f>'Юнит 01-04.01'!T23+'Юнит 05-11.01'!T23+'Юнит 12-18.01'!T23+'Юнит 19-25.01'!T23+'Юнит 26-31.01'!T23</f>
        <v>0</v>
      </c>
      <c r="U23" s="325">
        <f t="shared" si="1"/>
        <v>0</v>
      </c>
      <c r="V23" s="43">
        <f t="shared" si="15"/>
        <v>0</v>
      </c>
      <c r="W23" s="44">
        <f t="shared" si="2"/>
        <v>0</v>
      </c>
      <c r="X23" s="32">
        <f>'Юнит 01-04.01'!X23+'Юнит 05-11.01'!X23+'Юнит 12-18.01'!X23+'Юнит 19-25.01'!X23+'Юнит 26-31.01'!X23</f>
        <v>0</v>
      </c>
      <c r="Y23" s="45">
        <f t="shared" si="3"/>
        <v>0</v>
      </c>
      <c r="Z23" s="32">
        <f>'Юнит 01-04.01'!Z23+'Юнит 05-11.01'!Z23+'Юнит 12-18.01'!Z23+'Юнит 19-25.01'!Z23+'Юнит 26-31.01'!Z23</f>
        <v>0</v>
      </c>
      <c r="AA23" s="32">
        <f>'Юнит 01-04.01'!AA23+'Юнит 05-11.01'!AA23+'Юнит 12-18.01'!AA23+'Юнит 19-25.01'!AA23+'Юнит 26-31.01'!AA23</f>
        <v>0</v>
      </c>
      <c r="AB23" s="55"/>
      <c r="AC23" s="42"/>
      <c r="AD23" s="46">
        <f t="shared" si="16"/>
        <v>0</v>
      </c>
      <c r="AE23" s="47">
        <f t="shared" si="17"/>
        <v>0</v>
      </c>
      <c r="AF23" s="46"/>
      <c r="AG23" s="48">
        <f t="shared" si="4"/>
        <v>0</v>
      </c>
      <c r="AH23" s="49">
        <f t="shared" si="5"/>
        <v>1014.52</v>
      </c>
      <c r="AI23" s="49">
        <f t="shared" si="6"/>
        <v>0</v>
      </c>
      <c r="AJ23" s="49">
        <f t="shared" si="7"/>
        <v>0</v>
      </c>
      <c r="AK23" s="49">
        <f t="shared" si="8"/>
        <v>0</v>
      </c>
      <c r="AL23" s="49">
        <f t="array" ref="AL23">_xlfn.IFS(R23=0,AE23,R23&lt;0,AE23/-R23,R23&gt;0,AE23/R23)</f>
        <v>0</v>
      </c>
      <c r="AM23" s="50">
        <f t="shared" si="9"/>
        <v>0</v>
      </c>
      <c r="AN23" s="51">
        <f t="shared" si="10"/>
        <v>0</v>
      </c>
      <c r="AP23" s="53">
        <f t="shared" si="11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01-04.01'!K24+'Юнит 05-11.01'!K24+'Юнит 12-18.01'!K24+'Юнит 19-25.01'!K24+'Юнит 26-31.01'!K24</f>
        <v>0</v>
      </c>
      <c r="L24" s="36"/>
      <c r="M24" s="36"/>
      <c r="N24" s="37">
        <f t="shared" si="12"/>
        <v>0</v>
      </c>
      <c r="O24" s="38">
        <f t="shared" si="13"/>
        <v>0</v>
      </c>
      <c r="P24" s="32">
        <f>'Юнит 01-04.01'!P24+'Юнит 05-11.01'!P24+'Юнит 12-18.01'!P24+'Юнит 19-25.01'!P24+'Юнит 26-31.01'!P24</f>
        <v>0</v>
      </c>
      <c r="Q24" s="32">
        <f>'Юнит 01-04.01'!Q24+'Юнит 05-11.01'!Q24+'Юнит 12-18.01'!Q24+'Юнит 19-25.01'!Q24+'Юнит 26-31.01'!Q24</f>
        <v>0</v>
      </c>
      <c r="R24" s="40">
        <f t="shared" si="14"/>
        <v>0</v>
      </c>
      <c r="S24" s="32">
        <f>'Юнит 01-04.01'!S24+'Юнит 05-11.01'!S24+'Юнит 12-18.01'!S24+'Юнит 19-25.01'!S24+'Юнит 26-31.01'!S24</f>
        <v>0</v>
      </c>
      <c r="T24" s="32">
        <f>'Юнит 01-04.01'!T24+'Юнит 05-11.01'!T24+'Юнит 12-18.01'!T24+'Юнит 19-25.01'!T24+'Юнит 26-31.01'!T24</f>
        <v>0</v>
      </c>
      <c r="U24" s="325">
        <f t="shared" si="1"/>
        <v>0</v>
      </c>
      <c r="V24" s="43">
        <f t="shared" si="15"/>
        <v>0</v>
      </c>
      <c r="W24" s="44">
        <f t="shared" si="2"/>
        <v>0</v>
      </c>
      <c r="X24" s="32">
        <f>'Юнит 01-04.01'!X24+'Юнит 05-11.01'!X24+'Юнит 12-18.01'!X24+'Юнит 19-25.01'!X24+'Юнит 26-31.01'!X24</f>
        <v>0</v>
      </c>
      <c r="Y24" s="45">
        <f t="shared" si="3"/>
        <v>0</v>
      </c>
      <c r="Z24" s="32">
        <f>'Юнит 01-04.01'!Z24+'Юнит 05-11.01'!Z24+'Юнит 12-18.01'!Z24+'Юнит 19-25.01'!Z24+'Юнит 26-31.01'!Z24</f>
        <v>0</v>
      </c>
      <c r="AA24" s="32">
        <f>'Юнит 01-04.01'!AA24+'Юнит 05-11.01'!AA24+'Юнит 12-18.01'!AA24+'Юнит 19-25.01'!AA24+'Юнит 26-31.01'!AA24</f>
        <v>0</v>
      </c>
      <c r="AB24" s="55"/>
      <c r="AC24" s="42"/>
      <c r="AD24" s="46">
        <f t="shared" si="16"/>
        <v>0</v>
      </c>
      <c r="AE24" s="47">
        <f t="shared" si="17"/>
        <v>0</v>
      </c>
      <c r="AF24" s="46"/>
      <c r="AG24" s="48">
        <f t="shared" si="4"/>
        <v>0</v>
      </c>
      <c r="AH24" s="49">
        <f t="shared" si="5"/>
        <v>991.12</v>
      </c>
      <c r="AI24" s="49">
        <f t="shared" si="6"/>
        <v>0</v>
      </c>
      <c r="AJ24" s="49">
        <f t="shared" si="7"/>
        <v>0</v>
      </c>
      <c r="AK24" s="49">
        <f t="shared" si="8"/>
        <v>0</v>
      </c>
      <c r="AL24" s="49">
        <f t="array" ref="AL24">_xlfn.IFS(R24=0,AE24,R24&lt;0,AE24/-R24,R24&gt;0,AE24/R24)</f>
        <v>0</v>
      </c>
      <c r="AM24" s="50">
        <f t="shared" si="9"/>
        <v>0</v>
      </c>
      <c r="AN24" s="51">
        <f t="shared" si="10"/>
        <v>0</v>
      </c>
      <c r="AP24" s="53">
        <f t="shared" si="11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2"/>
      <c r="Q25" s="32"/>
      <c r="R25" s="40"/>
      <c r="S25" s="32"/>
      <c r="T25" s="32"/>
      <c r="U25" s="325"/>
      <c r="V25" s="43"/>
      <c r="W25" s="44"/>
      <c r="X25" s="32"/>
      <c r="Y25" s="45"/>
      <c r="Z25" s="3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1950.6468140456286</v>
      </c>
      <c r="AH25" s="58">
        <f t="shared" si="19"/>
        <v>447.87636363636369</v>
      </c>
      <c r="AI25" s="58">
        <f t="shared" si="19"/>
        <v>838.77813003962035</v>
      </c>
      <c r="AJ25" s="58">
        <f t="shared" si="19"/>
        <v>196.23405078729925</v>
      </c>
      <c r="AK25" s="58">
        <f t="shared" si="19"/>
        <v>378.90839407426171</v>
      </c>
      <c r="AL25" s="58">
        <f t="shared" si="19"/>
        <v>357.82661840530045</v>
      </c>
      <c r="AM25" s="59">
        <f t="shared" si="19"/>
        <v>0.17448401052075471</v>
      </c>
      <c r="AN25" s="59">
        <f t="shared" si="19"/>
        <v>1.4198002470087572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433</v>
      </c>
      <c r="L26" s="67"/>
      <c r="M26" s="67"/>
      <c r="N26" s="68"/>
      <c r="O26" s="69"/>
      <c r="P26" s="64">
        <f>SUM(P3:P24)</f>
        <v>278</v>
      </c>
      <c r="Q26" s="64">
        <f>SUM(Q3:Q24)</f>
        <v>8</v>
      </c>
      <c r="R26" s="64">
        <f t="shared" ref="R26:AD26" si="20">SUM(R3:R24)</f>
        <v>270</v>
      </c>
      <c r="S26" s="64">
        <f>SUM(S3:S24)</f>
        <v>454817.00000000006</v>
      </c>
      <c r="T26" s="64">
        <f>SUM(T3:T24)</f>
        <v>-12888</v>
      </c>
      <c r="U26" s="320">
        <f t="shared" si="20"/>
        <v>441929.00000000006</v>
      </c>
      <c r="V26" s="71">
        <f t="shared" si="20"/>
        <v>0.70155143976086309</v>
      </c>
      <c r="W26" s="64">
        <f t="shared" si="20"/>
        <v>39988.289999999994</v>
      </c>
      <c r="X26" s="64">
        <f>SUM(X3:X24)</f>
        <v>190029.47</v>
      </c>
      <c r="Y26" s="72">
        <f>IF(U26=0,0,X26/U26)</f>
        <v>0.42999999999999994</v>
      </c>
      <c r="Z26" s="64">
        <f>SUM(Z3:Z24)</f>
        <v>49537.990000000042</v>
      </c>
      <c r="AA26" s="64">
        <f>SUM(AA3:AA24)</f>
        <v>96026.501711000004</v>
      </c>
      <c r="AB26" s="64">
        <f t="shared" si="20"/>
        <v>0</v>
      </c>
      <c r="AC26" s="64">
        <f t="shared" si="20"/>
        <v>0</v>
      </c>
      <c r="AD26" s="73">
        <f t="shared" si="20"/>
        <v>1863.4258567208155</v>
      </c>
      <c r="AE26" s="74">
        <f>SUM(AE3:AE24)</f>
        <v>64483.322432279216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2"/>
      <c r="Q27" s="32"/>
      <c r="R27" s="40"/>
      <c r="S27" s="32"/>
      <c r="T27" s="32"/>
      <c r="U27" s="325"/>
      <c r="V27" s="43"/>
      <c r="W27" s="44"/>
      <c r="X27" s="32"/>
      <c r="Y27" s="45"/>
      <c r="Z27" s="32"/>
      <c r="AA27" s="32">
        <f>'Юнит 01-04.01'!AA27+'Юнит 05-11.01'!AA27+'Юнит 12-18.01'!AA27+'Юнит 19-25.01'!AA27+'Юнит 26-31.01'!AA27</f>
        <v>96026.501711000019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1">C28*H28</f>
        <v>0</v>
      </c>
      <c r="J28" s="36"/>
      <c r="K28" s="32">
        <f>'Юнит 01-04.01'!K28+'Юнит 05-11.01'!K28+'Юнит 12-18.01'!K28+'Юнит 19-25.01'!K28+'Юнит 26-31.01'!K28</f>
        <v>2</v>
      </c>
      <c r="L28" s="36"/>
      <c r="M28" s="36"/>
      <c r="N28" s="37">
        <f t="shared" ref="N28" si="22">K28/31</f>
        <v>6.4516129032258063E-2</v>
      </c>
      <c r="O28" s="38">
        <f t="shared" ref="O28" si="23">R28/31</f>
        <v>0</v>
      </c>
      <c r="P28" s="32">
        <f>'Юнит 01-04.01'!P28+'Юнит 05-11.01'!P28+'Юнит 12-18.01'!P28+'Юнит 19-25.01'!P28+'Юнит 26-31.01'!P28</f>
        <v>0</v>
      </c>
      <c r="Q28" s="32">
        <f>'Юнит 01-04.01'!Q28+'Юнит 05-11.01'!Q28+'Юнит 12-18.01'!Q28+'Юнит 19-25.01'!Q28+'Юнит 26-31.01'!Q28</f>
        <v>0</v>
      </c>
      <c r="R28" s="40">
        <f>P28-Q28</f>
        <v>0</v>
      </c>
      <c r="S28" s="32">
        <f>'Юнит 01-04.01'!S28+'Юнит 05-11.01'!S28+'Юнит 12-18.01'!S28+'Юнит 19-25.01'!S28+'Юнит 26-31.01'!S28</f>
        <v>0</v>
      </c>
      <c r="T28" s="32">
        <f>'Юнит 01-04.01'!T28+'Юнит 05-11.01'!T28+'Юнит 12-18.01'!T28+'Юнит 19-25.01'!T28+'Юнит 26-31.01'!T28</f>
        <v>0</v>
      </c>
      <c r="U28" s="325">
        <f t="shared" ref="U28:U47" si="24">S28+T28</f>
        <v>0</v>
      </c>
      <c r="V28" s="43">
        <f t="shared" ref="V28:V47" si="25">U28/$U$51</f>
        <v>0</v>
      </c>
      <c r="W28" s="44">
        <f t="shared" ref="W28:W47" si="26">R28*H28</f>
        <v>0</v>
      </c>
      <c r="X28" s="32">
        <f>'Юнит 01-04.01'!X28+'Юнит 05-11.01'!X28+'Юнит 12-18.01'!X28+'Юнит 19-25.01'!X28+'Юнит 26-31.01'!X28</f>
        <v>0</v>
      </c>
      <c r="Y28" s="45">
        <f t="shared" ref="Y28:Y47" si="27">IF(U28=0,0,X28/U28)</f>
        <v>0</v>
      </c>
      <c r="Z28" s="32">
        <f>'Юнит 01-04.01'!Z28+'Юнит 05-11.01'!Z28+'Юнит 12-18.01'!Z28+'Юнит 19-25.01'!Z28+'Юнит 26-31.01'!Z28</f>
        <v>113.88</v>
      </c>
      <c r="AA28" s="32">
        <f>'Юнит 01-04.01'!AA28+'Юнит 05-11.01'!AA28+'Юнит 12-18.01'!AA28+'Юнит 19-25.01'!AA28+'Юнит 26-31.01'!AA28</f>
        <v>976.89452499999993</v>
      </c>
      <c r="AB28" s="55"/>
      <c r="AC28" s="42"/>
      <c r="AD28" s="46">
        <f t="shared" ref="AD28:AD47" si="28">2656.15*U28/$U$51</f>
        <v>0</v>
      </c>
      <c r="AE28" s="47">
        <f t="shared" ref="AE28:AE46" si="29">U28-W28-X28-Z28-AA28-AB28-AC28-AD28</f>
        <v>-1090.7745249999998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-1090.7745249999998</v>
      </c>
      <c r="AM28" s="50">
        <f t="shared" ref="AM28:AM47" si="35">IF(AG28=0,0,AL28/AG28)</f>
        <v>0</v>
      </c>
      <c r="AN28" s="51">
        <f t="shared" ref="AN28:AN47" si="36">IF(AH28=0,0,AL28/AH28)</f>
        <v>-1.6231763764880949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1"/>
        <v>0</v>
      </c>
      <c r="J29" s="36"/>
      <c r="K29" s="32">
        <f>'Юнит 01-04.01'!K29+'Юнит 05-11.01'!K29+'Юнит 12-18.01'!K29+'Юнит 19-25.01'!K29+'Юнит 26-31.01'!K29</f>
        <v>2</v>
      </c>
      <c r="L29" s="36"/>
      <c r="M29" s="36"/>
      <c r="N29" s="37">
        <f t="shared" ref="N29:N47" si="38">K29/31</f>
        <v>6.4516129032258063E-2</v>
      </c>
      <c r="O29" s="38">
        <f t="shared" ref="O29:O47" si="39">R29/31</f>
        <v>0</v>
      </c>
      <c r="P29" s="32">
        <f>'Юнит 01-04.01'!P29+'Юнит 05-11.01'!P29+'Юнит 12-18.01'!P29+'Юнит 19-25.01'!P29+'Юнит 26-31.01'!P29</f>
        <v>0</v>
      </c>
      <c r="Q29" s="32">
        <f>'Юнит 01-04.01'!Q29+'Юнит 05-11.01'!Q29+'Юнит 12-18.01'!Q29+'Юнит 19-25.01'!Q29+'Юнит 26-31.01'!Q29</f>
        <v>0</v>
      </c>
      <c r="R29" s="40">
        <f t="shared" ref="R29:R47" si="40">P29-Q29</f>
        <v>0</v>
      </c>
      <c r="S29" s="32">
        <f>'Юнит 01-04.01'!S29+'Юнит 05-11.01'!S29+'Юнит 12-18.01'!S29+'Юнит 19-25.01'!S29+'Юнит 26-31.01'!S29</f>
        <v>0</v>
      </c>
      <c r="T29" s="32">
        <f>'Юнит 01-04.01'!T29+'Юнит 05-11.01'!T29+'Юнит 12-18.01'!T29+'Юнит 19-25.01'!T29+'Юнит 26-31.01'!T29</f>
        <v>0</v>
      </c>
      <c r="U29" s="325">
        <f t="shared" si="24"/>
        <v>0</v>
      </c>
      <c r="V29" s="43">
        <f t="shared" si="25"/>
        <v>0</v>
      </c>
      <c r="W29" s="44">
        <f t="shared" si="26"/>
        <v>0</v>
      </c>
      <c r="X29" s="32">
        <f>'Юнит 01-04.01'!X29+'Юнит 05-11.01'!X29+'Юнит 12-18.01'!X29+'Юнит 19-25.01'!X29+'Юнит 26-31.01'!X29</f>
        <v>0</v>
      </c>
      <c r="Y29" s="45">
        <f t="shared" si="27"/>
        <v>0</v>
      </c>
      <c r="Z29" s="32">
        <f>'Юнит 01-04.01'!Z29+'Юнит 05-11.01'!Z29+'Юнит 12-18.01'!Z29+'Юнит 19-25.01'!Z29+'Юнит 26-31.01'!Z29</f>
        <v>113.88</v>
      </c>
      <c r="AA29" s="32">
        <f>'Юнит 01-04.01'!AA29+'Юнит 05-11.01'!AA29+'Юнит 12-18.01'!AA29+'Юнит 19-25.01'!AA29+'Юнит 26-31.01'!AA29</f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1"/>
        <v>0</v>
      </c>
      <c r="J30" s="36"/>
      <c r="K30" s="32">
        <f>'Юнит 01-04.01'!K30+'Юнит 05-11.01'!K30+'Юнит 12-18.01'!K30+'Юнит 19-25.01'!K30+'Юнит 26-31.01'!K30</f>
        <v>1</v>
      </c>
      <c r="L30" s="36"/>
      <c r="M30" s="36"/>
      <c r="N30" s="37">
        <f t="shared" si="38"/>
        <v>3.2258064516129031E-2</v>
      </c>
      <c r="O30" s="38">
        <f t="shared" si="39"/>
        <v>0</v>
      </c>
      <c r="P30" s="32">
        <f>'Юнит 01-04.01'!P30+'Юнит 05-11.01'!P30+'Юнит 12-18.01'!P30+'Юнит 19-25.01'!P30+'Юнит 26-31.01'!P30</f>
        <v>0</v>
      </c>
      <c r="Q30" s="32">
        <f>'Юнит 01-04.01'!Q30+'Юнит 05-11.01'!Q30+'Юнит 12-18.01'!Q30+'Юнит 19-25.01'!Q30+'Юнит 26-31.01'!Q30</f>
        <v>0</v>
      </c>
      <c r="R30" s="40">
        <f t="shared" si="40"/>
        <v>0</v>
      </c>
      <c r="S30" s="32">
        <f>'Юнит 01-04.01'!S30+'Юнит 05-11.01'!S30+'Юнит 12-18.01'!S30+'Юнит 19-25.01'!S30+'Юнит 26-31.01'!S30</f>
        <v>0</v>
      </c>
      <c r="T30" s="32">
        <f>'Юнит 01-04.01'!T30+'Юнит 05-11.01'!T30+'Юнит 12-18.01'!T30+'Юнит 19-25.01'!T30+'Юнит 26-31.01'!T30</f>
        <v>0</v>
      </c>
      <c r="U30" s="325">
        <f t="shared" si="24"/>
        <v>0</v>
      </c>
      <c r="V30" s="43">
        <f t="shared" si="25"/>
        <v>0</v>
      </c>
      <c r="W30" s="44">
        <f t="shared" si="26"/>
        <v>0</v>
      </c>
      <c r="X30" s="32">
        <f>'Юнит 01-04.01'!X30+'Юнит 05-11.01'!X30+'Юнит 12-18.01'!X30+'Юнит 19-25.01'!X30+'Юнит 26-31.01'!X30</f>
        <v>0</v>
      </c>
      <c r="Y30" s="45">
        <f t="shared" si="27"/>
        <v>0</v>
      </c>
      <c r="Z30" s="32">
        <f>'Юнит 01-04.01'!Z30+'Юнит 05-11.01'!Z30+'Юнит 12-18.01'!Z30+'Юнит 19-25.01'!Z30+'Юнит 26-31.01'!Z30</f>
        <v>113.88</v>
      </c>
      <c r="AA30" s="32">
        <f>'Юнит 01-04.01'!AA30+'Юнит 05-11.01'!AA30+'Юнит 12-18.01'!AA30+'Юнит 19-25.01'!AA30+'Юнит 26-31.01'!AA30</f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1"/>
        <v>0</v>
      </c>
      <c r="J31" s="36"/>
      <c r="K31" s="32">
        <f>'Юнит 01-04.01'!K31+'Юнит 05-11.01'!K31+'Юнит 12-18.01'!K31+'Юнит 19-25.01'!K31+'Юнит 26-31.01'!K31</f>
        <v>1</v>
      </c>
      <c r="L31" s="36"/>
      <c r="M31" s="36"/>
      <c r="N31" s="37">
        <f t="shared" si="38"/>
        <v>3.2258064516129031E-2</v>
      </c>
      <c r="O31" s="38">
        <f t="shared" si="39"/>
        <v>3.2258064516129031E-2</v>
      </c>
      <c r="P31" s="32">
        <f>'Юнит 01-04.01'!P31+'Юнит 05-11.01'!P31+'Юнит 12-18.01'!P31+'Юнит 19-25.01'!P31+'Юнит 26-31.01'!P31</f>
        <v>1</v>
      </c>
      <c r="Q31" s="32">
        <f>'Юнит 01-04.01'!Q31+'Юнит 05-11.01'!Q31+'Юнит 12-18.01'!Q31+'Юнит 19-25.01'!Q31+'Юнит 26-31.01'!Q31</f>
        <v>0</v>
      </c>
      <c r="R31" s="40">
        <f t="shared" si="40"/>
        <v>1</v>
      </c>
      <c r="S31" s="32">
        <f>'Юнит 01-04.01'!S31+'Юнит 05-11.01'!S31+'Юнит 12-18.01'!S31+'Юнит 19-25.01'!S31+'Юнит 26-31.01'!S31</f>
        <v>3649</v>
      </c>
      <c r="T31" s="32">
        <f>'Юнит 01-04.01'!T31+'Юнит 05-11.01'!T31+'Юнит 12-18.01'!T31+'Юнит 19-25.01'!T31+'Юнит 26-31.01'!T31</f>
        <v>0</v>
      </c>
      <c r="U31" s="325">
        <f t="shared" si="24"/>
        <v>3649</v>
      </c>
      <c r="V31" s="43">
        <f t="shared" si="25"/>
        <v>5.7926979304082507E-3</v>
      </c>
      <c r="W31" s="44">
        <f t="shared" si="26"/>
        <v>567</v>
      </c>
      <c r="X31" s="32">
        <f>'Юнит 01-04.01'!X31+'Юнит 05-11.01'!X31+'Юнит 12-18.01'!X31+'Юнит 19-25.01'!X31+'Юнит 26-31.01'!X31</f>
        <v>1569.07</v>
      </c>
      <c r="Y31" s="45">
        <f>IF(U31=0,0,X31/U31)</f>
        <v>0.43</v>
      </c>
      <c r="Z31" s="32">
        <f>'Юнит 01-04.01'!Z31+'Юнит 05-11.01'!Z31+'Юнит 12-18.01'!Z31+'Юнит 19-25.01'!Z31+'Юнит 26-31.01'!Z31</f>
        <v>242.23</v>
      </c>
      <c r="AA31" s="32">
        <f>'Юнит 01-04.01'!AA31+'Юнит 05-11.01'!AA31+'Юнит 12-18.01'!AA31+'Юнит 19-25.01'!AA31+'Юнит 26-31.01'!AA31</f>
        <v>0</v>
      </c>
      <c r="AB31" s="55"/>
      <c r="AC31" s="42"/>
      <c r="AD31" s="46">
        <f t="shared" si="28"/>
        <v>15.386274607853876</v>
      </c>
      <c r="AE31" s="47">
        <f t="shared" si="29"/>
        <v>1255.3137253921461</v>
      </c>
      <c r="AF31" s="46"/>
      <c r="AG31" s="48">
        <f t="shared" si="30"/>
        <v>3649</v>
      </c>
      <c r="AH31" s="49">
        <f t="shared" si="31"/>
        <v>567</v>
      </c>
      <c r="AI31" s="49">
        <f t="shared" si="32"/>
        <v>1569.07</v>
      </c>
      <c r="AJ31" s="49">
        <f t="shared" si="33"/>
        <v>242.23</v>
      </c>
      <c r="AK31" s="49">
        <f t="shared" si="34"/>
        <v>0</v>
      </c>
      <c r="AL31" s="49">
        <f t="array" ref="AL31">_xlfn.IFS(R31=0,AE31,R31&lt;0,AE31/-R31,R31&gt;0,AE31/R31)</f>
        <v>1255.3137253921461</v>
      </c>
      <c r="AM31" s="50">
        <f t="shared" si="35"/>
        <v>0.34401581951004279</v>
      </c>
      <c r="AN31" s="51">
        <f t="shared" si="36"/>
        <v>2.2139571876404696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1"/>
        <v>0</v>
      </c>
      <c r="J32" s="36"/>
      <c r="K32" s="32">
        <f>'Юнит 01-04.01'!K32+'Юнит 05-11.01'!K32+'Юнит 12-18.01'!K32+'Юнит 19-25.01'!K32+'Юнит 26-31.01'!K32</f>
        <v>0</v>
      </c>
      <c r="L32" s="36"/>
      <c r="M32" s="36"/>
      <c r="N32" s="37">
        <f t="shared" si="38"/>
        <v>0</v>
      </c>
      <c r="O32" s="38">
        <f t="shared" si="39"/>
        <v>0</v>
      </c>
      <c r="P32" s="32">
        <f>'Юнит 01-04.01'!P32+'Юнит 05-11.01'!P32+'Юнит 12-18.01'!P32+'Юнит 19-25.01'!P32+'Юнит 26-31.01'!P32</f>
        <v>0</v>
      </c>
      <c r="Q32" s="32">
        <f>'Юнит 01-04.01'!Q32+'Юнит 05-11.01'!Q32+'Юнит 12-18.01'!Q32+'Юнит 19-25.01'!Q32+'Юнит 26-31.01'!Q32</f>
        <v>0</v>
      </c>
      <c r="R32" s="40">
        <f t="shared" si="40"/>
        <v>0</v>
      </c>
      <c r="S32" s="32">
        <f>'Юнит 01-04.01'!S32+'Юнит 05-11.01'!S32+'Юнит 12-18.01'!S32+'Юнит 19-25.01'!S32+'Юнит 26-31.01'!S32</f>
        <v>0</v>
      </c>
      <c r="T32" s="32">
        <f>'Юнит 01-04.01'!T32+'Юнит 05-11.01'!T32+'Юнит 12-18.01'!T32+'Юнит 19-25.01'!T32+'Юнит 26-31.01'!T32</f>
        <v>0</v>
      </c>
      <c r="U32" s="325">
        <f t="shared" si="24"/>
        <v>0</v>
      </c>
      <c r="V32" s="43">
        <f t="shared" si="25"/>
        <v>0</v>
      </c>
      <c r="W32" s="44">
        <f t="shared" si="26"/>
        <v>0</v>
      </c>
      <c r="X32" s="32">
        <f>'Юнит 01-04.01'!X32+'Юнит 05-11.01'!X32+'Юнит 12-18.01'!X32+'Юнит 19-25.01'!X32+'Юнит 26-31.01'!X32</f>
        <v>0</v>
      </c>
      <c r="Y32" s="45">
        <f t="shared" si="27"/>
        <v>0</v>
      </c>
      <c r="Z32" s="32">
        <f>'Юнит 01-04.01'!Z32+'Юнит 05-11.01'!Z32+'Юнит 12-18.01'!Z32+'Юнит 19-25.01'!Z32+'Юнит 26-31.01'!Z32</f>
        <v>0</v>
      </c>
      <c r="AA32" s="32">
        <f>'Юнит 01-04.01'!AA32+'Юнит 05-11.01'!AA32+'Юнит 12-18.01'!AA32+'Юнит 19-25.01'!AA32+'Юнит 26-31.01'!AA32</f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1"/>
        <v>0</v>
      </c>
      <c r="J33" s="36"/>
      <c r="K33" s="32">
        <f>'Юнит 01-04.01'!K33+'Юнит 05-11.01'!K33+'Юнит 12-18.01'!K33+'Юнит 19-25.01'!K33+'Юнит 26-31.01'!K33</f>
        <v>2</v>
      </c>
      <c r="L33" s="36"/>
      <c r="M33" s="36"/>
      <c r="N33" s="37">
        <f t="shared" si="38"/>
        <v>6.4516129032258063E-2</v>
      </c>
      <c r="O33" s="38">
        <f t="shared" si="39"/>
        <v>3.2258064516129031E-2</v>
      </c>
      <c r="P33" s="32">
        <f>'Юнит 01-04.01'!P33+'Юнит 05-11.01'!P33+'Юнит 12-18.01'!P33+'Юнит 19-25.01'!P33+'Юнит 26-31.01'!P33</f>
        <v>1</v>
      </c>
      <c r="Q33" s="32">
        <f>'Юнит 01-04.01'!Q33+'Юнит 05-11.01'!Q33+'Юнит 12-18.01'!Q33+'Юнит 19-25.01'!Q33+'Юнит 26-31.01'!Q33</f>
        <v>0</v>
      </c>
      <c r="R33" s="40">
        <f t="shared" si="40"/>
        <v>1</v>
      </c>
      <c r="S33" s="32">
        <f>'Юнит 01-04.01'!S33+'Юнит 05-11.01'!S33+'Юнит 12-18.01'!S33+'Юнит 19-25.01'!S33+'Юнит 26-31.01'!S33</f>
        <v>3080</v>
      </c>
      <c r="T33" s="32">
        <f>'Юнит 01-04.01'!T33+'Юнит 05-11.01'!T33+'Юнит 12-18.01'!T33+'Юнит 19-25.01'!T33+'Юнит 26-31.01'!T33</f>
        <v>0</v>
      </c>
      <c r="U33" s="325">
        <f t="shared" si="24"/>
        <v>3080</v>
      </c>
      <c r="V33" s="43">
        <f t="shared" si="25"/>
        <v>4.8894243972752568E-3</v>
      </c>
      <c r="W33" s="44">
        <f t="shared" si="26"/>
        <v>657</v>
      </c>
      <c r="X33" s="32">
        <f>'Юнит 01-04.01'!X33+'Юнит 05-11.01'!X33+'Юнит 12-18.01'!X33+'Юнит 19-25.01'!X33+'Юнит 26-31.01'!X33</f>
        <v>1324.4</v>
      </c>
      <c r="Y33" s="45">
        <f t="shared" si="27"/>
        <v>0.43000000000000005</v>
      </c>
      <c r="Z33" s="32">
        <f>'Юнит 01-04.01'!Z33+'Юнит 05-11.01'!Z33+'Юнит 12-18.01'!Z33+'Юнит 19-25.01'!Z33+'Юнит 26-31.01'!Z33</f>
        <v>219.36</v>
      </c>
      <c r="AA33" s="32">
        <f>'Юнит 01-04.01'!AA33+'Юнит 05-11.01'!AA33+'Юнит 12-18.01'!AA33+'Юнит 19-25.01'!AA33+'Юнит 26-31.01'!AA33</f>
        <v>0</v>
      </c>
      <c r="AB33" s="55"/>
      <c r="AC33" s="42"/>
      <c r="AD33" s="46">
        <f t="shared" si="28"/>
        <v>12.987044612822674</v>
      </c>
      <c r="AE33" s="47">
        <f t="shared" si="29"/>
        <v>866.25295538717717</v>
      </c>
      <c r="AF33" s="46"/>
      <c r="AG33" s="48">
        <f t="shared" si="30"/>
        <v>3080</v>
      </c>
      <c r="AH33" s="49">
        <f t="shared" si="31"/>
        <v>657</v>
      </c>
      <c r="AI33" s="49">
        <f t="shared" si="32"/>
        <v>1324.4</v>
      </c>
      <c r="AJ33" s="49">
        <f t="shared" si="33"/>
        <v>219.36</v>
      </c>
      <c r="AK33" s="49">
        <f t="shared" si="34"/>
        <v>0</v>
      </c>
      <c r="AL33" s="49">
        <f t="array" ref="AL33">_xlfn.IFS(R33=0,AE33,R33&lt;0,AE33/-R33,R33&gt;0,AE33/R33)</f>
        <v>866.25295538717717</v>
      </c>
      <c r="AM33" s="50">
        <f t="shared" si="35"/>
        <v>0.28125095954129131</v>
      </c>
      <c r="AN33" s="51">
        <f t="shared" si="36"/>
        <v>1.3184976489911373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1"/>
        <v>0</v>
      </c>
      <c r="J34" s="36"/>
      <c r="K34" s="32">
        <f>'Юнит 01-04.01'!K34+'Юнит 05-11.01'!K34+'Юнит 12-18.01'!K34+'Юнит 19-25.01'!K34+'Юнит 26-31.01'!K34</f>
        <v>2</v>
      </c>
      <c r="L34" s="36"/>
      <c r="M34" s="36"/>
      <c r="N34" s="37">
        <f t="shared" si="38"/>
        <v>6.4516129032258063E-2</v>
      </c>
      <c r="O34" s="38">
        <f t="shared" si="39"/>
        <v>3.2258064516129031E-2</v>
      </c>
      <c r="P34" s="32">
        <f>'Юнит 01-04.01'!P34+'Юнит 05-11.01'!P34+'Юнит 12-18.01'!P34+'Юнит 19-25.01'!P34+'Юнит 26-31.01'!P34</f>
        <v>1</v>
      </c>
      <c r="Q34" s="32">
        <f>'Юнит 01-04.01'!Q34+'Юнит 05-11.01'!Q34+'Юнит 12-18.01'!Q34+'Юнит 19-25.01'!Q34+'Юнит 26-31.01'!Q34</f>
        <v>0</v>
      </c>
      <c r="R34" s="40">
        <f t="shared" si="40"/>
        <v>1</v>
      </c>
      <c r="S34" s="32">
        <f>'Юнит 01-04.01'!S34+'Юнит 05-11.01'!S34+'Юнит 12-18.01'!S34+'Юнит 19-25.01'!S34+'Юнит 26-31.01'!S34</f>
        <v>4247</v>
      </c>
      <c r="T34" s="32">
        <f>'Юнит 01-04.01'!T34+'Юнит 05-11.01'!T34+'Юнит 12-18.01'!T34+'Юнит 19-25.01'!T34+'Юнит 26-31.01'!T34</f>
        <v>0</v>
      </c>
      <c r="U34" s="325">
        <f t="shared" si="24"/>
        <v>4247</v>
      </c>
      <c r="V34" s="43">
        <f t="shared" si="25"/>
        <v>6.7420082516974084E-3</v>
      </c>
      <c r="W34" s="44">
        <f t="shared" si="26"/>
        <v>597</v>
      </c>
      <c r="X34" s="32">
        <f>'Юнит 01-04.01'!X34+'Юнит 05-11.01'!X34+'Юнит 12-18.01'!X34+'Юнит 19-25.01'!X34+'Юнит 26-31.01'!X34</f>
        <v>1826.21</v>
      </c>
      <c r="Y34" s="45">
        <f t="shared" si="27"/>
        <v>0.43</v>
      </c>
      <c r="Z34" s="32">
        <f>'Юнит 01-04.01'!Z34+'Юнит 05-11.01'!Z34+'Юнит 12-18.01'!Z34+'Юнит 19-25.01'!Z34+'Юнит 26-31.01'!Z34</f>
        <v>186.2</v>
      </c>
      <c r="AA34" s="32">
        <f>'Юнит 01-04.01'!AA34+'Юнит 05-11.01'!AA34+'Юнит 12-18.01'!AA34+'Юнит 19-25.01'!AA34+'Юнит 26-31.01'!AA34</f>
        <v>0</v>
      </c>
      <c r="AB34" s="55"/>
      <c r="AC34" s="42"/>
      <c r="AD34" s="46">
        <f t="shared" si="28"/>
        <v>17.907785217746071</v>
      </c>
      <c r="AE34" s="47">
        <f t="shared" si="29"/>
        <v>1619.6822147822538</v>
      </c>
      <c r="AF34" s="46"/>
      <c r="AG34" s="48">
        <f t="shared" si="30"/>
        <v>4247</v>
      </c>
      <c r="AH34" s="49">
        <f t="shared" si="31"/>
        <v>597</v>
      </c>
      <c r="AI34" s="49">
        <f t="shared" si="32"/>
        <v>1826.21</v>
      </c>
      <c r="AJ34" s="49">
        <f t="shared" si="33"/>
        <v>186.2</v>
      </c>
      <c r="AK34" s="49">
        <f t="shared" si="34"/>
        <v>0</v>
      </c>
      <c r="AL34" s="49">
        <f t="array" ref="AL34">_xlfn.IFS(R34=0,AE34,R34&lt;0,AE34/-R34,R34&gt;0,AE34/R34)</f>
        <v>1619.6822147822538</v>
      </c>
      <c r="AM34" s="50">
        <f t="shared" si="35"/>
        <v>0.38137090058447232</v>
      </c>
      <c r="AN34" s="51">
        <f t="shared" si="36"/>
        <v>2.7130355356486664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1"/>
        <v>0</v>
      </c>
      <c r="J35" s="36"/>
      <c r="K35" s="32">
        <f>'Юнит 01-04.01'!K35+'Юнит 05-11.01'!K35+'Юнит 12-18.01'!K35+'Юнит 19-25.01'!K35+'Юнит 26-31.01'!K35</f>
        <v>5</v>
      </c>
      <c r="L35" s="36"/>
      <c r="M35" s="36"/>
      <c r="N35" s="37">
        <f t="shared" si="38"/>
        <v>0.16129032258064516</v>
      </c>
      <c r="O35" s="38">
        <f t="shared" si="39"/>
        <v>6.4516129032258063E-2</v>
      </c>
      <c r="P35" s="32">
        <f>'Юнит 01-04.01'!P35+'Юнит 05-11.01'!P35+'Юнит 12-18.01'!P35+'Юнит 19-25.01'!P35+'Юнит 26-31.01'!P35</f>
        <v>2</v>
      </c>
      <c r="Q35" s="32">
        <f>'Юнит 01-04.01'!Q35+'Юнит 05-11.01'!Q35+'Юнит 12-18.01'!Q35+'Юнит 19-25.01'!Q35+'Юнит 26-31.01'!Q35</f>
        <v>0</v>
      </c>
      <c r="R35" s="40">
        <f t="shared" si="40"/>
        <v>2</v>
      </c>
      <c r="S35" s="32">
        <f>'Юнит 01-04.01'!S35+'Юнит 05-11.01'!S35+'Юнит 12-18.01'!S35+'Юнит 19-25.01'!S35+'Юнит 26-31.01'!S35</f>
        <v>7672</v>
      </c>
      <c r="T35" s="32">
        <f>'Юнит 01-04.01'!T35+'Юнит 05-11.01'!T35+'Юнит 12-18.01'!T35+'Юнит 19-25.01'!T35+'Юнит 26-31.01'!T35</f>
        <v>0</v>
      </c>
      <c r="U35" s="325">
        <f t="shared" si="24"/>
        <v>7672</v>
      </c>
      <c r="V35" s="43">
        <f t="shared" si="25"/>
        <v>1.2179111680485641E-2</v>
      </c>
      <c r="W35" s="44">
        <f t="shared" si="26"/>
        <v>1104</v>
      </c>
      <c r="X35" s="32">
        <f>'Юнит 01-04.01'!X35+'Юнит 05-11.01'!X35+'Юнит 12-18.01'!X35+'Юнит 19-25.01'!X35+'Юнит 26-31.01'!X35</f>
        <v>3298.96</v>
      </c>
      <c r="Y35" s="45">
        <f t="shared" si="27"/>
        <v>0.43</v>
      </c>
      <c r="Z35" s="32">
        <f>'Юнит 01-04.01'!Z35+'Юнит 05-11.01'!Z35+'Юнит 12-18.01'!Z35+'Юнит 19-25.01'!Z35+'Юнит 26-31.01'!Z35</f>
        <v>719.26</v>
      </c>
      <c r="AA35" s="32">
        <f>'Юнит 01-04.01'!AA35+'Юнит 05-11.01'!AA35+'Юнит 12-18.01'!AA35+'Юнит 19-25.01'!AA35+'Юнит 26-31.01'!AA35</f>
        <v>0</v>
      </c>
      <c r="AB35" s="55"/>
      <c r="AC35" s="42"/>
      <c r="AD35" s="46">
        <f t="shared" si="28"/>
        <v>32.349547490121935</v>
      </c>
      <c r="AE35" s="47">
        <f t="shared" si="29"/>
        <v>2517.4304525098778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1258.7152262549389</v>
      </c>
      <c r="AM35" s="50">
        <f t="shared" si="35"/>
        <v>0.32813222790796115</v>
      </c>
      <c r="AN35" s="51">
        <f t="shared" si="36"/>
        <v>2.2802812069835849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1"/>
        <v>0</v>
      </c>
      <c r="J36" s="36"/>
      <c r="K36" s="32">
        <f>'Юнит 01-04.01'!K36+'Юнит 05-11.01'!K36+'Юнит 12-18.01'!K36+'Юнит 19-25.01'!K36+'Юнит 26-31.01'!K36</f>
        <v>4</v>
      </c>
      <c r="L36" s="36"/>
      <c r="M36" s="36"/>
      <c r="N36" s="37">
        <f t="shared" si="38"/>
        <v>0.12903225806451613</v>
      </c>
      <c r="O36" s="38">
        <f t="shared" si="39"/>
        <v>0</v>
      </c>
      <c r="P36" s="32">
        <f>'Юнит 01-04.01'!P36+'Юнит 05-11.01'!P36+'Юнит 12-18.01'!P36+'Юнит 19-25.01'!P36+'Юнит 26-31.01'!P36</f>
        <v>0</v>
      </c>
      <c r="Q36" s="32">
        <f>'Юнит 01-04.01'!Q36+'Юнит 05-11.01'!Q36+'Юнит 12-18.01'!Q36+'Юнит 19-25.01'!Q36+'Юнит 26-31.01'!Q36</f>
        <v>0</v>
      </c>
      <c r="R36" s="40">
        <f t="shared" si="40"/>
        <v>0</v>
      </c>
      <c r="S36" s="32">
        <f>'Юнит 01-04.01'!S36+'Юнит 05-11.01'!S36+'Юнит 12-18.01'!S36+'Юнит 19-25.01'!S36+'Юнит 26-31.01'!S36</f>
        <v>0</v>
      </c>
      <c r="T36" s="32">
        <f>'Юнит 01-04.01'!T36+'Юнит 05-11.01'!T36+'Юнит 12-18.01'!T36+'Юнит 19-25.01'!T36+'Юнит 26-31.01'!T36</f>
        <v>0</v>
      </c>
      <c r="U36" s="325">
        <f t="shared" si="24"/>
        <v>0</v>
      </c>
      <c r="V36" s="43">
        <f t="shared" si="25"/>
        <v>0</v>
      </c>
      <c r="W36" s="44">
        <f t="shared" si="26"/>
        <v>0</v>
      </c>
      <c r="X36" s="32">
        <f>'Юнит 01-04.01'!X36+'Юнит 05-11.01'!X36+'Юнит 12-18.01'!X36+'Юнит 19-25.01'!X36+'Юнит 26-31.01'!X36</f>
        <v>0</v>
      </c>
      <c r="Y36" s="45">
        <f t="shared" si="27"/>
        <v>0</v>
      </c>
      <c r="Z36" s="32">
        <f>'Юнит 01-04.01'!Z36+'Юнит 05-11.01'!Z36+'Юнит 12-18.01'!Z36+'Юнит 19-25.01'!Z36+'Юнит 26-31.01'!Z36</f>
        <v>113.88</v>
      </c>
      <c r="AA36" s="32">
        <f>'Юнит 01-04.01'!AA36+'Юнит 05-11.01'!AA36+'Юнит 12-18.01'!AA36+'Юнит 19-25.01'!AA36+'Юнит 26-31.01'!AA36</f>
        <v>0</v>
      </c>
      <c r="AB36" s="55"/>
      <c r="AC36" s="42"/>
      <c r="AD36" s="46">
        <f t="shared" si="28"/>
        <v>0</v>
      </c>
      <c r="AE36" s="47">
        <f t="shared" si="29"/>
        <v>-113.88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113.88</v>
      </c>
      <c r="AK36" s="49">
        <f t="shared" si="34"/>
        <v>0</v>
      </c>
      <c r="AL36" s="49">
        <f t="array" ref="AL36">_xlfn.IFS(R36=0,AE36,R36&lt;0,AE36/-R36,R36&gt;0,AE36/R36)</f>
        <v>-113.88</v>
      </c>
      <c r="AM36" s="50">
        <f t="shared" si="35"/>
        <v>0</v>
      </c>
      <c r="AN36" s="51">
        <f t="shared" si="36"/>
        <v>-0.20630434782608695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1"/>
        <v>0</v>
      </c>
      <c r="J37" s="36"/>
      <c r="K37" s="32">
        <f>'Юнит 01-04.01'!K37+'Юнит 05-11.01'!K37+'Юнит 12-18.01'!K37+'Юнит 19-25.01'!K37+'Юнит 26-31.01'!K37</f>
        <v>10</v>
      </c>
      <c r="L37" s="36"/>
      <c r="M37" s="36"/>
      <c r="N37" s="37">
        <f t="shared" si="38"/>
        <v>0.32258064516129031</v>
      </c>
      <c r="O37" s="38">
        <f t="shared" si="39"/>
        <v>9.6774193548387094E-2</v>
      </c>
      <c r="P37" s="32">
        <f>'Юнит 01-04.01'!P37+'Юнит 05-11.01'!P37+'Юнит 12-18.01'!P37+'Юнит 19-25.01'!P37+'Юнит 26-31.01'!P37</f>
        <v>4</v>
      </c>
      <c r="Q37" s="32">
        <f>'Юнит 01-04.01'!Q37+'Юнит 05-11.01'!Q37+'Юнит 12-18.01'!Q37+'Юнит 19-25.01'!Q37+'Юнит 26-31.01'!Q37</f>
        <v>1</v>
      </c>
      <c r="R37" s="40">
        <f t="shared" si="40"/>
        <v>3</v>
      </c>
      <c r="S37" s="32">
        <f>'Юнит 01-04.01'!S37+'Юнит 05-11.01'!S37+'Юнит 12-18.01'!S37+'Юнит 19-25.01'!S37+'Юнит 26-31.01'!S37</f>
        <v>18024</v>
      </c>
      <c r="T37" s="32">
        <f>'Юнит 01-04.01'!T37+'Юнит 05-11.01'!T37+'Юнит 12-18.01'!T37+'Юнит 19-25.01'!T37+'Юнит 26-31.01'!T37</f>
        <v>-4506</v>
      </c>
      <c r="U37" s="325">
        <f t="shared" si="24"/>
        <v>13518</v>
      </c>
      <c r="V37" s="43">
        <f t="shared" si="25"/>
        <v>2.1459493182586664E-2</v>
      </c>
      <c r="W37" s="44">
        <f t="shared" si="26"/>
        <v>2061</v>
      </c>
      <c r="X37" s="32">
        <f>'Юнит 01-04.01'!X37+'Юнит 05-11.01'!X37+'Юнит 12-18.01'!X37+'Юнит 19-25.01'!X37+'Юнит 26-31.01'!X37</f>
        <v>5812.74</v>
      </c>
      <c r="Y37" s="45">
        <f t="shared" si="27"/>
        <v>0.43</v>
      </c>
      <c r="Z37" s="32">
        <f>'Юнит 01-04.01'!Z37+'Юнит 05-11.01'!Z37+'Юнит 12-18.01'!Z37+'Юнит 19-25.01'!Z37+'Юнит 26-31.01'!Z37</f>
        <v>1487.73</v>
      </c>
      <c r="AA37" s="32">
        <f>'Юнит 01-04.01'!AA37+'Юнит 05-11.01'!AA37+'Юнит 12-18.01'!AA37+'Юнит 19-25.01'!AA37+'Юнит 26-31.01'!AA37</f>
        <v>0</v>
      </c>
      <c r="AB37" s="55"/>
      <c r="AC37" s="42"/>
      <c r="AD37" s="46">
        <f t="shared" si="28"/>
        <v>56.999632816927573</v>
      </c>
      <c r="AE37" s="47">
        <f t="shared" si="29"/>
        <v>4099.5303671830734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371.9325</v>
      </c>
      <c r="AK37" s="49">
        <f t="shared" si="34"/>
        <v>0</v>
      </c>
      <c r="AL37" s="49">
        <f t="array" ref="AL37">_xlfn.IFS(R37=0,AE37,R37&lt;0,AE37/-R37,R37&gt;0,AE37/R37)</f>
        <v>1366.5101223943577</v>
      </c>
      <c r="AM37" s="50">
        <f t="shared" si="35"/>
        <v>0.30326456333651969</v>
      </c>
      <c r="AN37" s="51">
        <f t="shared" si="36"/>
        <v>1.9890977036307973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1"/>
        <v>0</v>
      </c>
      <c r="J38" s="36"/>
      <c r="K38" s="32">
        <f>'Юнит 01-04.01'!K38+'Юнит 05-11.01'!K38+'Юнит 12-18.01'!K38+'Юнит 19-25.01'!K38+'Юнит 26-31.01'!K38</f>
        <v>6</v>
      </c>
      <c r="L38" s="36"/>
      <c r="M38" s="36"/>
      <c r="N38" s="37">
        <f t="shared" si="38"/>
        <v>0.19354838709677419</v>
      </c>
      <c r="O38" s="38">
        <f t="shared" si="39"/>
        <v>0</v>
      </c>
      <c r="P38" s="32">
        <f>'Юнит 01-04.01'!P38+'Юнит 05-11.01'!P38+'Юнит 12-18.01'!P38+'Юнит 19-25.01'!P38+'Юнит 26-31.01'!P38</f>
        <v>1</v>
      </c>
      <c r="Q38" s="32">
        <f>'Юнит 01-04.01'!Q38+'Юнит 05-11.01'!Q38+'Юнит 12-18.01'!Q38+'Юнит 19-25.01'!Q38+'Юнит 26-31.01'!Q38</f>
        <v>1</v>
      </c>
      <c r="R38" s="40">
        <f t="shared" si="40"/>
        <v>0</v>
      </c>
      <c r="S38" s="32">
        <f>'Юнит 01-04.01'!S38+'Юнит 05-11.01'!S38+'Юнит 12-18.01'!S38+'Юнит 19-25.01'!S38+'Юнит 26-31.01'!S38</f>
        <v>3546</v>
      </c>
      <c r="T38" s="32">
        <f>'Юнит 01-04.01'!T38+'Юнит 05-11.01'!T38+'Юнит 12-18.01'!T38+'Юнит 19-25.01'!T38+'Юнит 26-31.01'!T38</f>
        <v>-3546</v>
      </c>
      <c r="U38" s="325">
        <f t="shared" si="24"/>
        <v>0</v>
      </c>
      <c r="V38" s="43">
        <f t="shared" si="25"/>
        <v>0</v>
      </c>
      <c r="W38" s="44">
        <f t="shared" si="26"/>
        <v>0</v>
      </c>
      <c r="X38" s="32">
        <f>'Юнит 01-04.01'!X38+'Юнит 05-11.01'!X38+'Юнит 12-18.01'!X38+'Юнит 19-25.01'!X38+'Юнит 26-31.01'!X38</f>
        <v>0</v>
      </c>
      <c r="Y38" s="45">
        <f t="shared" si="27"/>
        <v>0</v>
      </c>
      <c r="Z38" s="32">
        <f>'Юнит 01-04.01'!Z38+'Юнит 05-11.01'!Z38+'Юнит 12-18.01'!Z38+'Юнит 19-25.01'!Z38+'Юнит 26-31.01'!Z38</f>
        <v>432.27</v>
      </c>
      <c r="AA38" s="32">
        <f>'Юнит 01-04.01'!AA38+'Юнит 05-11.01'!AA38+'Юнит 12-18.01'!AA38+'Юнит 19-25.01'!AA38+'Юнит 26-31.01'!AA38</f>
        <v>0</v>
      </c>
      <c r="AB38" s="55"/>
      <c r="AC38" s="42"/>
      <c r="AD38" s="46">
        <f t="shared" si="28"/>
        <v>0</v>
      </c>
      <c r="AE38" s="47">
        <f t="shared" si="29"/>
        <v>-432.27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432.27</v>
      </c>
      <c r="AK38" s="49">
        <f t="shared" si="34"/>
        <v>0</v>
      </c>
      <c r="AL38" s="49">
        <f t="array" ref="AL38">_xlfn.IFS(R38=0,AE38,R38&lt;0,AE38/-R38,R38&gt;0,AE38/R38)</f>
        <v>-432.27</v>
      </c>
      <c r="AM38" s="50">
        <f t="shared" si="35"/>
        <v>0</v>
      </c>
      <c r="AN38" s="51">
        <f t="shared" si="36"/>
        <v>-0.62921397379912658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1"/>
        <v>0</v>
      </c>
      <c r="J39" s="36"/>
      <c r="K39" s="32">
        <f>'Юнит 01-04.01'!K39+'Юнит 05-11.01'!K39+'Юнит 12-18.01'!K39+'Юнит 19-25.01'!K39+'Юнит 26-31.01'!K39</f>
        <v>2</v>
      </c>
      <c r="L39" s="36"/>
      <c r="M39" s="36"/>
      <c r="N39" s="37">
        <f t="shared" si="38"/>
        <v>6.4516129032258063E-2</v>
      </c>
      <c r="O39" s="38">
        <f t="shared" si="39"/>
        <v>0</v>
      </c>
      <c r="P39" s="32">
        <f>'Юнит 01-04.01'!P39+'Юнит 05-11.01'!P39+'Юнит 12-18.01'!P39+'Юнит 19-25.01'!P39+'Юнит 26-31.01'!P39</f>
        <v>0</v>
      </c>
      <c r="Q39" s="32">
        <f>'Юнит 01-04.01'!Q39+'Юнит 05-11.01'!Q39+'Юнит 12-18.01'!Q39+'Юнит 19-25.01'!Q39+'Юнит 26-31.01'!Q39</f>
        <v>0</v>
      </c>
      <c r="R39" s="40">
        <f t="shared" si="40"/>
        <v>0</v>
      </c>
      <c r="S39" s="32">
        <f>'Юнит 01-04.01'!S39+'Юнит 05-11.01'!S39+'Юнит 12-18.01'!S39+'Юнит 19-25.01'!S39+'Юнит 26-31.01'!S39</f>
        <v>0</v>
      </c>
      <c r="T39" s="32">
        <f>'Юнит 01-04.01'!T39+'Юнит 05-11.01'!T39+'Юнит 12-18.01'!T39+'Юнит 19-25.01'!T39+'Юнит 26-31.01'!T39</f>
        <v>0</v>
      </c>
      <c r="U39" s="325">
        <f t="shared" si="24"/>
        <v>0</v>
      </c>
      <c r="V39" s="43">
        <f t="shared" si="25"/>
        <v>0</v>
      </c>
      <c r="W39" s="44">
        <f t="shared" si="26"/>
        <v>0</v>
      </c>
      <c r="X39" s="32">
        <f>'Юнит 01-04.01'!X39+'Юнит 05-11.01'!X39+'Юнит 12-18.01'!X39+'Юнит 19-25.01'!X39+'Юнит 26-31.01'!X39</f>
        <v>0</v>
      </c>
      <c r="Y39" s="45">
        <f t="shared" si="27"/>
        <v>0</v>
      </c>
      <c r="Z39" s="32">
        <f>'Юнит 01-04.01'!Z39+'Юнит 05-11.01'!Z39+'Юнит 12-18.01'!Z39+'Юнит 19-25.01'!Z39+'Юнит 26-31.01'!Z39</f>
        <v>0</v>
      </c>
      <c r="AA39" s="32">
        <f>'Юнит 01-04.01'!AA39+'Юнит 05-11.01'!AA39+'Юнит 12-18.01'!AA39+'Юнит 19-25.01'!AA39+'Юнит 26-31.01'!AA39</f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1"/>
        <v>0</v>
      </c>
      <c r="J40" s="36"/>
      <c r="K40" s="32">
        <f>'Юнит 01-04.01'!K40+'Юнит 05-11.01'!K40+'Юнит 12-18.01'!K40+'Юнит 19-25.01'!K40+'Юнит 26-31.01'!K40</f>
        <v>1</v>
      </c>
      <c r="L40" s="36"/>
      <c r="M40" s="36"/>
      <c r="N40" s="37">
        <f t="shared" si="38"/>
        <v>3.2258064516129031E-2</v>
      </c>
      <c r="O40" s="38">
        <f t="shared" si="39"/>
        <v>0</v>
      </c>
      <c r="P40" s="32">
        <f>'Юнит 01-04.01'!P40+'Юнит 05-11.01'!P40+'Юнит 12-18.01'!P40+'Юнит 19-25.01'!P40+'Юнит 26-31.01'!P40</f>
        <v>0</v>
      </c>
      <c r="Q40" s="32">
        <f>'Юнит 01-04.01'!Q40+'Юнит 05-11.01'!Q40+'Юнит 12-18.01'!Q40+'Юнит 19-25.01'!Q40+'Юнит 26-31.01'!Q40</f>
        <v>0</v>
      </c>
      <c r="R40" s="40">
        <f t="shared" si="40"/>
        <v>0</v>
      </c>
      <c r="S40" s="32">
        <f>'Юнит 01-04.01'!S40+'Юнит 05-11.01'!S40+'Юнит 12-18.01'!S40+'Юнит 19-25.01'!S40+'Юнит 26-31.01'!S40</f>
        <v>0</v>
      </c>
      <c r="T40" s="32">
        <f>'Юнит 01-04.01'!T40+'Юнит 05-11.01'!T40+'Юнит 12-18.01'!T40+'Юнит 19-25.01'!T40+'Юнит 26-31.01'!T40</f>
        <v>0</v>
      </c>
      <c r="U40" s="325">
        <f t="shared" si="24"/>
        <v>0</v>
      </c>
      <c r="V40" s="43">
        <f t="shared" si="25"/>
        <v>0</v>
      </c>
      <c r="W40" s="44">
        <f t="shared" si="26"/>
        <v>0</v>
      </c>
      <c r="X40" s="32">
        <f>'Юнит 01-04.01'!X40+'Юнит 05-11.01'!X40+'Юнит 12-18.01'!X40+'Юнит 19-25.01'!X40+'Юнит 26-31.01'!X40</f>
        <v>0</v>
      </c>
      <c r="Y40" s="45">
        <f t="shared" si="27"/>
        <v>0</v>
      </c>
      <c r="Z40" s="32">
        <f>'Юнит 01-04.01'!Z40+'Юнит 05-11.01'!Z40+'Юнит 12-18.01'!Z40+'Юнит 19-25.01'!Z40+'Юнит 26-31.01'!Z40</f>
        <v>0</v>
      </c>
      <c r="AA40" s="32">
        <f>'Юнит 01-04.01'!AA40+'Юнит 05-11.01'!AA40+'Юнит 12-18.01'!AA40+'Юнит 19-25.01'!AA40+'Юнит 26-31.01'!AA40</f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1"/>
        <v>0</v>
      </c>
      <c r="J41" s="36"/>
      <c r="K41" s="32">
        <f>'Юнит 01-04.01'!K41+'Юнит 05-11.01'!K41+'Юнит 12-18.01'!K41+'Юнит 19-25.01'!K41+'Юнит 26-31.01'!K41</f>
        <v>0</v>
      </c>
      <c r="L41" s="36"/>
      <c r="M41" s="36"/>
      <c r="N41" s="37">
        <f t="shared" si="38"/>
        <v>0</v>
      </c>
      <c r="O41" s="38">
        <f t="shared" si="39"/>
        <v>0</v>
      </c>
      <c r="P41" s="32">
        <f>'Юнит 01-04.01'!P41+'Юнит 05-11.01'!P41+'Юнит 12-18.01'!P41+'Юнит 19-25.01'!P41+'Юнит 26-31.01'!P41</f>
        <v>0</v>
      </c>
      <c r="Q41" s="32">
        <f>'Юнит 01-04.01'!Q41+'Юнит 05-11.01'!Q41+'Юнит 12-18.01'!Q41+'Юнит 19-25.01'!Q41+'Юнит 26-31.01'!Q41</f>
        <v>0</v>
      </c>
      <c r="R41" s="40">
        <f t="shared" si="40"/>
        <v>0</v>
      </c>
      <c r="S41" s="32">
        <f>'Юнит 01-04.01'!S41+'Юнит 05-11.01'!S41+'Юнит 12-18.01'!S41+'Юнит 19-25.01'!S41+'Юнит 26-31.01'!S41</f>
        <v>0</v>
      </c>
      <c r="T41" s="32">
        <f>'Юнит 01-04.01'!T41+'Юнит 05-11.01'!T41+'Юнит 12-18.01'!T41+'Юнит 19-25.01'!T41+'Юнит 26-31.01'!T41</f>
        <v>0</v>
      </c>
      <c r="U41" s="325">
        <f t="shared" si="24"/>
        <v>0</v>
      </c>
      <c r="V41" s="43">
        <f t="shared" si="25"/>
        <v>0</v>
      </c>
      <c r="W41" s="44">
        <f t="shared" si="26"/>
        <v>0</v>
      </c>
      <c r="X41" s="32">
        <f>'Юнит 01-04.01'!X41+'Юнит 05-11.01'!X41+'Юнит 12-18.01'!X41+'Юнит 19-25.01'!X41+'Юнит 26-31.01'!X41</f>
        <v>0</v>
      </c>
      <c r="Y41" s="45">
        <f t="shared" si="27"/>
        <v>0</v>
      </c>
      <c r="Z41" s="32">
        <f>'Юнит 01-04.01'!Z41+'Юнит 05-11.01'!Z41+'Юнит 12-18.01'!Z41+'Юнит 19-25.01'!Z41+'Юнит 26-31.01'!Z41</f>
        <v>0</v>
      </c>
      <c r="AA41" s="32">
        <f>'Юнит 01-04.01'!AA41+'Юнит 05-11.01'!AA41+'Юнит 12-18.01'!AA41+'Юнит 19-25.01'!AA41+'Юнит 26-31.01'!AA41</f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1"/>
        <v>0</v>
      </c>
      <c r="J42" s="36"/>
      <c r="K42" s="32">
        <f>'Юнит 01-04.01'!K42+'Юнит 05-11.01'!K42+'Юнит 12-18.01'!K42+'Юнит 19-25.01'!K42+'Юнит 26-31.01'!K42</f>
        <v>2</v>
      </c>
      <c r="L42" s="36"/>
      <c r="M42" s="36"/>
      <c r="N42" s="37">
        <f t="shared" si="38"/>
        <v>6.4516129032258063E-2</v>
      </c>
      <c r="O42" s="38">
        <f t="shared" si="39"/>
        <v>3.2258064516129031E-2</v>
      </c>
      <c r="P42" s="32">
        <f>'Юнит 01-04.01'!P42+'Юнит 05-11.01'!P42+'Юнит 12-18.01'!P42+'Юнит 19-25.01'!P42+'Юнит 26-31.01'!P42</f>
        <v>1</v>
      </c>
      <c r="Q42" s="32">
        <f>'Юнит 01-04.01'!Q42+'Юнит 05-11.01'!Q42+'Юнит 12-18.01'!Q42+'Юнит 19-25.01'!Q42+'Юнит 26-31.01'!Q42</f>
        <v>0</v>
      </c>
      <c r="R42" s="40">
        <f t="shared" si="40"/>
        <v>1</v>
      </c>
      <c r="S42" s="32">
        <f>'Юнит 01-04.01'!S42+'Юнит 05-11.01'!S42+'Юнит 12-18.01'!S42+'Юнит 19-25.01'!S42+'Юнит 26-31.01'!S42</f>
        <v>4024</v>
      </c>
      <c r="T42" s="32">
        <f>'Юнит 01-04.01'!T42+'Юнит 05-11.01'!T42+'Юнит 12-18.01'!T42+'Юнит 19-25.01'!T42+'Юнит 26-31.01'!T42</f>
        <v>0</v>
      </c>
      <c r="U42" s="325">
        <f t="shared" si="24"/>
        <v>4024</v>
      </c>
      <c r="V42" s="43">
        <f t="shared" si="25"/>
        <v>6.3880012255310504E-3</v>
      </c>
      <c r="W42" s="44">
        <f t="shared" si="26"/>
        <v>642</v>
      </c>
      <c r="X42" s="32">
        <f>'Юнит 01-04.01'!X42+'Юнит 05-11.01'!X42+'Юнит 12-18.01'!X42+'Юнит 19-25.01'!X42+'Юнит 26-31.01'!X42</f>
        <v>1730.32</v>
      </c>
      <c r="Y42" s="45">
        <f t="shared" si="27"/>
        <v>0.43</v>
      </c>
      <c r="Z42" s="32">
        <f>'Юнит 01-04.01'!Z42+'Юнит 05-11.01'!Z42+'Юнит 12-18.01'!Z42+'Юнит 19-25.01'!Z42+'Юнит 26-31.01'!Z42</f>
        <v>188.59</v>
      </c>
      <c r="AA42" s="32">
        <f>'Юнит 01-04.01'!AA42+'Юнит 05-11.01'!AA42+'Юнит 12-18.01'!AA42+'Юнит 19-25.01'!AA42+'Юнит 26-31.01'!AA42</f>
        <v>976.81</v>
      </c>
      <c r="AB42" s="55"/>
      <c r="AC42" s="42"/>
      <c r="AD42" s="46">
        <f t="shared" si="28"/>
        <v>16.967489455194297</v>
      </c>
      <c r="AE42" s="47">
        <f t="shared" si="29"/>
        <v>469.31251054480589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976.81</v>
      </c>
      <c r="AL42" s="49">
        <f t="array" ref="AL42">_xlfn.IFS(R42=0,AE42,R42&lt;0,AE42/-R42,R42&gt;0,AE42/R42)</f>
        <v>469.31251054480589</v>
      </c>
      <c r="AM42" s="50">
        <f t="shared" si="35"/>
        <v>0.11662835749125394</v>
      </c>
      <c r="AN42" s="51">
        <f t="shared" si="36"/>
        <v>0.73101637156511823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1"/>
        <v>0</v>
      </c>
      <c r="J43" s="36"/>
      <c r="K43" s="32">
        <f>'Юнит 01-04.01'!K43+'Юнит 05-11.01'!K43+'Юнит 12-18.01'!K43+'Юнит 19-25.01'!K43+'Юнит 26-31.01'!K43</f>
        <v>3</v>
      </c>
      <c r="L43" s="36"/>
      <c r="M43" s="36"/>
      <c r="N43" s="37">
        <f t="shared" si="38"/>
        <v>9.6774193548387094E-2</v>
      </c>
      <c r="O43" s="38">
        <f t="shared" si="39"/>
        <v>0</v>
      </c>
      <c r="P43" s="32">
        <f>'Юнит 01-04.01'!P43+'Юнит 05-11.01'!P43+'Юнит 12-18.01'!P43+'Юнит 19-25.01'!P43+'Юнит 26-31.01'!P43</f>
        <v>0</v>
      </c>
      <c r="Q43" s="32">
        <f>'Юнит 01-04.01'!Q43+'Юнит 05-11.01'!Q43+'Юнит 12-18.01'!Q43+'Юнит 19-25.01'!Q43+'Юнит 26-31.01'!Q43</f>
        <v>0</v>
      </c>
      <c r="R43" s="40">
        <f t="shared" si="40"/>
        <v>0</v>
      </c>
      <c r="S43" s="32">
        <f>'Юнит 01-04.01'!S43+'Юнит 05-11.01'!S43+'Юнит 12-18.01'!S43+'Юнит 19-25.01'!S43+'Юнит 26-31.01'!S43</f>
        <v>0</v>
      </c>
      <c r="T43" s="32">
        <f>'Юнит 01-04.01'!T43+'Юнит 05-11.01'!T43+'Юнит 12-18.01'!T43+'Юнит 19-25.01'!T43+'Юнит 26-31.01'!T43</f>
        <v>0</v>
      </c>
      <c r="U43" s="325">
        <f t="shared" si="24"/>
        <v>0</v>
      </c>
      <c r="V43" s="43">
        <f t="shared" si="25"/>
        <v>0</v>
      </c>
      <c r="W43" s="44">
        <f t="shared" si="26"/>
        <v>0</v>
      </c>
      <c r="X43" s="32">
        <f>'Юнит 01-04.01'!X43+'Юнит 05-11.01'!X43+'Юнит 12-18.01'!X43+'Юнит 19-25.01'!X43+'Юнит 26-31.01'!X43</f>
        <v>0</v>
      </c>
      <c r="Y43" s="45">
        <f t="shared" si="27"/>
        <v>0</v>
      </c>
      <c r="Z43" s="32">
        <f>'Юнит 01-04.01'!Z43+'Юнит 05-11.01'!Z43+'Юнит 12-18.01'!Z43+'Юнит 19-25.01'!Z43+'Юнит 26-31.01'!Z43</f>
        <v>227.76</v>
      </c>
      <c r="AA43" s="32">
        <f>'Юнит 01-04.01'!AA43+'Юнит 05-11.01'!AA43+'Юнит 12-18.01'!AA43+'Юнит 19-25.01'!AA43+'Юнит 26-31.01'!AA43</f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1"/>
        <v>0</v>
      </c>
      <c r="J44" s="36"/>
      <c r="K44" s="32">
        <f>'Юнит 01-04.01'!K44+'Юнит 05-11.01'!K44+'Юнит 12-18.01'!K44+'Юнит 19-25.01'!K44+'Юнит 26-31.01'!K44</f>
        <v>62</v>
      </c>
      <c r="L44" s="36"/>
      <c r="M44" s="36"/>
      <c r="N44" s="37">
        <f t="shared" si="38"/>
        <v>2</v>
      </c>
      <c r="O44" s="38">
        <f t="shared" si="39"/>
        <v>0.4838709677419355</v>
      </c>
      <c r="P44" s="32">
        <f>'Юнит 01-04.01'!P44+'Юнит 05-11.01'!P44+'Юнит 12-18.01'!P44+'Юнит 19-25.01'!P44+'Юнит 26-31.01'!P44</f>
        <v>15</v>
      </c>
      <c r="Q44" s="32">
        <f>'Юнит 01-04.01'!Q44+'Юнит 05-11.01'!Q44+'Юнит 12-18.01'!Q44+'Юнит 19-25.01'!Q44+'Юнит 26-31.01'!Q44</f>
        <v>0</v>
      </c>
      <c r="R44" s="40">
        <f t="shared" si="40"/>
        <v>15</v>
      </c>
      <c r="S44" s="32">
        <f>'Юнит 01-04.01'!S44+'Юнит 05-11.01'!S44+'Юнит 12-18.01'!S44+'Юнит 19-25.01'!S44+'Юнит 26-31.01'!S44</f>
        <v>63862</v>
      </c>
      <c r="T44" s="32">
        <f>'Юнит 01-04.01'!T44+'Юнит 05-11.01'!T44+'Юнит 12-18.01'!T44+'Юнит 19-25.01'!T44+'Юнит 26-31.01'!T44</f>
        <v>0</v>
      </c>
      <c r="U44" s="325">
        <f t="shared" si="24"/>
        <v>63862</v>
      </c>
      <c r="V44" s="43">
        <f t="shared" si="25"/>
        <v>0.10137935742168587</v>
      </c>
      <c r="W44" s="44">
        <f t="shared" si="26"/>
        <v>10305</v>
      </c>
      <c r="X44" s="32">
        <f>'Юнит 01-04.01'!X44+'Юнит 05-11.01'!X44+'Юнит 12-18.01'!X44+'Юнит 19-25.01'!X44+'Юнит 26-31.01'!X44</f>
        <v>27460.660000000003</v>
      </c>
      <c r="Y44" s="45">
        <f t="shared" si="27"/>
        <v>0.43000000000000005</v>
      </c>
      <c r="Z44" s="32">
        <f>'Юнит 01-04.01'!Z44+'Юнит 05-11.01'!Z44+'Юнит 12-18.01'!Z44+'Юнит 19-25.01'!Z44+'Юнит 26-31.01'!Z44</f>
        <v>5651.9800000000014</v>
      </c>
      <c r="AA44" s="32">
        <f>'Юнит 01-04.01'!AA44+'Юнит 05-11.01'!AA44+'Юнит 12-18.01'!AA44+'Юнит 19-25.01'!AA44+'Юнит 26-31.01'!AA44</f>
        <v>17270.450447000003</v>
      </c>
      <c r="AB44" s="55"/>
      <c r="AC44" s="42"/>
      <c r="AD44" s="46">
        <f t="shared" si="28"/>
        <v>269.27878021561094</v>
      </c>
      <c r="AE44" s="47">
        <f t="shared" si="29"/>
        <v>2904.6307727843796</v>
      </c>
      <c r="AF44" s="46"/>
      <c r="AG44" s="48">
        <f t="shared" si="30"/>
        <v>4257.4666666666662</v>
      </c>
      <c r="AH44" s="49">
        <f t="shared" si="31"/>
        <v>687</v>
      </c>
      <c r="AI44" s="49">
        <f t="shared" si="32"/>
        <v>1830.7106666666668</v>
      </c>
      <c r="AJ44" s="49">
        <f t="shared" si="33"/>
        <v>376.79866666666675</v>
      </c>
      <c r="AK44" s="49">
        <f t="shared" si="34"/>
        <v>1151.3633631333335</v>
      </c>
      <c r="AL44" s="49">
        <f t="array" ref="AL44">_xlfn.IFS(R44=0,AE44,R44&lt;0,AE44/-R44,R44&gt;0,AE44/R44)</f>
        <v>193.64205151895865</v>
      </c>
      <c r="AM44" s="50">
        <f t="shared" si="35"/>
        <v>4.5482928389094922E-2</v>
      </c>
      <c r="AN44" s="51">
        <f t="shared" si="36"/>
        <v>0.2818661594162426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1"/>
        <v>0</v>
      </c>
      <c r="J45" s="36"/>
      <c r="K45" s="32">
        <f>'Юнит 01-04.01'!K45+'Юнит 05-11.01'!K45+'Юнит 12-18.01'!K45+'Юнит 19-25.01'!K45+'Юнит 26-31.01'!K45</f>
        <v>49</v>
      </c>
      <c r="L45" s="36"/>
      <c r="M45" s="36"/>
      <c r="N45" s="37">
        <f t="shared" si="38"/>
        <v>1.5806451612903225</v>
      </c>
      <c r="O45" s="38">
        <f t="shared" si="39"/>
        <v>0.54838709677419351</v>
      </c>
      <c r="P45" s="32">
        <f>'Юнит 01-04.01'!P45+'Юнит 05-11.01'!P45+'Юнит 12-18.01'!P45+'Юнит 19-25.01'!P45+'Юнит 26-31.01'!P45</f>
        <v>19</v>
      </c>
      <c r="Q45" s="32">
        <f>'Юнит 01-04.01'!Q45+'Юнит 05-11.01'!Q45+'Юнит 12-18.01'!Q45+'Юнит 19-25.01'!Q45+'Юнит 26-31.01'!Q45</f>
        <v>2</v>
      </c>
      <c r="R45" s="40">
        <f t="shared" si="40"/>
        <v>17</v>
      </c>
      <c r="S45" s="32">
        <f>'Юнит 01-04.01'!S45+'Юнит 05-11.01'!S45+'Юнит 12-18.01'!S45+'Юнит 19-25.01'!S45+'Юнит 26-31.01'!S45</f>
        <v>93652</v>
      </c>
      <c r="T45" s="32">
        <f>'Юнит 01-04.01'!T45+'Юнит 05-11.01'!T45+'Юнит 12-18.01'!T45+'Юнит 19-25.01'!T45+'Юнит 26-31.01'!T45</f>
        <v>-9880</v>
      </c>
      <c r="U45" s="325">
        <f t="shared" si="24"/>
        <v>83772</v>
      </c>
      <c r="V45" s="43">
        <f t="shared" si="25"/>
        <v>0.13298599370407235</v>
      </c>
      <c r="W45" s="44">
        <f t="shared" si="26"/>
        <v>11679</v>
      </c>
      <c r="X45" s="32">
        <f>'Юнит 01-04.01'!X45+'Юнит 05-11.01'!X45+'Юнит 12-18.01'!X45+'Юнит 19-25.01'!X45+'Юнит 26-31.01'!X45</f>
        <v>36021.960000000006</v>
      </c>
      <c r="Y45" s="45">
        <f t="shared" si="27"/>
        <v>0.43000000000000005</v>
      </c>
      <c r="Z45" s="32">
        <f>'Юнит 01-04.01'!Z45+'Юнит 05-11.01'!Z45+'Юнит 12-18.01'!Z45+'Юнит 19-25.01'!Z45+'Юнит 26-31.01'!Z45</f>
        <v>7480.9400000000023</v>
      </c>
      <c r="AA45" s="32">
        <f>'Юнит 01-04.01'!AA45+'Юнит 05-11.01'!AA45+'Юнит 12-18.01'!AA45+'Юнит 19-25.01'!AA45+'Юнит 26-31.01'!AA45</f>
        <v>14130.920748</v>
      </c>
      <c r="AB45" s="55"/>
      <c r="AC45" s="42"/>
      <c r="AD45" s="46">
        <f t="shared" si="28"/>
        <v>353.23074717707181</v>
      </c>
      <c r="AE45" s="47">
        <f t="shared" si="29"/>
        <v>14105.94850482292</v>
      </c>
      <c r="AF45" s="46"/>
      <c r="AG45" s="48">
        <f t="shared" si="30"/>
        <v>4927.7647058823532</v>
      </c>
      <c r="AH45" s="49">
        <f t="shared" si="31"/>
        <v>687</v>
      </c>
      <c r="AI45" s="49">
        <f t="shared" si="32"/>
        <v>2118.9388235294123</v>
      </c>
      <c r="AJ45" s="49">
        <f t="shared" si="33"/>
        <v>393.73368421052646</v>
      </c>
      <c r="AK45" s="49">
        <f t="shared" si="34"/>
        <v>743.73267094736843</v>
      </c>
      <c r="AL45" s="49">
        <f t="array" ref="AL45">_xlfn.IFS(R45=0,AE45,R45&lt;0,AE45/-R45,R45&gt;0,AE45/R45)</f>
        <v>829.7616767542894</v>
      </c>
      <c r="AM45" s="50">
        <f t="shared" si="35"/>
        <v>0.16838500339997756</v>
      </c>
      <c r="AN45" s="51">
        <f t="shared" si="36"/>
        <v>1.2078044785360835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1"/>
        <v>0</v>
      </c>
      <c r="J46" s="36"/>
      <c r="K46" s="32">
        <f>'Юнит 01-04.01'!K46+'Юнит 05-11.01'!K46+'Юнит 12-18.01'!K46+'Юнит 19-25.01'!K46+'Юнит 26-31.01'!K46</f>
        <v>10</v>
      </c>
      <c r="L46" s="36"/>
      <c r="M46" s="36"/>
      <c r="N46" s="37">
        <f t="shared" si="38"/>
        <v>0.32258064516129031</v>
      </c>
      <c r="O46" s="38">
        <f t="shared" si="39"/>
        <v>3.2258064516129031E-2</v>
      </c>
      <c r="P46" s="32">
        <f>'Юнит 01-04.01'!P46+'Юнит 05-11.01'!P46+'Юнит 12-18.01'!P46+'Юнит 19-25.01'!P46+'Юнит 26-31.01'!P46</f>
        <v>1</v>
      </c>
      <c r="Q46" s="32">
        <f>'Юнит 01-04.01'!Q46+'Юнит 05-11.01'!Q46+'Юнит 12-18.01'!Q46+'Юнит 19-25.01'!Q46+'Юнит 26-31.01'!Q46</f>
        <v>0</v>
      </c>
      <c r="R46" s="40">
        <f t="shared" si="40"/>
        <v>1</v>
      </c>
      <c r="S46" s="32">
        <f>'Юнит 01-04.01'!S46+'Юнит 05-11.01'!S46+'Юнит 12-18.01'!S46+'Юнит 19-25.01'!S46+'Юнит 26-31.01'!S46</f>
        <v>4178</v>
      </c>
      <c r="T46" s="32">
        <f>'Юнит 01-04.01'!T46+'Юнит 05-11.01'!T46+'Юнит 12-18.01'!T46+'Юнит 19-25.01'!T46+'Юнит 26-31.01'!T46</f>
        <v>0</v>
      </c>
      <c r="U46" s="325">
        <f t="shared" si="24"/>
        <v>4178</v>
      </c>
      <c r="V46" s="43">
        <f t="shared" si="25"/>
        <v>6.6324724453948134E-3</v>
      </c>
      <c r="W46" s="44">
        <f t="shared" si="26"/>
        <v>552</v>
      </c>
      <c r="X46" s="32">
        <f>'Юнит 01-04.01'!X46+'Юнит 05-11.01'!X46+'Юнит 12-18.01'!X46+'Юнит 19-25.01'!X46+'Юнит 26-31.01'!X46</f>
        <v>1796.54</v>
      </c>
      <c r="Y46" s="45">
        <f t="shared" si="27"/>
        <v>0.43</v>
      </c>
      <c r="Z46" s="32">
        <f>'Юнит 01-04.01'!Z46+'Юнит 05-11.01'!Z46+'Юнит 12-18.01'!Z46+'Юнит 19-25.01'!Z46+'Юнит 26-31.01'!Z46</f>
        <v>375.51</v>
      </c>
      <c r="AA46" s="32">
        <f>'Юнит 01-04.01'!AA46+'Юнит 05-11.01'!AA46+'Юнит 12-18.01'!AA46+'Юнит 19-25.01'!AA46+'Юнит 26-31.01'!AA46</f>
        <v>4234.0284069999998</v>
      </c>
      <c r="AB46" s="55"/>
      <c r="AC46" s="42"/>
      <c r="AD46" s="46">
        <f t="shared" si="28"/>
        <v>17.616841685835436</v>
      </c>
      <c r="AE46" s="47">
        <f t="shared" si="29"/>
        <v>-2797.6952486858354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375.51</v>
      </c>
      <c r="AK46" s="49">
        <f t="shared" si="34"/>
        <v>4234.0284069999998</v>
      </c>
      <c r="AL46" s="49">
        <f t="array" ref="AL46">_xlfn.IFS(R46=0,AE46,R46&lt;0,AE46/-R46,R46&gt;0,AE46/R46)</f>
        <v>-2797.6952486858354</v>
      </c>
      <c r="AM46" s="50">
        <f t="shared" si="35"/>
        <v>-0.6696254783833977</v>
      </c>
      <c r="AN46" s="51">
        <f t="shared" si="36"/>
        <v>-5.0682884939960786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f>'Юнит 01-04.01'!K47+'Юнит 05-11.01'!K47+'Юнит 12-18.01'!K47+'Юнит 19-25.01'!K47+'Юнит 26-31.01'!K47</f>
        <v>1</v>
      </c>
      <c r="L47" s="36"/>
      <c r="M47" s="36"/>
      <c r="N47" s="37">
        <f t="shared" si="38"/>
        <v>3.2258064516129031E-2</v>
      </c>
      <c r="O47" s="38">
        <f t="shared" si="39"/>
        <v>0</v>
      </c>
      <c r="P47" s="32">
        <f>'Юнит 01-04.01'!P47+'Юнит 05-11.01'!P47+'Юнит 12-18.01'!P47+'Юнит 19-25.01'!P47+'Юнит 26-31.01'!P47</f>
        <v>0</v>
      </c>
      <c r="Q47" s="32">
        <f>'Юнит 01-04.01'!Q47+'Юнит 05-11.01'!Q47+'Юнит 12-18.01'!Q47+'Юнит 19-25.01'!Q47+'Юнит 26-31.01'!Q47</f>
        <v>0</v>
      </c>
      <c r="R47" s="40">
        <f t="shared" si="40"/>
        <v>0</v>
      </c>
      <c r="S47" s="32">
        <f>'Юнит 01-04.01'!S47+'Юнит 05-11.01'!S47+'Юнит 12-18.01'!S47+'Юнит 19-25.01'!S47+'Юнит 26-31.01'!S47</f>
        <v>0</v>
      </c>
      <c r="T47" s="32">
        <f>'Юнит 01-04.01'!T47+'Юнит 05-11.01'!T47+'Юнит 12-18.01'!T47+'Юнит 19-25.01'!T47+'Юнит 26-31.01'!T47</f>
        <v>0</v>
      </c>
      <c r="U47" s="325">
        <f t="shared" si="24"/>
        <v>0</v>
      </c>
      <c r="V47" s="43">
        <f t="shared" si="25"/>
        <v>0</v>
      </c>
      <c r="W47" s="44">
        <f t="shared" si="26"/>
        <v>0</v>
      </c>
      <c r="X47" s="32">
        <f>'Юнит 01-04.01'!X47+'Юнит 05-11.01'!X47+'Юнит 12-18.01'!X47+'Юнит 19-25.01'!X47+'Юнит 26-31.01'!X47</f>
        <v>0</v>
      </c>
      <c r="Y47" s="45">
        <f t="shared" si="27"/>
        <v>0</v>
      </c>
      <c r="Z47" s="32">
        <f>'Юнит 01-04.01'!Z47+'Юнит 05-11.01'!Z47+'Юнит 12-18.01'!Z47+'Юнит 19-25.01'!Z47+'Юнит 26-31.01'!Z47</f>
        <v>0</v>
      </c>
      <c r="AA47" s="32">
        <f>'Юнит 01-04.01'!AA47+'Юнит 05-11.01'!AA47+'Юнит 12-18.01'!AA47+'Юнит 19-25.01'!AA47+'Юнит 26-31.01'!AA47</f>
        <v>0</v>
      </c>
      <c r="AB47" s="55"/>
      <c r="AC47" s="42"/>
      <c r="AD47" s="46">
        <f t="shared" si="28"/>
        <v>0</v>
      </c>
      <c r="AE47" s="47">
        <f>U47-W47-X47-Z47-AA47-AB47-AC47-AD47</f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2"/>
      <c r="Q48" s="32"/>
      <c r="R48" s="40"/>
      <c r="S48" s="32"/>
      <c r="T48" s="32"/>
      <c r="U48" s="325"/>
      <c r="V48" s="43"/>
      <c r="W48" s="44"/>
      <c r="X48" s="32"/>
      <c r="Y48" s="45"/>
      <c r="Z48" s="32"/>
      <c r="AA48" s="32"/>
      <c r="AB48" s="55"/>
      <c r="AC48" s="42"/>
      <c r="AD48" s="46"/>
      <c r="AE48" s="47"/>
      <c r="AF48" s="46"/>
      <c r="AG48" s="85">
        <f t="shared" ref="AG48:AN48" si="41">AVERAGEIF(AG28:AG47,"&lt;&gt;0",AG28:AG47)</f>
        <v>4078.3590413943361</v>
      </c>
      <c r="AH48" s="86">
        <f t="shared" si="41"/>
        <v>617.25</v>
      </c>
      <c r="AI48" s="86">
        <f t="shared" si="41"/>
        <v>1753.6943877995643</v>
      </c>
      <c r="AJ48" s="86">
        <f t="shared" si="41"/>
        <v>255.30232339181288</v>
      </c>
      <c r="AK48" s="86">
        <f t="shared" si="41"/>
        <v>1776.4836102701754</v>
      </c>
      <c r="AL48" s="86">
        <f t="shared" si="41"/>
        <v>197.93671395620615</v>
      </c>
      <c r="AM48" s="87">
        <f t="shared" si="41"/>
        <v>0.14432280908635731</v>
      </c>
      <c r="AN48" s="87">
        <f t="shared" si="41"/>
        <v>0.29937021044305195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165</v>
      </c>
      <c r="L49" s="93"/>
      <c r="M49" s="93"/>
      <c r="N49" s="94"/>
      <c r="O49" s="95"/>
      <c r="P49" s="90">
        <f>SUM(P28:P47)</f>
        <v>46</v>
      </c>
      <c r="Q49" s="90">
        <f>SUM(Q28:Q47)</f>
        <v>4</v>
      </c>
      <c r="R49" s="96">
        <f t="shared" ref="R49:W49" si="42">SUM(R28:R47)</f>
        <v>42</v>
      </c>
      <c r="S49" s="90">
        <f>SUM(S28:S47)</f>
        <v>205934</v>
      </c>
      <c r="T49" s="90">
        <f>SUM(T28:T47)</f>
        <v>-17932</v>
      </c>
      <c r="U49" s="326">
        <f t="shared" si="42"/>
        <v>188002</v>
      </c>
      <c r="V49" s="97">
        <f t="shared" si="42"/>
        <v>0.29844856023913729</v>
      </c>
      <c r="W49" s="90">
        <f t="shared" si="42"/>
        <v>28164</v>
      </c>
      <c r="X49" s="90">
        <f>SUM(X28:X47)</f>
        <v>80840.86</v>
      </c>
      <c r="Y49" s="98">
        <f>IF(U49=0,0,X49/U49)</f>
        <v>0.43</v>
      </c>
      <c r="Z49" s="90">
        <f t="shared" ref="Z49:AD49" si="43">SUM(Z28:Z47)</f>
        <v>17667.350000000002</v>
      </c>
      <c r="AA49" s="90">
        <f t="shared" si="43"/>
        <v>37589.104127000006</v>
      </c>
      <c r="AB49" s="90">
        <f t="shared" si="43"/>
        <v>0</v>
      </c>
      <c r="AC49" s="90">
        <f t="shared" si="43"/>
        <v>0</v>
      </c>
      <c r="AD49" s="96">
        <f t="shared" si="43"/>
        <v>792.72414327918455</v>
      </c>
      <c r="AE49" s="90">
        <f>SUM(AE28:AE47)</f>
        <v>22947.961729720795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327"/>
      <c r="V50" s="112"/>
      <c r="W50" s="109"/>
      <c r="X50" s="109"/>
      <c r="Y50" s="45"/>
      <c r="Z50" s="109"/>
      <c r="AA50" s="32">
        <f>'Юнит 01-04.01'!AA50+'Юнит 05-11.01'!AA50+'Юнит 12-18.01'!AA50+'Юнит 19-25.01'!AA50+'Юнит 26-31.01'!AA50</f>
        <v>37589.104126999999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598</v>
      </c>
      <c r="L51" s="119"/>
      <c r="M51" s="119"/>
      <c r="N51" s="119"/>
      <c r="O51" s="119"/>
      <c r="P51" s="118">
        <f t="shared" ref="P51:U51" si="44">P26+P49</f>
        <v>324</v>
      </c>
      <c r="Q51" s="118">
        <f t="shared" si="44"/>
        <v>12</v>
      </c>
      <c r="R51" s="121">
        <f t="shared" si="44"/>
        <v>312</v>
      </c>
      <c r="S51" s="118">
        <f t="shared" si="44"/>
        <v>660751</v>
      </c>
      <c r="T51" s="118">
        <f t="shared" si="44"/>
        <v>-30820</v>
      </c>
      <c r="U51" s="121">
        <f t="shared" si="44"/>
        <v>629931</v>
      </c>
      <c r="V51" s="122">
        <f t="shared" ref="V51:W51" si="45">V26+V49</f>
        <v>1.0000000000000004</v>
      </c>
      <c r="W51" s="118">
        <f t="shared" si="45"/>
        <v>68152.289999999994</v>
      </c>
      <c r="X51" s="118">
        <f>X26+X49</f>
        <v>270870.33</v>
      </c>
      <c r="Y51" s="123">
        <f>X51/U51</f>
        <v>0.43000000000000005</v>
      </c>
      <c r="Z51" s="118">
        <f>Z26+Z49</f>
        <v>67205.34000000004</v>
      </c>
      <c r="AA51" s="251">
        <f>'Юнит 01-04.01'!AA51+'Юнит 05-11.01'!AA51+'Юнит 12-18.01'!AA51+'Юнит 19-25.01'!AA51+'Юнит 26-31.01'!AA51</f>
        <v>133882.15000000002</v>
      </c>
      <c r="AB51" s="125"/>
      <c r="AC51" s="125">
        <f>SUM(AC3:AC47)</f>
        <v>0</v>
      </c>
      <c r="AD51" s="118">
        <f>AD26+AD49</f>
        <v>2656.15</v>
      </c>
      <c r="AE51" s="253">
        <f>AE26+AE49</f>
        <v>87431.284162000011</v>
      </c>
      <c r="AF51" s="127"/>
      <c r="AG51" s="128"/>
      <c r="AH51" s="129"/>
      <c r="AI51" s="129"/>
      <c r="AJ51" s="129"/>
      <c r="AK51" s="129">
        <f>AA52/P51</f>
        <v>412.39384517901237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328"/>
      <c r="X52" s="139"/>
      <c r="Z52" s="137"/>
      <c r="AA52" s="140">
        <f>AA26+AA49</f>
        <v>133615.60583800002</v>
      </c>
      <c r="AB52" s="141"/>
      <c r="AC52" s="142"/>
      <c r="AE52" s="254">
        <f>Сводная!Z29+Сводная!R29+Сводная!S29+Сводная!T29+Сводная!V29-Сводная!U29-Сводная!W29-(AA52-AA51)</f>
        <v>87431.28416200004</v>
      </c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U53" s="329"/>
      <c r="X53" s="144"/>
      <c r="Y53" s="135"/>
      <c r="Z53" s="145"/>
      <c r="AA53" s="252">
        <f>AA27+AA50</f>
        <v>133615.60583800002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U54" s="329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U55" s="329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97" priority="39" operator="greaterThan">
      <formula>120</formula>
    </cfRule>
  </conditionalFormatting>
  <conditionalFormatting sqref="N50">
    <cfRule type="cellIs" dxfId="96" priority="38" operator="between">
      <formula>0.000001</formula>
      <formula>25</formula>
    </cfRule>
  </conditionalFormatting>
  <conditionalFormatting sqref="V1 V52:V55 V57:V1048576">
    <cfRule type="cellIs" dxfId="95" priority="40" operator="greaterThan">
      <formula>0.23</formula>
    </cfRule>
  </conditionalFormatting>
  <conditionalFormatting sqref="AM56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{8FC12E3F-641D-4196-AFED-95CBB1F5A1C7}</x14:id>
        </ext>
      </extLst>
    </cfRule>
  </conditionalFormatting>
  <conditionalFormatting sqref="AP3:AP7 AP27:AP47 AP50 AP10:AP2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{E32713DE-683F-4261-A04D-F848C45EB305}</x14:id>
        </ext>
      </extLst>
    </cfRule>
  </conditionalFormatting>
  <conditionalFormatting sqref="AE3:AE7 AE27:AE48 AE50 AE10:AE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{F382811D-2E19-4096-B456-EB28D8CCB091}</x14:id>
        </ext>
      </extLst>
    </cfRule>
  </conditionalFormatting>
  <conditionalFormatting sqref="AL3:AL7 AL27:AL47 AL50 AL10:AL2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{D4AC0D68-2ED7-4E78-A072-BF58E6527E65}</x14:id>
        </ext>
      </extLst>
    </cfRule>
  </conditionalFormatting>
  <conditionalFormatting sqref="AM3:AN7 AM27:AN47 AM50:AN50 AM10:AN2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{64CC1C34-734A-4033-970E-01759FE19D5F}</x14:id>
        </ext>
      </extLst>
    </cfRule>
  </conditionalFormatting>
  <conditionalFormatting sqref="AP3:AP7 AP27:AP47 AP10:AP2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{3307A253-C952-4C28-9552-48C2F7AB4D52}</x14:id>
        </ext>
      </extLst>
    </cfRule>
  </conditionalFormatting>
  <conditionalFormatting sqref="AE3:AE7 AE27:AE48 AE10:AE25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{30AF2F7F-7A17-44DA-B99E-CE241D845A47}</x14:id>
        </ext>
      </extLst>
    </cfRule>
  </conditionalFormatting>
  <conditionalFormatting sqref="U27:V27 U48:V48 U25:V25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{84F9D839-F7CA-4B70-8D31-CB295FAFAB46}</x14:id>
        </ext>
      </extLst>
    </cfRule>
  </conditionalFormatting>
  <conditionalFormatting sqref="V27 V48 V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{7112E1F3-36A4-4167-9960-822C61E54317}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{2D6EA891-488E-4F93-BC40-D73E43833BCE}</x14:id>
        </ext>
      </extLst>
    </cfRule>
  </conditionalFormatting>
  <conditionalFormatting sqref="AP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{0C6B82A0-FB5A-4EA0-A43D-1D8D43C32DEC}</x14:id>
        </ext>
      </extLst>
    </cfRule>
  </conditionalFormatting>
  <conditionalFormatting sqref="W50">
    <cfRule type="cellIs" dxfId="94" priority="27" operator="greaterThan">
      <formula>120</formula>
    </cfRule>
  </conditionalFormatting>
  <conditionalFormatting sqref="R50">
    <cfRule type="cellIs" dxfId="93" priority="32" operator="greaterThan">
      <formula>120</formula>
    </cfRule>
  </conditionalFormatting>
  <conditionalFormatting sqref="U50">
    <cfRule type="cellIs" dxfId="92" priority="29" operator="greaterThan">
      <formula>120</formula>
    </cfRule>
  </conditionalFormatting>
  <conditionalFormatting sqref="V50">
    <cfRule type="cellIs" dxfId="91" priority="28" operator="greaterThan">
      <formula>120</formula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{4E6E3F31-2C97-4911-9FD7-4C13CE1A1983}</x14:id>
        </ext>
      </extLst>
    </cfRule>
  </conditionalFormatting>
  <conditionalFormatting sqref="AP48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{6311EC4F-50BE-43DF-864C-EEBA9E6ACC87}</x14:id>
        </ext>
      </extLst>
    </cfRule>
  </conditionalFormatting>
  <conditionalFormatting sqref="J8:J9">
    <cfRule type="cellIs" dxfId="90" priority="16" operator="greaterThan">
      <formula>120</formula>
    </cfRule>
  </conditionalFormatting>
  <conditionalFormatting sqref="AP8:AP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{429A1807-F71B-4A6D-9DB5-B7F682387F6C}</x14:id>
        </ext>
      </extLst>
    </cfRule>
  </conditionalFormatting>
  <conditionalFormatting sqref="AE8:AE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{B0D865E7-4581-4356-A4AD-E7264E9D11FD}</x14:id>
        </ext>
      </extLst>
    </cfRule>
  </conditionalFormatting>
  <conditionalFormatting sqref="AL8:AL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{0AC42B7C-070E-42A9-A26D-31310EA31244}</x14:id>
        </ext>
      </extLst>
    </cfRule>
  </conditionalFormatting>
  <conditionalFormatting sqref="AM8:AN9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{F04F0331-F6DC-47CE-B4FB-E756D9DA0896}</x14:id>
        </ext>
      </extLst>
    </cfRule>
  </conditionalFormatting>
  <conditionalFormatting sqref="AP8:AP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{6B6B3AEE-802F-4045-A49A-1ACF67B3A58E}</x14:id>
        </ext>
      </extLst>
    </cfRule>
  </conditionalFormatting>
  <conditionalFormatting sqref="AE8:AE9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{6B01915F-548C-492A-B89D-6481792BDE4A}</x14:id>
        </ext>
      </extLst>
    </cfRule>
  </conditionalFormatting>
  <conditionalFormatting sqref="U3:V2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{CC8FF081-88A9-4FD9-8C62-4E388135A0D3}</x14:id>
        </ext>
      </extLst>
    </cfRule>
  </conditionalFormatting>
  <conditionalFormatting sqref="V3:V2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{90E3E328-1DCA-48A8-B1AC-9369719658F3}</x14:id>
        </ext>
      </extLst>
    </cfRule>
  </conditionalFormatting>
  <conditionalFormatting sqref="U28:U47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{FA1BAF2F-F857-45E2-B824-ED3FF8A90B40}</x14:id>
        </ext>
      </extLst>
    </cfRule>
  </conditionalFormatting>
  <conditionalFormatting sqref="P50">
    <cfRule type="cellIs" dxfId="89" priority="11" operator="greaterThan">
      <formula>120</formula>
    </cfRule>
  </conditionalFormatting>
  <conditionalFormatting sqref="Q50">
    <cfRule type="cellIs" dxfId="88" priority="10" operator="greaterThan">
      <formula>120</formula>
    </cfRule>
  </conditionalFormatting>
  <conditionalFormatting sqref="S50">
    <cfRule type="cellIs" dxfId="87" priority="9" operator="greaterThan">
      <formula>120</formula>
    </cfRule>
  </conditionalFormatting>
  <conditionalFormatting sqref="T50">
    <cfRule type="cellIs" dxfId="86" priority="8" operator="greaterThan">
      <formula>120</formula>
    </cfRule>
  </conditionalFormatting>
  <conditionalFormatting sqref="X50">
    <cfRule type="cellIs" dxfId="85" priority="7" operator="greaterThan">
      <formula>120</formula>
    </cfRule>
  </conditionalFormatting>
  <conditionalFormatting sqref="Z50">
    <cfRule type="cellIs" dxfId="84" priority="6" operator="greaterThan">
      <formula>120</formula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{9573D49A-BC3F-4900-98D4-DE8114683426}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{BDBCFED3-E15D-4136-8015-E3D03AE1150C}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C12E3F-641D-4196-AFED-95CBB1F5A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E32713DE-683F-4261-A04D-F848C45EB3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F382811D-2E19-4096-B456-EB28D8CCB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D4AC0D68-2ED7-4E78-A072-BF58E6527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64CC1C34-734A-4033-970E-01759FE19D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307A253-C952-4C28-9552-48C2F7AB4D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30AF2F7F-7A17-44DA-B99E-CE241D845A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F9D839-F7CA-4B70-8D31-CB295FAFA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112E1F3-36A4-4167-9960-822C61E543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2D6EA891-488E-4F93-BC40-D73E43833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0C6B82A0-FB5A-4EA0-A43D-1D8D43C32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4E6E3F31-2C97-4911-9FD7-4C13CE1A19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311EC4F-50BE-43DF-864C-EEBA9E6ACC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429A1807-F71B-4A6D-9DB5-B7F682387F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B0D865E7-4581-4356-A4AD-E7264E9D11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AC42B7C-070E-42A9-A26D-31310EA312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F04F0331-F6DC-47CE-B4FB-E756D9DA0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B6B3AEE-802F-4045-A49A-1ACF67B3A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6B01915F-548C-492A-B89D-6481792BDE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CC8FF081-88A9-4FD9-8C62-4E388135A0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90E3E328-1DCA-48A8-B1AC-936971965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A1BAF2F-F857-45E2-B824-ED3FF8A90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9573D49A-BC3F-4900-98D4-DE81146834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DBCFED3-E15D-4136-8015-E3D03AE115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365C-0614-419F-B490-310F1EAFF9DD}">
  <dimension ref="A1:AZ64"/>
  <sheetViews>
    <sheetView zoomScale="70" zoomScaleNormal="70"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K21" sqref="K2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995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956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f>'Юнит 01.02'!C3</f>
        <v>570</v>
      </c>
      <c r="D3" s="33"/>
      <c r="E3" s="33"/>
      <c r="F3" s="33"/>
      <c r="G3" s="34"/>
      <c r="H3" s="35">
        <v>142.97999999999999</v>
      </c>
      <c r="I3" s="33">
        <f t="shared" ref="I3:I24" si="0">C3*H3</f>
        <v>81498.599999999991</v>
      </c>
      <c r="J3" s="36"/>
      <c r="K3" s="32">
        <f>'Юнит 01.02'!K3+'Юнит 26-31.01'!K3</f>
        <v>67</v>
      </c>
      <c r="L3" s="36"/>
      <c r="M3" s="36"/>
      <c r="N3" s="37">
        <f>K3/7</f>
        <v>9.5714285714285712</v>
      </c>
      <c r="O3" s="38">
        <f t="shared" ref="O3:O24" si="1">R3/7</f>
        <v>7.4285714285714288</v>
      </c>
      <c r="P3" s="32">
        <f>'Юнит 01.02'!P3+'Юнит 26-31.01'!P3</f>
        <v>53</v>
      </c>
      <c r="Q3" s="32">
        <f>'Юнит 01.02'!Q3+'Юнит 26-31.01'!Q3</f>
        <v>1</v>
      </c>
      <c r="R3" s="40">
        <f t="shared" ref="R3:R24" si="2">P3-Q3</f>
        <v>52</v>
      </c>
      <c r="S3" s="32">
        <f>'Юнит 01.02'!S3+'Юнит 26-31.01'!S3</f>
        <v>88676</v>
      </c>
      <c r="T3" s="32">
        <f>'Юнит 01.02'!T3+'Юнит 26-31.01'!T3</f>
        <v>-1670</v>
      </c>
      <c r="U3" s="40">
        <f t="shared" ref="U3" si="3">S3+T3</f>
        <v>87006</v>
      </c>
      <c r="V3" s="43">
        <f>U3/$U$51</f>
        <v>0.39174951372379513</v>
      </c>
      <c r="W3" s="44">
        <f t="shared" ref="W3" si="4">R3*H3</f>
        <v>7434.9599999999991</v>
      </c>
      <c r="X3" s="32">
        <f>'Юнит 01.02'!X3+'Юнит 26-31.01'!X3</f>
        <v>37412.579999999987</v>
      </c>
      <c r="Y3" s="45">
        <f t="shared" ref="Y3" si="5">IF(U3=0,0,X3/U3)</f>
        <v>0.42999999999999983</v>
      </c>
      <c r="Z3" s="32">
        <f>'Юнит 01.02'!Z3+'Юнит 26-31.01'!Z3</f>
        <v>9833.550000000012</v>
      </c>
      <c r="AA3" s="32">
        <f>'Юнит 01.02'!AA3+'Юнит 26-31.01'!AA3</f>
        <v>15971.429708</v>
      </c>
      <c r="AB3" s="42"/>
      <c r="AC3" s="42"/>
      <c r="AD3" s="46">
        <f t="shared" ref="AD3:AD24" si="6">U3*1%</f>
        <v>870.06000000000006</v>
      </c>
      <c r="AE3" s="47">
        <f t="shared" ref="AE3:AE24" si="7">U3-W3-X3-Z3-AA3-AB3-AC3-AD3</f>
        <v>15483.420292000012</v>
      </c>
      <c r="AF3" s="46"/>
      <c r="AG3" s="48">
        <f t="shared" ref="AG3:AG24" si="8">IF(R3=0,0,U3/R3)</f>
        <v>1673.1923076923076</v>
      </c>
      <c r="AH3" s="49">
        <f t="shared" ref="AH3:AH24" si="9">H3</f>
        <v>142.97999999999999</v>
      </c>
      <c r="AI3" s="49">
        <f t="shared" ref="AI3:AI24" si="10">IF(R3=0,0,X3/R3)</f>
        <v>719.47269230769211</v>
      </c>
      <c r="AJ3" s="49">
        <f t="shared" ref="AJ3:AJ24" si="11">IF(P3=0,Z3/1,Z3/P3)</f>
        <v>185.53867924528325</v>
      </c>
      <c r="AK3" s="49">
        <f t="shared" ref="AK3:AK24" si="12">IF(P3=0,0,AA3/P3)</f>
        <v>301.34773033962261</v>
      </c>
      <c r="AL3" s="49">
        <f>_xlfn.IFS(R3=0,AE3,R3&lt;0,AE3/-R3,R3&gt;0,AE3/R3)</f>
        <v>297.75808253846174</v>
      </c>
      <c r="AM3" s="50">
        <f t="shared" ref="AM3:AM24" si="13">IF(AG3=0,0,AL3/AG3)</f>
        <v>0.17795807521320381</v>
      </c>
      <c r="AN3" s="51">
        <f t="shared" ref="AN3:AN24" si="14">IF(AH3=0,0,AL3/AH3)</f>
        <v>2.0825156143408989</v>
      </c>
      <c r="AP3" s="53">
        <f t="shared" ref="AP3:AP24" si="15">AL3*C3</f>
        <v>169722.10704692319</v>
      </c>
    </row>
    <row r="4" spans="1:42">
      <c r="A4" s="30">
        <v>2638638550</v>
      </c>
      <c r="B4" s="31" t="s">
        <v>39</v>
      </c>
      <c r="C4" s="32">
        <f>'Юнит 01.02'!C4</f>
        <v>493</v>
      </c>
      <c r="D4" s="33"/>
      <c r="E4" s="33"/>
      <c r="F4" s="33"/>
      <c r="G4" s="34"/>
      <c r="H4" s="35">
        <v>123.09</v>
      </c>
      <c r="I4" s="33">
        <f t="shared" si="0"/>
        <v>60683.37</v>
      </c>
      <c r="J4" s="36"/>
      <c r="K4" s="32">
        <f>'Юнит 01.02'!K4+'Юнит 26-31.01'!K4</f>
        <v>1</v>
      </c>
      <c r="L4" s="36"/>
      <c r="M4" s="36"/>
      <c r="N4" s="37">
        <f t="shared" ref="N4:N24" si="16">K4/7</f>
        <v>0.14285714285714285</v>
      </c>
      <c r="O4" s="38">
        <f t="shared" si="1"/>
        <v>0.14285714285714285</v>
      </c>
      <c r="P4" s="32">
        <f>'Юнит 01.02'!P4+'Юнит 26-31.01'!P4</f>
        <v>1</v>
      </c>
      <c r="Q4" s="32">
        <f>'Юнит 01.02'!Q4+'Юнит 26-31.01'!Q4</f>
        <v>0</v>
      </c>
      <c r="R4" s="40">
        <f t="shared" si="2"/>
        <v>1</v>
      </c>
      <c r="S4" s="32">
        <f>'Юнит 01.02'!S4+'Юнит 26-31.01'!S4</f>
        <v>1634</v>
      </c>
      <c r="T4" s="32">
        <f>'Юнит 01.02'!T4+'Юнит 26-31.01'!T4</f>
        <v>0</v>
      </c>
      <c r="U4" s="40">
        <f t="shared" ref="U4:U24" si="17">S4+T4</f>
        <v>1634</v>
      </c>
      <c r="V4" s="43">
        <f t="shared" ref="V4:V24" si="18">U4/$U$51</f>
        <v>7.3571788776024783E-3</v>
      </c>
      <c r="W4" s="44">
        <f t="shared" ref="W4:W24" si="19">R4*H4</f>
        <v>123.09</v>
      </c>
      <c r="X4" s="32">
        <f>'Юнит 01.02'!X4+'Юнит 26-31.01'!X4</f>
        <v>702.62</v>
      </c>
      <c r="Y4" s="45">
        <f t="shared" ref="Y4:Y24" si="20">IF(U4=0,0,X4/U4)</f>
        <v>0.43</v>
      </c>
      <c r="Z4" s="32">
        <f>'Юнит 01.02'!Z4+'Юнит 26-31.01'!Z4</f>
        <v>145.69</v>
      </c>
      <c r="AA4" s="32">
        <f>'Юнит 01.02'!AA4+'Юнит 26-31.01'!AA4</f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77293.533395000064</v>
      </c>
    </row>
    <row r="5" spans="1:42">
      <c r="A5" s="30">
        <v>2638691131</v>
      </c>
      <c r="B5" s="31" t="s">
        <v>40</v>
      </c>
      <c r="C5" s="32">
        <f>'Юнит 01.02'!C5</f>
        <v>500</v>
      </c>
      <c r="D5" s="33"/>
      <c r="E5" s="33"/>
      <c r="F5" s="33"/>
      <c r="G5" s="34"/>
      <c r="H5" s="35">
        <v>123.09</v>
      </c>
      <c r="I5" s="54">
        <f t="shared" si="0"/>
        <v>61545</v>
      </c>
      <c r="J5" s="36"/>
      <c r="K5" s="32">
        <f>'Юнит 01.02'!K5+'Юнит 26-31.01'!K5</f>
        <v>2</v>
      </c>
      <c r="L5" s="36"/>
      <c r="M5" s="36"/>
      <c r="N5" s="37">
        <f t="shared" si="16"/>
        <v>0.2857142857142857</v>
      </c>
      <c r="O5" s="38">
        <f t="shared" si="1"/>
        <v>0</v>
      </c>
      <c r="P5" s="32">
        <f>'Юнит 01.02'!P5+'Юнит 26-31.01'!P5</f>
        <v>1</v>
      </c>
      <c r="Q5" s="32">
        <f>'Юнит 01.02'!Q5+'Юнит 26-31.01'!Q5</f>
        <v>1</v>
      </c>
      <c r="R5" s="40">
        <f t="shared" si="2"/>
        <v>0</v>
      </c>
      <c r="S5" s="32">
        <f>'Юнит 01.02'!S5+'Юнит 26-31.01'!S5</f>
        <v>1655</v>
      </c>
      <c r="T5" s="32">
        <f>'Юнит 01.02'!T5+'Юнит 26-31.01'!T5</f>
        <v>-1655</v>
      </c>
      <c r="U5" s="40">
        <f t="shared" si="17"/>
        <v>0</v>
      </c>
      <c r="V5" s="43">
        <f t="shared" si="18"/>
        <v>0</v>
      </c>
      <c r="W5" s="44">
        <f t="shared" si="19"/>
        <v>0</v>
      </c>
      <c r="X5" s="32">
        <f>'Юнит 01.02'!X5+'Юнит 26-31.01'!X5</f>
        <v>0</v>
      </c>
      <c r="Y5" s="45">
        <f t="shared" si="20"/>
        <v>0</v>
      </c>
      <c r="Z5" s="32">
        <f>'Юнит 01.02'!Z5+'Юнит 26-31.01'!Z5</f>
        <v>141.32</v>
      </c>
      <c r="AA5" s="32">
        <f>'Юнит 01.02'!AA5+'Юнит 26-31.01'!AA5</f>
        <v>0</v>
      </c>
      <c r="AB5" s="55"/>
      <c r="AC5" s="42"/>
      <c r="AD5" s="46">
        <f t="shared" si="6"/>
        <v>0</v>
      </c>
      <c r="AE5" s="47">
        <f t="shared" si="7"/>
        <v>-141.32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141.32</v>
      </c>
      <c r="AK5" s="49">
        <f t="shared" si="12"/>
        <v>0</v>
      </c>
      <c r="AL5" s="49">
        <f t="array" ref="AL5">_xlfn.IFS(R5=0,AE5,R5&lt;0,AE5/-R5,R5&gt;0,AE5/R5)</f>
        <v>-141.32</v>
      </c>
      <c r="AM5" s="50">
        <f t="shared" si="13"/>
        <v>0</v>
      </c>
      <c r="AN5" s="51">
        <f t="shared" si="14"/>
        <v>-1.1481030140547566</v>
      </c>
      <c r="AP5" s="53">
        <f t="shared" si="15"/>
        <v>-70660</v>
      </c>
    </row>
    <row r="6" spans="1:42">
      <c r="A6" s="30">
        <v>2638382749</v>
      </c>
      <c r="B6" s="31" t="s">
        <v>41</v>
      </c>
      <c r="C6" s="32">
        <f>'Юнит 01.02'!C6</f>
        <v>1045</v>
      </c>
      <c r="D6" s="33"/>
      <c r="E6" s="33"/>
      <c r="F6" s="33"/>
      <c r="G6" s="34"/>
      <c r="H6" s="35">
        <v>123.09</v>
      </c>
      <c r="I6" s="54">
        <f t="shared" si="0"/>
        <v>128629.05</v>
      </c>
      <c r="J6" s="36"/>
      <c r="K6" s="32">
        <f>'Юнит 01.02'!K6+'Юнит 26-31.01'!K6</f>
        <v>4</v>
      </c>
      <c r="L6" s="36"/>
      <c r="M6" s="36"/>
      <c r="N6" s="37">
        <f t="shared" si="16"/>
        <v>0.5714285714285714</v>
      </c>
      <c r="O6" s="38">
        <f t="shared" si="1"/>
        <v>0.42857142857142855</v>
      </c>
      <c r="P6" s="32">
        <f>'Юнит 01.02'!P6+'Юнит 26-31.01'!P6</f>
        <v>3</v>
      </c>
      <c r="Q6" s="32">
        <f>'Юнит 01.02'!Q6+'Юнит 26-31.01'!Q6</f>
        <v>0</v>
      </c>
      <c r="R6" s="40">
        <f t="shared" si="2"/>
        <v>3</v>
      </c>
      <c r="S6" s="32">
        <f>'Юнит 01.02'!S6+'Юнит 26-31.01'!S6</f>
        <v>5174</v>
      </c>
      <c r="T6" s="32">
        <f>'Юнит 01.02'!T6+'Юнит 26-31.01'!T6</f>
        <v>0</v>
      </c>
      <c r="U6" s="40">
        <f t="shared" si="17"/>
        <v>5174</v>
      </c>
      <c r="V6" s="43">
        <f t="shared" si="18"/>
        <v>2.3296232259923638E-2</v>
      </c>
      <c r="W6" s="44">
        <f t="shared" si="19"/>
        <v>369.27</v>
      </c>
      <c r="X6" s="32">
        <f>'Юнит 01.02'!X6+'Юнит 26-31.01'!X6</f>
        <v>2224.8199999999997</v>
      </c>
      <c r="Y6" s="45">
        <f t="shared" si="20"/>
        <v>0.42999999999999994</v>
      </c>
      <c r="Z6" s="32">
        <f>'Юнит 01.02'!Z6+'Юнит 26-31.01'!Z6</f>
        <v>444.82000000000005</v>
      </c>
      <c r="AA6" s="32">
        <f>'Юнит 01.02'!AA6+'Юнит 26-31.01'!AA6</f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265753.94999999984</v>
      </c>
    </row>
    <row r="7" spans="1:42">
      <c r="A7" s="30">
        <v>2638569317</v>
      </c>
      <c r="B7" s="31" t="s">
        <v>42</v>
      </c>
      <c r="C7" s="32">
        <f>'Юнит 01.02'!C7</f>
        <v>827</v>
      </c>
      <c r="D7" s="33"/>
      <c r="E7" s="33"/>
      <c r="F7" s="33"/>
      <c r="G7" s="34"/>
      <c r="H7" s="35">
        <v>117.24</v>
      </c>
      <c r="I7" s="54">
        <f t="shared" si="0"/>
        <v>96957.48</v>
      </c>
      <c r="J7" s="36"/>
      <c r="K7" s="32">
        <f>'Юнит 01.02'!K7+'Юнит 26-31.01'!K7</f>
        <v>12</v>
      </c>
      <c r="L7" s="36"/>
      <c r="M7" s="36"/>
      <c r="N7" s="37">
        <f t="shared" si="16"/>
        <v>1.7142857142857142</v>
      </c>
      <c r="O7" s="38">
        <f t="shared" si="1"/>
        <v>0.5714285714285714</v>
      </c>
      <c r="P7" s="32">
        <f>'Юнит 01.02'!P7+'Юнит 26-31.01'!P7</f>
        <v>4</v>
      </c>
      <c r="Q7" s="32">
        <f>'Юнит 01.02'!Q7+'Юнит 26-31.01'!Q7</f>
        <v>0</v>
      </c>
      <c r="R7" s="40">
        <f t="shared" si="2"/>
        <v>4</v>
      </c>
      <c r="S7" s="32">
        <f>'Юнит 01.02'!S7+'Юнит 26-31.01'!S7</f>
        <v>6840</v>
      </c>
      <c r="T7" s="32">
        <f>'Юнит 01.02'!T7+'Юнит 26-31.01'!T7</f>
        <v>0</v>
      </c>
      <c r="U7" s="40">
        <f t="shared" si="17"/>
        <v>6840</v>
      </c>
      <c r="V7" s="43">
        <f t="shared" si="18"/>
        <v>3.0797492976010372E-2</v>
      </c>
      <c r="W7" s="44">
        <f t="shared" si="19"/>
        <v>468.96</v>
      </c>
      <c r="X7" s="32">
        <f>'Юнит 01.02'!X7+'Юнит 26-31.01'!X7</f>
        <v>2941.2</v>
      </c>
      <c r="Y7" s="45">
        <f t="shared" si="20"/>
        <v>0.43</v>
      </c>
      <c r="Z7" s="32">
        <f>'Юнит 01.02'!Z7+'Юнит 26-31.01'!Z7</f>
        <v>966.42</v>
      </c>
      <c r="AA7" s="32">
        <f>'Юнит 01.02'!AA7+'Юнит 26-31.01'!AA7</f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409575.88500000001</v>
      </c>
    </row>
    <row r="8" spans="1:42">
      <c r="A8" s="30">
        <v>3064334128</v>
      </c>
      <c r="B8" s="31" t="s">
        <v>43</v>
      </c>
      <c r="C8" s="32">
        <f>'Юнит 01.02'!C8</f>
        <v>691</v>
      </c>
      <c r="D8" s="33"/>
      <c r="E8" s="33"/>
      <c r="F8" s="33"/>
      <c r="G8" s="34"/>
      <c r="H8" s="35">
        <v>123</v>
      </c>
      <c r="I8" s="54">
        <f t="shared" si="0"/>
        <v>84993</v>
      </c>
      <c r="J8" s="36"/>
      <c r="K8" s="32">
        <f>'Юнит 01.02'!K8+'Юнит 26-31.01'!K8</f>
        <v>2</v>
      </c>
      <c r="L8" s="36"/>
      <c r="M8" s="36"/>
      <c r="N8" s="37">
        <f t="shared" si="16"/>
        <v>0.2857142857142857</v>
      </c>
      <c r="O8" s="38">
        <f t="shared" si="1"/>
        <v>0.2857142857142857</v>
      </c>
      <c r="P8" s="32">
        <f>'Юнит 01.02'!P8+'Юнит 26-31.01'!P8</f>
        <v>2</v>
      </c>
      <c r="Q8" s="32">
        <f>'Юнит 01.02'!Q8+'Юнит 26-31.01'!Q8</f>
        <v>0</v>
      </c>
      <c r="R8" s="40">
        <f t="shared" si="2"/>
        <v>2</v>
      </c>
      <c r="S8" s="32">
        <f>'Юнит 01.02'!S8+'Юнит 26-31.01'!S8</f>
        <v>3078.0000000000005</v>
      </c>
      <c r="T8" s="32">
        <f>'Юнит 01.02'!T8+'Юнит 26-31.01'!T8</f>
        <v>0</v>
      </c>
      <c r="U8" s="40">
        <f t="shared" si="17"/>
        <v>3078.0000000000005</v>
      </c>
      <c r="V8" s="43">
        <f t="shared" si="18"/>
        <v>1.3858871839204671E-2</v>
      </c>
      <c r="W8" s="44">
        <f t="shared" si="19"/>
        <v>246</v>
      </c>
      <c r="X8" s="32">
        <f>'Юнит 01.02'!X8+'Юнит 26-31.01'!X8</f>
        <v>1323.54</v>
      </c>
      <c r="Y8" s="45">
        <f t="shared" si="20"/>
        <v>0.42999999999999994</v>
      </c>
      <c r="Z8" s="32">
        <f>'Юнит 01.02'!Z8+'Юнит 26-31.01'!Z8</f>
        <v>379.34</v>
      </c>
      <c r="AA8" s="32">
        <f>'Юнит 01.02'!AA8+'Юнит 26-31.01'!AA8</f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379476.4700000002</v>
      </c>
    </row>
    <row r="9" spans="1:42">
      <c r="A9" s="30">
        <v>3064334311</v>
      </c>
      <c r="B9" s="31" t="s">
        <v>44</v>
      </c>
      <c r="C9" s="32">
        <f>'Юнит 01.02'!C9</f>
        <v>670</v>
      </c>
      <c r="D9" s="33"/>
      <c r="E9" s="33"/>
      <c r="F9" s="33"/>
      <c r="G9" s="34"/>
      <c r="H9" s="35">
        <v>123</v>
      </c>
      <c r="I9" s="54">
        <f t="shared" si="0"/>
        <v>82410</v>
      </c>
      <c r="J9" s="36"/>
      <c r="K9" s="32">
        <f>'Юнит 01.02'!K9+'Юнит 26-31.01'!K9</f>
        <v>9</v>
      </c>
      <c r="L9" s="36"/>
      <c r="M9" s="36"/>
      <c r="N9" s="37">
        <f t="shared" si="16"/>
        <v>1.2857142857142858</v>
      </c>
      <c r="O9" s="38">
        <f t="shared" si="1"/>
        <v>0.7142857142857143</v>
      </c>
      <c r="P9" s="32">
        <f>'Юнит 01.02'!P9+'Юнит 26-31.01'!P9</f>
        <v>6</v>
      </c>
      <c r="Q9" s="32">
        <f>'Юнит 01.02'!Q9+'Юнит 26-31.01'!Q9</f>
        <v>1</v>
      </c>
      <c r="R9" s="40">
        <f t="shared" si="2"/>
        <v>5</v>
      </c>
      <c r="S9" s="32">
        <f>'Юнит 01.02'!S9+'Юнит 26-31.01'!S9</f>
        <v>10778.999999999998</v>
      </c>
      <c r="T9" s="32">
        <f>'Юнит 01.02'!T9+'Юнит 26-31.01'!T9</f>
        <v>-1778</v>
      </c>
      <c r="U9" s="40">
        <f t="shared" si="17"/>
        <v>9000.9999999999982</v>
      </c>
      <c r="V9" s="43">
        <f t="shared" si="18"/>
        <v>4.0527519631150484E-2</v>
      </c>
      <c r="W9" s="44">
        <f t="shared" si="19"/>
        <v>615</v>
      </c>
      <c r="X9" s="32">
        <f>'Юнит 01.02'!X9+'Юнит 26-31.01'!X9</f>
        <v>3870.4300000000003</v>
      </c>
      <c r="Y9" s="45">
        <f t="shared" si="20"/>
        <v>0.4300000000000001</v>
      </c>
      <c r="Z9" s="32">
        <f>'Юнит 01.02'!Z9+'Юнит 26-31.01'!Z9</f>
        <v>1088.8</v>
      </c>
      <c r="AA9" s="32">
        <f>'Юнит 01.02'!AA9+'Юнит 26-31.01'!AA9</f>
        <v>3044.5562919999998</v>
      </c>
      <c r="AB9" s="55"/>
      <c r="AC9" s="42"/>
      <c r="AD9" s="46">
        <f t="shared" si="6"/>
        <v>90.009999999999977</v>
      </c>
      <c r="AE9" s="47">
        <f t="shared" si="7"/>
        <v>292.20370799999796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507.42604866666665</v>
      </c>
      <c r="AL9" s="49">
        <f t="array" ref="AL9">_xlfn.IFS(R9=0,AE9,R9&lt;0,AE9/-R9,R9&gt;0,AE9/R9)</f>
        <v>58.440741599999591</v>
      </c>
      <c r="AM9" s="50">
        <f t="shared" si="13"/>
        <v>3.2463471614264862E-2</v>
      </c>
      <c r="AN9" s="51">
        <f t="shared" si="14"/>
        <v>0.47512798048780153</v>
      </c>
      <c r="AP9" s="53">
        <f t="shared" si="15"/>
        <v>39155.296871999722</v>
      </c>
    </row>
    <row r="10" spans="1:42">
      <c r="A10" s="30">
        <v>2638291563</v>
      </c>
      <c r="B10" s="31" t="s">
        <v>45</v>
      </c>
      <c r="C10" s="32">
        <f>'Юнит 01.02'!C10</f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f>'Юнит 01.02'!K10+'Юнит 26-31.01'!K10</f>
        <v>1</v>
      </c>
      <c r="L10" s="36"/>
      <c r="M10" s="36"/>
      <c r="N10" s="37">
        <f t="shared" si="16"/>
        <v>0.14285714285714285</v>
      </c>
      <c r="O10" s="38">
        <f t="shared" si="1"/>
        <v>0.14285714285714285</v>
      </c>
      <c r="P10" s="32">
        <f>'Юнит 01.02'!P10+'Юнит 26-31.01'!P10</f>
        <v>1</v>
      </c>
      <c r="Q10" s="32">
        <f>'Юнит 01.02'!Q10+'Юнит 26-31.01'!Q10</f>
        <v>0</v>
      </c>
      <c r="R10" s="40">
        <f t="shared" si="2"/>
        <v>1</v>
      </c>
      <c r="S10" s="32">
        <f>'Юнит 01.02'!S10+'Юнит 26-31.01'!S10</f>
        <v>1711</v>
      </c>
      <c r="T10" s="32">
        <f>'Юнит 01.02'!T10+'Юнит 26-31.01'!T10</f>
        <v>0</v>
      </c>
      <c r="U10" s="40">
        <f t="shared" si="17"/>
        <v>1711</v>
      </c>
      <c r="V10" s="43">
        <f t="shared" si="18"/>
        <v>7.7038758014552266E-3</v>
      </c>
      <c r="W10" s="44">
        <f t="shared" si="19"/>
        <v>169.89</v>
      </c>
      <c r="X10" s="32">
        <f>'Юнит 01.02'!X10+'Юнит 26-31.01'!X10</f>
        <v>735.73</v>
      </c>
      <c r="Y10" s="45">
        <f t="shared" si="20"/>
        <v>0.43</v>
      </c>
      <c r="Z10" s="32">
        <f>'Юнит 01.02'!Z10+'Юнит 26-31.01'!Z10</f>
        <v>231.61</v>
      </c>
      <c r="AA10" s="32">
        <f>'Юнит 01.02'!AA10+'Юнит 26-31.01'!AA10</f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215427.42000000004</v>
      </c>
    </row>
    <row r="11" spans="1:42">
      <c r="A11" s="30">
        <v>2730130733</v>
      </c>
      <c r="B11" s="31" t="s">
        <v>46</v>
      </c>
      <c r="C11" s="32">
        <f>'Юнит 01.02'!C11</f>
        <v>43</v>
      </c>
      <c r="D11" s="33"/>
      <c r="E11" s="33"/>
      <c r="F11" s="33"/>
      <c r="G11" s="34"/>
      <c r="H11" s="35">
        <v>169.89</v>
      </c>
      <c r="I11" s="54">
        <f t="shared" si="0"/>
        <v>7305.2699999999995</v>
      </c>
      <c r="J11" s="36"/>
      <c r="K11" s="32">
        <f>'Юнит 01.02'!K11+'Юнит 26-31.01'!K11</f>
        <v>3</v>
      </c>
      <c r="L11" s="36"/>
      <c r="M11" s="36"/>
      <c r="N11" s="37">
        <f t="shared" si="16"/>
        <v>0.42857142857142855</v>
      </c>
      <c r="O11" s="38">
        <f t="shared" si="1"/>
        <v>0</v>
      </c>
      <c r="P11" s="32">
        <f>'Юнит 01.02'!P11+'Юнит 26-31.01'!P11</f>
        <v>0</v>
      </c>
      <c r="Q11" s="32">
        <f>'Юнит 01.02'!Q11+'Юнит 26-31.01'!Q11</f>
        <v>0</v>
      </c>
      <c r="R11" s="40">
        <f t="shared" si="2"/>
        <v>0</v>
      </c>
      <c r="S11" s="32">
        <f>'Юнит 01.02'!S11+'Юнит 26-31.01'!S11</f>
        <v>0</v>
      </c>
      <c r="T11" s="32">
        <f>'Юнит 01.02'!T11+'Юнит 26-31.01'!T11</f>
        <v>0</v>
      </c>
      <c r="U11" s="40">
        <f t="shared" si="17"/>
        <v>0</v>
      </c>
      <c r="V11" s="43">
        <f t="shared" si="18"/>
        <v>0</v>
      </c>
      <c r="W11" s="44">
        <f t="shared" si="19"/>
        <v>0</v>
      </c>
      <c r="X11" s="32">
        <f>'Юнит 01.02'!X11+'Юнит 26-31.01'!X11</f>
        <v>0</v>
      </c>
      <c r="Y11" s="45">
        <f t="shared" si="20"/>
        <v>0</v>
      </c>
      <c r="Z11" s="32">
        <f>'Юнит 01.02'!Z11+'Юнит 26-31.01'!Z11</f>
        <v>0</v>
      </c>
      <c r="AA11" s="32">
        <f>'Юнит 01.02'!AA11+'Юнит 26-31.01'!AA11</f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>
        <f>'Юнит 01.02'!C12</f>
        <v>38</v>
      </c>
      <c r="D12" s="33"/>
      <c r="E12" s="33"/>
      <c r="F12" s="33"/>
      <c r="G12" s="34"/>
      <c r="H12" s="35">
        <v>169.89</v>
      </c>
      <c r="I12" s="54">
        <f t="shared" si="0"/>
        <v>6455.82</v>
      </c>
      <c r="J12" s="36"/>
      <c r="K12" s="32">
        <f>'Юнит 01.02'!K12+'Юнит 26-31.01'!K12</f>
        <v>2</v>
      </c>
      <c r="L12" s="36"/>
      <c r="M12" s="36"/>
      <c r="N12" s="37">
        <f t="shared" si="16"/>
        <v>0.2857142857142857</v>
      </c>
      <c r="O12" s="38">
        <f t="shared" si="1"/>
        <v>0.14285714285714285</v>
      </c>
      <c r="P12" s="32">
        <f>'Юнит 01.02'!P12+'Юнит 26-31.01'!P12</f>
        <v>1</v>
      </c>
      <c r="Q12" s="32">
        <f>'Юнит 01.02'!Q12+'Юнит 26-31.01'!Q12</f>
        <v>0</v>
      </c>
      <c r="R12" s="40">
        <f t="shared" si="2"/>
        <v>1</v>
      </c>
      <c r="S12" s="32">
        <f>'Юнит 01.02'!S12+'Юнит 26-31.01'!S12</f>
        <v>1306</v>
      </c>
      <c r="T12" s="32">
        <f>'Юнит 01.02'!T12+'Юнит 26-31.01'!T12</f>
        <v>0</v>
      </c>
      <c r="U12" s="40">
        <f t="shared" si="17"/>
        <v>1306</v>
      </c>
      <c r="V12" s="43">
        <f t="shared" si="18"/>
        <v>5.8803400331388228E-3</v>
      </c>
      <c r="W12" s="44">
        <f t="shared" si="19"/>
        <v>169.89</v>
      </c>
      <c r="X12" s="32">
        <f>'Юнит 01.02'!X12+'Юнит 26-31.01'!X12</f>
        <v>561.58000000000004</v>
      </c>
      <c r="Y12" s="45">
        <f t="shared" si="20"/>
        <v>0.43000000000000005</v>
      </c>
      <c r="Z12" s="32">
        <f>'Юнит 01.02'!Z12+'Юнит 26-31.01'!Z12</f>
        <v>133.06</v>
      </c>
      <c r="AA12" s="32">
        <f>'Юнит 01.02'!AA12+'Юнит 26-31.01'!AA12</f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16279.580000000004</v>
      </c>
    </row>
    <row r="13" spans="1:42">
      <c r="A13" s="30">
        <v>2730130553</v>
      </c>
      <c r="B13" s="31" t="s">
        <v>48</v>
      </c>
      <c r="C13" s="32">
        <f>'Юнит 01.02'!C13</f>
        <v>17</v>
      </c>
      <c r="D13" s="33"/>
      <c r="E13" s="33"/>
      <c r="F13" s="33"/>
      <c r="G13" s="34"/>
      <c r="H13" s="35">
        <v>169.89</v>
      </c>
      <c r="I13" s="54">
        <f t="shared" si="0"/>
        <v>2888.1299999999997</v>
      </c>
      <c r="J13" s="36"/>
      <c r="K13" s="32">
        <f>'Юнит 01.02'!K13+'Юнит 26-31.01'!K13</f>
        <v>11</v>
      </c>
      <c r="L13" s="36"/>
      <c r="M13" s="36"/>
      <c r="N13" s="37">
        <f t="shared" si="16"/>
        <v>1.5714285714285714</v>
      </c>
      <c r="O13" s="38">
        <f t="shared" si="1"/>
        <v>0.42857142857142855</v>
      </c>
      <c r="P13" s="32">
        <f>'Юнит 01.02'!P13+'Юнит 26-31.01'!P13</f>
        <v>4</v>
      </c>
      <c r="Q13" s="32">
        <f>'Юнит 01.02'!Q13+'Юнит 26-31.01'!Q13</f>
        <v>1</v>
      </c>
      <c r="R13" s="40">
        <f t="shared" si="2"/>
        <v>3</v>
      </c>
      <c r="S13" s="32">
        <f>'Юнит 01.02'!S13+'Юнит 26-31.01'!S13</f>
        <v>5104</v>
      </c>
      <c r="T13" s="32">
        <f>'Юнит 01.02'!T13+'Юнит 26-31.01'!T13</f>
        <v>-971</v>
      </c>
      <c r="U13" s="40">
        <f t="shared" si="17"/>
        <v>4133</v>
      </c>
      <c r="V13" s="43">
        <f t="shared" si="18"/>
        <v>1.8609069951732584E-2</v>
      </c>
      <c r="W13" s="44">
        <f t="shared" si="19"/>
        <v>509.66999999999996</v>
      </c>
      <c r="X13" s="32">
        <f>'Юнит 01.02'!X13+'Юнит 26-31.01'!X13</f>
        <v>1777.19</v>
      </c>
      <c r="Y13" s="45">
        <f t="shared" si="20"/>
        <v>0.43</v>
      </c>
      <c r="Z13" s="32">
        <f>'Юнит 01.02'!Z13+'Юнит 26-31.01'!Z13</f>
        <v>524.78</v>
      </c>
      <c r="AA13" s="32">
        <f>'Юнит 01.02'!AA13+'Юнит 26-31.01'!AA13</f>
        <v>328.67</v>
      </c>
      <c r="AB13" s="55"/>
      <c r="AC13" s="42"/>
      <c r="AD13" s="46">
        <f t="shared" si="6"/>
        <v>41.33</v>
      </c>
      <c r="AE13" s="47">
        <f t="shared" si="7"/>
        <v>951.35999999999979</v>
      </c>
      <c r="AF13" s="46"/>
      <c r="AG13" s="48">
        <f t="shared" si="8"/>
        <v>1377.6666666666667</v>
      </c>
      <c r="AH13" s="49">
        <f t="shared" si="9"/>
        <v>169.89</v>
      </c>
      <c r="AI13" s="49">
        <f t="shared" si="10"/>
        <v>592.39666666666665</v>
      </c>
      <c r="AJ13" s="49">
        <f t="shared" si="11"/>
        <v>131.19499999999999</v>
      </c>
      <c r="AK13" s="49">
        <f t="shared" si="12"/>
        <v>82.167500000000004</v>
      </c>
      <c r="AL13" s="49">
        <f t="array" ref="AL13">_xlfn.IFS(R13=0,AE13,R13&lt;0,AE13/-R13,R13&gt;0,AE13/R13)</f>
        <v>317.11999999999995</v>
      </c>
      <c r="AM13" s="50">
        <f t="shared" si="13"/>
        <v>0.23018630534720536</v>
      </c>
      <c r="AN13" s="51">
        <f t="shared" si="14"/>
        <v>1.8666195773735945</v>
      </c>
      <c r="AP13" s="53">
        <f t="shared" si="15"/>
        <v>5391.0399999999991</v>
      </c>
    </row>
    <row r="14" spans="1:42" ht="13.75" customHeight="1">
      <c r="A14" s="30">
        <v>2730129638</v>
      </c>
      <c r="B14" s="31" t="s">
        <v>49</v>
      </c>
      <c r="C14" s="32">
        <f>'Юнит 01.02'!C14</f>
        <v>1</v>
      </c>
      <c r="D14" s="33"/>
      <c r="E14" s="33"/>
      <c r="F14" s="33"/>
      <c r="G14" s="34"/>
      <c r="H14" s="35">
        <v>169.89</v>
      </c>
      <c r="I14" s="54">
        <f t="shared" si="0"/>
        <v>169.89</v>
      </c>
      <c r="J14" s="36"/>
      <c r="K14" s="32">
        <f>'Юнит 01.02'!K14+'Юнит 26-31.01'!K14</f>
        <v>3</v>
      </c>
      <c r="L14" s="36"/>
      <c r="M14" s="36"/>
      <c r="N14" s="37">
        <f t="shared" si="16"/>
        <v>0.42857142857142855</v>
      </c>
      <c r="O14" s="38">
        <f t="shared" si="1"/>
        <v>0.42857142857142855</v>
      </c>
      <c r="P14" s="32">
        <f>'Юнит 01.02'!P14+'Юнит 26-31.01'!P14</f>
        <v>3</v>
      </c>
      <c r="Q14" s="32">
        <f>'Юнит 01.02'!Q14+'Юнит 26-31.01'!Q14</f>
        <v>0</v>
      </c>
      <c r="R14" s="40">
        <f t="shared" si="2"/>
        <v>3</v>
      </c>
      <c r="S14" s="32">
        <f>'Юнит 01.02'!S14+'Юнит 26-31.01'!S14</f>
        <v>4287</v>
      </c>
      <c r="T14" s="32">
        <f>'Юнит 01.02'!T14+'Юнит 26-31.01'!T14</f>
        <v>0</v>
      </c>
      <c r="U14" s="40">
        <f t="shared" si="17"/>
        <v>4287</v>
      </c>
      <c r="V14" s="43">
        <f t="shared" si="18"/>
        <v>1.9302463799438081E-2</v>
      </c>
      <c r="W14" s="44">
        <f t="shared" si="19"/>
        <v>509.66999999999996</v>
      </c>
      <c r="X14" s="32">
        <f>'Юнит 01.02'!X14+'Юнит 26-31.01'!X14</f>
        <v>1843.41</v>
      </c>
      <c r="Y14" s="45">
        <f t="shared" si="20"/>
        <v>0.43</v>
      </c>
      <c r="Z14" s="32">
        <f>'Юнит 01.02'!Z14+'Юнит 26-31.01'!Z14</f>
        <v>505.76</v>
      </c>
      <c r="AA14" s="32">
        <f>'Юнит 01.02'!AA14+'Юнит 26-31.01'!AA14</f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242.64999999999995</v>
      </c>
    </row>
    <row r="15" spans="1:42" ht="13.75" customHeight="1">
      <c r="A15" s="30">
        <v>2730130141</v>
      </c>
      <c r="B15" s="31" t="s">
        <v>50</v>
      </c>
      <c r="C15" s="32">
        <f>'Юнит 01.02'!C15</f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f>'Юнит 01.02'!K15+'Юнит 26-31.01'!K15</f>
        <v>1</v>
      </c>
      <c r="L15" s="36"/>
      <c r="M15" s="36"/>
      <c r="N15" s="37">
        <f t="shared" si="16"/>
        <v>0.14285714285714285</v>
      </c>
      <c r="O15" s="38">
        <f t="shared" si="1"/>
        <v>0</v>
      </c>
      <c r="P15" s="32">
        <f>'Юнит 01.02'!P15+'Юнит 26-31.01'!P15</f>
        <v>0</v>
      </c>
      <c r="Q15" s="32">
        <f>'Юнит 01.02'!Q15+'Юнит 26-31.01'!Q15</f>
        <v>0</v>
      </c>
      <c r="R15" s="40">
        <f t="shared" si="2"/>
        <v>0</v>
      </c>
      <c r="S15" s="32">
        <f>'Юнит 01.02'!S15+'Юнит 26-31.01'!S15</f>
        <v>0</v>
      </c>
      <c r="T15" s="32">
        <f>'Юнит 01.02'!T15+'Юнит 26-31.01'!T15</f>
        <v>0</v>
      </c>
      <c r="U15" s="40">
        <f t="shared" si="17"/>
        <v>0</v>
      </c>
      <c r="V15" s="43">
        <f t="shared" si="18"/>
        <v>0</v>
      </c>
      <c r="W15" s="44">
        <f t="shared" si="19"/>
        <v>0</v>
      </c>
      <c r="X15" s="32">
        <f>'Юнит 01.02'!X15+'Юнит 26-31.01'!X15</f>
        <v>0</v>
      </c>
      <c r="Y15" s="45">
        <f t="shared" si="20"/>
        <v>0</v>
      </c>
      <c r="Z15" s="32">
        <f>'Юнит 01.02'!Z15+'Юнит 26-31.01'!Z15</f>
        <v>93.54</v>
      </c>
      <c r="AA15" s="32">
        <f>'Юнит 01.02'!AA15+'Юнит 26-31.01'!AA15</f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-21015.3</v>
      </c>
    </row>
    <row r="16" spans="1:42" ht="13.75" customHeight="1">
      <c r="A16" s="30">
        <v>2730129805</v>
      </c>
      <c r="B16" s="31" t="s">
        <v>51</v>
      </c>
      <c r="C16" s="32">
        <f>'Юнит 01.02'!C16</f>
        <v>19</v>
      </c>
      <c r="D16" s="33"/>
      <c r="E16" s="33"/>
      <c r="F16" s="33"/>
      <c r="G16" s="34"/>
      <c r="H16" s="35">
        <v>169.89</v>
      </c>
      <c r="I16" s="54">
        <f t="shared" si="0"/>
        <v>3227.91</v>
      </c>
      <c r="J16" s="36"/>
      <c r="K16" s="32">
        <f>'Юнит 01.02'!K16+'Юнит 26-31.01'!K16</f>
        <v>1</v>
      </c>
      <c r="L16" s="36"/>
      <c r="M16" s="36"/>
      <c r="N16" s="37">
        <f t="shared" si="16"/>
        <v>0.14285714285714285</v>
      </c>
      <c r="O16" s="38">
        <f t="shared" si="1"/>
        <v>0</v>
      </c>
      <c r="P16" s="32">
        <f>'Юнит 01.02'!P16+'Юнит 26-31.01'!P16</f>
        <v>0</v>
      </c>
      <c r="Q16" s="32">
        <f>'Юнит 01.02'!Q16+'Юнит 26-31.01'!Q16</f>
        <v>0</v>
      </c>
      <c r="R16" s="40">
        <f t="shared" si="2"/>
        <v>0</v>
      </c>
      <c r="S16" s="32">
        <f>'Юнит 01.02'!S16+'Юнит 26-31.01'!S16</f>
        <v>0</v>
      </c>
      <c r="T16" s="32">
        <f>'Юнит 01.02'!T16+'Юнит 26-31.01'!T16</f>
        <v>0</v>
      </c>
      <c r="U16" s="40">
        <f t="shared" si="17"/>
        <v>0</v>
      </c>
      <c r="V16" s="43">
        <f t="shared" si="18"/>
        <v>0</v>
      </c>
      <c r="W16" s="44">
        <f t="shared" si="19"/>
        <v>0</v>
      </c>
      <c r="X16" s="32">
        <f>'Юнит 01.02'!X16+'Юнит 26-31.01'!X16</f>
        <v>0</v>
      </c>
      <c r="Y16" s="45">
        <f t="shared" si="20"/>
        <v>0</v>
      </c>
      <c r="Z16" s="32">
        <f>'Юнит 01.02'!Z16+'Юнит 26-31.01'!Z16</f>
        <v>93.54</v>
      </c>
      <c r="AA16" s="32">
        <f>'Юнит 01.02'!AA16+'Юнит 26-31.01'!AA16</f>
        <v>0</v>
      </c>
      <c r="AB16" s="55"/>
      <c r="AC16" s="42"/>
      <c r="AD16" s="46">
        <f t="shared" si="6"/>
        <v>0</v>
      </c>
      <c r="AE16" s="47">
        <f t="shared" si="7"/>
        <v>-93.54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93.54</v>
      </c>
      <c r="AK16" s="49">
        <f t="shared" si="12"/>
        <v>0</v>
      </c>
      <c r="AL16" s="49">
        <f t="array" ref="AL16">_xlfn.IFS(R16=0,AE16,R16&lt;0,AE16/-R16,R16&gt;0,AE16/R16)</f>
        <v>-93.54</v>
      </c>
      <c r="AM16" s="50">
        <f t="shared" si="13"/>
        <v>0</v>
      </c>
      <c r="AN16" s="51">
        <f t="shared" si="14"/>
        <v>-0.55059155924421688</v>
      </c>
      <c r="AP16" s="53">
        <f t="shared" si="15"/>
        <v>-1777.2600000000002</v>
      </c>
    </row>
    <row r="17" spans="1:52" ht="13.75" customHeight="1">
      <c r="A17" s="30">
        <v>2807226201</v>
      </c>
      <c r="B17" s="31" t="s">
        <v>52</v>
      </c>
      <c r="C17" s="32">
        <f>'Юнит 01.02'!C17</f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f>'Юнит 01.02'!K17+'Юнит 26-31.01'!K17</f>
        <v>0</v>
      </c>
      <c r="L17" s="36"/>
      <c r="M17" s="36"/>
      <c r="N17" s="37">
        <f t="shared" si="16"/>
        <v>0</v>
      </c>
      <c r="O17" s="38">
        <f t="shared" si="1"/>
        <v>0</v>
      </c>
      <c r="P17" s="32">
        <f>'Юнит 01.02'!P17+'Юнит 26-31.01'!P17</f>
        <v>0</v>
      </c>
      <c r="Q17" s="32">
        <f>'Юнит 01.02'!Q17+'Юнит 26-31.01'!Q17</f>
        <v>0</v>
      </c>
      <c r="R17" s="40">
        <f t="shared" si="2"/>
        <v>0</v>
      </c>
      <c r="S17" s="32">
        <f>'Юнит 01.02'!S17+'Юнит 26-31.01'!S17</f>
        <v>0</v>
      </c>
      <c r="T17" s="32">
        <f>'Юнит 01.02'!T17+'Юнит 26-31.01'!T17</f>
        <v>0</v>
      </c>
      <c r="U17" s="40">
        <f t="shared" si="17"/>
        <v>0</v>
      </c>
      <c r="V17" s="43">
        <f t="shared" si="18"/>
        <v>0</v>
      </c>
      <c r="W17" s="44">
        <f t="shared" si="19"/>
        <v>0</v>
      </c>
      <c r="X17" s="32">
        <f>'Юнит 01.02'!X17+'Юнит 26-31.01'!X17</f>
        <v>0</v>
      </c>
      <c r="Y17" s="45">
        <f t="shared" si="20"/>
        <v>0</v>
      </c>
      <c r="Z17" s="32">
        <f>'Юнит 01.02'!Z17+'Юнит 26-31.01'!Z17</f>
        <v>0</v>
      </c>
      <c r="AA17" s="32">
        <f>'Юнит 01.02'!AA17+'Юнит 26-31.01'!AA17</f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>
        <f>'Юнит 01.02'!C18</f>
        <v>0</v>
      </c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f>'Юнит 01.02'!K18+'Юнит 26-31.01'!K18</f>
        <v>0</v>
      </c>
      <c r="L18" s="36"/>
      <c r="M18" s="36"/>
      <c r="N18" s="37">
        <f t="shared" si="16"/>
        <v>0</v>
      </c>
      <c r="O18" s="38">
        <f t="shared" si="1"/>
        <v>0.14285714285714285</v>
      </c>
      <c r="P18" s="32">
        <f>'Юнит 01.02'!P18+'Юнит 26-31.01'!P18</f>
        <v>1</v>
      </c>
      <c r="Q18" s="32">
        <f>'Юнит 01.02'!Q18+'Юнит 26-31.01'!Q18</f>
        <v>0</v>
      </c>
      <c r="R18" s="40">
        <f t="shared" si="2"/>
        <v>1</v>
      </c>
      <c r="S18" s="32">
        <f>'Юнит 01.02'!S18+'Юнит 26-31.01'!S18</f>
        <v>3256</v>
      </c>
      <c r="T18" s="32">
        <f>'Юнит 01.02'!T18+'Юнит 26-31.01'!T18</f>
        <v>0</v>
      </c>
      <c r="U18" s="40">
        <f t="shared" si="17"/>
        <v>3256</v>
      </c>
      <c r="V18" s="43">
        <f t="shared" si="18"/>
        <v>1.466032706577336E-2</v>
      </c>
      <c r="W18" s="44">
        <f t="shared" si="19"/>
        <v>909.22</v>
      </c>
      <c r="X18" s="32">
        <f>'Юнит 01.02'!X18+'Юнит 26-31.01'!X18</f>
        <v>1400.08</v>
      </c>
      <c r="Y18" s="45">
        <f t="shared" si="20"/>
        <v>0.43</v>
      </c>
      <c r="Z18" s="32">
        <f>'Юнит 01.02'!Z18+'Юнит 26-31.01'!Z18</f>
        <v>229.22</v>
      </c>
      <c r="AA18" s="32">
        <f>'Юнит 01.02'!AA18+'Юнит 26-31.01'!AA18</f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>
        <f>'Юнит 01.02'!C19</f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f>'Юнит 01.02'!K19+'Юнит 26-31.01'!K19</f>
        <v>0</v>
      </c>
      <c r="L19" s="36"/>
      <c r="M19" s="36"/>
      <c r="N19" s="37">
        <f t="shared" si="16"/>
        <v>0</v>
      </c>
      <c r="O19" s="38">
        <f t="shared" si="1"/>
        <v>0</v>
      </c>
      <c r="P19" s="32">
        <f>'Юнит 01.02'!P19+'Юнит 26-31.01'!P19</f>
        <v>0</v>
      </c>
      <c r="Q19" s="32">
        <f>'Юнит 01.02'!Q19+'Юнит 26-31.01'!Q19</f>
        <v>0</v>
      </c>
      <c r="R19" s="40">
        <f t="shared" si="2"/>
        <v>0</v>
      </c>
      <c r="S19" s="32">
        <f>'Юнит 01.02'!S19+'Юнит 26-31.01'!S19</f>
        <v>0</v>
      </c>
      <c r="T19" s="32">
        <f>'Юнит 01.02'!T19+'Юнит 26-31.01'!T19</f>
        <v>0</v>
      </c>
      <c r="U19" s="40">
        <f t="shared" si="17"/>
        <v>0</v>
      </c>
      <c r="V19" s="43">
        <f t="shared" si="18"/>
        <v>0</v>
      </c>
      <c r="W19" s="44">
        <f t="shared" si="19"/>
        <v>0</v>
      </c>
      <c r="X19" s="32">
        <f>'Юнит 01.02'!X19+'Юнит 26-31.01'!X19</f>
        <v>0</v>
      </c>
      <c r="Y19" s="45">
        <f t="shared" si="20"/>
        <v>0</v>
      </c>
      <c r="Z19" s="32">
        <f>'Юнит 01.02'!Z19+'Юнит 26-31.01'!Z19</f>
        <v>0</v>
      </c>
      <c r="AA19" s="32">
        <f>'Юнит 01.02'!AA19+'Юнит 26-31.01'!AA19</f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>
        <f>'Юнит 01.02'!C20</f>
        <v>0</v>
      </c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f>'Юнит 01.02'!K20+'Юнит 26-31.01'!K20</f>
        <v>0</v>
      </c>
      <c r="L20" s="36"/>
      <c r="M20" s="36"/>
      <c r="N20" s="37">
        <f t="shared" si="16"/>
        <v>0</v>
      </c>
      <c r="O20" s="38">
        <f t="shared" si="1"/>
        <v>0</v>
      </c>
      <c r="P20" s="32">
        <f>'Юнит 01.02'!P20+'Юнит 26-31.01'!P20</f>
        <v>0</v>
      </c>
      <c r="Q20" s="32">
        <f>'Юнит 01.02'!Q20+'Юнит 26-31.01'!Q20</f>
        <v>0</v>
      </c>
      <c r="R20" s="40">
        <f t="shared" si="2"/>
        <v>0</v>
      </c>
      <c r="S20" s="32">
        <f>'Юнит 01.02'!S20+'Юнит 26-31.01'!S20</f>
        <v>0</v>
      </c>
      <c r="T20" s="32">
        <f>'Юнит 01.02'!T20+'Юнит 26-31.01'!T20</f>
        <v>0</v>
      </c>
      <c r="U20" s="40">
        <f t="shared" si="17"/>
        <v>0</v>
      </c>
      <c r="V20" s="43">
        <f t="shared" si="18"/>
        <v>0</v>
      </c>
      <c r="W20" s="44">
        <f t="shared" si="19"/>
        <v>0</v>
      </c>
      <c r="X20" s="32">
        <f>'Юнит 01.02'!X20+'Юнит 26-31.01'!X20</f>
        <v>0</v>
      </c>
      <c r="Y20" s="45">
        <f t="shared" si="20"/>
        <v>0</v>
      </c>
      <c r="Z20" s="32">
        <f>'Юнит 01.02'!Z20+'Юнит 26-31.01'!Z20</f>
        <v>0</v>
      </c>
      <c r="AA20" s="32">
        <f>'Юнит 01.02'!AA20+'Юнит 26-31.01'!AA20</f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>
        <f>'Юнит 01.02'!C21</f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f>'Юнит 01.02'!K21+'Юнит 26-31.01'!K21</f>
        <v>0</v>
      </c>
      <c r="L21" s="36"/>
      <c r="M21" s="36"/>
      <c r="N21" s="37">
        <f t="shared" si="16"/>
        <v>0</v>
      </c>
      <c r="O21" s="38">
        <f t="shared" si="1"/>
        <v>0</v>
      </c>
      <c r="P21" s="32">
        <f>'Юнит 01.02'!P21+'Юнит 26-31.01'!P21</f>
        <v>0</v>
      </c>
      <c r="Q21" s="32">
        <f>'Юнит 01.02'!Q21+'Юнит 26-31.01'!Q21</f>
        <v>0</v>
      </c>
      <c r="R21" s="40">
        <f t="shared" si="2"/>
        <v>0</v>
      </c>
      <c r="S21" s="32">
        <f>'Юнит 01.02'!S21+'Юнит 26-31.01'!S21</f>
        <v>0</v>
      </c>
      <c r="T21" s="32">
        <f>'Юнит 01.02'!T21+'Юнит 26-31.01'!T21</f>
        <v>0</v>
      </c>
      <c r="U21" s="40">
        <f t="shared" si="17"/>
        <v>0</v>
      </c>
      <c r="V21" s="43">
        <f t="shared" si="18"/>
        <v>0</v>
      </c>
      <c r="W21" s="44">
        <f t="shared" si="19"/>
        <v>0</v>
      </c>
      <c r="X21" s="32">
        <f>'Юнит 01.02'!X21+'Юнит 26-31.01'!X21</f>
        <v>0</v>
      </c>
      <c r="Y21" s="45">
        <f t="shared" si="20"/>
        <v>0</v>
      </c>
      <c r="Z21" s="32">
        <f>'Юнит 01.02'!Z21+'Юнит 26-31.01'!Z21</f>
        <v>0</v>
      </c>
      <c r="AA21" s="32">
        <f>'Юнит 01.02'!AA21+'Юнит 26-31.01'!AA21</f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>
        <f>'Юнит 01.02'!C22</f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f>'Юнит 01.02'!K22+'Юнит 26-31.01'!K22</f>
        <v>0</v>
      </c>
      <c r="L22" s="36"/>
      <c r="M22" s="36"/>
      <c r="N22" s="37">
        <f t="shared" si="16"/>
        <v>0</v>
      </c>
      <c r="O22" s="38">
        <f t="shared" si="1"/>
        <v>0</v>
      </c>
      <c r="P22" s="32">
        <f>'Юнит 01.02'!P22+'Юнит 26-31.01'!P22</f>
        <v>0</v>
      </c>
      <c r="Q22" s="32">
        <f>'Юнит 01.02'!Q22+'Юнит 26-31.01'!Q22</f>
        <v>0</v>
      </c>
      <c r="R22" s="40">
        <f t="shared" si="2"/>
        <v>0</v>
      </c>
      <c r="S22" s="32">
        <f>'Юнит 01.02'!S22+'Юнит 26-31.01'!S22</f>
        <v>0</v>
      </c>
      <c r="T22" s="32">
        <f>'Юнит 01.02'!T22+'Юнит 26-31.01'!T22</f>
        <v>0</v>
      </c>
      <c r="U22" s="40">
        <f t="shared" si="17"/>
        <v>0</v>
      </c>
      <c r="V22" s="43">
        <f t="shared" si="18"/>
        <v>0</v>
      </c>
      <c r="W22" s="44">
        <f t="shared" si="19"/>
        <v>0</v>
      </c>
      <c r="X22" s="32">
        <f>'Юнит 01.02'!X22+'Юнит 26-31.01'!X22</f>
        <v>0</v>
      </c>
      <c r="Y22" s="45">
        <f t="shared" si="20"/>
        <v>0</v>
      </c>
      <c r="Z22" s="32">
        <f>'Юнит 01.02'!Z22+'Юнит 26-31.01'!Z22</f>
        <v>0</v>
      </c>
      <c r="AA22" s="32">
        <f>'Юнит 01.02'!AA22+'Юнит 26-31.01'!AA22</f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>
        <f>'Юнит 01.02'!C23</f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f>'Юнит 01.02'!K23+'Юнит 26-31.01'!K23</f>
        <v>0</v>
      </c>
      <c r="L23" s="36"/>
      <c r="M23" s="36"/>
      <c r="N23" s="37">
        <f t="shared" si="16"/>
        <v>0</v>
      </c>
      <c r="O23" s="38">
        <f t="shared" si="1"/>
        <v>0</v>
      </c>
      <c r="P23" s="32">
        <f>'Юнит 01.02'!P23+'Юнит 26-31.01'!P23</f>
        <v>0</v>
      </c>
      <c r="Q23" s="32">
        <f>'Юнит 01.02'!Q23+'Юнит 26-31.01'!Q23</f>
        <v>0</v>
      </c>
      <c r="R23" s="40">
        <f t="shared" si="2"/>
        <v>0</v>
      </c>
      <c r="S23" s="32">
        <f>'Юнит 01.02'!S23+'Юнит 26-31.01'!S23</f>
        <v>0</v>
      </c>
      <c r="T23" s="32">
        <f>'Юнит 01.02'!T23+'Юнит 26-31.01'!T23</f>
        <v>0</v>
      </c>
      <c r="U23" s="40">
        <f t="shared" si="17"/>
        <v>0</v>
      </c>
      <c r="V23" s="43">
        <f t="shared" si="18"/>
        <v>0</v>
      </c>
      <c r="W23" s="44">
        <f t="shared" si="19"/>
        <v>0</v>
      </c>
      <c r="X23" s="32">
        <f>'Юнит 01.02'!X23+'Юнит 26-31.01'!X23</f>
        <v>0</v>
      </c>
      <c r="Y23" s="45">
        <f t="shared" si="20"/>
        <v>0</v>
      </c>
      <c r="Z23" s="32">
        <f>'Юнит 01.02'!Z23+'Юнит 26-31.01'!Z23</f>
        <v>0</v>
      </c>
      <c r="AA23" s="32">
        <f>'Юнит 01.02'!AA23+'Юнит 26-31.01'!AA23</f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>
        <f>'Юнит 01.02'!C24</f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f>'Юнит 01.02'!K24+'Юнит 26-31.01'!K24</f>
        <v>0</v>
      </c>
      <c r="L24" s="36"/>
      <c r="M24" s="36"/>
      <c r="N24" s="37">
        <f t="shared" si="16"/>
        <v>0</v>
      </c>
      <c r="O24" s="38">
        <f t="shared" si="1"/>
        <v>0</v>
      </c>
      <c r="P24" s="32">
        <f>'Юнит 01.02'!P24+'Юнит 26-31.01'!P24</f>
        <v>0</v>
      </c>
      <c r="Q24" s="32">
        <f>'Юнит 01.02'!Q24+'Юнит 26-31.01'!Q24</f>
        <v>0</v>
      </c>
      <c r="R24" s="40">
        <f t="shared" si="2"/>
        <v>0</v>
      </c>
      <c r="S24" s="32">
        <f>'Юнит 01.02'!S24+'Юнит 26-31.01'!S24</f>
        <v>0</v>
      </c>
      <c r="T24" s="32">
        <f>'Юнит 01.02'!T24+'Юнит 26-31.01'!T24</f>
        <v>0</v>
      </c>
      <c r="U24" s="40">
        <f t="shared" si="17"/>
        <v>0</v>
      </c>
      <c r="V24" s="43">
        <f t="shared" si="18"/>
        <v>0</v>
      </c>
      <c r="W24" s="44">
        <f t="shared" si="19"/>
        <v>0</v>
      </c>
      <c r="X24" s="32">
        <f>'Юнит 01.02'!X24+'Юнит 26-31.01'!X24</f>
        <v>0</v>
      </c>
      <c r="Y24" s="45">
        <f t="shared" si="20"/>
        <v>0</v>
      </c>
      <c r="Z24" s="32">
        <f>'Юнит 01.02'!Z24+'Юнит 26-31.01'!Z24</f>
        <v>0</v>
      </c>
      <c r="AA24" s="32">
        <f>'Юнит 01.02'!AA24+'Юнит 26-31.01'!AA24</f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21">AVERAGEIF(AG3:AG24,"&lt;&gt;0",AG3:AG24)</f>
        <v>1741.8841491841488</v>
      </c>
      <c r="AH25" s="58">
        <f t="shared" si="21"/>
        <v>447.87636363636369</v>
      </c>
      <c r="AI25" s="58">
        <f t="shared" si="21"/>
        <v>749.01018414918406</v>
      </c>
      <c r="AJ25" s="58">
        <f t="shared" si="21"/>
        <v>165.30823899371072</v>
      </c>
      <c r="AK25" s="58">
        <f t="shared" si="21"/>
        <v>306.16751390566043</v>
      </c>
      <c r="AL25" s="58">
        <f t="shared" si="21"/>
        <v>221.86470279560444</v>
      </c>
      <c r="AM25" s="59">
        <f t="shared" si="21"/>
        <v>0.21490955105712259</v>
      </c>
      <c r="AN25" s="59">
        <f t="shared" si="21"/>
        <v>1.3293546389391897</v>
      </c>
      <c r="AO25" s="60"/>
      <c r="AP25" s="61"/>
    </row>
    <row r="26" spans="1:52">
      <c r="A26" s="62" t="s">
        <v>60</v>
      </c>
      <c r="B26" s="63"/>
      <c r="C26" s="64">
        <f>SUM(C3:C24)</f>
        <v>5334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690522.50999999989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80</v>
      </c>
      <c r="Q26" s="64">
        <f t="shared" ref="Q26:AE26" si="22">SUM(Q3:Q24)</f>
        <v>4</v>
      </c>
      <c r="R26" s="64">
        <f t="shared" si="22"/>
        <v>76</v>
      </c>
      <c r="S26" s="70">
        <f>SUM(S3:S24)</f>
        <v>133500</v>
      </c>
      <c r="T26" s="64">
        <f t="shared" si="22"/>
        <v>-6074</v>
      </c>
      <c r="U26" s="320">
        <f t="shared" si="22"/>
        <v>127426</v>
      </c>
      <c r="V26" s="71">
        <f t="shared" si="22"/>
        <v>0.57374288595922496</v>
      </c>
      <c r="W26" s="64">
        <f t="shared" si="22"/>
        <v>11525.619999999997</v>
      </c>
      <c r="X26" s="64">
        <f t="shared" si="22"/>
        <v>54793.18</v>
      </c>
      <c r="Y26" s="72">
        <f>IF(U26=0,0,X26/U26)</f>
        <v>0.43</v>
      </c>
      <c r="Z26" s="64">
        <f t="shared" si="22"/>
        <v>14811.450000000013</v>
      </c>
      <c r="AA26" s="64">
        <f>IFERROR(P26*AA51/P51,0)</f>
        <v>32205.36237623763</v>
      </c>
      <c r="AB26" s="64">
        <f t="shared" si="22"/>
        <v>0</v>
      </c>
      <c r="AC26" s="64">
        <f t="shared" si="22"/>
        <v>0</v>
      </c>
      <c r="AD26" s="73">
        <f t="shared" si="22"/>
        <v>1274.2599999999998</v>
      </c>
      <c r="AE26" s="74">
        <f t="shared" si="22"/>
        <v>22188.626015000009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1484865.3723139232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22832.863985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f>'Юнит 01.02'!C28</f>
        <v>50</v>
      </c>
      <c r="D28" s="33"/>
      <c r="E28" s="33"/>
      <c r="F28" s="33"/>
      <c r="G28" s="34"/>
      <c r="H28" s="84">
        <v>672</v>
      </c>
      <c r="I28" s="54">
        <f t="shared" ref="I28:I46" si="23">C28*H28</f>
        <v>33600</v>
      </c>
      <c r="J28" s="36"/>
      <c r="K28" s="32">
        <f>'Юнит 01.02'!K28+'Юнит 26-31.01'!K28</f>
        <v>0</v>
      </c>
      <c r="L28" s="36"/>
      <c r="M28" s="36"/>
      <c r="N28" s="37">
        <f t="shared" ref="N28:N47" si="24">K28/7</f>
        <v>0</v>
      </c>
      <c r="O28" s="38">
        <f t="shared" ref="O28:O47" si="25">R28/7</f>
        <v>0</v>
      </c>
      <c r="P28" s="32">
        <f>'Юнит 01.02'!P28+'Юнит 26-31.01'!P28</f>
        <v>0</v>
      </c>
      <c r="Q28" s="32">
        <f>'Юнит 01.02'!Q28+'Юнит 26-31.01'!Q28</f>
        <v>0</v>
      </c>
      <c r="R28" s="40">
        <f t="shared" ref="R28:R47" si="26">P28-Q28</f>
        <v>0</v>
      </c>
      <c r="S28" s="32">
        <f>'Юнит 01.02'!S28+'Юнит 26-31.01'!S28</f>
        <v>0</v>
      </c>
      <c r="T28" s="32">
        <f>'Юнит 01.02'!T28+'Юнит 26-31.01'!T28</f>
        <v>0</v>
      </c>
      <c r="U28" s="40">
        <f t="shared" ref="U28" si="27">S28+T28</f>
        <v>0</v>
      </c>
      <c r="V28" s="43">
        <f t="shared" ref="V28:V47" si="28">U28/$U$51</f>
        <v>0</v>
      </c>
      <c r="W28" s="44">
        <f t="shared" ref="W28" si="29">R28*H28</f>
        <v>0</v>
      </c>
      <c r="X28" s="32">
        <f>'Юнит 01.02'!X28+'Юнит 26-31.01'!X28</f>
        <v>0</v>
      </c>
      <c r="Y28" s="45">
        <f t="shared" ref="Y28" si="30">IF(U28=0,0,X28/U28)</f>
        <v>0</v>
      </c>
      <c r="Z28" s="32">
        <f>'Юнит 01.02'!Z28+'Юнит 26-31.01'!Z28</f>
        <v>113.88</v>
      </c>
      <c r="AA28" s="32">
        <f>'Юнит 01.02'!AA28+'Юнит 26-31.01'!AA28</f>
        <v>866.78757500000006</v>
      </c>
      <c r="AB28" s="55"/>
      <c r="AC28" s="42"/>
      <c r="AD28" s="46">
        <f t="shared" ref="AD28:AD47" si="31">U28*1%</f>
        <v>0</v>
      </c>
      <c r="AE28" s="47">
        <f t="shared" ref="AE28:AE47" si="32">U28-W28-X28-Z28-AA28-AB28-AC28-AD28</f>
        <v>-980.66757500000006</v>
      </c>
      <c r="AF28" s="46"/>
      <c r="AG28" s="48">
        <f t="shared" ref="AG28:AG47" si="33">IF(R28=0,0,U28/R28)</f>
        <v>0</v>
      </c>
      <c r="AH28" s="49">
        <f t="shared" ref="AH28:AH47" si="34">H28</f>
        <v>672</v>
      </c>
      <c r="AI28" s="49">
        <f t="shared" ref="AI28:AI47" si="35">IF(R28=0,0,X28/R28)</f>
        <v>0</v>
      </c>
      <c r="AJ28" s="49">
        <f t="shared" ref="AJ28:AJ47" si="36">IF(P28=0,Z28/1,Z28/P28)</f>
        <v>113.88</v>
      </c>
      <c r="AK28" s="49">
        <f t="shared" ref="AK28:AK47" si="37">IF(P28=0,0,AA28/P28)</f>
        <v>0</v>
      </c>
      <c r="AL28" s="49">
        <f t="array" ref="AL28">_xlfn.IFS(R28=0,AE28,R28&lt;0,AE28/-R28,R28&gt;0,AE28/R28)</f>
        <v>-980.66757500000006</v>
      </c>
      <c r="AM28" s="50">
        <f t="shared" ref="AM28:AM47" si="38">IF(AG28=0,0,AL28/AG28)</f>
        <v>0</v>
      </c>
      <c r="AN28" s="51">
        <f t="shared" ref="AN28:AN47" si="39">IF(AH28=0,0,AL28/AH28)</f>
        <v>-1.4593267485119048</v>
      </c>
      <c r="AP28" s="53">
        <f t="shared" ref="AP28:AP47" si="40">AL28*C28</f>
        <v>-49033.378750000003</v>
      </c>
    </row>
    <row r="29" spans="1:52">
      <c r="A29" s="30">
        <v>2774708622</v>
      </c>
      <c r="B29" s="31" t="s">
        <v>62</v>
      </c>
      <c r="C29" s="32">
        <f>'Юнит 01.02'!C29</f>
        <v>48</v>
      </c>
      <c r="D29" s="33"/>
      <c r="E29" s="33"/>
      <c r="F29" s="33"/>
      <c r="G29" s="34"/>
      <c r="H29" s="84">
        <v>627</v>
      </c>
      <c r="I29" s="54">
        <f t="shared" si="23"/>
        <v>30096</v>
      </c>
      <c r="J29" s="36"/>
      <c r="K29" s="32">
        <f>'Юнит 01.02'!K29+'Юнит 26-31.01'!K29</f>
        <v>1</v>
      </c>
      <c r="L29" s="36"/>
      <c r="M29" s="36"/>
      <c r="N29" s="37">
        <f t="shared" si="24"/>
        <v>0.14285714285714285</v>
      </c>
      <c r="O29" s="38">
        <f t="shared" si="25"/>
        <v>0</v>
      </c>
      <c r="P29" s="32">
        <f>'Юнит 01.02'!P29+'Юнит 26-31.01'!P29</f>
        <v>0</v>
      </c>
      <c r="Q29" s="32">
        <f>'Юнит 01.02'!Q29+'Юнит 26-31.01'!Q29</f>
        <v>0</v>
      </c>
      <c r="R29" s="40">
        <f t="shared" si="26"/>
        <v>0</v>
      </c>
      <c r="S29" s="32">
        <f>'Юнит 01.02'!S29+'Юнит 26-31.01'!S29</f>
        <v>0</v>
      </c>
      <c r="T29" s="32">
        <f>'Юнит 01.02'!T29+'Юнит 26-31.01'!T29</f>
        <v>0</v>
      </c>
      <c r="U29" s="40">
        <f t="shared" ref="U29:U47" si="41">S29+T29</f>
        <v>0</v>
      </c>
      <c r="V29" s="43">
        <f t="shared" si="28"/>
        <v>0</v>
      </c>
      <c r="W29" s="44">
        <f t="shared" ref="W29:W47" si="42">R29*H29</f>
        <v>0</v>
      </c>
      <c r="X29" s="32">
        <f>'Юнит 01.02'!X29+'Юнит 26-31.01'!X29</f>
        <v>0</v>
      </c>
      <c r="Y29" s="45">
        <f t="shared" ref="Y29:Y47" si="43">IF(U29=0,0,X29/U29)</f>
        <v>0</v>
      </c>
      <c r="Z29" s="32">
        <f>'Юнит 01.02'!Z29+'Юнит 26-31.01'!Z29</f>
        <v>113.88</v>
      </c>
      <c r="AA29" s="32">
        <f>'Юнит 01.02'!AA29+'Юнит 26-31.01'!AA29</f>
        <v>0</v>
      </c>
      <c r="AB29" s="55"/>
      <c r="AC29" s="42"/>
      <c r="AD29" s="46">
        <f t="shared" si="31"/>
        <v>0</v>
      </c>
      <c r="AE29" s="47">
        <f t="shared" si="32"/>
        <v>-113.88</v>
      </c>
      <c r="AF29" s="46"/>
      <c r="AG29" s="48">
        <f t="shared" si="33"/>
        <v>0</v>
      </c>
      <c r="AH29" s="49">
        <f t="shared" si="34"/>
        <v>627</v>
      </c>
      <c r="AI29" s="49">
        <f t="shared" si="35"/>
        <v>0</v>
      </c>
      <c r="AJ29" s="49">
        <f t="shared" si="36"/>
        <v>113.88</v>
      </c>
      <c r="AK29" s="49">
        <f t="shared" si="37"/>
        <v>0</v>
      </c>
      <c r="AL29" s="49">
        <f t="array" ref="AL29">_xlfn.IFS(R29=0,AE29,R29&lt;0,AE29/-R29,R29&gt;0,AE29/R29)</f>
        <v>-113.88</v>
      </c>
      <c r="AM29" s="50">
        <f t="shared" si="38"/>
        <v>0</v>
      </c>
      <c r="AN29" s="51">
        <f t="shared" si="39"/>
        <v>-0.18162679425837319</v>
      </c>
      <c r="AP29" s="53">
        <f t="shared" si="40"/>
        <v>-5466.24</v>
      </c>
    </row>
    <row r="30" spans="1:52">
      <c r="A30" s="30">
        <v>2774709606</v>
      </c>
      <c r="B30" s="31" t="s">
        <v>63</v>
      </c>
      <c r="C30" s="32">
        <f>'Юнит 01.02'!C30</f>
        <v>43</v>
      </c>
      <c r="D30" s="33"/>
      <c r="E30" s="33"/>
      <c r="F30" s="33"/>
      <c r="G30" s="34"/>
      <c r="H30" s="84">
        <v>627</v>
      </c>
      <c r="I30" s="54">
        <f t="shared" si="23"/>
        <v>26961</v>
      </c>
      <c r="J30" s="36"/>
      <c r="K30" s="32">
        <f>'Юнит 01.02'!K30+'Юнит 26-31.01'!K30</f>
        <v>0</v>
      </c>
      <c r="L30" s="36"/>
      <c r="M30" s="36"/>
      <c r="N30" s="37">
        <f t="shared" si="24"/>
        <v>0</v>
      </c>
      <c r="O30" s="38">
        <f t="shared" si="25"/>
        <v>0</v>
      </c>
      <c r="P30" s="32">
        <f>'Юнит 01.02'!P30+'Юнит 26-31.01'!P30</f>
        <v>0</v>
      </c>
      <c r="Q30" s="32">
        <f>'Юнит 01.02'!Q30+'Юнит 26-31.01'!Q30</f>
        <v>0</v>
      </c>
      <c r="R30" s="40">
        <f t="shared" si="26"/>
        <v>0</v>
      </c>
      <c r="S30" s="32">
        <f>'Юнит 01.02'!S30+'Юнит 26-31.01'!S30</f>
        <v>0</v>
      </c>
      <c r="T30" s="32">
        <f>'Юнит 01.02'!T30+'Юнит 26-31.01'!T30</f>
        <v>0</v>
      </c>
      <c r="U30" s="40">
        <f t="shared" si="41"/>
        <v>0</v>
      </c>
      <c r="V30" s="43">
        <f t="shared" si="28"/>
        <v>0</v>
      </c>
      <c r="W30" s="44">
        <f t="shared" si="42"/>
        <v>0</v>
      </c>
      <c r="X30" s="32">
        <f>'Юнит 01.02'!X30+'Юнит 26-31.01'!X30</f>
        <v>0</v>
      </c>
      <c r="Y30" s="45">
        <f t="shared" si="43"/>
        <v>0</v>
      </c>
      <c r="Z30" s="32">
        <f>'Юнит 01.02'!Z30+'Юнит 26-31.01'!Z30</f>
        <v>113.88</v>
      </c>
      <c r="AA30" s="32">
        <f>'Юнит 01.02'!AA30+'Юнит 26-31.01'!AA30</f>
        <v>0</v>
      </c>
      <c r="AB30" s="55"/>
      <c r="AC30" s="42"/>
      <c r="AD30" s="46">
        <f t="shared" si="31"/>
        <v>0</v>
      </c>
      <c r="AE30" s="47">
        <f t="shared" si="32"/>
        <v>-113.88</v>
      </c>
      <c r="AF30" s="46"/>
      <c r="AG30" s="48">
        <f t="shared" si="33"/>
        <v>0</v>
      </c>
      <c r="AH30" s="49">
        <f t="shared" si="34"/>
        <v>627</v>
      </c>
      <c r="AI30" s="49">
        <f t="shared" si="35"/>
        <v>0</v>
      </c>
      <c r="AJ30" s="49">
        <f t="shared" si="36"/>
        <v>113.88</v>
      </c>
      <c r="AK30" s="49">
        <f t="shared" si="37"/>
        <v>0</v>
      </c>
      <c r="AL30" s="49">
        <f t="array" ref="AL30">_xlfn.IFS(R30=0,AE30,R30&lt;0,AE30/-R30,R30&gt;0,AE30/R30)</f>
        <v>-113.88</v>
      </c>
      <c r="AM30" s="50">
        <f t="shared" si="38"/>
        <v>0</v>
      </c>
      <c r="AN30" s="51">
        <f t="shared" si="39"/>
        <v>-0.18162679425837319</v>
      </c>
      <c r="AP30" s="53">
        <f t="shared" si="40"/>
        <v>-4896.84</v>
      </c>
    </row>
    <row r="31" spans="1:52">
      <c r="A31" s="30">
        <v>2774720465</v>
      </c>
      <c r="B31" s="31" t="s">
        <v>64</v>
      </c>
      <c r="C31" s="32">
        <f>'Юнит 01.02'!C31</f>
        <v>17</v>
      </c>
      <c r="D31" s="33"/>
      <c r="E31" s="33"/>
      <c r="F31" s="33"/>
      <c r="G31" s="34"/>
      <c r="H31" s="84">
        <v>567</v>
      </c>
      <c r="I31" s="54">
        <f t="shared" si="23"/>
        <v>9639</v>
      </c>
      <c r="J31" s="36"/>
      <c r="K31" s="32">
        <f>'Юнит 01.02'!K31+'Юнит 26-31.01'!K31</f>
        <v>0</v>
      </c>
      <c r="L31" s="36"/>
      <c r="M31" s="36"/>
      <c r="N31" s="37">
        <f t="shared" si="24"/>
        <v>0</v>
      </c>
      <c r="O31" s="38">
        <f t="shared" si="25"/>
        <v>0</v>
      </c>
      <c r="P31" s="32">
        <f>'Юнит 01.02'!P31+'Юнит 26-31.01'!P31</f>
        <v>0</v>
      </c>
      <c r="Q31" s="32">
        <f>'Юнит 01.02'!Q31+'Юнит 26-31.01'!Q31</f>
        <v>0</v>
      </c>
      <c r="R31" s="40">
        <f t="shared" si="26"/>
        <v>0</v>
      </c>
      <c r="S31" s="32">
        <f>'Юнит 01.02'!S31+'Юнит 26-31.01'!S31</f>
        <v>0</v>
      </c>
      <c r="T31" s="32">
        <f>'Юнит 01.02'!T31+'Юнит 26-31.01'!T31</f>
        <v>0</v>
      </c>
      <c r="U31" s="40">
        <f t="shared" si="41"/>
        <v>0</v>
      </c>
      <c r="V31" s="43">
        <f t="shared" si="28"/>
        <v>0</v>
      </c>
      <c r="W31" s="44">
        <f t="shared" si="42"/>
        <v>0</v>
      </c>
      <c r="X31" s="32">
        <f>'Юнит 01.02'!X31+'Юнит 26-31.01'!X31</f>
        <v>0</v>
      </c>
      <c r="Y31" s="45">
        <f t="shared" si="43"/>
        <v>0</v>
      </c>
      <c r="Z31" s="32">
        <f>'Юнит 01.02'!Z31+'Юнит 26-31.01'!Z31</f>
        <v>0</v>
      </c>
      <c r="AA31" s="32">
        <f>'Юнит 01.02'!AA31+'Юнит 26-31.01'!AA31</f>
        <v>0</v>
      </c>
      <c r="AB31" s="55"/>
      <c r="AC31" s="42"/>
      <c r="AD31" s="46">
        <f t="shared" si="31"/>
        <v>0</v>
      </c>
      <c r="AE31" s="47">
        <f t="shared" si="32"/>
        <v>0</v>
      </c>
      <c r="AF31" s="46"/>
      <c r="AG31" s="48">
        <f t="shared" si="33"/>
        <v>0</v>
      </c>
      <c r="AH31" s="49">
        <f t="shared" si="34"/>
        <v>567</v>
      </c>
      <c r="AI31" s="49">
        <f t="shared" si="35"/>
        <v>0</v>
      </c>
      <c r="AJ31" s="49">
        <f t="shared" si="36"/>
        <v>0</v>
      </c>
      <c r="AK31" s="49">
        <f t="shared" si="37"/>
        <v>0</v>
      </c>
      <c r="AL31" s="49">
        <f t="array" ref="AL31">_xlfn.IFS(R31=0,AE31,R31&lt;0,AE31/-R31,R31&gt;0,AE31/R31)</f>
        <v>0</v>
      </c>
      <c r="AM31" s="50">
        <f t="shared" si="38"/>
        <v>0</v>
      </c>
      <c r="AN31" s="51">
        <f t="shared" si="39"/>
        <v>0</v>
      </c>
      <c r="AP31" s="53">
        <f t="shared" si="40"/>
        <v>0</v>
      </c>
    </row>
    <row r="32" spans="1:52">
      <c r="A32" s="30">
        <v>2774718470</v>
      </c>
      <c r="B32" s="31" t="s">
        <v>65</v>
      </c>
      <c r="C32" s="32">
        <f>'Юнит 01.02'!C32</f>
        <v>19</v>
      </c>
      <c r="D32" s="33"/>
      <c r="E32" s="33"/>
      <c r="F32" s="33"/>
      <c r="G32" s="34"/>
      <c r="H32" s="84">
        <v>567</v>
      </c>
      <c r="I32" s="54">
        <f t="shared" si="23"/>
        <v>10773</v>
      </c>
      <c r="J32" s="36"/>
      <c r="K32" s="32">
        <f>'Юнит 01.02'!K32+'Юнит 26-31.01'!K32</f>
        <v>0</v>
      </c>
      <c r="L32" s="36"/>
      <c r="M32" s="36"/>
      <c r="N32" s="37">
        <f t="shared" si="24"/>
        <v>0</v>
      </c>
      <c r="O32" s="38">
        <f t="shared" si="25"/>
        <v>0</v>
      </c>
      <c r="P32" s="32">
        <f>'Юнит 01.02'!P32+'Юнит 26-31.01'!P32</f>
        <v>0</v>
      </c>
      <c r="Q32" s="32">
        <f>'Юнит 01.02'!Q32+'Юнит 26-31.01'!Q32</f>
        <v>0</v>
      </c>
      <c r="R32" s="40">
        <f t="shared" si="26"/>
        <v>0</v>
      </c>
      <c r="S32" s="32">
        <f>'Юнит 01.02'!S32+'Юнит 26-31.01'!S32</f>
        <v>0</v>
      </c>
      <c r="T32" s="32">
        <f>'Юнит 01.02'!T32+'Юнит 26-31.01'!T32</f>
        <v>0</v>
      </c>
      <c r="U32" s="40">
        <f t="shared" si="41"/>
        <v>0</v>
      </c>
      <c r="V32" s="43">
        <f t="shared" si="28"/>
        <v>0</v>
      </c>
      <c r="W32" s="44">
        <f t="shared" si="42"/>
        <v>0</v>
      </c>
      <c r="X32" s="32">
        <f>'Юнит 01.02'!X32+'Юнит 26-31.01'!X32</f>
        <v>0</v>
      </c>
      <c r="Y32" s="45">
        <f t="shared" si="43"/>
        <v>0</v>
      </c>
      <c r="Z32" s="32">
        <f>'Юнит 01.02'!Z32+'Юнит 26-31.01'!Z32</f>
        <v>0</v>
      </c>
      <c r="AA32" s="32">
        <f>'Юнит 01.02'!AA32+'Юнит 26-31.01'!AA32</f>
        <v>0</v>
      </c>
      <c r="AB32" s="55"/>
      <c r="AC32" s="42"/>
      <c r="AD32" s="46">
        <f t="shared" si="31"/>
        <v>0</v>
      </c>
      <c r="AE32" s="47">
        <f t="shared" si="32"/>
        <v>0</v>
      </c>
      <c r="AF32" s="46"/>
      <c r="AG32" s="48">
        <f t="shared" si="33"/>
        <v>0</v>
      </c>
      <c r="AH32" s="49">
        <f t="shared" si="34"/>
        <v>567</v>
      </c>
      <c r="AI32" s="49">
        <f t="shared" si="35"/>
        <v>0</v>
      </c>
      <c r="AJ32" s="49">
        <f t="shared" si="36"/>
        <v>0</v>
      </c>
      <c r="AK32" s="49">
        <f t="shared" si="37"/>
        <v>0</v>
      </c>
      <c r="AL32" s="49">
        <f t="array" ref="AL32">_xlfn.IFS(R32=0,AE32,R32&lt;0,AE32/-R32,R32&gt;0,AE32/R32)</f>
        <v>0</v>
      </c>
      <c r="AM32" s="50">
        <f t="shared" si="38"/>
        <v>0</v>
      </c>
      <c r="AN32" s="51">
        <f t="shared" si="39"/>
        <v>0</v>
      </c>
      <c r="AP32" s="53">
        <f t="shared" si="40"/>
        <v>0</v>
      </c>
    </row>
    <row r="33" spans="1:42">
      <c r="A33" s="30">
        <v>2774719022</v>
      </c>
      <c r="B33" s="31" t="s">
        <v>66</v>
      </c>
      <c r="C33" s="32">
        <f>'Юнит 01.02'!C33</f>
        <v>13</v>
      </c>
      <c r="D33" s="33"/>
      <c r="E33" s="33"/>
      <c r="F33" s="33"/>
      <c r="G33" s="34"/>
      <c r="H33" s="84">
        <v>657</v>
      </c>
      <c r="I33" s="54">
        <f t="shared" si="23"/>
        <v>8541</v>
      </c>
      <c r="J33" s="36"/>
      <c r="K33" s="32">
        <f>'Юнит 01.02'!K33+'Юнит 26-31.01'!K33</f>
        <v>1</v>
      </c>
      <c r="L33" s="36"/>
      <c r="M33" s="36"/>
      <c r="N33" s="37">
        <f t="shared" si="24"/>
        <v>0.14285714285714285</v>
      </c>
      <c r="O33" s="38">
        <f t="shared" si="25"/>
        <v>0</v>
      </c>
      <c r="P33" s="32">
        <f>'Юнит 01.02'!P33+'Юнит 26-31.01'!P33</f>
        <v>0</v>
      </c>
      <c r="Q33" s="32">
        <f>'Юнит 01.02'!Q33+'Юнит 26-31.01'!Q33</f>
        <v>0</v>
      </c>
      <c r="R33" s="40">
        <f t="shared" si="26"/>
        <v>0</v>
      </c>
      <c r="S33" s="32">
        <f>'Юнит 01.02'!S33+'Юнит 26-31.01'!S33</f>
        <v>0</v>
      </c>
      <c r="T33" s="32">
        <f>'Юнит 01.02'!T33+'Юнит 26-31.01'!T33</f>
        <v>0</v>
      </c>
      <c r="U33" s="40">
        <f t="shared" si="41"/>
        <v>0</v>
      </c>
      <c r="V33" s="43">
        <f t="shared" si="28"/>
        <v>0</v>
      </c>
      <c r="W33" s="44">
        <f t="shared" si="42"/>
        <v>0</v>
      </c>
      <c r="X33" s="32">
        <f>'Юнит 01.02'!X33+'Юнит 26-31.01'!X33</f>
        <v>0</v>
      </c>
      <c r="Y33" s="45">
        <f t="shared" si="43"/>
        <v>0</v>
      </c>
      <c r="Z33" s="32">
        <f>'Юнит 01.02'!Z33+'Юнит 26-31.01'!Z33</f>
        <v>0</v>
      </c>
      <c r="AA33" s="32">
        <f>'Юнит 01.02'!AA33+'Юнит 26-31.01'!AA33</f>
        <v>0</v>
      </c>
      <c r="AB33" s="55"/>
      <c r="AC33" s="42"/>
      <c r="AD33" s="46">
        <f t="shared" si="31"/>
        <v>0</v>
      </c>
      <c r="AE33" s="47">
        <f t="shared" si="32"/>
        <v>0</v>
      </c>
      <c r="AF33" s="46"/>
      <c r="AG33" s="48">
        <f t="shared" si="33"/>
        <v>0</v>
      </c>
      <c r="AH33" s="49">
        <f t="shared" si="34"/>
        <v>657</v>
      </c>
      <c r="AI33" s="49">
        <f t="shared" si="35"/>
        <v>0</v>
      </c>
      <c r="AJ33" s="49">
        <f t="shared" si="36"/>
        <v>0</v>
      </c>
      <c r="AK33" s="49">
        <f t="shared" si="37"/>
        <v>0</v>
      </c>
      <c r="AL33" s="49">
        <f t="array" ref="AL33">_xlfn.IFS(R33=0,AE33,R33&lt;0,AE33/-R33,R33&gt;0,AE33/R33)</f>
        <v>0</v>
      </c>
      <c r="AM33" s="50">
        <f t="shared" si="38"/>
        <v>0</v>
      </c>
      <c r="AN33" s="51">
        <f t="shared" si="39"/>
        <v>0</v>
      </c>
      <c r="AP33" s="53">
        <f t="shared" si="40"/>
        <v>0</v>
      </c>
    </row>
    <row r="34" spans="1:42">
      <c r="A34" s="30">
        <v>2774719501</v>
      </c>
      <c r="B34" s="31" t="s">
        <v>67</v>
      </c>
      <c r="C34" s="32">
        <f>'Юнит 01.02'!C34</f>
        <v>14</v>
      </c>
      <c r="D34" s="33"/>
      <c r="E34" s="33"/>
      <c r="F34" s="33"/>
      <c r="G34" s="34"/>
      <c r="H34" s="84">
        <v>597</v>
      </c>
      <c r="I34" s="54">
        <f t="shared" si="23"/>
        <v>8358</v>
      </c>
      <c r="J34" s="36"/>
      <c r="K34" s="32">
        <f>'Юнит 01.02'!K34+'Юнит 26-31.01'!K34</f>
        <v>2</v>
      </c>
      <c r="L34" s="36"/>
      <c r="M34" s="36"/>
      <c r="N34" s="37">
        <f t="shared" si="24"/>
        <v>0.2857142857142857</v>
      </c>
      <c r="O34" s="38">
        <f t="shared" si="25"/>
        <v>0</v>
      </c>
      <c r="P34" s="32">
        <f>'Юнит 01.02'!P34+'Юнит 26-31.01'!P34</f>
        <v>0</v>
      </c>
      <c r="Q34" s="32">
        <f>'Юнит 01.02'!Q34+'Юнит 26-31.01'!Q34</f>
        <v>0</v>
      </c>
      <c r="R34" s="40">
        <f t="shared" si="26"/>
        <v>0</v>
      </c>
      <c r="S34" s="32">
        <f>'Юнит 01.02'!S34+'Юнит 26-31.01'!S34</f>
        <v>0</v>
      </c>
      <c r="T34" s="32">
        <f>'Юнит 01.02'!T34+'Юнит 26-31.01'!T34</f>
        <v>0</v>
      </c>
      <c r="U34" s="40">
        <f t="shared" si="41"/>
        <v>0</v>
      </c>
      <c r="V34" s="43">
        <f t="shared" si="28"/>
        <v>0</v>
      </c>
      <c r="W34" s="44">
        <f t="shared" si="42"/>
        <v>0</v>
      </c>
      <c r="X34" s="32">
        <f>'Юнит 01.02'!X34+'Юнит 26-31.01'!X34</f>
        <v>0</v>
      </c>
      <c r="Y34" s="45">
        <f t="shared" si="43"/>
        <v>0</v>
      </c>
      <c r="Z34" s="32">
        <f>'Юнит 01.02'!Z34+'Юнит 26-31.01'!Z34</f>
        <v>113.88</v>
      </c>
      <c r="AA34" s="32">
        <f>'Юнит 01.02'!AA34+'Юнит 26-31.01'!AA34</f>
        <v>0</v>
      </c>
      <c r="AB34" s="55"/>
      <c r="AC34" s="42"/>
      <c r="AD34" s="46">
        <f t="shared" si="31"/>
        <v>0</v>
      </c>
      <c r="AE34" s="47">
        <f t="shared" si="32"/>
        <v>-113.88</v>
      </c>
      <c r="AF34" s="46"/>
      <c r="AG34" s="48">
        <f t="shared" si="33"/>
        <v>0</v>
      </c>
      <c r="AH34" s="49">
        <f t="shared" si="34"/>
        <v>597</v>
      </c>
      <c r="AI34" s="49">
        <f t="shared" si="35"/>
        <v>0</v>
      </c>
      <c r="AJ34" s="49">
        <f t="shared" si="36"/>
        <v>113.88</v>
      </c>
      <c r="AK34" s="49">
        <f t="shared" si="37"/>
        <v>0</v>
      </c>
      <c r="AL34" s="49">
        <f t="array" ref="AL34">_xlfn.IFS(R34=0,AE34,R34&lt;0,AE34/-R34,R34&gt;0,AE34/R34)</f>
        <v>-113.88</v>
      </c>
      <c r="AM34" s="50">
        <f t="shared" si="38"/>
        <v>0</v>
      </c>
      <c r="AN34" s="51">
        <f t="shared" si="39"/>
        <v>-0.1907537688442211</v>
      </c>
      <c r="AP34" s="53">
        <f t="shared" si="40"/>
        <v>-1594.32</v>
      </c>
    </row>
    <row r="35" spans="1:42">
      <c r="A35" s="30">
        <v>2774714412</v>
      </c>
      <c r="B35" s="31" t="s">
        <v>68</v>
      </c>
      <c r="C35" s="32">
        <f>'Юнит 01.02'!C35</f>
        <v>15</v>
      </c>
      <c r="D35" s="33"/>
      <c r="E35" s="33"/>
      <c r="F35" s="33"/>
      <c r="G35" s="34"/>
      <c r="H35" s="84">
        <v>552</v>
      </c>
      <c r="I35" s="54">
        <f t="shared" si="23"/>
        <v>8280</v>
      </c>
      <c r="J35" s="36"/>
      <c r="K35" s="32">
        <f>'Юнит 01.02'!K35+'Юнит 26-31.01'!K35</f>
        <v>2</v>
      </c>
      <c r="L35" s="36"/>
      <c r="M35" s="36"/>
      <c r="N35" s="37">
        <f t="shared" si="24"/>
        <v>0.2857142857142857</v>
      </c>
      <c r="O35" s="38">
        <f t="shared" si="25"/>
        <v>0.2857142857142857</v>
      </c>
      <c r="P35" s="32">
        <f>'Юнит 01.02'!P35+'Юнит 26-31.01'!P35</f>
        <v>2</v>
      </c>
      <c r="Q35" s="32">
        <f>'Юнит 01.02'!Q35+'Юнит 26-31.01'!Q35</f>
        <v>0</v>
      </c>
      <c r="R35" s="40">
        <f t="shared" si="26"/>
        <v>2</v>
      </c>
      <c r="S35" s="32">
        <f>'Юнит 01.02'!S35+'Юнит 26-31.01'!S35</f>
        <v>7672</v>
      </c>
      <c r="T35" s="32">
        <f>'Юнит 01.02'!T35+'Юнит 26-31.01'!T35</f>
        <v>0</v>
      </c>
      <c r="U35" s="40">
        <f t="shared" si="41"/>
        <v>7672</v>
      </c>
      <c r="V35" s="43">
        <f t="shared" si="28"/>
        <v>3.4543620776601107E-2</v>
      </c>
      <c r="W35" s="44">
        <f t="shared" si="42"/>
        <v>1104</v>
      </c>
      <c r="X35" s="32">
        <f>'Юнит 01.02'!X35+'Юнит 26-31.01'!X35</f>
        <v>3298.96</v>
      </c>
      <c r="Y35" s="45">
        <f t="shared" si="43"/>
        <v>0.43</v>
      </c>
      <c r="Z35" s="32">
        <f>'Юнит 01.02'!Z35+'Юнит 26-31.01'!Z35</f>
        <v>833.14</v>
      </c>
      <c r="AA35" s="32">
        <f>'Юнит 01.02'!AA35+'Юнит 26-31.01'!AA35</f>
        <v>0</v>
      </c>
      <c r="AB35" s="55"/>
      <c r="AC35" s="42"/>
      <c r="AD35" s="46">
        <f t="shared" si="31"/>
        <v>76.72</v>
      </c>
      <c r="AE35" s="47">
        <f t="shared" si="32"/>
        <v>2359.1800000000003</v>
      </c>
      <c r="AF35" s="46"/>
      <c r="AG35" s="48">
        <f t="shared" si="33"/>
        <v>3836</v>
      </c>
      <c r="AH35" s="49">
        <f t="shared" si="34"/>
        <v>552</v>
      </c>
      <c r="AI35" s="49">
        <f t="shared" si="35"/>
        <v>1649.48</v>
      </c>
      <c r="AJ35" s="49">
        <f t="shared" si="36"/>
        <v>416.57</v>
      </c>
      <c r="AK35" s="49">
        <f t="shared" si="37"/>
        <v>0</v>
      </c>
      <c r="AL35" s="49">
        <f t="array" ref="AL35">_xlfn.IFS(R35=0,AE35,R35&lt;0,AE35/-R35,R35&gt;0,AE35/R35)</f>
        <v>1179.5900000000001</v>
      </c>
      <c r="AM35" s="50">
        <f t="shared" si="38"/>
        <v>0.30750521376433787</v>
      </c>
      <c r="AN35" s="51">
        <f t="shared" si="39"/>
        <v>2.1369384057971019</v>
      </c>
      <c r="AP35" s="53">
        <f t="shared" si="40"/>
        <v>17693.850000000002</v>
      </c>
    </row>
    <row r="36" spans="1:42">
      <c r="A36" s="30">
        <v>2774710430</v>
      </c>
      <c r="B36" s="31" t="s">
        <v>69</v>
      </c>
      <c r="C36" s="32">
        <f>'Юнит 01.02'!C36</f>
        <v>17</v>
      </c>
      <c r="D36" s="33"/>
      <c r="E36" s="33"/>
      <c r="F36" s="33"/>
      <c r="G36" s="34"/>
      <c r="H36" s="84">
        <v>552</v>
      </c>
      <c r="I36" s="54">
        <f t="shared" si="23"/>
        <v>9384</v>
      </c>
      <c r="J36" s="36"/>
      <c r="K36" s="32">
        <f>'Юнит 01.02'!K36+'Юнит 26-31.01'!K36</f>
        <v>0</v>
      </c>
      <c r="L36" s="36"/>
      <c r="M36" s="36"/>
      <c r="N36" s="37">
        <f t="shared" si="24"/>
        <v>0</v>
      </c>
      <c r="O36" s="38">
        <f t="shared" si="25"/>
        <v>0</v>
      </c>
      <c r="P36" s="32">
        <f>'Юнит 01.02'!P36+'Юнит 26-31.01'!P36</f>
        <v>0</v>
      </c>
      <c r="Q36" s="32">
        <f>'Юнит 01.02'!Q36+'Юнит 26-31.01'!Q36</f>
        <v>0</v>
      </c>
      <c r="R36" s="40">
        <f t="shared" si="26"/>
        <v>0</v>
      </c>
      <c r="S36" s="32">
        <f>'Юнит 01.02'!S36+'Юнит 26-31.01'!S36</f>
        <v>0</v>
      </c>
      <c r="T36" s="32">
        <f>'Юнит 01.02'!T36+'Юнит 26-31.01'!T36</f>
        <v>0</v>
      </c>
      <c r="U36" s="40">
        <f t="shared" si="41"/>
        <v>0</v>
      </c>
      <c r="V36" s="43">
        <f t="shared" si="28"/>
        <v>0</v>
      </c>
      <c r="W36" s="44">
        <f t="shared" si="42"/>
        <v>0</v>
      </c>
      <c r="X36" s="32">
        <f>'Юнит 01.02'!X36+'Юнит 26-31.01'!X36</f>
        <v>0</v>
      </c>
      <c r="Y36" s="45">
        <f t="shared" si="43"/>
        <v>0</v>
      </c>
      <c r="Z36" s="32">
        <f>'Юнит 01.02'!Z36+'Юнит 26-31.01'!Z36</f>
        <v>113.88</v>
      </c>
      <c r="AA36" s="32">
        <f>'Юнит 01.02'!AA36+'Юнит 26-31.01'!AA36</f>
        <v>0</v>
      </c>
      <c r="AB36" s="55"/>
      <c r="AC36" s="42"/>
      <c r="AD36" s="46">
        <f t="shared" si="31"/>
        <v>0</v>
      </c>
      <c r="AE36" s="47">
        <f t="shared" si="32"/>
        <v>-113.88</v>
      </c>
      <c r="AF36" s="46"/>
      <c r="AG36" s="48">
        <f t="shared" si="33"/>
        <v>0</v>
      </c>
      <c r="AH36" s="49">
        <f t="shared" si="34"/>
        <v>552</v>
      </c>
      <c r="AI36" s="49">
        <f t="shared" si="35"/>
        <v>0</v>
      </c>
      <c r="AJ36" s="49">
        <f t="shared" si="36"/>
        <v>113.88</v>
      </c>
      <c r="AK36" s="49">
        <f t="shared" si="37"/>
        <v>0</v>
      </c>
      <c r="AL36" s="49">
        <f t="array" ref="AL36">_xlfn.IFS(R36=0,AE36,R36&lt;0,AE36/-R36,R36&gt;0,AE36/R36)</f>
        <v>-113.88</v>
      </c>
      <c r="AM36" s="50">
        <f t="shared" si="38"/>
        <v>0</v>
      </c>
      <c r="AN36" s="51">
        <f t="shared" si="39"/>
        <v>-0.20630434782608695</v>
      </c>
      <c r="AP36" s="53">
        <f t="shared" si="40"/>
        <v>-1935.96</v>
      </c>
    </row>
    <row r="37" spans="1:42">
      <c r="A37" s="30">
        <v>2774712116</v>
      </c>
      <c r="B37" s="31" t="s">
        <v>70</v>
      </c>
      <c r="C37" s="32">
        <f>'Юнит 01.02'!C37</f>
        <v>8</v>
      </c>
      <c r="D37" s="33"/>
      <c r="E37" s="33"/>
      <c r="F37" s="33"/>
      <c r="G37" s="34"/>
      <c r="H37" s="84">
        <v>687</v>
      </c>
      <c r="I37" s="54">
        <f t="shared" si="23"/>
        <v>5496</v>
      </c>
      <c r="J37" s="36"/>
      <c r="K37" s="32">
        <f>'Юнит 01.02'!K37+'Юнит 26-31.01'!K37</f>
        <v>4</v>
      </c>
      <c r="L37" s="36"/>
      <c r="M37" s="36"/>
      <c r="N37" s="37">
        <f t="shared" si="24"/>
        <v>0.5714285714285714</v>
      </c>
      <c r="O37" s="38">
        <f t="shared" si="25"/>
        <v>0.14285714285714285</v>
      </c>
      <c r="P37" s="32">
        <f>'Юнит 01.02'!P37+'Юнит 26-31.01'!P37</f>
        <v>1</v>
      </c>
      <c r="Q37" s="32">
        <f>'Юнит 01.02'!Q37+'Юнит 26-31.01'!Q37</f>
        <v>0</v>
      </c>
      <c r="R37" s="40">
        <f t="shared" si="26"/>
        <v>1</v>
      </c>
      <c r="S37" s="32">
        <f>'Юнит 01.02'!S37+'Юнит 26-31.01'!S37</f>
        <v>4506</v>
      </c>
      <c r="T37" s="32">
        <f>'Юнит 01.02'!T37+'Юнит 26-31.01'!T37</f>
        <v>0</v>
      </c>
      <c r="U37" s="40">
        <f t="shared" si="41"/>
        <v>4506</v>
      </c>
      <c r="V37" s="43">
        <f t="shared" si="28"/>
        <v>2.028852388156473E-2</v>
      </c>
      <c r="W37" s="44">
        <f t="shared" si="42"/>
        <v>687</v>
      </c>
      <c r="X37" s="32">
        <f>'Юнит 01.02'!X37+'Юнит 26-31.01'!X37</f>
        <v>1937.58</v>
      </c>
      <c r="Y37" s="45">
        <f t="shared" si="43"/>
        <v>0.43</v>
      </c>
      <c r="Z37" s="32">
        <f>'Юнит 01.02'!Z37+'Юнит 26-31.01'!Z37</f>
        <v>389.27</v>
      </c>
      <c r="AA37" s="32">
        <f>'Юнит 01.02'!AA37+'Юнит 26-31.01'!AA37</f>
        <v>0</v>
      </c>
      <c r="AB37" s="55"/>
      <c r="AC37" s="42"/>
      <c r="AD37" s="46">
        <f t="shared" si="31"/>
        <v>45.06</v>
      </c>
      <c r="AE37" s="47">
        <f t="shared" si="32"/>
        <v>1447.0900000000001</v>
      </c>
      <c r="AF37" s="46"/>
      <c r="AG37" s="48">
        <f t="shared" si="33"/>
        <v>4506</v>
      </c>
      <c r="AH37" s="49">
        <f t="shared" si="34"/>
        <v>687</v>
      </c>
      <c r="AI37" s="49">
        <f t="shared" si="35"/>
        <v>1937.58</v>
      </c>
      <c r="AJ37" s="49">
        <f t="shared" si="36"/>
        <v>389.27</v>
      </c>
      <c r="AK37" s="49">
        <f t="shared" si="37"/>
        <v>0</v>
      </c>
      <c r="AL37" s="49">
        <f t="array" ref="AL37">_xlfn.IFS(R37=0,AE37,R37&lt;0,AE37/-R37,R37&gt;0,AE37/R37)</f>
        <v>1447.0900000000001</v>
      </c>
      <c r="AM37" s="50">
        <f t="shared" si="38"/>
        <v>0.32114735907678654</v>
      </c>
      <c r="AN37" s="51">
        <f t="shared" si="39"/>
        <v>2.1063901018922855</v>
      </c>
      <c r="AP37" s="53">
        <f t="shared" si="40"/>
        <v>11576.720000000001</v>
      </c>
    </row>
    <row r="38" spans="1:42">
      <c r="A38" s="30">
        <v>2774719012</v>
      </c>
      <c r="B38" s="31" t="s">
        <v>71</v>
      </c>
      <c r="C38" s="32">
        <f>'Юнит 01.02'!C38</f>
        <v>5</v>
      </c>
      <c r="D38" s="33"/>
      <c r="E38" s="33"/>
      <c r="F38" s="33"/>
      <c r="G38" s="34"/>
      <c r="H38" s="84">
        <v>687</v>
      </c>
      <c r="I38" s="54">
        <f t="shared" si="23"/>
        <v>3435</v>
      </c>
      <c r="J38" s="36"/>
      <c r="K38" s="32">
        <f>'Юнит 01.02'!K38+'Юнит 26-31.01'!K38</f>
        <v>1</v>
      </c>
      <c r="L38" s="36"/>
      <c r="M38" s="36"/>
      <c r="N38" s="37">
        <f t="shared" si="24"/>
        <v>0.14285714285714285</v>
      </c>
      <c r="O38" s="38">
        <f t="shared" si="25"/>
        <v>0</v>
      </c>
      <c r="P38" s="32">
        <f>'Юнит 01.02'!P38+'Юнит 26-31.01'!P38</f>
        <v>0</v>
      </c>
      <c r="Q38" s="32">
        <f>'Юнит 01.02'!Q38+'Юнит 26-31.01'!Q38</f>
        <v>0</v>
      </c>
      <c r="R38" s="40">
        <f t="shared" si="26"/>
        <v>0</v>
      </c>
      <c r="S38" s="32">
        <f>'Юнит 01.02'!S38+'Юнит 26-31.01'!S38</f>
        <v>0</v>
      </c>
      <c r="T38" s="32">
        <f>'Юнит 01.02'!T38+'Юнит 26-31.01'!T38</f>
        <v>0</v>
      </c>
      <c r="U38" s="40">
        <f t="shared" si="41"/>
        <v>0</v>
      </c>
      <c r="V38" s="43">
        <f t="shared" si="28"/>
        <v>0</v>
      </c>
      <c r="W38" s="44">
        <f t="shared" si="42"/>
        <v>0</v>
      </c>
      <c r="X38" s="32">
        <f>'Юнит 01.02'!X38+'Юнит 26-31.01'!X38</f>
        <v>0</v>
      </c>
      <c r="Y38" s="45">
        <f t="shared" si="43"/>
        <v>0</v>
      </c>
      <c r="Z38" s="32">
        <f>'Юнит 01.02'!Z38+'Юнит 26-31.01'!Z38</f>
        <v>284.7</v>
      </c>
      <c r="AA38" s="32">
        <f>'Юнит 01.02'!AA38+'Юнит 26-31.01'!AA38</f>
        <v>0</v>
      </c>
      <c r="AB38" s="55"/>
      <c r="AC38" s="42"/>
      <c r="AD38" s="46">
        <f t="shared" si="31"/>
        <v>0</v>
      </c>
      <c r="AE38" s="47">
        <f t="shared" si="32"/>
        <v>-284.7</v>
      </c>
      <c r="AF38" s="46"/>
      <c r="AG38" s="48">
        <f t="shared" si="33"/>
        <v>0</v>
      </c>
      <c r="AH38" s="49">
        <f t="shared" si="34"/>
        <v>687</v>
      </c>
      <c r="AI38" s="49">
        <f t="shared" si="35"/>
        <v>0</v>
      </c>
      <c r="AJ38" s="49">
        <f t="shared" si="36"/>
        <v>284.7</v>
      </c>
      <c r="AK38" s="49">
        <f t="shared" si="37"/>
        <v>0</v>
      </c>
      <c r="AL38" s="49">
        <f t="array" ref="AL38">_xlfn.IFS(R38=0,AE38,R38&lt;0,AE38/-R38,R38&gt;0,AE38/R38)</f>
        <v>-284.7</v>
      </c>
      <c r="AM38" s="50">
        <f t="shared" si="38"/>
        <v>0</v>
      </c>
      <c r="AN38" s="51">
        <f t="shared" si="39"/>
        <v>-0.41441048034934497</v>
      </c>
      <c r="AP38" s="53">
        <f t="shared" si="40"/>
        <v>-1423.5</v>
      </c>
    </row>
    <row r="39" spans="1:42">
      <c r="A39" s="30">
        <v>2774719433</v>
      </c>
      <c r="B39" s="31" t="s">
        <v>72</v>
      </c>
      <c r="C39" s="32">
        <f>'Юнит 01.02'!C39</f>
        <v>15</v>
      </c>
      <c r="D39" s="33"/>
      <c r="E39" s="33"/>
      <c r="F39" s="33"/>
      <c r="G39" s="34"/>
      <c r="H39" s="84">
        <v>597</v>
      </c>
      <c r="I39" s="54">
        <f t="shared" si="23"/>
        <v>8955</v>
      </c>
      <c r="J39" s="36"/>
      <c r="K39" s="32">
        <f>'Юнит 01.02'!K39+'Юнит 26-31.01'!K39</f>
        <v>1</v>
      </c>
      <c r="L39" s="36"/>
      <c r="M39" s="36"/>
      <c r="N39" s="37">
        <f t="shared" si="24"/>
        <v>0.14285714285714285</v>
      </c>
      <c r="O39" s="38">
        <f t="shared" si="25"/>
        <v>0</v>
      </c>
      <c r="P39" s="32">
        <f>'Юнит 01.02'!P39+'Юнит 26-31.01'!P39</f>
        <v>0</v>
      </c>
      <c r="Q39" s="32">
        <f>'Юнит 01.02'!Q39+'Юнит 26-31.01'!Q39</f>
        <v>0</v>
      </c>
      <c r="R39" s="40">
        <f t="shared" si="26"/>
        <v>0</v>
      </c>
      <c r="S39" s="32">
        <f>'Юнит 01.02'!S39+'Юнит 26-31.01'!S39</f>
        <v>0</v>
      </c>
      <c r="T39" s="32">
        <f>'Юнит 01.02'!T39+'Юнит 26-31.01'!T39</f>
        <v>0</v>
      </c>
      <c r="U39" s="40">
        <f t="shared" si="41"/>
        <v>0</v>
      </c>
      <c r="V39" s="43">
        <f t="shared" si="28"/>
        <v>0</v>
      </c>
      <c r="W39" s="44">
        <f t="shared" si="42"/>
        <v>0</v>
      </c>
      <c r="X39" s="32">
        <f>'Юнит 01.02'!X39+'Юнит 26-31.01'!X39</f>
        <v>0</v>
      </c>
      <c r="Y39" s="45">
        <f t="shared" si="43"/>
        <v>0</v>
      </c>
      <c r="Z39" s="32">
        <f>'Юнит 01.02'!Z39+'Юнит 26-31.01'!Z39</f>
        <v>113.88</v>
      </c>
      <c r="AA39" s="32">
        <f>'Юнит 01.02'!AA39+'Юнит 26-31.01'!AA39</f>
        <v>0</v>
      </c>
      <c r="AB39" s="55"/>
      <c r="AC39" s="42"/>
      <c r="AD39" s="46">
        <f t="shared" si="31"/>
        <v>0</v>
      </c>
      <c r="AE39" s="47">
        <f t="shared" si="32"/>
        <v>-113.88</v>
      </c>
      <c r="AF39" s="46"/>
      <c r="AG39" s="48">
        <f t="shared" si="33"/>
        <v>0</v>
      </c>
      <c r="AH39" s="49">
        <f t="shared" si="34"/>
        <v>597</v>
      </c>
      <c r="AI39" s="49">
        <f t="shared" si="35"/>
        <v>0</v>
      </c>
      <c r="AJ39" s="49">
        <f t="shared" si="36"/>
        <v>113.88</v>
      </c>
      <c r="AK39" s="49">
        <f t="shared" si="37"/>
        <v>0</v>
      </c>
      <c r="AL39" s="49">
        <f t="array" ref="AL39">_xlfn.IFS(R39=0,AE39,R39&lt;0,AE39/-R39,R39&gt;0,AE39/R39)</f>
        <v>-113.88</v>
      </c>
      <c r="AM39" s="50">
        <f t="shared" si="38"/>
        <v>0</v>
      </c>
      <c r="AN39" s="51">
        <f t="shared" si="39"/>
        <v>-0.1907537688442211</v>
      </c>
      <c r="AP39" s="53">
        <f t="shared" si="40"/>
        <v>-1708.1999999999998</v>
      </c>
    </row>
    <row r="40" spans="1:42">
      <c r="A40" s="30">
        <v>2774719029</v>
      </c>
      <c r="B40" s="31" t="s">
        <v>73</v>
      </c>
      <c r="C40" s="32">
        <f>'Юнит 01.02'!C40</f>
        <v>18</v>
      </c>
      <c r="D40" s="33"/>
      <c r="E40" s="33"/>
      <c r="F40" s="33"/>
      <c r="G40" s="34"/>
      <c r="H40" s="84">
        <v>597</v>
      </c>
      <c r="I40" s="54">
        <f t="shared" si="23"/>
        <v>10746</v>
      </c>
      <c r="J40" s="36"/>
      <c r="K40" s="32">
        <f>'Юнит 01.02'!K40+'Юнит 26-31.01'!K40</f>
        <v>1</v>
      </c>
      <c r="L40" s="36"/>
      <c r="M40" s="36"/>
      <c r="N40" s="37">
        <f t="shared" si="24"/>
        <v>0.14285714285714285</v>
      </c>
      <c r="O40" s="38">
        <f t="shared" si="25"/>
        <v>0</v>
      </c>
      <c r="P40" s="32">
        <f>'Юнит 01.02'!P40+'Юнит 26-31.01'!P40</f>
        <v>0</v>
      </c>
      <c r="Q40" s="32">
        <f>'Юнит 01.02'!Q40+'Юнит 26-31.01'!Q40</f>
        <v>0</v>
      </c>
      <c r="R40" s="40">
        <f t="shared" si="26"/>
        <v>0</v>
      </c>
      <c r="S40" s="32">
        <f>'Юнит 01.02'!S40+'Юнит 26-31.01'!S40</f>
        <v>0</v>
      </c>
      <c r="T40" s="32">
        <f>'Юнит 01.02'!T40+'Юнит 26-31.01'!T40</f>
        <v>0</v>
      </c>
      <c r="U40" s="40">
        <f t="shared" si="41"/>
        <v>0</v>
      </c>
      <c r="V40" s="43">
        <f t="shared" si="28"/>
        <v>0</v>
      </c>
      <c r="W40" s="44">
        <f t="shared" si="42"/>
        <v>0</v>
      </c>
      <c r="X40" s="32">
        <f>'Юнит 01.02'!X40+'Юнит 26-31.01'!X40</f>
        <v>0</v>
      </c>
      <c r="Y40" s="45">
        <f t="shared" si="43"/>
        <v>0</v>
      </c>
      <c r="Z40" s="32">
        <f>'Юнит 01.02'!Z40+'Юнит 26-31.01'!Z40</f>
        <v>113.88</v>
      </c>
      <c r="AA40" s="32">
        <f>'Юнит 01.02'!AA40+'Юнит 26-31.01'!AA40</f>
        <v>0</v>
      </c>
      <c r="AB40" s="55"/>
      <c r="AC40" s="42"/>
      <c r="AD40" s="46">
        <f t="shared" si="31"/>
        <v>0</v>
      </c>
      <c r="AE40" s="47">
        <f t="shared" si="32"/>
        <v>-113.88</v>
      </c>
      <c r="AF40" s="46"/>
      <c r="AG40" s="48">
        <f t="shared" si="33"/>
        <v>0</v>
      </c>
      <c r="AH40" s="49">
        <f t="shared" si="34"/>
        <v>597</v>
      </c>
      <c r="AI40" s="49">
        <f t="shared" si="35"/>
        <v>0</v>
      </c>
      <c r="AJ40" s="49">
        <f t="shared" si="36"/>
        <v>113.88</v>
      </c>
      <c r="AK40" s="49">
        <f t="shared" si="37"/>
        <v>0</v>
      </c>
      <c r="AL40" s="49">
        <f t="array" ref="AL40">_xlfn.IFS(R40=0,AE40,R40&lt;0,AE40/-R40,R40&gt;0,AE40/R40)</f>
        <v>-113.88</v>
      </c>
      <c r="AM40" s="50">
        <f t="shared" si="38"/>
        <v>0</v>
      </c>
      <c r="AN40" s="51">
        <f t="shared" si="39"/>
        <v>-0.1907537688442211</v>
      </c>
      <c r="AP40" s="53">
        <f t="shared" si="40"/>
        <v>-2049.84</v>
      </c>
    </row>
    <row r="41" spans="1:42">
      <c r="A41" s="30">
        <v>2774719553</v>
      </c>
      <c r="B41" s="31" t="s">
        <v>74</v>
      </c>
      <c r="C41" s="32">
        <f>'Юнит 01.02'!C41</f>
        <v>18</v>
      </c>
      <c r="D41" s="33"/>
      <c r="E41" s="33"/>
      <c r="F41" s="33"/>
      <c r="G41" s="34"/>
      <c r="H41" s="84">
        <v>597</v>
      </c>
      <c r="I41" s="54">
        <f t="shared" si="23"/>
        <v>10746</v>
      </c>
      <c r="J41" s="36"/>
      <c r="K41" s="32">
        <f>'Юнит 01.02'!K41+'Юнит 26-31.01'!K41</f>
        <v>0</v>
      </c>
      <c r="L41" s="36"/>
      <c r="M41" s="36"/>
      <c r="N41" s="37">
        <f t="shared" si="24"/>
        <v>0</v>
      </c>
      <c r="O41" s="38">
        <f t="shared" si="25"/>
        <v>0</v>
      </c>
      <c r="P41" s="32">
        <f>'Юнит 01.02'!P41+'Юнит 26-31.01'!P41</f>
        <v>0</v>
      </c>
      <c r="Q41" s="32">
        <f>'Юнит 01.02'!Q41+'Юнит 26-31.01'!Q41</f>
        <v>0</v>
      </c>
      <c r="R41" s="40">
        <f t="shared" si="26"/>
        <v>0</v>
      </c>
      <c r="S41" s="32">
        <f>'Юнит 01.02'!S41+'Юнит 26-31.01'!S41</f>
        <v>0</v>
      </c>
      <c r="T41" s="32">
        <f>'Юнит 01.02'!T41+'Юнит 26-31.01'!T41</f>
        <v>0</v>
      </c>
      <c r="U41" s="40">
        <f t="shared" si="41"/>
        <v>0</v>
      </c>
      <c r="V41" s="43">
        <f t="shared" si="28"/>
        <v>0</v>
      </c>
      <c r="W41" s="44">
        <f t="shared" si="42"/>
        <v>0</v>
      </c>
      <c r="X41" s="32">
        <f>'Юнит 01.02'!X41+'Юнит 26-31.01'!X41</f>
        <v>0</v>
      </c>
      <c r="Y41" s="45">
        <f t="shared" si="43"/>
        <v>0</v>
      </c>
      <c r="Z41" s="32">
        <f>'Юнит 01.02'!Z41+'Юнит 26-31.01'!Z41</f>
        <v>0</v>
      </c>
      <c r="AA41" s="32">
        <f>'Юнит 01.02'!AA41+'Юнит 26-31.01'!AA41</f>
        <v>0</v>
      </c>
      <c r="AB41" s="55"/>
      <c r="AC41" s="42"/>
      <c r="AD41" s="46">
        <f t="shared" si="31"/>
        <v>0</v>
      </c>
      <c r="AE41" s="47">
        <f t="shared" si="32"/>
        <v>0</v>
      </c>
      <c r="AF41" s="46"/>
      <c r="AG41" s="48">
        <f t="shared" si="33"/>
        <v>0</v>
      </c>
      <c r="AH41" s="49">
        <f t="shared" si="34"/>
        <v>597</v>
      </c>
      <c r="AI41" s="49">
        <f t="shared" si="35"/>
        <v>0</v>
      </c>
      <c r="AJ41" s="49">
        <f t="shared" si="36"/>
        <v>0</v>
      </c>
      <c r="AK41" s="49">
        <f t="shared" si="37"/>
        <v>0</v>
      </c>
      <c r="AL41" s="49">
        <f t="array" ref="AL41">_xlfn.IFS(R41=0,AE41,R41&lt;0,AE41/-R41,R41&gt;0,AE41/R41)</f>
        <v>0</v>
      </c>
      <c r="AM41" s="50">
        <f t="shared" si="38"/>
        <v>0</v>
      </c>
      <c r="AN41" s="51">
        <f t="shared" si="39"/>
        <v>0</v>
      </c>
      <c r="AP41" s="53">
        <f t="shared" si="40"/>
        <v>0</v>
      </c>
    </row>
    <row r="42" spans="1:42">
      <c r="A42" s="30">
        <v>2774710913</v>
      </c>
      <c r="B42" s="31" t="s">
        <v>75</v>
      </c>
      <c r="C42" s="32">
        <f>'Юнит 01.02'!C42</f>
        <v>17</v>
      </c>
      <c r="D42" s="33"/>
      <c r="E42" s="33"/>
      <c r="F42" s="33"/>
      <c r="G42" s="34"/>
      <c r="H42" s="84">
        <v>642</v>
      </c>
      <c r="I42" s="54">
        <f t="shared" si="23"/>
        <v>10914</v>
      </c>
      <c r="J42" s="36"/>
      <c r="K42" s="32">
        <f>'Юнит 01.02'!K42+'Юнит 26-31.01'!K42</f>
        <v>2</v>
      </c>
      <c r="L42" s="36"/>
      <c r="M42" s="36"/>
      <c r="N42" s="37">
        <f t="shared" si="24"/>
        <v>0.2857142857142857</v>
      </c>
      <c r="O42" s="38">
        <f t="shared" si="25"/>
        <v>0</v>
      </c>
      <c r="P42" s="32">
        <f>'Юнит 01.02'!P42+'Юнит 26-31.01'!P42</f>
        <v>0</v>
      </c>
      <c r="Q42" s="32">
        <f>'Юнит 01.02'!Q42+'Юнит 26-31.01'!Q42</f>
        <v>0</v>
      </c>
      <c r="R42" s="40">
        <f t="shared" si="26"/>
        <v>0</v>
      </c>
      <c r="S42" s="32">
        <f>'Юнит 01.02'!S42+'Юнит 26-31.01'!S42</f>
        <v>0</v>
      </c>
      <c r="T42" s="32">
        <f>'Юнит 01.02'!T42+'Юнит 26-31.01'!T42</f>
        <v>0</v>
      </c>
      <c r="U42" s="40">
        <f t="shared" si="41"/>
        <v>0</v>
      </c>
      <c r="V42" s="43">
        <f t="shared" si="28"/>
        <v>0</v>
      </c>
      <c r="W42" s="44">
        <f t="shared" si="42"/>
        <v>0</v>
      </c>
      <c r="X42" s="32">
        <f>'Юнит 01.02'!X42+'Юнит 26-31.01'!X42</f>
        <v>0</v>
      </c>
      <c r="Y42" s="45">
        <f t="shared" si="43"/>
        <v>0</v>
      </c>
      <c r="Z42" s="32">
        <f>'Юнит 01.02'!Z42+'Юнит 26-31.01'!Z42</f>
        <v>0</v>
      </c>
      <c r="AA42" s="32">
        <f>'Юнит 01.02'!AA42+'Юнит 26-31.01'!AA42</f>
        <v>0</v>
      </c>
      <c r="AB42" s="55"/>
      <c r="AC42" s="42"/>
      <c r="AD42" s="46">
        <f t="shared" si="31"/>
        <v>0</v>
      </c>
      <c r="AE42" s="47">
        <f t="shared" si="32"/>
        <v>0</v>
      </c>
      <c r="AF42" s="46"/>
      <c r="AG42" s="48">
        <f t="shared" si="33"/>
        <v>0</v>
      </c>
      <c r="AH42" s="49">
        <f t="shared" si="34"/>
        <v>642</v>
      </c>
      <c r="AI42" s="49">
        <f t="shared" si="35"/>
        <v>0</v>
      </c>
      <c r="AJ42" s="49">
        <f t="shared" si="36"/>
        <v>0</v>
      </c>
      <c r="AK42" s="49">
        <f t="shared" si="37"/>
        <v>0</v>
      </c>
      <c r="AL42" s="49">
        <f t="array" ref="AL42">_xlfn.IFS(R42=0,AE42,R42&lt;0,AE42/-R42,R42&gt;0,AE42/R42)</f>
        <v>0</v>
      </c>
      <c r="AM42" s="50">
        <f t="shared" si="38"/>
        <v>0</v>
      </c>
      <c r="AN42" s="51">
        <f t="shared" si="39"/>
        <v>0</v>
      </c>
      <c r="AP42" s="53">
        <f t="shared" si="40"/>
        <v>0</v>
      </c>
    </row>
    <row r="43" spans="1:42">
      <c r="A43" s="30">
        <v>2774721668</v>
      </c>
      <c r="B43" s="31" t="s">
        <v>76</v>
      </c>
      <c r="C43" s="32">
        <f>'Юнит 01.02'!C43</f>
        <v>18</v>
      </c>
      <c r="D43" s="33"/>
      <c r="E43" s="33"/>
      <c r="F43" s="33"/>
      <c r="G43" s="34"/>
      <c r="H43" s="84">
        <v>642</v>
      </c>
      <c r="I43" s="54">
        <f t="shared" si="23"/>
        <v>11556</v>
      </c>
      <c r="J43" s="36"/>
      <c r="K43" s="32">
        <f>'Юнит 01.02'!K43+'Юнит 26-31.01'!K43</f>
        <v>0</v>
      </c>
      <c r="L43" s="36"/>
      <c r="M43" s="36"/>
      <c r="N43" s="37">
        <f t="shared" si="24"/>
        <v>0</v>
      </c>
      <c r="O43" s="38">
        <f t="shared" si="25"/>
        <v>0</v>
      </c>
      <c r="P43" s="32">
        <f>'Юнит 01.02'!P43+'Юнит 26-31.01'!P43</f>
        <v>0</v>
      </c>
      <c r="Q43" s="32">
        <f>'Юнит 01.02'!Q43+'Юнит 26-31.01'!Q43</f>
        <v>0</v>
      </c>
      <c r="R43" s="40">
        <f t="shared" si="26"/>
        <v>0</v>
      </c>
      <c r="S43" s="32">
        <f>'Юнит 01.02'!S43+'Юнит 26-31.01'!S43</f>
        <v>0</v>
      </c>
      <c r="T43" s="32">
        <f>'Юнит 01.02'!T43+'Юнит 26-31.01'!T43</f>
        <v>0</v>
      </c>
      <c r="U43" s="40">
        <f t="shared" si="41"/>
        <v>0</v>
      </c>
      <c r="V43" s="43">
        <f t="shared" si="28"/>
        <v>0</v>
      </c>
      <c r="W43" s="44">
        <f t="shared" si="42"/>
        <v>0</v>
      </c>
      <c r="X43" s="32">
        <f>'Юнит 01.02'!X43+'Юнит 26-31.01'!X43</f>
        <v>0</v>
      </c>
      <c r="Y43" s="45">
        <f t="shared" si="43"/>
        <v>0</v>
      </c>
      <c r="Z43" s="32">
        <f>'Юнит 01.02'!Z43+'Юнит 26-31.01'!Z43</f>
        <v>227.76</v>
      </c>
      <c r="AA43" s="32">
        <f>'Юнит 01.02'!AA43+'Юнит 26-31.01'!AA43</f>
        <v>0</v>
      </c>
      <c r="AB43" s="55"/>
      <c r="AC43" s="42"/>
      <c r="AD43" s="46">
        <f t="shared" si="31"/>
        <v>0</v>
      </c>
      <c r="AE43" s="47">
        <f t="shared" si="32"/>
        <v>-227.76</v>
      </c>
      <c r="AF43" s="46"/>
      <c r="AG43" s="48">
        <f t="shared" si="33"/>
        <v>0</v>
      </c>
      <c r="AH43" s="49">
        <f t="shared" si="34"/>
        <v>642</v>
      </c>
      <c r="AI43" s="49">
        <f t="shared" si="35"/>
        <v>0</v>
      </c>
      <c r="AJ43" s="49">
        <f t="shared" si="36"/>
        <v>227.76</v>
      </c>
      <c r="AK43" s="49">
        <f t="shared" si="37"/>
        <v>0</v>
      </c>
      <c r="AL43" s="49">
        <f t="array" ref="AL43">_xlfn.IFS(R43=0,AE43,R43&lt;0,AE43/-R43,R43&gt;0,AE43/R43)</f>
        <v>-227.76</v>
      </c>
      <c r="AM43" s="50">
        <f t="shared" si="38"/>
        <v>0</v>
      </c>
      <c r="AN43" s="51">
        <f t="shared" si="39"/>
        <v>-0.3547663551401869</v>
      </c>
      <c r="AP43" s="53">
        <f t="shared" si="40"/>
        <v>-4099.68</v>
      </c>
    </row>
    <row r="44" spans="1:42">
      <c r="A44" s="30">
        <v>2774722656</v>
      </c>
      <c r="B44" s="31" t="s">
        <v>77</v>
      </c>
      <c r="C44" s="32">
        <f>'Юнит 01.02'!C44</f>
        <v>3</v>
      </c>
      <c r="D44" s="33"/>
      <c r="E44" s="33"/>
      <c r="F44" s="33"/>
      <c r="G44" s="34"/>
      <c r="H44" s="84">
        <v>687</v>
      </c>
      <c r="I44" s="54">
        <f t="shared" si="23"/>
        <v>2061</v>
      </c>
      <c r="J44" s="36"/>
      <c r="K44" s="32">
        <f>'Юнит 01.02'!K44+'Юнит 26-31.01'!K44</f>
        <v>31</v>
      </c>
      <c r="L44" s="36"/>
      <c r="M44" s="36"/>
      <c r="N44" s="37">
        <f t="shared" si="24"/>
        <v>4.4285714285714288</v>
      </c>
      <c r="O44" s="38">
        <f t="shared" si="25"/>
        <v>1.2857142857142858</v>
      </c>
      <c r="P44" s="32">
        <f>'Юнит 01.02'!P44+'Юнит 26-31.01'!P44</f>
        <v>9</v>
      </c>
      <c r="Q44" s="32">
        <f>'Юнит 01.02'!Q44+'Юнит 26-31.01'!Q44</f>
        <v>0</v>
      </c>
      <c r="R44" s="40">
        <f t="shared" si="26"/>
        <v>9</v>
      </c>
      <c r="S44" s="32">
        <f>'Юнит 01.02'!S44+'Юнит 26-31.01'!S44</f>
        <v>38794</v>
      </c>
      <c r="T44" s="32">
        <f>'Юнит 01.02'!T44+'Юнит 26-31.01'!T44</f>
        <v>0</v>
      </c>
      <c r="U44" s="40">
        <f t="shared" si="41"/>
        <v>38794</v>
      </c>
      <c r="V44" s="43">
        <f t="shared" si="28"/>
        <v>0.17467221381744832</v>
      </c>
      <c r="W44" s="44">
        <f t="shared" si="42"/>
        <v>6183</v>
      </c>
      <c r="X44" s="32">
        <f>'Юнит 01.02'!X44+'Юнит 26-31.01'!X44</f>
        <v>16681.420000000002</v>
      </c>
      <c r="Y44" s="45">
        <f t="shared" si="43"/>
        <v>0.43000000000000005</v>
      </c>
      <c r="Z44" s="32">
        <f>'Юнит 01.02'!Z44+'Юнит 26-31.01'!Z44</f>
        <v>3945.3200000000006</v>
      </c>
      <c r="AA44" s="32">
        <f>'Юнит 01.02'!AA44+'Юнит 26-31.01'!AA44</f>
        <v>7331.7367510000004</v>
      </c>
      <c r="AB44" s="55"/>
      <c r="AC44" s="42"/>
      <c r="AD44" s="46">
        <f t="shared" si="31"/>
        <v>387.94</v>
      </c>
      <c r="AE44" s="47">
        <f t="shared" si="32"/>
        <v>4264.5832489999984</v>
      </c>
      <c r="AF44" s="46"/>
      <c r="AG44" s="48">
        <f t="shared" si="33"/>
        <v>4310.4444444444443</v>
      </c>
      <c r="AH44" s="49">
        <f t="shared" si="34"/>
        <v>687</v>
      </c>
      <c r="AI44" s="49">
        <f t="shared" si="35"/>
        <v>1853.4911111111114</v>
      </c>
      <c r="AJ44" s="49">
        <f t="shared" si="36"/>
        <v>438.36888888888893</v>
      </c>
      <c r="AK44" s="49">
        <f t="shared" si="37"/>
        <v>814.63741677777784</v>
      </c>
      <c r="AL44" s="49">
        <f t="array" ref="AL44">_xlfn.IFS(R44=0,AE44,R44&lt;0,AE44/-R44,R44&gt;0,AE44/R44)</f>
        <v>473.84258322222206</v>
      </c>
      <c r="AM44" s="50">
        <f t="shared" si="38"/>
        <v>0.10992893872763826</v>
      </c>
      <c r="AN44" s="51">
        <f t="shared" si="39"/>
        <v>0.68972719537441352</v>
      </c>
      <c r="AP44" s="53">
        <f t="shared" si="40"/>
        <v>1421.5277496666663</v>
      </c>
    </row>
    <row r="45" spans="1:42">
      <c r="A45" s="30">
        <v>2774721190</v>
      </c>
      <c r="B45" s="31" t="s">
        <v>78</v>
      </c>
      <c r="C45" s="32">
        <f>'Юнит 01.02'!C45</f>
        <v>2</v>
      </c>
      <c r="D45" s="33"/>
      <c r="E45" s="33"/>
      <c r="F45" s="33"/>
      <c r="G45" s="34"/>
      <c r="H45" s="84">
        <v>687</v>
      </c>
      <c r="I45" s="54">
        <f t="shared" si="23"/>
        <v>1374</v>
      </c>
      <c r="J45" s="36"/>
      <c r="K45" s="32">
        <f>'Юнит 01.02'!K45+'Юнит 26-31.01'!K45</f>
        <v>9</v>
      </c>
      <c r="L45" s="36"/>
      <c r="M45" s="36"/>
      <c r="N45" s="37">
        <f t="shared" si="24"/>
        <v>1.2857142857142858</v>
      </c>
      <c r="O45" s="38">
        <f t="shared" si="25"/>
        <v>1.1428571428571428</v>
      </c>
      <c r="P45" s="32">
        <f>'Юнит 01.02'!P45+'Юнит 26-31.01'!P45</f>
        <v>8</v>
      </c>
      <c r="Q45" s="32">
        <f>'Юнит 01.02'!Q45+'Юнит 26-31.01'!Q45</f>
        <v>0</v>
      </c>
      <c r="R45" s="40">
        <f t="shared" si="26"/>
        <v>8</v>
      </c>
      <c r="S45" s="32">
        <f>'Юнит 01.02'!S45+'Юнит 26-31.01'!S45</f>
        <v>39520</v>
      </c>
      <c r="T45" s="32">
        <f>'Юнит 01.02'!T45+'Юнит 26-31.01'!T45</f>
        <v>0</v>
      </c>
      <c r="U45" s="40">
        <f t="shared" si="41"/>
        <v>39520</v>
      </c>
      <c r="V45" s="43">
        <f t="shared" si="28"/>
        <v>0.17794107052805994</v>
      </c>
      <c r="W45" s="44">
        <f t="shared" si="42"/>
        <v>5496</v>
      </c>
      <c r="X45" s="32">
        <f>'Юнит 01.02'!X45+'Юнит 26-31.01'!X45</f>
        <v>16993.600000000002</v>
      </c>
      <c r="Y45" s="45">
        <f t="shared" si="43"/>
        <v>0.43000000000000005</v>
      </c>
      <c r="Z45" s="32">
        <f>'Юнит 01.02'!Z45+'Юнит 26-31.01'!Z45</f>
        <v>3284.8000000000006</v>
      </c>
      <c r="AA45" s="32">
        <f>'Юнит 01.02'!AA45+'Юнит 26-31.01'!AA45</f>
        <v>5537.21</v>
      </c>
      <c r="AB45" s="55"/>
      <c r="AC45" s="42"/>
      <c r="AD45" s="46">
        <f t="shared" si="31"/>
        <v>395.2</v>
      </c>
      <c r="AE45" s="47">
        <f t="shared" si="32"/>
        <v>7813.189999999996</v>
      </c>
      <c r="AF45" s="46"/>
      <c r="AG45" s="48">
        <f t="shared" si="33"/>
        <v>4940</v>
      </c>
      <c r="AH45" s="49">
        <f t="shared" si="34"/>
        <v>687</v>
      </c>
      <c r="AI45" s="49">
        <f t="shared" si="35"/>
        <v>2124.2000000000003</v>
      </c>
      <c r="AJ45" s="49">
        <f t="shared" si="36"/>
        <v>410.60000000000008</v>
      </c>
      <c r="AK45" s="49">
        <f t="shared" si="37"/>
        <v>692.15125</v>
      </c>
      <c r="AL45" s="49">
        <f t="array" ref="AL45">_xlfn.IFS(R45=0,AE45,R45&lt;0,AE45/-R45,R45&gt;0,AE45/R45)</f>
        <v>976.6487499999995</v>
      </c>
      <c r="AM45" s="50">
        <f t="shared" si="38"/>
        <v>0.19770217611336022</v>
      </c>
      <c r="AN45" s="51">
        <f t="shared" si="39"/>
        <v>1.4216139010189222</v>
      </c>
      <c r="AP45" s="53">
        <f t="shared" si="40"/>
        <v>1953.297499999999</v>
      </c>
    </row>
    <row r="46" spans="1:42">
      <c r="A46" s="30">
        <v>2774718796</v>
      </c>
      <c r="B46" s="31" t="s">
        <v>79</v>
      </c>
      <c r="C46" s="32">
        <f>'Юнит 01.02'!C46</f>
        <v>34</v>
      </c>
      <c r="D46" s="33"/>
      <c r="E46" s="33"/>
      <c r="F46" s="33"/>
      <c r="G46" s="34"/>
      <c r="H46" s="84">
        <v>552</v>
      </c>
      <c r="I46" s="54">
        <f t="shared" si="23"/>
        <v>18768</v>
      </c>
      <c r="J46" s="36"/>
      <c r="K46" s="32">
        <f>'Юнит 01.02'!K46+'Юнит 26-31.01'!K46</f>
        <v>11</v>
      </c>
      <c r="L46" s="36"/>
      <c r="M46" s="36"/>
      <c r="N46" s="37">
        <f t="shared" si="24"/>
        <v>1.5714285714285714</v>
      </c>
      <c r="O46" s="38">
        <f t="shared" si="25"/>
        <v>0.14285714285714285</v>
      </c>
      <c r="P46" s="32">
        <f>'Юнит 01.02'!P46+'Юнит 26-31.01'!P46</f>
        <v>1</v>
      </c>
      <c r="Q46" s="32">
        <f>'Юнит 01.02'!Q46+'Юнит 26-31.01'!Q46</f>
        <v>0</v>
      </c>
      <c r="R46" s="40">
        <f t="shared" si="26"/>
        <v>1</v>
      </c>
      <c r="S46" s="32">
        <f>'Юнит 01.02'!S46+'Юнит 26-31.01'!S46</f>
        <v>4178</v>
      </c>
      <c r="T46" s="32">
        <f>'Юнит 01.02'!T46+'Юнит 26-31.01'!T46</f>
        <v>0</v>
      </c>
      <c r="U46" s="40">
        <f t="shared" si="41"/>
        <v>4178</v>
      </c>
      <c r="V46" s="43">
        <f t="shared" si="28"/>
        <v>1.8811685037101074E-2</v>
      </c>
      <c r="W46" s="44">
        <f t="shared" si="42"/>
        <v>552</v>
      </c>
      <c r="X46" s="32">
        <f>'Юнит 01.02'!X46+'Юнит 26-31.01'!X46</f>
        <v>1796.54</v>
      </c>
      <c r="Y46" s="45">
        <f t="shared" si="43"/>
        <v>0.43</v>
      </c>
      <c r="Z46" s="32">
        <f>'Юнит 01.02'!Z46+'Юнит 26-31.01'!Z46</f>
        <v>375.51</v>
      </c>
      <c r="AA46" s="32">
        <f>'Юнит 01.02'!AA46+'Юнит 26-31.01'!AA46</f>
        <v>4090.6931780000004</v>
      </c>
      <c r="AB46" s="55"/>
      <c r="AC46" s="42"/>
      <c r="AD46" s="46">
        <f t="shared" si="31"/>
        <v>41.78</v>
      </c>
      <c r="AE46" s="47">
        <f t="shared" si="32"/>
        <v>-2678.5231780000008</v>
      </c>
      <c r="AF46" s="46"/>
      <c r="AG46" s="48">
        <f t="shared" si="33"/>
        <v>4178</v>
      </c>
      <c r="AH46" s="49">
        <f t="shared" si="34"/>
        <v>552</v>
      </c>
      <c r="AI46" s="49">
        <f t="shared" si="35"/>
        <v>1796.54</v>
      </c>
      <c r="AJ46" s="49">
        <f t="shared" si="36"/>
        <v>375.51</v>
      </c>
      <c r="AK46" s="49">
        <f t="shared" si="37"/>
        <v>4090.6931780000004</v>
      </c>
      <c r="AL46" s="49">
        <f t="array" ref="AL46">_xlfn.IFS(R46=0,AE46,R46&lt;0,AE46/-R46,R46&gt;0,AE46/R46)</f>
        <v>-2678.5231780000008</v>
      </c>
      <c r="AM46" s="50">
        <f t="shared" si="38"/>
        <v>-0.64110176591670676</v>
      </c>
      <c r="AN46" s="51">
        <f t="shared" si="39"/>
        <v>-4.8523970615942043</v>
      </c>
      <c r="AP46" s="53">
        <f t="shared" si="40"/>
        <v>-91069.788052000033</v>
      </c>
    </row>
    <row r="47" spans="1:42">
      <c r="A47" s="30">
        <v>2774719500</v>
      </c>
      <c r="B47" s="31" t="s">
        <v>80</v>
      </c>
      <c r="C47" s="32">
        <f>'Юнит 01.02'!C47</f>
        <v>18</v>
      </c>
      <c r="D47" s="33"/>
      <c r="E47" s="33"/>
      <c r="F47" s="33"/>
      <c r="G47" s="34"/>
      <c r="H47" s="84">
        <v>552</v>
      </c>
      <c r="I47" s="54">
        <f>C47*H47</f>
        <v>9936</v>
      </c>
      <c r="J47" s="36"/>
      <c r="K47" s="32">
        <f>'Юнит 01.02'!K47+'Юнит 26-31.01'!K47</f>
        <v>1</v>
      </c>
      <c r="L47" s="36"/>
      <c r="M47" s="36"/>
      <c r="N47" s="37">
        <f t="shared" si="24"/>
        <v>0.14285714285714285</v>
      </c>
      <c r="O47" s="38">
        <f t="shared" si="25"/>
        <v>0</v>
      </c>
      <c r="P47" s="32">
        <f>'Юнит 01.02'!P47+'Юнит 26-31.01'!P47</f>
        <v>0</v>
      </c>
      <c r="Q47" s="32">
        <f>'Юнит 01.02'!Q47+'Юнит 26-31.01'!Q47</f>
        <v>0</v>
      </c>
      <c r="R47" s="40">
        <f t="shared" si="26"/>
        <v>0</v>
      </c>
      <c r="S47" s="32">
        <f>'Юнит 01.02'!S47+'Юнит 26-31.01'!S47</f>
        <v>0</v>
      </c>
      <c r="T47" s="32">
        <f>'Юнит 01.02'!T47+'Юнит 26-31.01'!T47</f>
        <v>0</v>
      </c>
      <c r="U47" s="40">
        <f t="shared" si="41"/>
        <v>0</v>
      </c>
      <c r="V47" s="43">
        <f t="shared" si="28"/>
        <v>0</v>
      </c>
      <c r="W47" s="44">
        <f t="shared" si="42"/>
        <v>0</v>
      </c>
      <c r="X47" s="32">
        <f>'Юнит 01.02'!X47+'Юнит 26-31.01'!X47</f>
        <v>0</v>
      </c>
      <c r="Y47" s="45">
        <f t="shared" si="43"/>
        <v>0</v>
      </c>
      <c r="Z47" s="32">
        <f>'Юнит 01.02'!Z47+'Юнит 26-31.01'!Z47</f>
        <v>0</v>
      </c>
      <c r="AA47" s="32">
        <f>'Юнит 01.02'!AA47+'Юнит 26-31.01'!AA47</f>
        <v>0</v>
      </c>
      <c r="AB47" s="55"/>
      <c r="AC47" s="42"/>
      <c r="AD47" s="46">
        <f t="shared" si="31"/>
        <v>0</v>
      </c>
      <c r="AE47" s="47">
        <f t="shared" si="32"/>
        <v>0</v>
      </c>
      <c r="AF47" s="46"/>
      <c r="AG47" s="48">
        <f t="shared" si="33"/>
        <v>0</v>
      </c>
      <c r="AH47" s="49">
        <f t="shared" si="34"/>
        <v>552</v>
      </c>
      <c r="AI47" s="49">
        <f t="shared" si="35"/>
        <v>0</v>
      </c>
      <c r="AJ47" s="49">
        <f t="shared" si="36"/>
        <v>0</v>
      </c>
      <c r="AK47" s="49">
        <f t="shared" si="37"/>
        <v>0</v>
      </c>
      <c r="AL47" s="49">
        <f t="array" ref="AL47">_xlfn.IFS(R47=0,AE47,R47&lt;0,AE47/-R47,R47&gt;0,AE47/R47)</f>
        <v>0</v>
      </c>
      <c r="AM47" s="50">
        <f t="shared" si="38"/>
        <v>0</v>
      </c>
      <c r="AN47" s="51">
        <f t="shared" si="39"/>
        <v>0</v>
      </c>
      <c r="AP47" s="53">
        <f t="shared" si="40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4">AVERAGEIF(AG28:AG47,"&lt;&gt;0",AG28:AG47)</f>
        <v>4354.0888888888894</v>
      </c>
      <c r="AH48" s="86">
        <f t="shared" si="44"/>
        <v>617.25</v>
      </c>
      <c r="AI48" s="86">
        <f t="shared" si="44"/>
        <v>1872.2582222222227</v>
      </c>
      <c r="AJ48" s="86">
        <f t="shared" si="44"/>
        <v>238.56706349206348</v>
      </c>
      <c r="AK48" s="86">
        <f t="shared" si="44"/>
        <v>1865.8272815925927</v>
      </c>
      <c r="AL48" s="86">
        <f t="shared" si="44"/>
        <v>-55.554244269841384</v>
      </c>
      <c r="AM48" s="87">
        <f t="shared" si="44"/>
        <v>5.9036384353083206E-2</v>
      </c>
      <c r="AN48" s="87">
        <f t="shared" si="44"/>
        <v>-0.13343216317060103</v>
      </c>
      <c r="AO48" s="60"/>
      <c r="AP48" s="61"/>
    </row>
    <row r="49" spans="1:42">
      <c r="A49" s="88" t="s">
        <v>81</v>
      </c>
      <c r="B49" s="89"/>
      <c r="C49" s="90">
        <f>SUM(C28:C47)</f>
        <v>392</v>
      </c>
      <c r="D49" s="91"/>
      <c r="E49" s="91"/>
      <c r="F49" s="91"/>
      <c r="G49" s="91"/>
      <c r="H49" s="92"/>
      <c r="I49" s="90">
        <f>SUM(I28:I47)</f>
        <v>239619</v>
      </c>
      <c r="J49" s="93"/>
      <c r="K49" s="90">
        <f>SUM(K28:K47)</f>
        <v>67</v>
      </c>
      <c r="L49" s="93"/>
      <c r="M49" s="93"/>
      <c r="N49" s="94"/>
      <c r="O49" s="95"/>
      <c r="P49" s="90">
        <f t="shared" ref="P49:X49" si="45">SUM(P28:P47)</f>
        <v>21</v>
      </c>
      <c r="Q49" s="90">
        <f t="shared" si="45"/>
        <v>0</v>
      </c>
      <c r="R49" s="96">
        <f t="shared" si="45"/>
        <v>21</v>
      </c>
      <c r="S49" s="90">
        <f t="shared" si="45"/>
        <v>94670</v>
      </c>
      <c r="T49" s="90">
        <f t="shared" si="45"/>
        <v>0</v>
      </c>
      <c r="U49" s="96">
        <f t="shared" si="45"/>
        <v>94670</v>
      </c>
      <c r="V49" s="97">
        <f t="shared" si="45"/>
        <v>0.42625711404077515</v>
      </c>
      <c r="W49" s="90">
        <f t="shared" si="45"/>
        <v>14022</v>
      </c>
      <c r="X49" s="90">
        <f t="shared" si="45"/>
        <v>40708.100000000006</v>
      </c>
      <c r="Y49" s="98">
        <f>IF(U49=0,0,X49/U49)</f>
        <v>0.43000000000000005</v>
      </c>
      <c r="Z49" s="90">
        <f>SUM(Z28:Z47)</f>
        <v>10137.660000000002</v>
      </c>
      <c r="AA49" s="90">
        <f>IFERROR(P49*AA51/P51,0)</f>
        <v>8453.9076237623758</v>
      </c>
      <c r="AB49" s="90">
        <f>SUM(AB28:AB47)</f>
        <v>0</v>
      </c>
      <c r="AC49" s="90">
        <f>SUM(AC28:AC47)</f>
        <v>0</v>
      </c>
      <c r="AD49" s="96">
        <f>SUM(AD28:AD47)</f>
        <v>946.7</v>
      </c>
      <c r="AE49" s="90">
        <f>SUM(AE28:AE47)</f>
        <v>11029.112495999992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-130632.35155233336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17826.427504000003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5726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930141.50999999989</v>
      </c>
      <c r="J51" s="118">
        <f>J26+J49</f>
        <v>0</v>
      </c>
      <c r="K51" s="118">
        <f>K26+K49</f>
        <v>186</v>
      </c>
      <c r="L51" s="119"/>
      <c r="M51" s="119"/>
      <c r="N51" s="119"/>
      <c r="O51" s="119"/>
      <c r="P51" s="120">
        <f t="shared" ref="P51:X51" si="46">P26+P49</f>
        <v>101</v>
      </c>
      <c r="Q51" s="118">
        <f t="shared" si="46"/>
        <v>4</v>
      </c>
      <c r="R51" s="121">
        <f>R26-R49</f>
        <v>55</v>
      </c>
      <c r="S51" s="118">
        <f t="shared" si="46"/>
        <v>228170</v>
      </c>
      <c r="T51" s="118">
        <f t="shared" si="46"/>
        <v>-6074</v>
      </c>
      <c r="U51" s="121">
        <f t="shared" si="46"/>
        <v>222096</v>
      </c>
      <c r="V51" s="122">
        <f t="shared" si="46"/>
        <v>1</v>
      </c>
      <c r="W51" s="118">
        <f t="shared" si="46"/>
        <v>25547.619999999995</v>
      </c>
      <c r="X51" s="118">
        <f t="shared" si="46"/>
        <v>95501.28</v>
      </c>
      <c r="Y51" s="123">
        <f>X51/U51</f>
        <v>0.43</v>
      </c>
      <c r="Z51" s="118">
        <f>Z26+Z49</f>
        <v>24949.110000000015</v>
      </c>
      <c r="AA51" s="124">
        <f>'Юнит 26-31.01'!AA51+'Юнит 01.02'!AA51</f>
        <v>40659.270000000004</v>
      </c>
      <c r="AB51" s="125"/>
      <c r="AC51" s="125">
        <f>SUM(AC3:AC47)</f>
        <v>0</v>
      </c>
      <c r="AD51" s="118">
        <f>AD26+AD49</f>
        <v>2220.96</v>
      </c>
      <c r="AE51" s="126">
        <f>AE26+AE49</f>
        <v>33217.738511000003</v>
      </c>
      <c r="AF51" s="127"/>
      <c r="AG51" s="128"/>
      <c r="AH51" s="129"/>
      <c r="AI51" s="129"/>
      <c r="AJ51" s="129"/>
      <c r="AK51" s="129">
        <f>AA52/P51</f>
        <v>402.56702970297033</v>
      </c>
      <c r="AL51" s="129"/>
      <c r="AM51" s="129"/>
      <c r="AN51" s="130"/>
      <c r="AP51" s="126">
        <f>SUM(AP3:AP47)</f>
        <v>2839098.3930755127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40659.270000000004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40659.291489000003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930141.50999999989</v>
      </c>
      <c r="J59" s="164">
        <f>I59/I51</f>
        <v>1</v>
      </c>
      <c r="K59" s="160">
        <f>AP51-K58-K60</f>
        <v>2839098.3930755127</v>
      </c>
      <c r="L59" s="161">
        <f>K59/I59</f>
        <v>3.0523295246499784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83" priority="38" operator="greaterThan">
      <formula>120</formula>
    </cfRule>
  </conditionalFormatting>
  <conditionalFormatting sqref="N50">
    <cfRule type="cellIs" dxfId="82" priority="37" operator="between">
      <formula>0.000001</formula>
      <formula>25</formula>
    </cfRule>
  </conditionalFormatting>
  <conditionalFormatting sqref="AM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{E9F912AA-4B59-48D4-9E3A-7908895B2F4F}</x14:id>
        </ext>
      </extLst>
    </cfRule>
  </conditionalFormatting>
  <conditionalFormatting sqref="AP3:AP7 AP27:AP47 AP50 AP10:AP2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{5AD59E4E-BB22-425C-A497-316D54475793}</x14:id>
        </ext>
      </extLst>
    </cfRule>
  </conditionalFormatting>
  <conditionalFormatting sqref="AE3:AE7 AE27:AE48 AE50 AE10:AE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{0F21DE2D-A984-462B-B387-43C446BA8CA2}</x14:id>
        </ext>
      </extLst>
    </cfRule>
  </conditionalFormatting>
  <conditionalFormatting sqref="AL3:AL7 AL27:AL47 AL50 AL10:AL2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{28F028DF-991A-421D-9341-B2F52ED681C1}</x14:id>
        </ext>
      </extLst>
    </cfRule>
  </conditionalFormatting>
  <conditionalFormatting sqref="AM3:AN7 AM27:AN47 AM50:AN50 AM10:AN2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{D1A5B252-887A-4FA0-B40C-D1646932441B}</x14:id>
        </ext>
      </extLst>
    </cfRule>
  </conditionalFormatting>
  <conditionalFormatting sqref="AP3:AP7 AP27:AP47 AP10:AP24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{6C702F43-D003-40BE-A3E2-EC53EFE8D838}</x14:id>
        </ext>
      </extLst>
    </cfRule>
  </conditionalFormatting>
  <conditionalFormatting sqref="AE3:AE7 AE27:AE48 AE10:AE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{EF1FF1A5-05C2-4A53-BDA8-880BE0A26612}</x14:id>
        </ext>
      </extLst>
    </cfRule>
  </conditionalFormatting>
  <conditionalFormatting sqref="U48 U27 U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{84A2B69D-A460-4A4B-B0E1-57F70D64DD72}</x14:id>
        </ext>
      </extLst>
    </cfRule>
  </conditionalFormatting>
  <conditionalFormatting sqref="AP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{3E711ED3-479B-43FB-9D57-2606599EC6FB}</x14:id>
        </ext>
      </extLst>
    </cfRule>
  </conditionalFormatting>
  <conditionalFormatting sqref="AP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{18C89EC6-AF56-49F7-923D-B53BE110C2B1}</x14:id>
        </ext>
      </extLst>
    </cfRule>
  </conditionalFormatting>
  <conditionalFormatting sqref="P50">
    <cfRule type="cellIs" dxfId="81" priority="33" operator="greaterThan">
      <formula>120</formula>
    </cfRule>
  </conditionalFormatting>
  <conditionalFormatting sqref="Q50">
    <cfRule type="cellIs" dxfId="80" priority="32" operator="greaterThan">
      <formula>120</formula>
    </cfRule>
  </conditionalFormatting>
  <conditionalFormatting sqref="R50">
    <cfRule type="cellIs" dxfId="79" priority="31" operator="greaterThan">
      <formula>120</formula>
    </cfRule>
  </conditionalFormatting>
  <conditionalFormatting sqref="S50">
    <cfRule type="cellIs" dxfId="78" priority="30" operator="greaterThan">
      <formula>120</formula>
    </cfRule>
  </conditionalFormatting>
  <conditionalFormatting sqref="T50">
    <cfRule type="cellIs" dxfId="77" priority="29" operator="greaterThan">
      <formula>120</formula>
    </cfRule>
  </conditionalFormatting>
  <conditionalFormatting sqref="U50">
    <cfRule type="cellIs" dxfId="76" priority="28" operator="greaterThan">
      <formula>120</formula>
    </cfRule>
  </conditionalFormatting>
  <conditionalFormatting sqref="W50">
    <cfRule type="cellIs" dxfId="75" priority="26" operator="greaterThan">
      <formula>120</formula>
    </cfRule>
  </conditionalFormatting>
  <conditionalFormatting sqref="X50">
    <cfRule type="cellIs" dxfId="74" priority="25" operator="greaterThan">
      <formula>120</formula>
    </cfRule>
  </conditionalFormatting>
  <conditionalFormatting sqref="Z50">
    <cfRule type="cellIs" dxfId="73" priority="24" operator="greaterThan">
      <formula>120</formula>
    </cfRule>
  </conditionalFormatting>
  <conditionalFormatting sqref="AP4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{87F31120-B38B-407E-9B68-6D49CC536B0B}</x14:id>
        </ext>
      </extLst>
    </cfRule>
  </conditionalFormatting>
  <conditionalFormatting sqref="AP48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{3300BDFA-6ABB-4C39-AD34-77002111B25C}</x14:id>
        </ext>
      </extLst>
    </cfRule>
  </conditionalFormatting>
  <conditionalFormatting sqref="J8:J9">
    <cfRule type="cellIs" dxfId="72" priority="15" operator="greaterThan">
      <formula>120</formula>
    </cfRule>
  </conditionalFormatting>
  <conditionalFormatting sqref="AP8:AP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{C73D123C-927F-44EB-9EFA-CA0A0D032AE9}</x14:id>
        </ext>
      </extLst>
    </cfRule>
  </conditionalFormatting>
  <conditionalFormatting sqref="AE8:AE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{7EF9328A-80EF-45F7-B90E-F0303FBF6689}</x14:id>
        </ext>
      </extLst>
    </cfRule>
  </conditionalFormatting>
  <conditionalFormatting sqref="AL8:AL9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{8110AEDE-9EF6-4A05-A5CE-04E4EADD63F7}</x14:id>
        </ext>
      </extLst>
    </cfRule>
  </conditionalFormatting>
  <conditionalFormatting sqref="AM8:AN9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{531F7AD3-9E40-4F3E-A5EB-43DB4DC62EFF}</x14:id>
        </ext>
      </extLst>
    </cfRule>
  </conditionalFormatting>
  <conditionalFormatting sqref="AP8:AP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{0D9BDC8A-481B-4655-B84D-E3F01FE545EB}</x14:id>
        </ext>
      </extLst>
    </cfRule>
  </conditionalFormatting>
  <conditionalFormatting sqref="AE8:AE9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{812D0927-FCAA-45CD-8897-8BBCB81BD891}</x14:id>
        </ext>
      </extLst>
    </cfRule>
  </conditionalFormatting>
  <conditionalFormatting sqref="U3:U2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{632B2474-1CCA-496C-9042-A98206F5DB00}</x14:id>
        </ext>
      </extLst>
    </cfRule>
  </conditionalFormatting>
  <conditionalFormatting sqref="U28:U4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{59E6243E-9EB5-43C4-890E-313CDF677BA8}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{77DD7F8D-5E7E-4680-A1EF-5B1393F5B66F}</x14:id>
        </ext>
      </extLst>
    </cfRule>
  </conditionalFormatting>
  <conditionalFormatting sqref="V1 V52:V55 V57:V1048576">
    <cfRule type="cellIs" dxfId="71" priority="6" operator="greaterThan">
      <formula>0.23</formula>
    </cfRule>
  </conditionalFormatting>
  <conditionalFormatting sqref="V48 V27 V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{B84A2553-90C5-4EBA-B510-6227DC6F7A19}</x14:id>
        </ext>
      </extLst>
    </cfRule>
  </conditionalFormatting>
  <conditionalFormatting sqref="V48 V27 V2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{E7E18AB9-CC59-4834-A4AC-882CAA871A0F}</x14:id>
        </ext>
      </extLst>
    </cfRule>
  </conditionalFormatting>
  <conditionalFormatting sqref="V50">
    <cfRule type="cellIs" dxfId="70" priority="5" operator="greaterThan">
      <formula>120</formula>
    </cfRule>
  </conditionalFormatting>
  <conditionalFormatting sqref="V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{225863F4-0A80-4A58-A655-79E85C47A0AF}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{E04C0D44-2428-4649-A3C0-04CCF595036C}</x14:id>
        </ext>
      </extLst>
    </cfRule>
  </conditionalFormatting>
  <conditionalFormatting sqref="V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{5E491171-9470-4F5B-AE0C-B64EBF7915A9}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912AA-4B59-48D4-9E3A-7908895B2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D59E4E-BB22-425C-A497-316D54475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F21DE2D-A984-462B-B387-43C446BA8C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8F028DF-991A-421D-9341-B2F52ED68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D1A5B252-887A-4FA0-B40C-D16469324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6C702F43-D003-40BE-A3E2-EC53EFE8D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EF1FF1A5-05C2-4A53-BDA8-880BE0A266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84A2B69D-A460-4A4B-B0E1-57F70D64DD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U48 U27 U25</xm:sqref>
        </x14:conditionalFormatting>
        <x14:conditionalFormatting xmlns:xm="http://schemas.microsoft.com/office/excel/2006/main">
          <x14:cfRule type="dataBar" id="{3E711ED3-479B-43FB-9D57-2606599EC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C89EC6-AF56-49F7-923D-B53BE110C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7F31120-B38B-407E-9B68-6D49CC536B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3300BDFA-6ABB-4C39-AD34-77002111B2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C73D123C-927F-44EB-9EFA-CA0A0D032A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EF9328A-80EF-45F7-B90E-F0303FBF66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10AEDE-9EF6-4A05-A5CE-04E4EADD63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531F7AD3-9E40-4F3E-A5EB-43DB4DC62E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0D9BDC8A-481B-4655-B84D-E3F01FE545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812D0927-FCAA-45CD-8897-8BBCB81BD8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32B2474-1CCA-496C-9042-A98206F5DB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U3:U24</xm:sqref>
        </x14:conditionalFormatting>
        <x14:conditionalFormatting xmlns:xm="http://schemas.microsoft.com/office/excel/2006/main">
          <x14:cfRule type="dataBar" id="{59E6243E-9EB5-43C4-890E-313CDF677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U28:U47</xm:sqref>
        </x14:conditionalFormatting>
        <x14:conditionalFormatting xmlns:xm="http://schemas.microsoft.com/office/excel/2006/main">
          <x14:cfRule type="dataBar" id="{77DD7F8D-5E7E-4680-A1EF-5B1393F5B6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  <x14:conditionalFormatting xmlns:xm="http://schemas.microsoft.com/office/excel/2006/main">
          <x14:cfRule type="dataBar" id="{B84A2553-90C5-4EBA-B510-6227DC6F7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E7E18AB9-CC59-4834-A4AC-882CAA871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V48 V27 V25</xm:sqref>
        </x14:conditionalFormatting>
        <x14:conditionalFormatting xmlns:xm="http://schemas.microsoft.com/office/excel/2006/main">
          <x14:cfRule type="dataBar" id="{225863F4-0A80-4A58-A655-79E85C47A0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E04C0D44-2428-4649-A3C0-04CCF59503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5E491171-9470-4F5B-AE0C-B64EBF791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0034-2F4C-4555-A825-F34375CB5F5F}">
  <dimension ref="A1:AZ64"/>
  <sheetViews>
    <sheetView topLeftCell="A28" zoomScale="70" zoomScaleNormal="70" workbookViewId="0">
      <selection activeCell="N28" sqref="N28:O47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996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56</v>
      </c>
      <c r="L3" s="36"/>
      <c r="M3" s="36"/>
      <c r="N3" s="37">
        <f>K3/6</f>
        <v>9.3333333333333339</v>
      </c>
      <c r="O3" s="38">
        <f>R3/6</f>
        <v>7.833333333333333</v>
      </c>
      <c r="P3" s="39">
        <f>SUMIFS('Отчет 26-31.01'!H:H,'Отчет 26-31.01'!D:D,"Выручка",'Отчет 26-31.01'!E:E,B3)</f>
        <v>48</v>
      </c>
      <c r="Q3" s="39">
        <f>SUMIFS('Отчет 26-31.01'!H:H,'Отчет 26-31.01'!D:D,"Возврат выручки",'Отчет 26-31.01'!E:E,B3)</f>
        <v>1</v>
      </c>
      <c r="R3" s="40">
        <f t="shared" ref="R3:R24" si="1">P3-Q3</f>
        <v>47</v>
      </c>
      <c r="S3" s="41">
        <f>SUMIFS('Отчет 26-31.01'!P:P,'Отчет 26-31.01'!C:C,"Продажи",'Отчет 26-31.01'!E:E,B3)</f>
        <v>79936</v>
      </c>
      <c r="T3" s="42">
        <f>SUMIFS('Отчет 26-31.01'!P:P,'Отчет 26-31.01'!C:C,"Возвраты",'Отчет 26-31.01'!E:E,B3)</f>
        <v>-1670</v>
      </c>
      <c r="U3" s="40">
        <f t="shared" ref="U3:U24" si="2">S3+T3</f>
        <v>78266</v>
      </c>
      <c r="V3" s="43">
        <f t="shared" ref="V3:V24" si="3">U3/$U$49</f>
        <v>0.87223893903934024</v>
      </c>
      <c r="W3" s="44">
        <f t="shared" ref="W3:W24" si="4">R3*H3</f>
        <v>6720.0599999999995</v>
      </c>
      <c r="X3" s="42">
        <f>-SUMIFS('Отчет 26-31.01'!P:P,'Отчет 26-31.01'!C:C,"Вознаграждение Ozon",'Отчет 26-31.01'!E:E,B3)</f>
        <v>33654.37999999999</v>
      </c>
      <c r="Y3" s="45">
        <f t="shared" ref="Y3:Y24" si="5">IF(U3=0,0,X3/U3)</f>
        <v>0.42999999999999988</v>
      </c>
      <c r="Z3" s="42">
        <f>-SUMIFS('Отчет 26-31.01'!P:P,'Отчет 26-31.01'!C:C,"Услуги доставки",'Отчет 26-31.01'!E:E,B3)</f>
        <v>8721.2900000000118</v>
      </c>
      <c r="AA3" s="32">
        <v>13071.758776000001</v>
      </c>
      <c r="AB3" s="42"/>
      <c r="AC3" s="42"/>
      <c r="AD3" s="46">
        <f t="shared" ref="AD3:AD24" si="6">U3*1%</f>
        <v>782.66</v>
      </c>
      <c r="AE3" s="47">
        <f t="shared" ref="AE3:AE24" si="7">U3-W3-X3-Z3-AA3-AB3-AC3-AD3</f>
        <v>15315.851224</v>
      </c>
      <c r="AF3" s="46"/>
      <c r="AG3" s="48">
        <f t="shared" ref="AG3:AG24" si="8">IF(R3=0,0,U3/R3)</f>
        <v>1665.2340425531916</v>
      </c>
      <c r="AH3" s="49">
        <f t="shared" ref="AH3:AH24" si="9">H3</f>
        <v>142.97999999999999</v>
      </c>
      <c r="AI3" s="49">
        <f t="shared" ref="AI3:AI24" si="10">IF(R3=0,0,X3/R3)</f>
        <v>716.05063829787218</v>
      </c>
      <c r="AJ3" s="49">
        <f t="shared" ref="AJ3:AJ24" si="11">IF(P3=0,Z3/1,Z3/P3)</f>
        <v>181.6935416666669</v>
      </c>
      <c r="AK3" s="49">
        <f t="shared" ref="AK3:AK24" si="12">IF(P3=0,0,AA3/P3)</f>
        <v>272.32830783333333</v>
      </c>
      <c r="AL3" s="49">
        <f>_xlfn.IFS(R3=0,AE3,R3&lt;0,AE3/-R3,R3&gt;0,AE3/R3)</f>
        <v>325.86917497872338</v>
      </c>
      <c r="AM3" s="50">
        <f t="shared" ref="AM3:AM24" si="13">IF(AG3=0,0,AL3/AG3)</f>
        <v>0.19568971486980297</v>
      </c>
      <c r="AN3" s="51">
        <f t="shared" ref="AN3:AN24" si="14">IF(AH3=0,0,AL3/AH3)</f>
        <v>2.2791241780579341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K4/6</f>
        <v>0.16666666666666666</v>
      </c>
      <c r="O4" s="38">
        <f t="shared" ref="O4:O24" si="17">R4/6</f>
        <v>0.16666666666666666</v>
      </c>
      <c r="P4" s="39">
        <f>SUMIFS('Отчет 26-31.01'!H:H,'Отчет 26-31.01'!D:D,"Выручка",'Отчет 26-31.01'!E:E,B4)</f>
        <v>1</v>
      </c>
      <c r="Q4" s="39">
        <f>SUMIFS('Отчет 26-31.01'!H:H,'Отчет 26-31.01'!D:D,"Возврат выручки",'Отчет 26-31.01'!E:E,B4)</f>
        <v>0</v>
      </c>
      <c r="R4" s="40">
        <f t="shared" si="1"/>
        <v>1</v>
      </c>
      <c r="S4" s="41">
        <f>SUMIFS('Отчет 26-31.01'!P:P,'Отчет 26-31.01'!C:C,"Продажи",'Отчет 26-31.01'!E:E,B4)</f>
        <v>1634</v>
      </c>
      <c r="T4" s="42">
        <f>SUMIFS('Отчет 26-31.01'!P:P,'Отчет 26-31.01'!C:C,"Возвраты",'Отчет 26-31.01'!E:E,B4)</f>
        <v>0</v>
      </c>
      <c r="U4" s="40">
        <f t="shared" si="2"/>
        <v>1634</v>
      </c>
      <c r="V4" s="43">
        <f t="shared" si="3"/>
        <v>1.8210186113897249E-2</v>
      </c>
      <c r="W4" s="44">
        <f t="shared" si="4"/>
        <v>123.09</v>
      </c>
      <c r="X4" s="42">
        <f>-SUMIFS('Отчет 26-31.01'!P:P,'Отчет 26-31.01'!C:C,"Вознаграждение Ozon",'Отчет 26-31.01'!E:E,B4)</f>
        <v>702.62</v>
      </c>
      <c r="Y4" s="45">
        <f t="shared" si="5"/>
        <v>0.43</v>
      </c>
      <c r="Z4" s="42">
        <f>-SUMIFS('Отчет 26-31.01'!P:P,'Отчет 26-31.01'!C:C,"Услуги доставки",'Отчет 26-31.01'!E:E,B4)</f>
        <v>145.69</v>
      </c>
      <c r="AA4" s="32">
        <v>489.47798499999999</v>
      </c>
      <c r="AB4" s="42"/>
      <c r="AC4" s="42"/>
      <c r="AD4" s="46">
        <f t="shared" si="6"/>
        <v>16.34</v>
      </c>
      <c r="AE4" s="47">
        <f t="shared" si="7"/>
        <v>156.78201500000014</v>
      </c>
      <c r="AF4" s="46"/>
      <c r="AG4" s="48">
        <f t="shared" si="8"/>
        <v>1634</v>
      </c>
      <c r="AH4" s="49">
        <f t="shared" si="9"/>
        <v>123.09</v>
      </c>
      <c r="AI4" s="49">
        <f t="shared" si="10"/>
        <v>702.62</v>
      </c>
      <c r="AJ4" s="49">
        <f t="shared" si="11"/>
        <v>145.69</v>
      </c>
      <c r="AK4" s="49">
        <f t="shared" si="12"/>
        <v>489.47798499999999</v>
      </c>
      <c r="AL4" s="49">
        <f t="array" ref="AL4">_xlfn.IFS(R4=0,AE4,R4&lt;0,AE4/-R4,R4&gt;0,AE4/R4)</f>
        <v>156.78201500000014</v>
      </c>
      <c r="AM4" s="50">
        <f t="shared" si="13"/>
        <v>9.5949825581395434E-2</v>
      </c>
      <c r="AN4" s="51">
        <f t="shared" si="14"/>
        <v>1.2737185392802026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0.33333333333333331</v>
      </c>
      <c r="O5" s="38">
        <f t="shared" si="17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1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26-31.01'!P:P,'Отчет 26-31.01'!C:C,"Вознаграждение Ozon",'Отчет 26-31.01'!E:E,B5)</f>
        <v>0</v>
      </c>
      <c r="Y5" s="45">
        <f t="shared" si="5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4</v>
      </c>
      <c r="L6" s="36"/>
      <c r="M6" s="36"/>
      <c r="N6" s="37">
        <f t="shared" si="16"/>
        <v>0.66666666666666663</v>
      </c>
      <c r="O6" s="38">
        <f t="shared" si="17"/>
        <v>0.5</v>
      </c>
      <c r="P6" s="39">
        <f>SUMIFS('Отчет 26-31.01'!H:H,'Отчет 26-31.01'!D:D,"Выручка",'Отчет 26-31.01'!E:E,B6)</f>
        <v>3</v>
      </c>
      <c r="Q6" s="39">
        <f>SUMIFS('Отчет 26-31.01'!H:H,'Отчет 26-31.01'!D:D,"Возврат выручки",'Отчет 26-31.01'!E:E,B6)</f>
        <v>0</v>
      </c>
      <c r="R6" s="40">
        <f t="shared" si="1"/>
        <v>3</v>
      </c>
      <c r="S6" s="41">
        <f>SUMIFS('Отчет 26-31.01'!P:P,'Отчет 26-31.01'!C:C,"Продажи",'Отчет 26-31.01'!E:E,B6)</f>
        <v>5174</v>
      </c>
      <c r="T6" s="42">
        <f>SUMIFS('Отчет 26-31.01'!P:P,'Отчет 26-31.01'!C:C,"Возвраты",'Отчет 26-31.01'!E:E,B6)</f>
        <v>0</v>
      </c>
      <c r="U6" s="40">
        <f t="shared" si="2"/>
        <v>5174</v>
      </c>
      <c r="V6" s="43">
        <f t="shared" si="3"/>
        <v>5.7661874512426166E-2</v>
      </c>
      <c r="W6" s="44">
        <f t="shared" si="4"/>
        <v>369.27</v>
      </c>
      <c r="X6" s="42">
        <f>-SUMIFS('Отчет 26-31.01'!P:P,'Отчет 26-31.01'!C:C,"Вознаграждение Ozon",'Отчет 26-31.01'!E:E,B6)</f>
        <v>2224.8199999999997</v>
      </c>
      <c r="Y6" s="45">
        <f t="shared" si="5"/>
        <v>0.42999999999999994</v>
      </c>
      <c r="Z6" s="42">
        <f>-SUMIFS('Отчет 26-31.01'!P:P,'Отчет 26-31.01'!C:C,"Услуги доставки",'Отчет 26-31.01'!E:E,B6)</f>
        <v>444.82000000000005</v>
      </c>
      <c r="AA6" s="32">
        <v>1320.42</v>
      </c>
      <c r="AB6" s="55"/>
      <c r="AC6" s="42"/>
      <c r="AD6" s="46">
        <f t="shared" si="6"/>
        <v>51.74</v>
      </c>
      <c r="AE6" s="47">
        <f t="shared" si="7"/>
        <v>762.92999999999961</v>
      </c>
      <c r="AF6" s="46"/>
      <c r="AG6" s="48">
        <f t="shared" si="8"/>
        <v>1724.6666666666667</v>
      </c>
      <c r="AH6" s="49">
        <f t="shared" si="9"/>
        <v>123.09</v>
      </c>
      <c r="AI6" s="49">
        <f t="shared" si="10"/>
        <v>741.60666666666657</v>
      </c>
      <c r="AJ6" s="49">
        <f t="shared" si="11"/>
        <v>148.27333333333334</v>
      </c>
      <c r="AK6" s="49">
        <f t="shared" si="12"/>
        <v>440.14000000000004</v>
      </c>
      <c r="AL6" s="49">
        <f t="array" ref="AL6">_xlfn.IFS(R6=0,AE6,R6&lt;0,AE6/-R6,R6&gt;0,AE6/R6)</f>
        <v>254.30999999999986</v>
      </c>
      <c r="AM6" s="50">
        <f t="shared" si="13"/>
        <v>0.14745458059528402</v>
      </c>
      <c r="AN6" s="51">
        <f t="shared" si="14"/>
        <v>2.0660492322690702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11</v>
      </c>
      <c r="L7" s="36"/>
      <c r="M7" s="36"/>
      <c r="N7" s="37">
        <f t="shared" si="16"/>
        <v>1.8333333333333333</v>
      </c>
      <c r="O7" s="38">
        <f t="shared" si="17"/>
        <v>0.66666666666666663</v>
      </c>
      <c r="P7" s="39">
        <f>SUMIFS('Отчет 26-31.01'!H:H,'Отчет 26-31.01'!D:D,"Выручка",'Отчет 26-31.01'!E:E,B7)</f>
        <v>4</v>
      </c>
      <c r="Q7" s="39">
        <f>SUMIFS('Отчет 26-31.01'!H:H,'Отчет 26-31.01'!D:D,"Возврат выручки",'Отчет 26-31.01'!E:E,B7)</f>
        <v>0</v>
      </c>
      <c r="R7" s="40">
        <f t="shared" si="1"/>
        <v>4</v>
      </c>
      <c r="S7" s="41">
        <f>SUMIFS('Отчет 26-31.01'!P:P,'Отчет 26-31.01'!C:C,"Продажи",'Отчет 26-31.01'!E:E,B7)</f>
        <v>6840</v>
      </c>
      <c r="T7" s="42">
        <f>SUMIFS('Отчет 26-31.01'!P:P,'Отчет 26-31.01'!C:C,"Возвраты",'Отчет 26-31.01'!E:E,B7)</f>
        <v>0</v>
      </c>
      <c r="U7" s="40">
        <f t="shared" si="2"/>
        <v>6840</v>
      </c>
      <c r="V7" s="43">
        <f t="shared" si="3"/>
        <v>7.6228686058174525E-2</v>
      </c>
      <c r="W7" s="44">
        <f t="shared" si="4"/>
        <v>468.96</v>
      </c>
      <c r="X7" s="42">
        <f>-SUMIFS('Отчет 26-31.01'!P:P,'Отчет 26-31.01'!C:C,"Вознаграждение Ozon",'Отчет 26-31.01'!E:E,B7)</f>
        <v>2941.2</v>
      </c>
      <c r="Y7" s="45">
        <f t="shared" si="5"/>
        <v>0.43</v>
      </c>
      <c r="Z7" s="42">
        <f>-SUMIFS('Отчет 26-31.01'!P:P,'Отчет 26-31.01'!C:C,"Услуги доставки",'Отчет 26-31.01'!E:E,B7)</f>
        <v>966.42</v>
      </c>
      <c r="AA7" s="32">
        <v>414</v>
      </c>
      <c r="AB7" s="55"/>
      <c r="AC7" s="42"/>
      <c r="AD7" s="46">
        <f t="shared" si="6"/>
        <v>68.400000000000006</v>
      </c>
      <c r="AE7" s="47">
        <f t="shared" si="7"/>
        <v>1981.02</v>
      </c>
      <c r="AF7" s="46"/>
      <c r="AG7" s="48">
        <f t="shared" si="8"/>
        <v>1710</v>
      </c>
      <c r="AH7" s="49">
        <f t="shared" si="9"/>
        <v>117.24</v>
      </c>
      <c r="AI7" s="49">
        <f t="shared" si="10"/>
        <v>735.3</v>
      </c>
      <c r="AJ7" s="49">
        <f t="shared" si="11"/>
        <v>241.60499999999999</v>
      </c>
      <c r="AK7" s="49">
        <f t="shared" si="12"/>
        <v>103.5</v>
      </c>
      <c r="AL7" s="49">
        <f t="array" ref="AL7">_xlfn.IFS(R7=0,AE7,R7&lt;0,AE7/-R7,R7&gt;0,AE7/R7)</f>
        <v>495.255</v>
      </c>
      <c r="AM7" s="50">
        <f t="shared" si="13"/>
        <v>0.28962280701754384</v>
      </c>
      <c r="AN7" s="51">
        <f t="shared" si="14"/>
        <v>4.2242835209826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6"/>
        <v>0.16666666666666666</v>
      </c>
      <c r="O8" s="38">
        <f t="shared" si="17"/>
        <v>0.33333333333333331</v>
      </c>
      <c r="P8" s="39">
        <f>SUMIFS('Отчет 26-31.01'!H:H,'Отчет 26-31.01'!D:D,"Выручка",'Отчет 26-31.01'!E:E,B8)</f>
        <v>2</v>
      </c>
      <c r="Q8" s="39">
        <f>SUMIFS('Отчет 26-31.01'!H:H,'Отчет 26-31.01'!D:D,"Возврат выручки",'Отчет 26-31.01'!E:E,B8)</f>
        <v>0</v>
      </c>
      <c r="R8" s="40">
        <f t="shared" si="1"/>
        <v>2</v>
      </c>
      <c r="S8" s="41">
        <f>SUMIFS('Отчет 26-31.01'!P:P,'Отчет 26-31.01'!C:C,"Продажи",'Отчет 26-31.01'!E:E,B8)</f>
        <v>3078.0000000000005</v>
      </c>
      <c r="T8" s="42">
        <f>SUMIFS('Отчет 26-31.01'!P:P,'Отчет 26-31.01'!C:C,"Возвраты",'Отчет 26-31.01'!E:E,B8)</f>
        <v>0</v>
      </c>
      <c r="U8" s="40">
        <f t="shared" si="2"/>
        <v>3078.0000000000005</v>
      </c>
      <c r="V8" s="43">
        <f t="shared" si="3"/>
        <v>3.4302908726178541E-2</v>
      </c>
      <c r="W8" s="44">
        <f t="shared" si="4"/>
        <v>246</v>
      </c>
      <c r="X8" s="42">
        <f>-SUMIFS('Отчет 26-31.01'!P:P,'Отчет 26-31.01'!C:C,"Вознаграждение Ozon",'Отчет 26-31.01'!E:E,B8)</f>
        <v>1323.54</v>
      </c>
      <c r="Y8" s="45">
        <f t="shared" si="5"/>
        <v>0.42999999999999994</v>
      </c>
      <c r="Z8" s="42">
        <f>-SUMIFS('Отчет 26-31.01'!P:P,'Отчет 26-31.01'!C:C,"Услуги доставки",'Отчет 26-31.01'!E:E,B8)</f>
        <v>379.34</v>
      </c>
      <c r="AA8" s="32">
        <v>0</v>
      </c>
      <c r="AB8" s="55"/>
      <c r="AC8" s="42"/>
      <c r="AD8" s="46">
        <f t="shared" si="6"/>
        <v>30.780000000000005</v>
      </c>
      <c r="AE8" s="47">
        <f t="shared" si="7"/>
        <v>1098.3400000000006</v>
      </c>
      <c r="AF8" s="46"/>
      <c r="AG8" s="48">
        <f t="shared" si="8"/>
        <v>1539.0000000000002</v>
      </c>
      <c r="AH8" s="49">
        <f t="shared" si="9"/>
        <v>123</v>
      </c>
      <c r="AI8" s="49">
        <f t="shared" si="10"/>
        <v>661.77</v>
      </c>
      <c r="AJ8" s="49">
        <f t="shared" si="11"/>
        <v>189.67</v>
      </c>
      <c r="AK8" s="49">
        <f t="shared" si="12"/>
        <v>0</v>
      </c>
      <c r="AL8" s="49">
        <f t="array" ref="AL8">_xlfn.IFS(R8=0,AE8,R8&lt;0,AE8/-R8,R8&gt;0,AE8/R8)</f>
        <v>549.1700000000003</v>
      </c>
      <c r="AM8" s="50">
        <f t="shared" si="13"/>
        <v>0.35683560753736204</v>
      </c>
      <c r="AN8" s="51">
        <f t="shared" si="14"/>
        <v>4.4647967479674824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6</v>
      </c>
      <c r="L9" s="36"/>
      <c r="M9" s="36"/>
      <c r="N9" s="37">
        <f t="shared" si="16"/>
        <v>1</v>
      </c>
      <c r="O9" s="38">
        <f t="shared" si="17"/>
        <v>0.83333333333333337</v>
      </c>
      <c r="P9" s="39">
        <f>SUMIFS('Отчет 26-31.01'!H:H,'Отчет 26-31.01'!D:D,"Выручка",'Отчет 26-31.01'!E:E,B9)</f>
        <v>6</v>
      </c>
      <c r="Q9" s="39">
        <f>SUMIFS('Отчет 26-31.01'!H:H,'Отчет 26-31.01'!D:D,"Возврат выручки",'Отчет 26-31.01'!E:E,B9)</f>
        <v>1</v>
      </c>
      <c r="R9" s="40">
        <f t="shared" si="1"/>
        <v>5</v>
      </c>
      <c r="S9" s="41">
        <f>SUMIFS('Отчет 26-31.01'!P:P,'Отчет 26-31.01'!C:C,"Продажи",'Отчет 26-31.01'!E:E,B9)</f>
        <v>10778.999999999998</v>
      </c>
      <c r="T9" s="42">
        <f>SUMIFS('Отчет 26-31.01'!P:P,'Отчет 26-31.01'!C:C,"Возвраты",'Отчет 26-31.01'!E:E,B9)</f>
        <v>-1778</v>
      </c>
      <c r="U9" s="40">
        <f t="shared" si="2"/>
        <v>9000.9999999999982</v>
      </c>
      <c r="V9" s="43">
        <f t="shared" si="3"/>
        <v>0.1003120472528697</v>
      </c>
      <c r="W9" s="44">
        <f t="shared" si="4"/>
        <v>615</v>
      </c>
      <c r="X9" s="42">
        <f>-SUMIFS('Отчет 26-31.01'!P:P,'Отчет 26-31.01'!C:C,"Вознаграждение Ozon",'Отчет 26-31.01'!E:E,B9)</f>
        <v>3870.4300000000003</v>
      </c>
      <c r="Y9" s="45">
        <f t="shared" si="5"/>
        <v>0.4300000000000001</v>
      </c>
      <c r="Z9" s="42">
        <f>-SUMIFS('Отчет 26-31.01'!P:P,'Отчет 26-31.01'!C:C,"Услуги доставки",'Отчет 26-31.01'!E:E,B9)</f>
        <v>1088.8</v>
      </c>
      <c r="AA9" s="32">
        <v>2605.2341139999999</v>
      </c>
      <c r="AB9" s="55"/>
      <c r="AC9" s="42"/>
      <c r="AD9" s="46">
        <f t="shared" si="6"/>
        <v>90.009999999999977</v>
      </c>
      <c r="AE9" s="47">
        <f t="shared" si="7"/>
        <v>731.52588599999785</v>
      </c>
      <c r="AF9" s="46"/>
      <c r="AG9" s="48">
        <f t="shared" si="8"/>
        <v>1800.1999999999996</v>
      </c>
      <c r="AH9" s="49">
        <f t="shared" si="9"/>
        <v>123</v>
      </c>
      <c r="AI9" s="49">
        <f t="shared" si="10"/>
        <v>774.08600000000001</v>
      </c>
      <c r="AJ9" s="49">
        <f t="shared" si="11"/>
        <v>181.46666666666667</v>
      </c>
      <c r="AK9" s="49">
        <f t="shared" si="12"/>
        <v>434.20568566666662</v>
      </c>
      <c r="AL9" s="49">
        <f t="array" ref="AL9">_xlfn.IFS(R9=0,AE9,R9&lt;0,AE9/-R9,R9&gt;0,AE9/R9)</f>
        <v>146.30517719999958</v>
      </c>
      <c r="AM9" s="50">
        <f t="shared" si="13"/>
        <v>8.1271623819575381E-2</v>
      </c>
      <c r="AN9" s="51">
        <f t="shared" si="14"/>
        <v>1.1894729853658501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6"/>
        <v>0.16666666666666666</v>
      </c>
      <c r="O10" s="38">
        <f t="shared" si="17"/>
        <v>0.16666666666666666</v>
      </c>
      <c r="P10" s="39">
        <f>SUMIFS('Отчет 26-31.01'!H:H,'Отчет 26-31.01'!D:D,"Выручка",'Отчет 26-31.01'!E:E,B10)</f>
        <v>1</v>
      </c>
      <c r="Q10" s="39">
        <f>SUMIFS('Отчет 26-31.01'!H:H,'Отчет 26-31.01'!D:D,"Возврат выручки",'Отчет 26-31.01'!E:E,B10)</f>
        <v>0</v>
      </c>
      <c r="R10" s="40">
        <f t="shared" si="1"/>
        <v>1</v>
      </c>
      <c r="S10" s="41">
        <f>SUMIFS('Отчет 26-31.01'!P:P,'Отчет 26-31.01'!C:C,"Продажи",'Отчет 26-31.01'!E:E,B10)</f>
        <v>1711</v>
      </c>
      <c r="T10" s="42">
        <f>SUMIFS('Отчет 26-31.01'!P:P,'Отчет 26-31.01'!C:C,"Возвраты",'Отчет 26-31.01'!E:E,B10)</f>
        <v>0</v>
      </c>
      <c r="U10" s="40">
        <f t="shared" si="2"/>
        <v>1711</v>
      </c>
      <c r="V10" s="43">
        <f t="shared" si="3"/>
        <v>1.9068316059288978E-2</v>
      </c>
      <c r="W10" s="44">
        <f t="shared" si="4"/>
        <v>169.89</v>
      </c>
      <c r="X10" s="42">
        <f>-SUMIFS('Отчет 26-31.01'!P:P,'Отчет 26-31.01'!C:C,"Вознаграждение Ozon",'Отчет 26-31.01'!E:E,B10)</f>
        <v>735.73</v>
      </c>
      <c r="Y10" s="45">
        <f t="shared" si="5"/>
        <v>0.43</v>
      </c>
      <c r="Z10" s="42">
        <f>-SUMIFS('Отчет 26-31.01'!P:P,'Отчет 26-31.01'!C:C,"Услуги доставки",'Отчет 26-31.01'!E:E,B10)</f>
        <v>231.61</v>
      </c>
      <c r="AA10" s="32">
        <v>0</v>
      </c>
      <c r="AB10" s="55"/>
      <c r="AC10" s="42"/>
      <c r="AD10" s="46">
        <f t="shared" si="6"/>
        <v>17.11</v>
      </c>
      <c r="AE10" s="47">
        <f t="shared" si="7"/>
        <v>556.66000000000008</v>
      </c>
      <c r="AF10" s="46"/>
      <c r="AG10" s="48">
        <f t="shared" si="8"/>
        <v>1711</v>
      </c>
      <c r="AH10" s="49">
        <f t="shared" si="9"/>
        <v>169.89</v>
      </c>
      <c r="AI10" s="49">
        <f t="shared" si="10"/>
        <v>735.73</v>
      </c>
      <c r="AJ10" s="49">
        <f t="shared" si="11"/>
        <v>231.61</v>
      </c>
      <c r="AK10" s="49">
        <f t="shared" si="12"/>
        <v>0</v>
      </c>
      <c r="AL10" s="49">
        <f t="array" ref="AL10">_xlfn.IFS(R10=0,AE10,R10&lt;0,AE10/-R10,R10&gt;0,AE10/R10)</f>
        <v>556.66000000000008</v>
      </c>
      <c r="AM10" s="50">
        <f t="shared" si="13"/>
        <v>0.32534190531852725</v>
      </c>
      <c r="AN10" s="51">
        <f t="shared" si="14"/>
        <v>3.2765907351815886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3</v>
      </c>
      <c r="L11" s="36"/>
      <c r="M11" s="36"/>
      <c r="N11" s="37">
        <f t="shared" si="16"/>
        <v>0.5</v>
      </c>
      <c r="O11" s="38">
        <f t="shared" si="17"/>
        <v>0</v>
      </c>
      <c r="P11" s="39">
        <f>SUMIFS('Отчет 26-31.01'!H:H,'Отчет 26-31.01'!D:D,"Выручка",'Отчет 26-31.01'!E:E,B11)</f>
        <v>0</v>
      </c>
      <c r="Q11" s="39">
        <f>SUMIFS('Отчет 26-31.01'!H:H,'Отчет 26-31.01'!D:D,"Возврат выручки",'Отчет 26-31.01'!E:E,B11)</f>
        <v>0</v>
      </c>
      <c r="R11" s="40">
        <f t="shared" si="1"/>
        <v>0</v>
      </c>
      <c r="S11" s="41">
        <f>SUMIFS('Отчет 26-31.01'!P:P,'Отчет 26-31.01'!C:C,"Продажи",'Отчет 26-31.01'!E:E,B11)</f>
        <v>0</v>
      </c>
      <c r="T11" s="42">
        <f>SUMIFS('Отчет 26-31.01'!P:P,'Отчет 26-31.01'!C:C,"Возвраты",'Отчет 26-31.01'!E:E,B11)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26-31.01'!P:P,'Отчет 26-31.01'!C:C,"Вознаграждение Ozon",'Отчет 26-31.01'!E:E,B11)</f>
        <v>0</v>
      </c>
      <c r="Y11" s="45">
        <f t="shared" si="5"/>
        <v>0</v>
      </c>
      <c r="Z11" s="42">
        <f>-SUMIFS('Отчет 26-31.01'!P:P,'Отчет 26-31.01'!C:C,"Услуги доставки",'Отчет 26-31.01'!E:E,B11)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2</v>
      </c>
      <c r="L12" s="36"/>
      <c r="M12" s="36"/>
      <c r="N12" s="37">
        <f t="shared" si="16"/>
        <v>0.33333333333333331</v>
      </c>
      <c r="O12" s="38">
        <f t="shared" si="17"/>
        <v>0.16666666666666666</v>
      </c>
      <c r="P12" s="39">
        <f>SUMIFS('Отчет 26-31.01'!H:H,'Отчет 26-31.01'!D:D,"Выручка",'Отчет 26-31.01'!E:E,B12)</f>
        <v>1</v>
      </c>
      <c r="Q12" s="39">
        <f>SUMIFS('Отчет 26-31.01'!H:H,'Отчет 26-31.01'!D:D,"Возврат выручки",'Отчет 26-31.01'!E:E,B12)</f>
        <v>0</v>
      </c>
      <c r="R12" s="40">
        <f t="shared" si="1"/>
        <v>1</v>
      </c>
      <c r="S12" s="41">
        <f>SUMIFS('Отчет 26-31.01'!P:P,'Отчет 26-31.01'!C:C,"Продажи",'Отчет 26-31.01'!E:E,B12)</f>
        <v>1306</v>
      </c>
      <c r="T12" s="42">
        <f>SUMIFS('Отчет 26-31.01'!P:P,'Отчет 26-31.01'!C:C,"Возвраты",'Отчет 26-31.01'!E:E,B12)</f>
        <v>0</v>
      </c>
      <c r="U12" s="40">
        <f t="shared" si="2"/>
        <v>1306</v>
      </c>
      <c r="V12" s="43">
        <f t="shared" si="3"/>
        <v>1.4554775437423381E-2</v>
      </c>
      <c r="W12" s="44">
        <f t="shared" si="4"/>
        <v>169.89</v>
      </c>
      <c r="X12" s="42">
        <f>-SUMIFS('Отчет 26-31.01'!P:P,'Отчет 26-31.01'!C:C,"Вознаграждение Ozon",'Отчет 26-31.01'!E:E,B12)</f>
        <v>561.58000000000004</v>
      </c>
      <c r="Y12" s="45">
        <f t="shared" si="5"/>
        <v>0.43000000000000005</v>
      </c>
      <c r="Z12" s="42">
        <f>-SUMIFS('Отчет 26-31.01'!P:P,'Отчет 26-31.01'!C:C,"Услуги доставки",'Отчет 26-31.01'!E:E,B12)</f>
        <v>133.06</v>
      </c>
      <c r="AA12" s="32">
        <v>0</v>
      </c>
      <c r="AB12" s="55"/>
      <c r="AC12" s="42"/>
      <c r="AD12" s="46">
        <f t="shared" si="6"/>
        <v>13.06</v>
      </c>
      <c r="AE12" s="47">
        <f t="shared" si="7"/>
        <v>428.41000000000008</v>
      </c>
      <c r="AF12" s="46"/>
      <c r="AG12" s="48">
        <f t="shared" si="8"/>
        <v>1306</v>
      </c>
      <c r="AH12" s="49">
        <f t="shared" si="9"/>
        <v>169.89</v>
      </c>
      <c r="AI12" s="49">
        <f t="shared" si="10"/>
        <v>561.58000000000004</v>
      </c>
      <c r="AJ12" s="49">
        <f t="shared" si="11"/>
        <v>133.06</v>
      </c>
      <c r="AK12" s="49">
        <f t="shared" si="12"/>
        <v>0</v>
      </c>
      <c r="AL12" s="49">
        <f t="array" ref="AL12">_xlfn.IFS(R12=0,AE12,R12&lt;0,AE12/-R12,R12&gt;0,AE12/R12)</f>
        <v>428.41000000000008</v>
      </c>
      <c r="AM12" s="50">
        <f t="shared" si="13"/>
        <v>0.32803215926493112</v>
      </c>
      <c r="AN12" s="51">
        <f t="shared" si="14"/>
        <v>2.5216905056212848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8</v>
      </c>
      <c r="L13" s="36"/>
      <c r="M13" s="36"/>
      <c r="N13" s="37">
        <f t="shared" si="16"/>
        <v>1.3333333333333333</v>
      </c>
      <c r="O13" s="38">
        <f t="shared" si="17"/>
        <v>0.16666666666666666</v>
      </c>
      <c r="P13" s="39">
        <f>SUMIFS('Отчет 26-31.01'!H:H,'Отчет 26-31.01'!D:D,"Выручка",'Отчет 26-31.01'!E:E,B13)</f>
        <v>2</v>
      </c>
      <c r="Q13" s="39">
        <f>SUMIFS('Отчет 26-31.01'!H:H,'Отчет 26-31.01'!D:D,"Возврат выручки",'Отчет 26-31.01'!E:E,B13)</f>
        <v>1</v>
      </c>
      <c r="R13" s="40">
        <f t="shared" si="1"/>
        <v>1</v>
      </c>
      <c r="S13" s="41">
        <f>SUMIFS('Отчет 26-31.01'!P:P,'Отчет 26-31.01'!C:C,"Продажи",'Отчет 26-31.01'!E:E,B13)</f>
        <v>2330</v>
      </c>
      <c r="T13" s="42">
        <f>SUMIFS('Отчет 26-31.01'!P:P,'Отчет 26-31.01'!C:C,"Возвраты",'Отчет 26-31.01'!E:E,B13)</f>
        <v>-971</v>
      </c>
      <c r="U13" s="40">
        <f t="shared" si="2"/>
        <v>1359</v>
      </c>
      <c r="V13" s="43">
        <f t="shared" si="3"/>
        <v>1.514543630892678E-2</v>
      </c>
      <c r="W13" s="44">
        <f t="shared" si="4"/>
        <v>169.89</v>
      </c>
      <c r="X13" s="42">
        <f>-SUMIFS('Отчет 26-31.01'!P:P,'Отчет 26-31.01'!C:C,"Вознаграждение Ozon",'Отчет 26-31.01'!E:E,B13)</f>
        <v>584.37</v>
      </c>
      <c r="Y13" s="45">
        <f t="shared" si="5"/>
        <v>0.43</v>
      </c>
      <c r="Z13" s="42">
        <f>-SUMIFS('Отчет 26-31.01'!P:P,'Отчет 26-31.01'!C:C,"Услуги доставки",'Отчет 26-31.01'!E:E,B13)</f>
        <v>257.06</v>
      </c>
      <c r="AA13" s="32">
        <v>328.67</v>
      </c>
      <c r="AB13" s="55"/>
      <c r="AC13" s="42"/>
      <c r="AD13" s="46">
        <f t="shared" si="6"/>
        <v>13.59</v>
      </c>
      <c r="AE13" s="47">
        <f t="shared" si="7"/>
        <v>5.4200000000001047</v>
      </c>
      <c r="AF13" s="46"/>
      <c r="AG13" s="48">
        <f t="shared" si="8"/>
        <v>1359</v>
      </c>
      <c r="AH13" s="49">
        <f t="shared" si="9"/>
        <v>169.89</v>
      </c>
      <c r="AI13" s="49">
        <f t="shared" si="10"/>
        <v>584.37</v>
      </c>
      <c r="AJ13" s="49">
        <f t="shared" si="11"/>
        <v>128.53</v>
      </c>
      <c r="AK13" s="49">
        <f t="shared" si="12"/>
        <v>164.33500000000001</v>
      </c>
      <c r="AL13" s="49">
        <f t="array" ref="AL13">_xlfn.IFS(R13=0,AE13,R13&lt;0,AE13/-R13,R13&gt;0,AE13/R13)</f>
        <v>5.4200000000001047</v>
      </c>
      <c r="AM13" s="50">
        <f t="shared" si="13"/>
        <v>3.9882266372333365E-3</v>
      </c>
      <c r="AN13" s="51">
        <f t="shared" si="14"/>
        <v>3.1902996056272323E-2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3</v>
      </c>
      <c r="L14" s="36"/>
      <c r="M14" s="36"/>
      <c r="N14" s="37">
        <f t="shared" si="16"/>
        <v>0.5</v>
      </c>
      <c r="O14" s="38">
        <f t="shared" si="17"/>
        <v>0.5</v>
      </c>
      <c r="P14" s="39">
        <f>SUMIFS('Отчет 26-31.01'!H:H,'Отчет 26-31.01'!D:D,"Выручка",'Отчет 26-31.01'!E:E,B14)</f>
        <v>3</v>
      </c>
      <c r="Q14" s="39">
        <f>SUMIFS('Отчет 26-31.01'!H:H,'Отчет 26-31.01'!D:D,"Возврат выручки",'Отчет 26-31.01'!E:E,B14)</f>
        <v>0</v>
      </c>
      <c r="R14" s="40">
        <f t="shared" si="1"/>
        <v>3</v>
      </c>
      <c r="S14" s="41">
        <f>SUMIFS('Отчет 26-31.01'!P:P,'Отчет 26-31.01'!C:C,"Продажи",'Отчет 26-31.01'!E:E,B14)</f>
        <v>4287</v>
      </c>
      <c r="T14" s="42">
        <f>SUMIFS('Отчет 26-31.01'!P:P,'Отчет 26-31.01'!C:C,"Возвраты",'Отчет 26-31.01'!E:E,B14)</f>
        <v>0</v>
      </c>
      <c r="U14" s="40">
        <f t="shared" si="2"/>
        <v>4287</v>
      </c>
      <c r="V14" s="43">
        <f t="shared" si="3"/>
        <v>4.7776663323303242E-2</v>
      </c>
      <c r="W14" s="44">
        <f t="shared" si="4"/>
        <v>509.66999999999996</v>
      </c>
      <c r="X14" s="42">
        <f>-SUMIFS('Отчет 26-31.01'!P:P,'Отчет 26-31.01'!C:C,"Вознаграждение Ozon",'Отчет 26-31.01'!E:E,B14)</f>
        <v>1843.41</v>
      </c>
      <c r="Y14" s="45">
        <f t="shared" si="5"/>
        <v>0.43</v>
      </c>
      <c r="Z14" s="42">
        <f>-SUMIFS('Отчет 26-31.01'!P:P,'Отчет 26-31.01'!C:C,"Услуги доставки",'Отчет 26-31.01'!E:E,B14)</f>
        <v>505.76</v>
      </c>
      <c r="AA14" s="32">
        <v>657.34</v>
      </c>
      <c r="AB14" s="55"/>
      <c r="AC14" s="42"/>
      <c r="AD14" s="46">
        <f t="shared" si="6"/>
        <v>42.87</v>
      </c>
      <c r="AE14" s="47">
        <f t="shared" si="7"/>
        <v>727.94999999999982</v>
      </c>
      <c r="AF14" s="46"/>
      <c r="AG14" s="48">
        <f t="shared" si="8"/>
        <v>1429</v>
      </c>
      <c r="AH14" s="49">
        <f t="shared" si="9"/>
        <v>169.89</v>
      </c>
      <c r="AI14" s="49">
        <f t="shared" si="10"/>
        <v>614.47</v>
      </c>
      <c r="AJ14" s="49">
        <f t="shared" si="11"/>
        <v>168.58666666666667</v>
      </c>
      <c r="AK14" s="49">
        <f t="shared" si="12"/>
        <v>219.11333333333334</v>
      </c>
      <c r="AL14" s="49">
        <f t="array" ref="AL14">_xlfn.IFS(R14=0,AE14,R14&lt;0,AE14/-R14,R14&gt;0,AE14/R14)</f>
        <v>242.64999999999995</v>
      </c>
      <c r="AM14" s="50">
        <f t="shared" si="13"/>
        <v>0.16980405878236526</v>
      </c>
      <c r="AN14" s="51">
        <f t="shared" si="14"/>
        <v>1.4282771204897284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0.16666666666666666</v>
      </c>
      <c r="O15" s="38">
        <f t="shared" si="17"/>
        <v>0</v>
      </c>
      <c r="P15" s="39">
        <f>SUMIFS('Отчет 26-31.01'!H:H,'Отчет 26-31.01'!D:D,"Выручка",'Отчет 26-31.01'!E:E,B15)</f>
        <v>0</v>
      </c>
      <c r="Q15" s="39">
        <f>SUMIFS('Отчет 26-31.01'!H:H,'Отчет 26-31.01'!D:D,"Возврат выручки",'Отчет 26-31.01'!E:E,B15)</f>
        <v>0</v>
      </c>
      <c r="R15" s="40">
        <f t="shared" si="1"/>
        <v>0</v>
      </c>
      <c r="S15" s="41">
        <f>SUMIFS('Отчет 26-31.01'!P:P,'Отчет 26-31.01'!C:C,"Продажи",'Отчет 26-31.01'!E:E,B15)</f>
        <v>0</v>
      </c>
      <c r="T15" s="42">
        <f>SUMIFS('Отчет 26-31.01'!P:P,'Отчет 26-31.01'!C:C,"Возвраты",'Отчет 26-31.01'!E:E,B15)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26-31.01'!P:P,'Отчет 26-31.01'!C:C,"Вознаграждение Ozon",'Отчет 26-31.01'!E:E,B15)</f>
        <v>0</v>
      </c>
      <c r="Y15" s="45">
        <f t="shared" si="5"/>
        <v>0</v>
      </c>
      <c r="Z15" s="42">
        <f>-SUMIFS('Отчет 26-31.01'!P:P,'Отчет 26-31.01'!C:C,"Услуги доставки",'Отчет 26-31.01'!E:E,B15)</f>
        <v>93.54</v>
      </c>
      <c r="AA15" s="32">
        <v>606.97</v>
      </c>
      <c r="AB15" s="55"/>
      <c r="AC15" s="42"/>
      <c r="AD15" s="46">
        <f t="shared" si="6"/>
        <v>0</v>
      </c>
      <c r="AE15" s="47">
        <f t="shared" si="7"/>
        <v>-700.51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93.54</v>
      </c>
      <c r="AK15" s="49">
        <f t="shared" si="12"/>
        <v>0</v>
      </c>
      <c r="AL15" s="49">
        <f t="array" ref="AL15">_xlfn.IFS(R15=0,AE15,R15&lt;0,AE15/-R15,R15&gt;0,AE15/R15)</f>
        <v>-700.51</v>
      </c>
      <c r="AM15" s="50">
        <f t="shared" si="13"/>
        <v>0</v>
      </c>
      <c r="AN15" s="51">
        <f t="shared" si="14"/>
        <v>-4.1233150862322683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0.16666666666666666</v>
      </c>
      <c r="O16" s="38">
        <f t="shared" si="17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26-31.01'!P:P,'Отчет 26-31.01'!C:C,"Вознаграждение Ozon",'Отчет 26-31.01'!E:E,B16)</f>
        <v>0</v>
      </c>
      <c r="Y16" s="45">
        <f t="shared" si="5"/>
        <v>0</v>
      </c>
      <c r="Z16" s="42">
        <f>-SUMIFS('Отчет 26-31.01'!P:P,'Отчет 26-31.01'!C:C,"Услуги доставки",'Отчет 26-31.01'!E:E,B16)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26-31.01'!H:H,'Отчет 26-31.01'!D:D,"Выручка",'Отчет 26-31.01'!E:E,B17)</f>
        <v>0</v>
      </c>
      <c r="Q17" s="39">
        <f>SUMIFS('Отчет 26-31.01'!H:H,'Отчет 26-31.01'!D:D,"Возврат выручки",'Отчет 26-31.01'!E:E,B17)</f>
        <v>0</v>
      </c>
      <c r="R17" s="40">
        <f t="shared" si="1"/>
        <v>0</v>
      </c>
      <c r="S17" s="41">
        <f>SUMIFS('Отчет 26-31.01'!P:P,'Отчет 26-31.01'!C:C,"Продажи",'Отчет 26-31.01'!E:E,B17)</f>
        <v>0</v>
      </c>
      <c r="T17" s="42">
        <f>SUMIFS('Отчет 26-31.01'!P:P,'Отчет 26-31.01'!C:C,"Возвраты",'Отчет 26-31.01'!E:E,B17)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26-31.01'!P:P,'Отчет 26-31.01'!C:C,"Вознаграждение Ozon",'Отчет 26-31.01'!E:E,B17)</f>
        <v>0</v>
      </c>
      <c r="Y17" s="45">
        <f t="shared" si="5"/>
        <v>0</v>
      </c>
      <c r="Z17" s="42">
        <f>-SUMIFS('Отчет 26-31.01'!P:P,'Отчет 26-31.01'!C:C,"Услуги доставки",'Отчет 26-31.01'!E:E,B17)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0.16666666666666666</v>
      </c>
      <c r="P18" s="39">
        <f>SUMIFS('Отчет 26-31.01'!H:H,'Отчет 26-31.01'!D:D,"Выручка",'Отчет 26-31.01'!E:E,B18)</f>
        <v>1</v>
      </c>
      <c r="Q18" s="39">
        <f>SUMIFS('Отчет 26-31.01'!H:H,'Отчет 26-31.01'!D:D,"Возврат выручки",'Отчет 26-31.01'!E:E,B18)</f>
        <v>0</v>
      </c>
      <c r="R18" s="40">
        <f t="shared" si="1"/>
        <v>1</v>
      </c>
      <c r="S18" s="41">
        <f>SUMIFS('Отчет 26-31.01'!P:P,'Отчет 26-31.01'!C:C,"Продажи",'Отчет 26-31.01'!E:E,B18)</f>
        <v>3256</v>
      </c>
      <c r="T18" s="42">
        <f>SUMIFS('Отчет 26-31.01'!P:P,'Отчет 26-31.01'!C:C,"Возвраты",'Отчет 26-31.01'!E:E,B18)</f>
        <v>0</v>
      </c>
      <c r="U18" s="40">
        <f t="shared" si="2"/>
        <v>3256</v>
      </c>
      <c r="V18" s="43">
        <f t="shared" si="3"/>
        <v>3.6286637690850332E-2</v>
      </c>
      <c r="W18" s="44">
        <f t="shared" si="4"/>
        <v>909.22</v>
      </c>
      <c r="X18" s="42">
        <f>-SUMIFS('Отчет 26-31.01'!P:P,'Отчет 26-31.01'!C:C,"Вознаграждение Ozon",'Отчет 26-31.01'!E:E,B18)</f>
        <v>1400.08</v>
      </c>
      <c r="Y18" s="45">
        <f t="shared" si="5"/>
        <v>0.43</v>
      </c>
      <c r="Z18" s="42">
        <f>-SUMIFS('Отчет 26-31.01'!P:P,'Отчет 26-31.01'!C:C,"Услуги доставки",'Отчет 26-31.01'!E:E,B18)</f>
        <v>229.22</v>
      </c>
      <c r="AA18" s="32">
        <v>0</v>
      </c>
      <c r="AB18" s="55"/>
      <c r="AC18" s="42"/>
      <c r="AD18" s="46">
        <f t="shared" si="6"/>
        <v>32.56</v>
      </c>
      <c r="AE18" s="47">
        <f t="shared" si="7"/>
        <v>684.91999999999985</v>
      </c>
      <c r="AF18" s="46"/>
      <c r="AG18" s="48">
        <f t="shared" si="8"/>
        <v>3256</v>
      </c>
      <c r="AH18" s="49">
        <f t="shared" si="9"/>
        <v>909.22</v>
      </c>
      <c r="AI18" s="49">
        <f t="shared" si="10"/>
        <v>1400.08</v>
      </c>
      <c r="AJ18" s="49">
        <f t="shared" si="11"/>
        <v>229.22</v>
      </c>
      <c r="AK18" s="49">
        <f t="shared" si="12"/>
        <v>0</v>
      </c>
      <c r="AL18" s="49">
        <f t="array" ref="AL18">_xlfn.IFS(R18=0,AE18,R18&lt;0,AE18/-R18,R18&gt;0,AE18/R18)</f>
        <v>684.91999999999985</v>
      </c>
      <c r="AM18" s="50">
        <f t="shared" si="13"/>
        <v>0.21035626535626531</v>
      </c>
      <c r="AN18" s="51">
        <f t="shared" si="14"/>
        <v>0.75330503068564247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26-31.01'!H:H,'Отчет 26-31.01'!D:D,"Выручка",'Отчет 26-31.01'!E:E,B19)</f>
        <v>0</v>
      </c>
      <c r="Q19" s="39">
        <f>SUMIFS('Отчет 26-31.01'!H:H,'Отчет 26-31.01'!D:D,"Возврат выручки",'Отчет 26-31.01'!E:E,B19)</f>
        <v>0</v>
      </c>
      <c r="R19" s="40">
        <f t="shared" si="1"/>
        <v>0</v>
      </c>
      <c r="S19" s="41">
        <f>SUMIFS('Отчет 26-31.01'!P:P,'Отчет 26-31.01'!C:C,"Продажи",'Отчет 26-31.01'!E:E,B19)</f>
        <v>0</v>
      </c>
      <c r="T19" s="42">
        <f>SUMIFS('Отчет 26-31.01'!P:P,'Отчет 26-31.01'!C:C,"Возвраты",'Отчет 26-31.01'!E:E,B19)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26-31.01'!P:P,'Отчет 26-31.01'!C:C,"Вознаграждение Ozon",'Отчет 26-31.01'!E:E,B19)</f>
        <v>0</v>
      </c>
      <c r="Y19" s="45">
        <f t="shared" si="5"/>
        <v>0</v>
      </c>
      <c r="Z19" s="42">
        <f>-SUMIFS('Отчет 26-31.01'!P:P,'Отчет 26-31.01'!C:C,"Услуги доставки",'Отчет 26-31.01'!E:E,B19)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</v>
      </c>
      <c r="P20" s="39">
        <f>SUMIFS('Отчет 26-31.01'!H:H,'Отчет 26-31.01'!D:D,"Выручка",'Отчет 26-31.01'!E:E,B20)</f>
        <v>0</v>
      </c>
      <c r="Q20" s="39">
        <f>SUMIFS('Отчет 26-31.01'!H:H,'Отчет 26-31.01'!D:D,"Возврат выручки",'Отчет 26-31.01'!E:E,B20)</f>
        <v>0</v>
      </c>
      <c r="R20" s="40">
        <f t="shared" si="1"/>
        <v>0</v>
      </c>
      <c r="S20" s="41">
        <f>SUMIFS('Отчет 26-31.01'!P:P,'Отчет 26-31.01'!C:C,"Продажи",'Отчет 26-31.01'!E:E,B20)</f>
        <v>0</v>
      </c>
      <c r="T20" s="42">
        <f>SUMIFS('Отчет 26-31.01'!P:P,'Отчет 26-31.01'!C:C,"Возвраты",'Отчет 26-31.01'!E:E,B20)</f>
        <v>0</v>
      </c>
      <c r="U20" s="40">
        <f t="shared" si="2"/>
        <v>0</v>
      </c>
      <c r="V20" s="43">
        <f t="shared" si="3"/>
        <v>0</v>
      </c>
      <c r="W20" s="44">
        <f t="shared" si="4"/>
        <v>0</v>
      </c>
      <c r="X20" s="42">
        <f>-SUMIFS('Отчет 26-31.01'!P:P,'Отчет 26-31.01'!C:C,"Вознаграждение Ozon",'Отчет 26-31.01'!E:E,B20)</f>
        <v>0</v>
      </c>
      <c r="Y20" s="45">
        <f t="shared" si="5"/>
        <v>0</v>
      </c>
      <c r="Z20" s="42">
        <f>-SUMIFS('Отчет 26-31.01'!P:P,'Отчет 26-31.01'!C:C,"Услуги доставки",'Отчет 26-31.01'!E:E,B20)</f>
        <v>0</v>
      </c>
      <c r="AA20" s="32">
        <v>0</v>
      </c>
      <c r="AB20" s="55"/>
      <c r="AC20" s="42"/>
      <c r="AD20" s="46">
        <f t="shared" si="6"/>
        <v>0</v>
      </c>
      <c r="AE20" s="47">
        <f t="shared" si="7"/>
        <v>0</v>
      </c>
      <c r="AF20" s="46"/>
      <c r="AG20" s="48">
        <f t="shared" si="8"/>
        <v>0</v>
      </c>
      <c r="AH20" s="49">
        <f t="shared" si="9"/>
        <v>932.62</v>
      </c>
      <c r="AI20" s="49">
        <f t="shared" si="10"/>
        <v>0</v>
      </c>
      <c r="AJ20" s="49">
        <f t="shared" si="11"/>
        <v>0</v>
      </c>
      <c r="AK20" s="49">
        <f t="shared" si="12"/>
        <v>0</v>
      </c>
      <c r="AL20" s="49">
        <f t="array" ref="AL20">_xlfn.IFS(R20=0,AE20,R20&lt;0,AE20/-R20,R20&gt;0,AE20/R20)</f>
        <v>0</v>
      </c>
      <c r="AM20" s="50">
        <f t="shared" si="13"/>
        <v>0</v>
      </c>
      <c r="AN20" s="51">
        <f t="shared" si="14"/>
        <v>0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26-31.01'!H:H,'Отчет 26-31.01'!D:D,"Выручка",'Отчет 26-31.01'!E:E,B21)</f>
        <v>0</v>
      </c>
      <c r="Q21" s="39">
        <f>SUMIFS('Отчет 26-31.01'!H:H,'Отчет 26-31.01'!D:D,"Возврат выручки",'Отчет 26-31.01'!E:E,B21)</f>
        <v>0</v>
      </c>
      <c r="R21" s="40">
        <f t="shared" si="1"/>
        <v>0</v>
      </c>
      <c r="S21" s="41">
        <f>SUMIFS('Отчет 26-31.01'!P:P,'Отчет 26-31.01'!C:C,"Продажи",'Отчет 26-31.01'!E:E,B21)</f>
        <v>0</v>
      </c>
      <c r="T21" s="42">
        <f>SUMIFS('Отчет 26-31.01'!P:P,'Отчет 26-31.01'!C:C,"Возвраты",'Отчет 26-31.01'!E:E,B21)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26-31.01'!P:P,'Отчет 26-31.01'!C:C,"Вознаграждение Ozon",'Отчет 26-31.01'!E:E,B21)</f>
        <v>0</v>
      </c>
      <c r="Y21" s="45">
        <f t="shared" si="5"/>
        <v>0</v>
      </c>
      <c r="Z21" s="42">
        <f>-SUMIFS('Отчет 26-31.01'!P:P,'Отчет 26-31.01'!C:C,"Услуги доставки",'Отчет 26-31.01'!E:E,B21)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26-31.01'!H:H,'Отчет 26-31.01'!D:D,"Выручка",'Отчет 26-31.01'!E:E,B22)</f>
        <v>0</v>
      </c>
      <c r="Q22" s="39">
        <f>SUMIFS('Отчет 26-31.01'!H:H,'Отчет 26-31.01'!D:D,"Возврат выручки",'Отчет 26-31.01'!E:E,B22)</f>
        <v>0</v>
      </c>
      <c r="R22" s="40">
        <f t="shared" si="1"/>
        <v>0</v>
      </c>
      <c r="S22" s="41">
        <f>SUMIFS('Отчет 26-31.01'!P:P,'Отчет 26-31.01'!C:C,"Продажи",'Отчет 26-31.01'!E:E,B22)</f>
        <v>0</v>
      </c>
      <c r="T22" s="42">
        <f>SUMIFS('Отчет 26-31.01'!P:P,'Отчет 26-31.01'!C:C,"Возвраты",'Отчет 26-31.01'!E:E,B22)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26-31.01'!P:P,'Отчет 26-31.01'!C:C,"Вознаграждение Ozon",'Отчет 26-31.01'!E:E,B22)</f>
        <v>0</v>
      </c>
      <c r="Y22" s="45">
        <f t="shared" si="5"/>
        <v>0</v>
      </c>
      <c r="Z22" s="42">
        <f>-SUMIFS('Отчет 26-31.01'!P:P,'Отчет 26-31.01'!C:C,"Услуги доставки",'Отчет 26-31.01'!E:E,B22)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26-31.01'!H:H,'Отчет 26-31.01'!D:D,"Выручка",'Отчет 26-31.01'!E:E,B23)</f>
        <v>0</v>
      </c>
      <c r="Q23" s="39">
        <f>SUMIFS('Отчет 26-31.01'!H:H,'Отчет 26-31.01'!D:D,"Возврат выручки",'Отчет 26-31.01'!E:E,B23)</f>
        <v>0</v>
      </c>
      <c r="R23" s="40">
        <f t="shared" si="1"/>
        <v>0</v>
      </c>
      <c r="S23" s="41">
        <f>SUMIFS('Отчет 26-31.01'!P:P,'Отчет 26-31.01'!C:C,"Продажи",'Отчет 26-31.01'!E:E,B23)</f>
        <v>0</v>
      </c>
      <c r="T23" s="42">
        <f>SUMIFS('Отчет 26-31.01'!P:P,'Отчет 26-31.01'!C:C,"Возвраты",'Отчет 26-31.01'!E:E,B23)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26-31.01'!P:P,'Отчет 26-31.01'!C:C,"Вознаграждение Ozon",'Отчет 26-31.01'!E:E,B23)</f>
        <v>0</v>
      </c>
      <c r="Y23" s="45">
        <f t="shared" si="5"/>
        <v>0</v>
      </c>
      <c r="Z23" s="42">
        <f>-SUMIFS('Отчет 26-31.01'!P:P,'Отчет 26-31.01'!C:C,"Услуги доставки",'Отчет 26-31.01'!E:E,B23)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26-31.01'!H:H,'Отчет 26-31.01'!D:D,"Выручка",'Отчет 26-31.01'!E:E,B24)</f>
        <v>0</v>
      </c>
      <c r="Q24" s="39">
        <f>SUMIFS('Отчет 26-31.01'!H:H,'Отчет 26-31.01'!D:D,"Возврат выручки",'Отчет 26-31.01'!E:E,B24)</f>
        <v>0</v>
      </c>
      <c r="R24" s="40">
        <f t="shared" si="1"/>
        <v>0</v>
      </c>
      <c r="S24" s="41">
        <f>SUMIFS('Отчет 26-31.01'!P:P,'Отчет 26-31.01'!C:C,"Продажи",'Отчет 26-31.01'!E:E,B24)</f>
        <v>0</v>
      </c>
      <c r="T24" s="42">
        <f>SUMIFS('Отчет 26-31.01'!P:P,'Отчет 26-31.01'!C:C,"Возвраты",'Отчет 26-31.01'!E:E,B24)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26-31.01'!P:P,'Отчет 26-31.01'!C:C,"Вознаграждение Ozon",'Отчет 26-31.01'!E:E,B24)</f>
        <v>0</v>
      </c>
      <c r="Y24" s="45">
        <f t="shared" si="5"/>
        <v>0</v>
      </c>
      <c r="Z24" s="42">
        <f>-SUMIFS('Отчет 26-31.01'!P:P,'Отчет 26-31.01'!C:C,"Услуги доставки",'Отчет 26-31.01'!E:E,B24)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1739.4637008381687</v>
      </c>
      <c r="AH25" s="58">
        <f t="shared" si="18"/>
        <v>447.87636363636369</v>
      </c>
      <c r="AI25" s="58">
        <f t="shared" si="18"/>
        <v>747.9693913604126</v>
      </c>
      <c r="AJ25" s="58">
        <f t="shared" si="18"/>
        <v>172.7454340277778</v>
      </c>
      <c r="AK25" s="58">
        <f t="shared" si="18"/>
        <v>303.30004454761905</v>
      </c>
      <c r="AL25" s="58">
        <f t="shared" si="18"/>
        <v>262.10344726489365</v>
      </c>
      <c r="AM25" s="59">
        <f t="shared" si="18"/>
        <v>0.20039516134366234</v>
      </c>
      <c r="AN25" s="59">
        <f t="shared" si="18"/>
        <v>1.6154913754771156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100</v>
      </c>
      <c r="L26" s="67"/>
      <c r="M26" s="67"/>
      <c r="N26" s="68"/>
      <c r="O26" s="69"/>
      <c r="P26" s="64">
        <f>SUM(P3:P24)</f>
        <v>72</v>
      </c>
      <c r="Q26" s="64">
        <f t="shared" ref="Q26:AE26" si="19">SUM(Q3:Q24)</f>
        <v>3</v>
      </c>
      <c r="R26" s="64">
        <f t="shared" si="19"/>
        <v>69</v>
      </c>
      <c r="S26" s="70">
        <f>SUM(S3:S24)</f>
        <v>120331</v>
      </c>
      <c r="T26" s="64">
        <f t="shared" si="19"/>
        <v>-4419</v>
      </c>
      <c r="U26" s="64">
        <f t="shared" si="19"/>
        <v>115912</v>
      </c>
      <c r="V26" s="71">
        <f t="shared" si="19"/>
        <v>1.2917864705226794</v>
      </c>
      <c r="W26" s="64">
        <f t="shared" si="19"/>
        <v>10470.939999999999</v>
      </c>
      <c r="X26" s="64">
        <f t="shared" si="19"/>
        <v>49842.16</v>
      </c>
      <c r="Y26" s="72">
        <f>IF(U26=0,0,X26/U26)</f>
        <v>0.43000000000000005</v>
      </c>
      <c r="Z26" s="64">
        <f t="shared" si="19"/>
        <v>13196.610000000011</v>
      </c>
      <c r="AA26" s="64">
        <f>IFERROR(P26*AA51/P51,0)</f>
        <v>25632.258260869567</v>
      </c>
      <c r="AB26" s="64">
        <f t="shared" si="19"/>
        <v>0</v>
      </c>
      <c r="AC26" s="64">
        <f t="shared" si="19"/>
        <v>0</v>
      </c>
      <c r="AD26" s="73">
        <f t="shared" si="19"/>
        <v>1159.1199999999994</v>
      </c>
      <c r="AE26" s="74">
        <f t="shared" si="19"/>
        <v>21749.299125000001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19493.870875000001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" si="21">K28/6</f>
        <v>0</v>
      </c>
      <c r="O28" s="38">
        <f t="shared" ref="O28" si="22">R28/6</f>
        <v>0</v>
      </c>
      <c r="P28" s="39">
        <f>SUMIFS('Отчет 26-31.01'!H:H,'Отчет 26-31.01'!D:D,"Выручка",'Отчет 26-31.01'!E:E,B28)</f>
        <v>0</v>
      </c>
      <c r="Q28" s="39">
        <f>SUMIFS('Отчет 26-31.01'!H:H,'Отчет 26-31.01'!D:D,"Возврат выручки",'Отчет 26-31.01'!E:E,B28)</f>
        <v>0</v>
      </c>
      <c r="R28" s="40">
        <f t="shared" ref="R28:R47" si="23">P28-Q28</f>
        <v>0</v>
      </c>
      <c r="S28" s="41">
        <f>SUMIFS('Отчет 26-31.01'!P:P,'Отчет 26-31.01'!C:C,"Продажи",'Отчет 26-31.01'!E:E,B28)</f>
        <v>0</v>
      </c>
      <c r="T28" s="42">
        <f>SUMIFS('Отчет 26-31.01'!P:P,'Отчет 26-31.01'!C:C,"Возвраты",'Отчет 26-31.01'!E:E,B28)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26-31.01'!P:P,'Отчет 26-31.01'!C:C,"Вознаграждение Ozon",'Отчет 26-31.01'!E:E,B28)</f>
        <v>0</v>
      </c>
      <c r="Y28" s="45">
        <f t="shared" ref="Y28:Y47" si="27">IF(U28=0,0,X28/U28)</f>
        <v>0</v>
      </c>
      <c r="Z28" s="42">
        <f>-SUMIFS('Отчет 26-31.01'!P:P,'Отчет 26-31.01'!C:C,"Услуги доставки",'Отчет 26-31.01'!E:E,B28)</f>
        <v>113.88</v>
      </c>
      <c r="AA28" s="32">
        <v>439.18757499999998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-553.06757500000003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113.88</v>
      </c>
      <c r="AK28" s="49">
        <f t="shared" ref="AK28:AK47" si="34">IF(P28=0,0,AA28/P28)</f>
        <v>0</v>
      </c>
      <c r="AL28" s="49">
        <f t="array" ref="AL28">_xlfn.IFS(R28=0,AE28,R28&lt;0,AE28/-R28,R28&gt;0,AE28/R28)</f>
        <v>-553.06757500000003</v>
      </c>
      <c r="AM28" s="50">
        <f t="shared" ref="AM28:AM47" si="35">IF(AG28=0,0,AL28/AG28)</f>
        <v>0</v>
      </c>
      <c r="AN28" s="51">
        <f t="shared" ref="AN28:AN47" si="36">IF(AH28=0,0,AL28/AH28)</f>
        <v>-0.82301722470238103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1</v>
      </c>
      <c r="L29" s="36"/>
      <c r="M29" s="36"/>
      <c r="N29" s="37">
        <f t="shared" ref="N29:N47" si="38">K29/6</f>
        <v>0.16666666666666666</v>
      </c>
      <c r="O29" s="38">
        <f t="shared" ref="O29:O47" si="39">R29/6</f>
        <v>0</v>
      </c>
      <c r="P29" s="39">
        <f>SUMIFS('Отчет 26-31.01'!H:H,'Отчет 26-31.01'!D:D,"Выручка",'Отчет 26-31.01'!E:E,B29)</f>
        <v>0</v>
      </c>
      <c r="Q29" s="39">
        <f>SUMIFS('Отчет 26-31.01'!H:H,'Отчет 26-31.01'!D:D,"Возврат выручки",'Отчет 26-31.01'!E:E,B29)</f>
        <v>0</v>
      </c>
      <c r="R29" s="40">
        <f t="shared" si="23"/>
        <v>0</v>
      </c>
      <c r="S29" s="41">
        <f>SUMIFS('Отчет 26-31.01'!P:P,'Отчет 26-31.01'!C:C,"Продажи",'Отчет 26-31.01'!E:E,B29)</f>
        <v>0</v>
      </c>
      <c r="T29" s="42">
        <f>SUMIFS('Отчет 26-31.01'!P:P,'Отчет 26-31.01'!C:C,"Возвраты",'Отчет 26-31.01'!E:E,B29)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26-31.01'!P:P,'Отчет 26-31.01'!C:C,"Вознаграждение Ozon",'Отчет 26-31.01'!E:E,B29)</f>
        <v>0</v>
      </c>
      <c r="Y29" s="45">
        <f t="shared" si="27"/>
        <v>0</v>
      </c>
      <c r="Z29" s="42">
        <f>-SUMIFS('Отчет 26-31.01'!P:P,'Отчет 26-31.01'!C:C,"Услуги доставки",'Отчет 26-31.01'!E:E,B29)</f>
        <v>113.88</v>
      </c>
      <c r="AA29" s="32">
        <v>0</v>
      </c>
      <c r="AB29" s="55"/>
      <c r="AC29" s="42"/>
      <c r="AD29" s="46">
        <f t="shared" si="28"/>
        <v>0</v>
      </c>
      <c r="AE29" s="47">
        <f t="shared" si="29"/>
        <v>-113.88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113.88</v>
      </c>
      <c r="AK29" s="49">
        <f t="shared" si="34"/>
        <v>0</v>
      </c>
      <c r="AL29" s="49">
        <f t="array" ref="AL29">_xlfn.IFS(R29=0,AE29,R29&lt;0,AE29/-R29,R29&gt;0,AE29/R29)</f>
        <v>-113.88</v>
      </c>
      <c r="AM29" s="50">
        <f t="shared" si="35"/>
        <v>0</v>
      </c>
      <c r="AN29" s="51">
        <f t="shared" si="36"/>
        <v>-0.18162679425837319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8"/>
        <v>0</v>
      </c>
      <c r="O30" s="38">
        <f t="shared" si="39"/>
        <v>0</v>
      </c>
      <c r="P30" s="39">
        <f>SUMIFS('Отчет 26-31.01'!H:H,'Отчет 26-31.01'!D:D,"Выручка",'Отчет 26-31.01'!E:E,B30)</f>
        <v>0</v>
      </c>
      <c r="Q30" s="39">
        <f>SUMIFS('Отчет 26-31.01'!H:H,'Отчет 26-31.01'!D:D,"Возврат выручки",'Отчет 26-31.01'!E:E,B30)</f>
        <v>0</v>
      </c>
      <c r="R30" s="40">
        <f t="shared" si="23"/>
        <v>0</v>
      </c>
      <c r="S30" s="41">
        <f>SUMIFS('Отчет 26-31.01'!P:P,'Отчет 26-31.01'!C:C,"Продажи",'Отчет 26-31.01'!E:E,B30)</f>
        <v>0</v>
      </c>
      <c r="T30" s="42">
        <f>SUMIFS('Отчет 26-31.01'!P:P,'Отчет 26-31.01'!C:C,"Возвраты",'Отчет 26-31.01'!E:E,B30)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26-31.01'!P:P,'Отчет 26-31.01'!C:C,"Вознаграждение Ozon",'Отчет 26-31.01'!E:E,B30)</f>
        <v>0</v>
      </c>
      <c r="Y30" s="45">
        <f t="shared" si="27"/>
        <v>0</v>
      </c>
      <c r="Z30" s="42">
        <f>-SUMIFS('Отчет 26-31.01'!P:P,'Отчет 26-31.01'!C:C,"Услуги доставки",'Отчет 26-31.01'!E:E,B30)</f>
        <v>113.88</v>
      </c>
      <c r="AA30" s="32">
        <v>0</v>
      </c>
      <c r="AB30" s="55"/>
      <c r="AC30" s="42"/>
      <c r="AD30" s="46">
        <f t="shared" si="28"/>
        <v>0</v>
      </c>
      <c r="AE30" s="47">
        <f t="shared" si="29"/>
        <v>-113.88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113.88</v>
      </c>
      <c r="AK30" s="49">
        <f t="shared" si="34"/>
        <v>0</v>
      </c>
      <c r="AL30" s="49">
        <f t="array" ref="AL30">_xlfn.IFS(R30=0,AE30,R30&lt;0,AE30/-R30,R30&gt;0,AE30/R30)</f>
        <v>-113.88</v>
      </c>
      <c r="AM30" s="50">
        <f t="shared" si="35"/>
        <v>0</v>
      </c>
      <c r="AN30" s="51">
        <f t="shared" si="36"/>
        <v>-0.18162679425837319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8"/>
        <v>0</v>
      </c>
      <c r="O31" s="38">
        <f t="shared" si="39"/>
        <v>0</v>
      </c>
      <c r="P31" s="39">
        <f>SUMIFS('Отчет 26-31.01'!H:H,'Отчет 26-31.01'!D:D,"Выручка",'Отчет 26-31.01'!E:E,B31)</f>
        <v>0</v>
      </c>
      <c r="Q31" s="39">
        <f>SUMIFS('Отчет 26-31.01'!H:H,'Отчет 26-31.01'!D:D,"Возврат выручки",'Отчет 26-31.01'!E:E,B31)</f>
        <v>0</v>
      </c>
      <c r="R31" s="40">
        <f t="shared" si="23"/>
        <v>0</v>
      </c>
      <c r="S31" s="41">
        <f>SUMIFS('Отчет 26-31.01'!P:P,'Отчет 26-31.01'!C:C,"Продажи",'Отчет 26-31.01'!E:E,B31)</f>
        <v>0</v>
      </c>
      <c r="T31" s="42">
        <f>SUMIFS('Отчет 26-31.01'!P:P,'Отчет 26-31.01'!C:C,"Возвраты",'Отчет 26-31.01'!E:E,B31)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26-31.01'!P:P,'Отчет 26-31.01'!C:C,"Вознаграждение Ozon",'Отчет 26-31.01'!E:E,B31)</f>
        <v>0</v>
      </c>
      <c r="Y31" s="45">
        <f t="shared" si="27"/>
        <v>0</v>
      </c>
      <c r="Z31" s="42">
        <f>-SUMIFS('Отчет 26-31.01'!P:P,'Отчет 26-31.01'!C:C,"Услуги доставки",'Отчет 26-31.01'!E:E,B31)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8"/>
        <v>0</v>
      </c>
      <c r="O32" s="38">
        <f t="shared" si="39"/>
        <v>0</v>
      </c>
      <c r="P32" s="39">
        <f>SUMIFS('Отчет 26-31.01'!H:H,'Отчет 26-31.01'!D:D,"Выручка",'Отчет 26-31.01'!E:E,B32)</f>
        <v>0</v>
      </c>
      <c r="Q32" s="39">
        <f>SUMIFS('Отчет 26-31.01'!H:H,'Отчет 26-31.01'!D:D,"Возврат выручки",'Отчет 26-31.01'!E:E,B32)</f>
        <v>0</v>
      </c>
      <c r="R32" s="40">
        <f t="shared" si="23"/>
        <v>0</v>
      </c>
      <c r="S32" s="41">
        <f>SUMIFS('Отчет 26-31.01'!P:P,'Отчет 26-31.01'!C:C,"Продажи",'Отчет 26-31.01'!E:E,B32)</f>
        <v>0</v>
      </c>
      <c r="T32" s="42">
        <f>SUMIFS('Отчет 26-31.01'!P:P,'Отчет 26-31.01'!C:C,"Возвраты",'Отчет 26-31.01'!E:E,B32)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26-31.01'!P:P,'Отчет 26-31.01'!C:C,"Вознаграждение Ozon",'Отчет 26-31.01'!E:E,B32)</f>
        <v>0</v>
      </c>
      <c r="Y32" s="45">
        <f t="shared" si="27"/>
        <v>0</v>
      </c>
      <c r="Z32" s="42">
        <f>-SUMIFS('Отчет 26-31.01'!P:P,'Отчет 26-31.01'!C:C,"Услуги доставки",'Отчет 26-31.01'!E:E,B32)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1</v>
      </c>
      <c r="L33" s="36"/>
      <c r="M33" s="36"/>
      <c r="N33" s="37">
        <f t="shared" si="38"/>
        <v>0.16666666666666666</v>
      </c>
      <c r="O33" s="38">
        <f t="shared" si="39"/>
        <v>0</v>
      </c>
      <c r="P33" s="39">
        <f>SUMIFS('Отчет 26-31.01'!H:H,'Отчет 26-31.01'!D:D,"Выручка",'Отчет 26-31.01'!E:E,B33)</f>
        <v>0</v>
      </c>
      <c r="Q33" s="39">
        <f>SUMIFS('Отчет 26-31.01'!H:H,'Отчет 26-31.01'!D:D,"Возврат выручки",'Отчет 26-31.01'!E:E,B33)</f>
        <v>0</v>
      </c>
      <c r="R33" s="40">
        <f t="shared" si="23"/>
        <v>0</v>
      </c>
      <c r="S33" s="41">
        <f>SUMIFS('Отчет 26-31.01'!P:P,'Отчет 26-31.01'!C:C,"Продажи",'Отчет 26-31.01'!E:E,B33)</f>
        <v>0</v>
      </c>
      <c r="T33" s="42">
        <f>SUMIFS('Отчет 26-31.01'!P:P,'Отчет 26-31.01'!C:C,"Возвраты",'Отчет 26-31.01'!E:E,B33)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26-31.01'!P:P,'Отчет 26-31.01'!C:C,"Вознаграждение Ozon",'Отчет 26-31.01'!E:E,B33)</f>
        <v>0</v>
      </c>
      <c r="Y33" s="45">
        <f t="shared" si="27"/>
        <v>0</v>
      </c>
      <c r="Z33" s="42">
        <f>-SUMIFS('Отчет 26-31.01'!P:P,'Отчет 26-31.01'!C:C,"Услуги доставки",'Отчет 26-31.01'!E:E,B33)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1</v>
      </c>
      <c r="L34" s="36"/>
      <c r="M34" s="36"/>
      <c r="N34" s="37">
        <f t="shared" si="38"/>
        <v>0.16666666666666666</v>
      </c>
      <c r="O34" s="38">
        <f t="shared" si="39"/>
        <v>0</v>
      </c>
      <c r="P34" s="39">
        <f>SUMIFS('Отчет 26-31.01'!H:H,'Отчет 26-31.01'!D:D,"Выручка",'Отчет 26-31.01'!E:E,B34)</f>
        <v>0</v>
      </c>
      <c r="Q34" s="39">
        <f>SUMIFS('Отчет 26-31.01'!H:H,'Отчет 26-31.01'!D:D,"Возврат выручки",'Отчет 26-31.01'!E:E,B34)</f>
        <v>0</v>
      </c>
      <c r="R34" s="40">
        <f t="shared" si="23"/>
        <v>0</v>
      </c>
      <c r="S34" s="41">
        <f>SUMIFS('Отчет 26-31.01'!P:P,'Отчет 26-31.01'!C:C,"Продажи",'Отчет 26-31.01'!E:E,B34)</f>
        <v>0</v>
      </c>
      <c r="T34" s="42">
        <f>SUMIFS('Отчет 26-31.01'!P:P,'Отчет 26-31.01'!C:C,"Возвраты",'Отчет 26-31.01'!E:E,B34)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26-31.01'!P:P,'Отчет 26-31.01'!C:C,"Вознаграждение Ozon",'Отчет 26-31.01'!E:E,B34)</f>
        <v>0</v>
      </c>
      <c r="Y34" s="45">
        <f t="shared" si="27"/>
        <v>0</v>
      </c>
      <c r="Z34" s="42">
        <f>-SUMIFS('Отчет 26-31.01'!P:P,'Отчет 26-31.01'!C:C,"Услуги доставки",'Отчет 26-31.01'!E:E,B34)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2</v>
      </c>
      <c r="L35" s="36"/>
      <c r="M35" s="36"/>
      <c r="N35" s="37">
        <f t="shared" si="38"/>
        <v>0.33333333333333331</v>
      </c>
      <c r="O35" s="38">
        <f t="shared" si="39"/>
        <v>0.33333333333333331</v>
      </c>
      <c r="P35" s="39">
        <f>SUMIFS('Отчет 26-31.01'!H:H,'Отчет 26-31.01'!D:D,"Выручка",'Отчет 26-31.01'!E:E,B35)</f>
        <v>2</v>
      </c>
      <c r="Q35" s="39">
        <f>SUMIFS('Отчет 26-31.01'!H:H,'Отчет 26-31.01'!D:D,"Возврат выручки",'Отчет 26-31.01'!E:E,B35)</f>
        <v>0</v>
      </c>
      <c r="R35" s="40">
        <f t="shared" si="23"/>
        <v>2</v>
      </c>
      <c r="S35" s="41">
        <f>SUMIFS('Отчет 26-31.01'!P:P,'Отчет 26-31.01'!C:C,"Продажи",'Отчет 26-31.01'!E:E,B35)</f>
        <v>7672</v>
      </c>
      <c r="T35" s="42">
        <f>SUMIFS('Отчет 26-31.01'!P:P,'Отчет 26-31.01'!C:C,"Возвраты",'Отчет 26-31.01'!E:E,B35)</f>
        <v>0</v>
      </c>
      <c r="U35" s="40">
        <f t="shared" si="24"/>
        <v>7672</v>
      </c>
      <c r="V35" s="43">
        <f t="shared" si="25"/>
        <v>8.550094728630335E-2</v>
      </c>
      <c r="W35" s="44">
        <f t="shared" si="26"/>
        <v>1104</v>
      </c>
      <c r="X35" s="42">
        <f>-SUMIFS('Отчет 26-31.01'!P:P,'Отчет 26-31.01'!C:C,"Вознаграждение Ozon",'Отчет 26-31.01'!E:E,B35)</f>
        <v>3298.96</v>
      </c>
      <c r="Y35" s="45">
        <f t="shared" si="27"/>
        <v>0.43</v>
      </c>
      <c r="Z35" s="42">
        <f>-SUMIFS('Отчет 26-31.01'!P:P,'Отчет 26-31.01'!C:C,"Услуги доставки",'Отчет 26-31.01'!E:E,B35)</f>
        <v>719.26</v>
      </c>
      <c r="AA35" s="32">
        <v>0</v>
      </c>
      <c r="AB35" s="55"/>
      <c r="AC35" s="42"/>
      <c r="AD35" s="46">
        <f t="shared" si="28"/>
        <v>76.72</v>
      </c>
      <c r="AE35" s="47">
        <f t="shared" si="29"/>
        <v>2473.06</v>
      </c>
      <c r="AF35" s="46"/>
      <c r="AG35" s="48">
        <f t="shared" si="30"/>
        <v>3836</v>
      </c>
      <c r="AH35" s="49">
        <f t="shared" si="31"/>
        <v>552</v>
      </c>
      <c r="AI35" s="49">
        <f t="shared" si="32"/>
        <v>1649.48</v>
      </c>
      <c r="AJ35" s="49">
        <f t="shared" si="33"/>
        <v>359.63</v>
      </c>
      <c r="AK35" s="49">
        <f t="shared" si="34"/>
        <v>0</v>
      </c>
      <c r="AL35" s="49">
        <f t="array" ref="AL35">_xlfn.IFS(R35=0,AE35,R35&lt;0,AE35/-R35,R35&gt;0,AE35/R35)</f>
        <v>1236.53</v>
      </c>
      <c r="AM35" s="50">
        <f t="shared" si="35"/>
        <v>0.32234880083420231</v>
      </c>
      <c r="AN35" s="51">
        <f t="shared" si="36"/>
        <v>2.2400905797101447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0</v>
      </c>
      <c r="L36" s="36"/>
      <c r="M36" s="36"/>
      <c r="N36" s="37">
        <f t="shared" si="38"/>
        <v>0</v>
      </c>
      <c r="O36" s="38">
        <f t="shared" si="39"/>
        <v>0</v>
      </c>
      <c r="P36" s="39">
        <f>SUMIFS('Отчет 26-31.01'!H:H,'Отчет 26-31.01'!D:D,"Выручка",'Отчет 26-31.01'!E:E,B36)</f>
        <v>0</v>
      </c>
      <c r="Q36" s="39">
        <f>SUMIFS('Отчет 26-31.01'!H:H,'Отчет 26-31.01'!D:D,"Возврат выручки",'Отчет 26-31.01'!E:E,B36)</f>
        <v>0</v>
      </c>
      <c r="R36" s="40">
        <f t="shared" si="23"/>
        <v>0</v>
      </c>
      <c r="S36" s="41">
        <f>SUMIFS('Отчет 26-31.01'!P:P,'Отчет 26-31.01'!C:C,"Продажи",'Отчет 26-31.01'!E:E,B36)</f>
        <v>0</v>
      </c>
      <c r="T36" s="42">
        <f>SUMIFS('Отчет 26-31.01'!P:P,'Отчет 26-31.01'!C:C,"Возвраты",'Отчет 26-31.01'!E:E,B36)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26-31.01'!P:P,'Отчет 26-31.01'!C:C,"Вознаграждение Ozon",'Отчет 26-31.01'!E:E,B36)</f>
        <v>0</v>
      </c>
      <c r="Y36" s="45">
        <f t="shared" si="27"/>
        <v>0</v>
      </c>
      <c r="Z36" s="42">
        <f>-SUMIFS('Отчет 26-31.01'!P:P,'Отчет 26-31.01'!C:C,"Услуги доставки",'Отчет 26-31.01'!E:E,B36)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3</v>
      </c>
      <c r="L37" s="36"/>
      <c r="M37" s="36"/>
      <c r="N37" s="37">
        <f t="shared" si="38"/>
        <v>0.5</v>
      </c>
      <c r="O37" s="38">
        <f t="shared" si="39"/>
        <v>0.16666666666666666</v>
      </c>
      <c r="P37" s="39">
        <f>SUMIFS('Отчет 26-31.01'!H:H,'Отчет 26-31.01'!D:D,"Выручка",'Отчет 26-31.01'!E:E,B37)</f>
        <v>1</v>
      </c>
      <c r="Q37" s="39">
        <f>SUMIFS('Отчет 26-31.01'!H:H,'Отчет 26-31.01'!D:D,"Возврат выручки",'Отчет 26-31.01'!E:E,B37)</f>
        <v>0</v>
      </c>
      <c r="R37" s="40">
        <f t="shared" si="23"/>
        <v>1</v>
      </c>
      <c r="S37" s="41">
        <f>SUMIFS('Отчет 26-31.01'!P:P,'Отчет 26-31.01'!C:C,"Продажи",'Отчет 26-31.01'!E:E,B37)</f>
        <v>4506</v>
      </c>
      <c r="T37" s="42">
        <f>SUMIFS('Отчет 26-31.01'!P:P,'Отчет 26-31.01'!C:C,"Возвраты",'Отчет 26-31.01'!E:E,B37)</f>
        <v>0</v>
      </c>
      <c r="U37" s="40">
        <f t="shared" si="24"/>
        <v>4506</v>
      </c>
      <c r="V37" s="43">
        <f t="shared" si="25"/>
        <v>5.0217318622534271E-2</v>
      </c>
      <c r="W37" s="44">
        <f t="shared" si="26"/>
        <v>687</v>
      </c>
      <c r="X37" s="42">
        <f>-SUMIFS('Отчет 26-31.01'!P:P,'Отчет 26-31.01'!C:C,"Вознаграждение Ozon",'Отчет 26-31.01'!E:E,B37)</f>
        <v>1937.58</v>
      </c>
      <c r="Y37" s="45">
        <f t="shared" si="27"/>
        <v>0.43</v>
      </c>
      <c r="Z37" s="42">
        <f>-SUMIFS('Отчет 26-31.01'!P:P,'Отчет 26-31.01'!C:C,"Услуги доставки",'Отчет 26-31.01'!E:E,B37)</f>
        <v>389.27</v>
      </c>
      <c r="AA37" s="32">
        <v>0</v>
      </c>
      <c r="AB37" s="55"/>
      <c r="AC37" s="42"/>
      <c r="AD37" s="46">
        <f t="shared" si="28"/>
        <v>45.06</v>
      </c>
      <c r="AE37" s="47">
        <f t="shared" si="29"/>
        <v>1447.0900000000001</v>
      </c>
      <c r="AF37" s="46"/>
      <c r="AG37" s="48">
        <f t="shared" si="30"/>
        <v>4506</v>
      </c>
      <c r="AH37" s="49">
        <f t="shared" si="31"/>
        <v>687</v>
      </c>
      <c r="AI37" s="49">
        <f t="shared" si="32"/>
        <v>1937.58</v>
      </c>
      <c r="AJ37" s="49">
        <f t="shared" si="33"/>
        <v>389.27</v>
      </c>
      <c r="AK37" s="49">
        <f t="shared" si="34"/>
        <v>0</v>
      </c>
      <c r="AL37" s="49">
        <f t="array" ref="AL37">_xlfn.IFS(R37=0,AE37,R37&lt;0,AE37/-R37,R37&gt;0,AE37/R37)</f>
        <v>1447.0900000000001</v>
      </c>
      <c r="AM37" s="50">
        <f t="shared" si="35"/>
        <v>0.32114735907678654</v>
      </c>
      <c r="AN37" s="51">
        <f t="shared" si="36"/>
        <v>2.1063901018922855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1</v>
      </c>
      <c r="L38" s="36"/>
      <c r="M38" s="36"/>
      <c r="N38" s="37">
        <f t="shared" si="38"/>
        <v>0.16666666666666666</v>
      </c>
      <c r="O38" s="38">
        <f t="shared" si="39"/>
        <v>0</v>
      </c>
      <c r="P38" s="39">
        <f>SUMIFS('Отчет 26-31.01'!H:H,'Отчет 26-31.01'!D:D,"Выручка",'Отчет 26-31.01'!E:E,B38)</f>
        <v>0</v>
      </c>
      <c r="Q38" s="39">
        <f>SUMIFS('Отчет 26-31.01'!H:H,'Отчет 26-31.01'!D:D,"Возврат выручки",'Отчет 26-31.01'!E:E,B38)</f>
        <v>0</v>
      </c>
      <c r="R38" s="40">
        <f t="shared" si="23"/>
        <v>0</v>
      </c>
      <c r="S38" s="41">
        <f>SUMIFS('Отчет 26-31.01'!P:P,'Отчет 26-31.01'!C:C,"Продажи",'Отчет 26-31.01'!E:E,B38)</f>
        <v>0</v>
      </c>
      <c r="T38" s="42">
        <f>SUMIFS('Отчет 26-31.01'!P:P,'Отчет 26-31.01'!C:C,"Возвраты",'Отчет 26-31.01'!E:E,B38)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26-31.01'!P:P,'Отчет 26-31.01'!C:C,"Вознаграждение Ozon",'Отчет 26-31.01'!E:E,B38)</f>
        <v>0</v>
      </c>
      <c r="Y38" s="45">
        <f t="shared" si="27"/>
        <v>0</v>
      </c>
      <c r="Z38" s="42">
        <f>-SUMIFS('Отчет 26-31.01'!P:P,'Отчет 26-31.01'!C:C,"Услуги доставки",'Отчет 26-31.01'!E:E,B38)</f>
        <v>113.88</v>
      </c>
      <c r="AA38" s="32">
        <v>0</v>
      </c>
      <c r="AB38" s="55"/>
      <c r="AC38" s="42"/>
      <c r="AD38" s="46">
        <f t="shared" si="28"/>
        <v>0</v>
      </c>
      <c r="AE38" s="47">
        <f t="shared" si="29"/>
        <v>-113.88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113.88</v>
      </c>
      <c r="AK38" s="49">
        <f t="shared" si="34"/>
        <v>0</v>
      </c>
      <c r="AL38" s="49">
        <f t="array" ref="AL38">_xlfn.IFS(R38=0,AE38,R38&lt;0,AE38/-R38,R38&gt;0,AE38/R38)</f>
        <v>-113.88</v>
      </c>
      <c r="AM38" s="50">
        <f t="shared" si="35"/>
        <v>0</v>
      </c>
      <c r="AN38" s="51">
        <f t="shared" si="36"/>
        <v>-0.16576419213973798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1</v>
      </c>
      <c r="L39" s="36"/>
      <c r="M39" s="36"/>
      <c r="N39" s="37">
        <f t="shared" si="38"/>
        <v>0.16666666666666666</v>
      </c>
      <c r="O39" s="38">
        <f t="shared" si="39"/>
        <v>0</v>
      </c>
      <c r="P39" s="39">
        <f>SUMIFS('Отчет 26-31.01'!H:H,'Отчет 26-31.01'!D:D,"Выручка",'Отчет 26-31.01'!E:E,B39)</f>
        <v>0</v>
      </c>
      <c r="Q39" s="39">
        <f>SUMIFS('Отчет 26-31.01'!H:H,'Отчет 26-31.01'!D:D,"Возврат выручки",'Отчет 26-31.01'!E:E,B39)</f>
        <v>0</v>
      </c>
      <c r="R39" s="40">
        <f t="shared" si="23"/>
        <v>0</v>
      </c>
      <c r="S39" s="41">
        <f>SUMIFS('Отчет 26-31.01'!P:P,'Отчет 26-31.01'!C:C,"Продажи",'Отчет 26-31.01'!E:E,B39)</f>
        <v>0</v>
      </c>
      <c r="T39" s="42">
        <f>SUMIFS('Отчет 26-31.01'!P:P,'Отчет 26-31.01'!C:C,"Возвраты",'Отчет 26-31.01'!E:E,B39)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26-31.01'!P:P,'Отчет 26-31.01'!C:C,"Вознаграждение Ozon",'Отчет 26-31.01'!E:E,B39)</f>
        <v>0</v>
      </c>
      <c r="Y39" s="45">
        <f t="shared" si="27"/>
        <v>0</v>
      </c>
      <c r="Z39" s="42">
        <f>-SUMIFS('Отчет 26-31.01'!P:P,'Отчет 26-31.01'!C:C,"Услуги доставки",'Отчет 26-31.01'!E:E,B39)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1</v>
      </c>
      <c r="L40" s="36"/>
      <c r="M40" s="36"/>
      <c r="N40" s="37">
        <f t="shared" si="38"/>
        <v>0.16666666666666666</v>
      </c>
      <c r="O40" s="38">
        <f t="shared" si="39"/>
        <v>0</v>
      </c>
      <c r="P40" s="39">
        <f>SUMIFS('Отчет 26-31.01'!H:H,'Отчет 26-31.01'!D:D,"Выручка",'Отчет 26-31.01'!E:E,B40)</f>
        <v>0</v>
      </c>
      <c r="Q40" s="39">
        <f>SUMIFS('Отчет 26-31.01'!H:H,'Отчет 26-31.01'!D:D,"Возврат выручки",'Отчет 26-31.01'!E:E,B40)</f>
        <v>0</v>
      </c>
      <c r="R40" s="40">
        <f t="shared" si="23"/>
        <v>0</v>
      </c>
      <c r="S40" s="41">
        <f>SUMIFS('Отчет 26-31.01'!P:P,'Отчет 26-31.01'!C:C,"Продажи",'Отчет 26-31.01'!E:E,B40)</f>
        <v>0</v>
      </c>
      <c r="T40" s="42">
        <f>SUMIFS('Отчет 26-31.01'!P:P,'Отчет 26-31.01'!C:C,"Возвраты",'Отчет 26-31.01'!E:E,B40)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26-31.01'!P:P,'Отчет 26-31.01'!C:C,"Вознаграждение Ozon",'Отчет 26-31.01'!E:E,B40)</f>
        <v>0</v>
      </c>
      <c r="Y40" s="45">
        <f t="shared" si="27"/>
        <v>0</v>
      </c>
      <c r="Z40" s="42">
        <f>-SUMIFS('Отчет 26-31.01'!P:P,'Отчет 26-31.01'!C:C,"Услуги доставки",'Отчет 26-31.01'!E:E,B40)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8"/>
        <v>0</v>
      </c>
      <c r="O41" s="38">
        <f t="shared" si="39"/>
        <v>0</v>
      </c>
      <c r="P41" s="39">
        <f>SUMIFS('Отчет 26-31.01'!H:H,'Отчет 26-31.01'!D:D,"Выручка",'Отчет 26-31.01'!E:E,B41)</f>
        <v>0</v>
      </c>
      <c r="Q41" s="39">
        <f>SUMIFS('Отчет 26-31.01'!H:H,'Отчет 26-31.01'!D:D,"Возврат выручки",'Отчет 26-31.01'!E:E,B41)</f>
        <v>0</v>
      </c>
      <c r="R41" s="40">
        <f t="shared" si="23"/>
        <v>0</v>
      </c>
      <c r="S41" s="41">
        <f>SUMIFS('Отчет 26-31.01'!P:P,'Отчет 26-31.01'!C:C,"Продажи",'Отчет 26-31.01'!E:E,B41)</f>
        <v>0</v>
      </c>
      <c r="T41" s="42">
        <f>SUMIFS('Отчет 26-31.01'!P:P,'Отчет 26-31.01'!C:C,"Возвраты",'Отчет 26-31.01'!E:E,B41)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26-31.01'!P:P,'Отчет 26-31.01'!C:C,"Вознаграждение Ozon",'Отчет 26-31.01'!E:E,B41)</f>
        <v>0</v>
      </c>
      <c r="Y41" s="45">
        <f t="shared" si="27"/>
        <v>0</v>
      </c>
      <c r="Z41" s="42">
        <f>-SUMIFS('Отчет 26-31.01'!P:P,'Отчет 26-31.01'!C:C,"Услуги доставки",'Отчет 26-31.01'!E:E,B41)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2</v>
      </c>
      <c r="L42" s="36"/>
      <c r="M42" s="36"/>
      <c r="N42" s="37">
        <f t="shared" si="38"/>
        <v>0.33333333333333331</v>
      </c>
      <c r="O42" s="38">
        <f t="shared" si="39"/>
        <v>0</v>
      </c>
      <c r="P42" s="39">
        <f>SUMIFS('Отчет 26-31.01'!H:H,'Отчет 26-31.01'!D:D,"Выручка",'Отчет 26-31.01'!E:E,B42)</f>
        <v>0</v>
      </c>
      <c r="Q42" s="39">
        <f>SUMIFS('Отчет 26-31.01'!H:H,'Отчет 26-31.01'!D:D,"Возврат выручки",'Отчет 26-31.01'!E:E,B42)</f>
        <v>0</v>
      </c>
      <c r="R42" s="40">
        <f t="shared" si="23"/>
        <v>0</v>
      </c>
      <c r="S42" s="41">
        <f>SUMIFS('Отчет 26-31.01'!P:P,'Отчет 26-31.01'!C:C,"Продажи",'Отчет 26-31.01'!E:E,B42)</f>
        <v>0</v>
      </c>
      <c r="T42" s="42">
        <f>SUMIFS('Отчет 26-31.01'!P:P,'Отчет 26-31.01'!C:C,"Возвраты",'Отчет 26-31.01'!E:E,B42)</f>
        <v>0</v>
      </c>
      <c r="U42" s="40">
        <f t="shared" si="24"/>
        <v>0</v>
      </c>
      <c r="V42" s="43">
        <f t="shared" si="25"/>
        <v>0</v>
      </c>
      <c r="W42" s="44">
        <f t="shared" si="26"/>
        <v>0</v>
      </c>
      <c r="X42" s="42">
        <f>-SUMIFS('Отчет 26-31.01'!P:P,'Отчет 26-31.01'!C:C,"Вознаграждение Ozon",'Отчет 26-31.01'!E:E,B42)</f>
        <v>0</v>
      </c>
      <c r="Y42" s="45">
        <f t="shared" si="27"/>
        <v>0</v>
      </c>
      <c r="Z42" s="42">
        <f>-SUMIFS('Отчет 26-31.01'!P:P,'Отчет 26-31.01'!C:C,"Услуги доставки",'Отчет 26-31.01'!E:E,B42)</f>
        <v>0</v>
      </c>
      <c r="AA42" s="32">
        <v>0</v>
      </c>
      <c r="AB42" s="55"/>
      <c r="AC42" s="42"/>
      <c r="AD42" s="46">
        <f t="shared" si="28"/>
        <v>0</v>
      </c>
      <c r="AE42" s="47">
        <f t="shared" si="29"/>
        <v>0</v>
      </c>
      <c r="AF42" s="46"/>
      <c r="AG42" s="48">
        <f t="shared" si="30"/>
        <v>0</v>
      </c>
      <c r="AH42" s="49">
        <f t="shared" si="31"/>
        <v>642</v>
      </c>
      <c r="AI42" s="49">
        <f t="shared" si="32"/>
        <v>0</v>
      </c>
      <c r="AJ42" s="49">
        <f t="shared" si="33"/>
        <v>0</v>
      </c>
      <c r="AK42" s="49">
        <f t="shared" si="34"/>
        <v>0</v>
      </c>
      <c r="AL42" s="49">
        <f t="array" ref="AL42">_xlfn.IFS(R42=0,AE42,R42&lt;0,AE42/-R42,R42&gt;0,AE42/R42)</f>
        <v>0</v>
      </c>
      <c r="AM42" s="50">
        <f t="shared" si="35"/>
        <v>0</v>
      </c>
      <c r="AN42" s="51">
        <f t="shared" si="36"/>
        <v>0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8"/>
        <v>0</v>
      </c>
      <c r="O43" s="38">
        <f t="shared" si="39"/>
        <v>0</v>
      </c>
      <c r="P43" s="39">
        <f>SUMIFS('Отчет 26-31.01'!H:H,'Отчет 26-31.01'!D:D,"Выручка",'Отчет 26-31.01'!E:E,B43)</f>
        <v>0</v>
      </c>
      <c r="Q43" s="39">
        <f>SUMIFS('Отчет 26-31.01'!H:H,'Отчет 26-31.01'!D:D,"Возврат выручки",'Отчет 26-31.01'!E:E,B43)</f>
        <v>0</v>
      </c>
      <c r="R43" s="40">
        <f t="shared" si="23"/>
        <v>0</v>
      </c>
      <c r="S43" s="41">
        <f>SUMIFS('Отчет 26-31.01'!P:P,'Отчет 26-31.01'!C:C,"Продажи",'Отчет 26-31.01'!E:E,B43)</f>
        <v>0</v>
      </c>
      <c r="T43" s="42">
        <f>SUMIFS('Отчет 26-31.01'!P:P,'Отчет 26-31.01'!C:C,"Возвраты",'Отчет 26-31.01'!E:E,B43)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26-31.01'!P:P,'Отчет 26-31.01'!C:C,"Вознаграждение Ozon",'Отчет 26-31.01'!E:E,B43)</f>
        <v>0</v>
      </c>
      <c r="Y43" s="45">
        <f t="shared" si="27"/>
        <v>0</v>
      </c>
      <c r="Z43" s="42">
        <f>-SUMIFS('Отчет 26-31.01'!P:P,'Отчет 26-31.01'!C:C,"Услуги доставки",'Отчет 26-31.01'!E:E,B43)</f>
        <v>227.76</v>
      </c>
      <c r="AA43" s="32">
        <v>0</v>
      </c>
      <c r="AB43" s="55"/>
      <c r="AC43" s="42"/>
      <c r="AD43" s="46">
        <f t="shared" si="28"/>
        <v>0</v>
      </c>
      <c r="AE43" s="47">
        <f t="shared" si="29"/>
        <v>-227.76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227.76</v>
      </c>
      <c r="AK43" s="49">
        <f t="shared" si="34"/>
        <v>0</v>
      </c>
      <c r="AL43" s="49">
        <f t="array" ref="AL43">_xlfn.IFS(R43=0,AE43,R43&lt;0,AE43/-R43,R43&gt;0,AE43/R43)</f>
        <v>-227.76</v>
      </c>
      <c r="AM43" s="50">
        <f t="shared" si="35"/>
        <v>0</v>
      </c>
      <c r="AN43" s="51">
        <f t="shared" si="36"/>
        <v>-0.3547663551401869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30</v>
      </c>
      <c r="L44" s="36"/>
      <c r="M44" s="36"/>
      <c r="N44" s="37">
        <f t="shared" si="38"/>
        <v>5</v>
      </c>
      <c r="O44" s="38">
        <f t="shared" si="39"/>
        <v>1.5</v>
      </c>
      <c r="P44" s="39">
        <f>SUMIFS('Отчет 26-31.01'!H:H,'Отчет 26-31.01'!D:D,"Выручка",'Отчет 26-31.01'!E:E,B44)</f>
        <v>9</v>
      </c>
      <c r="Q44" s="39">
        <f>SUMIFS('Отчет 26-31.01'!H:H,'Отчет 26-31.01'!D:D,"Возврат выручки",'Отчет 26-31.01'!E:E,B44)</f>
        <v>0</v>
      </c>
      <c r="R44" s="40">
        <f t="shared" si="23"/>
        <v>9</v>
      </c>
      <c r="S44" s="41">
        <f>SUMIFS('Отчет 26-31.01'!P:P,'Отчет 26-31.01'!C:C,"Продажи",'Отчет 26-31.01'!E:E,B44)</f>
        <v>38794</v>
      </c>
      <c r="T44" s="42">
        <f>SUMIFS('Отчет 26-31.01'!P:P,'Отчет 26-31.01'!C:C,"Возвраты",'Отчет 26-31.01'!E:E,B44)</f>
        <v>0</v>
      </c>
      <c r="U44" s="40">
        <f t="shared" si="24"/>
        <v>38794</v>
      </c>
      <c r="V44" s="43">
        <f t="shared" si="25"/>
        <v>0.43234146885099745</v>
      </c>
      <c r="W44" s="44">
        <f t="shared" si="26"/>
        <v>6183</v>
      </c>
      <c r="X44" s="42">
        <f>-SUMIFS('Отчет 26-31.01'!P:P,'Отчет 26-31.01'!C:C,"Вознаграждение Ozon",'Отчет 26-31.01'!E:E,B44)</f>
        <v>16681.420000000002</v>
      </c>
      <c r="Y44" s="45">
        <f t="shared" si="27"/>
        <v>0.43000000000000005</v>
      </c>
      <c r="Z44" s="42">
        <f>-SUMIFS('Отчет 26-31.01'!P:P,'Отчет 26-31.01'!C:C,"Услуги доставки",'Отчет 26-31.01'!E:E,B44)</f>
        <v>3603.6800000000007</v>
      </c>
      <c r="AA44" s="32">
        <v>6302.8918620000004</v>
      </c>
      <c r="AB44" s="55"/>
      <c r="AC44" s="42"/>
      <c r="AD44" s="46">
        <f t="shared" si="28"/>
        <v>387.94</v>
      </c>
      <c r="AE44" s="47">
        <f t="shared" si="29"/>
        <v>5635.0681379999978</v>
      </c>
      <c r="AF44" s="46"/>
      <c r="AG44" s="48">
        <f t="shared" si="30"/>
        <v>4310.4444444444443</v>
      </c>
      <c r="AH44" s="49">
        <f t="shared" si="31"/>
        <v>687</v>
      </c>
      <c r="AI44" s="49">
        <f t="shared" si="32"/>
        <v>1853.4911111111114</v>
      </c>
      <c r="AJ44" s="49">
        <f t="shared" si="33"/>
        <v>400.40888888888895</v>
      </c>
      <c r="AK44" s="49">
        <f t="shared" si="34"/>
        <v>700.32131800000002</v>
      </c>
      <c r="AL44" s="49">
        <f t="array" ref="AL44">_xlfn.IFS(R44=0,AE44,R44&lt;0,AE44/-R44,R44&gt;0,AE44/R44)</f>
        <v>626.11868199999981</v>
      </c>
      <c r="AM44" s="50">
        <f t="shared" si="35"/>
        <v>0.14525617719234929</v>
      </c>
      <c r="AN44" s="51">
        <f t="shared" si="36"/>
        <v>0.9113809053857348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8</v>
      </c>
      <c r="L45" s="36"/>
      <c r="M45" s="36"/>
      <c r="N45" s="37">
        <f t="shared" si="38"/>
        <v>1.3333333333333333</v>
      </c>
      <c r="O45" s="38">
        <f t="shared" si="39"/>
        <v>1.1666666666666667</v>
      </c>
      <c r="P45" s="39">
        <f>SUMIFS('Отчет 26-31.01'!H:H,'Отчет 26-31.01'!D:D,"Выручка",'Отчет 26-31.01'!E:E,B45)</f>
        <v>7</v>
      </c>
      <c r="Q45" s="39">
        <f>SUMIFS('Отчет 26-31.01'!H:H,'Отчет 26-31.01'!D:D,"Возврат выручки",'Отчет 26-31.01'!E:E,B45)</f>
        <v>0</v>
      </c>
      <c r="R45" s="40">
        <f t="shared" si="23"/>
        <v>7</v>
      </c>
      <c r="S45" s="41">
        <f>SUMIFS('Отчет 26-31.01'!P:P,'Отчет 26-31.01'!C:C,"Продажи",'Отчет 26-31.01'!E:E,B45)</f>
        <v>34580</v>
      </c>
      <c r="T45" s="42">
        <f>SUMIFS('Отчет 26-31.01'!P:P,'Отчет 26-31.01'!C:C,"Возвраты",'Отчет 26-31.01'!E:E,B45)</f>
        <v>0</v>
      </c>
      <c r="U45" s="40">
        <f t="shared" si="24"/>
        <v>34580</v>
      </c>
      <c r="V45" s="43">
        <f t="shared" si="25"/>
        <v>0.38537835729410452</v>
      </c>
      <c r="W45" s="44">
        <f t="shared" si="26"/>
        <v>4809</v>
      </c>
      <c r="X45" s="42">
        <f>-SUMIFS('Отчет 26-31.01'!P:P,'Отчет 26-31.01'!C:C,"Вознаграждение Ozon",'Отчет 26-31.01'!E:E,B45)</f>
        <v>14869.400000000001</v>
      </c>
      <c r="Y45" s="45">
        <f t="shared" si="27"/>
        <v>0.43000000000000005</v>
      </c>
      <c r="Z45" s="42">
        <f>-SUMIFS('Отчет 26-31.01'!P:P,'Отчет 26-31.01'!C:C,"Услуги доставки",'Отчет 26-31.01'!E:E,B45)</f>
        <v>2996.8700000000008</v>
      </c>
      <c r="AA45" s="32">
        <v>3217.2</v>
      </c>
      <c r="AB45" s="55"/>
      <c r="AC45" s="42"/>
      <c r="AD45" s="46">
        <f t="shared" si="28"/>
        <v>345.8</v>
      </c>
      <c r="AE45" s="47">
        <f t="shared" si="29"/>
        <v>8341.73</v>
      </c>
      <c r="AF45" s="46"/>
      <c r="AG45" s="48">
        <f t="shared" si="30"/>
        <v>4940</v>
      </c>
      <c r="AH45" s="49">
        <f t="shared" si="31"/>
        <v>687</v>
      </c>
      <c r="AI45" s="49">
        <f t="shared" si="32"/>
        <v>2124.2000000000003</v>
      </c>
      <c r="AJ45" s="49">
        <f t="shared" si="33"/>
        <v>428.1242857142858</v>
      </c>
      <c r="AK45" s="49">
        <f t="shared" si="34"/>
        <v>459.59999999999997</v>
      </c>
      <c r="AL45" s="49">
        <f t="array" ref="AL45">_xlfn.IFS(R45=0,AE45,R45&lt;0,AE45/-R45,R45&gt;0,AE45/R45)</f>
        <v>1191.6757142857143</v>
      </c>
      <c r="AM45" s="50">
        <f t="shared" si="35"/>
        <v>0.2412299016772701</v>
      </c>
      <c r="AN45" s="51">
        <f t="shared" si="36"/>
        <v>1.7346080266167603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8</v>
      </c>
      <c r="L46" s="36"/>
      <c r="M46" s="36"/>
      <c r="N46" s="37">
        <f t="shared" si="38"/>
        <v>1.3333333333333333</v>
      </c>
      <c r="O46" s="38">
        <f t="shared" si="39"/>
        <v>0.16666666666666666</v>
      </c>
      <c r="P46" s="39">
        <f>SUMIFS('Отчет 26-31.01'!H:H,'Отчет 26-31.01'!D:D,"Выручка",'Отчет 26-31.01'!E:E,B46)</f>
        <v>1</v>
      </c>
      <c r="Q46" s="39">
        <f>SUMIFS('Отчет 26-31.01'!H:H,'Отчет 26-31.01'!D:D,"Возврат выручки",'Отчет 26-31.01'!E:E,B46)</f>
        <v>0</v>
      </c>
      <c r="R46" s="40">
        <f t="shared" si="23"/>
        <v>1</v>
      </c>
      <c r="S46" s="41">
        <f>SUMIFS('Отчет 26-31.01'!P:P,'Отчет 26-31.01'!C:C,"Продажи",'Отчет 26-31.01'!E:E,B46)</f>
        <v>4178</v>
      </c>
      <c r="T46" s="42">
        <f>SUMIFS('Отчет 26-31.01'!P:P,'Отчет 26-31.01'!C:C,"Возвраты",'Отчет 26-31.01'!E:E,B46)</f>
        <v>0</v>
      </c>
      <c r="U46" s="40">
        <f t="shared" si="24"/>
        <v>4178</v>
      </c>
      <c r="V46" s="43">
        <f t="shared" si="25"/>
        <v>4.6561907946060403E-2</v>
      </c>
      <c r="W46" s="44">
        <f t="shared" si="26"/>
        <v>552</v>
      </c>
      <c r="X46" s="42">
        <f>-SUMIFS('Отчет 26-31.01'!P:P,'Отчет 26-31.01'!C:C,"Вознаграждение Ozon",'Отчет 26-31.01'!E:E,B46)</f>
        <v>1796.54</v>
      </c>
      <c r="Y46" s="45">
        <f t="shared" si="27"/>
        <v>0.43</v>
      </c>
      <c r="Z46" s="42">
        <f>-SUMIFS('Отчет 26-31.01'!P:P,'Отчет 26-31.01'!C:C,"Услуги доставки",'Отчет 26-31.01'!E:E,B46)</f>
        <v>261.63</v>
      </c>
      <c r="AA46" s="32">
        <v>3299.1957350000002</v>
      </c>
      <c r="AB46" s="55"/>
      <c r="AC46" s="42"/>
      <c r="AD46" s="46">
        <f t="shared" si="28"/>
        <v>41.78</v>
      </c>
      <c r="AE46" s="47">
        <f t="shared" si="29"/>
        <v>-1773.1457350000003</v>
      </c>
      <c r="AF46" s="46"/>
      <c r="AG46" s="48">
        <f t="shared" si="30"/>
        <v>4178</v>
      </c>
      <c r="AH46" s="49">
        <f t="shared" si="31"/>
        <v>552</v>
      </c>
      <c r="AI46" s="49">
        <f t="shared" si="32"/>
        <v>1796.54</v>
      </c>
      <c r="AJ46" s="49">
        <f t="shared" si="33"/>
        <v>261.63</v>
      </c>
      <c r="AK46" s="49">
        <f t="shared" si="34"/>
        <v>3299.1957350000002</v>
      </c>
      <c r="AL46" s="49">
        <f t="array" ref="AL46">_xlfn.IFS(R46=0,AE46,R46&lt;0,AE46/-R46,R46&gt;0,AE46/R46)</f>
        <v>-1773.1457350000003</v>
      </c>
      <c r="AM46" s="50">
        <f t="shared" si="35"/>
        <v>-0.42440060674964103</v>
      </c>
      <c r="AN46" s="51">
        <f t="shared" si="36"/>
        <v>-3.2122205344202905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1</v>
      </c>
      <c r="L47" s="36"/>
      <c r="M47" s="36"/>
      <c r="N47" s="37">
        <f t="shared" si="38"/>
        <v>0.16666666666666666</v>
      </c>
      <c r="O47" s="38">
        <f t="shared" si="39"/>
        <v>0</v>
      </c>
      <c r="P47" s="39">
        <f>SUMIFS('Отчет 26-31.01'!H:H,'Отчет 26-31.01'!D:D,"Выручка",'Отчет 26-31.01'!E:E,B47)</f>
        <v>0</v>
      </c>
      <c r="Q47" s="39">
        <f>SUMIFS('Отчет 26-31.01'!H:H,'Отчет 26-31.01'!D:D,"Возврат выручки",'Отчет 26-31.01'!E:E,B47)</f>
        <v>0</v>
      </c>
      <c r="R47" s="40">
        <f t="shared" si="23"/>
        <v>0</v>
      </c>
      <c r="S47" s="41">
        <f>SUMIFS('Отчет 26-31.01'!P:P,'Отчет 26-31.01'!C:C,"Продажи",'Отчет 26-31.01'!E:E,B47)</f>
        <v>0</v>
      </c>
      <c r="T47" s="42">
        <f>SUMIFS('Отчет 26-31.01'!P:P,'Отчет 26-31.01'!C:C,"Возвраты",'Отчет 26-31.01'!E:E,B47)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26-31.01'!P:P,'Отчет 26-31.01'!C:C,"Вознаграждение Ozon",'Отчет 26-31.01'!E:E,B47)</f>
        <v>0</v>
      </c>
      <c r="Y47" s="45">
        <f t="shared" si="27"/>
        <v>0</v>
      </c>
      <c r="Z47" s="42">
        <f>-SUMIFS('Отчет 26-31.01'!P:P,'Отчет 26-31.01'!C:C,"Услуги доставки",'Отчет 26-31.01'!E:E,B47)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40">AVERAGEIF(AG28:AG47,"&lt;&gt;0",AG28:AG47)</f>
        <v>4354.0888888888894</v>
      </c>
      <c r="AH48" s="86">
        <f t="shared" si="40"/>
        <v>617.25</v>
      </c>
      <c r="AI48" s="86">
        <f t="shared" si="40"/>
        <v>1872.2582222222227</v>
      </c>
      <c r="AJ48" s="86">
        <f t="shared" si="40"/>
        <v>252.23431746031747</v>
      </c>
      <c r="AK48" s="86">
        <f t="shared" si="40"/>
        <v>1486.372351</v>
      </c>
      <c r="AL48" s="86">
        <f t="shared" si="40"/>
        <v>160.58010862857134</v>
      </c>
      <c r="AM48" s="87">
        <f t="shared" si="40"/>
        <v>0.12111632640619341</v>
      </c>
      <c r="AN48" s="87">
        <f t="shared" si="40"/>
        <v>0.20734477186855829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60</v>
      </c>
      <c r="L49" s="93"/>
      <c r="M49" s="93"/>
      <c r="N49" s="94"/>
      <c r="O49" s="95"/>
      <c r="P49" s="90">
        <f t="shared" ref="P49:X49" si="41">SUM(P28:P47)</f>
        <v>20</v>
      </c>
      <c r="Q49" s="90">
        <f t="shared" si="41"/>
        <v>0</v>
      </c>
      <c r="R49" s="96">
        <f t="shared" si="41"/>
        <v>20</v>
      </c>
      <c r="S49" s="90">
        <f t="shared" si="41"/>
        <v>89730</v>
      </c>
      <c r="T49" s="90">
        <f t="shared" si="41"/>
        <v>0</v>
      </c>
      <c r="U49" s="96">
        <f t="shared" si="41"/>
        <v>89730</v>
      </c>
      <c r="V49" s="97">
        <f t="shared" si="41"/>
        <v>1</v>
      </c>
      <c r="W49" s="90">
        <f t="shared" si="41"/>
        <v>13335</v>
      </c>
      <c r="X49" s="90">
        <f t="shared" si="41"/>
        <v>38583.9</v>
      </c>
      <c r="Y49" s="98">
        <f>IF(U49=0,0,X49/U49)</f>
        <v>0.43</v>
      </c>
      <c r="Z49" s="90">
        <f>SUM(Z28:Z47)</f>
        <v>8653.99</v>
      </c>
      <c r="AA49" s="90">
        <f>IFERROR(P49*AA51/P51,0)</f>
        <v>7120.0717391304361</v>
      </c>
      <c r="AB49" s="90">
        <f>SUM(AB28:AB47)</f>
        <v>0</v>
      </c>
      <c r="AC49" s="90">
        <f>SUM(AC28:AC47)</f>
        <v>0</v>
      </c>
      <c r="AD49" s="96">
        <f>SUM(AD28:AD47)</f>
        <v>897.3</v>
      </c>
      <c r="AE49" s="90">
        <f>SUM(AE28:AE47)</f>
        <v>15001.334827999997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13258.475172000002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160</v>
      </c>
      <c r="L51" s="119"/>
      <c r="M51" s="119"/>
      <c r="N51" s="119"/>
      <c r="O51" s="119"/>
      <c r="P51" s="120">
        <f t="shared" ref="P51:X51" si="42">P26+P49</f>
        <v>92</v>
      </c>
      <c r="Q51" s="118">
        <f t="shared" si="42"/>
        <v>3</v>
      </c>
      <c r="R51" s="121">
        <f t="shared" si="42"/>
        <v>89</v>
      </c>
      <c r="S51" s="118">
        <f t="shared" si="42"/>
        <v>210061</v>
      </c>
      <c r="T51" s="118">
        <f t="shared" si="42"/>
        <v>-4419</v>
      </c>
      <c r="U51" s="121">
        <f t="shared" si="42"/>
        <v>205642</v>
      </c>
      <c r="V51" s="122">
        <f t="shared" si="42"/>
        <v>2.2917864705226796</v>
      </c>
      <c r="W51" s="118">
        <f t="shared" si="42"/>
        <v>23805.94</v>
      </c>
      <c r="X51" s="118">
        <f t="shared" si="42"/>
        <v>88426.06</v>
      </c>
      <c r="Y51" s="123">
        <f>X51/U51</f>
        <v>0.43</v>
      </c>
      <c r="Z51" s="118">
        <f>Z26+Z49</f>
        <v>21850.600000000013</v>
      </c>
      <c r="AA51" s="124">
        <v>32752.33</v>
      </c>
      <c r="AB51" s="125"/>
      <c r="AC51" s="125">
        <f>SUM(AC3:AC47)</f>
        <v>0</v>
      </c>
      <c r="AD51" s="118">
        <f>AD26+AD49</f>
        <v>2056.4199999999992</v>
      </c>
      <c r="AE51" s="126">
        <f>AE26+AE49</f>
        <v>36750.633952999997</v>
      </c>
      <c r="AF51" s="127"/>
      <c r="AG51" s="128"/>
      <c r="AH51" s="129"/>
      <c r="AI51" s="129"/>
      <c r="AJ51" s="129"/>
      <c r="AK51" s="129">
        <f>AA52/P51</f>
        <v>356.00358695652176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32752.33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32752.346047000003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69" priority="28" operator="greaterThan">
      <formula>120</formula>
    </cfRule>
  </conditionalFormatting>
  <conditionalFormatting sqref="N50">
    <cfRule type="cellIs" dxfId="68" priority="27" operator="between">
      <formula>0.000001</formula>
      <formula>25</formula>
    </cfRule>
  </conditionalFormatting>
  <conditionalFormatting sqref="V1 V52:V55 V57:V1048576">
    <cfRule type="cellIs" dxfId="67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{0935B8A8-FF39-49C0-88CB-0A6D289E3131}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{CF6063B9-09C8-4B8D-9A98-2AB6283869DE}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{0DCFF77F-4271-4013-A4A4-36422E5A8903}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{3C51C23E-FE27-4615-B82C-AF0DB71CD6B4}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{A42F797F-8436-4DE3-BE23-6197784D1D7F}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{A05A7A38-BF22-4941-BA95-542AB7E3C400}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{9CA104AD-B368-4F97-A052-11EE560B44D6}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{F181B069-BBF5-4535-91B5-92942054D9FE}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{7B4E2BE8-3ECC-4F5D-8250-B1DA4EE8095A}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{67DB623C-18FD-48EA-8B05-111B3B98AF2B}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{8D0D6C76-78D5-45DE-B8E1-E8F1093C0CDA}</x14:id>
        </ext>
      </extLst>
    </cfRule>
  </conditionalFormatting>
  <conditionalFormatting sqref="P50">
    <cfRule type="cellIs" dxfId="66" priority="23" operator="greaterThan">
      <formula>120</formula>
    </cfRule>
  </conditionalFormatting>
  <conditionalFormatting sqref="Q50">
    <cfRule type="cellIs" dxfId="65" priority="22" operator="greaterThan">
      <formula>120</formula>
    </cfRule>
  </conditionalFormatting>
  <conditionalFormatting sqref="R50">
    <cfRule type="cellIs" dxfId="64" priority="21" operator="greaterThan">
      <formula>120</formula>
    </cfRule>
  </conditionalFormatting>
  <conditionalFormatting sqref="S50">
    <cfRule type="cellIs" dxfId="63" priority="20" operator="greaterThan">
      <formula>120</formula>
    </cfRule>
  </conditionalFormatting>
  <conditionalFormatting sqref="T50">
    <cfRule type="cellIs" dxfId="62" priority="19" operator="greaterThan">
      <formula>120</formula>
    </cfRule>
  </conditionalFormatting>
  <conditionalFormatting sqref="U50">
    <cfRule type="cellIs" dxfId="61" priority="18" operator="greaterThan">
      <formula>120</formula>
    </cfRule>
  </conditionalFormatting>
  <conditionalFormatting sqref="V50">
    <cfRule type="cellIs" dxfId="60" priority="17" operator="greaterThan">
      <formula>120</formula>
    </cfRule>
  </conditionalFormatting>
  <conditionalFormatting sqref="W50">
    <cfRule type="cellIs" dxfId="59" priority="16" operator="greaterThan">
      <formula>120</formula>
    </cfRule>
  </conditionalFormatting>
  <conditionalFormatting sqref="X50">
    <cfRule type="cellIs" dxfId="58" priority="15" operator="greaterThan">
      <formula>120</formula>
    </cfRule>
  </conditionalFormatting>
  <conditionalFormatting sqref="Z50">
    <cfRule type="cellIs" dxfId="57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{F2B664B1-E642-4E53-8150-54EB7192B4A3}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{0BD9B0C0-4D11-4EED-A7E2-89D36A0A9F5B}</x14:id>
        </ext>
      </extLst>
    </cfRule>
  </conditionalFormatting>
  <conditionalFormatting sqref="J8:J9">
    <cfRule type="cellIs" dxfId="56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{D581F7CD-222B-4E64-8875-A7CC4F768044}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{E6CC54E8-4D12-4664-A37B-EB89A2611B39}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{E26FD650-8332-4978-B413-E8B4AA5B4268}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{6739AC10-52C7-4A88-8A3E-6294F1F12707}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{6420F2C0-FAB5-4844-B387-6789B4B5905E}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{5E3B179C-07AB-479F-B781-2CE98E3B3F65}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{814FD648-3433-4B09-9744-DCD9D396AF74}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{F6EDEC67-A5BC-4181-8F1E-665D990AF770}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{FCB069EB-6E5F-4EF2-88AE-D9D80475243E}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{E4488095-4F72-44DD-AE07-0A1930AB8E22}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35B8A8-FF39-49C0-88CB-0A6D289E3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CF6063B9-09C8-4B8D-9A98-2AB6283869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0DCFF77F-4271-4013-A4A4-36422E5A89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3C51C23E-FE27-4615-B82C-AF0DB71CD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A42F797F-8436-4DE3-BE23-6197784D1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A05A7A38-BF22-4941-BA95-542AB7E3C4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9CA104AD-B368-4F97-A052-11EE560B44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181B069-BBF5-4535-91B5-92942054D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7B4E2BE8-3ECC-4F5D-8250-B1DA4EE809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67DB623C-18FD-48EA-8B05-111B3B98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8D0D6C76-78D5-45DE-B8E1-E8F1093C0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F2B664B1-E642-4E53-8150-54EB7192B4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BD9B0C0-4D11-4EED-A7E2-89D36A0A9F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581F7CD-222B-4E64-8875-A7CC4F7680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E6CC54E8-4D12-4664-A37B-EB89A2611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26FD650-8332-4978-B413-E8B4AA5B42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6739AC10-52C7-4A88-8A3E-6294F1F127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6420F2C0-FAB5-4844-B387-6789B4B590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5E3B179C-07AB-479F-B781-2CE98E3B3F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814FD648-3433-4B09-9744-DCD9D396A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F6EDEC67-A5BC-4181-8F1E-665D990AF7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FCB069EB-6E5F-4EF2-88AE-D9D8047524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E4488095-4F72-44DD-AE07-0A1930AB8E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1EA98-B0FE-43D9-8463-59CF63708A1D}">
  <dimension ref="A1:AZ64"/>
  <sheetViews>
    <sheetView zoomScale="70" zoomScaleNormal="70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X15" sqref="X15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78</v>
      </c>
      <c r="L3" s="36"/>
      <c r="M3" s="36"/>
      <c r="N3" s="37">
        <f t="shared" ref="N3:N16" si="1">K3/7</f>
        <v>11.142857142857142</v>
      </c>
      <c r="O3" s="38">
        <f t="shared" ref="O3:O24" si="2">R3/7</f>
        <v>5.4285714285714288</v>
      </c>
      <c r="P3" s="39">
        <f>SUMIFS('Отчет 19-25.01'!H:H,'Отчет 19-25.01'!D:D,"Выручка",'Отчет 19-25.01'!E:E,B3)</f>
        <v>39</v>
      </c>
      <c r="Q3" s="39">
        <f>SUMIFS('Отчет 19-25.01'!H:H,'Отчет 19-25.01'!D:D,"Возврат выручки",'Отчет 19-25.01'!E:E,B3)</f>
        <v>1</v>
      </c>
      <c r="R3" s="40">
        <f t="shared" ref="R3:R24" si="3">P3-Q3</f>
        <v>38</v>
      </c>
      <c r="S3" s="41">
        <f>SUMIFS('Отчет 19-25.01'!P:P,'Отчет 19-25.01'!C:C,"Продажи",'Отчет 19-25.01'!E:E,B3)</f>
        <v>62014.000000000029</v>
      </c>
      <c r="T3" s="42">
        <f>SUMIFS('Отчет 19-25.01'!P:P,'Отчет 19-25.01'!C:C,"Возвраты",'Отчет 19-25.01'!E:E,B3)</f>
        <v>-1670</v>
      </c>
      <c r="U3" s="40">
        <f t="shared" ref="U3:U24" si="4">S3+T3</f>
        <v>60344.000000000029</v>
      </c>
      <c r="V3" s="43">
        <f t="shared" ref="V3:V24" si="5">U3/$U$49</f>
        <v>0.96579760247115176</v>
      </c>
      <c r="W3" s="44">
        <f t="shared" ref="W3:W24" si="6">R3*H3</f>
        <v>5433.24</v>
      </c>
      <c r="X3" s="42">
        <f>-SUMIFS('Отчет 19-25.01'!P:P,'Отчет 19-25.01'!C:C,"Вознаграждение Ozon",'Отчет 19-25.01'!E:E,B3)</f>
        <v>25947.919999999987</v>
      </c>
      <c r="Y3" s="45">
        <f t="shared" ref="Y3:Y24" si="7">IF(U3=0,0,X3/U3)</f>
        <v>0.4299999999999996</v>
      </c>
      <c r="Z3" s="42">
        <f>-SUMIFS('Отчет 19-25.01'!P:P,'Отчет 19-25.01'!C:C,"Услуги доставки",'Отчет 19-25.01'!E:E,B3)</f>
        <v>7948.8400000000047</v>
      </c>
      <c r="AA3" s="32">
        <v>14546.108190999999</v>
      </c>
      <c r="AB3" s="42"/>
      <c r="AC3" s="42"/>
      <c r="AD3" s="46">
        <f t="shared" ref="AD3:AD24" si="8">U3*1%</f>
        <v>603.44000000000028</v>
      </c>
      <c r="AE3" s="47">
        <f t="shared" ref="AE3:AE24" si="9">U3-W3-X3-Z3-AA3-AB3-AC3-AD3</f>
        <v>5864.4518090000402</v>
      </c>
      <c r="AF3" s="46"/>
      <c r="AG3" s="48">
        <f t="shared" ref="AG3:AG24" si="10">IF(R3=0,0,U3/R3)</f>
        <v>1588.0000000000007</v>
      </c>
      <c r="AH3" s="49">
        <f t="shared" ref="AH3:AH24" si="11">H3</f>
        <v>142.97999999999999</v>
      </c>
      <c r="AI3" s="49">
        <f t="shared" ref="AI3:AI24" si="12">IF(R3=0,0,X3/R3)</f>
        <v>682.83999999999969</v>
      </c>
      <c r="AJ3" s="49">
        <f t="shared" ref="AJ3:AJ24" si="13">IF(P3=0,Z3/1,Z3/P3)</f>
        <v>203.81641025641036</v>
      </c>
      <c r="AK3" s="49">
        <f t="shared" ref="AK3:AK24" si="14">IF(P3=0,0,AA3/P3)</f>
        <v>372.9771331025641</v>
      </c>
      <c r="AL3" s="49">
        <f>_xlfn.IFS(R3=0,AE3,R3&lt;0,AE3/-R3,R3&gt;0,AE3/R3)</f>
        <v>154.32767918421158</v>
      </c>
      <c r="AM3" s="50">
        <f t="shared" ref="AM3:AM24" si="15">IF(AG3=0,0,AL3/AG3)</f>
        <v>9.7183677068143265E-2</v>
      </c>
      <c r="AN3" s="51">
        <f t="shared" ref="AN3:AN24" si="16">IF(AH3=0,0,AL3/AH3)</f>
        <v>1.0793654999595159</v>
      </c>
      <c r="AP3" s="53">
        <f t="shared" ref="AP3:AP24" si="17">AL3*C3</f>
        <v>17593.355427000119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3</v>
      </c>
      <c r="L4" s="36"/>
      <c r="M4" s="36"/>
      <c r="N4" s="37">
        <f t="shared" si="1"/>
        <v>0.42857142857142855</v>
      </c>
      <c r="O4" s="38">
        <f t="shared" si="2"/>
        <v>0.7142857142857143</v>
      </c>
      <c r="P4" s="39">
        <f>SUMIFS('Отчет 19-25.01'!H:H,'Отчет 19-25.01'!D:D,"Выручка",'Отчет 19-25.01'!E:E,B4)</f>
        <v>5</v>
      </c>
      <c r="Q4" s="39">
        <f>SUMIFS('Отчет 19-25.01'!H:H,'Отчет 19-25.01'!D:D,"Возврат выручки",'Отчет 19-25.01'!E:E,B4)</f>
        <v>0</v>
      </c>
      <c r="R4" s="40">
        <f t="shared" si="3"/>
        <v>5</v>
      </c>
      <c r="S4" s="41">
        <f>SUMIFS('Отчет 19-25.01'!P:P,'Отчет 19-25.01'!C:C,"Продажи",'Отчет 19-25.01'!E:E,B4)</f>
        <v>8170</v>
      </c>
      <c r="T4" s="42">
        <f>SUMIFS('Отчет 19-25.01'!P:P,'Отчет 19-25.01'!C:C,"Возвраты",'Отчет 19-25.01'!E:E,B4)</f>
        <v>0</v>
      </c>
      <c r="U4" s="40">
        <f t="shared" si="4"/>
        <v>8170</v>
      </c>
      <c r="V4" s="43">
        <f t="shared" si="5"/>
        <v>0.13075975096429315</v>
      </c>
      <c r="W4" s="44">
        <f t="shared" si="6"/>
        <v>615.45000000000005</v>
      </c>
      <c r="X4" s="42">
        <f>-SUMIFS('Отчет 19-25.01'!P:P,'Отчет 19-25.01'!C:C,"Вознаграждение Ozon",'Отчет 19-25.01'!E:E,B4)</f>
        <v>3513.1</v>
      </c>
      <c r="Y4" s="45">
        <f t="shared" si="7"/>
        <v>0.43</v>
      </c>
      <c r="Z4" s="42">
        <f>-SUMIFS('Отчет 19-25.01'!P:P,'Отчет 19-25.01'!C:C,"Услуги доставки",'Отчет 19-25.01'!E:E,B4)</f>
        <v>708.42000000000007</v>
      </c>
      <c r="AA4" s="32">
        <v>2659.3888270000002</v>
      </c>
      <c r="AB4" s="42"/>
      <c r="AC4" s="42"/>
      <c r="AD4" s="46">
        <f t="shared" si="8"/>
        <v>81.7</v>
      </c>
      <c r="AE4" s="47">
        <f t="shared" si="9"/>
        <v>591.94117299999994</v>
      </c>
      <c r="AF4" s="46"/>
      <c r="AG4" s="48">
        <f t="shared" si="10"/>
        <v>1634</v>
      </c>
      <c r="AH4" s="49">
        <f t="shared" si="11"/>
        <v>123.09</v>
      </c>
      <c r="AI4" s="49">
        <f t="shared" si="12"/>
        <v>702.62</v>
      </c>
      <c r="AJ4" s="49">
        <f t="shared" si="13"/>
        <v>141.68400000000003</v>
      </c>
      <c r="AK4" s="49">
        <f t="shared" si="14"/>
        <v>531.87776540000004</v>
      </c>
      <c r="AL4" s="49">
        <f t="array" ref="AL4">_xlfn.IFS(R4=0,AE4,R4&lt;0,AE4/-R4,R4&gt;0,AE4/R4)</f>
        <v>118.38823459999999</v>
      </c>
      <c r="AM4" s="50">
        <f t="shared" si="15"/>
        <v>7.2453019951040379E-2</v>
      </c>
      <c r="AN4" s="51">
        <f t="shared" si="16"/>
        <v>0.9618022146396944</v>
      </c>
      <c r="AP4" s="53">
        <f t="shared" si="17"/>
        <v>44513.976209599998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</v>
      </c>
      <c r="P5" s="39">
        <f>SUMIFS('Отчет 19-25.01'!H:H,'Отчет 19-25.01'!D:D,"Выручка",'Отчет 19-25.01'!E:E,B5)</f>
        <v>0</v>
      </c>
      <c r="Q5" s="39">
        <f>SUMIFS('Отчет 19-25.01'!H:H,'Отчет 19-25.01'!D:D,"Возврат выручки",'Отчет 19-25.01'!E:E,B5)</f>
        <v>0</v>
      </c>
      <c r="R5" s="40">
        <f t="shared" si="3"/>
        <v>0</v>
      </c>
      <c r="S5" s="41">
        <f>SUMIFS('Отчет 19-25.01'!P:P,'Отчет 19-25.01'!C:C,"Продажи",'Отчет 19-25.01'!E:E,B5)</f>
        <v>0</v>
      </c>
      <c r="T5" s="42">
        <f>SUMIFS('Отчет 19-25.01'!P:P,'Отчет 19-25.01'!C:C,"Возвраты",'Отчет 19-25.01'!E:E,B5)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19-25.01'!P:P,'Отчет 19-25.01'!C:C,"Вознаграждение Ozon",'Отчет 19-25.01'!E:E,B5)</f>
        <v>0</v>
      </c>
      <c r="Y5" s="45">
        <f t="shared" si="7"/>
        <v>0</v>
      </c>
      <c r="Z5" s="42">
        <f>-SUMIFS('Отчет 19-25.01'!P:P,'Отчет 19-25.01'!C:C,"Услуги доставки",'Отчет 19-25.01'!E:E,B5)</f>
        <v>0</v>
      </c>
      <c r="AA5" s="32"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5</v>
      </c>
      <c r="L6" s="36"/>
      <c r="M6" s="36"/>
      <c r="N6" s="37">
        <f t="shared" si="1"/>
        <v>0.7142857142857143</v>
      </c>
      <c r="O6" s="38">
        <f t="shared" si="2"/>
        <v>0.2857142857142857</v>
      </c>
      <c r="P6" s="39">
        <f>SUMIFS('Отчет 19-25.01'!H:H,'Отчет 19-25.01'!D:D,"Выручка",'Отчет 19-25.01'!E:E,B6)</f>
        <v>2</v>
      </c>
      <c r="Q6" s="39">
        <f>SUMIFS('Отчет 19-25.01'!H:H,'Отчет 19-25.01'!D:D,"Возврат выручки",'Отчет 19-25.01'!E:E,B6)</f>
        <v>0</v>
      </c>
      <c r="R6" s="40">
        <f t="shared" si="3"/>
        <v>2</v>
      </c>
      <c r="S6" s="41">
        <f>SUMIFS('Отчет 19-25.01'!P:P,'Отчет 19-25.01'!C:C,"Продажи",'Отчет 19-25.01'!E:E,B6)</f>
        <v>3374</v>
      </c>
      <c r="T6" s="42">
        <f>SUMIFS('Отчет 19-25.01'!P:P,'Отчет 19-25.01'!C:C,"Возвраты",'Отчет 19-25.01'!E:E,B6)</f>
        <v>0</v>
      </c>
      <c r="U6" s="40">
        <f t="shared" si="4"/>
        <v>3374</v>
      </c>
      <c r="V6" s="43">
        <f t="shared" si="5"/>
        <v>5.4000416126502464E-2</v>
      </c>
      <c r="W6" s="44">
        <f t="shared" si="6"/>
        <v>246.18</v>
      </c>
      <c r="X6" s="42">
        <f>-SUMIFS('Отчет 19-25.01'!P:P,'Отчет 19-25.01'!C:C,"Вознаграждение Ozon",'Отчет 19-25.01'!E:E,B6)</f>
        <v>1450.82</v>
      </c>
      <c r="Y6" s="45">
        <f t="shared" si="7"/>
        <v>0.43</v>
      </c>
      <c r="Z6" s="42">
        <f>-SUMIFS('Отчет 19-25.01'!P:P,'Отчет 19-25.01'!C:C,"Услуги доставки",'Отчет 19-25.01'!E:E,B6)</f>
        <v>609.74999999999989</v>
      </c>
      <c r="AA6" s="32">
        <v>2342.0184009999998</v>
      </c>
      <c r="AB6" s="55"/>
      <c r="AC6" s="42"/>
      <c r="AD6" s="46">
        <f t="shared" si="8"/>
        <v>33.74</v>
      </c>
      <c r="AE6" s="47">
        <f t="shared" si="9"/>
        <v>-1308.5084009999994</v>
      </c>
      <c r="AF6" s="46"/>
      <c r="AG6" s="48">
        <f t="shared" si="10"/>
        <v>1687</v>
      </c>
      <c r="AH6" s="49">
        <f t="shared" si="11"/>
        <v>123.09</v>
      </c>
      <c r="AI6" s="49">
        <f t="shared" si="12"/>
        <v>725.41</v>
      </c>
      <c r="AJ6" s="49">
        <f t="shared" si="13"/>
        <v>304.87499999999994</v>
      </c>
      <c r="AK6" s="49">
        <f t="shared" si="14"/>
        <v>1171.0092004999999</v>
      </c>
      <c r="AL6" s="49">
        <f t="array" ref="AL6">_xlfn.IFS(R6=0,AE6,R6&lt;0,AE6/-R6,R6&gt;0,AE6/R6)</f>
        <v>-654.25420049999968</v>
      </c>
      <c r="AM6" s="50">
        <f t="shared" si="15"/>
        <v>-0.38782110284528731</v>
      </c>
      <c r="AN6" s="51">
        <f t="shared" si="16"/>
        <v>-5.3152506336826688</v>
      </c>
      <c r="AP6" s="53">
        <f t="shared" si="17"/>
        <v>-688275.41892599966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10</v>
      </c>
      <c r="L7" s="36"/>
      <c r="M7" s="36"/>
      <c r="N7" s="37">
        <f t="shared" si="1"/>
        <v>1.4285714285714286</v>
      </c>
      <c r="O7" s="38">
        <f t="shared" si="2"/>
        <v>0.8571428571428571</v>
      </c>
      <c r="P7" s="39">
        <f>SUMIFS('Отчет 19-25.01'!H:H,'Отчет 19-25.01'!D:D,"Выручка",'Отчет 19-25.01'!E:E,B7)</f>
        <v>6</v>
      </c>
      <c r="Q7" s="39">
        <f>SUMIFS('Отчет 19-25.01'!H:H,'Отчет 19-25.01'!D:D,"Возврат выручки",'Отчет 19-25.01'!E:E,B7)</f>
        <v>0</v>
      </c>
      <c r="R7" s="40">
        <f t="shared" si="3"/>
        <v>6</v>
      </c>
      <c r="S7" s="41">
        <f>SUMIFS('Отчет 19-25.01'!P:P,'Отчет 19-25.01'!C:C,"Продажи",'Отчет 19-25.01'!E:E,B7)</f>
        <v>10087</v>
      </c>
      <c r="T7" s="42">
        <f>SUMIFS('Отчет 19-25.01'!P:P,'Отчет 19-25.01'!C:C,"Возвраты",'Отчет 19-25.01'!E:E,B7)</f>
        <v>0</v>
      </c>
      <c r="U7" s="40">
        <f t="shared" si="4"/>
        <v>10087</v>
      </c>
      <c r="V7" s="43">
        <f t="shared" si="5"/>
        <v>0.16144107808773869</v>
      </c>
      <c r="W7" s="44">
        <f t="shared" si="6"/>
        <v>703.43999999999994</v>
      </c>
      <c r="X7" s="42">
        <f>-SUMIFS('Отчет 19-25.01'!P:P,'Отчет 19-25.01'!C:C,"Вознаграждение Ozon",'Отчет 19-25.01'!E:E,B7)</f>
        <v>4337.41</v>
      </c>
      <c r="Y7" s="45">
        <f t="shared" si="7"/>
        <v>0.43</v>
      </c>
      <c r="Z7" s="42">
        <f>-SUMIFS('Отчет 19-25.01'!P:P,'Отчет 19-25.01'!C:C,"Услуги доставки",'Отчет 19-25.01'!E:E,B7)</f>
        <v>1148.0999999999999</v>
      </c>
      <c r="AA7" s="32">
        <v>1159.2</v>
      </c>
      <c r="AB7" s="55"/>
      <c r="AC7" s="42"/>
      <c r="AD7" s="46">
        <f t="shared" si="8"/>
        <v>100.87</v>
      </c>
      <c r="AE7" s="47">
        <f t="shared" si="9"/>
        <v>2637.9799999999996</v>
      </c>
      <c r="AF7" s="46"/>
      <c r="AG7" s="48">
        <f t="shared" si="10"/>
        <v>1681.1666666666667</v>
      </c>
      <c r="AH7" s="49">
        <f t="shared" si="11"/>
        <v>117.24</v>
      </c>
      <c r="AI7" s="49">
        <f t="shared" si="12"/>
        <v>722.90166666666664</v>
      </c>
      <c r="AJ7" s="49">
        <f t="shared" si="13"/>
        <v>191.35</v>
      </c>
      <c r="AK7" s="49">
        <f t="shared" si="14"/>
        <v>193.20000000000002</v>
      </c>
      <c r="AL7" s="49">
        <f t="array" ref="AL7">_xlfn.IFS(R7=0,AE7,R7&lt;0,AE7/-R7,R7&gt;0,AE7/R7)</f>
        <v>439.66333333333324</v>
      </c>
      <c r="AM7" s="50">
        <f t="shared" si="15"/>
        <v>0.26152275205710313</v>
      </c>
      <c r="AN7" s="51">
        <f t="shared" si="16"/>
        <v>3.7501137268281584</v>
      </c>
      <c r="AP7" s="53">
        <f t="shared" si="17"/>
        <v>370636.18999999994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2</v>
      </c>
      <c r="L8" s="36"/>
      <c r="M8" s="36"/>
      <c r="N8" s="37">
        <f t="shared" si="1"/>
        <v>0.2857142857142857</v>
      </c>
      <c r="O8" s="38">
        <f t="shared" si="2"/>
        <v>0.14285714285714285</v>
      </c>
      <c r="P8" s="39">
        <f>SUMIFS('Отчет 19-25.01'!H:H,'Отчет 19-25.01'!D:D,"Выручка",'Отчет 19-25.01'!E:E,B8)</f>
        <v>1</v>
      </c>
      <c r="Q8" s="39">
        <f>SUMIFS('Отчет 19-25.01'!H:H,'Отчет 19-25.01'!D:D,"Возврат выручки",'Отчет 19-25.01'!E:E,B8)</f>
        <v>0</v>
      </c>
      <c r="R8" s="40">
        <f t="shared" si="3"/>
        <v>1</v>
      </c>
      <c r="S8" s="41">
        <f>SUMIFS('Отчет 19-25.01'!P:P,'Отчет 19-25.01'!C:C,"Продажи",'Отчет 19-25.01'!E:E,B8)</f>
        <v>1539</v>
      </c>
      <c r="T8" s="42">
        <f>SUMIFS('Отчет 19-25.01'!P:P,'Отчет 19-25.01'!C:C,"Возвраты",'Отчет 19-25.01'!E:E,B8)</f>
        <v>0</v>
      </c>
      <c r="U8" s="40">
        <f t="shared" si="4"/>
        <v>1539</v>
      </c>
      <c r="V8" s="43">
        <f t="shared" si="5"/>
        <v>2.4631487972343595E-2</v>
      </c>
      <c r="W8" s="44">
        <f t="shared" si="6"/>
        <v>123</v>
      </c>
      <c r="X8" s="42">
        <f>-SUMIFS('Отчет 19-25.01'!P:P,'Отчет 19-25.01'!C:C,"Вознаграждение Ozon",'Отчет 19-25.01'!E:E,B8)</f>
        <v>661.77</v>
      </c>
      <c r="Y8" s="45">
        <f t="shared" si="7"/>
        <v>0.43</v>
      </c>
      <c r="Z8" s="42">
        <f>-SUMIFS('Отчет 19-25.01'!P:P,'Отчет 19-25.01'!C:C,"Услуги доставки",'Отчет 19-25.01'!E:E,B8)</f>
        <v>132.13999999999999</v>
      </c>
      <c r="AA8" s="32">
        <v>0</v>
      </c>
      <c r="AB8" s="55"/>
      <c r="AC8" s="42"/>
      <c r="AD8" s="46">
        <f t="shared" si="8"/>
        <v>15.39</v>
      </c>
      <c r="AE8" s="47">
        <f t="shared" si="9"/>
        <v>606.70000000000005</v>
      </c>
      <c r="AF8" s="46"/>
      <c r="AG8" s="48">
        <f t="shared" si="10"/>
        <v>1539</v>
      </c>
      <c r="AH8" s="49">
        <f t="shared" si="11"/>
        <v>123</v>
      </c>
      <c r="AI8" s="49">
        <f t="shared" si="12"/>
        <v>661.77</v>
      </c>
      <c r="AJ8" s="49">
        <f t="shared" si="13"/>
        <v>132.13999999999999</v>
      </c>
      <c r="AK8" s="49">
        <f t="shared" si="14"/>
        <v>0</v>
      </c>
      <c r="AL8" s="49">
        <f t="array" ref="AL8">_xlfn.IFS(R8=0,AE8,R8&lt;0,AE8/-R8,R8&gt;0,AE8/R8)</f>
        <v>606.70000000000005</v>
      </c>
      <c r="AM8" s="50">
        <f t="shared" si="15"/>
        <v>0.39421702404158548</v>
      </c>
      <c r="AN8" s="51">
        <f t="shared" si="16"/>
        <v>4.9325203252032521</v>
      </c>
      <c r="AP8" s="53">
        <f t="shared" si="17"/>
        <v>421049.80000000005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8</v>
      </c>
      <c r="L9" s="36"/>
      <c r="M9" s="36"/>
      <c r="N9" s="37">
        <f t="shared" si="1"/>
        <v>1.1428571428571428</v>
      </c>
      <c r="O9" s="38">
        <f t="shared" si="2"/>
        <v>0.7142857142857143</v>
      </c>
      <c r="P9" s="39">
        <f>SUMIFS('Отчет 19-25.01'!H:H,'Отчет 19-25.01'!D:D,"Выручка",'Отчет 19-25.01'!E:E,B9)</f>
        <v>5</v>
      </c>
      <c r="Q9" s="39">
        <f>SUMIFS('Отчет 19-25.01'!H:H,'Отчет 19-25.01'!D:D,"Возврат выручки",'Отчет 19-25.01'!E:E,B9)</f>
        <v>0</v>
      </c>
      <c r="R9" s="40">
        <f t="shared" si="3"/>
        <v>5</v>
      </c>
      <c r="S9" s="41">
        <f>SUMIFS('Отчет 19-25.01'!P:P,'Отчет 19-25.01'!C:C,"Продажи",'Отчет 19-25.01'!E:E,B9)</f>
        <v>9075</v>
      </c>
      <c r="T9" s="42">
        <f>SUMIFS('Отчет 19-25.01'!P:P,'Отчет 19-25.01'!C:C,"Возвраты",'Отчет 19-25.01'!E:E,B9)</f>
        <v>0</v>
      </c>
      <c r="U9" s="40">
        <f t="shared" si="4"/>
        <v>9075</v>
      </c>
      <c r="V9" s="43">
        <f t="shared" si="5"/>
        <v>0.14524415422288378</v>
      </c>
      <c r="W9" s="44">
        <f t="shared" si="6"/>
        <v>615</v>
      </c>
      <c r="X9" s="42">
        <f>-SUMIFS('Отчет 19-25.01'!P:P,'Отчет 19-25.01'!C:C,"Вознаграждение Ozon",'Отчет 19-25.01'!E:E,B9)</f>
        <v>3902.25</v>
      </c>
      <c r="Y9" s="45">
        <f t="shared" si="7"/>
        <v>0.43</v>
      </c>
      <c r="Z9" s="42">
        <f>-SUMIFS('Отчет 19-25.01'!P:P,'Отчет 19-25.01'!C:C,"Услуги доставки",'Отчет 19-25.01'!E:E,B9)</f>
        <v>961.3599999999999</v>
      </c>
      <c r="AA9" s="32">
        <v>3432.6973899999998</v>
      </c>
      <c r="AB9" s="55"/>
      <c r="AC9" s="42"/>
      <c r="AD9" s="46">
        <f t="shared" si="8"/>
        <v>90.75</v>
      </c>
      <c r="AE9" s="47">
        <f t="shared" si="9"/>
        <v>72.942610000000514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192.27199999999999</v>
      </c>
      <c r="AK9" s="49">
        <f t="shared" si="14"/>
        <v>686.53947799999992</v>
      </c>
      <c r="AL9" s="49">
        <f t="array" ref="AL9">_xlfn.IFS(R9=0,AE9,R9&lt;0,AE9/-R9,R9&gt;0,AE9/R9)</f>
        <v>14.588522000000102</v>
      </c>
      <c r="AM9" s="50">
        <f t="shared" si="15"/>
        <v>8.0377531680441341E-3</v>
      </c>
      <c r="AN9" s="51">
        <f t="shared" si="16"/>
        <v>0.11860586991870002</v>
      </c>
      <c r="AP9" s="53">
        <f t="shared" si="17"/>
        <v>9963.9605260000699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3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19-25.01'!P:P,'Отчет 19-25.01'!C:C,"Вознаграждение Ozon",'Отчет 19-25.01'!E:E,B10)</f>
        <v>0</v>
      </c>
      <c r="Y10" s="45">
        <f t="shared" si="7"/>
        <v>0</v>
      </c>
      <c r="Z10" s="42">
        <f>-SUMIFS('Отчет 19-25.01'!P:P,'Отчет 19-25.01'!C:C,"Услуги доставки",'Отчет 19-25.01'!E:E,B10)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19-25.01'!H:H,'Отчет 19-25.01'!D:D,"Выручка",'Отчет 19-25.01'!E:E,B11)</f>
        <v>0</v>
      </c>
      <c r="Q11" s="39">
        <f>SUMIFS('Отчет 19-25.01'!H:H,'Отчет 19-25.01'!D:D,"Возврат выручки",'Отчет 19-25.01'!E:E,B11)</f>
        <v>0</v>
      </c>
      <c r="R11" s="40">
        <f t="shared" si="3"/>
        <v>0</v>
      </c>
      <c r="S11" s="41">
        <f>SUMIFS('Отчет 19-25.01'!P:P,'Отчет 19-25.01'!C:C,"Продажи",'Отчет 19-25.01'!E:E,B11)</f>
        <v>0</v>
      </c>
      <c r="T11" s="42">
        <f>SUMIFS('Отчет 19-25.01'!P:P,'Отчет 19-25.01'!C:C,"Возвраты",'Отчет 19-25.01'!E:E,B11)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19-25.01'!P:P,'Отчет 19-25.01'!C:C,"Вознаграждение Ozon",'Отчет 19-25.01'!E:E,B11)</f>
        <v>0</v>
      </c>
      <c r="Y11" s="45">
        <f t="shared" si="7"/>
        <v>0</v>
      </c>
      <c r="Z11" s="42">
        <f>-SUMIFS('Отчет 19-25.01'!P:P,'Отчет 19-25.01'!C:C,"Услуги доставки",'Отчет 19-25.01'!E:E,B11)</f>
        <v>93.54</v>
      </c>
      <c r="AA11" s="32">
        <v>0</v>
      </c>
      <c r="AB11" s="55"/>
      <c r="AC11" s="42"/>
      <c r="AD11" s="46">
        <f t="shared" si="8"/>
        <v>0</v>
      </c>
      <c r="AE11" s="47">
        <f t="shared" si="9"/>
        <v>-93.54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93.54</v>
      </c>
      <c r="AK11" s="49">
        <f t="shared" si="14"/>
        <v>0</v>
      </c>
      <c r="AL11" s="49">
        <f t="array" ref="AL11">_xlfn.IFS(R11=0,AE11,R11&lt;0,AE11/-R11,R11&gt;0,AE11/R11)</f>
        <v>-93.54</v>
      </c>
      <c r="AM11" s="50">
        <f t="shared" si="15"/>
        <v>0</v>
      </c>
      <c r="AN11" s="51">
        <f t="shared" si="16"/>
        <v>-0.55059155924421688</v>
      </c>
      <c r="AP11" s="53">
        <f t="shared" si="17"/>
        <v>-4115.76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0.14285714285714285</v>
      </c>
      <c r="P12" s="39">
        <f>SUMIFS('Отчет 19-25.01'!H:H,'Отчет 19-25.01'!D:D,"Выручка",'Отчет 19-25.01'!E:E,B12)</f>
        <v>1</v>
      </c>
      <c r="Q12" s="39">
        <f>SUMIFS('Отчет 19-25.01'!H:H,'Отчет 19-25.01'!D:D,"Возврат выручки",'Отчет 19-25.01'!E:E,B12)</f>
        <v>0</v>
      </c>
      <c r="R12" s="40">
        <f t="shared" si="3"/>
        <v>1</v>
      </c>
      <c r="S12" s="41">
        <f>SUMIFS('Отчет 19-25.01'!P:P,'Отчет 19-25.01'!C:C,"Продажи",'Отчет 19-25.01'!E:E,B12)</f>
        <v>1102</v>
      </c>
      <c r="T12" s="42">
        <f>SUMIFS('Отчет 19-25.01'!P:P,'Отчет 19-25.01'!C:C,"Возвраты",'Отчет 19-25.01'!E:E,B12)</f>
        <v>0</v>
      </c>
      <c r="U12" s="40">
        <f t="shared" si="4"/>
        <v>1102</v>
      </c>
      <c r="V12" s="43">
        <f t="shared" si="5"/>
        <v>1.7637361757974427E-2</v>
      </c>
      <c r="W12" s="44">
        <f t="shared" si="6"/>
        <v>169.89</v>
      </c>
      <c r="X12" s="42">
        <f>-SUMIFS('Отчет 19-25.01'!P:P,'Отчет 19-25.01'!C:C,"Вознаграждение Ozon",'Отчет 19-25.01'!E:E,B12)</f>
        <v>473.86</v>
      </c>
      <c r="Y12" s="45">
        <f t="shared" si="7"/>
        <v>0.43</v>
      </c>
      <c r="Z12" s="42">
        <f>-SUMIFS('Отчет 19-25.01'!P:P,'Отчет 19-25.01'!C:C,"Услуги доставки",'Отчет 19-25.01'!E:E,B12)</f>
        <v>125.21</v>
      </c>
      <c r="AA12" s="32">
        <v>0</v>
      </c>
      <c r="AB12" s="55"/>
      <c r="AC12" s="42"/>
      <c r="AD12" s="46">
        <f t="shared" si="8"/>
        <v>11.02</v>
      </c>
      <c r="AE12" s="47">
        <f t="shared" si="9"/>
        <v>322.02000000000004</v>
      </c>
      <c r="AF12" s="46"/>
      <c r="AG12" s="48">
        <f t="shared" si="10"/>
        <v>1102</v>
      </c>
      <c r="AH12" s="49">
        <f t="shared" si="11"/>
        <v>169.89</v>
      </c>
      <c r="AI12" s="49">
        <f t="shared" si="12"/>
        <v>473.86</v>
      </c>
      <c r="AJ12" s="49">
        <f t="shared" si="13"/>
        <v>125.21</v>
      </c>
      <c r="AK12" s="49">
        <f t="shared" si="14"/>
        <v>0</v>
      </c>
      <c r="AL12" s="49">
        <f t="array" ref="AL12">_xlfn.IFS(R12=0,AE12,R12&lt;0,AE12/-R12,R12&gt;0,AE12/R12)</f>
        <v>322.02000000000004</v>
      </c>
      <c r="AM12" s="50">
        <f t="shared" si="15"/>
        <v>0.29221415607985485</v>
      </c>
      <c r="AN12" s="51">
        <f t="shared" si="16"/>
        <v>1.8954617693801876</v>
      </c>
      <c r="AP12" s="53">
        <f t="shared" si="17"/>
        <v>13202.820000000002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4</v>
      </c>
      <c r="L13" s="36"/>
      <c r="M13" s="36"/>
      <c r="N13" s="37">
        <f t="shared" si="1"/>
        <v>0.5714285714285714</v>
      </c>
      <c r="O13" s="38">
        <f t="shared" si="2"/>
        <v>0.42857142857142855</v>
      </c>
      <c r="P13" s="39">
        <f>SUMIFS('Отчет 19-25.01'!H:H,'Отчет 19-25.01'!D:D,"Выручка",'Отчет 19-25.01'!E:E,B13)</f>
        <v>3</v>
      </c>
      <c r="Q13" s="39">
        <f>SUMIFS('Отчет 19-25.01'!H:H,'Отчет 19-25.01'!D:D,"Возврат выручки",'Отчет 19-25.01'!E:E,B13)</f>
        <v>0</v>
      </c>
      <c r="R13" s="40">
        <f t="shared" si="3"/>
        <v>3</v>
      </c>
      <c r="S13" s="41">
        <f>SUMIFS('Отчет 19-25.01'!P:P,'Отчет 19-25.01'!C:C,"Продажи",'Отчет 19-25.01'!E:E,B13)</f>
        <v>4133</v>
      </c>
      <c r="T13" s="42">
        <f>SUMIFS('Отчет 19-25.01'!P:P,'Отчет 19-25.01'!C:C,"Возвраты",'Отчет 19-25.01'!E:E,B13)</f>
        <v>0</v>
      </c>
      <c r="U13" s="40">
        <f t="shared" si="4"/>
        <v>4133</v>
      </c>
      <c r="V13" s="43">
        <f t="shared" si="5"/>
        <v>6.6148109025143648E-2</v>
      </c>
      <c r="W13" s="44">
        <f t="shared" si="6"/>
        <v>509.66999999999996</v>
      </c>
      <c r="X13" s="42">
        <f>-SUMIFS('Отчет 19-25.01'!P:P,'Отчет 19-25.01'!C:C,"Вознаграждение Ozon",'Отчет 19-25.01'!E:E,B13)</f>
        <v>1777.19</v>
      </c>
      <c r="Y13" s="45">
        <f t="shared" si="7"/>
        <v>0.43</v>
      </c>
      <c r="Z13" s="42">
        <f>-SUMIFS('Отчет 19-25.01'!P:P,'Отчет 19-25.01'!C:C,"Услуги доставки",'Отчет 19-25.01'!E:E,B13)</f>
        <v>588.81999999999994</v>
      </c>
      <c r="AA13" s="32">
        <v>795.8</v>
      </c>
      <c r="AB13" s="55"/>
      <c r="AC13" s="42"/>
      <c r="AD13" s="46">
        <f t="shared" si="8"/>
        <v>41.33</v>
      </c>
      <c r="AE13" s="47">
        <f t="shared" si="9"/>
        <v>420.19</v>
      </c>
      <c r="AF13" s="46"/>
      <c r="AG13" s="48">
        <f t="shared" si="10"/>
        <v>1377.6666666666667</v>
      </c>
      <c r="AH13" s="49">
        <f t="shared" si="11"/>
        <v>169.89</v>
      </c>
      <c r="AI13" s="49">
        <f t="shared" si="12"/>
        <v>592.39666666666665</v>
      </c>
      <c r="AJ13" s="49">
        <f t="shared" si="13"/>
        <v>196.27333333333331</v>
      </c>
      <c r="AK13" s="49">
        <f t="shared" si="14"/>
        <v>265.26666666666665</v>
      </c>
      <c r="AL13" s="49">
        <f t="array" ref="AL13">_xlfn.IFS(R13=0,AE13,R13&lt;0,AE13/-R13,R13&gt;0,AE13/R13)</f>
        <v>140.06333333333333</v>
      </c>
      <c r="AM13" s="50">
        <f t="shared" si="15"/>
        <v>0.10166706992499394</v>
      </c>
      <c r="AN13" s="51">
        <f t="shared" si="16"/>
        <v>0.82443541899660566</v>
      </c>
      <c r="AP13" s="53">
        <f t="shared" si="17"/>
        <v>4061.8366666666666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3</v>
      </c>
      <c r="L14" s="36"/>
      <c r="M14" s="36"/>
      <c r="N14" s="37">
        <f t="shared" si="1"/>
        <v>0.42857142857142855</v>
      </c>
      <c r="O14" s="38">
        <f t="shared" si="2"/>
        <v>0.14285714285714285</v>
      </c>
      <c r="P14" s="39">
        <f>SUMIFS('Отчет 19-25.01'!H:H,'Отчет 19-25.01'!D:D,"Выручка",'Отчет 19-25.01'!E:E,B14)</f>
        <v>1</v>
      </c>
      <c r="Q14" s="39">
        <f>SUMIFS('Отчет 19-25.01'!H:H,'Отчет 19-25.01'!D:D,"Возврат выручки",'Отчет 19-25.01'!E:E,B14)</f>
        <v>0</v>
      </c>
      <c r="R14" s="40">
        <f t="shared" si="3"/>
        <v>1</v>
      </c>
      <c r="S14" s="41">
        <f>SUMIFS('Отчет 19-25.01'!P:P,'Отчет 19-25.01'!C:C,"Продажи",'Отчет 19-25.01'!E:E,B14)</f>
        <v>1429</v>
      </c>
      <c r="T14" s="42">
        <f>SUMIFS('Отчет 19-25.01'!P:P,'Отчет 19-25.01'!C:C,"Возвраты",'Отчет 19-25.01'!E:E,B14)</f>
        <v>0</v>
      </c>
      <c r="U14" s="40">
        <f t="shared" si="4"/>
        <v>1429</v>
      </c>
      <c r="V14" s="43">
        <f t="shared" si="5"/>
        <v>2.2870952769641975E-2</v>
      </c>
      <c r="W14" s="44">
        <f t="shared" si="6"/>
        <v>169.89</v>
      </c>
      <c r="X14" s="42">
        <f>-SUMIFS('Отчет 19-25.01'!P:P,'Отчет 19-25.01'!C:C,"Вознаграждение Ozon",'Отчет 19-25.01'!E:E,B14)</f>
        <v>614.47</v>
      </c>
      <c r="Y14" s="45">
        <f t="shared" si="7"/>
        <v>0.43</v>
      </c>
      <c r="Z14" s="42">
        <f>-SUMIFS('Отчет 19-25.01'!P:P,'Отчет 19-25.01'!C:C,"Услуги доставки",'Отчет 19-25.01'!E:E,B14)</f>
        <v>139.46</v>
      </c>
      <c r="AA14" s="32">
        <v>0</v>
      </c>
      <c r="AB14" s="55"/>
      <c r="AC14" s="42"/>
      <c r="AD14" s="46">
        <f t="shared" si="8"/>
        <v>14.290000000000001</v>
      </c>
      <c r="AE14" s="47">
        <f t="shared" si="9"/>
        <v>490.89000000000004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139.46</v>
      </c>
      <c r="AK14" s="49">
        <f t="shared" si="14"/>
        <v>0</v>
      </c>
      <c r="AL14" s="49">
        <f t="array" ref="AL14">_xlfn.IFS(R14=0,AE14,R14&lt;0,AE14/-R14,R14&gt;0,AE14/R14)</f>
        <v>490.89000000000004</v>
      </c>
      <c r="AM14" s="50">
        <f t="shared" si="15"/>
        <v>0.34351994401679498</v>
      </c>
      <c r="AN14" s="51">
        <f t="shared" si="16"/>
        <v>2.8894578845135093</v>
      </c>
      <c r="AP14" s="53">
        <f t="shared" si="17"/>
        <v>2945.34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0</v>
      </c>
      <c r="L15" s="36"/>
      <c r="M15" s="36"/>
      <c r="N15" s="37">
        <f t="shared" si="1"/>
        <v>0</v>
      </c>
      <c r="O15" s="38">
        <f t="shared" si="2"/>
        <v>0</v>
      </c>
      <c r="P15" s="39">
        <f>SUMIFS('Отчет 19-25.01'!H:H,'Отчет 19-25.01'!D:D,"Выручка",'Отчет 19-25.01'!E:E,B15)</f>
        <v>0</v>
      </c>
      <c r="Q15" s="39">
        <f>SUMIFS('Отчет 19-25.01'!H:H,'Отчет 19-25.01'!D:D,"Возврат выручки",'Отчет 19-25.01'!E:E,B15)</f>
        <v>0</v>
      </c>
      <c r="R15" s="40">
        <f t="shared" si="3"/>
        <v>0</v>
      </c>
      <c r="S15" s="41">
        <f>SUMIFS('Отчет 19-25.01'!P:P,'Отчет 19-25.01'!C:C,"Продажи",'Отчет 19-25.01'!E:E,B15)</f>
        <v>0</v>
      </c>
      <c r="T15" s="42">
        <f>SUMIFS('Отчет 19-25.01'!P:P,'Отчет 19-25.01'!C:C,"Возвраты",'Отчет 19-25.01'!E:E,B15)</f>
        <v>0</v>
      </c>
      <c r="U15" s="40">
        <f t="shared" si="4"/>
        <v>0</v>
      </c>
      <c r="V15" s="43">
        <f t="shared" si="5"/>
        <v>0</v>
      </c>
      <c r="W15" s="44">
        <f t="shared" si="6"/>
        <v>0</v>
      </c>
      <c r="X15" s="42">
        <f>-SUMIFS('Отчет 19-25.01'!P:P,'Отчет 19-25.01'!C:C,"Вознаграждение Ozon",'Отчет 19-25.01'!E:E,B15)</f>
        <v>0</v>
      </c>
      <c r="Y15" s="45">
        <f t="shared" si="7"/>
        <v>0</v>
      </c>
      <c r="Z15" s="42">
        <f>-SUMIFS('Отчет 19-25.01'!P:P,'Отчет 19-25.01'!C:C,"Услуги доставки",'Отчет 19-25.01'!E:E,B15)</f>
        <v>93.54</v>
      </c>
      <c r="AA15" s="32">
        <v>0</v>
      </c>
      <c r="AB15" s="55"/>
      <c r="AC15" s="42"/>
      <c r="AD15" s="46">
        <f t="shared" si="8"/>
        <v>0</v>
      </c>
      <c r="AE15" s="47">
        <f t="shared" si="9"/>
        <v>-93.54</v>
      </c>
      <c r="AF15" s="46"/>
      <c r="AG15" s="48">
        <f t="shared" si="10"/>
        <v>0</v>
      </c>
      <c r="AH15" s="49">
        <f t="shared" si="11"/>
        <v>169.89</v>
      </c>
      <c r="AI15" s="49">
        <f t="shared" si="12"/>
        <v>0</v>
      </c>
      <c r="AJ15" s="49">
        <f t="shared" si="13"/>
        <v>93.54</v>
      </c>
      <c r="AK15" s="49">
        <f t="shared" si="14"/>
        <v>0</v>
      </c>
      <c r="AL15" s="49">
        <f t="array" ref="AL15">_xlfn.IFS(R15=0,AE15,R15&lt;0,AE15/-R15,R15&gt;0,AE15/R15)</f>
        <v>-93.54</v>
      </c>
      <c r="AM15" s="50">
        <f t="shared" si="15"/>
        <v>0</v>
      </c>
      <c r="AN15" s="51">
        <f t="shared" si="16"/>
        <v>-0.55059155924421688</v>
      </c>
      <c r="AP15" s="53">
        <f t="shared" si="17"/>
        <v>-2806.2000000000003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3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4"/>
        <v>0</v>
      </c>
      <c r="V16" s="43">
        <f t="shared" si="5"/>
        <v>0</v>
      </c>
      <c r="W16" s="44">
        <f t="shared" si="6"/>
        <v>0</v>
      </c>
      <c r="X16" s="42">
        <f>-SUMIFS('Отчет 19-25.01'!P:P,'Отчет 19-25.01'!C:C,"Вознаграждение Ozon",'Отчет 19-25.01'!E:E,B16)</f>
        <v>0</v>
      </c>
      <c r="Y16" s="45">
        <f t="shared" si="7"/>
        <v>0</v>
      </c>
      <c r="Z16" s="42">
        <f>-SUMIFS('Отчет 19-25.01'!P:P,'Отчет 19-25.01'!C:C,"Услуги доставки",'Отчет 19-25.01'!E:E,B16)</f>
        <v>0</v>
      </c>
      <c r="AA16" s="32">
        <v>328.67</v>
      </c>
      <c r="AB16" s="55"/>
      <c r="AC16" s="42"/>
      <c r="AD16" s="46">
        <f t="shared" si="8"/>
        <v>0</v>
      </c>
      <c r="AE16" s="47">
        <f t="shared" si="9"/>
        <v>-328.67</v>
      </c>
      <c r="AF16" s="46"/>
      <c r="AG16" s="48">
        <f t="shared" si="10"/>
        <v>0</v>
      </c>
      <c r="AH16" s="49">
        <f t="shared" si="11"/>
        <v>169.89</v>
      </c>
      <c r="AI16" s="49">
        <f t="shared" si="12"/>
        <v>0</v>
      </c>
      <c r="AJ16" s="49">
        <f t="shared" si="13"/>
        <v>0</v>
      </c>
      <c r="AK16" s="49">
        <f t="shared" si="14"/>
        <v>0</v>
      </c>
      <c r="AL16" s="49">
        <f t="array" ref="AL16">_xlfn.IFS(R16=0,AE16,R16&lt;0,AE16/-R16,R16&gt;0,AE16/R16)</f>
        <v>-328.67</v>
      </c>
      <c r="AM16" s="50">
        <f t="shared" si="15"/>
        <v>0</v>
      </c>
      <c r="AN16" s="51">
        <f t="shared" si="16"/>
        <v>-1.9346047442462773</v>
      </c>
      <c r="AP16" s="53">
        <f t="shared" si="17"/>
        <v>-6573.4000000000005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ref="N17:N24" si="18">K17/7</f>
        <v>0</v>
      </c>
      <c r="O17" s="38">
        <f t="shared" si="2"/>
        <v>0</v>
      </c>
      <c r="P17" s="39">
        <f>SUMIFS('Отчет 19-25.01'!H:H,'Отчет 19-25.01'!D:D,"Выручка",'Отчет 19-25.01'!E:E,B17)</f>
        <v>0</v>
      </c>
      <c r="Q17" s="39">
        <f>SUMIFS('Отчет 19-25.01'!H:H,'Отчет 19-25.01'!D:D,"Возврат выручки",'Отчет 19-25.01'!E:E,B17)</f>
        <v>0</v>
      </c>
      <c r="R17" s="40">
        <f t="shared" si="3"/>
        <v>0</v>
      </c>
      <c r="S17" s="41">
        <f>SUMIFS('Отчет 19-25.01'!P:P,'Отчет 19-25.01'!C:C,"Продажи",'Отчет 19-25.01'!E:E,B17)</f>
        <v>0</v>
      </c>
      <c r="T17" s="42">
        <f>SUMIFS('Отчет 19-25.01'!P:P,'Отчет 19-25.01'!C:C,"Возвраты",'Отчет 19-25.01'!E:E,B17)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19-25.01'!P:P,'Отчет 19-25.01'!C:C,"Вознаграждение Ozon",'Отчет 19-25.01'!E:E,B17)</f>
        <v>0</v>
      </c>
      <c r="Y17" s="45">
        <f t="shared" si="7"/>
        <v>0</v>
      </c>
      <c r="Z17" s="42">
        <f>-SUMIFS('Отчет 19-25.01'!P:P,'Отчет 19-25.01'!C:C,"Услуги доставки",'Отчет 19-25.01'!E:E,B17)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1</v>
      </c>
      <c r="L18" s="36"/>
      <c r="M18" s="36"/>
      <c r="N18" s="37">
        <f t="shared" si="18"/>
        <v>0.14285714285714285</v>
      </c>
      <c r="O18" s="38">
        <f t="shared" si="2"/>
        <v>0</v>
      </c>
      <c r="P18" s="39">
        <f>SUMIFS('Отчет 19-25.01'!H:H,'Отчет 19-25.01'!D:D,"Выручка",'Отчет 19-25.01'!E:E,B18)</f>
        <v>0</v>
      </c>
      <c r="Q18" s="39">
        <f>SUMIFS('Отчет 19-25.01'!H:H,'Отчет 19-25.01'!D:D,"Возврат выручки",'Отчет 19-25.01'!E:E,B18)</f>
        <v>0</v>
      </c>
      <c r="R18" s="40">
        <f t="shared" si="3"/>
        <v>0</v>
      </c>
      <c r="S18" s="41">
        <f>SUMIFS('Отчет 19-25.01'!P:P,'Отчет 19-25.01'!C:C,"Продажи",'Отчет 19-25.01'!E:E,B18)</f>
        <v>0</v>
      </c>
      <c r="T18" s="42">
        <f>SUMIFS('Отчет 19-25.01'!P:P,'Отчет 19-25.01'!C:C,"Возвраты",'Отчет 19-25.01'!E:E,B18)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19-25.01'!P:P,'Отчет 19-25.01'!C:C,"Вознаграждение Ozon",'Отчет 19-25.01'!E:E,B18)</f>
        <v>0</v>
      </c>
      <c r="Y18" s="45">
        <f t="shared" si="7"/>
        <v>0</v>
      </c>
      <c r="Z18" s="42">
        <f>-SUMIFS('Отчет 19-25.01'!P:P,'Отчет 19-25.01'!C:C,"Услуги доставки",'Отчет 19-25.01'!E:E,B18)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1</v>
      </c>
      <c r="L19" s="36"/>
      <c r="M19" s="36"/>
      <c r="N19" s="37">
        <f t="shared" si="18"/>
        <v>0.14285714285714285</v>
      </c>
      <c r="O19" s="38">
        <f t="shared" si="2"/>
        <v>0.14285714285714285</v>
      </c>
      <c r="P19" s="39">
        <f>SUMIFS('Отчет 19-25.01'!H:H,'Отчет 19-25.01'!D:D,"Выручка",'Отчет 19-25.01'!E:E,B19)</f>
        <v>1</v>
      </c>
      <c r="Q19" s="39">
        <f>SUMIFS('Отчет 19-25.01'!H:H,'Отчет 19-25.01'!D:D,"Возврат выручки",'Отчет 19-25.01'!E:E,B19)</f>
        <v>0</v>
      </c>
      <c r="R19" s="40">
        <f t="shared" si="3"/>
        <v>1</v>
      </c>
      <c r="S19" s="41">
        <f>SUMIFS('Отчет 19-25.01'!P:P,'Отчет 19-25.01'!C:C,"Продажи",'Отчет 19-25.01'!E:E,B19)</f>
        <v>3663</v>
      </c>
      <c r="T19" s="42">
        <f>SUMIFS('Отчет 19-25.01'!P:P,'Отчет 19-25.01'!C:C,"Возвраты",'Отчет 19-25.01'!E:E,B19)</f>
        <v>0</v>
      </c>
      <c r="U19" s="40">
        <f t="shared" si="4"/>
        <v>3663</v>
      </c>
      <c r="V19" s="43">
        <f t="shared" si="5"/>
        <v>5.8625822249963995E-2</v>
      </c>
      <c r="W19" s="44">
        <f t="shared" si="6"/>
        <v>909.22</v>
      </c>
      <c r="X19" s="42">
        <f>-SUMIFS('Отчет 19-25.01'!P:P,'Отчет 19-25.01'!C:C,"Вознаграждение Ozon",'Отчет 19-25.01'!E:E,B19)</f>
        <v>1575.09</v>
      </c>
      <c r="Y19" s="45">
        <f t="shared" si="7"/>
        <v>0.43</v>
      </c>
      <c r="Z19" s="42">
        <f>-SUMIFS('Отчет 19-25.01'!P:P,'Отчет 19-25.01'!C:C,"Услуги доставки",'Отчет 19-25.01'!E:E,B19)</f>
        <v>227.41</v>
      </c>
      <c r="AA19" s="32">
        <v>0</v>
      </c>
      <c r="AB19" s="55"/>
      <c r="AC19" s="42"/>
      <c r="AD19" s="46">
        <f t="shared" si="8"/>
        <v>36.630000000000003</v>
      </c>
      <c r="AE19" s="47">
        <f t="shared" si="9"/>
        <v>914.64999999999986</v>
      </c>
      <c r="AF19" s="46"/>
      <c r="AG19" s="48">
        <f t="shared" si="10"/>
        <v>3663</v>
      </c>
      <c r="AH19" s="49">
        <f t="shared" si="11"/>
        <v>909.22</v>
      </c>
      <c r="AI19" s="49">
        <f t="shared" si="12"/>
        <v>1575.09</v>
      </c>
      <c r="AJ19" s="49">
        <f t="shared" si="13"/>
        <v>227.41</v>
      </c>
      <c r="AK19" s="49">
        <f t="shared" si="14"/>
        <v>0</v>
      </c>
      <c r="AL19" s="49">
        <f t="array" ref="AL19">_xlfn.IFS(R19=0,AE19,R19&lt;0,AE19/-R19,R19&gt;0,AE19/R19)</f>
        <v>914.64999999999986</v>
      </c>
      <c r="AM19" s="50">
        <f t="shared" si="15"/>
        <v>0.24969969969969966</v>
      </c>
      <c r="AN19" s="51">
        <f t="shared" si="16"/>
        <v>1.0059721519544222</v>
      </c>
      <c r="AP19" s="53">
        <f t="shared" si="17"/>
        <v>914.64999999999986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1</v>
      </c>
      <c r="L20" s="36"/>
      <c r="M20" s="36"/>
      <c r="N20" s="37">
        <f t="shared" si="18"/>
        <v>0.14285714285714285</v>
      </c>
      <c r="O20" s="38">
        <f t="shared" si="2"/>
        <v>0</v>
      </c>
      <c r="P20" s="39">
        <f>SUMIFS('Отчет 19-25.01'!H:H,'Отчет 19-25.01'!D:D,"Выручка",'Отчет 19-25.01'!E:E,B20)</f>
        <v>0</v>
      </c>
      <c r="Q20" s="39">
        <f>SUMIFS('Отчет 19-25.01'!H:H,'Отчет 19-25.01'!D:D,"Возврат выручки",'Отчет 19-25.01'!E:E,B20)</f>
        <v>0</v>
      </c>
      <c r="R20" s="40">
        <f t="shared" si="3"/>
        <v>0</v>
      </c>
      <c r="S20" s="41">
        <f>SUMIFS('Отчет 19-25.01'!P:P,'Отчет 19-25.01'!C:C,"Продажи",'Отчет 19-25.01'!E:E,B20)</f>
        <v>0</v>
      </c>
      <c r="T20" s="42">
        <f>SUMIFS('Отчет 19-25.01'!P:P,'Отчет 19-25.01'!C:C,"Возвраты",'Отчет 19-25.01'!E:E,B20)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19-25.01'!P:P,'Отчет 19-25.01'!C:C,"Вознаграждение Ozon",'Отчет 19-25.01'!E:E,B20)</f>
        <v>0</v>
      </c>
      <c r="Y20" s="45">
        <f t="shared" si="7"/>
        <v>0</v>
      </c>
      <c r="Z20" s="42">
        <f>-SUMIFS('Отчет 19-25.01'!P:P,'Отчет 19-25.01'!C:C,"Услуги доставки",'Отчет 19-25.01'!E:E,B20)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8"/>
        <v>0</v>
      </c>
      <c r="O21" s="38">
        <f t="shared" si="2"/>
        <v>0</v>
      </c>
      <c r="P21" s="39">
        <f>SUMIFS('Отчет 19-25.01'!H:H,'Отчет 19-25.01'!D:D,"Выручка",'Отчет 19-25.01'!E:E,B21)</f>
        <v>0</v>
      </c>
      <c r="Q21" s="39">
        <f>SUMIFS('Отчет 19-25.01'!H:H,'Отчет 19-25.01'!D:D,"Возврат выручки",'Отчет 19-25.01'!E:E,B21)</f>
        <v>0</v>
      </c>
      <c r="R21" s="40">
        <f t="shared" si="3"/>
        <v>0</v>
      </c>
      <c r="S21" s="41">
        <f>SUMIFS('Отчет 19-25.01'!P:P,'Отчет 19-25.01'!C:C,"Продажи",'Отчет 19-25.01'!E:E,B21)</f>
        <v>0</v>
      </c>
      <c r="T21" s="42">
        <f>SUMIFS('Отчет 19-25.01'!P:P,'Отчет 19-25.01'!C:C,"Возвраты",'Отчет 19-25.01'!E:E,B21)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19-25.01'!P:P,'Отчет 19-25.01'!C:C,"Вознаграждение Ozon",'Отчет 19-25.01'!E:E,B21)</f>
        <v>0</v>
      </c>
      <c r="Y21" s="45">
        <f t="shared" si="7"/>
        <v>0</v>
      </c>
      <c r="Z21" s="42">
        <f>-SUMIFS('Отчет 19-25.01'!P:P,'Отчет 19-25.01'!C:C,"Услуги доставки",'Отчет 19-25.01'!E:E,B21)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8"/>
        <v>0</v>
      </c>
      <c r="O22" s="38">
        <f t="shared" si="2"/>
        <v>0</v>
      </c>
      <c r="P22" s="39">
        <f>SUMIFS('Отчет 19-25.01'!H:H,'Отчет 19-25.01'!D:D,"Выручка",'Отчет 19-25.01'!E:E,B22)</f>
        <v>0</v>
      </c>
      <c r="Q22" s="39">
        <f>SUMIFS('Отчет 19-25.01'!H:H,'Отчет 19-25.01'!D:D,"Возврат выручки",'Отчет 19-25.01'!E:E,B22)</f>
        <v>0</v>
      </c>
      <c r="R22" s="40">
        <f t="shared" si="3"/>
        <v>0</v>
      </c>
      <c r="S22" s="41">
        <f>SUMIFS('Отчет 19-25.01'!P:P,'Отчет 19-25.01'!C:C,"Продажи",'Отчет 19-25.01'!E:E,B22)</f>
        <v>0</v>
      </c>
      <c r="T22" s="42">
        <f>SUMIFS('Отчет 19-25.01'!P:P,'Отчет 19-25.01'!C:C,"Возвраты",'Отчет 19-25.01'!E:E,B22)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19-25.01'!P:P,'Отчет 19-25.01'!C:C,"Вознаграждение Ozon",'Отчет 19-25.01'!E:E,B22)</f>
        <v>0</v>
      </c>
      <c r="Y22" s="45">
        <f t="shared" si="7"/>
        <v>0</v>
      </c>
      <c r="Z22" s="42">
        <f>-SUMIFS('Отчет 19-25.01'!P:P,'Отчет 19-25.01'!C:C,"Услуги доставки",'Отчет 19-25.01'!E:E,B22)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8"/>
        <v>0</v>
      </c>
      <c r="O23" s="38">
        <f t="shared" si="2"/>
        <v>0</v>
      </c>
      <c r="P23" s="39">
        <f>SUMIFS('Отчет 19-25.01'!H:H,'Отчет 19-25.01'!D:D,"Выручка",'Отчет 19-25.01'!E:E,B23)</f>
        <v>0</v>
      </c>
      <c r="Q23" s="39">
        <f>SUMIFS('Отчет 19-25.01'!H:H,'Отчет 19-25.01'!D:D,"Возврат выручки",'Отчет 19-25.01'!E:E,B23)</f>
        <v>0</v>
      </c>
      <c r="R23" s="40">
        <f t="shared" si="3"/>
        <v>0</v>
      </c>
      <c r="S23" s="41">
        <f>SUMIFS('Отчет 19-25.01'!P:P,'Отчет 19-25.01'!C:C,"Продажи",'Отчет 19-25.01'!E:E,B23)</f>
        <v>0</v>
      </c>
      <c r="T23" s="42">
        <f>SUMIFS('Отчет 19-25.01'!P:P,'Отчет 19-25.01'!C:C,"Возвраты",'Отчет 19-25.01'!E:E,B23)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19-25.01'!P:P,'Отчет 19-25.01'!C:C,"Вознаграждение Ozon",'Отчет 19-25.01'!E:E,B23)</f>
        <v>0</v>
      </c>
      <c r="Y23" s="45">
        <f t="shared" si="7"/>
        <v>0</v>
      </c>
      <c r="Z23" s="42">
        <f>-SUMIFS('Отчет 19-25.01'!P:P,'Отчет 19-25.01'!C:C,"Услуги доставки",'Отчет 19-25.01'!E:E,B23)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8"/>
        <v>0</v>
      </c>
      <c r="O24" s="38">
        <f t="shared" si="2"/>
        <v>0</v>
      </c>
      <c r="P24" s="39">
        <f>SUMIFS('Отчет 19-25.01'!H:H,'Отчет 19-25.01'!D:D,"Выручка",'Отчет 19-25.01'!E:E,B24)</f>
        <v>0</v>
      </c>
      <c r="Q24" s="39">
        <f>SUMIFS('Отчет 19-25.01'!H:H,'Отчет 19-25.01'!D:D,"Возврат выручки",'Отчет 19-25.01'!E:E,B24)</f>
        <v>0</v>
      </c>
      <c r="R24" s="40">
        <f t="shared" si="3"/>
        <v>0</v>
      </c>
      <c r="S24" s="41">
        <f>SUMIFS('Отчет 19-25.01'!P:P,'Отчет 19-25.01'!C:C,"Продажи",'Отчет 19-25.01'!E:E,B24)</f>
        <v>0</v>
      </c>
      <c r="T24" s="42">
        <f>SUMIFS('Отчет 19-25.01'!P:P,'Отчет 19-25.01'!C:C,"Возвраты",'Отчет 19-25.01'!E:E,B24)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19-25.01'!P:P,'Отчет 19-25.01'!C:C,"Вознаграждение Ozon",'Отчет 19-25.01'!E:E,B24)</f>
        <v>0</v>
      </c>
      <c r="Y24" s="45">
        <f t="shared" si="7"/>
        <v>0</v>
      </c>
      <c r="Z24" s="42">
        <f>-SUMIFS('Отчет 19-25.01'!P:P,'Отчет 19-25.01'!C:C,"Услуги доставки",'Отчет 19-25.01'!E:E,B24)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9">AVERAGEIF(AG3:AG24,"&lt;&gt;0",AG3:AG24)</f>
        <v>1751.5833333333335</v>
      </c>
      <c r="AH25" s="58">
        <f t="shared" si="19"/>
        <v>447.87636363636369</v>
      </c>
      <c r="AI25" s="58">
        <f t="shared" si="19"/>
        <v>753.18083333333323</v>
      </c>
      <c r="AJ25" s="58">
        <f t="shared" si="19"/>
        <v>164.2392879684418</v>
      </c>
      <c r="AK25" s="58">
        <f t="shared" si="19"/>
        <v>536.81170727820506</v>
      </c>
      <c r="AL25" s="58">
        <f t="shared" si="19"/>
        <v>138.41049299649134</v>
      </c>
      <c r="AM25" s="59">
        <f t="shared" si="19"/>
        <v>0.14326939931619725</v>
      </c>
      <c r="AN25" s="59">
        <f t="shared" si="19"/>
        <v>0.61115034326660367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119</v>
      </c>
      <c r="L26" s="67"/>
      <c r="M26" s="67"/>
      <c r="N26" s="68"/>
      <c r="O26" s="69"/>
      <c r="P26" s="64">
        <f>SUM(P3:P24)</f>
        <v>64</v>
      </c>
      <c r="Q26" s="64">
        <f t="shared" ref="Q26:AE26" si="20">SUM(Q3:Q24)</f>
        <v>1</v>
      </c>
      <c r="R26" s="64">
        <f t="shared" si="20"/>
        <v>63</v>
      </c>
      <c r="S26" s="70">
        <f>SUM(S3:S24)</f>
        <v>104586.00000000003</v>
      </c>
      <c r="T26" s="64">
        <f t="shared" si="20"/>
        <v>-1670</v>
      </c>
      <c r="U26" s="64">
        <f t="shared" si="20"/>
        <v>102916.00000000003</v>
      </c>
      <c r="V26" s="71">
        <f t="shared" si="20"/>
        <v>1.6471567356476373</v>
      </c>
      <c r="W26" s="64">
        <f t="shared" si="20"/>
        <v>9494.9799999999977</v>
      </c>
      <c r="X26" s="64">
        <f t="shared" si="20"/>
        <v>44253.879999999983</v>
      </c>
      <c r="Y26" s="72">
        <f>IF(U26=0,0,X26/U26)</f>
        <v>0.42999999999999972</v>
      </c>
      <c r="Z26" s="64">
        <f t="shared" si="20"/>
        <v>12870.130000000006</v>
      </c>
      <c r="AA26" s="64">
        <f>IFERROR(P26*AA51/P51,0)</f>
        <v>31721.256585365853</v>
      </c>
      <c r="AB26" s="64">
        <f t="shared" si="20"/>
        <v>0</v>
      </c>
      <c r="AC26" s="64">
        <f t="shared" si="20"/>
        <v>0</v>
      </c>
      <c r="AD26" s="73">
        <f t="shared" si="20"/>
        <v>1029.1600000000003</v>
      </c>
      <c r="AE26" s="74">
        <f t="shared" si="20"/>
        <v>10003.967191000038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146911.16990326712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25263.882808999999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1">C28*H28</f>
        <v>33600</v>
      </c>
      <c r="J28" s="36"/>
      <c r="K28" s="32">
        <v>1</v>
      </c>
      <c r="L28" s="36"/>
      <c r="M28" s="36"/>
      <c r="N28" s="37">
        <f t="shared" ref="N28:N47" si="22">K28/7</f>
        <v>0.14285714285714285</v>
      </c>
      <c r="O28" s="38">
        <f t="shared" ref="O28:O47" si="23">R28/7</f>
        <v>0</v>
      </c>
      <c r="P28" s="39">
        <f>SUMIFS('Отчет 19-25.01'!H:H,'Отчет 19-25.01'!D:D,"Выручка",'Отчет 19-25.01'!E:E,B28)</f>
        <v>0</v>
      </c>
      <c r="Q28" s="39">
        <f>SUMIFS('Отчет 19-25.01'!H:H,'Отчет 19-25.01'!D:D,"Возврат выручки",'Отчет 19-25.01'!E:E,B28)</f>
        <v>0</v>
      </c>
      <c r="R28" s="40">
        <f t="shared" ref="R28:R47" si="24">P28-Q28</f>
        <v>0</v>
      </c>
      <c r="S28" s="41">
        <f>SUMIFS('Отчет 19-25.01'!P:P,'Отчет 19-25.01'!C:C,"Продажи",'Отчет 19-25.01'!E:E,B28)</f>
        <v>0</v>
      </c>
      <c r="T28" s="42">
        <f>SUMIFS('Отчет 19-25.01'!P:P,'Отчет 19-25.01'!C:C,"Возвраты",'Отчет 19-25.01'!E:E,B28)</f>
        <v>0</v>
      </c>
      <c r="U28" s="40">
        <f t="shared" ref="U28:U47" si="25">S28+T28</f>
        <v>0</v>
      </c>
      <c r="V28" s="43">
        <f t="shared" ref="V28:V47" si="26">U28/$U$49</f>
        <v>0</v>
      </c>
      <c r="W28" s="44">
        <f t="shared" ref="W28:W47" si="27">R28*H28</f>
        <v>0</v>
      </c>
      <c r="X28" s="42">
        <f>-SUMIFS('Отчет 19-25.01'!P:P,'Отчет 19-25.01'!C:C,"Вознаграждение Ozon",'Отчет 19-25.01'!E:E,B28)</f>
        <v>0</v>
      </c>
      <c r="Y28" s="45">
        <f t="shared" ref="Y28:Y47" si="28">IF(U28=0,0,X28/U28)</f>
        <v>0</v>
      </c>
      <c r="Z28" s="42">
        <f>-SUMIFS('Отчет 19-25.01'!P:P,'Отчет 19-25.01'!C:C,"Услуги доставки",'Отчет 19-25.01'!E:E,B28)</f>
        <v>0</v>
      </c>
      <c r="AA28" s="32">
        <v>537.70695000000001</v>
      </c>
      <c r="AB28" s="55"/>
      <c r="AC28" s="42"/>
      <c r="AD28" s="46">
        <f t="shared" ref="AD28:AD47" si="29">U28*1%</f>
        <v>0</v>
      </c>
      <c r="AE28" s="47">
        <f t="shared" ref="AE28:AE47" si="30">U28-W28-X28-Z28-AA28-AB28-AC28-AD28</f>
        <v>-537.70695000000001</v>
      </c>
      <c r="AF28" s="46"/>
      <c r="AG28" s="48">
        <f t="shared" ref="AG28:AG47" si="31">IF(R28=0,0,U28/R28)</f>
        <v>0</v>
      </c>
      <c r="AH28" s="49">
        <f t="shared" ref="AH28:AH47" si="32">H28</f>
        <v>672</v>
      </c>
      <c r="AI28" s="49">
        <f t="shared" ref="AI28:AI47" si="33">IF(R28=0,0,X28/R28)</f>
        <v>0</v>
      </c>
      <c r="AJ28" s="49">
        <f t="shared" ref="AJ28:AJ47" si="34">IF(P28=0,Z28/1,Z28/P28)</f>
        <v>0</v>
      </c>
      <c r="AK28" s="49">
        <f t="shared" ref="AK28:AK47" si="35">IF(P28=0,0,AA28/P28)</f>
        <v>0</v>
      </c>
      <c r="AL28" s="49">
        <f t="array" ref="AL28">_xlfn.IFS(R28=0,AE28,R28&lt;0,AE28/-R28,R28&gt;0,AE28/R28)</f>
        <v>-537.70695000000001</v>
      </c>
      <c r="AM28" s="50">
        <f t="shared" ref="AM28:AM47" si="36">IF(AG28=0,0,AL28/AG28)</f>
        <v>0</v>
      </c>
      <c r="AN28" s="51">
        <f t="shared" ref="AN28:AN47" si="37">IF(AH28=0,0,AL28/AH28)</f>
        <v>-0.80015915178571428</v>
      </c>
      <c r="AP28" s="53">
        <f t="shared" ref="AP28:AP47" si="38">AL28*C28</f>
        <v>-26885.3475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1"/>
        <v>30096</v>
      </c>
      <c r="J29" s="36"/>
      <c r="K29" s="32">
        <v>1</v>
      </c>
      <c r="L29" s="36"/>
      <c r="M29" s="36"/>
      <c r="N29" s="37">
        <f t="shared" si="22"/>
        <v>0.14285714285714285</v>
      </c>
      <c r="O29" s="38">
        <f t="shared" si="23"/>
        <v>0</v>
      </c>
      <c r="P29" s="39">
        <f>SUMIFS('Отчет 19-25.01'!H:H,'Отчет 19-25.01'!D:D,"Выручка",'Отчет 19-25.01'!E:E,B29)</f>
        <v>0</v>
      </c>
      <c r="Q29" s="39">
        <f>SUMIFS('Отчет 19-25.01'!H:H,'Отчет 19-25.01'!D:D,"Возврат выручки",'Отчет 19-25.01'!E:E,B29)</f>
        <v>0</v>
      </c>
      <c r="R29" s="40">
        <f t="shared" si="24"/>
        <v>0</v>
      </c>
      <c r="S29" s="41">
        <f>SUMIFS('Отчет 19-25.01'!P:P,'Отчет 19-25.01'!C:C,"Продажи",'Отчет 19-25.01'!E:E,B29)</f>
        <v>0</v>
      </c>
      <c r="T29" s="42">
        <f>SUMIFS('Отчет 19-25.01'!P:P,'Отчет 19-25.01'!C:C,"Возвраты",'Отчет 19-25.01'!E:E,B29)</f>
        <v>0</v>
      </c>
      <c r="U29" s="40">
        <f t="shared" si="25"/>
        <v>0</v>
      </c>
      <c r="V29" s="43">
        <f t="shared" si="26"/>
        <v>0</v>
      </c>
      <c r="W29" s="44">
        <f t="shared" si="27"/>
        <v>0</v>
      </c>
      <c r="X29" s="42">
        <f>-SUMIFS('Отчет 19-25.01'!P:P,'Отчет 19-25.01'!C:C,"Вознаграждение Ozon",'Отчет 19-25.01'!E:E,B29)</f>
        <v>0</v>
      </c>
      <c r="Y29" s="45">
        <f t="shared" si="28"/>
        <v>0</v>
      </c>
      <c r="Z29" s="42">
        <f>-SUMIFS('Отчет 19-25.01'!P:P,'Отчет 19-25.01'!C:C,"Услуги доставки",'Отчет 19-25.01'!E:E,B29)</f>
        <v>0</v>
      </c>
      <c r="AA29" s="32">
        <v>0</v>
      </c>
      <c r="AB29" s="55"/>
      <c r="AC29" s="42"/>
      <c r="AD29" s="46">
        <f t="shared" si="29"/>
        <v>0</v>
      </c>
      <c r="AE29" s="47">
        <f t="shared" si="30"/>
        <v>0</v>
      </c>
      <c r="AF29" s="46"/>
      <c r="AG29" s="48">
        <f t="shared" si="31"/>
        <v>0</v>
      </c>
      <c r="AH29" s="49">
        <f t="shared" si="32"/>
        <v>627</v>
      </c>
      <c r="AI29" s="49">
        <f t="shared" si="33"/>
        <v>0</v>
      </c>
      <c r="AJ29" s="49">
        <f t="shared" si="34"/>
        <v>0</v>
      </c>
      <c r="AK29" s="49">
        <f t="shared" si="35"/>
        <v>0</v>
      </c>
      <c r="AL29" s="49">
        <f t="array" ref="AL29">_xlfn.IFS(R29=0,AE29,R29&lt;0,AE29/-R29,R29&gt;0,AE29/R29)</f>
        <v>0</v>
      </c>
      <c r="AM29" s="50">
        <f t="shared" si="36"/>
        <v>0</v>
      </c>
      <c r="AN29" s="51">
        <f t="shared" si="37"/>
        <v>0</v>
      </c>
      <c r="AP29" s="53">
        <f t="shared" si="38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1"/>
        <v>26961</v>
      </c>
      <c r="J30" s="36"/>
      <c r="K30" s="32">
        <v>1</v>
      </c>
      <c r="L30" s="36"/>
      <c r="M30" s="36"/>
      <c r="N30" s="37">
        <f t="shared" si="22"/>
        <v>0.14285714285714285</v>
      </c>
      <c r="O30" s="38">
        <f t="shared" si="23"/>
        <v>0</v>
      </c>
      <c r="P30" s="39">
        <f>SUMIFS('Отчет 19-25.01'!H:H,'Отчет 19-25.01'!D:D,"Выручка",'Отчет 19-25.01'!E:E,B30)</f>
        <v>0</v>
      </c>
      <c r="Q30" s="39">
        <f>SUMIFS('Отчет 19-25.01'!H:H,'Отчет 19-25.01'!D:D,"Возврат выручки",'Отчет 19-25.01'!E:E,B30)</f>
        <v>0</v>
      </c>
      <c r="R30" s="40">
        <f t="shared" si="24"/>
        <v>0</v>
      </c>
      <c r="S30" s="41">
        <f>SUMIFS('Отчет 19-25.01'!P:P,'Отчет 19-25.01'!C:C,"Продажи",'Отчет 19-25.01'!E:E,B30)</f>
        <v>0</v>
      </c>
      <c r="T30" s="42">
        <f>SUMIFS('Отчет 19-25.01'!P:P,'Отчет 19-25.01'!C:C,"Возвраты",'Отчет 19-25.01'!E:E,B30)</f>
        <v>0</v>
      </c>
      <c r="U30" s="40">
        <f t="shared" si="25"/>
        <v>0</v>
      </c>
      <c r="V30" s="43">
        <f t="shared" si="26"/>
        <v>0</v>
      </c>
      <c r="W30" s="44">
        <f t="shared" si="27"/>
        <v>0</v>
      </c>
      <c r="X30" s="42">
        <f>-SUMIFS('Отчет 19-25.01'!P:P,'Отчет 19-25.01'!C:C,"Вознаграждение Ozon",'Отчет 19-25.01'!E:E,B30)</f>
        <v>0</v>
      </c>
      <c r="Y30" s="45">
        <f t="shared" si="28"/>
        <v>0</v>
      </c>
      <c r="Z30" s="42">
        <f>-SUMIFS('Отчет 19-25.01'!P:P,'Отчет 19-25.01'!C:C,"Услуги доставки",'Отчет 19-25.01'!E:E,B30)</f>
        <v>0</v>
      </c>
      <c r="AA30" s="32">
        <v>0</v>
      </c>
      <c r="AB30" s="55"/>
      <c r="AC30" s="42"/>
      <c r="AD30" s="46">
        <f t="shared" si="29"/>
        <v>0</v>
      </c>
      <c r="AE30" s="47">
        <f t="shared" si="30"/>
        <v>0</v>
      </c>
      <c r="AF30" s="46"/>
      <c r="AG30" s="48">
        <f t="shared" si="31"/>
        <v>0</v>
      </c>
      <c r="AH30" s="49">
        <f t="shared" si="32"/>
        <v>627</v>
      </c>
      <c r="AI30" s="49">
        <f t="shared" si="33"/>
        <v>0</v>
      </c>
      <c r="AJ30" s="49">
        <f t="shared" si="34"/>
        <v>0</v>
      </c>
      <c r="AK30" s="49">
        <f t="shared" si="35"/>
        <v>0</v>
      </c>
      <c r="AL30" s="49">
        <f t="array" ref="AL30">_xlfn.IFS(R30=0,AE30,R30&lt;0,AE30/-R30,R30&gt;0,AE30/R30)</f>
        <v>0</v>
      </c>
      <c r="AM30" s="50">
        <f t="shared" si="36"/>
        <v>0</v>
      </c>
      <c r="AN30" s="51">
        <f t="shared" si="37"/>
        <v>0</v>
      </c>
      <c r="AP30" s="53">
        <f t="shared" si="38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1"/>
        <v>10206</v>
      </c>
      <c r="J31" s="36"/>
      <c r="K31" s="32">
        <v>1</v>
      </c>
      <c r="L31" s="36"/>
      <c r="M31" s="36"/>
      <c r="N31" s="37">
        <f t="shared" si="22"/>
        <v>0.14285714285714285</v>
      </c>
      <c r="O31" s="38">
        <f t="shared" si="23"/>
        <v>0.14285714285714285</v>
      </c>
      <c r="P31" s="39">
        <f>SUMIFS('Отчет 19-25.01'!H:H,'Отчет 19-25.01'!D:D,"Выручка",'Отчет 19-25.01'!E:E,B31)</f>
        <v>1</v>
      </c>
      <c r="Q31" s="39">
        <f>SUMIFS('Отчет 19-25.01'!H:H,'Отчет 19-25.01'!D:D,"Возврат выручки",'Отчет 19-25.01'!E:E,B31)</f>
        <v>0</v>
      </c>
      <c r="R31" s="40">
        <f t="shared" si="24"/>
        <v>1</v>
      </c>
      <c r="S31" s="41">
        <f>SUMIFS('Отчет 19-25.01'!P:P,'Отчет 19-25.01'!C:C,"Продажи",'Отчет 19-25.01'!E:E,B31)</f>
        <v>3649</v>
      </c>
      <c r="T31" s="42">
        <f>SUMIFS('Отчет 19-25.01'!P:P,'Отчет 19-25.01'!C:C,"Возвраты",'Отчет 19-25.01'!E:E,B31)</f>
        <v>0</v>
      </c>
      <c r="U31" s="40">
        <f t="shared" si="25"/>
        <v>3649</v>
      </c>
      <c r="V31" s="43">
        <f t="shared" si="26"/>
        <v>5.8401754133256517E-2</v>
      </c>
      <c r="W31" s="44">
        <f t="shared" si="27"/>
        <v>567</v>
      </c>
      <c r="X31" s="42">
        <f>-SUMIFS('Отчет 19-25.01'!P:P,'Отчет 19-25.01'!C:C,"Вознаграждение Ozon",'Отчет 19-25.01'!E:E,B31)</f>
        <v>1569.07</v>
      </c>
      <c r="Y31" s="45">
        <f t="shared" si="28"/>
        <v>0.43</v>
      </c>
      <c r="Z31" s="42">
        <f>-SUMIFS('Отчет 19-25.01'!P:P,'Отчет 19-25.01'!C:C,"Услуги доставки",'Отчет 19-25.01'!E:E,B31)</f>
        <v>242.23</v>
      </c>
      <c r="AA31" s="32">
        <v>0</v>
      </c>
      <c r="AB31" s="55"/>
      <c r="AC31" s="42"/>
      <c r="AD31" s="46">
        <f t="shared" si="29"/>
        <v>36.49</v>
      </c>
      <c r="AE31" s="47">
        <f t="shared" si="30"/>
        <v>1234.21</v>
      </c>
      <c r="AF31" s="46"/>
      <c r="AG31" s="48">
        <f t="shared" si="31"/>
        <v>3649</v>
      </c>
      <c r="AH31" s="49">
        <f t="shared" si="32"/>
        <v>567</v>
      </c>
      <c r="AI31" s="49">
        <f t="shared" si="33"/>
        <v>1569.07</v>
      </c>
      <c r="AJ31" s="49">
        <f t="shared" si="34"/>
        <v>242.23</v>
      </c>
      <c r="AK31" s="49">
        <f t="shared" si="35"/>
        <v>0</v>
      </c>
      <c r="AL31" s="49">
        <f t="array" ref="AL31">_xlfn.IFS(R31=0,AE31,R31&lt;0,AE31/-R31,R31&gt;0,AE31/R31)</f>
        <v>1234.21</v>
      </c>
      <c r="AM31" s="50">
        <f t="shared" si="36"/>
        <v>0.33823239243628395</v>
      </c>
      <c r="AN31" s="51">
        <f t="shared" si="37"/>
        <v>2.17673721340388</v>
      </c>
      <c r="AP31" s="53">
        <f t="shared" si="38"/>
        <v>22215.78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1"/>
        <v>10773</v>
      </c>
      <c r="J32" s="36"/>
      <c r="K32" s="32">
        <v>0</v>
      </c>
      <c r="L32" s="36"/>
      <c r="M32" s="36"/>
      <c r="N32" s="37">
        <f t="shared" si="22"/>
        <v>0</v>
      </c>
      <c r="O32" s="38">
        <f t="shared" si="23"/>
        <v>0</v>
      </c>
      <c r="P32" s="39">
        <f>SUMIFS('Отчет 19-25.01'!H:H,'Отчет 19-25.01'!D:D,"Выручка",'Отчет 19-25.01'!E:E,B32)</f>
        <v>0</v>
      </c>
      <c r="Q32" s="39">
        <f>SUMIFS('Отчет 19-25.01'!H:H,'Отчет 19-25.01'!D:D,"Возврат выручки",'Отчет 19-25.01'!E:E,B32)</f>
        <v>0</v>
      </c>
      <c r="R32" s="40">
        <f t="shared" si="24"/>
        <v>0</v>
      </c>
      <c r="S32" s="41">
        <f>SUMIFS('Отчет 19-25.01'!P:P,'Отчет 19-25.01'!C:C,"Продажи",'Отчет 19-25.01'!E:E,B32)</f>
        <v>0</v>
      </c>
      <c r="T32" s="42">
        <f>SUMIFS('Отчет 19-25.01'!P:P,'Отчет 19-25.01'!C:C,"Возвраты",'Отчет 19-25.01'!E:E,B32)</f>
        <v>0</v>
      </c>
      <c r="U32" s="40">
        <f t="shared" si="25"/>
        <v>0</v>
      </c>
      <c r="V32" s="43">
        <f t="shared" si="26"/>
        <v>0</v>
      </c>
      <c r="W32" s="44">
        <f t="shared" si="27"/>
        <v>0</v>
      </c>
      <c r="X32" s="42">
        <f>-SUMIFS('Отчет 19-25.01'!P:P,'Отчет 19-25.01'!C:C,"Вознаграждение Ozon",'Отчет 19-25.01'!E:E,B32)</f>
        <v>0</v>
      </c>
      <c r="Y32" s="45">
        <f t="shared" si="28"/>
        <v>0</v>
      </c>
      <c r="Z32" s="42">
        <f>-SUMIFS('Отчет 19-25.01'!P:P,'Отчет 19-25.01'!C:C,"Услуги доставки",'Отчет 19-25.01'!E:E,B32)</f>
        <v>0</v>
      </c>
      <c r="AA32" s="32">
        <v>0</v>
      </c>
      <c r="AB32" s="55"/>
      <c r="AC32" s="42"/>
      <c r="AD32" s="46">
        <f t="shared" si="29"/>
        <v>0</v>
      </c>
      <c r="AE32" s="47">
        <f t="shared" si="30"/>
        <v>0</v>
      </c>
      <c r="AF32" s="46"/>
      <c r="AG32" s="48">
        <f t="shared" si="31"/>
        <v>0</v>
      </c>
      <c r="AH32" s="49">
        <f t="shared" si="32"/>
        <v>567</v>
      </c>
      <c r="AI32" s="49">
        <f t="shared" si="33"/>
        <v>0</v>
      </c>
      <c r="AJ32" s="49">
        <f t="shared" si="34"/>
        <v>0</v>
      </c>
      <c r="AK32" s="49">
        <f t="shared" si="35"/>
        <v>0</v>
      </c>
      <c r="AL32" s="49">
        <f t="array" ref="AL32">_xlfn.IFS(R32=0,AE32,R32&lt;0,AE32/-R32,R32&gt;0,AE32/R32)</f>
        <v>0</v>
      </c>
      <c r="AM32" s="50">
        <f t="shared" si="36"/>
        <v>0</v>
      </c>
      <c r="AN32" s="51">
        <f t="shared" si="37"/>
        <v>0</v>
      </c>
      <c r="AP32" s="53">
        <f t="shared" si="38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1"/>
        <v>9198</v>
      </c>
      <c r="J33" s="36"/>
      <c r="K33" s="32">
        <v>1</v>
      </c>
      <c r="L33" s="36"/>
      <c r="M33" s="36"/>
      <c r="N33" s="37">
        <f t="shared" si="22"/>
        <v>0.14285714285714285</v>
      </c>
      <c r="O33" s="38">
        <f t="shared" si="23"/>
        <v>0.14285714285714285</v>
      </c>
      <c r="P33" s="39">
        <f>SUMIFS('Отчет 19-25.01'!H:H,'Отчет 19-25.01'!D:D,"Выручка",'Отчет 19-25.01'!E:E,B33)</f>
        <v>1</v>
      </c>
      <c r="Q33" s="39">
        <f>SUMIFS('Отчет 19-25.01'!H:H,'Отчет 19-25.01'!D:D,"Возврат выручки",'Отчет 19-25.01'!E:E,B33)</f>
        <v>0</v>
      </c>
      <c r="R33" s="40">
        <f t="shared" si="24"/>
        <v>1</v>
      </c>
      <c r="S33" s="41">
        <f>SUMIFS('Отчет 19-25.01'!P:P,'Отчет 19-25.01'!C:C,"Продажи",'Отчет 19-25.01'!E:E,B33)</f>
        <v>3080</v>
      </c>
      <c r="T33" s="42">
        <f>SUMIFS('Отчет 19-25.01'!P:P,'Отчет 19-25.01'!C:C,"Возвраты",'Отчет 19-25.01'!E:E,B33)</f>
        <v>0</v>
      </c>
      <c r="U33" s="40">
        <f t="shared" si="25"/>
        <v>3080</v>
      </c>
      <c r="V33" s="43">
        <f t="shared" si="26"/>
        <v>4.92949856756454E-2</v>
      </c>
      <c r="W33" s="44">
        <f t="shared" si="27"/>
        <v>657</v>
      </c>
      <c r="X33" s="42">
        <f>-SUMIFS('Отчет 19-25.01'!P:P,'Отчет 19-25.01'!C:C,"Вознаграждение Ozon",'Отчет 19-25.01'!E:E,B33)</f>
        <v>1324.4</v>
      </c>
      <c r="Y33" s="45">
        <f t="shared" si="28"/>
        <v>0.43000000000000005</v>
      </c>
      <c r="Z33" s="42">
        <f>-SUMIFS('Отчет 19-25.01'!P:P,'Отчет 19-25.01'!C:C,"Услуги доставки",'Отчет 19-25.01'!E:E,B33)</f>
        <v>219.36</v>
      </c>
      <c r="AA33" s="32">
        <v>0</v>
      </c>
      <c r="AB33" s="55"/>
      <c r="AC33" s="42"/>
      <c r="AD33" s="46">
        <f t="shared" si="29"/>
        <v>30.8</v>
      </c>
      <c r="AE33" s="47">
        <f t="shared" si="30"/>
        <v>848.43999999999994</v>
      </c>
      <c r="AF33" s="46"/>
      <c r="AG33" s="48">
        <f t="shared" si="31"/>
        <v>3080</v>
      </c>
      <c r="AH33" s="49">
        <f t="shared" si="32"/>
        <v>657</v>
      </c>
      <c r="AI33" s="49">
        <f t="shared" si="33"/>
        <v>1324.4</v>
      </c>
      <c r="AJ33" s="49">
        <f t="shared" si="34"/>
        <v>219.36</v>
      </c>
      <c r="AK33" s="49">
        <f t="shared" si="35"/>
        <v>0</v>
      </c>
      <c r="AL33" s="49">
        <f t="array" ref="AL33">_xlfn.IFS(R33=0,AE33,R33&lt;0,AE33/-R33,R33&gt;0,AE33/R33)</f>
        <v>848.43999999999994</v>
      </c>
      <c r="AM33" s="50">
        <f t="shared" si="36"/>
        <v>0.27546753246753247</v>
      </c>
      <c r="AN33" s="51">
        <f t="shared" si="37"/>
        <v>1.2913850837138507</v>
      </c>
      <c r="AP33" s="53">
        <f t="shared" si="38"/>
        <v>11878.16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1"/>
        <v>10149</v>
      </c>
      <c r="J34" s="36"/>
      <c r="K34" s="32">
        <v>1</v>
      </c>
      <c r="L34" s="36"/>
      <c r="M34" s="36"/>
      <c r="N34" s="37">
        <f t="shared" si="22"/>
        <v>0.14285714285714285</v>
      </c>
      <c r="O34" s="38">
        <f t="shared" si="23"/>
        <v>0</v>
      </c>
      <c r="P34" s="39">
        <f>SUMIFS('Отчет 19-25.01'!H:H,'Отчет 19-25.01'!D:D,"Выручка",'Отчет 19-25.01'!E:E,B34)</f>
        <v>0</v>
      </c>
      <c r="Q34" s="39">
        <f>SUMIFS('Отчет 19-25.01'!H:H,'Отчет 19-25.01'!D:D,"Возврат выручки",'Отчет 19-25.01'!E:E,B34)</f>
        <v>0</v>
      </c>
      <c r="R34" s="40">
        <f t="shared" si="24"/>
        <v>0</v>
      </c>
      <c r="S34" s="41">
        <f>SUMIFS('Отчет 19-25.01'!P:P,'Отчет 19-25.01'!C:C,"Продажи",'Отчет 19-25.01'!E:E,B34)</f>
        <v>0</v>
      </c>
      <c r="T34" s="42">
        <f>SUMIFS('Отчет 19-25.01'!P:P,'Отчет 19-25.01'!C:C,"Возвраты",'Отчет 19-25.01'!E:E,B34)</f>
        <v>0</v>
      </c>
      <c r="U34" s="40">
        <f t="shared" si="25"/>
        <v>0</v>
      </c>
      <c r="V34" s="43">
        <f t="shared" si="26"/>
        <v>0</v>
      </c>
      <c r="W34" s="44">
        <f t="shared" si="27"/>
        <v>0</v>
      </c>
      <c r="X34" s="42">
        <f>-SUMIFS('Отчет 19-25.01'!P:P,'Отчет 19-25.01'!C:C,"Вознаграждение Ozon",'Отчет 19-25.01'!E:E,B34)</f>
        <v>0</v>
      </c>
      <c r="Y34" s="45">
        <f t="shared" si="28"/>
        <v>0</v>
      </c>
      <c r="Z34" s="42">
        <f>-SUMIFS('Отчет 19-25.01'!P:P,'Отчет 19-25.01'!C:C,"Услуги доставки",'Отчет 19-25.01'!E:E,B34)</f>
        <v>0</v>
      </c>
      <c r="AA34" s="32">
        <v>0</v>
      </c>
      <c r="AB34" s="55"/>
      <c r="AC34" s="42"/>
      <c r="AD34" s="46">
        <f t="shared" si="29"/>
        <v>0</v>
      </c>
      <c r="AE34" s="47">
        <f t="shared" si="30"/>
        <v>0</v>
      </c>
      <c r="AF34" s="46"/>
      <c r="AG34" s="48">
        <f t="shared" si="31"/>
        <v>0</v>
      </c>
      <c r="AH34" s="49">
        <f t="shared" si="32"/>
        <v>597</v>
      </c>
      <c r="AI34" s="49">
        <f t="shared" si="33"/>
        <v>0</v>
      </c>
      <c r="AJ34" s="49">
        <f t="shared" si="34"/>
        <v>0</v>
      </c>
      <c r="AK34" s="49">
        <f t="shared" si="35"/>
        <v>0</v>
      </c>
      <c r="AL34" s="49">
        <f t="array" ref="AL34">_xlfn.IFS(R34=0,AE34,R34&lt;0,AE34/-R34,R34&gt;0,AE34/R34)</f>
        <v>0</v>
      </c>
      <c r="AM34" s="50">
        <f t="shared" si="36"/>
        <v>0</v>
      </c>
      <c r="AN34" s="51">
        <f t="shared" si="37"/>
        <v>0</v>
      </c>
      <c r="AP34" s="53">
        <f t="shared" si="38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1"/>
        <v>9384</v>
      </c>
      <c r="J35" s="36"/>
      <c r="K35" s="32">
        <v>3</v>
      </c>
      <c r="L35" s="36"/>
      <c r="M35" s="36"/>
      <c r="N35" s="37">
        <f t="shared" si="22"/>
        <v>0.42857142857142855</v>
      </c>
      <c r="O35" s="38">
        <f t="shared" si="23"/>
        <v>0</v>
      </c>
      <c r="P35" s="39">
        <f>SUMIFS('Отчет 19-25.01'!H:H,'Отчет 19-25.01'!D:D,"Выручка",'Отчет 19-25.01'!E:E,B35)</f>
        <v>0</v>
      </c>
      <c r="Q35" s="39">
        <f>SUMIFS('Отчет 19-25.01'!H:H,'Отчет 19-25.01'!D:D,"Возврат выручки",'Отчет 19-25.01'!E:E,B35)</f>
        <v>0</v>
      </c>
      <c r="R35" s="40">
        <f t="shared" si="24"/>
        <v>0</v>
      </c>
      <c r="S35" s="41">
        <f>SUMIFS('Отчет 19-25.01'!P:P,'Отчет 19-25.01'!C:C,"Продажи",'Отчет 19-25.01'!E:E,B35)</f>
        <v>0</v>
      </c>
      <c r="T35" s="42">
        <f>SUMIFS('Отчет 19-25.01'!P:P,'Отчет 19-25.01'!C:C,"Возвраты",'Отчет 19-25.01'!E:E,B35)</f>
        <v>0</v>
      </c>
      <c r="U35" s="40">
        <f t="shared" si="25"/>
        <v>0</v>
      </c>
      <c r="V35" s="43">
        <f t="shared" si="26"/>
        <v>0</v>
      </c>
      <c r="W35" s="44">
        <f t="shared" si="27"/>
        <v>0</v>
      </c>
      <c r="X35" s="42">
        <f>-SUMIFS('Отчет 19-25.01'!P:P,'Отчет 19-25.01'!C:C,"Вознаграждение Ozon",'Отчет 19-25.01'!E:E,B35)</f>
        <v>0</v>
      </c>
      <c r="Y35" s="45">
        <f t="shared" si="28"/>
        <v>0</v>
      </c>
      <c r="Z35" s="42">
        <f>-SUMIFS('Отчет 19-25.01'!P:P,'Отчет 19-25.01'!C:C,"Услуги доставки",'Отчет 19-25.01'!E:E,B35)</f>
        <v>0</v>
      </c>
      <c r="AA35" s="32">
        <v>0</v>
      </c>
      <c r="AB35" s="55"/>
      <c r="AC35" s="42"/>
      <c r="AD35" s="46">
        <f t="shared" si="29"/>
        <v>0</v>
      </c>
      <c r="AE35" s="47">
        <f t="shared" si="30"/>
        <v>0</v>
      </c>
      <c r="AF35" s="46"/>
      <c r="AG35" s="48">
        <f t="shared" si="31"/>
        <v>0</v>
      </c>
      <c r="AH35" s="49">
        <f t="shared" si="32"/>
        <v>552</v>
      </c>
      <c r="AI35" s="49">
        <f t="shared" si="33"/>
        <v>0</v>
      </c>
      <c r="AJ35" s="49">
        <f t="shared" si="34"/>
        <v>0</v>
      </c>
      <c r="AK35" s="49">
        <f t="shared" si="35"/>
        <v>0</v>
      </c>
      <c r="AL35" s="49">
        <f t="array" ref="AL35">_xlfn.IFS(R35=0,AE35,R35&lt;0,AE35/-R35,R35&gt;0,AE35/R35)</f>
        <v>0</v>
      </c>
      <c r="AM35" s="50">
        <f t="shared" si="36"/>
        <v>0</v>
      </c>
      <c r="AN35" s="51">
        <f t="shared" si="37"/>
        <v>0</v>
      </c>
      <c r="AP35" s="53">
        <f t="shared" si="38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1"/>
        <v>9384</v>
      </c>
      <c r="J36" s="36"/>
      <c r="K36" s="32">
        <v>2</v>
      </c>
      <c r="L36" s="36"/>
      <c r="M36" s="36"/>
      <c r="N36" s="37">
        <f t="shared" si="22"/>
        <v>0.2857142857142857</v>
      </c>
      <c r="O36" s="38">
        <f t="shared" si="23"/>
        <v>0</v>
      </c>
      <c r="P36" s="39">
        <f>SUMIFS('Отчет 19-25.01'!H:H,'Отчет 19-25.01'!D:D,"Выручка",'Отчет 19-25.01'!E:E,B36)</f>
        <v>0</v>
      </c>
      <c r="Q36" s="39">
        <f>SUMIFS('Отчет 19-25.01'!H:H,'Отчет 19-25.01'!D:D,"Возврат выручки",'Отчет 19-25.01'!E:E,B36)</f>
        <v>0</v>
      </c>
      <c r="R36" s="40">
        <f t="shared" si="24"/>
        <v>0</v>
      </c>
      <c r="S36" s="41">
        <f>SUMIFS('Отчет 19-25.01'!P:P,'Отчет 19-25.01'!C:C,"Продажи",'Отчет 19-25.01'!E:E,B36)</f>
        <v>0</v>
      </c>
      <c r="T36" s="42">
        <f>SUMIFS('Отчет 19-25.01'!P:P,'Отчет 19-25.01'!C:C,"Возвраты",'Отчет 19-25.01'!E:E,B36)</f>
        <v>0</v>
      </c>
      <c r="U36" s="40">
        <f t="shared" si="25"/>
        <v>0</v>
      </c>
      <c r="V36" s="43">
        <f t="shared" si="26"/>
        <v>0</v>
      </c>
      <c r="W36" s="44">
        <f>R36*H36</f>
        <v>0</v>
      </c>
      <c r="X36" s="42">
        <f>-SUMIFS('Отчет 19-25.01'!P:P,'Отчет 19-25.01'!C:C,"Вознаграждение Ozon",'Отчет 19-25.01'!E:E,B36)</f>
        <v>0</v>
      </c>
      <c r="Y36" s="45">
        <f t="shared" si="28"/>
        <v>0</v>
      </c>
      <c r="Z36" s="42">
        <f>-SUMIFS('Отчет 19-25.01'!P:P,'Отчет 19-25.01'!C:C,"Услуги доставки",'Отчет 19-25.01'!E:E,B36)</f>
        <v>113.88</v>
      </c>
      <c r="AA36" s="32">
        <v>0</v>
      </c>
      <c r="AB36" s="55"/>
      <c r="AC36" s="42"/>
      <c r="AD36" s="46">
        <f t="shared" si="29"/>
        <v>0</v>
      </c>
      <c r="AE36" s="47">
        <f t="shared" si="30"/>
        <v>-113.88</v>
      </c>
      <c r="AF36" s="46"/>
      <c r="AG36" s="48">
        <f t="shared" si="31"/>
        <v>0</v>
      </c>
      <c r="AH36" s="49">
        <f t="shared" si="32"/>
        <v>552</v>
      </c>
      <c r="AI36" s="49">
        <f t="shared" si="33"/>
        <v>0</v>
      </c>
      <c r="AJ36" s="49">
        <f t="shared" si="34"/>
        <v>113.88</v>
      </c>
      <c r="AK36" s="49">
        <f t="shared" si="35"/>
        <v>0</v>
      </c>
      <c r="AL36" s="49">
        <f t="array" ref="AL36">_xlfn.IFS(R36=0,AE36,R36&lt;0,AE36/-R36,R36&gt;0,AE36/R36)</f>
        <v>-113.88</v>
      </c>
      <c r="AM36" s="50">
        <f t="shared" si="36"/>
        <v>0</v>
      </c>
      <c r="AN36" s="51">
        <f t="shared" si="37"/>
        <v>-0.20630434782608695</v>
      </c>
      <c r="AP36" s="53">
        <f t="shared" si="38"/>
        <v>-1935.96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1"/>
        <v>8931</v>
      </c>
      <c r="J37" s="36"/>
      <c r="K37" s="32">
        <v>4</v>
      </c>
      <c r="L37" s="36"/>
      <c r="M37" s="36"/>
      <c r="N37" s="37">
        <f t="shared" si="22"/>
        <v>0.5714285714285714</v>
      </c>
      <c r="O37" s="38">
        <f t="shared" si="23"/>
        <v>0.2857142857142857</v>
      </c>
      <c r="P37" s="39">
        <f>SUMIFS('Отчет 19-25.01'!H:H,'Отчет 19-25.01'!D:D,"Выручка",'Отчет 19-25.01'!E:E,B37)</f>
        <v>3</v>
      </c>
      <c r="Q37" s="39">
        <f>SUMIFS('Отчет 19-25.01'!H:H,'Отчет 19-25.01'!D:D,"Возврат выручки",'Отчет 19-25.01'!E:E,B37)</f>
        <v>1</v>
      </c>
      <c r="R37" s="40">
        <f t="shared" si="24"/>
        <v>2</v>
      </c>
      <c r="S37" s="41">
        <f>SUMIFS('Отчет 19-25.01'!P:P,'Отчет 19-25.01'!C:C,"Продажи",'Отчет 19-25.01'!E:E,B37)</f>
        <v>13518</v>
      </c>
      <c r="T37" s="42">
        <f>SUMIFS('Отчет 19-25.01'!P:P,'Отчет 19-25.01'!C:C,"Возвраты",'Отчет 19-25.01'!E:E,B37)</f>
        <v>-4506</v>
      </c>
      <c r="U37" s="40">
        <f t="shared" si="25"/>
        <v>9012</v>
      </c>
      <c r="V37" s="43">
        <f t="shared" si="26"/>
        <v>0.14423584769770012</v>
      </c>
      <c r="W37" s="44">
        <f t="shared" si="27"/>
        <v>1374</v>
      </c>
      <c r="X37" s="42">
        <f>-SUMIFS('Отчет 19-25.01'!P:P,'Отчет 19-25.01'!C:C,"Вознаграждение Ozon",'Отчет 19-25.01'!E:E,B37)</f>
        <v>3875.16</v>
      </c>
      <c r="Y37" s="45">
        <f t="shared" si="28"/>
        <v>0.43</v>
      </c>
      <c r="Z37" s="42">
        <f>-SUMIFS('Отчет 19-25.01'!P:P,'Отчет 19-25.01'!C:C,"Услуги доставки",'Отчет 19-25.01'!E:E,B37)</f>
        <v>984.57999999999993</v>
      </c>
      <c r="AA37" s="32">
        <v>0</v>
      </c>
      <c r="AB37" s="55"/>
      <c r="AC37" s="42"/>
      <c r="AD37" s="46">
        <f t="shared" si="29"/>
        <v>90.12</v>
      </c>
      <c r="AE37" s="47">
        <f t="shared" si="30"/>
        <v>2688.1400000000003</v>
      </c>
      <c r="AF37" s="46"/>
      <c r="AG37" s="48">
        <f t="shared" si="31"/>
        <v>4506</v>
      </c>
      <c r="AH37" s="49">
        <f t="shared" si="32"/>
        <v>687</v>
      </c>
      <c r="AI37" s="49">
        <f t="shared" si="33"/>
        <v>1937.58</v>
      </c>
      <c r="AJ37" s="49">
        <f t="shared" si="34"/>
        <v>328.19333333333333</v>
      </c>
      <c r="AK37" s="49">
        <f t="shared" si="35"/>
        <v>0</v>
      </c>
      <c r="AL37" s="49">
        <f t="array" ref="AL37">_xlfn.IFS(R37=0,AE37,R37&lt;0,AE37/-R37,R37&gt;0,AE37/R37)</f>
        <v>1344.0700000000002</v>
      </c>
      <c r="AM37" s="50">
        <f t="shared" si="36"/>
        <v>0.29828450954283181</v>
      </c>
      <c r="AN37" s="51">
        <f t="shared" si="37"/>
        <v>1.9564337700145562</v>
      </c>
      <c r="AP37" s="53">
        <f t="shared" si="38"/>
        <v>17472.910000000003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1"/>
        <v>3435</v>
      </c>
      <c r="J38" s="36"/>
      <c r="K38" s="32">
        <v>4</v>
      </c>
      <c r="L38" s="36"/>
      <c r="M38" s="36"/>
      <c r="N38" s="37">
        <f t="shared" si="22"/>
        <v>0.5714285714285714</v>
      </c>
      <c r="O38" s="38">
        <f t="shared" si="23"/>
        <v>-0.14285714285714285</v>
      </c>
      <c r="P38" s="39">
        <f>SUMIFS('Отчет 19-25.01'!H:H,'Отчет 19-25.01'!D:D,"Выручка",'Отчет 19-25.01'!E:E,B38)</f>
        <v>0</v>
      </c>
      <c r="Q38" s="39">
        <f>SUMIFS('Отчет 19-25.01'!H:H,'Отчет 19-25.01'!D:D,"Возврат выручки",'Отчет 19-25.01'!E:E,B38)</f>
        <v>1</v>
      </c>
      <c r="R38" s="40">
        <f t="shared" si="24"/>
        <v>-1</v>
      </c>
      <c r="S38" s="41">
        <f>SUMIFS('Отчет 19-25.01'!P:P,'Отчет 19-25.01'!C:C,"Продажи",'Отчет 19-25.01'!E:E,B38)</f>
        <v>0</v>
      </c>
      <c r="T38" s="42">
        <f>SUMIFS('Отчет 19-25.01'!P:P,'Отчет 19-25.01'!C:C,"Возвраты",'Отчет 19-25.01'!E:E,B38)</f>
        <v>-3546</v>
      </c>
      <c r="U38" s="40">
        <f t="shared" si="25"/>
        <v>-3546</v>
      </c>
      <c r="V38" s="43">
        <f t="shared" si="26"/>
        <v>-5.6753252988908633E-2</v>
      </c>
      <c r="W38" s="44">
        <f t="shared" si="27"/>
        <v>-687</v>
      </c>
      <c r="X38" s="42">
        <f>-SUMIFS('Отчет 19-25.01'!P:P,'Отчет 19-25.01'!C:C,"Вознаграждение Ozon",'Отчет 19-25.01'!E:E,B38)</f>
        <v>-1524.78</v>
      </c>
      <c r="Y38" s="45">
        <f t="shared" si="28"/>
        <v>0.43</v>
      </c>
      <c r="Z38" s="42">
        <f>-SUMIFS('Отчет 19-25.01'!P:P,'Отчет 19-25.01'!C:C,"Услуги доставки",'Отчет 19-25.01'!E:E,B38)</f>
        <v>113.88</v>
      </c>
      <c r="AA38" s="32">
        <v>0</v>
      </c>
      <c r="AB38" s="55"/>
      <c r="AC38" s="42"/>
      <c r="AD38" s="46">
        <f t="shared" si="29"/>
        <v>-35.46</v>
      </c>
      <c r="AE38" s="47">
        <f t="shared" si="30"/>
        <v>-1412.6399999999999</v>
      </c>
      <c r="AF38" s="46"/>
      <c r="AG38" s="48">
        <f t="shared" si="31"/>
        <v>3546</v>
      </c>
      <c r="AH38" s="49">
        <f t="shared" si="32"/>
        <v>687</v>
      </c>
      <c r="AI38" s="49">
        <f t="shared" si="33"/>
        <v>1524.78</v>
      </c>
      <c r="AJ38" s="49">
        <f t="shared" si="34"/>
        <v>113.88</v>
      </c>
      <c r="AK38" s="49">
        <f t="shared" si="35"/>
        <v>0</v>
      </c>
      <c r="AL38" s="49">
        <f t="array" ref="AL38">_xlfn.IFS(R38=0,AE38,R38&lt;0,AE38/-R38,R38&gt;0,AE38/R38)</f>
        <v>-1412.6399999999999</v>
      </c>
      <c r="AM38" s="50">
        <f t="shared" si="36"/>
        <v>-0.39837563451776647</v>
      </c>
      <c r="AN38" s="51">
        <f t="shared" si="37"/>
        <v>-2.0562445414847161</v>
      </c>
      <c r="AP38" s="53">
        <f t="shared" si="38"/>
        <v>-7063.1999999999989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1"/>
        <v>9552</v>
      </c>
      <c r="J39" s="36"/>
      <c r="K39" s="32">
        <v>1</v>
      </c>
      <c r="L39" s="36"/>
      <c r="M39" s="36"/>
      <c r="N39" s="37">
        <f t="shared" si="22"/>
        <v>0.14285714285714285</v>
      </c>
      <c r="O39" s="38">
        <f t="shared" si="23"/>
        <v>0</v>
      </c>
      <c r="P39" s="39">
        <f>SUMIFS('Отчет 19-25.01'!H:H,'Отчет 19-25.01'!D:D,"Выручка",'Отчет 19-25.01'!E:E,B39)</f>
        <v>0</v>
      </c>
      <c r="Q39" s="39">
        <f>SUMIFS('Отчет 19-25.01'!H:H,'Отчет 19-25.01'!D:D,"Возврат выручки",'Отчет 19-25.01'!E:E,B39)</f>
        <v>0</v>
      </c>
      <c r="R39" s="40">
        <f t="shared" si="24"/>
        <v>0</v>
      </c>
      <c r="S39" s="41">
        <f>SUMIFS('Отчет 19-25.01'!P:P,'Отчет 19-25.01'!C:C,"Продажи",'Отчет 19-25.01'!E:E,B39)</f>
        <v>0</v>
      </c>
      <c r="T39" s="42">
        <f>SUMIFS('Отчет 19-25.01'!P:P,'Отчет 19-25.01'!C:C,"Возвраты",'Отчет 19-25.01'!E:E,B39)</f>
        <v>0</v>
      </c>
      <c r="U39" s="40">
        <f t="shared" si="25"/>
        <v>0</v>
      </c>
      <c r="V39" s="43">
        <f t="shared" si="26"/>
        <v>0</v>
      </c>
      <c r="W39" s="44">
        <f t="shared" si="27"/>
        <v>0</v>
      </c>
      <c r="X39" s="42">
        <f>-SUMIFS('Отчет 19-25.01'!P:P,'Отчет 19-25.01'!C:C,"Вознаграждение Ozon",'Отчет 19-25.01'!E:E,B39)</f>
        <v>0</v>
      </c>
      <c r="Y39" s="45">
        <f t="shared" si="28"/>
        <v>0</v>
      </c>
      <c r="Z39" s="42">
        <f>-SUMIFS('Отчет 19-25.01'!P:P,'Отчет 19-25.01'!C:C,"Услуги доставки",'Отчет 19-25.01'!E:E,B39)</f>
        <v>0</v>
      </c>
      <c r="AA39" s="32">
        <v>0</v>
      </c>
      <c r="AB39" s="55"/>
      <c r="AC39" s="42"/>
      <c r="AD39" s="46">
        <f t="shared" si="29"/>
        <v>0</v>
      </c>
      <c r="AE39" s="47">
        <f t="shared" si="30"/>
        <v>0</v>
      </c>
      <c r="AF39" s="46"/>
      <c r="AG39" s="48">
        <f t="shared" si="31"/>
        <v>0</v>
      </c>
      <c r="AH39" s="49">
        <f t="shared" si="32"/>
        <v>597</v>
      </c>
      <c r="AI39" s="49">
        <f t="shared" si="33"/>
        <v>0</v>
      </c>
      <c r="AJ39" s="49">
        <f t="shared" si="34"/>
        <v>0</v>
      </c>
      <c r="AK39" s="49">
        <f t="shared" si="35"/>
        <v>0</v>
      </c>
      <c r="AL39" s="49">
        <f t="array" ref="AL39">_xlfn.IFS(R39=0,AE39,R39&lt;0,AE39/-R39,R39&gt;0,AE39/R39)</f>
        <v>0</v>
      </c>
      <c r="AM39" s="50">
        <f t="shared" si="36"/>
        <v>0</v>
      </c>
      <c r="AN39" s="51">
        <f t="shared" si="37"/>
        <v>0</v>
      </c>
      <c r="AP39" s="53">
        <f t="shared" si="38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1"/>
        <v>10746</v>
      </c>
      <c r="J40" s="36"/>
      <c r="K40" s="32">
        <v>0</v>
      </c>
      <c r="L40" s="36"/>
      <c r="M40" s="36"/>
      <c r="N40" s="37">
        <f t="shared" si="22"/>
        <v>0</v>
      </c>
      <c r="O40" s="38">
        <f t="shared" si="23"/>
        <v>0</v>
      </c>
      <c r="P40" s="39">
        <f>SUMIFS('Отчет 19-25.01'!H:H,'Отчет 19-25.01'!D:D,"Выручка",'Отчет 19-25.01'!E:E,B40)</f>
        <v>0</v>
      </c>
      <c r="Q40" s="39">
        <f>SUMIFS('Отчет 19-25.01'!H:H,'Отчет 19-25.01'!D:D,"Возврат выручки",'Отчет 19-25.01'!E:E,B40)</f>
        <v>0</v>
      </c>
      <c r="R40" s="40">
        <f t="shared" si="24"/>
        <v>0</v>
      </c>
      <c r="S40" s="41">
        <f>SUMIFS('Отчет 19-25.01'!P:P,'Отчет 19-25.01'!C:C,"Продажи",'Отчет 19-25.01'!E:E,B40)</f>
        <v>0</v>
      </c>
      <c r="T40" s="42">
        <f>SUMIFS('Отчет 19-25.01'!P:P,'Отчет 19-25.01'!C:C,"Возвраты",'Отчет 19-25.01'!E:E,B40)</f>
        <v>0</v>
      </c>
      <c r="U40" s="40">
        <f t="shared" si="25"/>
        <v>0</v>
      </c>
      <c r="V40" s="43">
        <f t="shared" si="26"/>
        <v>0</v>
      </c>
      <c r="W40" s="44">
        <f t="shared" si="27"/>
        <v>0</v>
      </c>
      <c r="X40" s="42">
        <f>-SUMIFS('Отчет 19-25.01'!P:P,'Отчет 19-25.01'!C:C,"Вознаграждение Ozon",'Отчет 19-25.01'!E:E,B40)</f>
        <v>0</v>
      </c>
      <c r="Y40" s="45">
        <f t="shared" si="28"/>
        <v>0</v>
      </c>
      <c r="Z40" s="42">
        <f>-SUMIFS('Отчет 19-25.01'!P:P,'Отчет 19-25.01'!C:C,"Услуги доставки",'Отчет 19-25.01'!E:E,B40)</f>
        <v>0</v>
      </c>
      <c r="AA40" s="32">
        <v>0</v>
      </c>
      <c r="AB40" s="55"/>
      <c r="AC40" s="42"/>
      <c r="AD40" s="46">
        <f t="shared" si="29"/>
        <v>0</v>
      </c>
      <c r="AE40" s="47">
        <f t="shared" si="30"/>
        <v>0</v>
      </c>
      <c r="AF40" s="46"/>
      <c r="AG40" s="48">
        <f t="shared" si="31"/>
        <v>0</v>
      </c>
      <c r="AH40" s="49">
        <f t="shared" si="32"/>
        <v>597</v>
      </c>
      <c r="AI40" s="49">
        <f t="shared" si="33"/>
        <v>0</v>
      </c>
      <c r="AJ40" s="49">
        <f t="shared" si="34"/>
        <v>0</v>
      </c>
      <c r="AK40" s="49">
        <f t="shared" si="35"/>
        <v>0</v>
      </c>
      <c r="AL40" s="49">
        <f t="array" ref="AL40">_xlfn.IFS(R40=0,AE40,R40&lt;0,AE40/-R40,R40&gt;0,AE40/R40)</f>
        <v>0</v>
      </c>
      <c r="AM40" s="50">
        <f t="shared" si="36"/>
        <v>0</v>
      </c>
      <c r="AN40" s="51">
        <f t="shared" si="37"/>
        <v>0</v>
      </c>
      <c r="AP40" s="53">
        <f t="shared" si="38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1"/>
        <v>10746</v>
      </c>
      <c r="J41" s="36"/>
      <c r="K41" s="32">
        <v>0</v>
      </c>
      <c r="L41" s="36"/>
      <c r="M41" s="36"/>
      <c r="N41" s="37">
        <f t="shared" si="22"/>
        <v>0</v>
      </c>
      <c r="O41" s="38">
        <f t="shared" si="23"/>
        <v>0</v>
      </c>
      <c r="P41" s="39">
        <f>SUMIFS('Отчет 19-25.01'!H:H,'Отчет 19-25.01'!D:D,"Выручка",'Отчет 19-25.01'!E:E,B41)</f>
        <v>0</v>
      </c>
      <c r="Q41" s="39">
        <f>SUMIFS('Отчет 19-25.01'!H:H,'Отчет 19-25.01'!D:D,"Возврат выручки",'Отчет 19-25.01'!E:E,B41)</f>
        <v>0</v>
      </c>
      <c r="R41" s="40">
        <f t="shared" si="24"/>
        <v>0</v>
      </c>
      <c r="S41" s="41">
        <f>SUMIFS('Отчет 19-25.01'!P:P,'Отчет 19-25.01'!C:C,"Продажи",'Отчет 19-25.01'!E:E,B41)</f>
        <v>0</v>
      </c>
      <c r="T41" s="42">
        <f>SUMIFS('Отчет 19-25.01'!P:P,'Отчет 19-25.01'!C:C,"Возвраты",'Отчет 19-25.01'!E:E,B41)</f>
        <v>0</v>
      </c>
      <c r="U41" s="40">
        <f t="shared" si="25"/>
        <v>0</v>
      </c>
      <c r="V41" s="43">
        <f t="shared" si="26"/>
        <v>0</v>
      </c>
      <c r="W41" s="44">
        <f t="shared" si="27"/>
        <v>0</v>
      </c>
      <c r="X41" s="42">
        <f>-SUMIFS('Отчет 19-25.01'!P:P,'Отчет 19-25.01'!C:C,"Вознаграждение Ozon",'Отчет 19-25.01'!E:E,B41)</f>
        <v>0</v>
      </c>
      <c r="Y41" s="45">
        <f t="shared" si="28"/>
        <v>0</v>
      </c>
      <c r="Z41" s="42">
        <f>-SUMIFS('Отчет 19-25.01'!P:P,'Отчет 19-25.01'!C:C,"Услуги доставки",'Отчет 19-25.01'!E:E,B41)</f>
        <v>0</v>
      </c>
      <c r="AA41" s="32">
        <v>0</v>
      </c>
      <c r="AB41" s="55"/>
      <c r="AC41" s="42"/>
      <c r="AD41" s="46">
        <f t="shared" si="29"/>
        <v>0</v>
      </c>
      <c r="AE41" s="47">
        <f t="shared" si="30"/>
        <v>0</v>
      </c>
      <c r="AF41" s="46"/>
      <c r="AG41" s="48">
        <f t="shared" si="31"/>
        <v>0</v>
      </c>
      <c r="AH41" s="49">
        <f t="shared" si="32"/>
        <v>597</v>
      </c>
      <c r="AI41" s="49">
        <f t="shared" si="33"/>
        <v>0</v>
      </c>
      <c r="AJ41" s="49">
        <f t="shared" si="34"/>
        <v>0</v>
      </c>
      <c r="AK41" s="49">
        <f t="shared" si="35"/>
        <v>0</v>
      </c>
      <c r="AL41" s="49">
        <f t="array" ref="AL41">_xlfn.IFS(R41=0,AE41,R41&lt;0,AE41/-R41,R41&gt;0,AE41/R41)</f>
        <v>0</v>
      </c>
      <c r="AM41" s="50">
        <f t="shared" si="36"/>
        <v>0</v>
      </c>
      <c r="AN41" s="51">
        <f t="shared" si="37"/>
        <v>0</v>
      </c>
      <c r="AP41" s="53">
        <f t="shared" si="38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1"/>
        <v>11556</v>
      </c>
      <c r="J42" s="36"/>
      <c r="K42" s="32">
        <v>0</v>
      </c>
      <c r="L42" s="36"/>
      <c r="M42" s="36"/>
      <c r="N42" s="37">
        <f t="shared" si="22"/>
        <v>0</v>
      </c>
      <c r="O42" s="38">
        <f t="shared" si="23"/>
        <v>0</v>
      </c>
      <c r="P42" s="39">
        <f>SUMIFS('Отчет 19-25.01'!H:H,'Отчет 19-25.01'!D:D,"Выручка",'Отчет 19-25.01'!E:E,B42)</f>
        <v>0</v>
      </c>
      <c r="Q42" s="39">
        <f>SUMIFS('Отчет 19-25.01'!H:H,'Отчет 19-25.01'!D:D,"Возврат выручки",'Отчет 19-25.01'!E:E,B42)</f>
        <v>0</v>
      </c>
      <c r="R42" s="40">
        <f t="shared" si="24"/>
        <v>0</v>
      </c>
      <c r="S42" s="41">
        <f>SUMIFS('Отчет 19-25.01'!P:P,'Отчет 19-25.01'!C:C,"Продажи",'Отчет 19-25.01'!E:E,B42)</f>
        <v>0</v>
      </c>
      <c r="T42" s="42">
        <f>SUMIFS('Отчет 19-25.01'!P:P,'Отчет 19-25.01'!C:C,"Возвраты",'Отчет 19-25.01'!E:E,B42)</f>
        <v>0</v>
      </c>
      <c r="U42" s="40">
        <f t="shared" si="25"/>
        <v>0</v>
      </c>
      <c r="V42" s="43">
        <f t="shared" si="26"/>
        <v>0</v>
      </c>
      <c r="W42" s="44">
        <f t="shared" si="27"/>
        <v>0</v>
      </c>
      <c r="X42" s="42">
        <f>-SUMIFS('Отчет 19-25.01'!P:P,'Отчет 19-25.01'!C:C,"Вознаграждение Ozon",'Отчет 19-25.01'!E:E,B42)</f>
        <v>0</v>
      </c>
      <c r="Y42" s="45">
        <f t="shared" si="28"/>
        <v>0</v>
      </c>
      <c r="Z42" s="42">
        <f>-SUMIFS('Отчет 19-25.01'!P:P,'Отчет 19-25.01'!C:C,"Услуги доставки",'Отчет 19-25.01'!E:E,B42)</f>
        <v>0</v>
      </c>
      <c r="AA42" s="32">
        <v>0</v>
      </c>
      <c r="AB42" s="55"/>
      <c r="AC42" s="42"/>
      <c r="AD42" s="46">
        <f t="shared" si="29"/>
        <v>0</v>
      </c>
      <c r="AE42" s="47">
        <f t="shared" si="30"/>
        <v>0</v>
      </c>
      <c r="AF42" s="46"/>
      <c r="AG42" s="48">
        <f t="shared" si="31"/>
        <v>0</v>
      </c>
      <c r="AH42" s="49">
        <f t="shared" si="32"/>
        <v>642</v>
      </c>
      <c r="AI42" s="49">
        <f t="shared" si="33"/>
        <v>0</v>
      </c>
      <c r="AJ42" s="49">
        <f t="shared" si="34"/>
        <v>0</v>
      </c>
      <c r="AK42" s="49">
        <f t="shared" si="35"/>
        <v>0</v>
      </c>
      <c r="AL42" s="49">
        <f t="array" ref="AL42">_xlfn.IFS(R42=0,AE42,R42&lt;0,AE42/-R42,R42&gt;0,AE42/R42)</f>
        <v>0</v>
      </c>
      <c r="AM42" s="50">
        <f t="shared" si="36"/>
        <v>0</v>
      </c>
      <c r="AN42" s="51">
        <f t="shared" si="37"/>
        <v>0</v>
      </c>
      <c r="AP42" s="53">
        <f t="shared" si="38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1"/>
        <v>12198</v>
      </c>
      <c r="J43" s="36"/>
      <c r="K43" s="32">
        <v>3</v>
      </c>
      <c r="L43" s="36"/>
      <c r="M43" s="36"/>
      <c r="N43" s="37">
        <f t="shared" si="22"/>
        <v>0.42857142857142855</v>
      </c>
      <c r="O43" s="38">
        <f t="shared" si="23"/>
        <v>0</v>
      </c>
      <c r="P43" s="39">
        <f>SUMIFS('Отчет 19-25.01'!H:H,'Отчет 19-25.01'!D:D,"Выручка",'Отчет 19-25.01'!E:E,B43)</f>
        <v>0</v>
      </c>
      <c r="Q43" s="39">
        <f>SUMIFS('Отчет 19-25.01'!H:H,'Отчет 19-25.01'!D:D,"Возврат выручки",'Отчет 19-25.01'!E:E,B43)</f>
        <v>0</v>
      </c>
      <c r="R43" s="40">
        <f t="shared" si="24"/>
        <v>0</v>
      </c>
      <c r="S43" s="41">
        <f>SUMIFS('Отчет 19-25.01'!P:P,'Отчет 19-25.01'!C:C,"Продажи",'Отчет 19-25.01'!E:E,B43)</f>
        <v>0</v>
      </c>
      <c r="T43" s="42">
        <f>SUMIFS('Отчет 19-25.01'!P:P,'Отчет 19-25.01'!C:C,"Возвраты",'Отчет 19-25.01'!E:E,B43)</f>
        <v>0</v>
      </c>
      <c r="U43" s="40">
        <f t="shared" si="25"/>
        <v>0</v>
      </c>
      <c r="V43" s="43">
        <f t="shared" si="26"/>
        <v>0</v>
      </c>
      <c r="W43" s="44">
        <f t="shared" si="27"/>
        <v>0</v>
      </c>
      <c r="X43" s="42">
        <f>-SUMIFS('Отчет 19-25.01'!P:P,'Отчет 19-25.01'!C:C,"Вознаграждение Ozon",'Отчет 19-25.01'!E:E,B43)</f>
        <v>0</v>
      </c>
      <c r="Y43" s="45">
        <f t="shared" si="28"/>
        <v>0</v>
      </c>
      <c r="Z43" s="42">
        <f>-SUMIFS('Отчет 19-25.01'!P:P,'Отчет 19-25.01'!C:C,"Услуги доставки",'Отчет 19-25.01'!E:E,B43)</f>
        <v>0</v>
      </c>
      <c r="AA43" s="32">
        <v>0</v>
      </c>
      <c r="AB43" s="55"/>
      <c r="AC43" s="42"/>
      <c r="AD43" s="46">
        <f t="shared" si="29"/>
        <v>0</v>
      </c>
      <c r="AE43" s="47">
        <f t="shared" si="30"/>
        <v>0</v>
      </c>
      <c r="AF43" s="46"/>
      <c r="AG43" s="48">
        <f t="shared" si="31"/>
        <v>0</v>
      </c>
      <c r="AH43" s="49">
        <f t="shared" si="32"/>
        <v>642</v>
      </c>
      <c r="AI43" s="49">
        <f t="shared" si="33"/>
        <v>0</v>
      </c>
      <c r="AJ43" s="49">
        <f t="shared" si="34"/>
        <v>0</v>
      </c>
      <c r="AK43" s="49">
        <f t="shared" si="35"/>
        <v>0</v>
      </c>
      <c r="AL43" s="49">
        <f t="array" ref="AL43">_xlfn.IFS(R43=0,AE43,R43&lt;0,AE43/-R43,R43&gt;0,AE43/R43)</f>
        <v>0</v>
      </c>
      <c r="AM43" s="50">
        <f t="shared" si="36"/>
        <v>0</v>
      </c>
      <c r="AN43" s="51">
        <f t="shared" si="37"/>
        <v>0</v>
      </c>
      <c r="AP43" s="53">
        <f t="shared" si="38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1"/>
        <v>24045</v>
      </c>
      <c r="J44" s="36"/>
      <c r="K44" s="32">
        <v>20</v>
      </c>
      <c r="L44" s="36"/>
      <c r="M44" s="36"/>
      <c r="N44" s="37">
        <f t="shared" si="22"/>
        <v>2.8571428571428572</v>
      </c>
      <c r="O44" s="38">
        <f t="shared" si="23"/>
        <v>0.42857142857142855</v>
      </c>
      <c r="P44" s="39">
        <f>SUMIFS('Отчет 19-25.01'!H:H,'Отчет 19-25.01'!D:D,"Выручка",'Отчет 19-25.01'!E:E,B44)</f>
        <v>3</v>
      </c>
      <c r="Q44" s="39">
        <f>SUMIFS('Отчет 19-25.01'!H:H,'Отчет 19-25.01'!D:D,"Возврат выручки",'Отчет 19-25.01'!E:E,B44)</f>
        <v>0</v>
      </c>
      <c r="R44" s="40">
        <f t="shared" si="24"/>
        <v>3</v>
      </c>
      <c r="S44" s="41">
        <f>SUMIFS('Отчет 19-25.01'!P:P,'Отчет 19-25.01'!C:C,"Продажи",'Отчет 19-25.01'!E:E,B44)</f>
        <v>12533.999999999998</v>
      </c>
      <c r="T44" s="42">
        <f>SUMIFS('Отчет 19-25.01'!P:P,'Отчет 19-25.01'!C:C,"Возвраты",'Отчет 19-25.01'!E:E,B44)</f>
        <v>0</v>
      </c>
      <c r="U44" s="40">
        <f t="shared" si="25"/>
        <v>12533.999999999998</v>
      </c>
      <c r="V44" s="43">
        <f t="shared" si="26"/>
        <v>0.2006049839151102</v>
      </c>
      <c r="W44" s="44">
        <f t="shared" si="27"/>
        <v>2061</v>
      </c>
      <c r="X44" s="42">
        <f>-SUMIFS('Отчет 19-25.01'!P:P,'Отчет 19-25.01'!C:C,"Вознаграждение Ozon",'Отчет 19-25.01'!E:E,B44)</f>
        <v>5389.62</v>
      </c>
      <c r="Y44" s="45">
        <f t="shared" si="28"/>
        <v>0.43000000000000005</v>
      </c>
      <c r="Z44" s="42">
        <f>-SUMIFS('Отчет 19-25.01'!P:P,'Отчет 19-25.01'!C:C,"Услуги доставки",'Отчет 19-25.01'!E:E,B44)</f>
        <v>1356.4300000000003</v>
      </c>
      <c r="AA44" s="32">
        <v>7918.1111970000002</v>
      </c>
      <c r="AB44" s="55"/>
      <c r="AC44" s="42"/>
      <c r="AD44" s="46">
        <f t="shared" si="29"/>
        <v>125.33999999999999</v>
      </c>
      <c r="AE44" s="47">
        <f t="shared" si="30"/>
        <v>-4316.5011970000023</v>
      </c>
      <c r="AF44" s="46"/>
      <c r="AG44" s="48">
        <f t="shared" si="31"/>
        <v>4177.9999999999991</v>
      </c>
      <c r="AH44" s="49">
        <f t="shared" si="32"/>
        <v>687</v>
      </c>
      <c r="AI44" s="49">
        <f t="shared" si="33"/>
        <v>1796.54</v>
      </c>
      <c r="AJ44" s="49">
        <f t="shared" si="34"/>
        <v>452.14333333333343</v>
      </c>
      <c r="AK44" s="49">
        <f t="shared" si="35"/>
        <v>2639.3703989999999</v>
      </c>
      <c r="AL44" s="49">
        <f t="array" ref="AL44">_xlfn.IFS(R44=0,AE44,R44&lt;0,AE44/-R44,R44&gt;0,AE44/R44)</f>
        <v>-1438.8337323333342</v>
      </c>
      <c r="AM44" s="50">
        <f t="shared" si="36"/>
        <v>-0.34438337298547977</v>
      </c>
      <c r="AN44" s="51">
        <f t="shared" si="37"/>
        <v>-2.0943722450266873</v>
      </c>
      <c r="AP44" s="53">
        <f t="shared" si="38"/>
        <v>-50359.180631666699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1"/>
        <v>11679</v>
      </c>
      <c r="J45" s="36"/>
      <c r="K45" s="32">
        <v>21</v>
      </c>
      <c r="L45" s="36"/>
      <c r="M45" s="36"/>
      <c r="N45" s="37">
        <f t="shared" si="22"/>
        <v>3</v>
      </c>
      <c r="O45" s="38">
        <f t="shared" si="23"/>
        <v>1.1428571428571428</v>
      </c>
      <c r="P45" s="39">
        <f>SUMIFS('Отчет 19-25.01'!H:H,'Отчет 19-25.01'!D:D,"Выручка",'Отчет 19-25.01'!E:E,B45)</f>
        <v>10</v>
      </c>
      <c r="Q45" s="39">
        <f>SUMIFS('Отчет 19-25.01'!H:H,'Отчет 19-25.01'!D:D,"Возврат выручки",'Отчет 19-25.01'!E:E,B45)</f>
        <v>2</v>
      </c>
      <c r="R45" s="40">
        <f t="shared" si="24"/>
        <v>8</v>
      </c>
      <c r="S45" s="41">
        <f>SUMIFS('Отчет 19-25.01'!P:P,'Отчет 19-25.01'!C:C,"Продажи",'Отчет 19-25.01'!E:E,B45)</f>
        <v>47631.999999999993</v>
      </c>
      <c r="T45" s="42">
        <f>SUMIFS('Отчет 19-25.01'!P:P,'Отчет 19-25.01'!C:C,"Возвраты",'Отчет 19-25.01'!E:E,B45)</f>
        <v>-9880</v>
      </c>
      <c r="U45" s="40">
        <f t="shared" si="25"/>
        <v>37751.999999999993</v>
      </c>
      <c r="V45" s="43">
        <f t="shared" si="26"/>
        <v>0.60421568156719641</v>
      </c>
      <c r="W45" s="44">
        <f t="shared" si="27"/>
        <v>5496</v>
      </c>
      <c r="X45" s="42">
        <f>-SUMIFS('Отчет 19-25.01'!P:P,'Отчет 19-25.01'!C:C,"Вознаграждение Ozon",'Отчет 19-25.01'!E:E,B45)</f>
        <v>16233.36</v>
      </c>
      <c r="Y45" s="45">
        <f t="shared" si="28"/>
        <v>0.4300000000000001</v>
      </c>
      <c r="Z45" s="42">
        <f>-SUMIFS('Отчет 19-25.01'!P:P,'Отчет 19-25.01'!C:C,"Услуги доставки",'Отчет 19-25.01'!E:E,B45)</f>
        <v>3360.5100000000011</v>
      </c>
      <c r="AA45" s="32">
        <v>5844.9065730000002</v>
      </c>
      <c r="AB45" s="55"/>
      <c r="AC45" s="42"/>
      <c r="AD45" s="46">
        <f t="shared" si="29"/>
        <v>377.51999999999992</v>
      </c>
      <c r="AE45" s="47">
        <f t="shared" si="30"/>
        <v>6439.7034269999904</v>
      </c>
      <c r="AF45" s="46"/>
      <c r="AG45" s="48">
        <f t="shared" si="31"/>
        <v>4718.9999999999991</v>
      </c>
      <c r="AH45" s="49">
        <f t="shared" si="32"/>
        <v>687</v>
      </c>
      <c r="AI45" s="49">
        <f t="shared" si="33"/>
        <v>2029.17</v>
      </c>
      <c r="AJ45" s="49">
        <f t="shared" si="34"/>
        <v>336.0510000000001</v>
      </c>
      <c r="AK45" s="49">
        <f t="shared" si="35"/>
        <v>584.49065730000007</v>
      </c>
      <c r="AL45" s="49">
        <f t="array" ref="AL45">_xlfn.IFS(R45=0,AE45,R45&lt;0,AE45/-R45,R45&gt;0,AE45/R45)</f>
        <v>804.9629283749988</v>
      </c>
      <c r="AM45" s="50">
        <f t="shared" si="36"/>
        <v>0.17057913294659863</v>
      </c>
      <c r="AN45" s="51">
        <f t="shared" si="37"/>
        <v>1.1717073193231424</v>
      </c>
      <c r="AP45" s="53">
        <f t="shared" si="38"/>
        <v>13684.369782374979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1"/>
        <v>25392</v>
      </c>
      <c r="J46" s="36"/>
      <c r="K46" s="32">
        <v>2</v>
      </c>
      <c r="L46" s="36"/>
      <c r="M46" s="36"/>
      <c r="N46" s="37">
        <f t="shared" si="22"/>
        <v>0.2857142857142857</v>
      </c>
      <c r="O46" s="38">
        <f t="shared" si="23"/>
        <v>0</v>
      </c>
      <c r="P46" s="39">
        <f>SUMIFS('Отчет 19-25.01'!H:H,'Отчет 19-25.01'!D:D,"Выручка",'Отчет 19-25.01'!E:E,B46)</f>
        <v>0</v>
      </c>
      <c r="Q46" s="39">
        <f>SUMIFS('Отчет 19-25.01'!H:H,'Отчет 19-25.01'!D:D,"Возврат выручки",'Отчет 19-25.01'!E:E,B46)</f>
        <v>0</v>
      </c>
      <c r="R46" s="40">
        <f t="shared" si="24"/>
        <v>0</v>
      </c>
      <c r="S46" s="41">
        <f>SUMIFS('Отчет 19-25.01'!P:P,'Отчет 19-25.01'!C:C,"Продажи",'Отчет 19-25.01'!E:E,B46)</f>
        <v>0</v>
      </c>
      <c r="T46" s="42">
        <f>SUMIFS('Отчет 19-25.01'!P:P,'Отчет 19-25.01'!C:C,"Возвраты",'Отчет 19-25.01'!E:E,B46)</f>
        <v>0</v>
      </c>
      <c r="U46" s="40">
        <f t="shared" si="25"/>
        <v>0</v>
      </c>
      <c r="V46" s="43">
        <f t="shared" si="26"/>
        <v>0</v>
      </c>
      <c r="W46" s="44">
        <f t="shared" si="27"/>
        <v>0</v>
      </c>
      <c r="X46" s="42">
        <f>-SUMIFS('Отчет 19-25.01'!P:P,'Отчет 19-25.01'!C:C,"Вознаграждение Ozon",'Отчет 19-25.01'!E:E,B46)</f>
        <v>0</v>
      </c>
      <c r="Y46" s="45">
        <f t="shared" si="28"/>
        <v>0</v>
      </c>
      <c r="Z46" s="42">
        <f>-SUMIFS('Отчет 19-25.01'!P:P,'Отчет 19-25.01'!C:C,"Услуги доставки",'Отчет 19-25.01'!E:E,B46)</f>
        <v>0</v>
      </c>
      <c r="AA46" s="32">
        <v>810.57042999999999</v>
      </c>
      <c r="AB46" s="55"/>
      <c r="AC46" s="42"/>
      <c r="AD46" s="46">
        <f t="shared" si="29"/>
        <v>0</v>
      </c>
      <c r="AE46" s="47">
        <f t="shared" si="30"/>
        <v>-810.57042999999999</v>
      </c>
      <c r="AF46" s="46"/>
      <c r="AG46" s="48">
        <f t="shared" si="31"/>
        <v>0</v>
      </c>
      <c r="AH46" s="49">
        <f t="shared" si="32"/>
        <v>552</v>
      </c>
      <c r="AI46" s="49">
        <f t="shared" si="33"/>
        <v>0</v>
      </c>
      <c r="AJ46" s="49">
        <f t="shared" si="34"/>
        <v>0</v>
      </c>
      <c r="AK46" s="49">
        <f t="shared" si="35"/>
        <v>0</v>
      </c>
      <c r="AL46" s="49">
        <f t="array" ref="AL46">_xlfn.IFS(R46=0,AE46,R46&lt;0,AE46/-R46,R46&gt;0,AE46/R46)</f>
        <v>-810.57042999999999</v>
      </c>
      <c r="AM46" s="50">
        <f t="shared" si="36"/>
        <v>0</v>
      </c>
      <c r="AN46" s="51">
        <f t="shared" si="37"/>
        <v>-1.4684246920289854</v>
      </c>
      <c r="AP46" s="53">
        <f t="shared" si="38"/>
        <v>-37286.239779999996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2"/>
        <v>0</v>
      </c>
      <c r="O47" s="38">
        <f t="shared" si="23"/>
        <v>0</v>
      </c>
      <c r="P47" s="39">
        <f>SUMIFS('Отчет 19-25.01'!H:H,'Отчет 19-25.01'!D:D,"Выручка",'Отчет 19-25.01'!E:E,B47)</f>
        <v>0</v>
      </c>
      <c r="Q47" s="39">
        <f>SUMIFS('Отчет 19-25.01'!H:H,'Отчет 19-25.01'!D:D,"Возврат выручки",'Отчет 19-25.01'!E:E,B47)</f>
        <v>0</v>
      </c>
      <c r="R47" s="40">
        <f t="shared" si="24"/>
        <v>0</v>
      </c>
      <c r="S47" s="41">
        <f>SUMIFS('Отчет 19-25.01'!P:P,'Отчет 19-25.01'!C:C,"Продажи",'Отчет 19-25.01'!E:E,B47)</f>
        <v>0</v>
      </c>
      <c r="T47" s="42">
        <f>SUMIFS('Отчет 19-25.01'!P:P,'Отчет 19-25.01'!C:C,"Возвраты",'Отчет 19-25.01'!E:E,B47)</f>
        <v>0</v>
      </c>
      <c r="U47" s="40">
        <f t="shared" si="25"/>
        <v>0</v>
      </c>
      <c r="V47" s="43">
        <f t="shared" si="26"/>
        <v>0</v>
      </c>
      <c r="W47" s="44">
        <f t="shared" si="27"/>
        <v>0</v>
      </c>
      <c r="X47" s="42">
        <f>-SUMIFS('Отчет 19-25.01'!P:P,'Отчет 19-25.01'!C:C,"Вознаграждение Ozon",'Отчет 19-25.01'!E:E,B47)</f>
        <v>0</v>
      </c>
      <c r="Y47" s="45">
        <f t="shared" si="28"/>
        <v>0</v>
      </c>
      <c r="Z47" s="42">
        <f>-SUMIFS('Отчет 19-25.01'!P:P,'Отчет 19-25.01'!C:C,"Услуги доставки",'Отчет 19-25.01'!E:E,B47)</f>
        <v>0</v>
      </c>
      <c r="AA47" s="32">
        <v>0</v>
      </c>
      <c r="AB47" s="55"/>
      <c r="AC47" s="42"/>
      <c r="AD47" s="46">
        <f t="shared" si="29"/>
        <v>0</v>
      </c>
      <c r="AE47" s="47">
        <f t="shared" si="30"/>
        <v>0</v>
      </c>
      <c r="AF47" s="46"/>
      <c r="AG47" s="48">
        <f t="shared" si="31"/>
        <v>0</v>
      </c>
      <c r="AH47" s="49">
        <f t="shared" si="32"/>
        <v>552</v>
      </c>
      <c r="AI47" s="49">
        <f t="shared" si="33"/>
        <v>0</v>
      </c>
      <c r="AJ47" s="49">
        <f t="shared" si="34"/>
        <v>0</v>
      </c>
      <c r="AK47" s="49">
        <f t="shared" si="35"/>
        <v>0</v>
      </c>
      <c r="AL47" s="49">
        <f t="array" ref="AL47">_xlfn.IFS(R47=0,AE47,R47&lt;0,AE47/-R47,R47&gt;0,AE47/R47)</f>
        <v>0</v>
      </c>
      <c r="AM47" s="50">
        <f t="shared" si="36"/>
        <v>0</v>
      </c>
      <c r="AN47" s="51">
        <f t="shared" si="37"/>
        <v>0</v>
      </c>
      <c r="AP47" s="53">
        <f t="shared" si="38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9">AVERAGEIF(AG28:AG47,"&lt;&gt;0",AG28:AG47)</f>
        <v>3946.3333333333335</v>
      </c>
      <c r="AH48" s="86">
        <f t="shared" si="39"/>
        <v>617.25</v>
      </c>
      <c r="AI48" s="86">
        <f t="shared" si="39"/>
        <v>1696.9233333333334</v>
      </c>
      <c r="AJ48" s="86">
        <f t="shared" si="39"/>
        <v>257.96252380952387</v>
      </c>
      <c r="AK48" s="86">
        <f t="shared" si="39"/>
        <v>1611.9305281500001</v>
      </c>
      <c r="AL48" s="86">
        <f t="shared" si="39"/>
        <v>-9.1053537731483711</v>
      </c>
      <c r="AM48" s="87">
        <f t="shared" si="39"/>
        <v>5.6634093315000099E-2</v>
      </c>
      <c r="AN48" s="87">
        <f t="shared" si="39"/>
        <v>-3.249065744084555E-3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66</v>
      </c>
      <c r="L49" s="93"/>
      <c r="M49" s="93"/>
      <c r="N49" s="94"/>
      <c r="O49" s="95"/>
      <c r="P49" s="90">
        <f t="shared" ref="P49:X49" si="40">SUM(P28:P47)</f>
        <v>18</v>
      </c>
      <c r="Q49" s="90">
        <f t="shared" si="40"/>
        <v>4</v>
      </c>
      <c r="R49" s="96">
        <f t="shared" si="40"/>
        <v>14</v>
      </c>
      <c r="S49" s="90">
        <f t="shared" si="40"/>
        <v>80413</v>
      </c>
      <c r="T49" s="90">
        <f t="shared" si="40"/>
        <v>-17932</v>
      </c>
      <c r="U49" s="96">
        <f t="shared" si="40"/>
        <v>62480.999999999993</v>
      </c>
      <c r="V49" s="97">
        <f t="shared" si="40"/>
        <v>1</v>
      </c>
      <c r="W49" s="90">
        <f t="shared" si="40"/>
        <v>9468</v>
      </c>
      <c r="X49" s="90">
        <f t="shared" si="40"/>
        <v>26866.83</v>
      </c>
      <c r="Y49" s="98">
        <f>IF(U49=0,0,X49/U49)</f>
        <v>0.4300000000000001</v>
      </c>
      <c r="Z49" s="90">
        <f>SUM(Z28:Z47)</f>
        <v>6390.8700000000008</v>
      </c>
      <c r="AA49" s="90">
        <f>IFERROR(P49*AA51/P51,0)</f>
        <v>8921.6034146341462</v>
      </c>
      <c r="AB49" s="90">
        <f>SUM(AB28:AB47)</f>
        <v>0</v>
      </c>
      <c r="AC49" s="90">
        <f>SUM(AC28:AC47)</f>
        <v>0</v>
      </c>
      <c r="AD49" s="96">
        <f>SUM(AD28:AD47)</f>
        <v>624.80999999999995</v>
      </c>
      <c r="AE49" s="90">
        <f>SUM(AE28:AE47)</f>
        <v>4019.1948499999889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-58278.708129291714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15111.29515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185</v>
      </c>
      <c r="L51" s="119"/>
      <c r="M51" s="119"/>
      <c r="N51" s="119"/>
      <c r="O51" s="119"/>
      <c r="P51" s="120">
        <f t="shared" ref="P51:X51" si="41">P26+P49</f>
        <v>82</v>
      </c>
      <c r="Q51" s="118">
        <f t="shared" si="41"/>
        <v>5</v>
      </c>
      <c r="R51" s="121">
        <f t="shared" si="41"/>
        <v>77</v>
      </c>
      <c r="S51" s="118">
        <f t="shared" si="41"/>
        <v>184999.00000000003</v>
      </c>
      <c r="T51" s="118">
        <f t="shared" si="41"/>
        <v>-19602</v>
      </c>
      <c r="U51" s="121">
        <f t="shared" si="41"/>
        <v>165397.00000000003</v>
      </c>
      <c r="V51" s="122">
        <f t="shared" si="41"/>
        <v>2.6471567356476373</v>
      </c>
      <c r="W51" s="118">
        <f t="shared" si="41"/>
        <v>18962.979999999996</v>
      </c>
      <c r="X51" s="118">
        <f t="shared" si="41"/>
        <v>71120.709999999992</v>
      </c>
      <c r="Y51" s="123">
        <f>X51/U51</f>
        <v>0.42999999999999988</v>
      </c>
      <c r="Z51" s="118">
        <f>Z26+Z49</f>
        <v>19261.000000000007</v>
      </c>
      <c r="AA51" s="124">
        <v>40642.86</v>
      </c>
      <c r="AB51" s="125"/>
      <c r="AC51" s="125">
        <f>SUM(AC3:AC47)</f>
        <v>0</v>
      </c>
      <c r="AD51" s="118">
        <f>AD26+AD49</f>
        <v>1653.9700000000003</v>
      </c>
      <c r="AE51" s="126">
        <f>AE26+AE49</f>
        <v>14023.162041000027</v>
      </c>
      <c r="AF51" s="127"/>
      <c r="AG51" s="128"/>
      <c r="AH51" s="129"/>
      <c r="AI51" s="129"/>
      <c r="AJ51" s="129"/>
      <c r="AK51" s="129">
        <f>AA52/P51</f>
        <v>495.64463414634145</v>
      </c>
      <c r="AL51" s="129"/>
      <c r="AM51" s="129"/>
      <c r="AN51" s="130"/>
      <c r="AP51" s="126">
        <f>SUM(AP3:AP47)</f>
        <v>235543.63167724246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40642.86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40375.177959000001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235543.63167724246</v>
      </c>
      <c r="L59" s="161">
        <f>K59/I59</f>
        <v>0.26311804200795902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55" priority="28" operator="greaterThan">
      <formula>120</formula>
    </cfRule>
  </conditionalFormatting>
  <conditionalFormatting sqref="N50">
    <cfRule type="cellIs" dxfId="54" priority="27" operator="between">
      <formula>0.000001</formula>
      <formula>25</formula>
    </cfRule>
  </conditionalFormatting>
  <conditionalFormatting sqref="V1 V52:V55 V57:V1048576">
    <cfRule type="cellIs" dxfId="53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{2DC1E602-B5AF-4007-A58C-FC5F963F843B}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{4CDBC8F2-D671-4E5A-B4DF-16791DCC2211}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{BAD7D349-FBA2-4C17-B39C-C4142CC252F2}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{201E22CF-3783-4EFC-8B51-1144A49B93EB}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{0864FEFB-B727-4139-8F47-10AF578DBA12}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{5719A36B-94F6-4CAD-9A36-C8AD79BB0FCE}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{1BD7FB59-4472-474A-BB7C-BA09738763A6}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{2FCF4513-5E03-4883-9AA2-1AE44FCEC5A2}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{24D015C8-46B3-4279-AC4D-C45D7B77F470}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{0EF4671F-12D5-43C5-9CA5-12DA05D908BB}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{ADF06CFE-1571-486B-A359-12B623098108}</x14:id>
        </ext>
      </extLst>
    </cfRule>
  </conditionalFormatting>
  <conditionalFormatting sqref="P50">
    <cfRule type="cellIs" dxfId="52" priority="23" operator="greaterThan">
      <formula>120</formula>
    </cfRule>
  </conditionalFormatting>
  <conditionalFormatting sqref="Q50">
    <cfRule type="cellIs" dxfId="51" priority="22" operator="greaterThan">
      <formula>120</formula>
    </cfRule>
  </conditionalFormatting>
  <conditionalFormatting sqref="R50">
    <cfRule type="cellIs" dxfId="50" priority="21" operator="greaterThan">
      <formula>120</formula>
    </cfRule>
  </conditionalFormatting>
  <conditionalFormatting sqref="S50">
    <cfRule type="cellIs" dxfId="49" priority="20" operator="greaterThan">
      <formula>120</formula>
    </cfRule>
  </conditionalFormatting>
  <conditionalFormatting sqref="T50">
    <cfRule type="cellIs" dxfId="48" priority="19" operator="greaterThan">
      <formula>120</formula>
    </cfRule>
  </conditionalFormatting>
  <conditionalFormatting sqref="U50">
    <cfRule type="cellIs" dxfId="47" priority="18" operator="greaterThan">
      <formula>120</formula>
    </cfRule>
  </conditionalFormatting>
  <conditionalFormatting sqref="V50">
    <cfRule type="cellIs" dxfId="46" priority="17" operator="greaterThan">
      <formula>120</formula>
    </cfRule>
  </conditionalFormatting>
  <conditionalFormatting sqref="W50">
    <cfRule type="cellIs" dxfId="45" priority="16" operator="greaterThan">
      <formula>120</formula>
    </cfRule>
  </conditionalFormatting>
  <conditionalFormatting sqref="X50">
    <cfRule type="cellIs" dxfId="44" priority="15" operator="greaterThan">
      <formula>120</formula>
    </cfRule>
  </conditionalFormatting>
  <conditionalFormatting sqref="Z50">
    <cfRule type="cellIs" dxfId="43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{21143BB0-CAD2-4AA2-B9C0-F4EA5756F54A}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{E2CB74D8-4A8E-417A-817F-165068ED289C}</x14:id>
        </ext>
      </extLst>
    </cfRule>
  </conditionalFormatting>
  <conditionalFormatting sqref="J8:J9">
    <cfRule type="cellIs" dxfId="42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{69BD81D1-EA7B-44A1-8739-7247C2D4182A}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{D02C96B9-955B-46B8-BCAB-3F5F30D23E18}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{0978CCBB-3701-4297-976B-5C049DBA78C4}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{DD0B2276-71E3-47D0-ABCA-EF8499C988EC}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{C743896E-3674-452C-82A3-28189675F18A}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{C499FA59-108B-4AAD-9EB6-22968FC32047}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{EF47438F-E2B8-4301-82D3-0CA8EE53C7FF}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{4386833B-9FAD-41D6-9137-88E8B728CD3A}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{92B28074-D9AC-4307-8449-687F40E90C97}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{3236E2D3-AC95-4C3E-B06A-94C7FEDFA4E5}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C1E602-B5AF-4007-A58C-FC5F963F8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CDBC8F2-D671-4E5A-B4DF-16791DCC22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BAD7D349-FBA2-4C17-B39C-C4142CC25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201E22CF-3783-4EFC-8B51-1144A49B93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0864FEFB-B727-4139-8F47-10AF578DB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5719A36B-94F6-4CAD-9A36-C8AD79BB0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1BD7FB59-4472-474A-BB7C-BA09738763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2FCF4513-5E03-4883-9AA2-1AE44FCEC5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24D015C8-46B3-4279-AC4D-C45D7B77F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EF4671F-12D5-43C5-9CA5-12DA05D908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DF06CFE-1571-486B-A359-12B623098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1143BB0-CAD2-4AA2-B9C0-F4EA5756F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E2CB74D8-4A8E-417A-817F-165068ED2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69BD81D1-EA7B-44A1-8739-7247C2D41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02C96B9-955B-46B8-BCAB-3F5F30D23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0978CCBB-3701-4297-976B-5C049DBA78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DD0B2276-71E3-47D0-ABCA-EF8499C98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C743896E-3674-452C-82A3-28189675F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499FA59-108B-4AAD-9EB6-22968FC32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EF47438F-E2B8-4301-82D3-0CA8EE53C7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4386833B-9FAD-41D6-9137-88E8B728CD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92B28074-D9AC-4307-8449-687F40E90C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3236E2D3-AC95-4C3E-B06A-94C7FEDFA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F12" sqref="AF12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6" width="11.7265625" style="52" customWidth="1"/>
    <col min="27" max="27" width="11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88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89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>
        <v>114</v>
      </c>
      <c r="D3" s="33"/>
      <c r="E3" s="33"/>
      <c r="F3" s="33"/>
      <c r="G3" s="34"/>
      <c r="H3" s="35">
        <v>142.97999999999999</v>
      </c>
      <c r="I3" s="33">
        <f t="shared" ref="I3:I24" si="0">C3*H3</f>
        <v>16299.72</v>
      </c>
      <c r="J3" s="36"/>
      <c r="K3" s="32">
        <v>72</v>
      </c>
      <c r="L3" s="36"/>
      <c r="M3" s="36"/>
      <c r="N3" s="37">
        <f t="shared" ref="N3:N24" si="1">K3/7</f>
        <v>10.285714285714286</v>
      </c>
      <c r="O3" s="38">
        <f t="shared" ref="O3:O24" si="2">R3/7</f>
        <v>6.1428571428571432</v>
      </c>
      <c r="P3" s="39">
        <f>SUMIFS('Отчет 12-18.01'!H:H,'Отчет 12-18.01'!D:D,"Выручка",'Отчет 12-18.01'!E:E,B3)</f>
        <v>43</v>
      </c>
      <c r="Q3" s="39">
        <f>SUMIFS('Отчет 12-18.01'!H:H,'Отчет 12-18.01'!D:D,"Возврат выручки",'Отчет 12-18.01'!E:E,B3)</f>
        <v>0</v>
      </c>
      <c r="R3" s="40">
        <f t="shared" ref="R3:R24" si="3">P3-Q3</f>
        <v>43</v>
      </c>
      <c r="S3" s="41">
        <f>SUMIFS('Отчет 12-18.01'!P:P,'Отчет 12-18.01'!C:C,"Продажи",'Отчет 12-18.01'!E:E,B3)</f>
        <v>71677.000000000015</v>
      </c>
      <c r="T3" s="42">
        <f>SUMIFS('Отчет 12-18.01'!P:P,'Отчет 12-18.01'!C:C,"Возвраты",'Отчет 12-18.01'!E:E,B3)</f>
        <v>0</v>
      </c>
      <c r="U3" s="40">
        <f>S3+T3</f>
        <v>71677.000000000015</v>
      </c>
      <c r="V3" s="43">
        <f>U3/$U$49</f>
        <v>3.4099429115128457</v>
      </c>
      <c r="W3" s="44">
        <f>R3*H3</f>
        <v>6148.1399999999994</v>
      </c>
      <c r="X3" s="42">
        <f>-SUMIFS('Отчет 12-18.01'!P:P,'Отчет 12-18.01'!C:C,"Вознаграждение Ozon",'Отчет 12-18.01'!E:E,B3)</f>
        <v>30821.110000000004</v>
      </c>
      <c r="Y3" s="45">
        <f>IF(U3=0,0,X3/U3)</f>
        <v>0.43</v>
      </c>
      <c r="Z3" s="42">
        <f>-SUMIFS('Отчет 12-18.01'!P:P,'Отчет 12-18.01'!C:C,"Услуги доставки",'Отчет 12-18.01'!E:E,B3)</f>
        <v>7439.7400000000007</v>
      </c>
      <c r="AA3" s="32">
        <v>15413.844519999999</v>
      </c>
      <c r="AB3" s="42"/>
      <c r="AC3" s="42"/>
      <c r="AD3" s="46">
        <f t="shared" ref="AD3:AD24" si="4">U3*1%</f>
        <v>716.77000000000021</v>
      </c>
      <c r="AE3" s="47">
        <f t="shared" ref="AE3:AE24" si="5">U3-W3-X3-Z3-AA3-AB3-AC3-AD3</f>
        <v>11137.395480000014</v>
      </c>
      <c r="AF3" s="46"/>
      <c r="AG3" s="48">
        <f t="shared" ref="AG3:AG24" si="6">IF(R3=0,0,U3/R3)</f>
        <v>1666.9069767441863</v>
      </c>
      <c r="AH3" s="49">
        <f t="shared" ref="AH3:AH24" si="7">H3</f>
        <v>142.97999999999999</v>
      </c>
      <c r="AI3" s="49">
        <f t="shared" ref="AI3:AI24" si="8">IF(R3=0,0,X3/R3)</f>
        <v>716.7700000000001</v>
      </c>
      <c r="AJ3" s="49">
        <f t="shared" ref="AJ3:AJ24" si="9">IF(P3=0,Z3/1,Z3/P3)</f>
        <v>173.0172093023256</v>
      </c>
      <c r="AK3" s="49">
        <f t="shared" ref="AK3:AK24" si="10">IF(P3=0,0,AA3/P3)</f>
        <v>358.46150046511627</v>
      </c>
      <c r="AL3" s="49">
        <f>_xlfn.IFS(R3=0,AE3,R3&lt;0,AE3/-R3,R3&gt;0,AE3/R3)</f>
        <v>259.00919720930267</v>
      </c>
      <c r="AM3" s="50">
        <f t="shared" ref="AM3:AM24" si="11">IF(AG3=0,0,AL3/AG3)</f>
        <v>0.1553831142486434</v>
      </c>
      <c r="AN3" s="51">
        <f t="shared" ref="AN3:AN24" si="12">IF(AH3=0,0,AL3/AH3)</f>
        <v>1.8115064848881151</v>
      </c>
      <c r="AP3" s="53">
        <f t="shared" ref="AP3:AP24" si="13">AL3*C3</f>
        <v>29527.048481860504</v>
      </c>
    </row>
    <row r="4" spans="1:42">
      <c r="A4" s="30">
        <v>2638638550</v>
      </c>
      <c r="B4" s="31" t="s">
        <v>39</v>
      </c>
      <c r="C4" s="32">
        <v>376</v>
      </c>
      <c r="D4" s="33"/>
      <c r="E4" s="33"/>
      <c r="F4" s="33"/>
      <c r="G4" s="34"/>
      <c r="H4" s="35">
        <v>123.09</v>
      </c>
      <c r="I4" s="33">
        <f t="shared" si="0"/>
        <v>46281.840000000004</v>
      </c>
      <c r="J4" s="36"/>
      <c r="K4" s="32">
        <v>5</v>
      </c>
      <c r="L4" s="36"/>
      <c r="M4" s="36"/>
      <c r="N4" s="37">
        <f t="shared" si="1"/>
        <v>0.7142857142857143</v>
      </c>
      <c r="O4" s="38">
        <f t="shared" si="2"/>
        <v>0.2857142857142857</v>
      </c>
      <c r="P4" s="39">
        <f>SUMIFS('Отчет 12-18.01'!H:H,'Отчет 12-18.01'!D:D,"Выручка",'Отчет 12-18.01'!E:E,B4)</f>
        <v>2</v>
      </c>
      <c r="Q4" s="39">
        <f>SUMIFS('Отчет 12-18.01'!H:H,'Отчет 12-18.01'!D:D,"Возврат выручки",'Отчет 12-18.01'!E:E,B4)</f>
        <v>0</v>
      </c>
      <c r="R4" s="40">
        <f t="shared" si="3"/>
        <v>2</v>
      </c>
      <c r="S4" s="41">
        <f>SUMIFS('Отчет 12-18.01'!P:P,'Отчет 12-18.01'!C:C,"Продажи",'Отчет 12-18.01'!E:E,B4)</f>
        <v>3268</v>
      </c>
      <c r="T4" s="42">
        <f>SUMIFS('Отчет 12-18.01'!P:P,'Отчет 12-18.01'!C:C,"Возвраты",'Отчет 12-18.01'!E:E,B4)</f>
        <v>0</v>
      </c>
      <c r="U4" s="40">
        <f t="shared" ref="U4:U24" si="14">S4+T4</f>
        <v>3268</v>
      </c>
      <c r="V4" s="43">
        <f t="shared" ref="V4:V24" si="15">U4/$U$49</f>
        <v>0.15547098001902951</v>
      </c>
      <c r="W4" s="44">
        <f t="shared" ref="W4:W24" si="16">R4*H4</f>
        <v>246.18</v>
      </c>
      <c r="X4" s="42">
        <f>-SUMIFS('Отчет 12-18.01'!P:P,'Отчет 12-18.01'!C:C,"Вознаграждение Ozon",'Отчет 12-18.01'!E:E,B4)</f>
        <v>1405.24</v>
      </c>
      <c r="Y4" s="45">
        <f t="shared" ref="Y4:Y24" si="17">IF(U4=0,0,X4/U4)</f>
        <v>0.43</v>
      </c>
      <c r="Z4" s="42">
        <f>-SUMIFS('Отчет 12-18.01'!P:P,'Отчет 12-18.01'!C:C,"Услуги доставки",'Отчет 12-18.01'!E:E,B4)</f>
        <v>463.03999999999996</v>
      </c>
      <c r="AA4" s="32">
        <v>2031.3584969999999</v>
      </c>
      <c r="AB4" s="42"/>
      <c r="AC4" s="42"/>
      <c r="AD4" s="46">
        <f t="shared" si="4"/>
        <v>32.68</v>
      </c>
      <c r="AE4" s="47">
        <f t="shared" si="5"/>
        <v>-910.4984969999997</v>
      </c>
      <c r="AF4" s="46"/>
      <c r="AG4" s="48">
        <f t="shared" si="6"/>
        <v>1634</v>
      </c>
      <c r="AH4" s="49">
        <f t="shared" si="7"/>
        <v>123.09</v>
      </c>
      <c r="AI4" s="49">
        <f t="shared" si="8"/>
        <v>702.62</v>
      </c>
      <c r="AJ4" s="49">
        <f t="shared" si="9"/>
        <v>231.51999999999998</v>
      </c>
      <c r="AK4" s="49">
        <f t="shared" si="10"/>
        <v>1015.6792485</v>
      </c>
      <c r="AL4" s="49">
        <f t="array" ref="AL4">_xlfn.IFS(R4=0,AE4,R4&lt;0,AE4/-R4,R4&gt;0,AE4/R4)</f>
        <v>-455.24924849999985</v>
      </c>
      <c r="AM4" s="50">
        <f t="shared" si="11"/>
        <v>-0.2786103111995103</v>
      </c>
      <c r="AN4" s="51">
        <f t="shared" si="12"/>
        <v>-3.6985071776748706</v>
      </c>
      <c r="AP4" s="53">
        <f t="shared" si="13"/>
        <v>-171173.71743599995</v>
      </c>
    </row>
    <row r="5" spans="1:42">
      <c r="A5" s="30">
        <v>2638691131</v>
      </c>
      <c r="B5" s="31" t="s">
        <v>40</v>
      </c>
      <c r="C5" s="32">
        <v>382</v>
      </c>
      <c r="D5" s="33"/>
      <c r="E5" s="33"/>
      <c r="F5" s="33"/>
      <c r="G5" s="34"/>
      <c r="H5" s="35">
        <v>123.09</v>
      </c>
      <c r="I5" s="54">
        <f t="shared" si="0"/>
        <v>47020.380000000005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0.2857142857142857</v>
      </c>
      <c r="P5" s="39">
        <f>SUMIFS('Отчет 12-18.01'!H:H,'Отчет 12-18.01'!D:D,"Выручка",'Отчет 12-18.01'!E:E,B5)</f>
        <v>2</v>
      </c>
      <c r="Q5" s="39">
        <f>SUMIFS('Отчет 12-18.01'!H:H,'Отчет 12-18.01'!D:D,"Возврат выручки",'Отчет 12-18.01'!E:E,B5)</f>
        <v>0</v>
      </c>
      <c r="R5" s="40">
        <f t="shared" si="3"/>
        <v>2</v>
      </c>
      <c r="S5" s="41">
        <f>SUMIFS('Отчет 12-18.01'!P:P,'Отчет 12-18.01'!C:C,"Продажи",'Отчет 12-18.01'!E:E,B5)</f>
        <v>2412</v>
      </c>
      <c r="T5" s="42">
        <f>SUMIFS('Отчет 12-18.01'!P:P,'Отчет 12-18.01'!C:C,"Возвраты",'Отчет 12-18.01'!E:E,B5)</f>
        <v>0</v>
      </c>
      <c r="U5" s="40">
        <f t="shared" si="14"/>
        <v>2412</v>
      </c>
      <c r="V5" s="43">
        <f t="shared" si="15"/>
        <v>0.11474785918173168</v>
      </c>
      <c r="W5" s="44">
        <f t="shared" si="16"/>
        <v>246.18</v>
      </c>
      <c r="X5" s="42">
        <f>-SUMIFS('Отчет 12-18.01'!P:P,'Отчет 12-18.01'!C:C,"Вознаграждение Ozon",'Отчет 12-18.01'!E:E,B5)</f>
        <v>1037.1600000000001</v>
      </c>
      <c r="Y5" s="45">
        <f t="shared" si="17"/>
        <v>0.43000000000000005</v>
      </c>
      <c r="Z5" s="42">
        <f>-SUMIFS('Отчет 12-18.01'!P:P,'Отчет 12-18.01'!C:C,"Услуги доставки",'Отчет 12-18.01'!E:E,B5)</f>
        <v>223.09</v>
      </c>
      <c r="AA5" s="32">
        <v>0</v>
      </c>
      <c r="AB5" s="55"/>
      <c r="AC5" s="42"/>
      <c r="AD5" s="46">
        <f t="shared" si="4"/>
        <v>24.12</v>
      </c>
      <c r="AE5" s="47">
        <f t="shared" si="5"/>
        <v>881.45</v>
      </c>
      <c r="AF5" s="46"/>
      <c r="AG5" s="48">
        <f t="shared" si="6"/>
        <v>1206</v>
      </c>
      <c r="AH5" s="49">
        <f t="shared" si="7"/>
        <v>123.09</v>
      </c>
      <c r="AI5" s="49">
        <f t="shared" si="8"/>
        <v>518.58000000000004</v>
      </c>
      <c r="AJ5" s="49">
        <f t="shared" si="9"/>
        <v>111.545</v>
      </c>
      <c r="AK5" s="49">
        <f t="shared" si="10"/>
        <v>0</v>
      </c>
      <c r="AL5" s="49">
        <f t="array" ref="AL5">_xlfn.IFS(R5=0,AE5,R5&lt;0,AE5/-R5,R5&gt;0,AE5/R5)</f>
        <v>440.72500000000002</v>
      </c>
      <c r="AM5" s="50">
        <f t="shared" si="11"/>
        <v>0.3654436152570481</v>
      </c>
      <c r="AN5" s="51">
        <f t="shared" si="12"/>
        <v>3.5805101957916974</v>
      </c>
      <c r="AP5" s="53">
        <f t="shared" si="13"/>
        <v>168356.95</v>
      </c>
    </row>
    <row r="6" spans="1:42">
      <c r="A6" s="30">
        <v>2638382749</v>
      </c>
      <c r="B6" s="31" t="s">
        <v>41</v>
      </c>
      <c r="C6" s="32">
        <v>1052</v>
      </c>
      <c r="D6" s="33"/>
      <c r="E6" s="33"/>
      <c r="F6" s="33"/>
      <c r="G6" s="34"/>
      <c r="H6" s="35">
        <v>123.09</v>
      </c>
      <c r="I6" s="54">
        <f t="shared" si="0"/>
        <v>129490.68000000001</v>
      </c>
      <c r="J6" s="36"/>
      <c r="K6" s="32">
        <v>3</v>
      </c>
      <c r="L6" s="36"/>
      <c r="M6" s="36"/>
      <c r="N6" s="37">
        <f t="shared" si="1"/>
        <v>0.42857142857142855</v>
      </c>
      <c r="O6" s="38">
        <f t="shared" si="2"/>
        <v>1</v>
      </c>
      <c r="P6" s="39">
        <f>SUMIFS('Отчет 12-18.01'!H:H,'Отчет 12-18.01'!D:D,"Выручка",'Отчет 12-18.01'!E:E,B6)</f>
        <v>7</v>
      </c>
      <c r="Q6" s="39">
        <f>SUMIFS('Отчет 12-18.01'!H:H,'Отчет 12-18.01'!D:D,"Возврат выручки",'Отчет 12-18.01'!E:E,B6)</f>
        <v>0</v>
      </c>
      <c r="R6" s="40">
        <f t="shared" si="3"/>
        <v>7</v>
      </c>
      <c r="S6" s="41">
        <f>SUMIFS('Отчет 12-18.01'!P:P,'Отчет 12-18.01'!C:C,"Продажи",'Отчет 12-18.01'!E:E,B6)</f>
        <v>11809</v>
      </c>
      <c r="T6" s="42">
        <f>SUMIFS('Отчет 12-18.01'!P:P,'Отчет 12-18.01'!C:C,"Возвраты",'Отчет 12-18.01'!E:E,B6)</f>
        <v>0</v>
      </c>
      <c r="U6" s="40">
        <f t="shared" si="14"/>
        <v>11809</v>
      </c>
      <c r="V6" s="43">
        <f t="shared" si="15"/>
        <v>0.56179828734538539</v>
      </c>
      <c r="W6" s="44">
        <f t="shared" si="16"/>
        <v>861.63</v>
      </c>
      <c r="X6" s="42">
        <f>-SUMIFS('Отчет 12-18.01'!P:P,'Отчет 12-18.01'!C:C,"Вознаграждение Ozon",'Отчет 12-18.01'!E:E,B6)</f>
        <v>5077.87</v>
      </c>
      <c r="Y6" s="45">
        <f t="shared" si="17"/>
        <v>0.43</v>
      </c>
      <c r="Z6" s="42">
        <f>-SUMIFS('Отчет 12-18.01'!P:P,'Отчет 12-18.01'!C:C,"Услуги доставки",'Отчет 12-18.01'!E:E,B6)</f>
        <v>1246.58</v>
      </c>
      <c r="AA6" s="32">
        <v>943.57865900000002</v>
      </c>
      <c r="AB6" s="55"/>
      <c r="AC6" s="42"/>
      <c r="AD6" s="46">
        <f t="shared" si="4"/>
        <v>118.09</v>
      </c>
      <c r="AE6" s="47">
        <f t="shared" si="5"/>
        <v>3561.251341000001</v>
      </c>
      <c r="AF6" s="46"/>
      <c r="AG6" s="48">
        <f t="shared" si="6"/>
        <v>1687</v>
      </c>
      <c r="AH6" s="49">
        <f t="shared" si="7"/>
        <v>123.09</v>
      </c>
      <c r="AI6" s="49">
        <f t="shared" si="8"/>
        <v>725.41</v>
      </c>
      <c r="AJ6" s="49">
        <f t="shared" si="9"/>
        <v>178.08285714285714</v>
      </c>
      <c r="AK6" s="49">
        <f t="shared" si="10"/>
        <v>134.7969512857143</v>
      </c>
      <c r="AL6" s="49">
        <f t="array" ref="AL6">_xlfn.IFS(R6=0,AE6,R6&lt;0,AE6/-R6,R6&gt;0,AE6/R6)</f>
        <v>508.75019157142873</v>
      </c>
      <c r="AM6" s="50">
        <f t="shared" si="11"/>
        <v>0.3015709493606572</v>
      </c>
      <c r="AN6" s="51">
        <f t="shared" si="12"/>
        <v>4.1331561586759991</v>
      </c>
      <c r="AP6" s="53">
        <f t="shared" si="13"/>
        <v>535205.20153314306</v>
      </c>
    </row>
    <row r="7" spans="1:42">
      <c r="A7" s="30">
        <v>2638569317</v>
      </c>
      <c r="B7" s="31" t="s">
        <v>42</v>
      </c>
      <c r="C7" s="32">
        <v>843</v>
      </c>
      <c r="D7" s="33"/>
      <c r="E7" s="33"/>
      <c r="F7" s="33"/>
      <c r="G7" s="34"/>
      <c r="H7" s="35">
        <v>117.24</v>
      </c>
      <c r="I7" s="54">
        <f t="shared" si="0"/>
        <v>98833.319999999992</v>
      </c>
      <c r="J7" s="36"/>
      <c r="K7" s="32">
        <v>4</v>
      </c>
      <c r="L7" s="36"/>
      <c r="M7" s="36"/>
      <c r="N7" s="37">
        <f t="shared" si="1"/>
        <v>0.5714285714285714</v>
      </c>
      <c r="O7" s="38">
        <f t="shared" si="2"/>
        <v>0</v>
      </c>
      <c r="P7" s="39">
        <f>SUMIFS('Отчет 12-18.01'!H:H,'Отчет 12-18.01'!D:D,"Выручка",'Отчет 12-18.01'!E:E,B7)</f>
        <v>0</v>
      </c>
      <c r="Q7" s="39">
        <f>SUMIFS('Отчет 12-18.01'!H:H,'Отчет 12-18.01'!D:D,"Возврат выручки",'Отчет 12-18.01'!E:E,B7)</f>
        <v>0</v>
      </c>
      <c r="R7" s="40">
        <f t="shared" si="3"/>
        <v>0</v>
      </c>
      <c r="S7" s="41">
        <f>SUMIFS('Отчет 12-18.01'!P:P,'Отчет 12-18.01'!C:C,"Продажи",'Отчет 12-18.01'!E:E,B7)</f>
        <v>0</v>
      </c>
      <c r="T7" s="42">
        <f>SUMIFS('Отчет 12-18.01'!P:P,'Отчет 12-18.01'!C:C,"Возвраты",'Отчет 12-18.01'!E:E,B7)</f>
        <v>0</v>
      </c>
      <c r="U7" s="40">
        <f t="shared" si="14"/>
        <v>0</v>
      </c>
      <c r="V7" s="43">
        <f t="shared" si="15"/>
        <v>0</v>
      </c>
      <c r="W7" s="44">
        <f t="shared" si="16"/>
        <v>0</v>
      </c>
      <c r="X7" s="42">
        <f>-SUMIFS('Отчет 12-18.01'!P:P,'Отчет 12-18.01'!C:C,"Вознаграждение Ozon",'Отчет 12-18.01'!E:E,B7)</f>
        <v>0</v>
      </c>
      <c r="Y7" s="45">
        <f t="shared" si="17"/>
        <v>0</v>
      </c>
      <c r="Z7" s="42">
        <f>-SUMIFS('Отчет 12-18.01'!P:P,'Отчет 12-18.01'!C:C,"Услуги доставки",'Отчет 12-18.01'!E:E,B7)</f>
        <v>0</v>
      </c>
      <c r="AA7" s="32">
        <v>0</v>
      </c>
      <c r="AB7" s="55"/>
      <c r="AC7" s="42"/>
      <c r="AD7" s="46">
        <f t="shared" si="4"/>
        <v>0</v>
      </c>
      <c r="AE7" s="47">
        <f t="shared" si="5"/>
        <v>0</v>
      </c>
      <c r="AF7" s="46"/>
      <c r="AG7" s="48">
        <f t="shared" si="6"/>
        <v>0</v>
      </c>
      <c r="AH7" s="49">
        <f t="shared" si="7"/>
        <v>117.24</v>
      </c>
      <c r="AI7" s="49">
        <f t="shared" si="8"/>
        <v>0</v>
      </c>
      <c r="AJ7" s="49">
        <f t="shared" si="9"/>
        <v>0</v>
      </c>
      <c r="AK7" s="49">
        <f t="shared" si="10"/>
        <v>0</v>
      </c>
      <c r="AL7" s="49">
        <f t="array" ref="AL7">_xlfn.IFS(R7=0,AE7,R7&lt;0,AE7/-R7,R7&gt;0,AE7/R7)</f>
        <v>0</v>
      </c>
      <c r="AM7" s="50">
        <f t="shared" si="11"/>
        <v>0</v>
      </c>
      <c r="AN7" s="51">
        <f t="shared" si="12"/>
        <v>0</v>
      </c>
      <c r="AP7" s="53">
        <f t="shared" si="13"/>
        <v>0</v>
      </c>
    </row>
    <row r="8" spans="1:42">
      <c r="A8" s="30">
        <v>3064334128</v>
      </c>
      <c r="B8" s="31" t="s">
        <v>43</v>
      </c>
      <c r="C8" s="32">
        <v>694</v>
      </c>
      <c r="D8" s="33"/>
      <c r="E8" s="33"/>
      <c r="F8" s="33"/>
      <c r="G8" s="34"/>
      <c r="H8" s="35">
        <v>123</v>
      </c>
      <c r="I8" s="54">
        <f t="shared" si="0"/>
        <v>85362</v>
      </c>
      <c r="J8" s="36"/>
      <c r="K8" s="32">
        <v>0</v>
      </c>
      <c r="L8" s="36"/>
      <c r="M8" s="36"/>
      <c r="N8" s="37">
        <f t="shared" si="1"/>
        <v>0</v>
      </c>
      <c r="O8" s="38">
        <f t="shared" si="2"/>
        <v>0</v>
      </c>
      <c r="P8" s="39">
        <f>SUMIFS('Отчет 12-18.01'!H:H,'Отчет 12-18.01'!D:D,"Выручка",'Отчет 12-18.01'!E:E,B8)</f>
        <v>0</v>
      </c>
      <c r="Q8" s="39">
        <f>SUMIFS('Отчет 12-18.01'!H:H,'Отчет 12-18.01'!D:D,"Возврат выручки",'Отчет 12-18.01'!E:E,B8)</f>
        <v>0</v>
      </c>
      <c r="R8" s="40">
        <f t="shared" si="3"/>
        <v>0</v>
      </c>
      <c r="S8" s="41">
        <f>SUMIFS('Отчет 12-18.01'!P:P,'Отчет 12-18.01'!C:C,"Продажи",'Отчет 12-18.01'!E:E,B8)</f>
        <v>0</v>
      </c>
      <c r="T8" s="42">
        <f>SUMIFS('Отчет 12-18.01'!P:P,'Отчет 12-18.01'!C:C,"Возвраты",'Отчет 12-18.01'!E:E,B8)</f>
        <v>0</v>
      </c>
      <c r="U8" s="40">
        <f t="shared" si="14"/>
        <v>0</v>
      </c>
      <c r="V8" s="43">
        <f t="shared" si="15"/>
        <v>0</v>
      </c>
      <c r="W8" s="44">
        <f t="shared" si="16"/>
        <v>0</v>
      </c>
      <c r="X8" s="42">
        <f>-SUMIFS('Отчет 12-18.01'!P:P,'Отчет 12-18.01'!C:C,"Вознаграждение Ozon",'Отчет 12-18.01'!E:E,B8)</f>
        <v>0</v>
      </c>
      <c r="Y8" s="45">
        <f t="shared" si="17"/>
        <v>0</v>
      </c>
      <c r="Z8" s="42">
        <f>-SUMIFS('Отчет 12-18.01'!P:P,'Отчет 12-18.01'!C:C,"Услуги доставки",'Отчет 12-18.01'!E:E,B8)</f>
        <v>0</v>
      </c>
      <c r="AA8" s="32">
        <v>0</v>
      </c>
      <c r="AB8" s="55"/>
      <c r="AC8" s="42"/>
      <c r="AD8" s="46">
        <f t="shared" si="4"/>
        <v>0</v>
      </c>
      <c r="AE8" s="47">
        <f t="shared" si="5"/>
        <v>0</v>
      </c>
      <c r="AF8" s="46"/>
      <c r="AG8" s="48">
        <f t="shared" si="6"/>
        <v>0</v>
      </c>
      <c r="AH8" s="49">
        <f t="shared" si="7"/>
        <v>123</v>
      </c>
      <c r="AI8" s="49">
        <f t="shared" si="8"/>
        <v>0</v>
      </c>
      <c r="AJ8" s="49">
        <f t="shared" si="9"/>
        <v>0</v>
      </c>
      <c r="AK8" s="49">
        <f t="shared" si="10"/>
        <v>0</v>
      </c>
      <c r="AL8" s="49">
        <f t="array" ref="AL8">_xlfn.IFS(R8=0,AE8,R8&lt;0,AE8/-R8,R8&gt;0,AE8/R8)</f>
        <v>0</v>
      </c>
      <c r="AM8" s="50">
        <f t="shared" si="11"/>
        <v>0</v>
      </c>
      <c r="AN8" s="51">
        <f t="shared" si="12"/>
        <v>0</v>
      </c>
      <c r="AP8" s="53">
        <f t="shared" si="13"/>
        <v>0</v>
      </c>
    </row>
    <row r="9" spans="1:42">
      <c r="A9" s="30">
        <v>3064334311</v>
      </c>
      <c r="B9" s="31" t="s">
        <v>44</v>
      </c>
      <c r="C9" s="32">
        <v>683</v>
      </c>
      <c r="D9" s="33"/>
      <c r="E9" s="33"/>
      <c r="F9" s="33"/>
      <c r="G9" s="34"/>
      <c r="H9" s="35">
        <v>123</v>
      </c>
      <c r="I9" s="54">
        <f t="shared" si="0"/>
        <v>84009</v>
      </c>
      <c r="J9" s="36"/>
      <c r="K9" s="32">
        <v>4</v>
      </c>
      <c r="L9" s="36"/>
      <c r="M9" s="36"/>
      <c r="N9" s="37">
        <f t="shared" si="1"/>
        <v>0.5714285714285714</v>
      </c>
      <c r="O9" s="38">
        <f t="shared" si="2"/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si="3"/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si="14"/>
        <v>0</v>
      </c>
      <c r="V9" s="43">
        <f t="shared" si="15"/>
        <v>0</v>
      </c>
      <c r="W9" s="44">
        <f t="shared" si="16"/>
        <v>0</v>
      </c>
      <c r="X9" s="42">
        <f>-SUMIFS('Отчет 12-18.01'!P:P,'Отчет 12-18.01'!C:C,"Вознаграждение Ozon",'Отчет 12-18.01'!E:E,B9)</f>
        <v>0</v>
      </c>
      <c r="Y9" s="45">
        <f t="shared" si="17"/>
        <v>0</v>
      </c>
      <c r="Z9" s="42">
        <f>-SUMIFS('Отчет 12-18.01'!P:P,'Отчет 12-18.01'!C:C,"Услуги доставки",'Отчет 12-18.01'!E:E,B9)</f>
        <v>0</v>
      </c>
      <c r="AA9" s="32">
        <v>429.25018599999999</v>
      </c>
      <c r="AB9" s="55"/>
      <c r="AC9" s="42"/>
      <c r="AD9" s="46">
        <f t="shared" si="4"/>
        <v>0</v>
      </c>
      <c r="AE9" s="47">
        <f t="shared" si="5"/>
        <v>-429.25018599999999</v>
      </c>
      <c r="AF9" s="46"/>
      <c r="AG9" s="48">
        <f t="shared" si="6"/>
        <v>0</v>
      </c>
      <c r="AH9" s="49">
        <f t="shared" si="7"/>
        <v>123</v>
      </c>
      <c r="AI9" s="49">
        <f t="shared" si="8"/>
        <v>0</v>
      </c>
      <c r="AJ9" s="49">
        <f t="shared" si="9"/>
        <v>0</v>
      </c>
      <c r="AK9" s="49">
        <f t="shared" si="10"/>
        <v>0</v>
      </c>
      <c r="AL9" s="49">
        <f t="array" ref="AL9">_xlfn.IFS(R9=0,AE9,R9&lt;0,AE9/-R9,R9&gt;0,AE9/R9)</f>
        <v>-429.25018599999999</v>
      </c>
      <c r="AM9" s="50">
        <f t="shared" si="11"/>
        <v>0</v>
      </c>
      <c r="AN9" s="51">
        <f t="shared" si="12"/>
        <v>-3.4898389105691057</v>
      </c>
      <c r="AP9" s="53">
        <f t="shared" si="13"/>
        <v>-293177.87703799998</v>
      </c>
    </row>
    <row r="10" spans="1:42">
      <c r="A10" s="30">
        <v>2638291563</v>
      </c>
      <c r="B10" s="31" t="s">
        <v>45</v>
      </c>
      <c r="C10" s="32">
        <v>387</v>
      </c>
      <c r="D10" s="33"/>
      <c r="E10" s="33"/>
      <c r="F10" s="33"/>
      <c r="G10" s="34"/>
      <c r="H10" s="35">
        <v>169.89</v>
      </c>
      <c r="I10" s="54">
        <f t="shared" si="0"/>
        <v>65747.429999999993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3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14"/>
        <v>0</v>
      </c>
      <c r="V10" s="43">
        <f t="shared" si="15"/>
        <v>0</v>
      </c>
      <c r="W10" s="44">
        <f t="shared" si="16"/>
        <v>0</v>
      </c>
      <c r="X10" s="42">
        <f>-SUMIFS('Отчет 12-18.01'!P:P,'Отчет 12-18.01'!C:C,"Вознаграждение Ozon",'Отчет 12-18.01'!E:E,B10)</f>
        <v>0</v>
      </c>
      <c r="Y10" s="45">
        <f t="shared" si="17"/>
        <v>0</v>
      </c>
      <c r="Z10" s="42">
        <f>-SUMIFS('Отчет 12-18.01'!P:P,'Отчет 12-18.01'!C:C,"Услуги доставки",'Отчет 12-18.01'!E:E,B10)</f>
        <v>93.54</v>
      </c>
      <c r="AA10" s="32">
        <v>0</v>
      </c>
      <c r="AB10" s="55"/>
      <c r="AC10" s="42"/>
      <c r="AD10" s="46">
        <f t="shared" si="4"/>
        <v>0</v>
      </c>
      <c r="AE10" s="47">
        <f t="shared" si="5"/>
        <v>-93.54</v>
      </c>
      <c r="AF10" s="46"/>
      <c r="AG10" s="48">
        <f t="shared" si="6"/>
        <v>0</v>
      </c>
      <c r="AH10" s="49">
        <f t="shared" si="7"/>
        <v>169.89</v>
      </c>
      <c r="AI10" s="49">
        <f t="shared" si="8"/>
        <v>0</v>
      </c>
      <c r="AJ10" s="49">
        <f t="shared" si="9"/>
        <v>93.54</v>
      </c>
      <c r="AK10" s="49">
        <f t="shared" si="10"/>
        <v>0</v>
      </c>
      <c r="AL10" s="49">
        <f t="array" ref="AL10">_xlfn.IFS(R10=0,AE10,R10&lt;0,AE10/-R10,R10&gt;0,AE10/R10)</f>
        <v>-93.54</v>
      </c>
      <c r="AM10" s="50">
        <f t="shared" si="11"/>
        <v>0</v>
      </c>
      <c r="AN10" s="51">
        <f t="shared" si="12"/>
        <v>-0.55059155924421688</v>
      </c>
      <c r="AP10" s="53">
        <f t="shared" si="13"/>
        <v>-36199.980000000003</v>
      </c>
    </row>
    <row r="11" spans="1:42">
      <c r="A11" s="30">
        <v>2730130733</v>
      </c>
      <c r="B11" s="31" t="s">
        <v>46</v>
      </c>
      <c r="C11" s="32">
        <v>44</v>
      </c>
      <c r="D11" s="33"/>
      <c r="E11" s="33"/>
      <c r="F11" s="33"/>
      <c r="G11" s="34"/>
      <c r="H11" s="35">
        <v>169.89</v>
      </c>
      <c r="I11" s="54">
        <f t="shared" si="0"/>
        <v>7475.16</v>
      </c>
      <c r="J11" s="36"/>
      <c r="K11" s="32">
        <v>1</v>
      </c>
      <c r="L11" s="36"/>
      <c r="M11" s="36"/>
      <c r="N11" s="37">
        <f t="shared" si="1"/>
        <v>0.14285714285714285</v>
      </c>
      <c r="O11" s="38">
        <f t="shared" si="2"/>
        <v>0</v>
      </c>
      <c r="P11" s="39">
        <f>SUMIFS('Отчет 12-18.01'!H:H,'Отчет 12-18.01'!D:D,"Выручка",'Отчет 12-18.01'!E:E,B11)</f>
        <v>0</v>
      </c>
      <c r="Q11" s="39">
        <f>SUMIFS('Отчет 12-18.01'!H:H,'Отчет 12-18.01'!D:D,"Возврат выручки",'Отчет 12-18.01'!E:E,B11)</f>
        <v>0</v>
      </c>
      <c r="R11" s="40">
        <f t="shared" si="3"/>
        <v>0</v>
      </c>
      <c r="S11" s="41">
        <f>SUMIFS('Отчет 12-18.01'!P:P,'Отчет 12-18.01'!C:C,"Продажи",'Отчет 12-18.01'!E:E,B11)</f>
        <v>0</v>
      </c>
      <c r="T11" s="42">
        <f>SUMIFS('Отчет 12-18.01'!P:P,'Отчет 12-18.01'!C:C,"Возвраты",'Отчет 12-18.01'!E:E,B11)</f>
        <v>0</v>
      </c>
      <c r="U11" s="40">
        <f t="shared" si="14"/>
        <v>0</v>
      </c>
      <c r="V11" s="43">
        <f t="shared" si="15"/>
        <v>0</v>
      </c>
      <c r="W11" s="44">
        <f t="shared" si="16"/>
        <v>0</v>
      </c>
      <c r="X11" s="42">
        <f>-SUMIFS('Отчет 12-18.01'!P:P,'Отчет 12-18.01'!C:C,"Вознаграждение Ozon",'Отчет 12-18.01'!E:E,B11)</f>
        <v>0</v>
      </c>
      <c r="Y11" s="45">
        <f t="shared" si="17"/>
        <v>0</v>
      </c>
      <c r="Z11" s="42">
        <f>-SUMIFS('Отчет 12-18.01'!P:P,'Отчет 12-18.01'!C:C,"Услуги доставки",'Отчет 12-18.01'!E:E,B11)</f>
        <v>0</v>
      </c>
      <c r="AA11" s="32">
        <v>0</v>
      </c>
      <c r="AB11" s="55"/>
      <c r="AC11" s="42"/>
      <c r="AD11" s="46">
        <f t="shared" si="4"/>
        <v>0</v>
      </c>
      <c r="AE11" s="47">
        <f t="shared" si="5"/>
        <v>0</v>
      </c>
      <c r="AF11" s="46"/>
      <c r="AG11" s="48">
        <f t="shared" si="6"/>
        <v>0</v>
      </c>
      <c r="AH11" s="49">
        <f t="shared" si="7"/>
        <v>169.89</v>
      </c>
      <c r="AI11" s="49">
        <f t="shared" si="8"/>
        <v>0</v>
      </c>
      <c r="AJ11" s="49">
        <f t="shared" si="9"/>
        <v>0</v>
      </c>
      <c r="AK11" s="49">
        <f t="shared" si="10"/>
        <v>0</v>
      </c>
      <c r="AL11" s="49">
        <f t="array" ref="AL11">_xlfn.IFS(R11=0,AE11,R11&lt;0,AE11/-R11,R11&gt;0,AE11/R11)</f>
        <v>0</v>
      </c>
      <c r="AM11" s="50">
        <f t="shared" si="11"/>
        <v>0</v>
      </c>
      <c r="AN11" s="51">
        <f t="shared" si="12"/>
        <v>0</v>
      </c>
      <c r="AP11" s="53">
        <f t="shared" si="13"/>
        <v>0</v>
      </c>
    </row>
    <row r="12" spans="1:42">
      <c r="A12" s="30">
        <v>2730131249</v>
      </c>
      <c r="B12" s="31" t="s">
        <v>47</v>
      </c>
      <c r="C12" s="32">
        <v>41</v>
      </c>
      <c r="D12" s="33"/>
      <c r="E12" s="33"/>
      <c r="F12" s="33"/>
      <c r="G12" s="34"/>
      <c r="H12" s="35">
        <v>169.89</v>
      </c>
      <c r="I12" s="54">
        <f t="shared" si="0"/>
        <v>6965.49</v>
      </c>
      <c r="J12" s="36"/>
      <c r="K12" s="32">
        <v>1</v>
      </c>
      <c r="L12" s="36"/>
      <c r="M12" s="36"/>
      <c r="N12" s="37">
        <f t="shared" si="1"/>
        <v>0.14285714285714285</v>
      </c>
      <c r="O12" s="38">
        <f t="shared" si="2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3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14"/>
        <v>0</v>
      </c>
      <c r="V12" s="43">
        <f t="shared" si="15"/>
        <v>0</v>
      </c>
      <c r="W12" s="44">
        <f t="shared" si="16"/>
        <v>0</v>
      </c>
      <c r="X12" s="42">
        <f>-SUMIFS('Отчет 12-18.01'!P:P,'Отчет 12-18.01'!C:C,"Вознаграждение Ozon",'Отчет 12-18.01'!E:E,B12)</f>
        <v>0</v>
      </c>
      <c r="Y12" s="45">
        <f t="shared" si="17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4"/>
        <v>0</v>
      </c>
      <c r="AE12" s="47">
        <f t="shared" si="5"/>
        <v>0</v>
      </c>
      <c r="AF12" s="46"/>
      <c r="AG12" s="48">
        <f t="shared" si="6"/>
        <v>0</v>
      </c>
      <c r="AH12" s="49">
        <f t="shared" si="7"/>
        <v>169.89</v>
      </c>
      <c r="AI12" s="49">
        <f t="shared" si="8"/>
        <v>0</v>
      </c>
      <c r="AJ12" s="49">
        <f t="shared" si="9"/>
        <v>0</v>
      </c>
      <c r="AK12" s="49">
        <f t="shared" si="10"/>
        <v>0</v>
      </c>
      <c r="AL12" s="49">
        <f t="array" ref="AL12">_xlfn.IFS(R12=0,AE12,R12&lt;0,AE12/-R12,R12&gt;0,AE12/R12)</f>
        <v>0</v>
      </c>
      <c r="AM12" s="50">
        <f t="shared" si="11"/>
        <v>0</v>
      </c>
      <c r="AN12" s="51">
        <f t="shared" si="12"/>
        <v>0</v>
      </c>
      <c r="AP12" s="53">
        <f t="shared" si="13"/>
        <v>0</v>
      </c>
    </row>
    <row r="13" spans="1:42">
      <c r="A13" s="30">
        <v>2730130553</v>
      </c>
      <c r="B13" s="31" t="s">
        <v>48</v>
      </c>
      <c r="C13" s="32">
        <v>29</v>
      </c>
      <c r="D13" s="33"/>
      <c r="E13" s="33"/>
      <c r="F13" s="33"/>
      <c r="G13" s="34"/>
      <c r="H13" s="35">
        <v>169.89</v>
      </c>
      <c r="I13" s="54">
        <f t="shared" si="0"/>
        <v>4926.8099999999995</v>
      </c>
      <c r="J13" s="36"/>
      <c r="K13" s="32">
        <v>2</v>
      </c>
      <c r="L13" s="36"/>
      <c r="M13" s="36"/>
      <c r="N13" s="37">
        <f t="shared" si="1"/>
        <v>0.2857142857142857</v>
      </c>
      <c r="O13" s="38">
        <f t="shared" si="2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3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14"/>
        <v>0</v>
      </c>
      <c r="V13" s="43">
        <f t="shared" si="15"/>
        <v>0</v>
      </c>
      <c r="W13" s="44">
        <f t="shared" si="16"/>
        <v>0</v>
      </c>
      <c r="X13" s="42">
        <f>-SUMIFS('Отчет 12-18.01'!P:P,'Отчет 12-18.01'!C:C,"Вознаграждение Ozon",'Отчет 12-18.01'!E:E,B13)</f>
        <v>0</v>
      </c>
      <c r="Y13" s="45">
        <f t="shared" si="17"/>
        <v>0</v>
      </c>
      <c r="Z13" s="42">
        <f>-SUMIFS('Отчет 12-18.01'!P:P,'Отчет 12-18.01'!C:C,"Услуги доставки",'Отчет 12-18.01'!E:E,B13)</f>
        <v>93.54</v>
      </c>
      <c r="AA13" s="32">
        <v>0</v>
      </c>
      <c r="AB13" s="55"/>
      <c r="AC13" s="42"/>
      <c r="AD13" s="46">
        <f t="shared" si="4"/>
        <v>0</v>
      </c>
      <c r="AE13" s="47">
        <f t="shared" si="5"/>
        <v>-93.54</v>
      </c>
      <c r="AF13" s="46"/>
      <c r="AG13" s="48">
        <f t="shared" si="6"/>
        <v>0</v>
      </c>
      <c r="AH13" s="49">
        <f t="shared" si="7"/>
        <v>169.89</v>
      </c>
      <c r="AI13" s="49">
        <f t="shared" si="8"/>
        <v>0</v>
      </c>
      <c r="AJ13" s="49">
        <f t="shared" si="9"/>
        <v>93.54</v>
      </c>
      <c r="AK13" s="49">
        <f t="shared" si="10"/>
        <v>0</v>
      </c>
      <c r="AL13" s="49">
        <f t="array" ref="AL13">_xlfn.IFS(R13=0,AE13,R13&lt;0,AE13/-R13,R13&gt;0,AE13/R13)</f>
        <v>-93.54</v>
      </c>
      <c r="AM13" s="50">
        <f t="shared" si="11"/>
        <v>0</v>
      </c>
      <c r="AN13" s="51">
        <f t="shared" si="12"/>
        <v>-0.55059155924421688</v>
      </c>
      <c r="AP13" s="53">
        <f t="shared" si="13"/>
        <v>-2712.6600000000003</v>
      </c>
    </row>
    <row r="14" spans="1:42" ht="13.75" customHeight="1">
      <c r="A14" s="30">
        <v>2730129638</v>
      </c>
      <c r="B14" s="31" t="s">
        <v>49</v>
      </c>
      <c r="C14" s="32">
        <v>6</v>
      </c>
      <c r="D14" s="33"/>
      <c r="E14" s="33"/>
      <c r="F14" s="33"/>
      <c r="G14" s="34"/>
      <c r="H14" s="35">
        <v>169.89</v>
      </c>
      <c r="I14" s="54">
        <f t="shared" si="0"/>
        <v>1019.3399999999999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3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14"/>
        <v>0</v>
      </c>
      <c r="V14" s="43">
        <f t="shared" si="15"/>
        <v>0</v>
      </c>
      <c r="W14" s="44">
        <f t="shared" si="16"/>
        <v>0</v>
      </c>
      <c r="X14" s="42">
        <f>-SUMIFS('Отчет 12-18.01'!P:P,'Отчет 12-18.01'!C:C,"Вознаграждение Ozon",'Отчет 12-18.01'!E:E,B14)</f>
        <v>0</v>
      </c>
      <c r="Y14" s="45">
        <f t="shared" si="17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4"/>
        <v>0</v>
      </c>
      <c r="AE14" s="47">
        <f t="shared" si="5"/>
        <v>0</v>
      </c>
      <c r="AF14" s="46"/>
      <c r="AG14" s="48">
        <f t="shared" si="6"/>
        <v>0</v>
      </c>
      <c r="AH14" s="49">
        <f t="shared" si="7"/>
        <v>169.89</v>
      </c>
      <c r="AI14" s="49">
        <f t="shared" si="8"/>
        <v>0</v>
      </c>
      <c r="AJ14" s="49">
        <f t="shared" si="9"/>
        <v>0</v>
      </c>
      <c r="AK14" s="49">
        <f t="shared" si="10"/>
        <v>0</v>
      </c>
      <c r="AL14" s="49">
        <f t="array" ref="AL14">_xlfn.IFS(R14=0,AE14,R14&lt;0,AE14/-R14,R14&gt;0,AE14/R14)</f>
        <v>0</v>
      </c>
      <c r="AM14" s="50">
        <f t="shared" si="11"/>
        <v>0</v>
      </c>
      <c r="AN14" s="51">
        <f t="shared" si="12"/>
        <v>0</v>
      </c>
      <c r="AP14" s="53">
        <f t="shared" si="13"/>
        <v>0</v>
      </c>
    </row>
    <row r="15" spans="1:42" ht="13.75" customHeight="1">
      <c r="A15" s="30">
        <v>2730130141</v>
      </c>
      <c r="B15" s="31" t="s">
        <v>50</v>
      </c>
      <c r="C15" s="32">
        <v>30</v>
      </c>
      <c r="D15" s="33"/>
      <c r="E15" s="33"/>
      <c r="F15" s="33"/>
      <c r="G15" s="34"/>
      <c r="H15" s="35">
        <v>169.89</v>
      </c>
      <c r="I15" s="54">
        <f t="shared" si="0"/>
        <v>5096.7</v>
      </c>
      <c r="J15" s="36"/>
      <c r="K15" s="32">
        <v>1</v>
      </c>
      <c r="L15" s="36"/>
      <c r="M15" s="36"/>
      <c r="N15" s="37">
        <f t="shared" si="1"/>
        <v>0.14285714285714285</v>
      </c>
      <c r="O15" s="38">
        <f t="shared" si="2"/>
        <v>0</v>
      </c>
      <c r="P15" s="39">
        <f>SUMIFS('Отчет 12-18.01'!H:H,'Отчет 12-18.01'!D:D,"Выручка",'Отчет 12-18.01'!E:E,B15)</f>
        <v>0</v>
      </c>
      <c r="Q15" s="39">
        <f>SUMIFS('Отчет 12-18.01'!H:H,'Отчет 12-18.01'!D:D,"Возврат выручки",'Отчет 12-18.01'!E:E,B15)</f>
        <v>0</v>
      </c>
      <c r="R15" s="40">
        <f t="shared" si="3"/>
        <v>0</v>
      </c>
      <c r="S15" s="41">
        <f>SUMIFS('Отчет 12-18.01'!P:P,'Отчет 12-18.01'!C:C,"Продажи",'Отчет 12-18.01'!E:E,B15)</f>
        <v>0</v>
      </c>
      <c r="T15" s="42">
        <f>SUMIFS('Отчет 12-18.01'!P:P,'Отчет 12-18.01'!C:C,"Возвраты",'Отчет 12-18.01'!E:E,B15)</f>
        <v>0</v>
      </c>
      <c r="U15" s="40">
        <f t="shared" si="14"/>
        <v>0</v>
      </c>
      <c r="V15" s="43">
        <f t="shared" si="15"/>
        <v>0</v>
      </c>
      <c r="W15" s="44">
        <f t="shared" si="16"/>
        <v>0</v>
      </c>
      <c r="X15" s="42">
        <f>-SUMIFS('Отчет 12-18.01'!P:P,'Отчет 12-18.01'!C:C,"Вознаграждение Ozon",'Отчет 12-18.01'!E:E,B15)</f>
        <v>0</v>
      </c>
      <c r="Y15" s="45">
        <f t="shared" si="17"/>
        <v>0</v>
      </c>
      <c r="Z15" s="42">
        <f>-SUMIFS('Отчет 12-18.01'!P:P,'Отчет 12-18.01'!C:C,"Услуги доставки",'Отчет 12-18.01'!E:E,B15)</f>
        <v>0</v>
      </c>
      <c r="AA15" s="32">
        <v>0</v>
      </c>
      <c r="AB15" s="55"/>
      <c r="AC15" s="42"/>
      <c r="AD15" s="46">
        <f t="shared" si="4"/>
        <v>0</v>
      </c>
      <c r="AE15" s="47">
        <f t="shared" si="5"/>
        <v>0</v>
      </c>
      <c r="AF15" s="46"/>
      <c r="AG15" s="48">
        <f t="shared" si="6"/>
        <v>0</v>
      </c>
      <c r="AH15" s="49">
        <f t="shared" si="7"/>
        <v>169.89</v>
      </c>
      <c r="AI15" s="49">
        <f t="shared" si="8"/>
        <v>0</v>
      </c>
      <c r="AJ15" s="49">
        <f t="shared" si="9"/>
        <v>0</v>
      </c>
      <c r="AK15" s="49">
        <f t="shared" si="10"/>
        <v>0</v>
      </c>
      <c r="AL15" s="49">
        <f t="array" ref="AL15">_xlfn.IFS(R15=0,AE15,R15&lt;0,AE15/-R15,R15&gt;0,AE15/R15)</f>
        <v>0</v>
      </c>
      <c r="AM15" s="50">
        <f t="shared" si="11"/>
        <v>0</v>
      </c>
      <c r="AN15" s="51">
        <f t="shared" si="12"/>
        <v>0</v>
      </c>
      <c r="AP15" s="53">
        <f t="shared" si="13"/>
        <v>0</v>
      </c>
    </row>
    <row r="16" spans="1:42" ht="13.75" customHeight="1">
      <c r="A16" s="30">
        <v>2730129805</v>
      </c>
      <c r="B16" s="31" t="s">
        <v>51</v>
      </c>
      <c r="C16" s="32">
        <v>20</v>
      </c>
      <c r="D16" s="33"/>
      <c r="E16" s="33"/>
      <c r="F16" s="33"/>
      <c r="G16" s="34"/>
      <c r="H16" s="35">
        <v>169.89</v>
      </c>
      <c r="I16" s="54">
        <f t="shared" si="0"/>
        <v>3397.7999999999997</v>
      </c>
      <c r="J16" s="36"/>
      <c r="K16" s="32">
        <v>1</v>
      </c>
      <c r="L16" s="36"/>
      <c r="M16" s="36"/>
      <c r="N16" s="37">
        <f t="shared" si="1"/>
        <v>0.14285714285714285</v>
      </c>
      <c r="O16" s="38">
        <f t="shared" si="2"/>
        <v>0.2857142857142857</v>
      </c>
      <c r="P16" s="39">
        <f>SUMIFS('Отчет 12-18.01'!H:H,'Отчет 12-18.01'!D:D,"Выручка",'Отчет 12-18.01'!E:E,B16)</f>
        <v>2</v>
      </c>
      <c r="Q16" s="39">
        <f>SUMIFS('Отчет 12-18.01'!H:H,'Отчет 12-18.01'!D:D,"Возврат выручки",'Отчет 12-18.01'!E:E,B16)</f>
        <v>0</v>
      </c>
      <c r="R16" s="40">
        <f t="shared" si="3"/>
        <v>2</v>
      </c>
      <c r="S16" s="41">
        <f>SUMIFS('Отчет 12-18.01'!P:P,'Отчет 12-18.01'!C:C,"Продажи",'Отчет 12-18.01'!E:E,B16)</f>
        <v>2596</v>
      </c>
      <c r="T16" s="42">
        <f>SUMIFS('Отчет 12-18.01'!P:P,'Отчет 12-18.01'!C:C,"Возвраты",'Отчет 12-18.01'!E:E,B16)</f>
        <v>0</v>
      </c>
      <c r="U16" s="40">
        <f t="shared" si="14"/>
        <v>2596</v>
      </c>
      <c r="V16" s="43">
        <f t="shared" si="15"/>
        <v>0.12350142721217888</v>
      </c>
      <c r="W16" s="44">
        <f t="shared" si="16"/>
        <v>339.78</v>
      </c>
      <c r="X16" s="42">
        <f>-SUMIFS('Отчет 12-18.01'!P:P,'Отчет 12-18.01'!C:C,"Вознаграждение Ozon",'Отчет 12-18.01'!E:E,B16)</f>
        <v>1116.28</v>
      </c>
      <c r="Y16" s="45">
        <f t="shared" si="17"/>
        <v>0.43</v>
      </c>
      <c r="Z16" s="42">
        <f>-SUMIFS('Отчет 12-18.01'!P:P,'Отчет 12-18.01'!C:C,"Услуги доставки",'Отчет 12-18.01'!E:E,B16)</f>
        <v>252.10999999999999</v>
      </c>
      <c r="AA16" s="32">
        <v>0</v>
      </c>
      <c r="AB16" s="55"/>
      <c r="AC16" s="42"/>
      <c r="AD16" s="46">
        <f t="shared" si="4"/>
        <v>25.96</v>
      </c>
      <c r="AE16" s="47">
        <f t="shared" si="5"/>
        <v>861.87000000000023</v>
      </c>
      <c r="AF16" s="46"/>
      <c r="AG16" s="48">
        <f t="shared" si="6"/>
        <v>1298</v>
      </c>
      <c r="AH16" s="49">
        <f t="shared" si="7"/>
        <v>169.89</v>
      </c>
      <c r="AI16" s="49">
        <f t="shared" si="8"/>
        <v>558.14</v>
      </c>
      <c r="AJ16" s="49">
        <f t="shared" si="9"/>
        <v>126.05499999999999</v>
      </c>
      <c r="AK16" s="49">
        <f t="shared" si="10"/>
        <v>0</v>
      </c>
      <c r="AL16" s="49">
        <f t="array" ref="AL16">_xlfn.IFS(R16=0,AE16,R16&lt;0,AE16/-R16,R16&gt;0,AE16/R16)</f>
        <v>430.93500000000012</v>
      </c>
      <c r="AM16" s="50">
        <f t="shared" si="11"/>
        <v>0.33199922958397543</v>
      </c>
      <c r="AN16" s="51">
        <f t="shared" si="12"/>
        <v>2.5365530637471312</v>
      </c>
      <c r="AP16" s="53">
        <f t="shared" si="13"/>
        <v>8618.7000000000025</v>
      </c>
    </row>
    <row r="17" spans="1:52" ht="13.75" customHeight="1">
      <c r="A17" s="30">
        <v>2807226201</v>
      </c>
      <c r="B17" s="31" t="s">
        <v>52</v>
      </c>
      <c r="C17" s="32">
        <v>2</v>
      </c>
      <c r="D17" s="33"/>
      <c r="E17" s="33"/>
      <c r="F17" s="33"/>
      <c r="G17" s="34"/>
      <c r="H17" s="35">
        <v>1002.82</v>
      </c>
      <c r="I17" s="54">
        <f t="shared" si="0"/>
        <v>2005.64</v>
      </c>
      <c r="J17" s="36"/>
      <c r="K17" s="32">
        <v>0</v>
      </c>
      <c r="L17" s="36"/>
      <c r="M17" s="36"/>
      <c r="N17" s="37">
        <f t="shared" si="1"/>
        <v>0</v>
      </c>
      <c r="O17" s="38">
        <f t="shared" si="2"/>
        <v>0</v>
      </c>
      <c r="P17" s="39">
        <f>SUMIFS('Отчет 12-18.01'!H:H,'Отчет 12-18.01'!D:D,"Выручка",'Отчет 12-18.01'!E:E,B17)</f>
        <v>0</v>
      </c>
      <c r="Q17" s="39">
        <f>SUMIFS('Отчет 12-18.01'!H:H,'Отчет 12-18.01'!D:D,"Возврат выручки",'Отчет 12-18.01'!E:E,B17)</f>
        <v>0</v>
      </c>
      <c r="R17" s="40">
        <f t="shared" si="3"/>
        <v>0</v>
      </c>
      <c r="S17" s="41">
        <f>SUMIFS('Отчет 12-18.01'!P:P,'Отчет 12-18.01'!C:C,"Продажи",'Отчет 12-18.01'!E:E,B17)</f>
        <v>0</v>
      </c>
      <c r="T17" s="42">
        <f>SUMIFS('Отчет 12-18.01'!P:P,'Отчет 12-18.01'!C:C,"Возвраты",'Отчет 12-18.01'!E:E,B17)</f>
        <v>0</v>
      </c>
      <c r="U17" s="40">
        <f t="shared" si="14"/>
        <v>0</v>
      </c>
      <c r="V17" s="43">
        <f t="shared" si="15"/>
        <v>0</v>
      </c>
      <c r="W17" s="44">
        <f t="shared" si="16"/>
        <v>0</v>
      </c>
      <c r="X17" s="42">
        <f>-SUMIFS('Отчет 12-18.01'!P:P,'Отчет 12-18.01'!C:C,"Вознаграждение Ozon",'Отчет 12-18.01'!E:E,B17)</f>
        <v>0</v>
      </c>
      <c r="Y17" s="45">
        <f t="shared" si="17"/>
        <v>0</v>
      </c>
      <c r="Z17" s="42">
        <f>-SUMIFS('Отчет 12-18.01'!P:P,'Отчет 12-18.01'!C:C,"Услуги доставки",'Отчет 12-18.01'!E:E,B17)</f>
        <v>0</v>
      </c>
      <c r="AA17" s="32">
        <v>0</v>
      </c>
      <c r="AB17" s="55"/>
      <c r="AC17" s="42"/>
      <c r="AD17" s="46">
        <f t="shared" si="4"/>
        <v>0</v>
      </c>
      <c r="AE17" s="47">
        <f t="shared" si="5"/>
        <v>0</v>
      </c>
      <c r="AF17" s="46"/>
      <c r="AG17" s="48">
        <f t="shared" si="6"/>
        <v>0</v>
      </c>
      <c r="AH17" s="49">
        <f t="shared" si="7"/>
        <v>1002.82</v>
      </c>
      <c r="AI17" s="49">
        <f t="shared" si="8"/>
        <v>0</v>
      </c>
      <c r="AJ17" s="49">
        <f t="shared" si="9"/>
        <v>0</v>
      </c>
      <c r="AK17" s="49">
        <f t="shared" si="10"/>
        <v>0</v>
      </c>
      <c r="AL17" s="49">
        <f t="array" ref="AL17">_xlfn.IFS(R17=0,AE17,R17&lt;0,AE17/-R17,R17&gt;0,AE17/R17)</f>
        <v>0</v>
      </c>
      <c r="AM17" s="50">
        <f t="shared" si="11"/>
        <v>0</v>
      </c>
      <c r="AN17" s="51">
        <f t="shared" si="12"/>
        <v>0</v>
      </c>
      <c r="AP17" s="53">
        <f t="shared" si="13"/>
        <v>0</v>
      </c>
    </row>
    <row r="18" spans="1:52" ht="13.75" customHeight="1">
      <c r="A18" s="30">
        <v>2807226228</v>
      </c>
      <c r="B18" s="31" t="s">
        <v>53</v>
      </c>
      <c r="C18" s="32">
        <v>1</v>
      </c>
      <c r="D18" s="33"/>
      <c r="E18" s="33"/>
      <c r="F18" s="33"/>
      <c r="G18" s="34"/>
      <c r="H18" s="35">
        <v>909.22</v>
      </c>
      <c r="I18" s="54">
        <f t="shared" si="0"/>
        <v>909.22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12-18.01'!H:H,'Отчет 12-18.01'!D:D,"Выручка",'Отчет 12-18.01'!E:E,B18)</f>
        <v>0</v>
      </c>
      <c r="Q18" s="39">
        <f>SUMIFS('Отчет 12-18.01'!H:H,'Отчет 12-18.01'!D:D,"Возврат выручки",'Отчет 12-18.01'!E:E,B18)</f>
        <v>0</v>
      </c>
      <c r="R18" s="40">
        <f t="shared" si="3"/>
        <v>0</v>
      </c>
      <c r="S18" s="41">
        <f>SUMIFS('Отчет 12-18.01'!P:P,'Отчет 12-18.01'!C:C,"Продажи",'Отчет 12-18.01'!E:E,B18)</f>
        <v>0</v>
      </c>
      <c r="T18" s="42">
        <f>SUMIFS('Отчет 12-18.01'!P:P,'Отчет 12-18.01'!C:C,"Возвраты",'Отчет 12-18.01'!E:E,B18)</f>
        <v>0</v>
      </c>
      <c r="U18" s="40">
        <f t="shared" si="14"/>
        <v>0</v>
      </c>
      <c r="V18" s="43">
        <f t="shared" si="15"/>
        <v>0</v>
      </c>
      <c r="W18" s="44">
        <f t="shared" si="16"/>
        <v>0</v>
      </c>
      <c r="X18" s="42">
        <f>-SUMIFS('Отчет 12-18.01'!P:P,'Отчет 12-18.01'!C:C,"Вознаграждение Ozon",'Отчет 12-18.01'!E:E,B18)</f>
        <v>0</v>
      </c>
      <c r="Y18" s="45">
        <f t="shared" si="17"/>
        <v>0</v>
      </c>
      <c r="Z18" s="42">
        <f>-SUMIFS('Отчет 12-18.01'!P:P,'Отчет 12-18.01'!C:C,"Услуги доставки",'Отчет 12-18.01'!E:E,B18)</f>
        <v>0</v>
      </c>
      <c r="AA18" s="32">
        <v>0</v>
      </c>
      <c r="AB18" s="55"/>
      <c r="AC18" s="42"/>
      <c r="AD18" s="46">
        <f t="shared" si="4"/>
        <v>0</v>
      </c>
      <c r="AE18" s="47">
        <f t="shared" si="5"/>
        <v>0</v>
      </c>
      <c r="AF18" s="46"/>
      <c r="AG18" s="48">
        <f t="shared" si="6"/>
        <v>0</v>
      </c>
      <c r="AH18" s="49">
        <f t="shared" si="7"/>
        <v>909.22</v>
      </c>
      <c r="AI18" s="49">
        <f t="shared" si="8"/>
        <v>0</v>
      </c>
      <c r="AJ18" s="49">
        <f t="shared" si="9"/>
        <v>0</v>
      </c>
      <c r="AK18" s="49">
        <f t="shared" si="10"/>
        <v>0</v>
      </c>
      <c r="AL18" s="49">
        <f t="array" ref="AL18">_xlfn.IFS(R18=0,AE18,R18&lt;0,AE18/-R18,R18&gt;0,AE18/R18)</f>
        <v>0</v>
      </c>
      <c r="AM18" s="50">
        <f t="shared" si="11"/>
        <v>0</v>
      </c>
      <c r="AN18" s="51">
        <f t="shared" si="12"/>
        <v>0</v>
      </c>
      <c r="AP18" s="53">
        <f t="shared" si="13"/>
        <v>0</v>
      </c>
    </row>
    <row r="19" spans="1:52" ht="13.75" customHeight="1">
      <c r="A19" s="30">
        <v>2807226016</v>
      </c>
      <c r="B19" s="31" t="s">
        <v>54</v>
      </c>
      <c r="C19" s="32">
        <v>1</v>
      </c>
      <c r="D19" s="33"/>
      <c r="E19" s="33"/>
      <c r="F19" s="33"/>
      <c r="G19" s="34"/>
      <c r="H19" s="35">
        <v>909.22</v>
      </c>
      <c r="I19" s="54">
        <f t="shared" si="0"/>
        <v>909.22</v>
      </c>
      <c r="J19" s="36"/>
      <c r="K19" s="32">
        <v>0</v>
      </c>
      <c r="L19" s="36"/>
      <c r="M19" s="36"/>
      <c r="N19" s="37">
        <f t="shared" si="1"/>
        <v>0</v>
      </c>
      <c r="O19" s="38">
        <f t="shared" si="2"/>
        <v>0</v>
      </c>
      <c r="P19" s="39">
        <f>SUMIFS('Отчет 12-18.01'!H:H,'Отчет 12-18.01'!D:D,"Выручка",'Отчет 12-18.01'!E:E,B19)</f>
        <v>0</v>
      </c>
      <c r="Q19" s="39">
        <f>SUMIFS('Отчет 12-18.01'!H:H,'Отчет 12-18.01'!D:D,"Возврат выручки",'Отчет 12-18.01'!E:E,B19)</f>
        <v>0</v>
      </c>
      <c r="R19" s="40">
        <f t="shared" si="3"/>
        <v>0</v>
      </c>
      <c r="S19" s="41">
        <f>SUMIFS('Отчет 12-18.01'!P:P,'Отчет 12-18.01'!C:C,"Продажи",'Отчет 12-18.01'!E:E,B19)</f>
        <v>0</v>
      </c>
      <c r="T19" s="42">
        <f>SUMIFS('Отчет 12-18.01'!P:P,'Отчет 12-18.01'!C:C,"Возвраты",'Отчет 12-18.01'!E:E,B19)</f>
        <v>0</v>
      </c>
      <c r="U19" s="40">
        <f t="shared" si="14"/>
        <v>0</v>
      </c>
      <c r="V19" s="43">
        <f t="shared" si="15"/>
        <v>0</v>
      </c>
      <c r="W19" s="44">
        <f t="shared" si="16"/>
        <v>0</v>
      </c>
      <c r="X19" s="42">
        <f>-SUMIFS('Отчет 12-18.01'!P:P,'Отчет 12-18.01'!C:C,"Вознаграждение Ozon",'Отчет 12-18.01'!E:E,B19)</f>
        <v>0</v>
      </c>
      <c r="Y19" s="45">
        <f t="shared" si="17"/>
        <v>0</v>
      </c>
      <c r="Z19" s="42">
        <f>-SUMIFS('Отчет 12-18.01'!P:P,'Отчет 12-18.01'!C:C,"Услуги доставки",'Отчет 12-18.01'!E:E,B19)</f>
        <v>0</v>
      </c>
      <c r="AA19" s="32">
        <v>0</v>
      </c>
      <c r="AB19" s="55"/>
      <c r="AC19" s="42"/>
      <c r="AD19" s="46">
        <f t="shared" si="4"/>
        <v>0</v>
      </c>
      <c r="AE19" s="47">
        <f t="shared" si="5"/>
        <v>0</v>
      </c>
      <c r="AF19" s="46"/>
      <c r="AG19" s="48">
        <f t="shared" si="6"/>
        <v>0</v>
      </c>
      <c r="AH19" s="49">
        <f t="shared" si="7"/>
        <v>909.22</v>
      </c>
      <c r="AI19" s="49">
        <f t="shared" si="8"/>
        <v>0</v>
      </c>
      <c r="AJ19" s="49">
        <f t="shared" si="9"/>
        <v>0</v>
      </c>
      <c r="AK19" s="49">
        <f t="shared" si="10"/>
        <v>0</v>
      </c>
      <c r="AL19" s="49">
        <f t="array" ref="AL19">_xlfn.IFS(R19=0,AE19,R19&lt;0,AE19/-R19,R19&gt;0,AE19/R19)</f>
        <v>0</v>
      </c>
      <c r="AM19" s="50">
        <f t="shared" si="11"/>
        <v>0</v>
      </c>
      <c r="AN19" s="51">
        <f t="shared" si="12"/>
        <v>0</v>
      </c>
      <c r="AP19" s="53">
        <f t="shared" si="13"/>
        <v>0</v>
      </c>
    </row>
    <row r="20" spans="1:52" ht="13.75" customHeight="1">
      <c r="A20" s="30">
        <v>2807226072</v>
      </c>
      <c r="B20" s="31" t="s">
        <v>55</v>
      </c>
      <c r="C20" s="32">
        <v>1</v>
      </c>
      <c r="D20" s="33"/>
      <c r="E20" s="33"/>
      <c r="F20" s="33"/>
      <c r="G20" s="34"/>
      <c r="H20" s="35">
        <v>932.62</v>
      </c>
      <c r="I20" s="54">
        <f t="shared" si="0"/>
        <v>932.62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12-18.01'!H:H,'Отчет 12-18.01'!D:D,"Выручка",'Отчет 12-18.01'!E:E,B20)</f>
        <v>0</v>
      </c>
      <c r="Q20" s="39">
        <f>SUMIFS('Отчет 12-18.01'!H:H,'Отчет 12-18.01'!D:D,"Возврат выручки",'Отчет 12-18.01'!E:E,B20)</f>
        <v>0</v>
      </c>
      <c r="R20" s="40">
        <f t="shared" si="3"/>
        <v>0</v>
      </c>
      <c r="S20" s="41">
        <f>SUMIFS('Отчет 12-18.01'!P:P,'Отчет 12-18.01'!C:C,"Продажи",'Отчет 12-18.01'!E:E,B20)</f>
        <v>0</v>
      </c>
      <c r="T20" s="42">
        <f>SUMIFS('Отчет 12-18.01'!P:P,'Отчет 12-18.01'!C:C,"Возвраты",'Отчет 12-18.01'!E:E,B20)</f>
        <v>0</v>
      </c>
      <c r="U20" s="40">
        <f t="shared" si="14"/>
        <v>0</v>
      </c>
      <c r="V20" s="43">
        <f t="shared" si="15"/>
        <v>0</v>
      </c>
      <c r="W20" s="44">
        <f t="shared" si="16"/>
        <v>0</v>
      </c>
      <c r="X20" s="42">
        <f>-SUMIFS('Отчет 12-18.01'!P:P,'Отчет 12-18.01'!C:C,"Вознаграждение Ozon",'Отчет 12-18.01'!E:E,B20)</f>
        <v>0</v>
      </c>
      <c r="Y20" s="45">
        <f t="shared" si="17"/>
        <v>0</v>
      </c>
      <c r="Z20" s="42">
        <f>-SUMIFS('Отчет 12-18.01'!P:P,'Отчет 12-18.01'!C:C,"Услуги доставки",'Отчет 12-18.01'!E:E,B20)</f>
        <v>0</v>
      </c>
      <c r="AA20" s="32">
        <v>0</v>
      </c>
      <c r="AB20" s="55"/>
      <c r="AC20" s="42"/>
      <c r="AD20" s="46">
        <f t="shared" si="4"/>
        <v>0</v>
      </c>
      <c r="AE20" s="47">
        <f t="shared" si="5"/>
        <v>0</v>
      </c>
      <c r="AF20" s="46"/>
      <c r="AG20" s="48">
        <f t="shared" si="6"/>
        <v>0</v>
      </c>
      <c r="AH20" s="49">
        <f t="shared" si="7"/>
        <v>932.62</v>
      </c>
      <c r="AI20" s="49">
        <f t="shared" si="8"/>
        <v>0</v>
      </c>
      <c r="AJ20" s="49">
        <f t="shared" si="9"/>
        <v>0</v>
      </c>
      <c r="AK20" s="49">
        <f t="shared" si="10"/>
        <v>0</v>
      </c>
      <c r="AL20" s="49">
        <f t="array" ref="AL20">_xlfn.IFS(R20=0,AE20,R20&lt;0,AE20/-R20,R20&gt;0,AE20/R20)</f>
        <v>0</v>
      </c>
      <c r="AM20" s="50">
        <f t="shared" si="11"/>
        <v>0</v>
      </c>
      <c r="AN20" s="51">
        <f t="shared" si="12"/>
        <v>0</v>
      </c>
      <c r="AP20" s="53">
        <f t="shared" si="13"/>
        <v>0</v>
      </c>
    </row>
    <row r="21" spans="1:52" ht="13.75" customHeight="1">
      <c r="A21" s="30">
        <v>2807226223</v>
      </c>
      <c r="B21" s="31" t="s">
        <v>56</v>
      </c>
      <c r="C21" s="32">
        <v>0</v>
      </c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12-18.01'!H:H,'Отчет 12-18.01'!D:D,"Выручка",'Отчет 12-18.01'!E:E,B21)</f>
        <v>0</v>
      </c>
      <c r="Q21" s="39">
        <f>SUMIFS('Отчет 12-18.01'!H:H,'Отчет 12-18.01'!D:D,"Возврат выручки",'Отчет 12-18.01'!E:E,B21)</f>
        <v>0</v>
      </c>
      <c r="R21" s="40">
        <f t="shared" si="3"/>
        <v>0</v>
      </c>
      <c r="S21" s="41">
        <f>SUMIFS('Отчет 12-18.01'!P:P,'Отчет 12-18.01'!C:C,"Продажи",'Отчет 12-18.01'!E:E,B21)</f>
        <v>0</v>
      </c>
      <c r="T21" s="42">
        <f>SUMIFS('Отчет 12-18.01'!P:P,'Отчет 12-18.01'!C:C,"Возвраты",'Отчет 12-18.01'!E:E,B21)</f>
        <v>0</v>
      </c>
      <c r="U21" s="40">
        <f t="shared" si="14"/>
        <v>0</v>
      </c>
      <c r="V21" s="43">
        <f t="shared" si="15"/>
        <v>0</v>
      </c>
      <c r="W21" s="44">
        <f t="shared" si="16"/>
        <v>0</v>
      </c>
      <c r="X21" s="42">
        <f>-SUMIFS('Отчет 12-18.01'!P:P,'Отчет 12-18.01'!C:C,"Вознаграждение Ozon",'Отчет 12-18.01'!E:E,B21)</f>
        <v>0</v>
      </c>
      <c r="Y21" s="45">
        <f t="shared" si="17"/>
        <v>0</v>
      </c>
      <c r="Z21" s="42">
        <f>-SUMIFS('Отчет 12-18.01'!P:P,'Отчет 12-18.01'!C:C,"Услуги доставки",'Отчет 12-18.01'!E:E,B21)</f>
        <v>0</v>
      </c>
      <c r="AA21" s="32">
        <v>0</v>
      </c>
      <c r="AB21" s="55"/>
      <c r="AC21" s="42"/>
      <c r="AD21" s="46">
        <f t="shared" si="4"/>
        <v>0</v>
      </c>
      <c r="AE21" s="47">
        <f t="shared" si="5"/>
        <v>0</v>
      </c>
      <c r="AF21" s="46"/>
      <c r="AG21" s="48">
        <f t="shared" si="6"/>
        <v>0</v>
      </c>
      <c r="AH21" s="49">
        <f t="shared" si="7"/>
        <v>1014.52</v>
      </c>
      <c r="AI21" s="49">
        <f t="shared" si="8"/>
        <v>0</v>
      </c>
      <c r="AJ21" s="49">
        <f t="shared" si="9"/>
        <v>0</v>
      </c>
      <c r="AK21" s="49">
        <f t="shared" si="10"/>
        <v>0</v>
      </c>
      <c r="AL21" s="49">
        <f t="array" ref="AL21">_xlfn.IFS(R21=0,AE21,R21&lt;0,AE21/-R21,R21&gt;0,AE21/R21)</f>
        <v>0</v>
      </c>
      <c r="AM21" s="50">
        <f t="shared" si="11"/>
        <v>0</v>
      </c>
      <c r="AN21" s="51">
        <f t="shared" si="12"/>
        <v>0</v>
      </c>
      <c r="AP21" s="53">
        <f t="shared" si="13"/>
        <v>0</v>
      </c>
    </row>
    <row r="22" spans="1:52" ht="13.75" customHeight="1">
      <c r="A22" s="30">
        <v>2807226341</v>
      </c>
      <c r="B22" s="31" t="s">
        <v>57</v>
      </c>
      <c r="C22" s="32">
        <v>0</v>
      </c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12-18.01'!H:H,'Отчет 12-18.01'!D:D,"Выручка",'Отчет 12-18.01'!E:E,B22)</f>
        <v>0</v>
      </c>
      <c r="Q22" s="39">
        <f>SUMIFS('Отчет 12-18.01'!H:H,'Отчет 12-18.01'!D:D,"Возврат выручки",'Отчет 12-18.01'!E:E,B22)</f>
        <v>0</v>
      </c>
      <c r="R22" s="40">
        <f t="shared" si="3"/>
        <v>0</v>
      </c>
      <c r="S22" s="41">
        <f>SUMIFS('Отчет 12-18.01'!P:P,'Отчет 12-18.01'!C:C,"Продажи",'Отчет 12-18.01'!E:E,B22)</f>
        <v>0</v>
      </c>
      <c r="T22" s="42">
        <f>SUMIFS('Отчет 12-18.01'!P:P,'Отчет 12-18.01'!C:C,"Возвраты",'Отчет 12-18.01'!E:E,B22)</f>
        <v>0</v>
      </c>
      <c r="U22" s="40">
        <f t="shared" si="14"/>
        <v>0</v>
      </c>
      <c r="V22" s="43">
        <f t="shared" si="15"/>
        <v>0</v>
      </c>
      <c r="W22" s="44">
        <f t="shared" si="16"/>
        <v>0</v>
      </c>
      <c r="X22" s="42">
        <f>-SUMIFS('Отчет 12-18.01'!P:P,'Отчет 12-18.01'!C:C,"Вознаграждение Ozon",'Отчет 12-18.01'!E:E,B22)</f>
        <v>0</v>
      </c>
      <c r="Y22" s="45">
        <f t="shared" si="17"/>
        <v>0</v>
      </c>
      <c r="Z22" s="42">
        <f>-SUMIFS('Отчет 12-18.01'!P:P,'Отчет 12-18.01'!C:C,"Услуги доставки",'Отчет 12-18.01'!E:E,B22)</f>
        <v>0</v>
      </c>
      <c r="AA22" s="32">
        <v>0</v>
      </c>
      <c r="AB22" s="55"/>
      <c r="AC22" s="42"/>
      <c r="AD22" s="46">
        <f t="shared" si="4"/>
        <v>0</v>
      </c>
      <c r="AE22" s="47">
        <f t="shared" si="5"/>
        <v>0</v>
      </c>
      <c r="AF22" s="46"/>
      <c r="AG22" s="48">
        <f t="shared" si="6"/>
        <v>0</v>
      </c>
      <c r="AH22" s="49">
        <f t="shared" si="7"/>
        <v>1014.52</v>
      </c>
      <c r="AI22" s="49">
        <f t="shared" si="8"/>
        <v>0</v>
      </c>
      <c r="AJ22" s="49">
        <f t="shared" si="9"/>
        <v>0</v>
      </c>
      <c r="AK22" s="49">
        <f t="shared" si="10"/>
        <v>0</v>
      </c>
      <c r="AL22" s="49">
        <f t="array" ref="AL22">_xlfn.IFS(R22=0,AE22,R22&lt;0,AE22/-R22,R22&gt;0,AE22/R22)</f>
        <v>0</v>
      </c>
      <c r="AM22" s="50">
        <f t="shared" si="11"/>
        <v>0</v>
      </c>
      <c r="AN22" s="51">
        <f t="shared" si="12"/>
        <v>0</v>
      </c>
      <c r="AP22" s="53">
        <f t="shared" si="13"/>
        <v>0</v>
      </c>
    </row>
    <row r="23" spans="1:52" ht="13.75" customHeight="1">
      <c r="A23" s="30">
        <v>2807226351</v>
      </c>
      <c r="B23" s="31" t="s">
        <v>58</v>
      </c>
      <c r="C23" s="32">
        <v>0</v>
      </c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12-18.01'!H:H,'Отчет 12-18.01'!D:D,"Выручка",'Отчет 12-18.01'!E:E,B23)</f>
        <v>0</v>
      </c>
      <c r="Q23" s="39">
        <f>SUMIFS('Отчет 12-18.01'!H:H,'Отчет 12-18.01'!D:D,"Возврат выручки",'Отчет 12-18.01'!E:E,B23)</f>
        <v>0</v>
      </c>
      <c r="R23" s="40">
        <f t="shared" si="3"/>
        <v>0</v>
      </c>
      <c r="S23" s="41">
        <f>SUMIFS('Отчет 12-18.01'!P:P,'Отчет 12-18.01'!C:C,"Продажи",'Отчет 12-18.01'!E:E,B23)</f>
        <v>0</v>
      </c>
      <c r="T23" s="42">
        <f>SUMIFS('Отчет 12-18.01'!P:P,'Отчет 12-18.01'!C:C,"Возвраты",'Отчет 12-18.01'!E:E,B23)</f>
        <v>0</v>
      </c>
      <c r="U23" s="40">
        <f t="shared" si="14"/>
        <v>0</v>
      </c>
      <c r="V23" s="43">
        <f t="shared" si="15"/>
        <v>0</v>
      </c>
      <c r="W23" s="44">
        <f t="shared" si="16"/>
        <v>0</v>
      </c>
      <c r="X23" s="42">
        <f>-SUMIFS('Отчет 12-18.01'!P:P,'Отчет 12-18.01'!C:C,"Вознаграждение Ozon",'Отчет 12-18.01'!E:E,B23)</f>
        <v>0</v>
      </c>
      <c r="Y23" s="45">
        <f t="shared" si="17"/>
        <v>0</v>
      </c>
      <c r="Z23" s="42">
        <f>-SUMIFS('Отчет 12-18.01'!P:P,'Отчет 12-18.01'!C:C,"Услуги доставки",'Отчет 12-18.01'!E:E,B23)</f>
        <v>0</v>
      </c>
      <c r="AA23" s="32">
        <v>0</v>
      </c>
      <c r="AB23" s="55"/>
      <c r="AC23" s="42"/>
      <c r="AD23" s="46">
        <f t="shared" si="4"/>
        <v>0</v>
      </c>
      <c r="AE23" s="47">
        <f t="shared" si="5"/>
        <v>0</v>
      </c>
      <c r="AF23" s="46"/>
      <c r="AG23" s="48">
        <f t="shared" si="6"/>
        <v>0</v>
      </c>
      <c r="AH23" s="49">
        <f t="shared" si="7"/>
        <v>1014.52</v>
      </c>
      <c r="AI23" s="49">
        <f t="shared" si="8"/>
        <v>0</v>
      </c>
      <c r="AJ23" s="49">
        <f t="shared" si="9"/>
        <v>0</v>
      </c>
      <c r="AK23" s="49">
        <f t="shared" si="10"/>
        <v>0</v>
      </c>
      <c r="AL23" s="49">
        <f t="array" ref="AL23">_xlfn.IFS(R23=0,AE23,R23&lt;0,AE23/-R23,R23&gt;0,AE23/R23)</f>
        <v>0</v>
      </c>
      <c r="AM23" s="50">
        <f t="shared" si="11"/>
        <v>0</v>
      </c>
      <c r="AN23" s="51">
        <f t="shared" si="12"/>
        <v>0</v>
      </c>
      <c r="AP23" s="53">
        <f t="shared" si="13"/>
        <v>0</v>
      </c>
    </row>
    <row r="24" spans="1:52" ht="13.75" customHeight="1">
      <c r="A24" s="30">
        <v>2807226146</v>
      </c>
      <c r="B24" s="31" t="s">
        <v>59</v>
      </c>
      <c r="C24" s="32">
        <v>0</v>
      </c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12-18.01'!H:H,'Отчет 12-18.01'!D:D,"Выручка",'Отчет 12-18.01'!E:E,B24)</f>
        <v>0</v>
      </c>
      <c r="Q24" s="39">
        <f>SUMIFS('Отчет 12-18.01'!H:H,'Отчет 12-18.01'!D:D,"Возврат выручки",'Отчет 12-18.01'!E:E,B24)</f>
        <v>0</v>
      </c>
      <c r="R24" s="40">
        <f t="shared" si="3"/>
        <v>0</v>
      </c>
      <c r="S24" s="41">
        <f>SUMIFS('Отчет 12-18.01'!P:P,'Отчет 12-18.01'!C:C,"Продажи",'Отчет 12-18.01'!E:E,B24)</f>
        <v>0</v>
      </c>
      <c r="T24" s="42">
        <f>SUMIFS('Отчет 12-18.01'!P:P,'Отчет 12-18.01'!C:C,"Возвраты",'Отчет 12-18.01'!E:E,B24)</f>
        <v>0</v>
      </c>
      <c r="U24" s="40">
        <f t="shared" si="14"/>
        <v>0</v>
      </c>
      <c r="V24" s="43">
        <f t="shared" si="15"/>
        <v>0</v>
      </c>
      <c r="W24" s="44">
        <f t="shared" si="16"/>
        <v>0</v>
      </c>
      <c r="X24" s="42">
        <f>-SUMIFS('Отчет 12-18.01'!P:P,'Отчет 12-18.01'!C:C,"Вознаграждение Ozon",'Отчет 12-18.01'!E:E,B24)</f>
        <v>0</v>
      </c>
      <c r="Y24" s="45">
        <f t="shared" si="17"/>
        <v>0</v>
      </c>
      <c r="Z24" s="42">
        <f>-SUMIFS('Отчет 12-18.01'!P:P,'Отчет 12-18.01'!C:C,"Услуги доставки",'Отчет 12-18.01'!E:E,B24)</f>
        <v>0</v>
      </c>
      <c r="AA24" s="32">
        <v>0</v>
      </c>
      <c r="AB24" s="55"/>
      <c r="AC24" s="42"/>
      <c r="AD24" s="46">
        <f t="shared" si="4"/>
        <v>0</v>
      </c>
      <c r="AE24" s="47">
        <f t="shared" si="5"/>
        <v>0</v>
      </c>
      <c r="AF24" s="46"/>
      <c r="AG24" s="48">
        <f t="shared" si="6"/>
        <v>0</v>
      </c>
      <c r="AH24" s="49">
        <f t="shared" si="7"/>
        <v>991.12</v>
      </c>
      <c r="AI24" s="49">
        <f t="shared" si="8"/>
        <v>0</v>
      </c>
      <c r="AJ24" s="49">
        <f t="shared" si="9"/>
        <v>0</v>
      </c>
      <c r="AK24" s="49">
        <f t="shared" si="10"/>
        <v>0</v>
      </c>
      <c r="AL24" s="49">
        <f t="array" ref="AL24">_xlfn.IFS(R24=0,AE24,R24&lt;0,AE24/-R24,R24&gt;0,AE24/R24)</f>
        <v>0</v>
      </c>
      <c r="AM24" s="50">
        <f t="shared" si="11"/>
        <v>0</v>
      </c>
      <c r="AN24" s="51">
        <f t="shared" si="12"/>
        <v>0</v>
      </c>
      <c r="AP24" s="53">
        <f t="shared" si="13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1498.3813953488373</v>
      </c>
      <c r="AH25" s="58">
        <f t="shared" si="18"/>
        <v>447.87636363636369</v>
      </c>
      <c r="AI25" s="58">
        <f t="shared" si="18"/>
        <v>644.30399999999997</v>
      </c>
      <c r="AJ25" s="58">
        <f t="shared" si="18"/>
        <v>143.90000949216895</v>
      </c>
      <c r="AK25" s="58">
        <f t="shared" si="18"/>
        <v>502.97923341694354</v>
      </c>
      <c r="AL25" s="58">
        <f t="shared" si="18"/>
        <v>70.979994285091465</v>
      </c>
      <c r="AM25" s="59">
        <f t="shared" si="18"/>
        <v>0.17515731945016277</v>
      </c>
      <c r="AN25" s="59">
        <f t="shared" si="18"/>
        <v>0.47152458704631661</v>
      </c>
      <c r="AO25" s="60"/>
      <c r="AP25" s="61"/>
    </row>
    <row r="26" spans="1:52">
      <c r="A26" s="62" t="s">
        <v>60</v>
      </c>
      <c r="B26" s="63"/>
      <c r="C26" s="64">
        <f>SUM(C3:C24)</f>
        <v>4706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606682.37</v>
      </c>
      <c r="J26" s="67"/>
      <c r="K26" s="64">
        <f>SUM(K3:K24)</f>
        <v>96</v>
      </c>
      <c r="L26" s="67"/>
      <c r="M26" s="67"/>
      <c r="N26" s="68"/>
      <c r="O26" s="69"/>
      <c r="P26" s="64">
        <f>SUM(P3:P24)</f>
        <v>56</v>
      </c>
      <c r="Q26" s="64">
        <f t="shared" ref="Q26:AE26" si="19">SUM(Q3:Q24)</f>
        <v>0</v>
      </c>
      <c r="R26" s="64">
        <f t="shared" si="19"/>
        <v>56</v>
      </c>
      <c r="S26" s="70">
        <f>SUM(S3:S24)</f>
        <v>91762.000000000015</v>
      </c>
      <c r="T26" s="64">
        <f t="shared" si="19"/>
        <v>0</v>
      </c>
      <c r="U26" s="64">
        <f t="shared" si="19"/>
        <v>91762.000000000015</v>
      </c>
      <c r="V26" s="71">
        <f t="shared" si="19"/>
        <v>4.3654614652711707</v>
      </c>
      <c r="W26" s="64">
        <f t="shared" si="19"/>
        <v>7841.91</v>
      </c>
      <c r="X26" s="64">
        <f t="shared" si="19"/>
        <v>39457.660000000011</v>
      </c>
      <c r="Y26" s="72">
        <f>IF(U26=0,0,X26/U26)</f>
        <v>0.43000000000000005</v>
      </c>
      <c r="Z26" s="64">
        <f t="shared" si="19"/>
        <v>9811.6400000000031</v>
      </c>
      <c r="AA26" s="64">
        <f>IFERROR(P26*AA51/P51,0)</f>
        <v>22526.532459016395</v>
      </c>
      <c r="AB26" s="64">
        <f t="shared" si="19"/>
        <v>0</v>
      </c>
      <c r="AC26" s="64">
        <f t="shared" si="19"/>
        <v>0</v>
      </c>
      <c r="AD26" s="73">
        <f t="shared" si="19"/>
        <v>917.62000000000023</v>
      </c>
      <c r="AE26" s="74">
        <f t="shared" si="19"/>
        <v>14915.138138000015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238443.66554100357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18818.031862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>
        <v>50</v>
      </c>
      <c r="D28" s="33"/>
      <c r="E28" s="33"/>
      <c r="F28" s="33"/>
      <c r="G28" s="34"/>
      <c r="H28" s="84">
        <v>672</v>
      </c>
      <c r="I28" s="54">
        <f t="shared" ref="I28:I46" si="20">C28*H28</f>
        <v>33600</v>
      </c>
      <c r="J28" s="36"/>
      <c r="K28" s="32">
        <v>1</v>
      </c>
      <c r="L28" s="36"/>
      <c r="M28" s="36"/>
      <c r="N28" s="37">
        <f t="shared" ref="N28:N47" si="21">K28/7</f>
        <v>0.14285714285714285</v>
      </c>
      <c r="O28" s="38">
        <f t="shared" ref="O28:O47" si="22">R28/7</f>
        <v>0</v>
      </c>
      <c r="P28" s="39">
        <f>SUMIFS('Отчет 12-18.01'!H:H,'Отчет 12-18.01'!D:D,"Выручка",'Отчет 12-18.01'!E:E,B28)</f>
        <v>0</v>
      </c>
      <c r="Q28" s="39">
        <f>SUMIFS('Отчет 12-18.01'!H:H,'Отчет 12-18.01'!D:D,"Возврат выручки",'Отчет 12-18.01'!E:E,B28)</f>
        <v>0</v>
      </c>
      <c r="R28" s="40">
        <f t="shared" ref="R28:R47" si="23">P28-Q28</f>
        <v>0</v>
      </c>
      <c r="S28" s="41">
        <f>SUMIFS('Отчет 12-18.01'!P:P,'Отчет 12-18.01'!C:C,"Продажи",'Отчет 12-18.01'!E:E,B28)</f>
        <v>0</v>
      </c>
      <c r="T28" s="42">
        <f>SUMIFS('Отчет 12-18.01'!P:P,'Отчет 12-18.01'!C:C,"Возвраты",'Отчет 12-18.01'!E:E,B28)</f>
        <v>0</v>
      </c>
      <c r="U28" s="40">
        <f>S28+T28</f>
        <v>0</v>
      </c>
      <c r="V28" s="43">
        <f>U28/$U$49</f>
        <v>0</v>
      </c>
      <c r="W28" s="44">
        <f>R28*H28</f>
        <v>0</v>
      </c>
      <c r="X28" s="42">
        <f>-SUMIFS('Отчет 12-18.01'!P:P,'Отчет 12-18.01'!C:C,"Вознаграждение Ozon",'Отчет 12-18.01'!E:E,B28)</f>
        <v>0</v>
      </c>
      <c r="Y28" s="45">
        <f>IF(U28=0,0,X28/U28)</f>
        <v>0</v>
      </c>
      <c r="Z28" s="42">
        <f>-SUMIFS('Отчет 12-18.01'!P:P,'Отчет 12-18.01'!C:C,"Услуги доставки",'Отчет 12-18.01'!E:E,B28)</f>
        <v>0</v>
      </c>
      <c r="AA28" s="32">
        <v>0</v>
      </c>
      <c r="AB28" s="55"/>
      <c r="AC28" s="42"/>
      <c r="AD28" s="46">
        <f t="shared" ref="AD28:AD47" si="24">U28*1%</f>
        <v>0</v>
      </c>
      <c r="AE28" s="47">
        <f t="shared" ref="AE28:AE47" si="25">U28-W28-X28-Z28-AA28-AB28-AC28-AD28</f>
        <v>0</v>
      </c>
      <c r="AF28" s="46"/>
      <c r="AG28" s="48">
        <f t="shared" ref="AG28:AG47" si="26">IF(R28=0,0,U28/R28)</f>
        <v>0</v>
      </c>
      <c r="AH28" s="49">
        <f t="shared" ref="AH28:AH47" si="27">H28</f>
        <v>672</v>
      </c>
      <c r="AI28" s="49">
        <f t="shared" ref="AI28:AI47" si="28">IF(R28=0,0,X28/R28)</f>
        <v>0</v>
      </c>
      <c r="AJ28" s="49">
        <f t="shared" ref="AJ28:AJ47" si="29">IF(P28=0,Z28/1,Z28/P28)</f>
        <v>0</v>
      </c>
      <c r="AK28" s="49">
        <f t="shared" ref="AK28:AK47" si="30">IF(P28=0,0,AA28/P28)</f>
        <v>0</v>
      </c>
      <c r="AL28" s="49">
        <f t="array" ref="AL28">_xlfn.IFS(R28=0,AE28,R28&lt;0,AE28/-R28,R28&gt;0,AE28/R28)</f>
        <v>0</v>
      </c>
      <c r="AM28" s="50">
        <f t="shared" ref="AM28:AM47" si="31">IF(AG28=0,0,AL28/AG28)</f>
        <v>0</v>
      </c>
      <c r="AN28" s="51">
        <f t="shared" ref="AN28:AN47" si="32">IF(AH28=0,0,AL28/AH28)</f>
        <v>0</v>
      </c>
      <c r="AP28" s="53">
        <f t="shared" ref="AP28:AP47" si="33">AL28*C28</f>
        <v>0</v>
      </c>
    </row>
    <row r="29" spans="1:52">
      <c r="A29" s="30">
        <v>2774708622</v>
      </c>
      <c r="B29" s="31" t="s">
        <v>62</v>
      </c>
      <c r="C29" s="32">
        <v>48</v>
      </c>
      <c r="D29" s="33"/>
      <c r="E29" s="33"/>
      <c r="F29" s="33"/>
      <c r="G29" s="34"/>
      <c r="H29" s="84">
        <v>627</v>
      </c>
      <c r="I29" s="54">
        <f t="shared" si="20"/>
        <v>30096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12-18.01'!H:H,'Отчет 12-18.01'!D:D,"Выручка",'Отчет 12-18.01'!E:E,B29)</f>
        <v>0</v>
      </c>
      <c r="Q29" s="39">
        <f>SUMIFS('Отчет 12-18.01'!H:H,'Отчет 12-18.01'!D:D,"Возврат выручки",'Отчет 12-18.01'!E:E,B29)</f>
        <v>0</v>
      </c>
      <c r="R29" s="40">
        <f t="shared" si="23"/>
        <v>0</v>
      </c>
      <c r="S29" s="41">
        <f>SUMIFS('Отчет 12-18.01'!P:P,'Отчет 12-18.01'!C:C,"Продажи",'Отчет 12-18.01'!E:E,B29)</f>
        <v>0</v>
      </c>
      <c r="T29" s="42">
        <f>SUMIFS('Отчет 12-18.01'!P:P,'Отчет 12-18.01'!C:C,"Возвраты",'Отчет 12-18.01'!E:E,B29)</f>
        <v>0</v>
      </c>
      <c r="U29" s="40">
        <f t="shared" ref="U29:U47" si="34">S29+T29</f>
        <v>0</v>
      </c>
      <c r="V29" s="43">
        <f t="shared" ref="V29:V47" si="35">U29/$U$49</f>
        <v>0</v>
      </c>
      <c r="W29" s="44">
        <f t="shared" ref="W29:W47" si="36">R29*H29</f>
        <v>0</v>
      </c>
      <c r="X29" s="42">
        <f>-SUMIFS('Отчет 12-18.01'!P:P,'Отчет 12-18.01'!C:C,"Вознаграждение Ozon",'Отчет 12-18.01'!E:E,B29)</f>
        <v>0</v>
      </c>
      <c r="Y29" s="45">
        <f t="shared" ref="Y29:Y47" si="37">IF(U29=0,0,X29/U29)</f>
        <v>0</v>
      </c>
      <c r="Z29" s="42">
        <f>-SUMIFS('Отчет 12-18.01'!P:P,'Отчет 12-18.01'!C:C,"Услуги доставки",'Отчет 12-18.01'!E:E,B29)</f>
        <v>0</v>
      </c>
      <c r="AA29" s="32">
        <v>0</v>
      </c>
      <c r="AB29" s="55"/>
      <c r="AC29" s="42"/>
      <c r="AD29" s="46">
        <f t="shared" si="24"/>
        <v>0</v>
      </c>
      <c r="AE29" s="47">
        <f t="shared" si="25"/>
        <v>0</v>
      </c>
      <c r="AF29" s="46"/>
      <c r="AG29" s="48">
        <f t="shared" si="26"/>
        <v>0</v>
      </c>
      <c r="AH29" s="49">
        <f t="shared" si="27"/>
        <v>627</v>
      </c>
      <c r="AI29" s="49">
        <f t="shared" si="28"/>
        <v>0</v>
      </c>
      <c r="AJ29" s="49">
        <f t="shared" si="29"/>
        <v>0</v>
      </c>
      <c r="AK29" s="49">
        <f t="shared" si="30"/>
        <v>0</v>
      </c>
      <c r="AL29" s="49">
        <f t="array" ref="AL29">_xlfn.IFS(R29=0,AE29,R29&lt;0,AE29/-R29,R29&gt;0,AE29/R29)</f>
        <v>0</v>
      </c>
      <c r="AM29" s="50">
        <f t="shared" si="31"/>
        <v>0</v>
      </c>
      <c r="AN29" s="51">
        <f t="shared" si="32"/>
        <v>0</v>
      </c>
      <c r="AP29" s="53">
        <f t="shared" si="33"/>
        <v>0</v>
      </c>
    </row>
    <row r="30" spans="1:52">
      <c r="A30" s="30">
        <v>2774709606</v>
      </c>
      <c r="B30" s="31" t="s">
        <v>63</v>
      </c>
      <c r="C30" s="32">
        <v>43</v>
      </c>
      <c r="D30" s="33"/>
      <c r="E30" s="33"/>
      <c r="F30" s="33"/>
      <c r="G30" s="34"/>
      <c r="H30" s="84">
        <v>627</v>
      </c>
      <c r="I30" s="54">
        <f t="shared" si="20"/>
        <v>26961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12-18.01'!H:H,'Отчет 12-18.01'!D:D,"Выручка",'Отчет 12-18.01'!E:E,B30)</f>
        <v>0</v>
      </c>
      <c r="Q30" s="39">
        <f>SUMIFS('Отчет 12-18.01'!H:H,'Отчет 12-18.01'!D:D,"Возврат выручки",'Отчет 12-18.01'!E:E,B30)</f>
        <v>0</v>
      </c>
      <c r="R30" s="40">
        <f t="shared" si="23"/>
        <v>0</v>
      </c>
      <c r="S30" s="41">
        <f>SUMIFS('Отчет 12-18.01'!P:P,'Отчет 12-18.01'!C:C,"Продажи",'Отчет 12-18.01'!E:E,B30)</f>
        <v>0</v>
      </c>
      <c r="T30" s="42">
        <f>SUMIFS('Отчет 12-18.01'!P:P,'Отчет 12-18.01'!C:C,"Возвраты",'Отчет 12-18.01'!E:E,B30)</f>
        <v>0</v>
      </c>
      <c r="U30" s="40">
        <f t="shared" si="34"/>
        <v>0</v>
      </c>
      <c r="V30" s="43">
        <f t="shared" si="35"/>
        <v>0</v>
      </c>
      <c r="W30" s="44">
        <f t="shared" si="36"/>
        <v>0</v>
      </c>
      <c r="X30" s="42">
        <f>-SUMIFS('Отчет 12-18.01'!P:P,'Отчет 12-18.01'!C:C,"Вознаграждение Ozon",'Отчет 12-18.01'!E:E,B30)</f>
        <v>0</v>
      </c>
      <c r="Y30" s="45">
        <f t="shared" si="37"/>
        <v>0</v>
      </c>
      <c r="Z30" s="42">
        <f>-SUMIFS('Отчет 12-18.01'!P:P,'Отчет 12-18.01'!C:C,"Услуги доставки",'Отчет 12-18.01'!E:E,B30)</f>
        <v>0</v>
      </c>
      <c r="AA30" s="32">
        <v>0</v>
      </c>
      <c r="AB30" s="55"/>
      <c r="AC30" s="42"/>
      <c r="AD30" s="46">
        <f t="shared" si="24"/>
        <v>0</v>
      </c>
      <c r="AE30" s="47">
        <f t="shared" si="25"/>
        <v>0</v>
      </c>
      <c r="AF30" s="46"/>
      <c r="AG30" s="48">
        <f t="shared" si="26"/>
        <v>0</v>
      </c>
      <c r="AH30" s="49">
        <f t="shared" si="27"/>
        <v>627</v>
      </c>
      <c r="AI30" s="49">
        <f t="shared" si="28"/>
        <v>0</v>
      </c>
      <c r="AJ30" s="49">
        <f t="shared" si="29"/>
        <v>0</v>
      </c>
      <c r="AK30" s="49">
        <f t="shared" si="30"/>
        <v>0</v>
      </c>
      <c r="AL30" s="49">
        <f t="array" ref="AL30">_xlfn.IFS(R30=0,AE30,R30&lt;0,AE30/-R30,R30&gt;0,AE30/R30)</f>
        <v>0</v>
      </c>
      <c r="AM30" s="50">
        <f t="shared" si="31"/>
        <v>0</v>
      </c>
      <c r="AN30" s="51">
        <f t="shared" si="32"/>
        <v>0</v>
      </c>
      <c r="AP30" s="53">
        <f t="shared" si="33"/>
        <v>0</v>
      </c>
    </row>
    <row r="31" spans="1:52">
      <c r="A31" s="30">
        <v>2774720465</v>
      </c>
      <c r="B31" s="31" t="s">
        <v>64</v>
      </c>
      <c r="C31" s="32">
        <v>18</v>
      </c>
      <c r="D31" s="33"/>
      <c r="E31" s="33"/>
      <c r="F31" s="33"/>
      <c r="G31" s="34"/>
      <c r="H31" s="84">
        <v>567</v>
      </c>
      <c r="I31" s="54">
        <f t="shared" si="20"/>
        <v>10206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12-18.01'!H:H,'Отчет 12-18.01'!D:D,"Выручка",'Отчет 12-18.01'!E:E,B31)</f>
        <v>0</v>
      </c>
      <c r="Q31" s="39">
        <f>SUMIFS('Отчет 12-18.01'!H:H,'Отчет 12-18.01'!D:D,"Возврат выручки",'Отчет 12-18.01'!E:E,B31)</f>
        <v>0</v>
      </c>
      <c r="R31" s="40">
        <f t="shared" si="23"/>
        <v>0</v>
      </c>
      <c r="S31" s="41">
        <f>SUMIFS('Отчет 12-18.01'!P:P,'Отчет 12-18.01'!C:C,"Продажи",'Отчет 12-18.01'!E:E,B31)</f>
        <v>0</v>
      </c>
      <c r="T31" s="42">
        <f>SUMIFS('Отчет 12-18.01'!P:P,'Отчет 12-18.01'!C:C,"Возвраты",'Отчет 12-18.01'!E:E,B31)</f>
        <v>0</v>
      </c>
      <c r="U31" s="40">
        <f t="shared" si="34"/>
        <v>0</v>
      </c>
      <c r="V31" s="43">
        <f t="shared" si="35"/>
        <v>0</v>
      </c>
      <c r="W31" s="44">
        <f t="shared" si="36"/>
        <v>0</v>
      </c>
      <c r="X31" s="42">
        <f>-SUMIFS('Отчет 12-18.01'!P:P,'Отчет 12-18.01'!C:C,"Вознаграждение Ozon",'Отчет 12-18.01'!E:E,B31)</f>
        <v>0</v>
      </c>
      <c r="Y31" s="45">
        <f t="shared" si="37"/>
        <v>0</v>
      </c>
      <c r="Z31" s="42">
        <f>-SUMIFS('Отчет 12-18.01'!P:P,'Отчет 12-18.01'!C:C,"Услуги доставки",'Отчет 12-18.01'!E:E,B31)</f>
        <v>0</v>
      </c>
      <c r="AA31" s="32">
        <v>0</v>
      </c>
      <c r="AB31" s="55"/>
      <c r="AC31" s="42"/>
      <c r="AD31" s="46">
        <f t="shared" si="24"/>
        <v>0</v>
      </c>
      <c r="AE31" s="47">
        <f t="shared" si="25"/>
        <v>0</v>
      </c>
      <c r="AF31" s="46"/>
      <c r="AG31" s="48">
        <f t="shared" si="26"/>
        <v>0</v>
      </c>
      <c r="AH31" s="49">
        <f t="shared" si="27"/>
        <v>567</v>
      </c>
      <c r="AI31" s="49">
        <f t="shared" si="28"/>
        <v>0</v>
      </c>
      <c r="AJ31" s="49">
        <f t="shared" si="29"/>
        <v>0</v>
      </c>
      <c r="AK31" s="49">
        <f t="shared" si="30"/>
        <v>0</v>
      </c>
      <c r="AL31" s="49">
        <f t="array" ref="AL31">_xlfn.IFS(R31=0,AE31,R31&lt;0,AE31/-R31,R31&gt;0,AE31/R31)</f>
        <v>0</v>
      </c>
      <c r="AM31" s="50">
        <f t="shared" si="31"/>
        <v>0</v>
      </c>
      <c r="AN31" s="51">
        <f t="shared" si="32"/>
        <v>0</v>
      </c>
      <c r="AP31" s="53">
        <f t="shared" si="33"/>
        <v>0</v>
      </c>
    </row>
    <row r="32" spans="1:52">
      <c r="A32" s="30">
        <v>2774718470</v>
      </c>
      <c r="B32" s="31" t="s">
        <v>65</v>
      </c>
      <c r="C32" s="32">
        <v>19</v>
      </c>
      <c r="D32" s="33"/>
      <c r="E32" s="33"/>
      <c r="F32" s="33"/>
      <c r="G32" s="34"/>
      <c r="H32" s="84">
        <v>567</v>
      </c>
      <c r="I32" s="54">
        <f t="shared" si="20"/>
        <v>10773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12-18.01'!H:H,'Отчет 12-18.01'!D:D,"Выручка",'Отчет 12-18.01'!E:E,B32)</f>
        <v>0</v>
      </c>
      <c r="Q32" s="39">
        <f>SUMIFS('Отчет 12-18.01'!H:H,'Отчет 12-18.01'!D:D,"Возврат выручки",'Отчет 12-18.01'!E:E,B32)</f>
        <v>0</v>
      </c>
      <c r="R32" s="40">
        <f t="shared" si="23"/>
        <v>0</v>
      </c>
      <c r="S32" s="41">
        <f>SUMIFS('Отчет 12-18.01'!P:P,'Отчет 12-18.01'!C:C,"Продажи",'Отчет 12-18.01'!E:E,B32)</f>
        <v>0</v>
      </c>
      <c r="T32" s="42">
        <f>SUMIFS('Отчет 12-18.01'!P:P,'Отчет 12-18.01'!C:C,"Возвраты",'Отчет 12-18.01'!E:E,B32)</f>
        <v>0</v>
      </c>
      <c r="U32" s="40">
        <f t="shared" si="34"/>
        <v>0</v>
      </c>
      <c r="V32" s="43">
        <f t="shared" si="35"/>
        <v>0</v>
      </c>
      <c r="W32" s="44">
        <f t="shared" si="36"/>
        <v>0</v>
      </c>
      <c r="X32" s="42">
        <f>-SUMIFS('Отчет 12-18.01'!P:P,'Отчет 12-18.01'!C:C,"Вознаграждение Ozon",'Отчет 12-18.01'!E:E,B32)</f>
        <v>0</v>
      </c>
      <c r="Y32" s="45">
        <f t="shared" si="37"/>
        <v>0</v>
      </c>
      <c r="Z32" s="42">
        <f>-SUMIFS('Отчет 12-18.01'!P:P,'Отчет 12-18.01'!C:C,"Услуги доставки",'Отчет 12-18.01'!E:E,B32)</f>
        <v>0</v>
      </c>
      <c r="AA32" s="32">
        <v>0</v>
      </c>
      <c r="AB32" s="55"/>
      <c r="AC32" s="42"/>
      <c r="AD32" s="46">
        <f t="shared" si="24"/>
        <v>0</v>
      </c>
      <c r="AE32" s="47">
        <f t="shared" si="25"/>
        <v>0</v>
      </c>
      <c r="AF32" s="46"/>
      <c r="AG32" s="48">
        <f t="shared" si="26"/>
        <v>0</v>
      </c>
      <c r="AH32" s="49">
        <f t="shared" si="27"/>
        <v>567</v>
      </c>
      <c r="AI32" s="49">
        <f t="shared" si="28"/>
        <v>0</v>
      </c>
      <c r="AJ32" s="49">
        <f t="shared" si="29"/>
        <v>0</v>
      </c>
      <c r="AK32" s="49">
        <f t="shared" si="30"/>
        <v>0</v>
      </c>
      <c r="AL32" s="49">
        <f t="array" ref="AL32">_xlfn.IFS(R32=0,AE32,R32&lt;0,AE32/-R32,R32&gt;0,AE32/R32)</f>
        <v>0</v>
      </c>
      <c r="AM32" s="50">
        <f t="shared" si="31"/>
        <v>0</v>
      </c>
      <c r="AN32" s="51">
        <f t="shared" si="32"/>
        <v>0</v>
      </c>
      <c r="AP32" s="53">
        <f t="shared" si="33"/>
        <v>0</v>
      </c>
    </row>
    <row r="33" spans="1:42">
      <c r="A33" s="30">
        <v>2774719022</v>
      </c>
      <c r="B33" s="31" t="s">
        <v>66</v>
      </c>
      <c r="C33" s="32">
        <v>14</v>
      </c>
      <c r="D33" s="33"/>
      <c r="E33" s="33"/>
      <c r="F33" s="33"/>
      <c r="G33" s="34"/>
      <c r="H33" s="84">
        <v>657</v>
      </c>
      <c r="I33" s="54">
        <f t="shared" si="20"/>
        <v>9198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12-18.01'!H:H,'Отчет 12-18.01'!D:D,"Выручка",'Отчет 12-18.01'!E:E,B33)</f>
        <v>0</v>
      </c>
      <c r="Q33" s="39">
        <f>SUMIFS('Отчет 12-18.01'!H:H,'Отчет 12-18.01'!D:D,"Возврат выручки",'Отчет 12-18.01'!E:E,B33)</f>
        <v>0</v>
      </c>
      <c r="R33" s="40">
        <f t="shared" si="23"/>
        <v>0</v>
      </c>
      <c r="S33" s="41">
        <f>SUMIFS('Отчет 12-18.01'!P:P,'Отчет 12-18.01'!C:C,"Продажи",'Отчет 12-18.01'!E:E,B33)</f>
        <v>0</v>
      </c>
      <c r="T33" s="42">
        <f>SUMIFS('Отчет 12-18.01'!P:P,'Отчет 12-18.01'!C:C,"Возвраты",'Отчет 12-18.01'!E:E,B33)</f>
        <v>0</v>
      </c>
      <c r="U33" s="40">
        <f t="shared" si="34"/>
        <v>0</v>
      </c>
      <c r="V33" s="43">
        <f t="shared" si="35"/>
        <v>0</v>
      </c>
      <c r="W33" s="44">
        <f t="shared" si="36"/>
        <v>0</v>
      </c>
      <c r="X33" s="42">
        <f>-SUMIFS('Отчет 12-18.01'!P:P,'Отчет 12-18.01'!C:C,"Вознаграждение Ozon",'Отчет 12-18.01'!E:E,B33)</f>
        <v>0</v>
      </c>
      <c r="Y33" s="45">
        <f t="shared" si="37"/>
        <v>0</v>
      </c>
      <c r="Z33" s="42">
        <f>-SUMIFS('Отчет 12-18.01'!P:P,'Отчет 12-18.01'!C:C,"Услуги доставки",'Отчет 12-18.01'!E:E,B33)</f>
        <v>0</v>
      </c>
      <c r="AA33" s="32">
        <v>0</v>
      </c>
      <c r="AB33" s="55"/>
      <c r="AC33" s="42"/>
      <c r="AD33" s="46">
        <f t="shared" si="24"/>
        <v>0</v>
      </c>
      <c r="AE33" s="47">
        <f t="shared" si="25"/>
        <v>0</v>
      </c>
      <c r="AF33" s="46"/>
      <c r="AG33" s="48">
        <f t="shared" si="26"/>
        <v>0</v>
      </c>
      <c r="AH33" s="49">
        <f t="shared" si="27"/>
        <v>657</v>
      </c>
      <c r="AI33" s="49">
        <f t="shared" si="28"/>
        <v>0</v>
      </c>
      <c r="AJ33" s="49">
        <f t="shared" si="29"/>
        <v>0</v>
      </c>
      <c r="AK33" s="49">
        <f t="shared" si="30"/>
        <v>0</v>
      </c>
      <c r="AL33" s="49">
        <f t="array" ref="AL33">_xlfn.IFS(R33=0,AE33,R33&lt;0,AE33/-R33,R33&gt;0,AE33/R33)</f>
        <v>0</v>
      </c>
      <c r="AM33" s="50">
        <f t="shared" si="31"/>
        <v>0</v>
      </c>
      <c r="AN33" s="51">
        <f t="shared" si="32"/>
        <v>0</v>
      </c>
      <c r="AP33" s="53">
        <f t="shared" si="33"/>
        <v>0</v>
      </c>
    </row>
    <row r="34" spans="1:42">
      <c r="A34" s="30">
        <v>2774719501</v>
      </c>
      <c r="B34" s="31" t="s">
        <v>67</v>
      </c>
      <c r="C34" s="32">
        <v>17</v>
      </c>
      <c r="D34" s="33"/>
      <c r="E34" s="33"/>
      <c r="F34" s="33"/>
      <c r="G34" s="34"/>
      <c r="H34" s="84">
        <v>597</v>
      </c>
      <c r="I34" s="54">
        <f t="shared" si="20"/>
        <v>10149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12-18.01'!H:H,'Отчет 12-18.01'!D:D,"Выручка",'Отчет 12-18.01'!E:E,B34)</f>
        <v>0</v>
      </c>
      <c r="Q34" s="39">
        <f>SUMIFS('Отчет 12-18.01'!H:H,'Отчет 12-18.01'!D:D,"Возврат выручки",'Отчет 12-18.01'!E:E,B34)</f>
        <v>0</v>
      </c>
      <c r="R34" s="40">
        <f t="shared" si="23"/>
        <v>0</v>
      </c>
      <c r="S34" s="41">
        <f>SUMIFS('Отчет 12-18.01'!P:P,'Отчет 12-18.01'!C:C,"Продажи",'Отчет 12-18.01'!E:E,B34)</f>
        <v>0</v>
      </c>
      <c r="T34" s="42">
        <f>SUMIFS('Отчет 12-18.01'!P:P,'Отчет 12-18.01'!C:C,"Возвраты",'Отчет 12-18.01'!E:E,B34)</f>
        <v>0</v>
      </c>
      <c r="U34" s="40">
        <f t="shared" si="34"/>
        <v>0</v>
      </c>
      <c r="V34" s="43">
        <f t="shared" si="35"/>
        <v>0</v>
      </c>
      <c r="W34" s="44">
        <f t="shared" si="36"/>
        <v>0</v>
      </c>
      <c r="X34" s="42">
        <f>-SUMIFS('Отчет 12-18.01'!P:P,'Отчет 12-18.01'!C:C,"Вознаграждение Ozon",'Отчет 12-18.01'!E:E,B34)</f>
        <v>0</v>
      </c>
      <c r="Y34" s="45">
        <f t="shared" si="37"/>
        <v>0</v>
      </c>
      <c r="Z34" s="42">
        <f>-SUMIFS('Отчет 12-18.01'!P:P,'Отчет 12-18.01'!C:C,"Услуги доставки",'Отчет 12-18.01'!E:E,B34)</f>
        <v>0</v>
      </c>
      <c r="AA34" s="32">
        <v>0</v>
      </c>
      <c r="AB34" s="55"/>
      <c r="AC34" s="42"/>
      <c r="AD34" s="46">
        <f t="shared" si="24"/>
        <v>0</v>
      </c>
      <c r="AE34" s="47">
        <f t="shared" si="25"/>
        <v>0</v>
      </c>
      <c r="AF34" s="46"/>
      <c r="AG34" s="48">
        <f t="shared" si="26"/>
        <v>0</v>
      </c>
      <c r="AH34" s="49">
        <f t="shared" si="27"/>
        <v>597</v>
      </c>
      <c r="AI34" s="49">
        <f t="shared" si="28"/>
        <v>0</v>
      </c>
      <c r="AJ34" s="49">
        <f t="shared" si="29"/>
        <v>0</v>
      </c>
      <c r="AK34" s="49">
        <f t="shared" si="30"/>
        <v>0</v>
      </c>
      <c r="AL34" s="49">
        <f t="array" ref="AL34">_xlfn.IFS(R34=0,AE34,R34&lt;0,AE34/-R34,R34&gt;0,AE34/R34)</f>
        <v>0</v>
      </c>
      <c r="AM34" s="50">
        <f t="shared" si="31"/>
        <v>0</v>
      </c>
      <c r="AN34" s="51">
        <f t="shared" si="32"/>
        <v>0</v>
      </c>
      <c r="AP34" s="53">
        <f t="shared" si="33"/>
        <v>0</v>
      </c>
    </row>
    <row r="35" spans="1:42">
      <c r="A35" s="30">
        <v>2774714412</v>
      </c>
      <c r="B35" s="31" t="s">
        <v>68</v>
      </c>
      <c r="C35" s="32">
        <v>17</v>
      </c>
      <c r="D35" s="33"/>
      <c r="E35" s="33"/>
      <c r="F35" s="33"/>
      <c r="G35" s="34"/>
      <c r="H35" s="84">
        <v>552</v>
      </c>
      <c r="I35" s="54">
        <f t="shared" si="20"/>
        <v>9384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12-18.01'!H:H,'Отчет 12-18.01'!D:D,"Выручка",'Отчет 12-18.01'!E:E,B35)</f>
        <v>0</v>
      </c>
      <c r="Q35" s="39">
        <f>SUMIFS('Отчет 12-18.01'!H:H,'Отчет 12-18.01'!D:D,"Возврат выручки",'Отчет 12-18.01'!E:E,B35)</f>
        <v>0</v>
      </c>
      <c r="R35" s="40">
        <f t="shared" si="23"/>
        <v>0</v>
      </c>
      <c r="S35" s="41">
        <f>SUMIFS('Отчет 12-18.01'!P:P,'Отчет 12-18.01'!C:C,"Продажи",'Отчет 12-18.01'!E:E,B35)</f>
        <v>0</v>
      </c>
      <c r="T35" s="42">
        <f>SUMIFS('Отчет 12-18.01'!P:P,'Отчет 12-18.01'!C:C,"Возвраты",'Отчет 12-18.01'!E:E,B35)</f>
        <v>0</v>
      </c>
      <c r="U35" s="40">
        <f t="shared" si="34"/>
        <v>0</v>
      </c>
      <c r="V35" s="43">
        <f t="shared" si="35"/>
        <v>0</v>
      </c>
      <c r="W35" s="44">
        <f t="shared" si="36"/>
        <v>0</v>
      </c>
      <c r="X35" s="42">
        <f>-SUMIFS('Отчет 12-18.01'!P:P,'Отчет 12-18.01'!C:C,"Вознаграждение Ozon",'Отчет 12-18.01'!E:E,B35)</f>
        <v>0</v>
      </c>
      <c r="Y35" s="45">
        <f t="shared" si="37"/>
        <v>0</v>
      </c>
      <c r="Z35" s="42">
        <f>-SUMIFS('Отчет 12-18.01'!P:P,'Отчет 12-18.01'!C:C,"Услуги доставки",'Отчет 12-18.01'!E:E,B35)</f>
        <v>0</v>
      </c>
      <c r="AA35" s="32">
        <v>0</v>
      </c>
      <c r="AB35" s="55"/>
      <c r="AC35" s="42"/>
      <c r="AD35" s="46">
        <f t="shared" si="24"/>
        <v>0</v>
      </c>
      <c r="AE35" s="47">
        <f t="shared" si="25"/>
        <v>0</v>
      </c>
      <c r="AF35" s="46"/>
      <c r="AG35" s="48">
        <f t="shared" si="26"/>
        <v>0</v>
      </c>
      <c r="AH35" s="49">
        <f t="shared" si="27"/>
        <v>552</v>
      </c>
      <c r="AI35" s="49">
        <f t="shared" si="28"/>
        <v>0</v>
      </c>
      <c r="AJ35" s="49">
        <f t="shared" si="29"/>
        <v>0</v>
      </c>
      <c r="AK35" s="49">
        <f t="shared" si="30"/>
        <v>0</v>
      </c>
      <c r="AL35" s="49">
        <f t="array" ref="AL35">_xlfn.IFS(R35=0,AE35,R35&lt;0,AE35/-R35,R35&gt;0,AE35/R35)</f>
        <v>0</v>
      </c>
      <c r="AM35" s="50">
        <f t="shared" si="31"/>
        <v>0</v>
      </c>
      <c r="AN35" s="51">
        <f t="shared" si="32"/>
        <v>0</v>
      </c>
      <c r="AP35" s="53">
        <f t="shared" si="33"/>
        <v>0</v>
      </c>
    </row>
    <row r="36" spans="1:42">
      <c r="A36" s="30">
        <v>2774710430</v>
      </c>
      <c r="B36" s="31" t="s">
        <v>69</v>
      </c>
      <c r="C36" s="32">
        <v>17</v>
      </c>
      <c r="D36" s="33"/>
      <c r="E36" s="33"/>
      <c r="F36" s="33"/>
      <c r="G36" s="34"/>
      <c r="H36" s="84">
        <v>552</v>
      </c>
      <c r="I36" s="54">
        <f t="shared" si="20"/>
        <v>9384</v>
      </c>
      <c r="J36" s="36"/>
      <c r="K36" s="32">
        <v>0</v>
      </c>
      <c r="L36" s="36"/>
      <c r="M36" s="36"/>
      <c r="N36" s="37">
        <f t="shared" si="21"/>
        <v>0</v>
      </c>
      <c r="O36" s="38">
        <f t="shared" si="22"/>
        <v>0</v>
      </c>
      <c r="P36" s="39">
        <f>SUMIFS('Отчет 12-18.01'!H:H,'Отчет 12-18.01'!D:D,"Выручка",'Отчет 12-18.01'!E:E,B36)</f>
        <v>0</v>
      </c>
      <c r="Q36" s="39">
        <f>SUMIFS('Отчет 12-18.01'!H:H,'Отчет 12-18.01'!D:D,"Возврат выручки",'Отчет 12-18.01'!E:E,B36)</f>
        <v>0</v>
      </c>
      <c r="R36" s="40">
        <f t="shared" si="23"/>
        <v>0</v>
      </c>
      <c r="S36" s="41">
        <f>SUMIFS('Отчет 12-18.01'!P:P,'Отчет 12-18.01'!C:C,"Продажи",'Отчет 12-18.01'!E:E,B36)</f>
        <v>0</v>
      </c>
      <c r="T36" s="42">
        <f>SUMIFS('Отчет 12-18.01'!P:P,'Отчет 12-18.01'!C:C,"Возвраты",'Отчет 12-18.01'!E:E,B36)</f>
        <v>0</v>
      </c>
      <c r="U36" s="40">
        <f t="shared" si="34"/>
        <v>0</v>
      </c>
      <c r="V36" s="43">
        <f t="shared" si="35"/>
        <v>0</v>
      </c>
      <c r="W36" s="44">
        <f t="shared" si="36"/>
        <v>0</v>
      </c>
      <c r="X36" s="42">
        <f>-SUMIFS('Отчет 12-18.01'!P:P,'Отчет 12-18.01'!C:C,"Вознаграждение Ozon",'Отчет 12-18.01'!E:E,B36)</f>
        <v>0</v>
      </c>
      <c r="Y36" s="45">
        <f t="shared" si="37"/>
        <v>0</v>
      </c>
      <c r="Z36" s="42">
        <f>-SUMIFS('Отчет 12-18.01'!P:P,'Отчет 12-18.01'!C:C,"Услуги доставки",'Отчет 12-18.01'!E:E,B36)</f>
        <v>0</v>
      </c>
      <c r="AA36" s="32">
        <v>0</v>
      </c>
      <c r="AB36" s="55"/>
      <c r="AC36" s="42"/>
      <c r="AD36" s="46">
        <f t="shared" si="24"/>
        <v>0</v>
      </c>
      <c r="AE36" s="47">
        <f t="shared" si="25"/>
        <v>0</v>
      </c>
      <c r="AF36" s="46"/>
      <c r="AG36" s="48">
        <f t="shared" si="26"/>
        <v>0</v>
      </c>
      <c r="AH36" s="49">
        <f t="shared" si="27"/>
        <v>552</v>
      </c>
      <c r="AI36" s="49">
        <f t="shared" si="28"/>
        <v>0</v>
      </c>
      <c r="AJ36" s="49">
        <f t="shared" si="29"/>
        <v>0</v>
      </c>
      <c r="AK36" s="49">
        <f t="shared" si="30"/>
        <v>0</v>
      </c>
      <c r="AL36" s="49">
        <f t="array" ref="AL36">_xlfn.IFS(R36=0,AE36,R36&lt;0,AE36/-R36,R36&gt;0,AE36/R36)</f>
        <v>0</v>
      </c>
      <c r="AM36" s="50">
        <f t="shared" si="31"/>
        <v>0</v>
      </c>
      <c r="AN36" s="51">
        <f t="shared" si="32"/>
        <v>0</v>
      </c>
      <c r="AP36" s="53">
        <f t="shared" si="33"/>
        <v>0</v>
      </c>
    </row>
    <row r="37" spans="1:42">
      <c r="A37" s="30">
        <v>2774712116</v>
      </c>
      <c r="B37" s="31" t="s">
        <v>70</v>
      </c>
      <c r="C37" s="32">
        <v>13</v>
      </c>
      <c r="D37" s="33"/>
      <c r="E37" s="33"/>
      <c r="F37" s="33"/>
      <c r="G37" s="34"/>
      <c r="H37" s="84">
        <v>687</v>
      </c>
      <c r="I37" s="54">
        <f t="shared" si="20"/>
        <v>8931</v>
      </c>
      <c r="J37" s="36"/>
      <c r="K37" s="32">
        <v>2</v>
      </c>
      <c r="L37" s="36"/>
      <c r="M37" s="36"/>
      <c r="N37" s="37">
        <f t="shared" si="21"/>
        <v>0.2857142857142857</v>
      </c>
      <c r="O37" s="38">
        <f t="shared" si="22"/>
        <v>0</v>
      </c>
      <c r="P37" s="39">
        <f>SUMIFS('Отчет 12-18.01'!H:H,'Отчет 12-18.01'!D:D,"Выручка",'Отчет 12-18.01'!E:E,B37)</f>
        <v>0</v>
      </c>
      <c r="Q37" s="39">
        <f>SUMIFS('Отчет 12-18.01'!H:H,'Отчет 12-18.01'!D:D,"Возврат выручки",'Отчет 12-18.01'!E:E,B37)</f>
        <v>0</v>
      </c>
      <c r="R37" s="40">
        <f t="shared" si="23"/>
        <v>0</v>
      </c>
      <c r="S37" s="41">
        <f>SUMIFS('Отчет 12-18.01'!P:P,'Отчет 12-18.01'!C:C,"Продажи",'Отчет 12-18.01'!E:E,B37)</f>
        <v>0</v>
      </c>
      <c r="T37" s="42">
        <f>SUMIFS('Отчет 12-18.01'!P:P,'Отчет 12-18.01'!C:C,"Возвраты",'Отчет 12-18.01'!E:E,B37)</f>
        <v>0</v>
      </c>
      <c r="U37" s="40">
        <f t="shared" si="34"/>
        <v>0</v>
      </c>
      <c r="V37" s="43">
        <f t="shared" si="35"/>
        <v>0</v>
      </c>
      <c r="W37" s="44">
        <f t="shared" si="36"/>
        <v>0</v>
      </c>
      <c r="X37" s="42">
        <f>-SUMIFS('Отчет 12-18.01'!P:P,'Отчет 12-18.01'!C:C,"Вознаграждение Ozon",'Отчет 12-18.01'!E:E,B37)</f>
        <v>0</v>
      </c>
      <c r="Y37" s="45">
        <f t="shared" si="37"/>
        <v>0</v>
      </c>
      <c r="Z37" s="42">
        <f>-SUMIFS('Отчет 12-18.01'!P:P,'Отчет 12-18.01'!C:C,"Услуги доставки",'Отчет 12-18.01'!E:E,B37)</f>
        <v>0</v>
      </c>
      <c r="AA37" s="32">
        <v>0</v>
      </c>
      <c r="AB37" s="55"/>
      <c r="AC37" s="42"/>
      <c r="AD37" s="46">
        <f t="shared" si="24"/>
        <v>0</v>
      </c>
      <c r="AE37" s="47">
        <f t="shared" si="25"/>
        <v>0</v>
      </c>
      <c r="AF37" s="46"/>
      <c r="AG37" s="48">
        <f t="shared" si="26"/>
        <v>0</v>
      </c>
      <c r="AH37" s="49">
        <f t="shared" si="27"/>
        <v>687</v>
      </c>
      <c r="AI37" s="49">
        <f t="shared" si="28"/>
        <v>0</v>
      </c>
      <c r="AJ37" s="49">
        <f t="shared" si="29"/>
        <v>0</v>
      </c>
      <c r="AK37" s="49">
        <f t="shared" si="30"/>
        <v>0</v>
      </c>
      <c r="AL37" s="49">
        <f t="array" ref="AL37">_xlfn.IFS(R37=0,AE37,R37&lt;0,AE37/-R37,R37&gt;0,AE37/R37)</f>
        <v>0</v>
      </c>
      <c r="AM37" s="50">
        <f t="shared" si="31"/>
        <v>0</v>
      </c>
      <c r="AN37" s="51">
        <f t="shared" si="32"/>
        <v>0</v>
      </c>
      <c r="AP37" s="53">
        <f t="shared" si="33"/>
        <v>0</v>
      </c>
    </row>
    <row r="38" spans="1:42">
      <c r="A38" s="30">
        <v>2774719012</v>
      </c>
      <c r="B38" s="31" t="s">
        <v>71</v>
      </c>
      <c r="C38" s="32">
        <v>5</v>
      </c>
      <c r="D38" s="33"/>
      <c r="E38" s="33"/>
      <c r="F38" s="33"/>
      <c r="G38" s="34"/>
      <c r="H38" s="84">
        <v>687</v>
      </c>
      <c r="I38" s="54">
        <f t="shared" si="20"/>
        <v>3435</v>
      </c>
      <c r="J38" s="36"/>
      <c r="K38" s="32">
        <v>1</v>
      </c>
      <c r="L38" s="36"/>
      <c r="M38" s="36"/>
      <c r="N38" s="37">
        <f t="shared" si="21"/>
        <v>0.14285714285714285</v>
      </c>
      <c r="O38" s="38">
        <f t="shared" si="22"/>
        <v>0.14285714285714285</v>
      </c>
      <c r="P38" s="39">
        <f>SUMIFS('Отчет 12-18.01'!H:H,'Отчет 12-18.01'!D:D,"Выручка",'Отчет 12-18.01'!E:E,B38)</f>
        <v>1</v>
      </c>
      <c r="Q38" s="39">
        <f>SUMIFS('Отчет 12-18.01'!H:H,'Отчет 12-18.01'!D:D,"Возврат выручки",'Отчет 12-18.01'!E:E,B38)</f>
        <v>0</v>
      </c>
      <c r="R38" s="40">
        <f t="shared" si="23"/>
        <v>1</v>
      </c>
      <c r="S38" s="41">
        <f>SUMIFS('Отчет 12-18.01'!P:P,'Отчет 12-18.01'!C:C,"Продажи",'Отчет 12-18.01'!E:E,B38)</f>
        <v>3546</v>
      </c>
      <c r="T38" s="42">
        <f>SUMIFS('Отчет 12-18.01'!P:P,'Отчет 12-18.01'!C:C,"Возвраты",'Отчет 12-18.01'!E:E,B38)</f>
        <v>0</v>
      </c>
      <c r="U38" s="40">
        <f t="shared" si="34"/>
        <v>3546</v>
      </c>
      <c r="V38" s="43">
        <f t="shared" si="35"/>
        <v>0.16869647954329212</v>
      </c>
      <c r="W38" s="44">
        <f t="shared" si="36"/>
        <v>687</v>
      </c>
      <c r="X38" s="42">
        <f>-SUMIFS('Отчет 12-18.01'!P:P,'Отчет 12-18.01'!C:C,"Вознаграждение Ozon",'Отчет 12-18.01'!E:E,B38)</f>
        <v>1524.78</v>
      </c>
      <c r="Y38" s="45">
        <f t="shared" si="37"/>
        <v>0.43</v>
      </c>
      <c r="Z38" s="42">
        <f>-SUMIFS('Отчет 12-18.01'!P:P,'Отчет 12-18.01'!C:C,"Услуги доставки",'Отчет 12-18.01'!E:E,B38)</f>
        <v>204.51</v>
      </c>
      <c r="AA38" s="32">
        <v>0</v>
      </c>
      <c r="AB38" s="55"/>
      <c r="AC38" s="42"/>
      <c r="AD38" s="46">
        <f t="shared" si="24"/>
        <v>35.46</v>
      </c>
      <c r="AE38" s="47">
        <f t="shared" si="25"/>
        <v>1094.25</v>
      </c>
      <c r="AF38" s="46"/>
      <c r="AG38" s="48">
        <f t="shared" si="26"/>
        <v>3546</v>
      </c>
      <c r="AH38" s="49">
        <f t="shared" si="27"/>
        <v>687</v>
      </c>
      <c r="AI38" s="49">
        <f t="shared" si="28"/>
        <v>1524.78</v>
      </c>
      <c r="AJ38" s="49">
        <f t="shared" si="29"/>
        <v>204.51</v>
      </c>
      <c r="AK38" s="49">
        <f t="shared" si="30"/>
        <v>0</v>
      </c>
      <c r="AL38" s="49">
        <f t="array" ref="AL38">_xlfn.IFS(R38=0,AE38,R38&lt;0,AE38/-R38,R38&gt;0,AE38/R38)</f>
        <v>1094.25</v>
      </c>
      <c r="AM38" s="50">
        <f t="shared" si="31"/>
        <v>0.30858714043993229</v>
      </c>
      <c r="AN38" s="51">
        <f t="shared" si="32"/>
        <v>1.5927947598253276</v>
      </c>
      <c r="AP38" s="53">
        <f t="shared" si="33"/>
        <v>5471.25</v>
      </c>
    </row>
    <row r="39" spans="1:42">
      <c r="A39" s="30">
        <v>2774719433</v>
      </c>
      <c r="B39" s="31" t="s">
        <v>72</v>
      </c>
      <c r="C39" s="32">
        <v>16</v>
      </c>
      <c r="D39" s="33"/>
      <c r="E39" s="33"/>
      <c r="F39" s="33"/>
      <c r="G39" s="34"/>
      <c r="H39" s="84">
        <v>597</v>
      </c>
      <c r="I39" s="54">
        <f t="shared" si="20"/>
        <v>9552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12-18.01'!H:H,'Отчет 12-18.01'!D:D,"Выручка",'Отчет 12-18.01'!E:E,B39)</f>
        <v>0</v>
      </c>
      <c r="Q39" s="39">
        <f>SUMIFS('Отчет 12-18.01'!H:H,'Отчет 12-18.01'!D:D,"Возврат выручки",'Отчет 12-18.01'!E:E,B39)</f>
        <v>0</v>
      </c>
      <c r="R39" s="40">
        <f t="shared" si="23"/>
        <v>0</v>
      </c>
      <c r="S39" s="41">
        <f>SUMIFS('Отчет 12-18.01'!P:P,'Отчет 12-18.01'!C:C,"Продажи",'Отчет 12-18.01'!E:E,B39)</f>
        <v>0</v>
      </c>
      <c r="T39" s="42">
        <f>SUMIFS('Отчет 12-18.01'!P:P,'Отчет 12-18.01'!C:C,"Возвраты",'Отчет 12-18.01'!E:E,B39)</f>
        <v>0</v>
      </c>
      <c r="U39" s="40">
        <f t="shared" si="34"/>
        <v>0</v>
      </c>
      <c r="V39" s="43">
        <f t="shared" si="35"/>
        <v>0</v>
      </c>
      <c r="W39" s="44">
        <f t="shared" si="36"/>
        <v>0</v>
      </c>
      <c r="X39" s="42">
        <f>-SUMIFS('Отчет 12-18.01'!P:P,'Отчет 12-18.01'!C:C,"Вознаграждение Ozon",'Отчет 12-18.01'!E:E,B39)</f>
        <v>0</v>
      </c>
      <c r="Y39" s="45">
        <f t="shared" si="37"/>
        <v>0</v>
      </c>
      <c r="Z39" s="42">
        <f>-SUMIFS('Отчет 12-18.01'!P:P,'Отчет 12-18.01'!C:C,"Услуги доставки",'Отчет 12-18.01'!E:E,B39)</f>
        <v>0</v>
      </c>
      <c r="AA39" s="32">
        <v>0</v>
      </c>
      <c r="AB39" s="55"/>
      <c r="AC39" s="42"/>
      <c r="AD39" s="46">
        <f t="shared" si="24"/>
        <v>0</v>
      </c>
      <c r="AE39" s="47">
        <f t="shared" si="25"/>
        <v>0</v>
      </c>
      <c r="AF39" s="46"/>
      <c r="AG39" s="48">
        <f t="shared" si="26"/>
        <v>0</v>
      </c>
      <c r="AH39" s="49">
        <f t="shared" si="27"/>
        <v>597</v>
      </c>
      <c r="AI39" s="49">
        <f t="shared" si="28"/>
        <v>0</v>
      </c>
      <c r="AJ39" s="49">
        <f t="shared" si="29"/>
        <v>0</v>
      </c>
      <c r="AK39" s="49">
        <f t="shared" si="30"/>
        <v>0</v>
      </c>
      <c r="AL39" s="49">
        <f t="array" ref="AL39">_xlfn.IFS(R39=0,AE39,R39&lt;0,AE39/-R39,R39&gt;0,AE39/R39)</f>
        <v>0</v>
      </c>
      <c r="AM39" s="50">
        <f t="shared" si="31"/>
        <v>0</v>
      </c>
      <c r="AN39" s="51">
        <f t="shared" si="32"/>
        <v>0</v>
      </c>
      <c r="AP39" s="53">
        <f t="shared" si="33"/>
        <v>0</v>
      </c>
    </row>
    <row r="40" spans="1:42">
      <c r="A40" s="30">
        <v>2774719029</v>
      </c>
      <c r="B40" s="31" t="s">
        <v>73</v>
      </c>
      <c r="C40" s="32">
        <v>18</v>
      </c>
      <c r="D40" s="33"/>
      <c r="E40" s="33"/>
      <c r="F40" s="33"/>
      <c r="G40" s="34"/>
      <c r="H40" s="84">
        <v>597</v>
      </c>
      <c r="I40" s="54">
        <f t="shared" si="20"/>
        <v>10746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12-18.01'!H:H,'Отчет 12-18.01'!D:D,"Выручка",'Отчет 12-18.01'!E:E,B40)</f>
        <v>0</v>
      </c>
      <c r="Q40" s="39">
        <f>SUMIFS('Отчет 12-18.01'!H:H,'Отчет 12-18.01'!D:D,"Возврат выручки",'Отчет 12-18.01'!E:E,B40)</f>
        <v>0</v>
      </c>
      <c r="R40" s="40">
        <f t="shared" si="23"/>
        <v>0</v>
      </c>
      <c r="S40" s="41">
        <f>SUMIFS('Отчет 12-18.01'!P:P,'Отчет 12-18.01'!C:C,"Продажи",'Отчет 12-18.01'!E:E,B40)</f>
        <v>0</v>
      </c>
      <c r="T40" s="42">
        <f>SUMIFS('Отчет 12-18.01'!P:P,'Отчет 12-18.01'!C:C,"Возвраты",'Отчет 12-18.01'!E:E,B40)</f>
        <v>0</v>
      </c>
      <c r="U40" s="40">
        <f t="shared" si="34"/>
        <v>0</v>
      </c>
      <c r="V40" s="43">
        <f t="shared" si="35"/>
        <v>0</v>
      </c>
      <c r="W40" s="44">
        <f t="shared" si="36"/>
        <v>0</v>
      </c>
      <c r="X40" s="42">
        <f>-SUMIFS('Отчет 12-18.01'!P:P,'Отчет 12-18.01'!C:C,"Вознаграждение Ozon",'Отчет 12-18.01'!E:E,B40)</f>
        <v>0</v>
      </c>
      <c r="Y40" s="45">
        <f t="shared" si="37"/>
        <v>0</v>
      </c>
      <c r="Z40" s="42">
        <f>-SUMIFS('Отчет 12-18.01'!P:P,'Отчет 12-18.01'!C:C,"Услуги доставки",'Отчет 12-18.01'!E:E,B40)</f>
        <v>0</v>
      </c>
      <c r="AA40" s="32">
        <v>0</v>
      </c>
      <c r="AB40" s="55"/>
      <c r="AC40" s="42"/>
      <c r="AD40" s="46">
        <f t="shared" si="24"/>
        <v>0</v>
      </c>
      <c r="AE40" s="47">
        <f t="shared" si="25"/>
        <v>0</v>
      </c>
      <c r="AF40" s="46"/>
      <c r="AG40" s="48">
        <f t="shared" si="26"/>
        <v>0</v>
      </c>
      <c r="AH40" s="49">
        <f t="shared" si="27"/>
        <v>597</v>
      </c>
      <c r="AI40" s="49">
        <f t="shared" si="28"/>
        <v>0</v>
      </c>
      <c r="AJ40" s="49">
        <f t="shared" si="29"/>
        <v>0</v>
      </c>
      <c r="AK40" s="49">
        <f t="shared" si="30"/>
        <v>0</v>
      </c>
      <c r="AL40" s="49">
        <f t="array" ref="AL40">_xlfn.IFS(R40=0,AE40,R40&lt;0,AE40/-R40,R40&gt;0,AE40/R40)</f>
        <v>0</v>
      </c>
      <c r="AM40" s="50">
        <f t="shared" si="31"/>
        <v>0</v>
      </c>
      <c r="AN40" s="51">
        <f t="shared" si="32"/>
        <v>0</v>
      </c>
      <c r="AP40" s="53">
        <f t="shared" si="33"/>
        <v>0</v>
      </c>
    </row>
    <row r="41" spans="1:42">
      <c r="A41" s="30">
        <v>2774719553</v>
      </c>
      <c r="B41" s="31" t="s">
        <v>74</v>
      </c>
      <c r="C41" s="32">
        <v>18</v>
      </c>
      <c r="D41" s="33"/>
      <c r="E41" s="33"/>
      <c r="F41" s="33"/>
      <c r="G41" s="34"/>
      <c r="H41" s="84">
        <v>597</v>
      </c>
      <c r="I41" s="54">
        <f t="shared" si="20"/>
        <v>10746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12-18.01'!H:H,'Отчет 12-18.01'!D:D,"Выручка",'Отчет 12-18.01'!E:E,B41)</f>
        <v>0</v>
      </c>
      <c r="Q41" s="39">
        <f>SUMIFS('Отчет 12-18.01'!H:H,'Отчет 12-18.01'!D:D,"Возврат выручки",'Отчет 12-18.01'!E:E,B41)</f>
        <v>0</v>
      </c>
      <c r="R41" s="40">
        <f t="shared" si="23"/>
        <v>0</v>
      </c>
      <c r="S41" s="41">
        <f>SUMIFS('Отчет 12-18.01'!P:P,'Отчет 12-18.01'!C:C,"Продажи",'Отчет 12-18.01'!E:E,B41)</f>
        <v>0</v>
      </c>
      <c r="T41" s="42">
        <f>SUMIFS('Отчет 12-18.01'!P:P,'Отчет 12-18.01'!C:C,"Возвраты",'Отчет 12-18.01'!E:E,B41)</f>
        <v>0</v>
      </c>
      <c r="U41" s="40">
        <f t="shared" si="34"/>
        <v>0</v>
      </c>
      <c r="V41" s="43">
        <f t="shared" si="35"/>
        <v>0</v>
      </c>
      <c r="W41" s="44">
        <f t="shared" si="36"/>
        <v>0</v>
      </c>
      <c r="X41" s="42">
        <f>-SUMIFS('Отчет 12-18.01'!P:P,'Отчет 12-18.01'!C:C,"Вознаграждение Ozon",'Отчет 12-18.01'!E:E,B41)</f>
        <v>0</v>
      </c>
      <c r="Y41" s="45">
        <f t="shared" si="37"/>
        <v>0</v>
      </c>
      <c r="Z41" s="42">
        <f>-SUMIFS('Отчет 12-18.01'!P:P,'Отчет 12-18.01'!C:C,"Услуги доставки",'Отчет 12-18.01'!E:E,B41)</f>
        <v>0</v>
      </c>
      <c r="AA41" s="32">
        <v>0</v>
      </c>
      <c r="AB41" s="55"/>
      <c r="AC41" s="42"/>
      <c r="AD41" s="46">
        <f t="shared" si="24"/>
        <v>0</v>
      </c>
      <c r="AE41" s="47">
        <f t="shared" si="25"/>
        <v>0</v>
      </c>
      <c r="AF41" s="46"/>
      <c r="AG41" s="48">
        <f t="shared" si="26"/>
        <v>0</v>
      </c>
      <c r="AH41" s="49">
        <f t="shared" si="27"/>
        <v>597</v>
      </c>
      <c r="AI41" s="49">
        <f t="shared" si="28"/>
        <v>0</v>
      </c>
      <c r="AJ41" s="49">
        <f t="shared" si="29"/>
        <v>0</v>
      </c>
      <c r="AK41" s="49">
        <f t="shared" si="30"/>
        <v>0</v>
      </c>
      <c r="AL41" s="49">
        <f t="array" ref="AL41">_xlfn.IFS(R41=0,AE41,R41&lt;0,AE41/-R41,R41&gt;0,AE41/R41)</f>
        <v>0</v>
      </c>
      <c r="AM41" s="50">
        <f t="shared" si="31"/>
        <v>0</v>
      </c>
      <c r="AN41" s="51">
        <f t="shared" si="32"/>
        <v>0</v>
      </c>
      <c r="AP41" s="53">
        <f t="shared" si="33"/>
        <v>0</v>
      </c>
    </row>
    <row r="42" spans="1:42">
      <c r="A42" s="30">
        <v>2774710913</v>
      </c>
      <c r="B42" s="31" t="s">
        <v>75</v>
      </c>
      <c r="C42" s="32">
        <v>18</v>
      </c>
      <c r="D42" s="33"/>
      <c r="E42" s="33"/>
      <c r="F42" s="33"/>
      <c r="G42" s="34"/>
      <c r="H42" s="84">
        <v>642</v>
      </c>
      <c r="I42" s="54">
        <f t="shared" si="20"/>
        <v>11556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</v>
      </c>
      <c r="P42" s="39">
        <f>SUMIFS('Отчет 12-18.01'!H:H,'Отчет 12-18.01'!D:D,"Выручка",'Отчет 12-18.01'!E:E,B42)</f>
        <v>0</v>
      </c>
      <c r="Q42" s="39">
        <f>SUMIFS('Отчет 12-18.01'!H:H,'Отчет 12-18.01'!D:D,"Возврат выручки",'Отчет 12-18.01'!E:E,B42)</f>
        <v>0</v>
      </c>
      <c r="R42" s="40">
        <f t="shared" si="23"/>
        <v>0</v>
      </c>
      <c r="S42" s="41">
        <f>SUMIFS('Отчет 12-18.01'!P:P,'Отчет 12-18.01'!C:C,"Продажи",'Отчет 12-18.01'!E:E,B42)</f>
        <v>0</v>
      </c>
      <c r="T42" s="42">
        <f>SUMIFS('Отчет 12-18.01'!P:P,'Отчет 12-18.01'!C:C,"Возвраты",'Отчет 12-18.01'!E:E,B42)</f>
        <v>0</v>
      </c>
      <c r="U42" s="40">
        <f t="shared" si="34"/>
        <v>0</v>
      </c>
      <c r="V42" s="43">
        <f t="shared" si="35"/>
        <v>0</v>
      </c>
      <c r="W42" s="44">
        <f t="shared" si="36"/>
        <v>0</v>
      </c>
      <c r="X42" s="42">
        <f>-SUMIFS('Отчет 12-18.01'!P:P,'Отчет 12-18.01'!C:C,"Вознаграждение Ozon",'Отчет 12-18.01'!E:E,B42)</f>
        <v>0</v>
      </c>
      <c r="Y42" s="45">
        <f t="shared" si="37"/>
        <v>0</v>
      </c>
      <c r="Z42" s="42">
        <f>-SUMIFS('Отчет 12-18.01'!P:P,'Отчет 12-18.01'!C:C,"Услуги доставки",'Отчет 12-18.01'!E:E,B42)</f>
        <v>0</v>
      </c>
      <c r="AA42" s="32">
        <v>0</v>
      </c>
      <c r="AB42" s="55"/>
      <c r="AC42" s="42"/>
      <c r="AD42" s="46">
        <f t="shared" si="24"/>
        <v>0</v>
      </c>
      <c r="AE42" s="47">
        <f t="shared" si="25"/>
        <v>0</v>
      </c>
      <c r="AF42" s="46"/>
      <c r="AG42" s="48">
        <f t="shared" si="26"/>
        <v>0</v>
      </c>
      <c r="AH42" s="49">
        <f t="shared" si="27"/>
        <v>642</v>
      </c>
      <c r="AI42" s="49">
        <f t="shared" si="28"/>
        <v>0</v>
      </c>
      <c r="AJ42" s="49">
        <f t="shared" si="29"/>
        <v>0</v>
      </c>
      <c r="AK42" s="49">
        <f t="shared" si="30"/>
        <v>0</v>
      </c>
      <c r="AL42" s="49">
        <f t="array" ref="AL42">_xlfn.IFS(R42=0,AE42,R42&lt;0,AE42/-R42,R42&gt;0,AE42/R42)</f>
        <v>0</v>
      </c>
      <c r="AM42" s="50">
        <f t="shared" si="31"/>
        <v>0</v>
      </c>
      <c r="AN42" s="51">
        <f t="shared" si="32"/>
        <v>0</v>
      </c>
      <c r="AP42" s="53">
        <f t="shared" si="33"/>
        <v>0</v>
      </c>
    </row>
    <row r="43" spans="1:42">
      <c r="A43" s="30">
        <v>2774721668</v>
      </c>
      <c r="B43" s="31" t="s">
        <v>76</v>
      </c>
      <c r="C43" s="32">
        <v>19</v>
      </c>
      <c r="D43" s="33"/>
      <c r="E43" s="33"/>
      <c r="F43" s="33"/>
      <c r="G43" s="34"/>
      <c r="H43" s="84">
        <v>642</v>
      </c>
      <c r="I43" s="54">
        <f t="shared" si="20"/>
        <v>12198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12-18.01'!H:H,'Отчет 12-18.01'!D:D,"Выручка",'Отчет 12-18.01'!E:E,B43)</f>
        <v>0</v>
      </c>
      <c r="Q43" s="39">
        <f>SUMIFS('Отчет 12-18.01'!H:H,'Отчет 12-18.01'!D:D,"Возврат выручки",'Отчет 12-18.01'!E:E,B43)</f>
        <v>0</v>
      </c>
      <c r="R43" s="40">
        <f t="shared" si="23"/>
        <v>0</v>
      </c>
      <c r="S43" s="41">
        <f>SUMIFS('Отчет 12-18.01'!P:P,'Отчет 12-18.01'!C:C,"Продажи",'Отчет 12-18.01'!E:E,B43)</f>
        <v>0</v>
      </c>
      <c r="T43" s="42">
        <f>SUMIFS('Отчет 12-18.01'!P:P,'Отчет 12-18.01'!C:C,"Возвраты",'Отчет 12-18.01'!E:E,B43)</f>
        <v>0</v>
      </c>
      <c r="U43" s="40">
        <f t="shared" si="34"/>
        <v>0</v>
      </c>
      <c r="V43" s="43">
        <f t="shared" si="35"/>
        <v>0</v>
      </c>
      <c r="W43" s="44">
        <f t="shared" si="36"/>
        <v>0</v>
      </c>
      <c r="X43" s="42">
        <f>-SUMIFS('Отчет 12-18.01'!P:P,'Отчет 12-18.01'!C:C,"Вознаграждение Ozon",'Отчет 12-18.01'!E:E,B43)</f>
        <v>0</v>
      </c>
      <c r="Y43" s="45">
        <f t="shared" si="37"/>
        <v>0</v>
      </c>
      <c r="Z43" s="42">
        <f>-SUMIFS('Отчет 12-18.01'!P:P,'Отчет 12-18.01'!C:C,"Услуги доставки",'Отчет 12-18.01'!E:E,B43)</f>
        <v>0</v>
      </c>
      <c r="AA43" s="32">
        <v>0</v>
      </c>
      <c r="AB43" s="55"/>
      <c r="AC43" s="42"/>
      <c r="AD43" s="46">
        <f t="shared" si="24"/>
        <v>0</v>
      </c>
      <c r="AE43" s="47">
        <f t="shared" si="25"/>
        <v>0</v>
      </c>
      <c r="AF43" s="46"/>
      <c r="AG43" s="48">
        <f t="shared" si="26"/>
        <v>0</v>
      </c>
      <c r="AH43" s="49">
        <f t="shared" si="27"/>
        <v>642</v>
      </c>
      <c r="AI43" s="49">
        <f t="shared" si="28"/>
        <v>0</v>
      </c>
      <c r="AJ43" s="49">
        <f t="shared" si="29"/>
        <v>0</v>
      </c>
      <c r="AK43" s="49">
        <f t="shared" si="30"/>
        <v>0</v>
      </c>
      <c r="AL43" s="49">
        <f t="array" ref="AL43">_xlfn.IFS(R43=0,AE43,R43&lt;0,AE43/-R43,R43&gt;0,AE43/R43)</f>
        <v>0</v>
      </c>
      <c r="AM43" s="50">
        <f t="shared" si="31"/>
        <v>0</v>
      </c>
      <c r="AN43" s="51">
        <f t="shared" si="32"/>
        <v>0</v>
      </c>
      <c r="AP43" s="53">
        <f t="shared" si="33"/>
        <v>0</v>
      </c>
    </row>
    <row r="44" spans="1:42">
      <c r="A44" s="30">
        <v>2774722656</v>
      </c>
      <c r="B44" s="31" t="s">
        <v>77</v>
      </c>
      <c r="C44" s="32">
        <v>35</v>
      </c>
      <c r="D44" s="33"/>
      <c r="E44" s="33"/>
      <c r="F44" s="33"/>
      <c r="G44" s="34"/>
      <c r="H44" s="84">
        <v>687</v>
      </c>
      <c r="I44" s="54">
        <f t="shared" si="20"/>
        <v>24045</v>
      </c>
      <c r="J44" s="36"/>
      <c r="K44" s="32">
        <v>12</v>
      </c>
      <c r="L44" s="36"/>
      <c r="M44" s="36"/>
      <c r="N44" s="37">
        <f t="shared" si="21"/>
        <v>1.7142857142857142</v>
      </c>
      <c r="O44" s="38">
        <f t="shared" si="22"/>
        <v>0.42857142857142855</v>
      </c>
      <c r="P44" s="39">
        <f>SUMIFS('Отчет 12-18.01'!H:H,'Отчет 12-18.01'!D:D,"Выручка",'Отчет 12-18.01'!E:E,B44)</f>
        <v>3</v>
      </c>
      <c r="Q44" s="39">
        <f>SUMIFS('Отчет 12-18.01'!H:H,'Отчет 12-18.01'!D:D,"Возврат выручки",'Отчет 12-18.01'!E:E,B44)</f>
        <v>0</v>
      </c>
      <c r="R44" s="40">
        <f t="shared" si="23"/>
        <v>3</v>
      </c>
      <c r="S44" s="41">
        <f>SUMIFS('Отчет 12-18.01'!P:P,'Отчет 12-18.01'!C:C,"Продажи",'Отчет 12-18.01'!E:E,B44)</f>
        <v>12534</v>
      </c>
      <c r="T44" s="42">
        <f>SUMIFS('Отчет 12-18.01'!P:P,'Отчет 12-18.01'!C:C,"Возвраты",'Отчет 12-18.01'!E:E,B44)</f>
        <v>0</v>
      </c>
      <c r="U44" s="40">
        <f t="shared" si="34"/>
        <v>12534</v>
      </c>
      <c r="V44" s="43">
        <f t="shared" si="35"/>
        <v>0.59628924833491914</v>
      </c>
      <c r="W44" s="44">
        <f t="shared" si="36"/>
        <v>2061</v>
      </c>
      <c r="X44" s="42">
        <f>-SUMIFS('Отчет 12-18.01'!P:P,'Отчет 12-18.01'!C:C,"Вознаграждение Ozon",'Отчет 12-18.01'!E:E,B44)</f>
        <v>5389.62</v>
      </c>
      <c r="Y44" s="45">
        <f t="shared" si="37"/>
        <v>0.43</v>
      </c>
      <c r="Z44" s="42">
        <f>-SUMIFS('Отчет 12-18.01'!P:P,'Отчет 12-18.01'!C:C,"Услуги доставки",'Отчет 12-18.01'!E:E,B44)</f>
        <v>691.87</v>
      </c>
      <c r="AA44" s="32">
        <v>2899.894871</v>
      </c>
      <c r="AB44" s="55"/>
      <c r="AC44" s="42"/>
      <c r="AD44" s="46">
        <f t="shared" si="24"/>
        <v>125.34</v>
      </c>
      <c r="AE44" s="47">
        <f t="shared" si="25"/>
        <v>1366.2751290000003</v>
      </c>
      <c r="AF44" s="46"/>
      <c r="AG44" s="48">
        <f t="shared" si="26"/>
        <v>4178</v>
      </c>
      <c r="AH44" s="49">
        <f t="shared" si="27"/>
        <v>687</v>
      </c>
      <c r="AI44" s="49">
        <f t="shared" si="28"/>
        <v>1796.54</v>
      </c>
      <c r="AJ44" s="49">
        <f t="shared" si="29"/>
        <v>230.62333333333333</v>
      </c>
      <c r="AK44" s="49">
        <f t="shared" si="30"/>
        <v>966.63162366666666</v>
      </c>
      <c r="AL44" s="49">
        <f t="array" ref="AL44">_xlfn.IFS(R44=0,AE44,R44&lt;0,AE44/-R44,R44&gt;0,AE44/R44)</f>
        <v>455.42504300000013</v>
      </c>
      <c r="AM44" s="50">
        <f t="shared" si="31"/>
        <v>0.10900551531833416</v>
      </c>
      <c r="AN44" s="51">
        <f t="shared" si="32"/>
        <v>0.6629185487627367</v>
      </c>
      <c r="AP44" s="53">
        <f t="shared" si="33"/>
        <v>15939.876505000004</v>
      </c>
    </row>
    <row r="45" spans="1:42">
      <c r="A45" s="30">
        <v>2774721190</v>
      </c>
      <c r="B45" s="31" t="s">
        <v>78</v>
      </c>
      <c r="C45" s="32">
        <v>17</v>
      </c>
      <c r="D45" s="33"/>
      <c r="E45" s="33"/>
      <c r="F45" s="33"/>
      <c r="G45" s="34"/>
      <c r="H45" s="84">
        <v>687</v>
      </c>
      <c r="I45" s="54">
        <f t="shared" si="20"/>
        <v>11679</v>
      </c>
      <c r="J45" s="36"/>
      <c r="K45" s="32">
        <v>14</v>
      </c>
      <c r="L45" s="36"/>
      <c r="M45" s="36"/>
      <c r="N45" s="37">
        <f t="shared" si="21"/>
        <v>2</v>
      </c>
      <c r="O45" s="38">
        <f t="shared" si="22"/>
        <v>0.14285714285714285</v>
      </c>
      <c r="P45" s="39">
        <f>SUMIFS('Отчет 12-18.01'!H:H,'Отчет 12-18.01'!D:D,"Выручка",'Отчет 12-18.01'!E:E,B45)</f>
        <v>1</v>
      </c>
      <c r="Q45" s="39">
        <f>SUMIFS('Отчет 12-18.01'!H:H,'Отчет 12-18.01'!D:D,"Возврат выручки",'Отчет 12-18.01'!E:E,B45)</f>
        <v>0</v>
      </c>
      <c r="R45" s="40">
        <f t="shared" si="23"/>
        <v>1</v>
      </c>
      <c r="S45" s="41">
        <f>SUMIFS('Отчет 12-18.01'!P:P,'Отчет 12-18.01'!C:C,"Продажи",'Отчет 12-18.01'!E:E,B45)</f>
        <v>4940</v>
      </c>
      <c r="T45" s="42">
        <f>SUMIFS('Отчет 12-18.01'!P:P,'Отчет 12-18.01'!C:C,"Возвраты",'Отчет 12-18.01'!E:E,B45)</f>
        <v>0</v>
      </c>
      <c r="U45" s="40">
        <f t="shared" si="34"/>
        <v>4940</v>
      </c>
      <c r="V45" s="43">
        <f t="shared" si="35"/>
        <v>0.23501427212178877</v>
      </c>
      <c r="W45" s="44">
        <f t="shared" si="36"/>
        <v>687</v>
      </c>
      <c r="X45" s="42">
        <f>-SUMIFS('Отчет 12-18.01'!P:P,'Отчет 12-18.01'!C:C,"Вознаграждение Ozon",'Отчет 12-18.01'!E:E,B45)</f>
        <v>2124.1999999999998</v>
      </c>
      <c r="Y45" s="45">
        <f t="shared" si="37"/>
        <v>0.42999999999999994</v>
      </c>
      <c r="Z45" s="42">
        <f>-SUMIFS('Отчет 12-18.01'!P:P,'Отчет 12-18.01'!C:C,"Услуги доставки",'Отчет 12-18.01'!E:E,B45)</f>
        <v>632.61</v>
      </c>
      <c r="AA45" s="32">
        <v>2819.882709</v>
      </c>
      <c r="AB45" s="55"/>
      <c r="AC45" s="42"/>
      <c r="AD45" s="46">
        <f t="shared" si="24"/>
        <v>49.4</v>
      </c>
      <c r="AE45" s="47">
        <f t="shared" si="25"/>
        <v>-1373.092709</v>
      </c>
      <c r="AF45" s="46"/>
      <c r="AG45" s="48">
        <f t="shared" si="26"/>
        <v>4940</v>
      </c>
      <c r="AH45" s="49">
        <f t="shared" si="27"/>
        <v>687</v>
      </c>
      <c r="AI45" s="49">
        <f t="shared" si="28"/>
        <v>2124.1999999999998</v>
      </c>
      <c r="AJ45" s="49">
        <f t="shared" si="29"/>
        <v>632.61</v>
      </c>
      <c r="AK45" s="49">
        <f t="shared" si="30"/>
        <v>2819.882709</v>
      </c>
      <c r="AL45" s="49">
        <f t="array" ref="AL45">_xlfn.IFS(R45=0,AE45,R45&lt;0,AE45/-R45,R45&gt;0,AE45/R45)</f>
        <v>-1373.092709</v>
      </c>
      <c r="AM45" s="50">
        <f t="shared" si="31"/>
        <v>-0.27795398967611334</v>
      </c>
      <c r="AN45" s="51">
        <f t="shared" si="32"/>
        <v>-1.9986793435225618</v>
      </c>
      <c r="AP45" s="53">
        <f t="shared" si="33"/>
        <v>-23342.576053000001</v>
      </c>
    </row>
    <row r="46" spans="1:42">
      <c r="A46" s="30">
        <v>2774718796</v>
      </c>
      <c r="B46" s="31" t="s">
        <v>79</v>
      </c>
      <c r="C46" s="32">
        <v>46</v>
      </c>
      <c r="D46" s="33"/>
      <c r="E46" s="33"/>
      <c r="F46" s="33"/>
      <c r="G46" s="34"/>
      <c r="H46" s="84">
        <v>552</v>
      </c>
      <c r="I46" s="54">
        <f t="shared" si="20"/>
        <v>25392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12-18.01'!H:H,'Отчет 12-18.01'!D:D,"Выручка",'Отчет 12-18.01'!E:E,B46)</f>
        <v>0</v>
      </c>
      <c r="Q46" s="39">
        <f>SUMIFS('Отчет 12-18.01'!H:H,'Отчет 12-18.01'!D:D,"Возврат выручки",'Отчет 12-18.01'!E:E,B46)</f>
        <v>0</v>
      </c>
      <c r="R46" s="40">
        <f t="shared" si="23"/>
        <v>0</v>
      </c>
      <c r="S46" s="41">
        <f>SUMIFS('Отчет 12-18.01'!P:P,'Отчет 12-18.01'!C:C,"Продажи",'Отчет 12-18.01'!E:E,B46)</f>
        <v>0</v>
      </c>
      <c r="T46" s="42">
        <f>SUMIFS('Отчет 12-18.01'!P:P,'Отчет 12-18.01'!C:C,"Возвраты",'Отчет 12-18.01'!E:E,B46)</f>
        <v>0</v>
      </c>
      <c r="U46" s="40">
        <f t="shared" si="34"/>
        <v>0</v>
      </c>
      <c r="V46" s="43">
        <f t="shared" si="35"/>
        <v>0</v>
      </c>
      <c r="W46" s="44">
        <f t="shared" si="36"/>
        <v>0</v>
      </c>
      <c r="X46" s="42">
        <f>-SUMIFS('Отчет 12-18.01'!P:P,'Отчет 12-18.01'!C:C,"Вознаграждение Ozon",'Отчет 12-18.01'!E:E,B46)</f>
        <v>0</v>
      </c>
      <c r="Y46" s="45">
        <f t="shared" si="37"/>
        <v>0</v>
      </c>
      <c r="Z46" s="42">
        <f>-SUMIFS('Отчет 12-18.01'!P:P,'Отчет 12-18.01'!C:C,"Услуги доставки",'Отчет 12-18.01'!E:E,B46)</f>
        <v>0</v>
      </c>
      <c r="AA46" s="32">
        <v>0</v>
      </c>
      <c r="AB46" s="55"/>
      <c r="AC46" s="42"/>
      <c r="AD46" s="46">
        <f t="shared" si="24"/>
        <v>0</v>
      </c>
      <c r="AE46" s="47">
        <f t="shared" si="25"/>
        <v>0</v>
      </c>
      <c r="AF46" s="46"/>
      <c r="AG46" s="48">
        <f t="shared" si="26"/>
        <v>0</v>
      </c>
      <c r="AH46" s="49">
        <f t="shared" si="27"/>
        <v>552</v>
      </c>
      <c r="AI46" s="49">
        <f t="shared" si="28"/>
        <v>0</v>
      </c>
      <c r="AJ46" s="49">
        <f t="shared" si="29"/>
        <v>0</v>
      </c>
      <c r="AK46" s="49">
        <f t="shared" si="30"/>
        <v>0</v>
      </c>
      <c r="AL46" s="49">
        <f t="array" ref="AL46">_xlfn.IFS(R46=0,AE46,R46&lt;0,AE46/-R46,R46&gt;0,AE46/R46)</f>
        <v>0</v>
      </c>
      <c r="AM46" s="50">
        <f t="shared" si="31"/>
        <v>0</v>
      </c>
      <c r="AN46" s="51">
        <f t="shared" si="32"/>
        <v>0</v>
      </c>
      <c r="AP46" s="53">
        <f t="shared" si="33"/>
        <v>0</v>
      </c>
    </row>
    <row r="47" spans="1:42">
      <c r="A47" s="30">
        <v>2774719500</v>
      </c>
      <c r="B47" s="31" t="s">
        <v>80</v>
      </c>
      <c r="C47" s="32">
        <v>19</v>
      </c>
      <c r="D47" s="33"/>
      <c r="E47" s="33"/>
      <c r="F47" s="33"/>
      <c r="G47" s="34"/>
      <c r="H47" s="84">
        <v>552</v>
      </c>
      <c r="I47" s="54">
        <f>C47*H47</f>
        <v>10488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12-18.01'!H:H,'Отчет 12-18.01'!D:D,"Выручка",'Отчет 12-18.01'!E:E,B47)</f>
        <v>0</v>
      </c>
      <c r="Q47" s="39">
        <f>SUMIFS('Отчет 12-18.01'!H:H,'Отчет 12-18.01'!D:D,"Возврат выручки",'Отчет 12-18.01'!E:E,B47)</f>
        <v>0</v>
      </c>
      <c r="R47" s="40">
        <f t="shared" si="23"/>
        <v>0</v>
      </c>
      <c r="S47" s="41">
        <f>SUMIFS('Отчет 12-18.01'!P:P,'Отчет 12-18.01'!C:C,"Продажи",'Отчет 12-18.01'!E:E,B47)</f>
        <v>0</v>
      </c>
      <c r="T47" s="42">
        <f>SUMIFS('Отчет 12-18.01'!P:P,'Отчет 12-18.01'!C:C,"Возвраты",'Отчет 12-18.01'!E:E,B47)</f>
        <v>0</v>
      </c>
      <c r="U47" s="40">
        <f t="shared" si="34"/>
        <v>0</v>
      </c>
      <c r="V47" s="43">
        <f t="shared" si="35"/>
        <v>0</v>
      </c>
      <c r="W47" s="44">
        <f t="shared" si="36"/>
        <v>0</v>
      </c>
      <c r="X47" s="42">
        <f>-SUMIFS('Отчет 12-18.01'!P:P,'Отчет 12-18.01'!C:C,"Вознаграждение Ozon",'Отчет 12-18.01'!E:E,B47)</f>
        <v>0</v>
      </c>
      <c r="Y47" s="45">
        <f t="shared" si="37"/>
        <v>0</v>
      </c>
      <c r="Z47" s="42">
        <f>-SUMIFS('Отчет 12-18.01'!P:P,'Отчет 12-18.01'!C:C,"Услуги доставки",'Отчет 12-18.01'!E:E,B47)</f>
        <v>0</v>
      </c>
      <c r="AA47" s="32">
        <v>0</v>
      </c>
      <c r="AB47" s="55"/>
      <c r="AC47" s="42"/>
      <c r="AD47" s="46">
        <f t="shared" si="24"/>
        <v>0</v>
      </c>
      <c r="AE47" s="47">
        <f t="shared" si="25"/>
        <v>0</v>
      </c>
      <c r="AF47" s="46"/>
      <c r="AG47" s="48">
        <f t="shared" si="26"/>
        <v>0</v>
      </c>
      <c r="AH47" s="49">
        <f t="shared" si="27"/>
        <v>552</v>
      </c>
      <c r="AI47" s="49">
        <f t="shared" si="28"/>
        <v>0</v>
      </c>
      <c r="AJ47" s="49">
        <f t="shared" si="29"/>
        <v>0</v>
      </c>
      <c r="AK47" s="49">
        <f t="shared" si="30"/>
        <v>0</v>
      </c>
      <c r="AL47" s="49">
        <f t="array" ref="AL47">_xlfn.IFS(R47=0,AE47,R47&lt;0,AE47/-R47,R47&gt;0,AE47/R47)</f>
        <v>0</v>
      </c>
      <c r="AM47" s="50">
        <f t="shared" si="31"/>
        <v>0</v>
      </c>
      <c r="AN47" s="51">
        <f t="shared" si="32"/>
        <v>0</v>
      </c>
      <c r="AP47" s="53">
        <f t="shared" si="33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4221.333333333333</v>
      </c>
      <c r="AH48" s="86">
        <f t="shared" si="38"/>
        <v>617.25</v>
      </c>
      <c r="AI48" s="86">
        <f t="shared" si="38"/>
        <v>1815.1733333333332</v>
      </c>
      <c r="AJ48" s="86">
        <f t="shared" si="38"/>
        <v>355.91444444444443</v>
      </c>
      <c r="AK48" s="86">
        <f t="shared" si="38"/>
        <v>1893.2571663333333</v>
      </c>
      <c r="AL48" s="86">
        <f t="shared" si="38"/>
        <v>58.86077800000006</v>
      </c>
      <c r="AM48" s="87">
        <f t="shared" si="38"/>
        <v>4.6546222027384364E-2</v>
      </c>
      <c r="AN48" s="87">
        <f t="shared" si="38"/>
        <v>8.5677988355167559E-2</v>
      </c>
      <c r="AO48" s="60"/>
      <c r="AP48" s="61"/>
    </row>
    <row r="49" spans="1:42">
      <c r="A49" s="88" t="s">
        <v>81</v>
      </c>
      <c r="B49" s="89"/>
      <c r="C49" s="90">
        <f>SUM(C28:C47)</f>
        <v>467</v>
      </c>
      <c r="D49" s="91"/>
      <c r="E49" s="91"/>
      <c r="F49" s="91"/>
      <c r="G49" s="91"/>
      <c r="H49" s="92"/>
      <c r="I49" s="90">
        <f>SUM(I28:I47)</f>
        <v>288519</v>
      </c>
      <c r="J49" s="93"/>
      <c r="K49" s="90">
        <f>SUM(K28:K47)</f>
        <v>30</v>
      </c>
      <c r="L49" s="93"/>
      <c r="M49" s="93"/>
      <c r="N49" s="94"/>
      <c r="O49" s="95"/>
      <c r="P49" s="90">
        <f t="shared" ref="P49:X49" si="39">SUM(P28:P47)</f>
        <v>5</v>
      </c>
      <c r="Q49" s="90">
        <f t="shared" si="39"/>
        <v>0</v>
      </c>
      <c r="R49" s="96">
        <f t="shared" si="39"/>
        <v>5</v>
      </c>
      <c r="S49" s="90">
        <f t="shared" si="39"/>
        <v>21020</v>
      </c>
      <c r="T49" s="90">
        <f t="shared" si="39"/>
        <v>0</v>
      </c>
      <c r="U49" s="96">
        <f t="shared" si="39"/>
        <v>21020</v>
      </c>
      <c r="V49" s="97">
        <f t="shared" si="39"/>
        <v>1</v>
      </c>
      <c r="W49" s="90">
        <f t="shared" si="39"/>
        <v>3435</v>
      </c>
      <c r="X49" s="90">
        <f t="shared" si="39"/>
        <v>9038.5999999999985</v>
      </c>
      <c r="Y49" s="98">
        <f>IF(U49=0,0,X49/U49)</f>
        <v>0.42999999999999994</v>
      </c>
      <c r="Z49" s="90">
        <f>SUM(Z28:Z47)</f>
        <v>1528.99</v>
      </c>
      <c r="AA49" s="90">
        <f>IFERROR(P49*AA51/P51,0)</f>
        <v>2011.2975409836067</v>
      </c>
      <c r="AB49" s="90">
        <f>SUM(AB28:AB47)</f>
        <v>0</v>
      </c>
      <c r="AC49" s="90">
        <f>SUM(AC28:AC47)</f>
        <v>0</v>
      </c>
      <c r="AD49" s="96">
        <f>SUM(AD28:AD47)</f>
        <v>210.20000000000002</v>
      </c>
      <c r="AE49" s="90">
        <f>SUM(AE28:AE47)</f>
        <v>1087.4324200000005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-1931.4495479999969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5719.7775799999999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5173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895201.37</v>
      </c>
      <c r="J51" s="118">
        <f>J26+J49</f>
        <v>0</v>
      </c>
      <c r="K51" s="118">
        <f>K26+K49</f>
        <v>126</v>
      </c>
      <c r="L51" s="119"/>
      <c r="M51" s="119"/>
      <c r="N51" s="119"/>
      <c r="O51" s="119"/>
      <c r="P51" s="120">
        <f t="shared" ref="P51:X51" si="40">P26+P49</f>
        <v>61</v>
      </c>
      <c r="Q51" s="118">
        <f t="shared" si="40"/>
        <v>0</v>
      </c>
      <c r="R51" s="121">
        <f t="shared" si="40"/>
        <v>61</v>
      </c>
      <c r="S51" s="118">
        <f t="shared" si="40"/>
        <v>112782.00000000001</v>
      </c>
      <c r="T51" s="118">
        <f t="shared" si="40"/>
        <v>0</v>
      </c>
      <c r="U51" s="121">
        <f t="shared" si="40"/>
        <v>112782.00000000001</v>
      </c>
      <c r="V51" s="122">
        <f t="shared" si="40"/>
        <v>5.3654614652711707</v>
      </c>
      <c r="W51" s="118">
        <f t="shared" si="40"/>
        <v>11276.91</v>
      </c>
      <c r="X51" s="118">
        <f t="shared" si="40"/>
        <v>48496.260000000009</v>
      </c>
      <c r="Y51" s="123">
        <f>X51/U51</f>
        <v>0.43000000000000005</v>
      </c>
      <c r="Z51" s="118">
        <f>Z26+Z49</f>
        <v>11340.630000000003</v>
      </c>
      <c r="AA51" s="124">
        <v>24537.83</v>
      </c>
      <c r="AB51" s="125"/>
      <c r="AC51" s="125">
        <f>SUM(AC3:AC47)</f>
        <v>0</v>
      </c>
      <c r="AD51" s="118">
        <f>AD26+AD49</f>
        <v>1127.8200000000002</v>
      </c>
      <c r="AE51" s="126">
        <f>AE26+AE49</f>
        <v>16002.570558000016</v>
      </c>
      <c r="AF51" s="127"/>
      <c r="AG51" s="128"/>
      <c r="AH51" s="129"/>
      <c r="AI51" s="129"/>
      <c r="AJ51" s="129"/>
      <c r="AK51" s="129">
        <f>AA52/P51</f>
        <v>402.25950819672136</v>
      </c>
      <c r="AL51" s="129"/>
      <c r="AM51" s="129"/>
      <c r="AN51" s="130"/>
      <c r="AP51" s="126">
        <f>SUM(AP3:AP47)</f>
        <v>474955.88153400715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24537.83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24537.809441999998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>
        <f>I58/I51</f>
        <v>0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895201.37</v>
      </c>
      <c r="J59" s="164">
        <f>I59/I51</f>
        <v>1</v>
      </c>
      <c r="K59" s="160">
        <f>AP51-K58-K60</f>
        <v>474955.88153400715</v>
      </c>
      <c r="L59" s="161">
        <f>K59/I59</f>
        <v>0.53055759011406245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>
        <f>I60/I51</f>
        <v>0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41" priority="30" operator="greaterThan">
      <formula>120</formula>
    </cfRule>
  </conditionalFormatting>
  <conditionalFormatting sqref="N50">
    <cfRule type="cellIs" dxfId="40" priority="29" operator="between">
      <formula>0.000001</formula>
      <formula>25</formula>
    </cfRule>
  </conditionalFormatting>
  <conditionalFormatting sqref="V1 V52:V55 V57:V1048576">
    <cfRule type="cellIs" dxfId="39" priority="31" operator="greaterThan">
      <formula>0.23</formula>
    </cfRule>
  </conditionalFormatting>
  <conditionalFormatting sqref="AM56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{14A00B5E-9565-49C2-8BEC-C1B93F7BED67}</x14:id>
        </ext>
      </extLst>
    </cfRule>
  </conditionalFormatting>
  <conditionalFormatting sqref="AP3:AP7 AP27:AP47 AP50 AP10:AP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{5A3DD053-D0EF-4A8A-B9B0-8CE57F3E1BF4}</x14:id>
        </ext>
      </extLst>
    </cfRule>
  </conditionalFormatting>
  <conditionalFormatting sqref="AE3:AE7 AE27:AE48 AE50 AE10:AE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{6633BEE9-00D5-4B4C-8CCB-E1B9F15534FF}</x14:id>
        </ext>
      </extLst>
    </cfRule>
  </conditionalFormatting>
  <conditionalFormatting sqref="AL3:AL7 AL27:AL47 AL50 AL10:AL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{A6948062-30A0-414D-ADE7-2EAE57956A43}</x14:id>
        </ext>
      </extLst>
    </cfRule>
  </conditionalFormatting>
  <conditionalFormatting sqref="AM3:AN7 AM27:AN47 AM50:AN50 AM10:AN24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{BE9C9379-7409-4B9D-B651-1FEDF792E5BB}</x14:id>
        </ext>
      </extLst>
    </cfRule>
  </conditionalFormatting>
  <conditionalFormatting sqref="AP3:AP7 AP27:AP47 AP10:AP2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{3B1C6FEA-00E8-41D5-9744-8BF02AE82D40}</x14:id>
        </ext>
      </extLst>
    </cfRule>
  </conditionalFormatting>
  <conditionalFormatting sqref="AE3:AE7 AE27:AE48 AE10:AE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{2A0D74D1-780F-4D9F-B511-3B4A69059050}</x14:id>
        </ext>
      </extLst>
    </cfRule>
  </conditionalFormatting>
  <conditionalFormatting sqref="U27:V27 U48:V48 U25:V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{FF8C326E-546A-4A8A-A837-C8566B97EF97}</x14:id>
        </ext>
      </extLst>
    </cfRule>
  </conditionalFormatting>
  <conditionalFormatting sqref="V27 V48 V25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{933995F5-23A9-4651-8A23-55615073B864}</x14:id>
        </ext>
      </extLst>
    </cfRule>
  </conditionalFormatting>
  <conditionalFormatting sqref="AP2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{7947ACB8-3962-4DD3-84E2-B986D7B9E9C0}</x14:id>
        </ext>
      </extLst>
    </cfRule>
  </conditionalFormatting>
  <conditionalFormatting sqref="AP25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{BF28BEC2-2611-4C96-A685-D55F4B392108}</x14:id>
        </ext>
      </extLst>
    </cfRule>
  </conditionalFormatting>
  <conditionalFormatting sqref="P50">
    <cfRule type="cellIs" dxfId="38" priority="25" operator="greaterThan">
      <formula>120</formula>
    </cfRule>
  </conditionalFormatting>
  <conditionalFormatting sqref="Q50">
    <cfRule type="cellIs" dxfId="37" priority="24" operator="greaterThan">
      <formula>120</formula>
    </cfRule>
  </conditionalFormatting>
  <conditionalFormatting sqref="R50">
    <cfRule type="cellIs" dxfId="36" priority="23" operator="greaterThan">
      <formula>120</formula>
    </cfRule>
  </conditionalFormatting>
  <conditionalFormatting sqref="S50">
    <cfRule type="cellIs" dxfId="35" priority="22" operator="greaterThan">
      <formula>120</formula>
    </cfRule>
  </conditionalFormatting>
  <conditionalFormatting sqref="T50">
    <cfRule type="cellIs" dxfId="34" priority="21" operator="greaterThan">
      <formula>120</formula>
    </cfRule>
  </conditionalFormatting>
  <conditionalFormatting sqref="U50">
    <cfRule type="cellIs" dxfId="33" priority="20" operator="greaterThan">
      <formula>120</formula>
    </cfRule>
  </conditionalFormatting>
  <conditionalFormatting sqref="V50">
    <cfRule type="cellIs" dxfId="32" priority="19" operator="greaterThan">
      <formula>120</formula>
    </cfRule>
  </conditionalFormatting>
  <conditionalFormatting sqref="W50">
    <cfRule type="cellIs" dxfId="31" priority="18" operator="greaterThan">
      <formula>120</formula>
    </cfRule>
  </conditionalFormatting>
  <conditionalFormatting sqref="X50">
    <cfRule type="cellIs" dxfId="30" priority="17" operator="greaterThan">
      <formula>120</formula>
    </cfRule>
  </conditionalFormatting>
  <conditionalFormatting sqref="Z50">
    <cfRule type="cellIs" dxfId="29" priority="16" operator="greaterThan">
      <formula>120</formula>
    </cfRule>
  </conditionalFormatting>
  <conditionalFormatting sqref="AP4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{589BB2AD-BC67-443B-AAE4-61E56E231C08}</x14:id>
        </ext>
      </extLst>
    </cfRule>
  </conditionalFormatting>
  <conditionalFormatting sqref="AP4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{002C258E-F870-48C6-BEE6-3E8301C9BE50}</x14:id>
        </ext>
      </extLst>
    </cfRule>
  </conditionalFormatting>
  <conditionalFormatting sqref="J8:J9">
    <cfRule type="cellIs" dxfId="28" priority="7" operator="greaterThan">
      <formula>120</formula>
    </cfRule>
  </conditionalFormatting>
  <conditionalFormatting sqref="AP8:AP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{DBC73169-95CD-4536-87C7-6556C75FD3E7}</x14:id>
        </ext>
      </extLst>
    </cfRule>
  </conditionalFormatting>
  <conditionalFormatting sqref="AE8:AE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{CDC9B051-2658-4D67-A6FF-D56AAD594CED}</x14:id>
        </ext>
      </extLst>
    </cfRule>
  </conditionalFormatting>
  <conditionalFormatting sqref="AL8:AL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{65AFF681-8325-45BA-9E50-9783DA032CD6}</x14:id>
        </ext>
      </extLst>
    </cfRule>
  </conditionalFormatting>
  <conditionalFormatting sqref="AM8:AN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{8554EAE9-5801-44E4-845F-17E2E982757F}</x14:id>
        </ext>
      </extLst>
    </cfRule>
  </conditionalFormatting>
  <conditionalFormatting sqref="AP8:AP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{9B6E9C80-D3A2-49C5-920C-975E8A53F015}</x14:id>
        </ext>
      </extLst>
    </cfRule>
  </conditionalFormatting>
  <conditionalFormatting sqref="AE8:AE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{99EFD7A3-E3D9-430A-B856-AEF6C53B059C}</x14:id>
        </ext>
      </extLst>
    </cfRule>
  </conditionalFormatting>
  <conditionalFormatting sqref="U3:V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{2000A221-D9C2-4C81-B570-DC22E045F0E1}</x14:id>
        </ext>
      </extLst>
    </cfRule>
  </conditionalFormatting>
  <conditionalFormatting sqref="V3:V24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{8E230A19-510A-4484-90F2-4539BCA1552D}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{0C42D6ED-BB5A-4837-AD3D-90B9977F1E95}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{048BE23E-3592-4F6A-A2BD-4A97119B14B1}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A00B5E-9565-49C2-8BEC-C1B93F7BE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5A3DD053-D0EF-4A8A-B9B0-8CE57F3E1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6633BEE9-00D5-4B4C-8CCB-E1B9F1553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A6948062-30A0-414D-ADE7-2EAE57956A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BE9C9379-7409-4B9D-B651-1FEDF792E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3B1C6FEA-00E8-41D5-9744-8BF02AE82D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2A0D74D1-780F-4D9F-B511-3B4A69059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FF8C326E-546A-4A8A-A837-C8566B97E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933995F5-23A9-4651-8A23-55615073B8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7947ACB8-3962-4DD3-84E2-B986D7B9E9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F28BEC2-2611-4C96-A685-D55F4B3921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589BB2AD-BC67-443B-AAE4-61E56E231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002C258E-F870-48C6-BEE6-3E8301C9B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DBC73169-95CD-4536-87C7-6556C75FD3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CDC9B051-2658-4D67-A6FF-D56AAD59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65AFF681-8325-45BA-9E50-9783DA032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8554EAE9-5801-44E4-845F-17E2E9827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B6E9C80-D3A2-49C5-920C-975E8A53F0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99EFD7A3-E3D9-430A-B856-AEF6C53B05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2000A221-D9C2-4C81-B570-DC22E045F0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E230A19-510A-4484-90F2-4539BCA155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0C42D6ED-BB5A-4837-AD3D-90B9977F1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048BE23E-3592-4F6A-A2BD-4A97119B14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4F1-E0F0-451C-AF80-7F2B5387DA24}">
  <dimension ref="A1:AZ64"/>
  <sheetViews>
    <sheetView zoomScale="70" zoomScaleNormal="70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AD1" sqref="AD1:AD1048576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90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51</v>
      </c>
      <c r="L3" s="36"/>
      <c r="M3" s="36"/>
      <c r="N3" s="37">
        <f t="shared" ref="N3:N24" si="1">K3/7</f>
        <v>7.2857142857142856</v>
      </c>
      <c r="O3" s="38">
        <f t="shared" ref="O3:O24" si="2">R3/7</f>
        <v>4.5714285714285712</v>
      </c>
      <c r="P3" s="39">
        <f>SUMIFS('Отчет 05-11.01'!H:H,'Отчет 05-11.01'!D:D,"Выручка",'Отчет 05-11.01'!E:E,B3)</f>
        <v>35</v>
      </c>
      <c r="Q3" s="39">
        <f>SUMIFS('Отчет 05-11.01'!H:H,'Отчет 05-11.01'!D:D,"Возврат выручки",'Отчет 05-11.01'!E:E,B3)</f>
        <v>3</v>
      </c>
      <c r="R3" s="40">
        <f t="shared" ref="R3:R24" si="3">P3-Q3</f>
        <v>32</v>
      </c>
      <c r="S3" s="41">
        <f>SUMIFS('Отчет 05-11.01'!P:P,'Отчет 05-11.01'!C:C,"Продажи",'Отчет 05-11.01'!E:E,B3)</f>
        <v>59640.000000000015</v>
      </c>
      <c r="T3" s="42">
        <f>SUMIFS('Отчет 05-11.01'!P:P,'Отчет 05-11.01'!C:C,"Возвраты",'Отчет 05-11.01'!E:E,B3)</f>
        <v>-5112</v>
      </c>
      <c r="U3" s="40">
        <f t="shared" ref="U3:U24" si="4">S3+T3</f>
        <v>54528.000000000015</v>
      </c>
      <c r="V3" s="43">
        <f t="shared" ref="V3:V24" si="5">U3/$U$49</f>
        <v>5.1812998859749158</v>
      </c>
      <c r="W3" s="44">
        <f t="shared" ref="W3:W24" si="6">R3*H3</f>
        <v>4575.3599999999997</v>
      </c>
      <c r="X3" s="42">
        <f>-SUMIFS('Отчет 05-11.01'!P:P,'Отчет 05-11.01'!C:C,"Вознаграждение Ozon",'Отчет 05-11.01'!E:E,B3)</f>
        <v>23447.040000000005</v>
      </c>
      <c r="Y3" s="45">
        <f t="shared" ref="Y3:Y24" si="7">IF(U3=0,0,X3/U3)</f>
        <v>0.43</v>
      </c>
      <c r="Z3" s="42">
        <f>-SUMIFS('Отчет 05-11.01'!P:P,'Отчет 05-11.01'!C:C,"Услуги доставки",'Отчет 05-11.01'!E:E,B3)</f>
        <v>6296.8900000000058</v>
      </c>
      <c r="AA3" s="32">
        <v>13094.443309999999</v>
      </c>
      <c r="AB3" s="42"/>
      <c r="AC3" s="42"/>
      <c r="AD3" s="46">
        <f t="shared" ref="AD3:AD24" si="8">U3*1%</f>
        <v>545.2800000000002</v>
      </c>
      <c r="AE3" s="47">
        <f t="shared" ref="AE3:AE24" si="9">U3-W3-X3-Z3-AA3-AB3-AC3-AD3</f>
        <v>6568.9866900000034</v>
      </c>
      <c r="AF3" s="46"/>
      <c r="AG3" s="48">
        <f t="shared" ref="AG3:AG24" si="10">IF(R3=0,0,U3/R3)</f>
        <v>1704.0000000000005</v>
      </c>
      <c r="AH3" s="49">
        <f t="shared" ref="AH3:AH24" si="11">H3</f>
        <v>142.97999999999999</v>
      </c>
      <c r="AI3" s="49">
        <f t="shared" ref="AI3:AI24" si="12">IF(R3=0,0,X3/R3)</f>
        <v>732.72000000000014</v>
      </c>
      <c r="AJ3" s="49">
        <f t="shared" ref="AJ3:AJ24" si="13">IF(P3=0,Z3/1,Z3/P3)</f>
        <v>179.91114285714303</v>
      </c>
      <c r="AK3" s="49">
        <f t="shared" ref="AK3:AK24" si="14">IF(P3=0,0,AA3/P3)</f>
        <v>374.12695171428567</v>
      </c>
      <c r="AL3" s="49">
        <f>_xlfn.IFS(R3=0,AE3,R3&lt;0,AE3/-R3,R3&gt;0,AE3/R3)</f>
        <v>205.28083406250011</v>
      </c>
      <c r="AM3" s="50">
        <f t="shared" ref="AM3:AM24" si="15">IF(AG3=0,0,AL3/AG3)</f>
        <v>0.12046997304137327</v>
      </c>
      <c r="AN3" s="51">
        <f t="shared" ref="AN3:AN24" si="16">IF(AH3=0,0,AL3/AH3)</f>
        <v>1.4357311096831733</v>
      </c>
      <c r="AP3" s="53">
        <f t="shared" ref="AP3:AP24" si="17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</v>
      </c>
      <c r="P4" s="39">
        <f>SUMIFS('Отчет 05-11.01'!H:H,'Отчет 05-11.01'!D:D,"Выручка",'Отчет 05-11.01'!E:E,B4)</f>
        <v>0</v>
      </c>
      <c r="Q4" s="39">
        <f>SUMIFS('Отчет 05-11.01'!H:H,'Отчет 05-11.01'!D:D,"Возврат выручки",'Отчет 05-11.01'!E:E,B4)</f>
        <v>0</v>
      </c>
      <c r="R4" s="40">
        <f t="shared" si="3"/>
        <v>0</v>
      </c>
      <c r="S4" s="41">
        <f>SUMIFS('Отчет 05-11.01'!P:P,'Отчет 05-11.01'!C:C,"Продажи",'Отчет 05-11.01'!E:E,B4)</f>
        <v>0</v>
      </c>
      <c r="T4" s="42">
        <f>SUMIFS('Отчет 05-11.01'!P:P,'Отчет 05-11.01'!C:C,"Возвраты",'Отчет 05-11.01'!E:E,B4)</f>
        <v>0</v>
      </c>
      <c r="U4" s="40">
        <f t="shared" si="4"/>
        <v>0</v>
      </c>
      <c r="V4" s="43">
        <f t="shared" si="5"/>
        <v>0</v>
      </c>
      <c r="W4" s="44">
        <f t="shared" si="6"/>
        <v>0</v>
      </c>
      <c r="X4" s="42">
        <f>-SUMIFS('Отчет 05-11.01'!P:P,'Отчет 05-11.01'!C:C,"Вознаграждение Ozon",'Отчет 05-11.01'!E:E,B4)</f>
        <v>0</v>
      </c>
      <c r="Y4" s="45">
        <f t="shared" si="7"/>
        <v>0</v>
      </c>
      <c r="Z4" s="42">
        <f>-SUMIFS('Отчет 05-11.01'!P:P,'Отчет 05-11.01'!C:C,"Услуги доставки",'Отчет 05-11.01'!E:E,B4)</f>
        <v>0</v>
      </c>
      <c r="AA4" s="32">
        <v>0</v>
      </c>
      <c r="AB4" s="42"/>
      <c r="AC4" s="42"/>
      <c r="AD4" s="46">
        <f t="shared" si="8"/>
        <v>0</v>
      </c>
      <c r="AE4" s="47">
        <f t="shared" si="9"/>
        <v>0</v>
      </c>
      <c r="AF4" s="46"/>
      <c r="AG4" s="48">
        <f t="shared" si="10"/>
        <v>0</v>
      </c>
      <c r="AH4" s="49">
        <f t="shared" si="11"/>
        <v>123.09</v>
      </c>
      <c r="AI4" s="49">
        <f t="shared" si="12"/>
        <v>0</v>
      </c>
      <c r="AJ4" s="49">
        <f t="shared" si="13"/>
        <v>0</v>
      </c>
      <c r="AK4" s="49">
        <f t="shared" si="14"/>
        <v>0</v>
      </c>
      <c r="AL4" s="49">
        <f t="array" ref="AL4">_xlfn.IFS(R4=0,AE4,R4&lt;0,AE4/-R4,R4&gt;0,AE4/R4)</f>
        <v>0</v>
      </c>
      <c r="AM4" s="50">
        <f t="shared" si="15"/>
        <v>0</v>
      </c>
      <c r="AN4" s="51">
        <f t="shared" si="16"/>
        <v>0</v>
      </c>
      <c r="AP4" s="53">
        <f t="shared" si="17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0</v>
      </c>
      <c r="L5" s="36"/>
      <c r="M5" s="36"/>
      <c r="N5" s="37">
        <f t="shared" si="1"/>
        <v>0</v>
      </c>
      <c r="O5" s="38">
        <f t="shared" si="2"/>
        <v>0.14285714285714285</v>
      </c>
      <c r="P5" s="39">
        <f>SUMIFS('Отчет 05-11.01'!H:H,'Отчет 05-11.01'!D:D,"Выручка",'Отчет 05-11.01'!E:E,B5)</f>
        <v>1</v>
      </c>
      <c r="Q5" s="39">
        <f>SUMIFS('Отчет 05-11.01'!H:H,'Отчет 05-11.01'!D:D,"Возврат выручки",'Отчет 05-11.01'!E:E,B5)</f>
        <v>0</v>
      </c>
      <c r="R5" s="40">
        <f t="shared" si="3"/>
        <v>1</v>
      </c>
      <c r="S5" s="41">
        <f>SUMIFS('Отчет 05-11.01'!P:P,'Отчет 05-11.01'!C:C,"Продажи",'Отчет 05-11.01'!E:E,B5)</f>
        <v>1206</v>
      </c>
      <c r="T5" s="42">
        <f>SUMIFS('Отчет 05-11.01'!P:P,'Отчет 05-11.01'!C:C,"Возвраты",'Отчет 05-11.01'!E:E,B5)</f>
        <v>0</v>
      </c>
      <c r="U5" s="40">
        <f t="shared" si="4"/>
        <v>1206</v>
      </c>
      <c r="V5" s="43">
        <f t="shared" si="5"/>
        <v>0.1145952109464082</v>
      </c>
      <c r="W5" s="44">
        <f t="shared" si="6"/>
        <v>123.09</v>
      </c>
      <c r="X5" s="42">
        <f>-SUMIFS('Отчет 05-11.01'!P:P,'Отчет 05-11.01'!C:C,"Вознаграждение Ozon",'Отчет 05-11.01'!E:E,B5)</f>
        <v>518.58000000000004</v>
      </c>
      <c r="Y5" s="45">
        <f t="shared" si="7"/>
        <v>0.43000000000000005</v>
      </c>
      <c r="Z5" s="42">
        <f>-SUMIFS('Отчет 05-11.01'!P:P,'Отчет 05-11.01'!C:C,"Услуги доставки",'Отчет 05-11.01'!E:E,B5)</f>
        <v>191.7</v>
      </c>
      <c r="AA5" s="32">
        <v>0</v>
      </c>
      <c r="AB5" s="55"/>
      <c r="AC5" s="42"/>
      <c r="AD5" s="46">
        <f t="shared" si="8"/>
        <v>12.06</v>
      </c>
      <c r="AE5" s="47">
        <f t="shared" si="9"/>
        <v>360.57000000000005</v>
      </c>
      <c r="AF5" s="46"/>
      <c r="AG5" s="48">
        <f t="shared" si="10"/>
        <v>1206</v>
      </c>
      <c r="AH5" s="49">
        <f t="shared" si="11"/>
        <v>123.09</v>
      </c>
      <c r="AI5" s="49">
        <f t="shared" si="12"/>
        <v>518.58000000000004</v>
      </c>
      <c r="AJ5" s="49">
        <f t="shared" si="13"/>
        <v>191.7</v>
      </c>
      <c r="AK5" s="49">
        <f t="shared" si="14"/>
        <v>0</v>
      </c>
      <c r="AL5" s="49">
        <f t="array" ref="AL5">_xlfn.IFS(R5=0,AE5,R5&lt;0,AE5/-R5,R5&gt;0,AE5/R5)</f>
        <v>360.57000000000005</v>
      </c>
      <c r="AM5" s="50">
        <f t="shared" si="15"/>
        <v>0.29898009950248761</v>
      </c>
      <c r="AN5" s="51">
        <f t="shared" si="16"/>
        <v>2.9293200097489644</v>
      </c>
      <c r="AP5" s="53">
        <f t="shared" si="17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12</v>
      </c>
      <c r="L6" s="36"/>
      <c r="M6" s="36"/>
      <c r="N6" s="37">
        <f t="shared" si="1"/>
        <v>1.7142857142857142</v>
      </c>
      <c r="O6" s="38">
        <f t="shared" si="2"/>
        <v>1.5714285714285714</v>
      </c>
      <c r="P6" s="39">
        <f>SUMIFS('Отчет 05-11.01'!H:H,'Отчет 05-11.01'!D:D,"Выручка",'Отчет 05-11.01'!E:E,B6)</f>
        <v>12</v>
      </c>
      <c r="Q6" s="39">
        <f>SUMIFS('Отчет 05-11.01'!H:H,'Отчет 05-11.01'!D:D,"Возврат выручки",'Отчет 05-11.01'!E:E,B6)</f>
        <v>1</v>
      </c>
      <c r="R6" s="40">
        <f t="shared" si="3"/>
        <v>11</v>
      </c>
      <c r="S6" s="41">
        <f>SUMIFS('Отчет 05-11.01'!P:P,'Отчет 05-11.01'!C:C,"Продажи",'Отчет 05-11.01'!E:E,B6)</f>
        <v>17563.000000000004</v>
      </c>
      <c r="T6" s="42">
        <f>SUMIFS('Отчет 05-11.01'!P:P,'Отчет 05-11.01'!C:C,"Возвраты",'Отчет 05-11.01'!E:E,B6)</f>
        <v>-1687</v>
      </c>
      <c r="U6" s="40">
        <f t="shared" si="4"/>
        <v>15876.000000000004</v>
      </c>
      <c r="V6" s="43">
        <f t="shared" si="5"/>
        <v>1.5085518814139114</v>
      </c>
      <c r="W6" s="44">
        <f t="shared" si="6"/>
        <v>1353.99</v>
      </c>
      <c r="X6" s="42">
        <f>-SUMIFS('Отчет 05-11.01'!P:P,'Отчет 05-11.01'!C:C,"Вознаграждение Ozon",'Отчет 05-11.01'!E:E,B6)</f>
        <v>6826.68</v>
      </c>
      <c r="Y6" s="45">
        <f t="shared" si="7"/>
        <v>0.42999999999999994</v>
      </c>
      <c r="Z6" s="42">
        <f>-SUMIFS('Отчет 05-11.01'!P:P,'Отчет 05-11.01'!C:C,"Услуги доставки",'Отчет 05-11.01'!E:E,B6)</f>
        <v>1830.4899999999998</v>
      </c>
      <c r="AA6" s="32">
        <v>4400.7856820000006</v>
      </c>
      <c r="AB6" s="55"/>
      <c r="AC6" s="42"/>
      <c r="AD6" s="46">
        <f t="shared" si="8"/>
        <v>158.76000000000005</v>
      </c>
      <c r="AE6" s="47">
        <f t="shared" si="9"/>
        <v>1305.2943180000032</v>
      </c>
      <c r="AF6" s="46"/>
      <c r="AG6" s="48">
        <f t="shared" si="10"/>
        <v>1443.2727272727277</v>
      </c>
      <c r="AH6" s="49">
        <f t="shared" si="11"/>
        <v>123.09</v>
      </c>
      <c r="AI6" s="49">
        <f t="shared" si="12"/>
        <v>620.60727272727274</v>
      </c>
      <c r="AJ6" s="49">
        <f t="shared" si="13"/>
        <v>152.54083333333332</v>
      </c>
      <c r="AK6" s="49">
        <f t="shared" si="14"/>
        <v>366.73214016666674</v>
      </c>
      <c r="AL6" s="49">
        <f t="array" ref="AL6">_xlfn.IFS(R6=0,AE6,R6&lt;0,AE6/-R6,R6&gt;0,AE6/R6)</f>
        <v>118.66311981818211</v>
      </c>
      <c r="AM6" s="50">
        <f t="shared" si="15"/>
        <v>8.2218085034013788E-2</v>
      </c>
      <c r="AN6" s="51">
        <f t="shared" si="16"/>
        <v>0.96403541975938023</v>
      </c>
      <c r="AP6" s="53">
        <f t="shared" si="17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</v>
      </c>
      <c r="L7" s="36"/>
      <c r="M7" s="36"/>
      <c r="N7" s="37">
        <f t="shared" si="1"/>
        <v>0.14285714285714285</v>
      </c>
      <c r="O7" s="38">
        <f t="shared" si="2"/>
        <v>0.14285714285714285</v>
      </c>
      <c r="P7" s="39">
        <f>SUMIFS('Отчет 05-11.01'!H:H,'Отчет 05-11.01'!D:D,"Выручка",'Отчет 05-11.01'!E:E,B7)</f>
        <v>1</v>
      </c>
      <c r="Q7" s="39">
        <f>SUMIFS('Отчет 05-11.01'!H:H,'Отчет 05-11.01'!D:D,"Возврат выручки",'Отчет 05-11.01'!E:E,B7)</f>
        <v>0</v>
      </c>
      <c r="R7" s="40">
        <f t="shared" si="3"/>
        <v>1</v>
      </c>
      <c r="S7" s="41">
        <f>SUMIFS('Отчет 05-11.01'!P:P,'Отчет 05-11.01'!C:C,"Продажи",'Отчет 05-11.01'!E:E,B7)</f>
        <v>1687</v>
      </c>
      <c r="T7" s="42">
        <f>SUMIFS('Отчет 05-11.01'!P:P,'Отчет 05-11.01'!C:C,"Возвраты",'Отчет 05-11.01'!E:E,B7)</f>
        <v>0</v>
      </c>
      <c r="U7" s="40">
        <f t="shared" si="4"/>
        <v>1687</v>
      </c>
      <c r="V7" s="43">
        <f t="shared" si="5"/>
        <v>0.16030026605853287</v>
      </c>
      <c r="W7" s="44">
        <f t="shared" si="6"/>
        <v>117.24</v>
      </c>
      <c r="X7" s="42">
        <f>-SUMIFS('Отчет 05-11.01'!P:P,'Отчет 05-11.01'!C:C,"Вознаграждение Ozon",'Отчет 05-11.01'!E:E,B7)</f>
        <v>725.41</v>
      </c>
      <c r="Y7" s="45">
        <f t="shared" si="7"/>
        <v>0.43</v>
      </c>
      <c r="Z7" s="42">
        <f>-SUMIFS('Отчет 05-11.01'!P:P,'Отчет 05-11.01'!C:C,"Услуги доставки",'Отчет 05-11.01'!E:E,B7)</f>
        <v>230.78000000000003</v>
      </c>
      <c r="AA7" s="32">
        <v>607.89725499999997</v>
      </c>
      <c r="AB7" s="55"/>
      <c r="AC7" s="42"/>
      <c r="AD7" s="46">
        <f t="shared" si="8"/>
        <v>16.87</v>
      </c>
      <c r="AE7" s="47">
        <f t="shared" si="9"/>
        <v>-11.197255000000037</v>
      </c>
      <c r="AF7" s="46"/>
      <c r="AG7" s="48">
        <f t="shared" si="10"/>
        <v>1687</v>
      </c>
      <c r="AH7" s="49">
        <f t="shared" si="11"/>
        <v>117.24</v>
      </c>
      <c r="AI7" s="49">
        <f t="shared" si="12"/>
        <v>725.41</v>
      </c>
      <c r="AJ7" s="49">
        <f t="shared" si="13"/>
        <v>230.78000000000003</v>
      </c>
      <c r="AK7" s="49">
        <f t="shared" si="14"/>
        <v>607.89725499999997</v>
      </c>
      <c r="AL7" s="49">
        <f t="array" ref="AL7">_xlfn.IFS(R7=0,AE7,R7&lt;0,AE7/-R7,R7&gt;0,AE7/R7)</f>
        <v>-11.197255000000037</v>
      </c>
      <c r="AM7" s="50">
        <f t="shared" si="15"/>
        <v>-6.6373770005927904E-3</v>
      </c>
      <c r="AN7" s="51">
        <f t="shared" si="16"/>
        <v>-9.5507122142613768E-2</v>
      </c>
      <c r="AP7" s="53">
        <f t="shared" si="17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1</v>
      </c>
      <c r="L8" s="36"/>
      <c r="M8" s="36"/>
      <c r="N8" s="37">
        <f t="shared" si="1"/>
        <v>0.14285714285714285</v>
      </c>
      <c r="O8" s="38">
        <f t="shared" si="2"/>
        <v>0</v>
      </c>
      <c r="P8" s="39">
        <f>SUMIFS('Отчет 05-11.01'!H:H,'Отчет 05-11.01'!D:D,"Выручка",'Отчет 05-11.01'!E:E,B8)</f>
        <v>0</v>
      </c>
      <c r="Q8" s="39">
        <f>SUMIFS('Отчет 05-11.01'!H:H,'Отчет 05-11.01'!D:D,"Возврат выручки",'Отчет 05-11.01'!E:E,B8)</f>
        <v>0</v>
      </c>
      <c r="R8" s="40">
        <f t="shared" si="3"/>
        <v>0</v>
      </c>
      <c r="S8" s="41">
        <f>SUMIFS('Отчет 05-11.01'!P:P,'Отчет 05-11.01'!C:C,"Продажи",'Отчет 05-11.01'!E:E,B8)</f>
        <v>0</v>
      </c>
      <c r="T8" s="42">
        <f>SUMIFS('Отчет 05-11.01'!P:P,'Отчет 05-11.01'!C:C,"Возвраты",'Отчет 05-11.01'!E:E,B8)</f>
        <v>0</v>
      </c>
      <c r="U8" s="40">
        <f t="shared" si="4"/>
        <v>0</v>
      </c>
      <c r="V8" s="43">
        <f t="shared" si="5"/>
        <v>0</v>
      </c>
      <c r="W8" s="44">
        <f t="shared" si="6"/>
        <v>0</v>
      </c>
      <c r="X8" s="42">
        <f>-SUMIFS('Отчет 05-11.01'!P:P,'Отчет 05-11.01'!C:C,"Вознаграждение Ozon",'Отчет 05-11.01'!E:E,B8)</f>
        <v>0</v>
      </c>
      <c r="Y8" s="45">
        <f t="shared" si="7"/>
        <v>0</v>
      </c>
      <c r="Z8" s="42">
        <f>-SUMIFS('Отчет 05-11.01'!P:P,'Отчет 05-11.01'!C:C,"Услуги доставки",'Отчет 05-11.01'!E:E,B8)</f>
        <v>0</v>
      </c>
      <c r="AA8" s="32">
        <v>0</v>
      </c>
      <c r="AB8" s="55"/>
      <c r="AC8" s="42"/>
      <c r="AD8" s="46">
        <f t="shared" si="8"/>
        <v>0</v>
      </c>
      <c r="AE8" s="47">
        <f t="shared" si="9"/>
        <v>0</v>
      </c>
      <c r="AF8" s="46"/>
      <c r="AG8" s="48">
        <f t="shared" si="10"/>
        <v>0</v>
      </c>
      <c r="AH8" s="49">
        <f t="shared" si="11"/>
        <v>123</v>
      </c>
      <c r="AI8" s="49">
        <f t="shared" si="12"/>
        <v>0</v>
      </c>
      <c r="AJ8" s="49">
        <f t="shared" si="13"/>
        <v>0</v>
      </c>
      <c r="AK8" s="49">
        <f t="shared" si="14"/>
        <v>0</v>
      </c>
      <c r="AL8" s="49">
        <f t="array" ref="AL8">_xlfn.IFS(R8=0,AE8,R8&lt;0,AE8/-R8,R8&gt;0,AE8/R8)</f>
        <v>0</v>
      </c>
      <c r="AM8" s="50">
        <f t="shared" si="15"/>
        <v>0</v>
      </c>
      <c r="AN8" s="51">
        <f t="shared" si="16"/>
        <v>0</v>
      </c>
      <c r="AP8" s="53">
        <f t="shared" si="17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"/>
        <v>0.14285714285714285</v>
      </c>
      <c r="O9" s="38">
        <f t="shared" si="2"/>
        <v>0.14285714285714285</v>
      </c>
      <c r="P9" s="39">
        <f>SUMIFS('Отчет 05-11.01'!H:H,'Отчет 05-11.01'!D:D,"Выручка",'Отчет 05-11.01'!E:E,B9)</f>
        <v>1</v>
      </c>
      <c r="Q9" s="39">
        <f>SUMIFS('Отчет 05-11.01'!H:H,'Отчет 05-11.01'!D:D,"Возврат выручки",'Отчет 05-11.01'!E:E,B9)</f>
        <v>0</v>
      </c>
      <c r="R9" s="40">
        <f t="shared" si="3"/>
        <v>1</v>
      </c>
      <c r="S9" s="41">
        <f>SUMIFS('Отчет 05-11.01'!P:P,'Отчет 05-11.01'!C:C,"Продажи",'Отчет 05-11.01'!E:E,B9)</f>
        <v>1815</v>
      </c>
      <c r="T9" s="42">
        <f>SUMIFS('Отчет 05-11.01'!P:P,'Отчет 05-11.01'!C:C,"Возвраты",'Отчет 05-11.01'!E:E,B9)</f>
        <v>0</v>
      </c>
      <c r="U9" s="40">
        <f t="shared" si="4"/>
        <v>1815</v>
      </c>
      <c r="V9" s="43">
        <f t="shared" si="5"/>
        <v>0.1724629418472064</v>
      </c>
      <c r="W9" s="44">
        <f t="shared" si="6"/>
        <v>123</v>
      </c>
      <c r="X9" s="42">
        <f>-SUMIFS('Отчет 05-11.01'!P:P,'Отчет 05-11.01'!C:C,"Вознаграждение Ozon",'Отчет 05-11.01'!E:E,B9)</f>
        <v>780.45</v>
      </c>
      <c r="Y9" s="45">
        <f t="shared" si="7"/>
        <v>0.43000000000000005</v>
      </c>
      <c r="Z9" s="42">
        <f>-SUMIFS('Отчет 05-11.01'!P:P,'Отчет 05-11.01'!C:C,"Услуги доставки",'Отчет 05-11.01'!E:E,B9)</f>
        <v>295.64</v>
      </c>
      <c r="AA9" s="32">
        <v>788.64284999999995</v>
      </c>
      <c r="AB9" s="55"/>
      <c r="AC9" s="42"/>
      <c r="AD9" s="46">
        <f t="shared" si="8"/>
        <v>18.150000000000002</v>
      </c>
      <c r="AE9" s="47">
        <f t="shared" si="9"/>
        <v>-190.88284999999999</v>
      </c>
      <c r="AF9" s="46"/>
      <c r="AG9" s="48">
        <f t="shared" si="10"/>
        <v>1815</v>
      </c>
      <c r="AH9" s="49">
        <f t="shared" si="11"/>
        <v>123</v>
      </c>
      <c r="AI9" s="49">
        <f t="shared" si="12"/>
        <v>780.45</v>
      </c>
      <c r="AJ9" s="49">
        <f t="shared" si="13"/>
        <v>295.64</v>
      </c>
      <c r="AK9" s="49">
        <f t="shared" si="14"/>
        <v>788.64284999999995</v>
      </c>
      <c r="AL9" s="49">
        <f t="array" ref="AL9">_xlfn.IFS(R9=0,AE9,R9&lt;0,AE9/-R9,R9&gt;0,AE9/R9)</f>
        <v>-190.88284999999999</v>
      </c>
      <c r="AM9" s="50">
        <f t="shared" si="15"/>
        <v>-0.10516961432506887</v>
      </c>
      <c r="AN9" s="51">
        <f t="shared" si="16"/>
        <v>-1.5518930894308942</v>
      </c>
      <c r="AP9" s="53">
        <f t="shared" si="17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1</v>
      </c>
      <c r="L10" s="36"/>
      <c r="M10" s="36"/>
      <c r="N10" s="37">
        <f t="shared" si="1"/>
        <v>0.14285714285714285</v>
      </c>
      <c r="O10" s="38">
        <f t="shared" si="2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3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4"/>
        <v>0</v>
      </c>
      <c r="V10" s="43">
        <f t="shared" si="5"/>
        <v>0</v>
      </c>
      <c r="W10" s="44">
        <f t="shared" si="6"/>
        <v>0</v>
      </c>
      <c r="X10" s="42">
        <f>-SUMIFS('Отчет 05-11.01'!P:P,'Отчет 05-11.01'!C:C,"Вознаграждение Ozon",'Отчет 05-11.01'!E:E,B10)</f>
        <v>0</v>
      </c>
      <c r="Y10" s="45">
        <f t="shared" si="7"/>
        <v>0</v>
      </c>
      <c r="Z10" s="42">
        <f>-SUMIFS('Отчет 05-11.01'!P:P,'Отчет 05-11.01'!C:C,"Услуги доставки",'Отчет 05-11.01'!E:E,B10)</f>
        <v>93.54</v>
      </c>
      <c r="AA10" s="32">
        <v>0</v>
      </c>
      <c r="AB10" s="55"/>
      <c r="AC10" s="42"/>
      <c r="AD10" s="46">
        <f t="shared" si="8"/>
        <v>0</v>
      </c>
      <c r="AE10" s="47">
        <f t="shared" si="9"/>
        <v>-93.54</v>
      </c>
      <c r="AF10" s="46"/>
      <c r="AG10" s="48">
        <f t="shared" si="10"/>
        <v>0</v>
      </c>
      <c r="AH10" s="49">
        <f t="shared" si="11"/>
        <v>169.89</v>
      </c>
      <c r="AI10" s="49">
        <f t="shared" si="12"/>
        <v>0</v>
      </c>
      <c r="AJ10" s="49">
        <f t="shared" si="13"/>
        <v>93.54</v>
      </c>
      <c r="AK10" s="49">
        <f t="shared" si="14"/>
        <v>0</v>
      </c>
      <c r="AL10" s="49">
        <f t="array" ref="AL10">_xlfn.IFS(R10=0,AE10,R10&lt;0,AE10/-R10,R10&gt;0,AE10/R10)</f>
        <v>-93.54</v>
      </c>
      <c r="AM10" s="50">
        <f t="shared" si="15"/>
        <v>0</v>
      </c>
      <c r="AN10" s="51">
        <f t="shared" si="16"/>
        <v>-0.55059155924421688</v>
      </c>
      <c r="AP10" s="53">
        <f t="shared" si="17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"/>
        <v>0</v>
      </c>
      <c r="O11" s="38">
        <f t="shared" si="2"/>
        <v>0</v>
      </c>
      <c r="P11" s="39">
        <f>SUMIFS('Отчет 05-11.01'!H:H,'Отчет 05-11.01'!D:D,"Выручка",'Отчет 05-11.01'!E:E,B11)</f>
        <v>0</v>
      </c>
      <c r="Q11" s="39">
        <f>SUMIFS('Отчет 05-11.01'!H:H,'Отчет 05-11.01'!D:D,"Возврат выручки",'Отчет 05-11.01'!E:E,B11)</f>
        <v>0</v>
      </c>
      <c r="R11" s="40">
        <f t="shared" si="3"/>
        <v>0</v>
      </c>
      <c r="S11" s="41">
        <f>SUMIFS('Отчет 05-11.01'!P:P,'Отчет 05-11.01'!C:C,"Продажи",'Отчет 05-11.01'!E:E,B11)</f>
        <v>0</v>
      </c>
      <c r="T11" s="42">
        <f>SUMIFS('Отчет 05-11.01'!P:P,'Отчет 05-11.01'!C:C,"Возвраты",'Отчет 05-11.01'!E:E,B11)</f>
        <v>0</v>
      </c>
      <c r="U11" s="40">
        <f t="shared" si="4"/>
        <v>0</v>
      </c>
      <c r="V11" s="43">
        <f t="shared" si="5"/>
        <v>0</v>
      </c>
      <c r="W11" s="44">
        <f t="shared" si="6"/>
        <v>0</v>
      </c>
      <c r="X11" s="42">
        <f>-SUMIFS('Отчет 05-11.01'!P:P,'Отчет 05-11.01'!C:C,"Вознаграждение Ozon",'Отчет 05-11.01'!E:E,B11)</f>
        <v>0</v>
      </c>
      <c r="Y11" s="45">
        <f t="shared" si="7"/>
        <v>0</v>
      </c>
      <c r="Z11" s="42">
        <f>-SUMIFS('Отчет 05-11.01'!P:P,'Отчет 05-11.01'!C:C,"Услуги доставки",'Отчет 05-11.01'!E:E,B11)</f>
        <v>0</v>
      </c>
      <c r="AA11" s="32">
        <v>0</v>
      </c>
      <c r="AB11" s="55"/>
      <c r="AC11" s="42"/>
      <c r="AD11" s="46">
        <f t="shared" si="8"/>
        <v>0</v>
      </c>
      <c r="AE11" s="47">
        <f t="shared" si="9"/>
        <v>0</v>
      </c>
      <c r="AF11" s="46"/>
      <c r="AG11" s="48">
        <f t="shared" si="10"/>
        <v>0</v>
      </c>
      <c r="AH11" s="49">
        <f t="shared" si="11"/>
        <v>169.89</v>
      </c>
      <c r="AI11" s="49">
        <f t="shared" si="12"/>
        <v>0</v>
      </c>
      <c r="AJ11" s="49">
        <f t="shared" si="13"/>
        <v>0</v>
      </c>
      <c r="AK11" s="49">
        <f t="shared" si="14"/>
        <v>0</v>
      </c>
      <c r="AL11" s="49">
        <f t="array" ref="AL11">_xlfn.IFS(R11=0,AE11,R11&lt;0,AE11/-R11,R11&gt;0,AE11/R11)</f>
        <v>0</v>
      </c>
      <c r="AM11" s="50">
        <f t="shared" si="15"/>
        <v>0</v>
      </c>
      <c r="AN11" s="51">
        <f t="shared" si="16"/>
        <v>0</v>
      </c>
      <c r="AP11" s="53">
        <f t="shared" si="17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"/>
        <v>0</v>
      </c>
      <c r="O12" s="38">
        <f t="shared" si="2"/>
        <v>0.2857142857142857</v>
      </c>
      <c r="P12" s="39">
        <f>SUMIFS('Отчет 05-11.01'!H:H,'Отчет 05-11.01'!D:D,"Выручка",'Отчет 05-11.01'!E:E,B12)</f>
        <v>2</v>
      </c>
      <c r="Q12" s="39">
        <f>SUMIFS('Отчет 05-11.01'!H:H,'Отчет 05-11.01'!D:D,"Возврат выручки",'Отчет 05-11.01'!E:E,B12)</f>
        <v>0</v>
      </c>
      <c r="R12" s="40">
        <f t="shared" si="3"/>
        <v>2</v>
      </c>
      <c r="S12" s="41">
        <f>SUMIFS('Отчет 05-11.01'!P:P,'Отчет 05-11.01'!C:C,"Продажи",'Отчет 05-11.01'!E:E,B12)</f>
        <v>2180</v>
      </c>
      <c r="T12" s="42">
        <f>SUMIFS('Отчет 05-11.01'!P:P,'Отчет 05-11.01'!C:C,"Возвраты",'Отчет 05-11.01'!E:E,B12)</f>
        <v>0</v>
      </c>
      <c r="U12" s="40">
        <f t="shared" si="4"/>
        <v>2180</v>
      </c>
      <c r="V12" s="43">
        <f t="shared" si="5"/>
        <v>0.20714557202584569</v>
      </c>
      <c r="W12" s="44">
        <f t="shared" si="6"/>
        <v>339.78</v>
      </c>
      <c r="X12" s="42">
        <f>-SUMIFS('Отчет 05-11.01'!P:P,'Отчет 05-11.01'!C:C,"Вознаграждение Ozon",'Отчет 05-11.01'!E:E,B12)</f>
        <v>937.4</v>
      </c>
      <c r="Y12" s="45">
        <f t="shared" si="7"/>
        <v>0.43</v>
      </c>
      <c r="Z12" s="42">
        <f>-SUMIFS('Отчет 05-11.01'!P:P,'Отчет 05-11.01'!C:C,"Услуги доставки",'Отчет 05-11.01'!E:E,B12)</f>
        <v>182.66</v>
      </c>
      <c r="AA12" s="32">
        <v>0</v>
      </c>
      <c r="AB12" s="55"/>
      <c r="AC12" s="42"/>
      <c r="AD12" s="46">
        <f t="shared" si="8"/>
        <v>21.8</v>
      </c>
      <c r="AE12" s="47">
        <f t="shared" si="9"/>
        <v>698.36000000000013</v>
      </c>
      <c r="AF12" s="46"/>
      <c r="AG12" s="48">
        <f t="shared" si="10"/>
        <v>1090</v>
      </c>
      <c r="AH12" s="49">
        <f t="shared" si="11"/>
        <v>169.89</v>
      </c>
      <c r="AI12" s="49">
        <f t="shared" si="12"/>
        <v>468.7</v>
      </c>
      <c r="AJ12" s="49">
        <f t="shared" si="13"/>
        <v>91.33</v>
      </c>
      <c r="AK12" s="49">
        <f t="shared" si="14"/>
        <v>0</v>
      </c>
      <c r="AL12" s="49">
        <f t="array" ref="AL12">_xlfn.IFS(R12=0,AE12,R12&lt;0,AE12/-R12,R12&gt;0,AE12/R12)</f>
        <v>349.18000000000006</v>
      </c>
      <c r="AM12" s="50">
        <f t="shared" si="15"/>
        <v>0.32034862385321106</v>
      </c>
      <c r="AN12" s="51">
        <f t="shared" si="16"/>
        <v>2.0553299193595862</v>
      </c>
      <c r="AP12" s="53">
        <f t="shared" si="17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1</v>
      </c>
      <c r="L13" s="36"/>
      <c r="M13" s="36"/>
      <c r="N13" s="37">
        <f t="shared" si="1"/>
        <v>0.14285714285714285</v>
      </c>
      <c r="O13" s="38">
        <f t="shared" si="2"/>
        <v>0.14285714285714285</v>
      </c>
      <c r="P13" s="39">
        <f>SUMIFS('Отчет 05-11.01'!H:H,'Отчет 05-11.01'!D:D,"Выручка",'Отчет 05-11.01'!E:E,B13)</f>
        <v>1</v>
      </c>
      <c r="Q13" s="39">
        <f>SUMIFS('Отчет 05-11.01'!H:H,'Отчет 05-11.01'!D:D,"Возврат выручки",'Отчет 05-11.01'!E:E,B13)</f>
        <v>0</v>
      </c>
      <c r="R13" s="40">
        <f t="shared" si="3"/>
        <v>1</v>
      </c>
      <c r="S13" s="41">
        <f>SUMIFS('Отчет 05-11.01'!P:P,'Отчет 05-11.01'!C:C,"Продажи",'Отчет 05-11.01'!E:E,B13)</f>
        <v>1387</v>
      </c>
      <c r="T13" s="42">
        <f>SUMIFS('Отчет 05-11.01'!P:P,'Отчет 05-11.01'!C:C,"Возвраты",'Отчет 05-11.01'!E:E,B13)</f>
        <v>0</v>
      </c>
      <c r="U13" s="40">
        <f t="shared" si="4"/>
        <v>1387</v>
      </c>
      <c r="V13" s="43">
        <f t="shared" si="5"/>
        <v>0.13179399467882935</v>
      </c>
      <c r="W13" s="44">
        <f t="shared" si="6"/>
        <v>169.89</v>
      </c>
      <c r="X13" s="42">
        <f>-SUMIFS('Отчет 05-11.01'!P:P,'Отчет 05-11.01'!C:C,"Вознаграждение Ozon",'Отчет 05-11.01'!E:E,B13)</f>
        <v>596.41</v>
      </c>
      <c r="Y13" s="45">
        <f t="shared" si="7"/>
        <v>0.43</v>
      </c>
      <c r="Z13" s="42">
        <f>-SUMIFS('Отчет 05-11.01'!P:P,'Отчет 05-11.01'!C:C,"Услуги доставки",'Отчет 05-11.01'!E:E,B13)</f>
        <v>109.48</v>
      </c>
      <c r="AA13" s="32">
        <v>0</v>
      </c>
      <c r="AB13" s="55"/>
      <c r="AC13" s="42"/>
      <c r="AD13" s="46">
        <f t="shared" si="8"/>
        <v>13.870000000000001</v>
      </c>
      <c r="AE13" s="47">
        <f t="shared" si="9"/>
        <v>497.35000000000014</v>
      </c>
      <c r="AF13" s="46"/>
      <c r="AG13" s="48">
        <f t="shared" si="10"/>
        <v>1387</v>
      </c>
      <c r="AH13" s="49">
        <f t="shared" si="11"/>
        <v>169.89</v>
      </c>
      <c r="AI13" s="49">
        <f t="shared" si="12"/>
        <v>596.41</v>
      </c>
      <c r="AJ13" s="49">
        <f t="shared" si="13"/>
        <v>109.48</v>
      </c>
      <c r="AK13" s="49">
        <f t="shared" si="14"/>
        <v>0</v>
      </c>
      <c r="AL13" s="49">
        <f t="array" ref="AL13">_xlfn.IFS(R13=0,AE13,R13&lt;0,AE13/-R13,R13&gt;0,AE13/R13)</f>
        <v>497.35000000000014</v>
      </c>
      <c r="AM13" s="50">
        <f t="shared" si="15"/>
        <v>0.35857966834895466</v>
      </c>
      <c r="AN13" s="51">
        <f t="shared" si="16"/>
        <v>2.9274824886691397</v>
      </c>
      <c r="AP13" s="53">
        <f t="shared" si="17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"/>
        <v>0</v>
      </c>
      <c r="O14" s="38">
        <f t="shared" si="2"/>
        <v>0.14285714285714285</v>
      </c>
      <c r="P14" s="39">
        <f>SUMIFS('Отчет 05-11.01'!H:H,'Отчет 05-11.01'!D:D,"Выручка",'Отчет 05-11.01'!E:E,B14)</f>
        <v>1</v>
      </c>
      <c r="Q14" s="39">
        <f>SUMIFS('Отчет 05-11.01'!H:H,'Отчет 05-11.01'!D:D,"Возврат выручки",'Отчет 05-11.01'!E:E,B14)</f>
        <v>0</v>
      </c>
      <c r="R14" s="40">
        <f t="shared" si="3"/>
        <v>1</v>
      </c>
      <c r="S14" s="41">
        <f>SUMIFS('Отчет 05-11.01'!P:P,'Отчет 05-11.01'!C:C,"Продажи",'Отчет 05-11.01'!E:E,B14)</f>
        <v>1429</v>
      </c>
      <c r="T14" s="42">
        <f>SUMIFS('Отчет 05-11.01'!P:P,'Отчет 05-11.01'!C:C,"Возвраты",'Отчет 05-11.01'!E:E,B14)</f>
        <v>0</v>
      </c>
      <c r="U14" s="40">
        <f t="shared" si="4"/>
        <v>1429</v>
      </c>
      <c r="V14" s="43">
        <f t="shared" si="5"/>
        <v>0.13578487267198783</v>
      </c>
      <c r="W14" s="44">
        <f t="shared" si="6"/>
        <v>169.89</v>
      </c>
      <c r="X14" s="42">
        <f>-SUMIFS('Отчет 05-11.01'!P:P,'Отчет 05-11.01'!C:C,"Вознаграждение Ozon",'Отчет 05-11.01'!E:E,B14)</f>
        <v>614.47</v>
      </c>
      <c r="Y14" s="45">
        <f t="shared" si="7"/>
        <v>0.43</v>
      </c>
      <c r="Z14" s="42">
        <f>-SUMIFS('Отчет 05-11.01'!P:P,'Отчет 05-11.01'!C:C,"Услуги доставки",'Отчет 05-11.01'!E:E,B14)</f>
        <v>98.79</v>
      </c>
      <c r="AA14" s="32">
        <v>250.7</v>
      </c>
      <c r="AB14" s="55"/>
      <c r="AC14" s="42"/>
      <c r="AD14" s="46">
        <f t="shared" si="8"/>
        <v>14.290000000000001</v>
      </c>
      <c r="AE14" s="47">
        <f t="shared" si="9"/>
        <v>280.86000000000013</v>
      </c>
      <c r="AF14" s="46"/>
      <c r="AG14" s="48">
        <f t="shared" si="10"/>
        <v>1429</v>
      </c>
      <c r="AH14" s="49">
        <f t="shared" si="11"/>
        <v>169.89</v>
      </c>
      <c r="AI14" s="49">
        <f t="shared" si="12"/>
        <v>614.47</v>
      </c>
      <c r="AJ14" s="49">
        <f t="shared" si="13"/>
        <v>98.79</v>
      </c>
      <c r="AK14" s="49">
        <f t="shared" si="14"/>
        <v>250.7</v>
      </c>
      <c r="AL14" s="49">
        <f t="array" ref="AL14">_xlfn.IFS(R14=0,AE14,R14&lt;0,AE14/-R14,R14&gt;0,AE14/R14)</f>
        <v>280.86000000000013</v>
      </c>
      <c r="AM14" s="50">
        <f t="shared" si="15"/>
        <v>0.19654303708887344</v>
      </c>
      <c r="AN14" s="51">
        <f t="shared" si="16"/>
        <v>1.653187356524811</v>
      </c>
      <c r="AP14" s="53">
        <f t="shared" si="17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2</v>
      </c>
      <c r="L15" s="36"/>
      <c r="M15" s="36"/>
      <c r="N15" s="37">
        <f t="shared" si="1"/>
        <v>0.2857142857142857</v>
      </c>
      <c r="O15" s="38">
        <f t="shared" si="2"/>
        <v>0.2857142857142857</v>
      </c>
      <c r="P15" s="39">
        <f>SUMIFS('Отчет 05-11.01'!H:H,'Отчет 05-11.01'!D:D,"Выручка",'Отчет 05-11.01'!E:E,B15)</f>
        <v>2</v>
      </c>
      <c r="Q15" s="39">
        <f>SUMIFS('Отчет 05-11.01'!H:H,'Отчет 05-11.01'!D:D,"Возврат выручки",'Отчет 05-11.01'!E:E,B15)</f>
        <v>0</v>
      </c>
      <c r="R15" s="40">
        <f t="shared" si="3"/>
        <v>2</v>
      </c>
      <c r="S15" s="41">
        <f>SUMIFS('Отчет 05-11.01'!P:P,'Отчет 05-11.01'!C:C,"Продажи",'Отчет 05-11.01'!E:E,B15)</f>
        <v>2670</v>
      </c>
      <c r="T15" s="42">
        <f>SUMIFS('Отчет 05-11.01'!P:P,'Отчет 05-11.01'!C:C,"Возвраты",'Отчет 05-11.01'!E:E,B15)</f>
        <v>0</v>
      </c>
      <c r="U15" s="40">
        <f t="shared" si="4"/>
        <v>2670</v>
      </c>
      <c r="V15" s="43">
        <f t="shared" si="5"/>
        <v>0.25370581527936148</v>
      </c>
      <c r="W15" s="44">
        <f t="shared" si="6"/>
        <v>339.78</v>
      </c>
      <c r="X15" s="42">
        <f>-SUMIFS('Отчет 05-11.01'!P:P,'Отчет 05-11.01'!C:C,"Вознаграждение Ozon",'Отчет 05-11.01'!E:E,B15)</f>
        <v>1148.0999999999999</v>
      </c>
      <c r="Y15" s="45">
        <f t="shared" si="7"/>
        <v>0.43</v>
      </c>
      <c r="Z15" s="42">
        <f>-SUMIFS('Отчет 05-11.01'!P:P,'Отчет 05-11.01'!C:C,"Услуги доставки",'Отчет 05-11.01'!E:E,B15)</f>
        <v>396.41999999999996</v>
      </c>
      <c r="AA15" s="32">
        <v>626.05999999999995</v>
      </c>
      <c r="AB15" s="55"/>
      <c r="AC15" s="42"/>
      <c r="AD15" s="46">
        <f t="shared" si="8"/>
        <v>26.7</v>
      </c>
      <c r="AE15" s="47">
        <f t="shared" si="9"/>
        <v>132.94000000000045</v>
      </c>
      <c r="AF15" s="46"/>
      <c r="AG15" s="48">
        <f t="shared" si="10"/>
        <v>1335</v>
      </c>
      <c r="AH15" s="49">
        <f t="shared" si="11"/>
        <v>169.89</v>
      </c>
      <c r="AI15" s="49">
        <f t="shared" si="12"/>
        <v>574.04999999999995</v>
      </c>
      <c r="AJ15" s="49">
        <f t="shared" si="13"/>
        <v>198.20999999999998</v>
      </c>
      <c r="AK15" s="49">
        <f t="shared" si="14"/>
        <v>313.02999999999997</v>
      </c>
      <c r="AL15" s="49">
        <f t="array" ref="AL15">_xlfn.IFS(R15=0,AE15,R15&lt;0,AE15/-R15,R15&gt;0,AE15/R15)</f>
        <v>66.470000000000226</v>
      </c>
      <c r="AM15" s="50">
        <f t="shared" si="15"/>
        <v>4.9790262172284813E-2</v>
      </c>
      <c r="AN15" s="51">
        <f t="shared" si="16"/>
        <v>0.39125316381187963</v>
      </c>
      <c r="AP15" s="53">
        <f t="shared" si="17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2</v>
      </c>
      <c r="L16" s="36"/>
      <c r="M16" s="36"/>
      <c r="N16" s="37">
        <f t="shared" si="1"/>
        <v>0.2857142857142857</v>
      </c>
      <c r="O16" s="38">
        <f t="shared" si="2"/>
        <v>0.2857142857142857</v>
      </c>
      <c r="P16" s="39">
        <f>SUMIFS('Отчет 05-11.01'!H:H,'Отчет 05-11.01'!D:D,"Выручка",'Отчет 05-11.01'!E:E,B16)</f>
        <v>2</v>
      </c>
      <c r="Q16" s="39">
        <f>SUMIFS('Отчет 05-11.01'!H:H,'Отчет 05-11.01'!D:D,"Возврат выручки",'Отчет 05-11.01'!E:E,B16)</f>
        <v>0</v>
      </c>
      <c r="R16" s="40">
        <f t="shared" si="3"/>
        <v>2</v>
      </c>
      <c r="S16" s="41">
        <f>SUMIFS('Отчет 05-11.01'!P:P,'Отчет 05-11.01'!C:C,"Продажи",'Отчет 05-11.01'!E:E,B16)</f>
        <v>2583</v>
      </c>
      <c r="T16" s="42">
        <f>SUMIFS('Отчет 05-11.01'!P:P,'Отчет 05-11.01'!C:C,"Возвраты",'Отчет 05-11.01'!E:E,B16)</f>
        <v>0</v>
      </c>
      <c r="U16" s="40">
        <f t="shared" si="4"/>
        <v>2583</v>
      </c>
      <c r="V16" s="43">
        <f t="shared" si="5"/>
        <v>0.24543899657924745</v>
      </c>
      <c r="W16" s="44">
        <f t="shared" si="6"/>
        <v>339.78</v>
      </c>
      <c r="X16" s="42">
        <f>-SUMIFS('Отчет 05-11.01'!P:P,'Отчет 05-11.01'!C:C,"Вознаграждение Ozon",'Отчет 05-11.01'!E:E,B16)</f>
        <v>1110.69</v>
      </c>
      <c r="Y16" s="45">
        <f t="shared" si="7"/>
        <v>0.43000000000000005</v>
      </c>
      <c r="Z16" s="42">
        <f>-SUMIFS('Отчет 05-11.01'!P:P,'Отчет 05-11.01'!C:C,"Услуги доставки",'Отчет 05-11.01'!E:E,B16)</f>
        <v>223.88</v>
      </c>
      <c r="AA16" s="32">
        <v>298.54000000000002</v>
      </c>
      <c r="AB16" s="55"/>
      <c r="AC16" s="42"/>
      <c r="AD16" s="46">
        <f t="shared" si="8"/>
        <v>25.830000000000002</v>
      </c>
      <c r="AE16" s="47">
        <f t="shared" si="9"/>
        <v>584.28000000000009</v>
      </c>
      <c r="AF16" s="46"/>
      <c r="AG16" s="48">
        <f t="shared" si="10"/>
        <v>1291.5</v>
      </c>
      <c r="AH16" s="49">
        <f t="shared" si="11"/>
        <v>169.89</v>
      </c>
      <c r="AI16" s="49">
        <f t="shared" si="12"/>
        <v>555.34500000000003</v>
      </c>
      <c r="AJ16" s="49">
        <f t="shared" si="13"/>
        <v>111.94</v>
      </c>
      <c r="AK16" s="49">
        <f t="shared" si="14"/>
        <v>149.27000000000001</v>
      </c>
      <c r="AL16" s="49">
        <f t="array" ref="AL16">_xlfn.IFS(R16=0,AE16,R16&lt;0,AE16/-R16,R16&gt;0,AE16/R16)</f>
        <v>292.14000000000004</v>
      </c>
      <c r="AM16" s="50">
        <f t="shared" si="15"/>
        <v>0.22620209059233454</v>
      </c>
      <c r="AN16" s="51">
        <f t="shared" si="16"/>
        <v>1.7195832597563132</v>
      </c>
      <c r="AP16" s="53">
        <f t="shared" si="17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>K17/7</f>
        <v>0</v>
      </c>
      <c r="O17" s="38">
        <f t="shared" si="2"/>
        <v>0</v>
      </c>
      <c r="P17" s="39">
        <f>SUMIFS('Отчет 05-11.01'!H:H,'Отчет 05-11.01'!D:D,"Выручка",'Отчет 05-11.01'!E:E,B17)</f>
        <v>0</v>
      </c>
      <c r="Q17" s="39">
        <f>SUMIFS('Отчет 05-11.01'!H:H,'Отчет 05-11.01'!D:D,"Возврат выручки",'Отчет 05-11.01'!E:E,B17)</f>
        <v>0</v>
      </c>
      <c r="R17" s="40">
        <f t="shared" si="3"/>
        <v>0</v>
      </c>
      <c r="S17" s="41">
        <f>SUMIFS('Отчет 05-11.01'!P:P,'Отчет 05-11.01'!C:C,"Продажи",'Отчет 05-11.01'!E:E,B17)</f>
        <v>0</v>
      </c>
      <c r="T17" s="42">
        <f>SUMIFS('Отчет 05-11.01'!P:P,'Отчет 05-11.01'!C:C,"Возвраты",'Отчет 05-11.01'!E:E,B17)</f>
        <v>0</v>
      </c>
      <c r="U17" s="40">
        <f t="shared" si="4"/>
        <v>0</v>
      </c>
      <c r="V17" s="43">
        <f t="shared" si="5"/>
        <v>0</v>
      </c>
      <c r="W17" s="44">
        <f t="shared" si="6"/>
        <v>0</v>
      </c>
      <c r="X17" s="42">
        <f>-SUMIFS('Отчет 05-11.01'!P:P,'Отчет 05-11.01'!C:C,"Вознаграждение Ozon",'Отчет 05-11.01'!E:E,B17)</f>
        <v>0</v>
      </c>
      <c r="Y17" s="45">
        <f t="shared" si="7"/>
        <v>0</v>
      </c>
      <c r="Z17" s="42">
        <f>-SUMIFS('Отчет 05-11.01'!P:P,'Отчет 05-11.01'!C:C,"Услуги доставки",'Отчет 05-11.01'!E:E,B17)</f>
        <v>0</v>
      </c>
      <c r="AA17" s="32">
        <v>0</v>
      </c>
      <c r="AB17" s="55"/>
      <c r="AC17" s="42"/>
      <c r="AD17" s="46">
        <f t="shared" si="8"/>
        <v>0</v>
      </c>
      <c r="AE17" s="47">
        <f t="shared" si="9"/>
        <v>0</v>
      </c>
      <c r="AF17" s="46"/>
      <c r="AG17" s="48">
        <f t="shared" si="10"/>
        <v>0</v>
      </c>
      <c r="AH17" s="49">
        <f t="shared" si="11"/>
        <v>1002.82</v>
      </c>
      <c r="AI17" s="49">
        <f t="shared" si="12"/>
        <v>0</v>
      </c>
      <c r="AJ17" s="49">
        <f t="shared" si="13"/>
        <v>0</v>
      </c>
      <c r="AK17" s="49">
        <f t="shared" si="14"/>
        <v>0</v>
      </c>
      <c r="AL17" s="49">
        <f t="array" ref="AL17">_xlfn.IFS(R17=0,AE17,R17&lt;0,AE17/-R17,R17&gt;0,AE17/R17)</f>
        <v>0</v>
      </c>
      <c r="AM17" s="50">
        <f t="shared" si="15"/>
        <v>0</v>
      </c>
      <c r="AN17" s="51">
        <f t="shared" si="16"/>
        <v>0</v>
      </c>
      <c r="AP17" s="53">
        <f t="shared" si="17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"/>
        <v>0</v>
      </c>
      <c r="O18" s="38">
        <f t="shared" si="2"/>
        <v>0</v>
      </c>
      <c r="P18" s="39">
        <f>SUMIFS('Отчет 05-11.01'!H:H,'Отчет 05-11.01'!D:D,"Выручка",'Отчет 05-11.01'!E:E,B18)</f>
        <v>0</v>
      </c>
      <c r="Q18" s="39">
        <f>SUMIFS('Отчет 05-11.01'!H:H,'Отчет 05-11.01'!D:D,"Возврат выручки",'Отчет 05-11.01'!E:E,B18)</f>
        <v>0</v>
      </c>
      <c r="R18" s="40">
        <f t="shared" si="3"/>
        <v>0</v>
      </c>
      <c r="S18" s="41">
        <f>SUMIFS('Отчет 05-11.01'!P:P,'Отчет 05-11.01'!C:C,"Продажи",'Отчет 05-11.01'!E:E,B18)</f>
        <v>0</v>
      </c>
      <c r="T18" s="42">
        <f>SUMIFS('Отчет 05-11.01'!P:P,'Отчет 05-11.01'!C:C,"Возвраты",'Отчет 05-11.01'!E:E,B18)</f>
        <v>0</v>
      </c>
      <c r="U18" s="40">
        <f t="shared" si="4"/>
        <v>0</v>
      </c>
      <c r="V18" s="43">
        <f t="shared" si="5"/>
        <v>0</v>
      </c>
      <c r="W18" s="44">
        <f t="shared" si="6"/>
        <v>0</v>
      </c>
      <c r="X18" s="42">
        <f>-SUMIFS('Отчет 05-11.01'!P:P,'Отчет 05-11.01'!C:C,"Вознаграждение Ozon",'Отчет 05-11.01'!E:E,B18)</f>
        <v>0</v>
      </c>
      <c r="Y18" s="45">
        <f t="shared" si="7"/>
        <v>0</v>
      </c>
      <c r="Z18" s="42">
        <f>-SUMIFS('Отчет 05-11.01'!P:P,'Отчет 05-11.01'!C:C,"Услуги доставки",'Отчет 05-11.01'!E:E,B18)</f>
        <v>0</v>
      </c>
      <c r="AA18" s="32">
        <v>0</v>
      </c>
      <c r="AB18" s="55"/>
      <c r="AC18" s="42"/>
      <c r="AD18" s="46">
        <f t="shared" si="8"/>
        <v>0</v>
      </c>
      <c r="AE18" s="47">
        <f t="shared" si="9"/>
        <v>0</v>
      </c>
      <c r="AF18" s="46"/>
      <c r="AG18" s="48">
        <f t="shared" si="10"/>
        <v>0</v>
      </c>
      <c r="AH18" s="49">
        <f t="shared" si="11"/>
        <v>909.22</v>
      </c>
      <c r="AI18" s="49">
        <f t="shared" si="12"/>
        <v>0</v>
      </c>
      <c r="AJ18" s="49">
        <f t="shared" si="13"/>
        <v>0</v>
      </c>
      <c r="AK18" s="49">
        <f t="shared" si="14"/>
        <v>0</v>
      </c>
      <c r="AL18" s="49">
        <f t="array" ref="AL18">_xlfn.IFS(R18=0,AE18,R18&lt;0,AE18/-R18,R18&gt;0,AE18/R18)</f>
        <v>0</v>
      </c>
      <c r="AM18" s="50">
        <f t="shared" si="15"/>
        <v>0</v>
      </c>
      <c r="AN18" s="51">
        <f t="shared" si="16"/>
        <v>0</v>
      </c>
      <c r="AP18" s="53">
        <f t="shared" si="17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1</v>
      </c>
      <c r="L19" s="36"/>
      <c r="M19" s="36"/>
      <c r="N19" s="37">
        <f t="shared" si="1"/>
        <v>0.14285714285714285</v>
      </c>
      <c r="O19" s="38">
        <f t="shared" si="2"/>
        <v>0</v>
      </c>
      <c r="P19" s="39">
        <f>SUMIFS('Отчет 05-11.01'!H:H,'Отчет 05-11.01'!D:D,"Выручка",'Отчет 05-11.01'!E:E,B19)</f>
        <v>0</v>
      </c>
      <c r="Q19" s="39">
        <f>SUMIFS('Отчет 05-11.01'!H:H,'Отчет 05-11.01'!D:D,"Возврат выручки",'Отчет 05-11.01'!E:E,B19)</f>
        <v>0</v>
      </c>
      <c r="R19" s="40">
        <f t="shared" si="3"/>
        <v>0</v>
      </c>
      <c r="S19" s="41">
        <f>SUMIFS('Отчет 05-11.01'!P:P,'Отчет 05-11.01'!C:C,"Продажи",'Отчет 05-11.01'!E:E,B19)</f>
        <v>0</v>
      </c>
      <c r="T19" s="42">
        <f>SUMIFS('Отчет 05-11.01'!P:P,'Отчет 05-11.01'!C:C,"Возвраты",'Отчет 05-11.01'!E:E,B19)</f>
        <v>0</v>
      </c>
      <c r="U19" s="40">
        <f t="shared" si="4"/>
        <v>0</v>
      </c>
      <c r="V19" s="43">
        <f t="shared" si="5"/>
        <v>0</v>
      </c>
      <c r="W19" s="44">
        <f t="shared" si="6"/>
        <v>0</v>
      </c>
      <c r="X19" s="42">
        <f>-SUMIFS('Отчет 05-11.01'!P:P,'Отчет 05-11.01'!C:C,"Вознаграждение Ozon",'Отчет 05-11.01'!E:E,B19)</f>
        <v>0</v>
      </c>
      <c r="Y19" s="45">
        <f t="shared" si="7"/>
        <v>0</v>
      </c>
      <c r="Z19" s="42">
        <f>-SUMIFS('Отчет 05-11.01'!P:P,'Отчет 05-11.01'!C:C,"Услуги доставки",'Отчет 05-11.01'!E:E,B19)</f>
        <v>0</v>
      </c>
      <c r="AA19" s="32">
        <v>0</v>
      </c>
      <c r="AB19" s="55"/>
      <c r="AC19" s="42"/>
      <c r="AD19" s="46">
        <f t="shared" si="8"/>
        <v>0</v>
      </c>
      <c r="AE19" s="47">
        <f t="shared" si="9"/>
        <v>0</v>
      </c>
      <c r="AF19" s="46"/>
      <c r="AG19" s="48">
        <f t="shared" si="10"/>
        <v>0</v>
      </c>
      <c r="AH19" s="49">
        <f t="shared" si="11"/>
        <v>909.22</v>
      </c>
      <c r="AI19" s="49">
        <f t="shared" si="12"/>
        <v>0</v>
      </c>
      <c r="AJ19" s="49">
        <f t="shared" si="13"/>
        <v>0</v>
      </c>
      <c r="AK19" s="49">
        <f t="shared" si="14"/>
        <v>0</v>
      </c>
      <c r="AL19" s="49">
        <f t="array" ref="AL19">_xlfn.IFS(R19=0,AE19,R19&lt;0,AE19/-R19,R19&gt;0,AE19/R19)</f>
        <v>0</v>
      </c>
      <c r="AM19" s="50">
        <f t="shared" si="15"/>
        <v>0</v>
      </c>
      <c r="AN19" s="51">
        <f t="shared" si="16"/>
        <v>0</v>
      </c>
      <c r="AP19" s="53">
        <f t="shared" si="17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"/>
        <v>0</v>
      </c>
      <c r="O20" s="38">
        <f t="shared" si="2"/>
        <v>0</v>
      </c>
      <c r="P20" s="39">
        <f>SUMIFS('Отчет 05-11.01'!H:H,'Отчет 05-11.01'!D:D,"Выручка",'Отчет 05-11.01'!E:E,B20)</f>
        <v>0</v>
      </c>
      <c r="Q20" s="39">
        <f>SUMIFS('Отчет 05-11.01'!H:H,'Отчет 05-11.01'!D:D,"Возврат выручки",'Отчет 05-11.01'!E:E,B20)</f>
        <v>0</v>
      </c>
      <c r="R20" s="40">
        <f t="shared" si="3"/>
        <v>0</v>
      </c>
      <c r="S20" s="41">
        <f>SUMIFS('Отчет 05-11.01'!P:P,'Отчет 05-11.01'!C:C,"Продажи",'Отчет 05-11.01'!E:E,B20)</f>
        <v>0</v>
      </c>
      <c r="T20" s="42">
        <f>SUMIFS('Отчет 05-11.01'!P:P,'Отчет 05-11.01'!C:C,"Возвраты",'Отчет 05-11.01'!E:E,B20)</f>
        <v>0</v>
      </c>
      <c r="U20" s="40">
        <f t="shared" si="4"/>
        <v>0</v>
      </c>
      <c r="V20" s="43">
        <f t="shared" si="5"/>
        <v>0</v>
      </c>
      <c r="W20" s="44">
        <f t="shared" si="6"/>
        <v>0</v>
      </c>
      <c r="X20" s="42">
        <f>-SUMIFS('Отчет 05-11.01'!P:P,'Отчет 05-11.01'!C:C,"Вознаграждение Ozon",'Отчет 05-11.01'!E:E,B20)</f>
        <v>0</v>
      </c>
      <c r="Y20" s="45">
        <f t="shared" si="7"/>
        <v>0</v>
      </c>
      <c r="Z20" s="42">
        <f>-SUMIFS('Отчет 05-11.01'!P:P,'Отчет 05-11.01'!C:C,"Услуги доставки",'Отчет 05-11.01'!E:E,B20)</f>
        <v>0</v>
      </c>
      <c r="AA20" s="32">
        <v>0</v>
      </c>
      <c r="AB20" s="55"/>
      <c r="AC20" s="42"/>
      <c r="AD20" s="46">
        <f t="shared" si="8"/>
        <v>0</v>
      </c>
      <c r="AE20" s="47">
        <f t="shared" si="9"/>
        <v>0</v>
      </c>
      <c r="AF20" s="46"/>
      <c r="AG20" s="48">
        <f t="shared" si="10"/>
        <v>0</v>
      </c>
      <c r="AH20" s="49">
        <f t="shared" si="11"/>
        <v>932.62</v>
      </c>
      <c r="AI20" s="49">
        <f t="shared" si="12"/>
        <v>0</v>
      </c>
      <c r="AJ20" s="49">
        <f t="shared" si="13"/>
        <v>0</v>
      </c>
      <c r="AK20" s="49">
        <f t="shared" si="14"/>
        <v>0</v>
      </c>
      <c r="AL20" s="49">
        <f t="array" ref="AL20">_xlfn.IFS(R20=0,AE20,R20&lt;0,AE20/-R20,R20&gt;0,AE20/R20)</f>
        <v>0</v>
      </c>
      <c r="AM20" s="50">
        <f t="shared" si="15"/>
        <v>0</v>
      </c>
      <c r="AN20" s="51">
        <f t="shared" si="16"/>
        <v>0</v>
      </c>
      <c r="AP20" s="53">
        <f t="shared" si="17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"/>
        <v>0</v>
      </c>
      <c r="O21" s="38">
        <f t="shared" si="2"/>
        <v>0</v>
      </c>
      <c r="P21" s="39">
        <f>SUMIFS('Отчет 05-11.01'!H:H,'Отчет 05-11.01'!D:D,"Выручка",'Отчет 05-11.01'!E:E,B21)</f>
        <v>0</v>
      </c>
      <c r="Q21" s="39">
        <f>SUMIFS('Отчет 05-11.01'!H:H,'Отчет 05-11.01'!D:D,"Возврат выручки",'Отчет 05-11.01'!E:E,B21)</f>
        <v>0</v>
      </c>
      <c r="R21" s="40">
        <f t="shared" si="3"/>
        <v>0</v>
      </c>
      <c r="S21" s="41">
        <f>SUMIFS('Отчет 05-11.01'!P:P,'Отчет 05-11.01'!C:C,"Продажи",'Отчет 05-11.01'!E:E,B21)</f>
        <v>0</v>
      </c>
      <c r="T21" s="42">
        <f>SUMIFS('Отчет 05-11.01'!P:P,'Отчет 05-11.01'!C:C,"Возвраты",'Отчет 05-11.01'!E:E,B21)</f>
        <v>0</v>
      </c>
      <c r="U21" s="40">
        <f t="shared" si="4"/>
        <v>0</v>
      </c>
      <c r="V21" s="43">
        <f t="shared" si="5"/>
        <v>0</v>
      </c>
      <c r="W21" s="44">
        <f t="shared" si="6"/>
        <v>0</v>
      </c>
      <c r="X21" s="42">
        <f>-SUMIFS('Отчет 05-11.01'!P:P,'Отчет 05-11.01'!C:C,"Вознаграждение Ozon",'Отчет 05-11.01'!E:E,B21)</f>
        <v>0</v>
      </c>
      <c r="Y21" s="45">
        <f t="shared" si="7"/>
        <v>0</v>
      </c>
      <c r="Z21" s="42">
        <f>-SUMIFS('Отчет 05-11.01'!P:P,'Отчет 05-11.01'!C:C,"Услуги доставки",'Отчет 05-11.01'!E:E,B21)</f>
        <v>0</v>
      </c>
      <c r="AA21" s="32">
        <v>0</v>
      </c>
      <c r="AB21" s="55"/>
      <c r="AC21" s="42"/>
      <c r="AD21" s="46">
        <f t="shared" si="8"/>
        <v>0</v>
      </c>
      <c r="AE21" s="47">
        <f t="shared" si="9"/>
        <v>0</v>
      </c>
      <c r="AF21" s="46"/>
      <c r="AG21" s="48">
        <f t="shared" si="10"/>
        <v>0</v>
      </c>
      <c r="AH21" s="49">
        <f t="shared" si="11"/>
        <v>1014.52</v>
      </c>
      <c r="AI21" s="49">
        <f t="shared" si="12"/>
        <v>0</v>
      </c>
      <c r="AJ21" s="49">
        <f t="shared" si="13"/>
        <v>0</v>
      </c>
      <c r="AK21" s="49">
        <f t="shared" si="14"/>
        <v>0</v>
      </c>
      <c r="AL21" s="49">
        <f t="array" ref="AL21">_xlfn.IFS(R21=0,AE21,R21&lt;0,AE21/-R21,R21&gt;0,AE21/R21)</f>
        <v>0</v>
      </c>
      <c r="AM21" s="50">
        <f t="shared" si="15"/>
        <v>0</v>
      </c>
      <c r="AN21" s="51">
        <f t="shared" si="16"/>
        <v>0</v>
      </c>
      <c r="AP21" s="53">
        <f t="shared" si="17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"/>
        <v>0</v>
      </c>
      <c r="O22" s="38">
        <f t="shared" si="2"/>
        <v>0</v>
      </c>
      <c r="P22" s="39">
        <f>SUMIFS('Отчет 05-11.01'!H:H,'Отчет 05-11.01'!D:D,"Выручка",'Отчет 05-11.01'!E:E,B22)</f>
        <v>0</v>
      </c>
      <c r="Q22" s="39">
        <f>SUMIFS('Отчет 05-11.01'!H:H,'Отчет 05-11.01'!D:D,"Возврат выручки",'Отчет 05-11.01'!E:E,B22)</f>
        <v>0</v>
      </c>
      <c r="R22" s="40">
        <f t="shared" si="3"/>
        <v>0</v>
      </c>
      <c r="S22" s="41">
        <f>SUMIFS('Отчет 05-11.01'!P:P,'Отчет 05-11.01'!C:C,"Продажи",'Отчет 05-11.01'!E:E,B22)</f>
        <v>0</v>
      </c>
      <c r="T22" s="42">
        <f>SUMIFS('Отчет 05-11.01'!P:P,'Отчет 05-11.01'!C:C,"Возвраты",'Отчет 05-11.01'!E:E,B22)</f>
        <v>0</v>
      </c>
      <c r="U22" s="40">
        <f t="shared" si="4"/>
        <v>0</v>
      </c>
      <c r="V22" s="43">
        <f t="shared" si="5"/>
        <v>0</v>
      </c>
      <c r="W22" s="44">
        <f t="shared" si="6"/>
        <v>0</v>
      </c>
      <c r="X22" s="42">
        <f>-SUMIFS('Отчет 05-11.01'!P:P,'Отчет 05-11.01'!C:C,"Вознаграждение Ozon",'Отчет 05-11.01'!E:E,B22)</f>
        <v>0</v>
      </c>
      <c r="Y22" s="45">
        <f t="shared" si="7"/>
        <v>0</v>
      </c>
      <c r="Z22" s="42">
        <f>-SUMIFS('Отчет 05-11.01'!P:P,'Отчет 05-11.01'!C:C,"Услуги доставки",'Отчет 05-11.01'!E:E,B22)</f>
        <v>0</v>
      </c>
      <c r="AA22" s="32">
        <v>0</v>
      </c>
      <c r="AB22" s="55"/>
      <c r="AC22" s="42"/>
      <c r="AD22" s="46">
        <f t="shared" si="8"/>
        <v>0</v>
      </c>
      <c r="AE22" s="47">
        <f t="shared" si="9"/>
        <v>0</v>
      </c>
      <c r="AF22" s="46"/>
      <c r="AG22" s="48">
        <f t="shared" si="10"/>
        <v>0</v>
      </c>
      <c r="AH22" s="49">
        <f t="shared" si="11"/>
        <v>1014.52</v>
      </c>
      <c r="AI22" s="49">
        <f t="shared" si="12"/>
        <v>0</v>
      </c>
      <c r="AJ22" s="49">
        <f t="shared" si="13"/>
        <v>0</v>
      </c>
      <c r="AK22" s="49">
        <f t="shared" si="14"/>
        <v>0</v>
      </c>
      <c r="AL22" s="49">
        <f t="array" ref="AL22">_xlfn.IFS(R22=0,AE22,R22&lt;0,AE22/-R22,R22&gt;0,AE22/R22)</f>
        <v>0</v>
      </c>
      <c r="AM22" s="50">
        <f t="shared" si="15"/>
        <v>0</v>
      </c>
      <c r="AN22" s="51">
        <f t="shared" si="16"/>
        <v>0</v>
      </c>
      <c r="AP22" s="53">
        <f t="shared" si="17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"/>
        <v>0</v>
      </c>
      <c r="O23" s="38">
        <f t="shared" si="2"/>
        <v>0</v>
      </c>
      <c r="P23" s="39">
        <f>SUMIFS('Отчет 05-11.01'!H:H,'Отчет 05-11.01'!D:D,"Выручка",'Отчет 05-11.01'!E:E,B23)</f>
        <v>0</v>
      </c>
      <c r="Q23" s="39">
        <f>SUMIFS('Отчет 05-11.01'!H:H,'Отчет 05-11.01'!D:D,"Возврат выручки",'Отчет 05-11.01'!E:E,B23)</f>
        <v>0</v>
      </c>
      <c r="R23" s="40">
        <f t="shared" si="3"/>
        <v>0</v>
      </c>
      <c r="S23" s="41">
        <f>SUMIFS('Отчет 05-11.01'!P:P,'Отчет 05-11.01'!C:C,"Продажи",'Отчет 05-11.01'!E:E,B23)</f>
        <v>0</v>
      </c>
      <c r="T23" s="42">
        <f>SUMIFS('Отчет 05-11.01'!P:P,'Отчет 05-11.01'!C:C,"Возвраты",'Отчет 05-11.01'!E:E,B23)</f>
        <v>0</v>
      </c>
      <c r="U23" s="40">
        <f t="shared" si="4"/>
        <v>0</v>
      </c>
      <c r="V23" s="43">
        <f t="shared" si="5"/>
        <v>0</v>
      </c>
      <c r="W23" s="44">
        <f t="shared" si="6"/>
        <v>0</v>
      </c>
      <c r="X23" s="42">
        <f>-SUMIFS('Отчет 05-11.01'!P:P,'Отчет 05-11.01'!C:C,"Вознаграждение Ozon",'Отчет 05-11.01'!E:E,B23)</f>
        <v>0</v>
      </c>
      <c r="Y23" s="45">
        <f t="shared" si="7"/>
        <v>0</v>
      </c>
      <c r="Z23" s="42">
        <f>-SUMIFS('Отчет 05-11.01'!P:P,'Отчет 05-11.01'!C:C,"Услуги доставки",'Отчет 05-11.01'!E:E,B23)</f>
        <v>0</v>
      </c>
      <c r="AA23" s="32">
        <v>0</v>
      </c>
      <c r="AB23" s="55"/>
      <c r="AC23" s="42"/>
      <c r="AD23" s="46">
        <f t="shared" si="8"/>
        <v>0</v>
      </c>
      <c r="AE23" s="47">
        <f t="shared" si="9"/>
        <v>0</v>
      </c>
      <c r="AF23" s="46"/>
      <c r="AG23" s="48">
        <f t="shared" si="10"/>
        <v>0</v>
      </c>
      <c r="AH23" s="49">
        <f t="shared" si="11"/>
        <v>1014.52</v>
      </c>
      <c r="AI23" s="49">
        <f t="shared" si="12"/>
        <v>0</v>
      </c>
      <c r="AJ23" s="49">
        <f t="shared" si="13"/>
        <v>0</v>
      </c>
      <c r="AK23" s="49">
        <f t="shared" si="14"/>
        <v>0</v>
      </c>
      <c r="AL23" s="49">
        <f t="array" ref="AL23">_xlfn.IFS(R23=0,AE23,R23&lt;0,AE23/-R23,R23&gt;0,AE23/R23)</f>
        <v>0</v>
      </c>
      <c r="AM23" s="50">
        <f t="shared" si="15"/>
        <v>0</v>
      </c>
      <c r="AN23" s="51">
        <f t="shared" si="16"/>
        <v>0</v>
      </c>
      <c r="AP23" s="53">
        <f t="shared" si="17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"/>
        <v>0</v>
      </c>
      <c r="O24" s="38">
        <f t="shared" si="2"/>
        <v>0</v>
      </c>
      <c r="P24" s="39">
        <f>SUMIFS('Отчет 05-11.01'!H:H,'Отчет 05-11.01'!D:D,"Выручка",'Отчет 05-11.01'!E:E,B24)</f>
        <v>0</v>
      </c>
      <c r="Q24" s="39">
        <f>SUMIFS('Отчет 05-11.01'!H:H,'Отчет 05-11.01'!D:D,"Возврат выручки",'Отчет 05-11.01'!E:E,B24)</f>
        <v>0</v>
      </c>
      <c r="R24" s="40">
        <f t="shared" si="3"/>
        <v>0</v>
      </c>
      <c r="S24" s="41">
        <f>SUMIFS('Отчет 05-11.01'!P:P,'Отчет 05-11.01'!C:C,"Продажи",'Отчет 05-11.01'!E:E,B24)</f>
        <v>0</v>
      </c>
      <c r="T24" s="42">
        <f>SUMIFS('Отчет 05-11.01'!P:P,'Отчет 05-11.01'!C:C,"Возвраты",'Отчет 05-11.01'!E:E,B24)</f>
        <v>0</v>
      </c>
      <c r="U24" s="40">
        <f t="shared" si="4"/>
        <v>0</v>
      </c>
      <c r="V24" s="43">
        <f t="shared" si="5"/>
        <v>0</v>
      </c>
      <c r="W24" s="44">
        <f t="shared" si="6"/>
        <v>0</v>
      </c>
      <c r="X24" s="42">
        <f>-SUMIFS('Отчет 05-11.01'!P:P,'Отчет 05-11.01'!C:C,"Вознаграждение Ozon",'Отчет 05-11.01'!E:E,B24)</f>
        <v>0</v>
      </c>
      <c r="Y24" s="45">
        <f t="shared" si="7"/>
        <v>0</v>
      </c>
      <c r="Z24" s="42">
        <f>-SUMIFS('Отчет 05-11.01'!P:P,'Отчет 05-11.01'!C:C,"Услуги доставки",'Отчет 05-11.01'!E:E,B24)</f>
        <v>0</v>
      </c>
      <c r="AA24" s="32">
        <v>0</v>
      </c>
      <c r="AB24" s="55"/>
      <c r="AC24" s="42"/>
      <c r="AD24" s="46">
        <f t="shared" si="8"/>
        <v>0</v>
      </c>
      <c r="AE24" s="47">
        <f t="shared" si="9"/>
        <v>0</v>
      </c>
      <c r="AF24" s="46"/>
      <c r="AG24" s="48">
        <f t="shared" si="10"/>
        <v>0</v>
      </c>
      <c r="AH24" s="49">
        <f t="shared" si="11"/>
        <v>991.12</v>
      </c>
      <c r="AI24" s="49">
        <f t="shared" si="12"/>
        <v>0</v>
      </c>
      <c r="AJ24" s="49">
        <f t="shared" si="13"/>
        <v>0</v>
      </c>
      <c r="AK24" s="49">
        <f t="shared" si="14"/>
        <v>0</v>
      </c>
      <c r="AL24" s="49">
        <f t="array" ref="AL24">_xlfn.IFS(R24=0,AE24,R24&lt;0,AE24/-R24,R24&gt;0,AE24/R24)</f>
        <v>0</v>
      </c>
      <c r="AM24" s="50">
        <f t="shared" si="15"/>
        <v>0</v>
      </c>
      <c r="AN24" s="51">
        <f t="shared" si="16"/>
        <v>0</v>
      </c>
      <c r="AP24" s="53">
        <f t="shared" si="17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1438.7772727272727</v>
      </c>
      <c r="AH25" s="58">
        <f t="shared" si="18"/>
        <v>447.87636363636369</v>
      </c>
      <c r="AI25" s="58">
        <f t="shared" si="18"/>
        <v>618.67422727272731</v>
      </c>
      <c r="AJ25" s="58">
        <f t="shared" si="18"/>
        <v>159.44199783549786</v>
      </c>
      <c r="AK25" s="58">
        <f t="shared" si="18"/>
        <v>407.19988526870742</v>
      </c>
      <c r="AL25" s="58">
        <f t="shared" si="18"/>
        <v>170.44489535278936</v>
      </c>
      <c r="AM25" s="59">
        <f t="shared" si="18"/>
        <v>0.15413248483078715</v>
      </c>
      <c r="AN25" s="59">
        <f t="shared" si="18"/>
        <v>1.0798119051359565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74</v>
      </c>
      <c r="L26" s="67"/>
      <c r="M26" s="67"/>
      <c r="N26" s="68"/>
      <c r="O26" s="69"/>
      <c r="P26" s="64">
        <f>SUM(P3:P24)</f>
        <v>58</v>
      </c>
      <c r="Q26" s="64">
        <f t="shared" ref="Q26:AE26" si="19">SUM(Q3:Q24)</f>
        <v>4</v>
      </c>
      <c r="R26" s="64">
        <f t="shared" si="19"/>
        <v>54</v>
      </c>
      <c r="S26" s="70">
        <f>SUM(S3:S24)</f>
        <v>92160.000000000015</v>
      </c>
      <c r="T26" s="64">
        <f t="shared" si="19"/>
        <v>-6799</v>
      </c>
      <c r="U26" s="64">
        <f t="shared" si="19"/>
        <v>85361.000000000015</v>
      </c>
      <c r="V26" s="71">
        <f t="shared" si="19"/>
        <v>8.1110794374762474</v>
      </c>
      <c r="W26" s="64">
        <f t="shared" si="19"/>
        <v>7651.7999999999993</v>
      </c>
      <c r="X26" s="64">
        <f t="shared" si="19"/>
        <v>36705.23000000001</v>
      </c>
      <c r="Y26" s="72">
        <f>IF(U26=0,0,X26/U26)</f>
        <v>0.43000000000000005</v>
      </c>
      <c r="Z26" s="64">
        <f t="shared" si="19"/>
        <v>9950.2700000000059</v>
      </c>
      <c r="AA26" s="64">
        <f>IFERROR(P26*AA51/P51,0)</f>
        <v>20346.216333333334</v>
      </c>
      <c r="AB26" s="64">
        <f t="shared" si="19"/>
        <v>0</v>
      </c>
      <c r="AC26" s="64">
        <f t="shared" si="19"/>
        <v>0</v>
      </c>
      <c r="AD26" s="73">
        <f t="shared" si="19"/>
        <v>853.61000000000013</v>
      </c>
      <c r="AE26" s="74">
        <f t="shared" si="19"/>
        <v>10133.02090300001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20067.069097000003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 t="shared" ref="N28:N47" si="21">K28/7</f>
        <v>0</v>
      </c>
      <c r="O28" s="38">
        <f t="shared" ref="O28:O47" si="22">R28/7</f>
        <v>0</v>
      </c>
      <c r="P28" s="39">
        <f>SUMIFS('Отчет 05-11.01'!H:H,'Отчет 05-11.01'!D:D,"Выручка",'Отчет 05-11.01'!E:E,B28)</f>
        <v>0</v>
      </c>
      <c r="Q28" s="39">
        <f>SUMIFS('Отчет 05-11.01'!H:H,'Отчет 05-11.01'!D:D,"Возврат выручки",'Отчет 05-11.01'!E:E,B28)</f>
        <v>0</v>
      </c>
      <c r="R28" s="40">
        <f t="shared" ref="R28:R47" si="23">P28-Q28</f>
        <v>0</v>
      </c>
      <c r="S28" s="41">
        <f>SUMIFS('Отчет 05-11.01'!P:P,'Отчет 05-11.01'!C:C,"Продажи",'Отчет 05-11.01'!E:E,B28)</f>
        <v>0</v>
      </c>
      <c r="T28" s="42">
        <f>SUMIFS('Отчет 05-11.01'!P:P,'Отчет 05-11.01'!C:C,"Возвраты",'Отчет 05-11.01'!E:E,B28)</f>
        <v>0</v>
      </c>
      <c r="U28" s="40">
        <f t="shared" ref="U28:U47" si="24">S28+T28</f>
        <v>0</v>
      </c>
      <c r="V28" s="43">
        <f t="shared" ref="V28:V47" si="25">U28/$U$49</f>
        <v>0</v>
      </c>
      <c r="W28" s="44">
        <f t="shared" ref="W28:W47" si="26">R28*H28</f>
        <v>0</v>
      </c>
      <c r="X28" s="42">
        <f>-SUMIFS('Отчет 05-11.01'!P:P,'Отчет 05-11.01'!C:C,"Вознаграждение Ozon",'Отчет 05-11.01'!E:E,B28)</f>
        <v>0</v>
      </c>
      <c r="Y28" s="45">
        <f t="shared" ref="Y28:Y47" si="27">IF(U28=0,0,X28/U28)</f>
        <v>0</v>
      </c>
      <c r="Z28" s="42">
        <f>-SUMIFS('Отчет 05-11.01'!P:P,'Отчет 05-11.01'!C:C,"Услуги доставки",'Отчет 05-11.01'!E:E,B28)</f>
        <v>0</v>
      </c>
      <c r="AA28" s="32">
        <v>0</v>
      </c>
      <c r="AB28" s="55"/>
      <c r="AC28" s="42"/>
      <c r="AD28" s="46">
        <f t="shared" ref="AD28:AD47" si="28">U28*1%</f>
        <v>0</v>
      </c>
      <c r="AE28" s="47">
        <f t="shared" ref="AE28:AE47" si="29">U28-W28-X28-Z28-AA28-AB28-AC28-AD28</f>
        <v>0</v>
      </c>
      <c r="AF28" s="46"/>
      <c r="AG28" s="48">
        <f t="shared" ref="AG28:AG47" si="30">IF(R28=0,0,U28/R28)</f>
        <v>0</v>
      </c>
      <c r="AH28" s="49">
        <f t="shared" ref="AH28:AH47" si="31">H28</f>
        <v>672</v>
      </c>
      <c r="AI28" s="49">
        <f t="shared" ref="AI28:AI47" si="32">IF(R28=0,0,X28/R28)</f>
        <v>0</v>
      </c>
      <c r="AJ28" s="49">
        <f t="shared" ref="AJ28:AJ47" si="33">IF(P28=0,Z28/1,Z28/P28)</f>
        <v>0</v>
      </c>
      <c r="AK28" s="49">
        <f t="shared" ref="AK28:AK47" si="34">IF(P28=0,0,AA28/P28)</f>
        <v>0</v>
      </c>
      <c r="AL28" s="49">
        <f t="array" ref="AL28">_xlfn.IFS(R28=0,AE28,R28&lt;0,AE28/-R28,R28&gt;0,AE28/R28)</f>
        <v>0</v>
      </c>
      <c r="AM28" s="50">
        <f t="shared" ref="AM28:AM47" si="35">IF(AG28=0,0,AL28/AG28)</f>
        <v>0</v>
      </c>
      <c r="AN28" s="51">
        <f t="shared" ref="AN28:AN47" si="36">IF(AH28=0,0,AL28/AH28)</f>
        <v>0</v>
      </c>
      <c r="AP28" s="53">
        <f t="shared" ref="AP28:AP47" si="37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si="21"/>
        <v>0</v>
      </c>
      <c r="O29" s="38">
        <f t="shared" si="22"/>
        <v>0</v>
      </c>
      <c r="P29" s="39">
        <f>SUMIFS('Отчет 05-11.01'!H:H,'Отчет 05-11.01'!D:D,"Выручка",'Отчет 05-11.01'!E:E,B29)</f>
        <v>0</v>
      </c>
      <c r="Q29" s="39">
        <f>SUMIFS('Отчет 05-11.01'!H:H,'Отчет 05-11.01'!D:D,"Возврат выручки",'Отчет 05-11.01'!E:E,B29)</f>
        <v>0</v>
      </c>
      <c r="R29" s="40">
        <f t="shared" si="23"/>
        <v>0</v>
      </c>
      <c r="S29" s="41">
        <f>SUMIFS('Отчет 05-11.01'!P:P,'Отчет 05-11.01'!C:C,"Продажи",'Отчет 05-11.01'!E:E,B29)</f>
        <v>0</v>
      </c>
      <c r="T29" s="42">
        <f>SUMIFS('Отчет 05-11.01'!P:P,'Отчет 05-11.01'!C:C,"Возвраты",'Отчет 05-11.01'!E:E,B29)</f>
        <v>0</v>
      </c>
      <c r="U29" s="40">
        <f t="shared" si="24"/>
        <v>0</v>
      </c>
      <c r="V29" s="43">
        <f t="shared" si="25"/>
        <v>0</v>
      </c>
      <c r="W29" s="44">
        <f t="shared" si="26"/>
        <v>0</v>
      </c>
      <c r="X29" s="42">
        <f>-SUMIFS('Отчет 05-11.01'!P:P,'Отчет 05-11.01'!C:C,"Вознаграждение Ozon",'Отчет 05-11.01'!E:E,B29)</f>
        <v>0</v>
      </c>
      <c r="Y29" s="45">
        <f t="shared" si="27"/>
        <v>0</v>
      </c>
      <c r="Z29" s="42">
        <f>-SUMIFS('Отчет 05-11.01'!P:P,'Отчет 05-11.01'!C:C,"Услуги доставки",'Отчет 05-11.01'!E:E,B29)</f>
        <v>0</v>
      </c>
      <c r="AA29" s="32">
        <v>0</v>
      </c>
      <c r="AB29" s="55"/>
      <c r="AC29" s="42"/>
      <c r="AD29" s="46">
        <f t="shared" si="28"/>
        <v>0</v>
      </c>
      <c r="AE29" s="47">
        <f t="shared" si="29"/>
        <v>0</v>
      </c>
      <c r="AF29" s="46"/>
      <c r="AG29" s="48">
        <f t="shared" si="30"/>
        <v>0</v>
      </c>
      <c r="AH29" s="49">
        <f t="shared" si="31"/>
        <v>627</v>
      </c>
      <c r="AI29" s="49">
        <f t="shared" si="32"/>
        <v>0</v>
      </c>
      <c r="AJ29" s="49">
        <f t="shared" si="33"/>
        <v>0</v>
      </c>
      <c r="AK29" s="49">
        <f t="shared" si="34"/>
        <v>0</v>
      </c>
      <c r="AL29" s="49">
        <f t="array" ref="AL29">_xlfn.IFS(R29=0,AE29,R29&lt;0,AE29/-R29,R29&gt;0,AE29/R29)</f>
        <v>0</v>
      </c>
      <c r="AM29" s="50">
        <f t="shared" si="35"/>
        <v>0</v>
      </c>
      <c r="AN29" s="51">
        <f t="shared" si="36"/>
        <v>0</v>
      </c>
      <c r="AP29" s="53">
        <f t="shared" si="37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21"/>
        <v>0</v>
      </c>
      <c r="O30" s="38">
        <f t="shared" si="22"/>
        <v>0</v>
      </c>
      <c r="P30" s="39">
        <f>SUMIFS('Отчет 05-11.01'!H:H,'Отчет 05-11.01'!D:D,"Выручка",'Отчет 05-11.01'!E:E,B30)</f>
        <v>0</v>
      </c>
      <c r="Q30" s="39">
        <f>SUMIFS('Отчет 05-11.01'!H:H,'Отчет 05-11.01'!D:D,"Возврат выручки",'Отчет 05-11.01'!E:E,B30)</f>
        <v>0</v>
      </c>
      <c r="R30" s="40">
        <f t="shared" si="23"/>
        <v>0</v>
      </c>
      <c r="S30" s="41">
        <f>SUMIFS('Отчет 05-11.01'!P:P,'Отчет 05-11.01'!C:C,"Продажи",'Отчет 05-11.01'!E:E,B30)</f>
        <v>0</v>
      </c>
      <c r="T30" s="42">
        <f>SUMIFS('Отчет 05-11.01'!P:P,'Отчет 05-11.01'!C:C,"Возвраты",'Отчет 05-11.01'!E:E,B30)</f>
        <v>0</v>
      </c>
      <c r="U30" s="40">
        <f t="shared" si="24"/>
        <v>0</v>
      </c>
      <c r="V30" s="43">
        <f t="shared" si="25"/>
        <v>0</v>
      </c>
      <c r="W30" s="44">
        <f t="shared" si="26"/>
        <v>0</v>
      </c>
      <c r="X30" s="42">
        <f>-SUMIFS('Отчет 05-11.01'!P:P,'Отчет 05-11.01'!C:C,"Вознаграждение Ozon",'Отчет 05-11.01'!E:E,B30)</f>
        <v>0</v>
      </c>
      <c r="Y30" s="45">
        <f t="shared" si="27"/>
        <v>0</v>
      </c>
      <c r="Z30" s="42">
        <f>-SUMIFS('Отчет 05-11.01'!P:P,'Отчет 05-11.01'!C:C,"Услуги доставки",'Отчет 05-11.01'!E:E,B30)</f>
        <v>0</v>
      </c>
      <c r="AA30" s="32">
        <v>0</v>
      </c>
      <c r="AB30" s="55"/>
      <c r="AC30" s="42"/>
      <c r="AD30" s="46">
        <f t="shared" si="28"/>
        <v>0</v>
      </c>
      <c r="AE30" s="47">
        <f t="shared" si="29"/>
        <v>0</v>
      </c>
      <c r="AF30" s="46"/>
      <c r="AG30" s="48">
        <f t="shared" si="30"/>
        <v>0</v>
      </c>
      <c r="AH30" s="49">
        <f t="shared" si="31"/>
        <v>627</v>
      </c>
      <c r="AI30" s="49">
        <f t="shared" si="32"/>
        <v>0</v>
      </c>
      <c r="AJ30" s="49">
        <f t="shared" si="33"/>
        <v>0</v>
      </c>
      <c r="AK30" s="49">
        <f t="shared" si="34"/>
        <v>0</v>
      </c>
      <c r="AL30" s="49">
        <f t="array" ref="AL30">_xlfn.IFS(R30=0,AE30,R30&lt;0,AE30/-R30,R30&gt;0,AE30/R30)</f>
        <v>0</v>
      </c>
      <c r="AM30" s="50">
        <f t="shared" si="35"/>
        <v>0</v>
      </c>
      <c r="AN30" s="51">
        <f t="shared" si="36"/>
        <v>0</v>
      </c>
      <c r="AP30" s="53">
        <f t="shared" si="37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21"/>
        <v>0</v>
      </c>
      <c r="O31" s="38">
        <f t="shared" si="22"/>
        <v>0</v>
      </c>
      <c r="P31" s="39">
        <f>SUMIFS('Отчет 05-11.01'!H:H,'Отчет 05-11.01'!D:D,"Выручка",'Отчет 05-11.01'!E:E,B31)</f>
        <v>0</v>
      </c>
      <c r="Q31" s="39">
        <f>SUMIFS('Отчет 05-11.01'!H:H,'Отчет 05-11.01'!D:D,"Возврат выручки",'Отчет 05-11.01'!E:E,B31)</f>
        <v>0</v>
      </c>
      <c r="R31" s="40">
        <f t="shared" si="23"/>
        <v>0</v>
      </c>
      <c r="S31" s="41">
        <f>SUMIFS('Отчет 05-11.01'!P:P,'Отчет 05-11.01'!C:C,"Продажи",'Отчет 05-11.01'!E:E,B31)</f>
        <v>0</v>
      </c>
      <c r="T31" s="42">
        <f>SUMIFS('Отчет 05-11.01'!P:P,'Отчет 05-11.01'!C:C,"Возвраты",'Отчет 05-11.01'!E:E,B31)</f>
        <v>0</v>
      </c>
      <c r="U31" s="40">
        <f t="shared" si="24"/>
        <v>0</v>
      </c>
      <c r="V31" s="43">
        <f t="shared" si="25"/>
        <v>0</v>
      </c>
      <c r="W31" s="44">
        <f t="shared" si="26"/>
        <v>0</v>
      </c>
      <c r="X31" s="42">
        <f>-SUMIFS('Отчет 05-11.01'!P:P,'Отчет 05-11.01'!C:C,"Вознаграждение Ozon",'Отчет 05-11.01'!E:E,B31)</f>
        <v>0</v>
      </c>
      <c r="Y31" s="45">
        <f t="shared" si="27"/>
        <v>0</v>
      </c>
      <c r="Z31" s="42">
        <f>-SUMIFS('Отчет 05-11.01'!P:P,'Отчет 05-11.01'!C:C,"Услуги доставки",'Отчет 05-11.01'!E:E,B31)</f>
        <v>0</v>
      </c>
      <c r="AA31" s="32">
        <v>0</v>
      </c>
      <c r="AB31" s="55"/>
      <c r="AC31" s="42"/>
      <c r="AD31" s="46">
        <f t="shared" si="28"/>
        <v>0</v>
      </c>
      <c r="AE31" s="47">
        <f t="shared" si="29"/>
        <v>0</v>
      </c>
      <c r="AF31" s="46"/>
      <c r="AG31" s="48">
        <f t="shared" si="30"/>
        <v>0</v>
      </c>
      <c r="AH31" s="49">
        <f t="shared" si="31"/>
        <v>567</v>
      </c>
      <c r="AI31" s="49">
        <f t="shared" si="32"/>
        <v>0</v>
      </c>
      <c r="AJ31" s="49">
        <f t="shared" si="33"/>
        <v>0</v>
      </c>
      <c r="AK31" s="49">
        <f t="shared" si="34"/>
        <v>0</v>
      </c>
      <c r="AL31" s="49">
        <f t="array" ref="AL31">_xlfn.IFS(R31=0,AE31,R31&lt;0,AE31/-R31,R31&gt;0,AE31/R31)</f>
        <v>0</v>
      </c>
      <c r="AM31" s="50">
        <f t="shared" si="35"/>
        <v>0</v>
      </c>
      <c r="AN31" s="51">
        <f t="shared" si="36"/>
        <v>0</v>
      </c>
      <c r="AP31" s="53">
        <f t="shared" si="37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21"/>
        <v>0</v>
      </c>
      <c r="O32" s="38">
        <f t="shared" si="22"/>
        <v>0</v>
      </c>
      <c r="P32" s="39">
        <f>SUMIFS('Отчет 05-11.01'!H:H,'Отчет 05-11.01'!D:D,"Выручка",'Отчет 05-11.01'!E:E,B32)</f>
        <v>0</v>
      </c>
      <c r="Q32" s="39">
        <f>SUMIFS('Отчет 05-11.01'!H:H,'Отчет 05-11.01'!D:D,"Возврат выручки",'Отчет 05-11.01'!E:E,B32)</f>
        <v>0</v>
      </c>
      <c r="R32" s="40">
        <f t="shared" si="23"/>
        <v>0</v>
      </c>
      <c r="S32" s="41">
        <f>SUMIFS('Отчет 05-11.01'!P:P,'Отчет 05-11.01'!C:C,"Продажи",'Отчет 05-11.01'!E:E,B32)</f>
        <v>0</v>
      </c>
      <c r="T32" s="42">
        <f>SUMIFS('Отчет 05-11.01'!P:P,'Отчет 05-11.01'!C:C,"Возвраты",'Отчет 05-11.01'!E:E,B32)</f>
        <v>0</v>
      </c>
      <c r="U32" s="40">
        <f t="shared" si="24"/>
        <v>0</v>
      </c>
      <c r="V32" s="43">
        <f t="shared" si="25"/>
        <v>0</v>
      </c>
      <c r="W32" s="44">
        <f t="shared" si="26"/>
        <v>0</v>
      </c>
      <c r="X32" s="42">
        <f>-SUMIFS('Отчет 05-11.01'!P:P,'Отчет 05-11.01'!C:C,"Вознаграждение Ozon",'Отчет 05-11.01'!E:E,B32)</f>
        <v>0</v>
      </c>
      <c r="Y32" s="45">
        <f t="shared" si="27"/>
        <v>0</v>
      </c>
      <c r="Z32" s="42">
        <f>-SUMIFS('Отчет 05-11.01'!P:P,'Отчет 05-11.01'!C:C,"Услуги доставки",'Отчет 05-11.01'!E:E,B32)</f>
        <v>0</v>
      </c>
      <c r="AA32" s="32">
        <v>0</v>
      </c>
      <c r="AB32" s="55"/>
      <c r="AC32" s="42"/>
      <c r="AD32" s="46">
        <f t="shared" si="28"/>
        <v>0</v>
      </c>
      <c r="AE32" s="47">
        <f t="shared" si="29"/>
        <v>0</v>
      </c>
      <c r="AF32" s="46"/>
      <c r="AG32" s="48">
        <f t="shared" si="30"/>
        <v>0</v>
      </c>
      <c r="AH32" s="49">
        <f t="shared" si="31"/>
        <v>567</v>
      </c>
      <c r="AI32" s="49">
        <f t="shared" si="32"/>
        <v>0</v>
      </c>
      <c r="AJ32" s="49">
        <f t="shared" si="33"/>
        <v>0</v>
      </c>
      <c r="AK32" s="49">
        <f t="shared" si="34"/>
        <v>0</v>
      </c>
      <c r="AL32" s="49">
        <f t="array" ref="AL32">_xlfn.IFS(R32=0,AE32,R32&lt;0,AE32/-R32,R32&gt;0,AE32/R32)</f>
        <v>0</v>
      </c>
      <c r="AM32" s="50">
        <f t="shared" si="35"/>
        <v>0</v>
      </c>
      <c r="AN32" s="51">
        <f t="shared" si="36"/>
        <v>0</v>
      </c>
      <c r="AP32" s="53">
        <f t="shared" si="37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21"/>
        <v>0</v>
      </c>
      <c r="O33" s="38">
        <f t="shared" si="22"/>
        <v>0</v>
      </c>
      <c r="P33" s="39">
        <f>SUMIFS('Отчет 05-11.01'!H:H,'Отчет 05-11.01'!D:D,"Выручка",'Отчет 05-11.01'!E:E,B33)</f>
        <v>0</v>
      </c>
      <c r="Q33" s="39">
        <f>SUMIFS('Отчет 05-11.01'!H:H,'Отчет 05-11.01'!D:D,"Возврат выручки",'Отчет 05-11.01'!E:E,B33)</f>
        <v>0</v>
      </c>
      <c r="R33" s="40">
        <f t="shared" si="23"/>
        <v>0</v>
      </c>
      <c r="S33" s="41">
        <f>SUMIFS('Отчет 05-11.01'!P:P,'Отчет 05-11.01'!C:C,"Продажи",'Отчет 05-11.01'!E:E,B33)</f>
        <v>0</v>
      </c>
      <c r="T33" s="42">
        <f>SUMIFS('Отчет 05-11.01'!P:P,'Отчет 05-11.01'!C:C,"Возвраты",'Отчет 05-11.01'!E:E,B33)</f>
        <v>0</v>
      </c>
      <c r="U33" s="40">
        <f t="shared" si="24"/>
        <v>0</v>
      </c>
      <c r="V33" s="43">
        <f t="shared" si="25"/>
        <v>0</v>
      </c>
      <c r="W33" s="44">
        <f t="shared" si="26"/>
        <v>0</v>
      </c>
      <c r="X33" s="42">
        <f>-SUMIFS('Отчет 05-11.01'!P:P,'Отчет 05-11.01'!C:C,"Вознаграждение Ozon",'Отчет 05-11.01'!E:E,B33)</f>
        <v>0</v>
      </c>
      <c r="Y33" s="45">
        <f t="shared" si="27"/>
        <v>0</v>
      </c>
      <c r="Z33" s="42">
        <f>-SUMIFS('Отчет 05-11.01'!P:P,'Отчет 05-11.01'!C:C,"Услуги доставки",'Отчет 05-11.01'!E:E,B33)</f>
        <v>0</v>
      </c>
      <c r="AA33" s="32">
        <v>0</v>
      </c>
      <c r="AB33" s="55"/>
      <c r="AC33" s="42"/>
      <c r="AD33" s="46">
        <f t="shared" si="28"/>
        <v>0</v>
      </c>
      <c r="AE33" s="47">
        <f t="shared" si="29"/>
        <v>0</v>
      </c>
      <c r="AF33" s="46"/>
      <c r="AG33" s="48">
        <f t="shared" si="30"/>
        <v>0</v>
      </c>
      <c r="AH33" s="49">
        <f t="shared" si="31"/>
        <v>657</v>
      </c>
      <c r="AI33" s="49">
        <f t="shared" si="32"/>
        <v>0</v>
      </c>
      <c r="AJ33" s="49">
        <f t="shared" si="33"/>
        <v>0</v>
      </c>
      <c r="AK33" s="49">
        <f t="shared" si="34"/>
        <v>0</v>
      </c>
      <c r="AL33" s="49">
        <f t="array" ref="AL33">_xlfn.IFS(R33=0,AE33,R33&lt;0,AE33/-R33,R33&gt;0,AE33/R33)</f>
        <v>0</v>
      </c>
      <c r="AM33" s="50">
        <f t="shared" si="35"/>
        <v>0</v>
      </c>
      <c r="AN33" s="51">
        <f t="shared" si="36"/>
        <v>0</v>
      </c>
      <c r="AP33" s="53">
        <f t="shared" si="37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21"/>
        <v>0</v>
      </c>
      <c r="O34" s="38">
        <f t="shared" si="22"/>
        <v>0</v>
      </c>
      <c r="P34" s="39">
        <f>SUMIFS('Отчет 05-11.01'!H:H,'Отчет 05-11.01'!D:D,"Выручка",'Отчет 05-11.01'!E:E,B34)</f>
        <v>0</v>
      </c>
      <c r="Q34" s="39">
        <f>SUMIFS('Отчет 05-11.01'!H:H,'Отчет 05-11.01'!D:D,"Возврат выручки",'Отчет 05-11.01'!E:E,B34)</f>
        <v>0</v>
      </c>
      <c r="R34" s="40">
        <f t="shared" si="23"/>
        <v>0</v>
      </c>
      <c r="S34" s="41">
        <f>SUMIFS('Отчет 05-11.01'!P:P,'Отчет 05-11.01'!C:C,"Продажи",'Отчет 05-11.01'!E:E,B34)</f>
        <v>0</v>
      </c>
      <c r="T34" s="42">
        <f>SUMIFS('Отчет 05-11.01'!P:P,'Отчет 05-11.01'!C:C,"Возвраты",'Отчет 05-11.01'!E:E,B34)</f>
        <v>0</v>
      </c>
      <c r="U34" s="40">
        <f t="shared" si="24"/>
        <v>0</v>
      </c>
      <c r="V34" s="43">
        <f t="shared" si="25"/>
        <v>0</v>
      </c>
      <c r="W34" s="44">
        <f t="shared" si="26"/>
        <v>0</v>
      </c>
      <c r="X34" s="42">
        <f>-SUMIFS('Отчет 05-11.01'!P:P,'Отчет 05-11.01'!C:C,"Вознаграждение Ozon",'Отчет 05-11.01'!E:E,B34)</f>
        <v>0</v>
      </c>
      <c r="Y34" s="45">
        <f t="shared" si="27"/>
        <v>0</v>
      </c>
      <c r="Z34" s="42">
        <f>-SUMIFS('Отчет 05-11.01'!P:P,'Отчет 05-11.01'!C:C,"Услуги доставки",'Отчет 05-11.01'!E:E,B34)</f>
        <v>0</v>
      </c>
      <c r="AA34" s="32">
        <v>0</v>
      </c>
      <c r="AB34" s="55"/>
      <c r="AC34" s="42"/>
      <c r="AD34" s="46">
        <f t="shared" si="28"/>
        <v>0</v>
      </c>
      <c r="AE34" s="47">
        <f t="shared" si="29"/>
        <v>0</v>
      </c>
      <c r="AF34" s="46"/>
      <c r="AG34" s="48">
        <f t="shared" si="30"/>
        <v>0</v>
      </c>
      <c r="AH34" s="49">
        <f t="shared" si="31"/>
        <v>597</v>
      </c>
      <c r="AI34" s="49">
        <f t="shared" si="32"/>
        <v>0</v>
      </c>
      <c r="AJ34" s="49">
        <f t="shared" si="33"/>
        <v>0</v>
      </c>
      <c r="AK34" s="49">
        <f t="shared" si="34"/>
        <v>0</v>
      </c>
      <c r="AL34" s="49">
        <f t="array" ref="AL34">_xlfn.IFS(R34=0,AE34,R34&lt;0,AE34/-R34,R34&gt;0,AE34/R34)</f>
        <v>0</v>
      </c>
      <c r="AM34" s="50">
        <f t="shared" si="35"/>
        <v>0</v>
      </c>
      <c r="AN34" s="51">
        <f t="shared" si="36"/>
        <v>0</v>
      </c>
      <c r="AP34" s="53">
        <f t="shared" si="37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21"/>
        <v>0</v>
      </c>
      <c r="O35" s="38">
        <f t="shared" si="22"/>
        <v>0</v>
      </c>
      <c r="P35" s="39">
        <f>SUMIFS('Отчет 05-11.01'!H:H,'Отчет 05-11.01'!D:D,"Выручка",'Отчет 05-11.01'!E:E,B35)</f>
        <v>0</v>
      </c>
      <c r="Q35" s="39">
        <f>SUMIFS('Отчет 05-11.01'!H:H,'Отчет 05-11.01'!D:D,"Возврат выручки",'Отчет 05-11.01'!E:E,B35)</f>
        <v>0</v>
      </c>
      <c r="R35" s="40">
        <f t="shared" si="23"/>
        <v>0</v>
      </c>
      <c r="S35" s="41">
        <f>SUMIFS('Отчет 05-11.01'!P:P,'Отчет 05-11.01'!C:C,"Продажи",'Отчет 05-11.01'!E:E,B35)</f>
        <v>0</v>
      </c>
      <c r="T35" s="42">
        <f>SUMIFS('Отчет 05-11.01'!P:P,'Отчет 05-11.01'!C:C,"Возвраты",'Отчет 05-11.01'!E:E,B35)</f>
        <v>0</v>
      </c>
      <c r="U35" s="40">
        <f t="shared" si="24"/>
        <v>0</v>
      </c>
      <c r="V35" s="43">
        <f t="shared" si="25"/>
        <v>0</v>
      </c>
      <c r="W35" s="44">
        <f t="shared" si="26"/>
        <v>0</v>
      </c>
      <c r="X35" s="42">
        <f>-SUMIFS('Отчет 05-11.01'!P:P,'Отчет 05-11.01'!C:C,"Вознаграждение Ozon",'Отчет 05-11.01'!E:E,B35)</f>
        <v>0</v>
      </c>
      <c r="Y35" s="45">
        <f t="shared" si="27"/>
        <v>0</v>
      </c>
      <c r="Z35" s="42">
        <f>-SUMIFS('Отчет 05-11.01'!P:P,'Отчет 05-11.01'!C:C,"Услуги доставки",'Отчет 05-11.01'!E:E,B35)</f>
        <v>0</v>
      </c>
      <c r="AA35" s="32">
        <v>0</v>
      </c>
      <c r="AB35" s="55"/>
      <c r="AC35" s="42"/>
      <c r="AD35" s="46">
        <f t="shared" si="28"/>
        <v>0</v>
      </c>
      <c r="AE35" s="47">
        <f t="shared" si="29"/>
        <v>0</v>
      </c>
      <c r="AF35" s="46"/>
      <c r="AG35" s="48">
        <f t="shared" si="30"/>
        <v>0</v>
      </c>
      <c r="AH35" s="49">
        <f t="shared" si="31"/>
        <v>552</v>
      </c>
      <c r="AI35" s="49">
        <f t="shared" si="32"/>
        <v>0</v>
      </c>
      <c r="AJ35" s="49">
        <f t="shared" si="33"/>
        <v>0</v>
      </c>
      <c r="AK35" s="49">
        <f t="shared" si="34"/>
        <v>0</v>
      </c>
      <c r="AL35" s="49">
        <f t="array" ref="AL35">_xlfn.IFS(R35=0,AE35,R35&lt;0,AE35/-R35,R35&gt;0,AE35/R35)</f>
        <v>0</v>
      </c>
      <c r="AM35" s="50">
        <f t="shared" si="35"/>
        <v>0</v>
      </c>
      <c r="AN35" s="51">
        <f t="shared" si="36"/>
        <v>0</v>
      </c>
      <c r="AP35" s="53">
        <f t="shared" si="37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21"/>
        <v>0.14285714285714285</v>
      </c>
      <c r="O36" s="38">
        <f t="shared" si="22"/>
        <v>0</v>
      </c>
      <c r="P36" s="39">
        <f>SUMIFS('Отчет 05-11.01'!H:H,'Отчет 05-11.01'!D:D,"Выручка",'Отчет 05-11.01'!E:E,B36)</f>
        <v>0</v>
      </c>
      <c r="Q36" s="39">
        <f>SUMIFS('Отчет 05-11.01'!H:H,'Отчет 05-11.01'!D:D,"Возврат выручки",'Отчет 05-11.01'!E:E,B36)</f>
        <v>0</v>
      </c>
      <c r="R36" s="40">
        <f t="shared" si="23"/>
        <v>0</v>
      </c>
      <c r="S36" s="41">
        <f>SUMIFS('Отчет 05-11.01'!P:P,'Отчет 05-11.01'!C:C,"Продажи",'Отчет 05-11.01'!E:E,B36)</f>
        <v>0</v>
      </c>
      <c r="T36" s="42">
        <f>SUMIFS('Отчет 05-11.01'!P:P,'Отчет 05-11.01'!C:C,"Возвраты",'Отчет 05-11.01'!E:E,B36)</f>
        <v>0</v>
      </c>
      <c r="U36" s="40">
        <f t="shared" si="24"/>
        <v>0</v>
      </c>
      <c r="V36" s="43">
        <f t="shared" si="25"/>
        <v>0</v>
      </c>
      <c r="W36" s="44">
        <f t="shared" si="26"/>
        <v>0</v>
      </c>
      <c r="X36" s="42">
        <f>-SUMIFS('Отчет 05-11.01'!P:P,'Отчет 05-11.01'!C:C,"Вознаграждение Ozon",'Отчет 05-11.01'!E:E,B36)</f>
        <v>0</v>
      </c>
      <c r="Y36" s="45">
        <f t="shared" si="27"/>
        <v>0</v>
      </c>
      <c r="Z36" s="42">
        <f>-SUMIFS('Отчет 05-11.01'!P:P,'Отчет 05-11.01'!C:C,"Услуги доставки",'Отчет 05-11.01'!E:E,B36)</f>
        <v>0</v>
      </c>
      <c r="AA36" s="32">
        <v>0</v>
      </c>
      <c r="AB36" s="55"/>
      <c r="AC36" s="42"/>
      <c r="AD36" s="46">
        <f t="shared" si="28"/>
        <v>0</v>
      </c>
      <c r="AE36" s="47">
        <f t="shared" si="29"/>
        <v>0</v>
      </c>
      <c r="AF36" s="46"/>
      <c r="AG36" s="48">
        <f t="shared" si="30"/>
        <v>0</v>
      </c>
      <c r="AH36" s="49">
        <f t="shared" si="31"/>
        <v>552</v>
      </c>
      <c r="AI36" s="49">
        <f t="shared" si="32"/>
        <v>0</v>
      </c>
      <c r="AJ36" s="49">
        <f t="shared" si="33"/>
        <v>0</v>
      </c>
      <c r="AK36" s="49">
        <f t="shared" si="34"/>
        <v>0</v>
      </c>
      <c r="AL36" s="49">
        <f t="array" ref="AL36">_xlfn.IFS(R36=0,AE36,R36&lt;0,AE36/-R36,R36&gt;0,AE36/R36)</f>
        <v>0</v>
      </c>
      <c r="AM36" s="50">
        <f t="shared" si="35"/>
        <v>0</v>
      </c>
      <c r="AN36" s="51">
        <f t="shared" si="36"/>
        <v>0</v>
      </c>
      <c r="AP36" s="53">
        <f t="shared" si="37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1</v>
      </c>
      <c r="L37" s="36"/>
      <c r="M37" s="36"/>
      <c r="N37" s="37">
        <f t="shared" si="21"/>
        <v>0.14285714285714285</v>
      </c>
      <c r="O37" s="38">
        <f t="shared" si="22"/>
        <v>0</v>
      </c>
      <c r="P37" s="39">
        <f>SUMIFS('Отчет 05-11.01'!H:H,'Отчет 05-11.01'!D:D,"Выручка",'Отчет 05-11.01'!E:E,B37)</f>
        <v>0</v>
      </c>
      <c r="Q37" s="39">
        <f>SUMIFS('Отчет 05-11.01'!H:H,'Отчет 05-11.01'!D:D,"Возврат выручки",'Отчет 05-11.01'!E:E,B37)</f>
        <v>0</v>
      </c>
      <c r="R37" s="40">
        <f t="shared" si="23"/>
        <v>0</v>
      </c>
      <c r="S37" s="41">
        <f>SUMIFS('Отчет 05-11.01'!P:P,'Отчет 05-11.01'!C:C,"Продажи",'Отчет 05-11.01'!E:E,B37)</f>
        <v>0</v>
      </c>
      <c r="T37" s="42">
        <f>SUMIFS('Отчет 05-11.01'!P:P,'Отчет 05-11.01'!C:C,"Возвраты",'Отчет 05-11.01'!E:E,B37)</f>
        <v>0</v>
      </c>
      <c r="U37" s="40">
        <f t="shared" si="24"/>
        <v>0</v>
      </c>
      <c r="V37" s="43">
        <f t="shared" si="25"/>
        <v>0</v>
      </c>
      <c r="W37" s="44">
        <f t="shared" si="26"/>
        <v>0</v>
      </c>
      <c r="X37" s="42">
        <f>-SUMIFS('Отчет 05-11.01'!P:P,'Отчет 05-11.01'!C:C,"Вознаграждение Ozon",'Отчет 05-11.01'!E:E,B37)</f>
        <v>0</v>
      </c>
      <c r="Y37" s="45">
        <f t="shared" si="27"/>
        <v>0</v>
      </c>
      <c r="Z37" s="42">
        <f>-SUMIFS('Отчет 05-11.01'!P:P,'Отчет 05-11.01'!C:C,"Услуги доставки",'Отчет 05-11.01'!E:E,B37)</f>
        <v>113.88</v>
      </c>
      <c r="AA37" s="32">
        <v>0</v>
      </c>
      <c r="AB37" s="55"/>
      <c r="AC37" s="42"/>
      <c r="AD37" s="46">
        <f t="shared" si="28"/>
        <v>0</v>
      </c>
      <c r="AE37" s="47">
        <f t="shared" si="29"/>
        <v>-113.88</v>
      </c>
      <c r="AF37" s="46"/>
      <c r="AG37" s="48">
        <f t="shared" si="30"/>
        <v>0</v>
      </c>
      <c r="AH37" s="49">
        <f t="shared" si="31"/>
        <v>687</v>
      </c>
      <c r="AI37" s="49">
        <f t="shared" si="32"/>
        <v>0</v>
      </c>
      <c r="AJ37" s="49">
        <f t="shared" si="33"/>
        <v>113.88</v>
      </c>
      <c r="AK37" s="49">
        <f t="shared" si="34"/>
        <v>0</v>
      </c>
      <c r="AL37" s="49">
        <f t="array" ref="AL37">_xlfn.IFS(R37=0,AE37,R37&lt;0,AE37/-R37,R37&gt;0,AE37/R37)</f>
        <v>-113.88</v>
      </c>
      <c r="AM37" s="50">
        <f t="shared" si="35"/>
        <v>0</v>
      </c>
      <c r="AN37" s="51">
        <f t="shared" si="36"/>
        <v>-0.16576419213973798</v>
      </c>
      <c r="AP37" s="53">
        <f t="shared" si="37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21"/>
        <v>0</v>
      </c>
      <c r="O38" s="38">
        <f t="shared" si="22"/>
        <v>0</v>
      </c>
      <c r="P38" s="39">
        <f>SUMIFS('Отчет 05-11.01'!H:H,'Отчет 05-11.01'!D:D,"Выручка",'Отчет 05-11.01'!E:E,B38)</f>
        <v>0</v>
      </c>
      <c r="Q38" s="39">
        <f>SUMIFS('Отчет 05-11.01'!H:H,'Отчет 05-11.01'!D:D,"Возврат выручки",'Отчет 05-11.01'!E:E,B38)</f>
        <v>0</v>
      </c>
      <c r="R38" s="40">
        <f t="shared" si="23"/>
        <v>0</v>
      </c>
      <c r="S38" s="41">
        <f>SUMIFS('Отчет 05-11.01'!P:P,'Отчет 05-11.01'!C:C,"Продажи",'Отчет 05-11.01'!E:E,B38)</f>
        <v>0</v>
      </c>
      <c r="T38" s="42">
        <f>SUMIFS('Отчет 05-11.01'!P:P,'Отчет 05-11.01'!C:C,"Возвраты",'Отчет 05-11.01'!E:E,B38)</f>
        <v>0</v>
      </c>
      <c r="U38" s="40">
        <f t="shared" si="24"/>
        <v>0</v>
      </c>
      <c r="V38" s="43">
        <f t="shared" si="25"/>
        <v>0</v>
      </c>
      <c r="W38" s="44">
        <f t="shared" si="26"/>
        <v>0</v>
      </c>
      <c r="X38" s="42">
        <f>-SUMIFS('Отчет 05-11.01'!P:P,'Отчет 05-11.01'!C:C,"Вознаграждение Ozon",'Отчет 05-11.01'!E:E,B38)</f>
        <v>0</v>
      </c>
      <c r="Y38" s="45">
        <f t="shared" si="27"/>
        <v>0</v>
      </c>
      <c r="Z38" s="42">
        <f>-SUMIFS('Отчет 05-11.01'!P:P,'Отчет 05-11.01'!C:C,"Услуги доставки",'Отчет 05-11.01'!E:E,B38)</f>
        <v>0</v>
      </c>
      <c r="AA38" s="32">
        <v>0</v>
      </c>
      <c r="AB38" s="55"/>
      <c r="AC38" s="42"/>
      <c r="AD38" s="46">
        <f t="shared" si="28"/>
        <v>0</v>
      </c>
      <c r="AE38" s="47">
        <f t="shared" si="29"/>
        <v>0</v>
      </c>
      <c r="AF38" s="46"/>
      <c r="AG38" s="48">
        <f t="shared" si="30"/>
        <v>0</v>
      </c>
      <c r="AH38" s="49">
        <f t="shared" si="31"/>
        <v>687</v>
      </c>
      <c r="AI38" s="49">
        <f t="shared" si="32"/>
        <v>0</v>
      </c>
      <c r="AJ38" s="49">
        <f t="shared" si="33"/>
        <v>0</v>
      </c>
      <c r="AK38" s="49">
        <f t="shared" si="34"/>
        <v>0</v>
      </c>
      <c r="AL38" s="49">
        <f t="array" ref="AL38">_xlfn.IFS(R38=0,AE38,R38&lt;0,AE38/-R38,R38&gt;0,AE38/R38)</f>
        <v>0</v>
      </c>
      <c r="AM38" s="50">
        <f t="shared" si="35"/>
        <v>0</v>
      </c>
      <c r="AN38" s="51">
        <f t="shared" si="36"/>
        <v>0</v>
      </c>
      <c r="AP38" s="53">
        <f t="shared" si="37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21"/>
        <v>0</v>
      </c>
      <c r="O39" s="38">
        <f t="shared" si="22"/>
        <v>0</v>
      </c>
      <c r="P39" s="39">
        <f>SUMIFS('Отчет 05-11.01'!H:H,'Отчет 05-11.01'!D:D,"Выручка",'Отчет 05-11.01'!E:E,B39)</f>
        <v>0</v>
      </c>
      <c r="Q39" s="39">
        <f>SUMIFS('Отчет 05-11.01'!H:H,'Отчет 05-11.01'!D:D,"Возврат выручки",'Отчет 05-11.01'!E:E,B39)</f>
        <v>0</v>
      </c>
      <c r="R39" s="40">
        <f t="shared" si="23"/>
        <v>0</v>
      </c>
      <c r="S39" s="41">
        <f>SUMIFS('Отчет 05-11.01'!P:P,'Отчет 05-11.01'!C:C,"Продажи",'Отчет 05-11.01'!E:E,B39)</f>
        <v>0</v>
      </c>
      <c r="T39" s="42">
        <f>SUMIFS('Отчет 05-11.01'!P:P,'Отчет 05-11.01'!C:C,"Возвраты",'Отчет 05-11.01'!E:E,B39)</f>
        <v>0</v>
      </c>
      <c r="U39" s="40">
        <f t="shared" si="24"/>
        <v>0</v>
      </c>
      <c r="V39" s="43">
        <f t="shared" si="25"/>
        <v>0</v>
      </c>
      <c r="W39" s="44">
        <f t="shared" si="26"/>
        <v>0</v>
      </c>
      <c r="X39" s="42">
        <f>-SUMIFS('Отчет 05-11.01'!P:P,'Отчет 05-11.01'!C:C,"Вознаграждение Ozon",'Отчет 05-11.01'!E:E,B39)</f>
        <v>0</v>
      </c>
      <c r="Y39" s="45">
        <f t="shared" si="27"/>
        <v>0</v>
      </c>
      <c r="Z39" s="42">
        <f>-SUMIFS('Отчет 05-11.01'!P:P,'Отчет 05-11.01'!C:C,"Услуги доставки",'Отчет 05-11.01'!E:E,B39)</f>
        <v>0</v>
      </c>
      <c r="AA39" s="32">
        <v>0</v>
      </c>
      <c r="AB39" s="55"/>
      <c r="AC39" s="42"/>
      <c r="AD39" s="46">
        <f t="shared" si="28"/>
        <v>0</v>
      </c>
      <c r="AE39" s="47">
        <f t="shared" si="29"/>
        <v>0</v>
      </c>
      <c r="AF39" s="46"/>
      <c r="AG39" s="48">
        <f t="shared" si="30"/>
        <v>0</v>
      </c>
      <c r="AH39" s="49">
        <f t="shared" si="31"/>
        <v>597</v>
      </c>
      <c r="AI39" s="49">
        <f t="shared" si="32"/>
        <v>0</v>
      </c>
      <c r="AJ39" s="49">
        <f t="shared" si="33"/>
        <v>0</v>
      </c>
      <c r="AK39" s="49">
        <f t="shared" si="34"/>
        <v>0</v>
      </c>
      <c r="AL39" s="49">
        <f t="array" ref="AL39">_xlfn.IFS(R39=0,AE39,R39&lt;0,AE39/-R39,R39&gt;0,AE39/R39)</f>
        <v>0</v>
      </c>
      <c r="AM39" s="50">
        <f t="shared" si="35"/>
        <v>0</v>
      </c>
      <c r="AN39" s="51">
        <f t="shared" si="36"/>
        <v>0</v>
      </c>
      <c r="AP39" s="53">
        <f t="shared" si="37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21"/>
        <v>0</v>
      </c>
      <c r="O40" s="38">
        <f t="shared" si="22"/>
        <v>0</v>
      </c>
      <c r="P40" s="39">
        <f>SUMIFS('Отчет 05-11.01'!H:H,'Отчет 05-11.01'!D:D,"Выручка",'Отчет 05-11.01'!E:E,B40)</f>
        <v>0</v>
      </c>
      <c r="Q40" s="39">
        <f>SUMIFS('Отчет 05-11.01'!H:H,'Отчет 05-11.01'!D:D,"Возврат выручки",'Отчет 05-11.01'!E:E,B40)</f>
        <v>0</v>
      </c>
      <c r="R40" s="40">
        <f t="shared" si="23"/>
        <v>0</v>
      </c>
      <c r="S40" s="41">
        <f>SUMIFS('Отчет 05-11.01'!P:P,'Отчет 05-11.01'!C:C,"Продажи",'Отчет 05-11.01'!E:E,B40)</f>
        <v>0</v>
      </c>
      <c r="T40" s="42">
        <f>SUMIFS('Отчет 05-11.01'!P:P,'Отчет 05-11.01'!C:C,"Возвраты",'Отчет 05-11.01'!E:E,B40)</f>
        <v>0</v>
      </c>
      <c r="U40" s="40">
        <f t="shared" si="24"/>
        <v>0</v>
      </c>
      <c r="V40" s="43">
        <f t="shared" si="25"/>
        <v>0</v>
      </c>
      <c r="W40" s="44">
        <f t="shared" si="26"/>
        <v>0</v>
      </c>
      <c r="X40" s="42">
        <f>-SUMIFS('Отчет 05-11.01'!P:P,'Отчет 05-11.01'!C:C,"Вознаграждение Ozon",'Отчет 05-11.01'!E:E,B40)</f>
        <v>0</v>
      </c>
      <c r="Y40" s="45">
        <f t="shared" si="27"/>
        <v>0</v>
      </c>
      <c r="Z40" s="42">
        <f>-SUMIFS('Отчет 05-11.01'!P:P,'Отчет 05-11.01'!C:C,"Услуги доставки",'Отчет 05-11.01'!E:E,B40)</f>
        <v>0</v>
      </c>
      <c r="AA40" s="32">
        <v>0</v>
      </c>
      <c r="AB40" s="55"/>
      <c r="AC40" s="42"/>
      <c r="AD40" s="46">
        <f t="shared" si="28"/>
        <v>0</v>
      </c>
      <c r="AE40" s="47">
        <f t="shared" si="29"/>
        <v>0</v>
      </c>
      <c r="AF40" s="46"/>
      <c r="AG40" s="48">
        <f t="shared" si="30"/>
        <v>0</v>
      </c>
      <c r="AH40" s="49">
        <f t="shared" si="31"/>
        <v>597</v>
      </c>
      <c r="AI40" s="49">
        <f t="shared" si="32"/>
        <v>0</v>
      </c>
      <c r="AJ40" s="49">
        <f t="shared" si="33"/>
        <v>0</v>
      </c>
      <c r="AK40" s="49">
        <f t="shared" si="34"/>
        <v>0</v>
      </c>
      <c r="AL40" s="49">
        <f t="array" ref="AL40">_xlfn.IFS(R40=0,AE40,R40&lt;0,AE40/-R40,R40&gt;0,AE40/R40)</f>
        <v>0</v>
      </c>
      <c r="AM40" s="50">
        <f t="shared" si="35"/>
        <v>0</v>
      </c>
      <c r="AN40" s="51">
        <f t="shared" si="36"/>
        <v>0</v>
      </c>
      <c r="AP40" s="53">
        <f t="shared" si="37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21"/>
        <v>0</v>
      </c>
      <c r="O41" s="38">
        <f t="shared" si="22"/>
        <v>0</v>
      </c>
      <c r="P41" s="39">
        <f>SUMIFS('Отчет 05-11.01'!H:H,'Отчет 05-11.01'!D:D,"Выручка",'Отчет 05-11.01'!E:E,B41)</f>
        <v>0</v>
      </c>
      <c r="Q41" s="39">
        <f>SUMIFS('Отчет 05-11.01'!H:H,'Отчет 05-11.01'!D:D,"Возврат выручки",'Отчет 05-11.01'!E:E,B41)</f>
        <v>0</v>
      </c>
      <c r="R41" s="40">
        <f t="shared" si="23"/>
        <v>0</v>
      </c>
      <c r="S41" s="41">
        <f>SUMIFS('Отчет 05-11.01'!P:P,'Отчет 05-11.01'!C:C,"Продажи",'Отчет 05-11.01'!E:E,B41)</f>
        <v>0</v>
      </c>
      <c r="T41" s="42">
        <f>SUMIFS('Отчет 05-11.01'!P:P,'Отчет 05-11.01'!C:C,"Возвраты",'Отчет 05-11.01'!E:E,B41)</f>
        <v>0</v>
      </c>
      <c r="U41" s="40">
        <f t="shared" si="24"/>
        <v>0</v>
      </c>
      <c r="V41" s="43">
        <f t="shared" si="25"/>
        <v>0</v>
      </c>
      <c r="W41" s="44">
        <f t="shared" si="26"/>
        <v>0</v>
      </c>
      <c r="X41" s="42">
        <f>-SUMIFS('Отчет 05-11.01'!P:P,'Отчет 05-11.01'!C:C,"Вознаграждение Ozon",'Отчет 05-11.01'!E:E,B41)</f>
        <v>0</v>
      </c>
      <c r="Y41" s="45">
        <f t="shared" si="27"/>
        <v>0</v>
      </c>
      <c r="Z41" s="42">
        <f>-SUMIFS('Отчет 05-11.01'!P:P,'Отчет 05-11.01'!C:C,"Услуги доставки",'Отчет 05-11.01'!E:E,B41)</f>
        <v>0</v>
      </c>
      <c r="AA41" s="32">
        <v>0</v>
      </c>
      <c r="AB41" s="55"/>
      <c r="AC41" s="42"/>
      <c r="AD41" s="46">
        <f t="shared" si="28"/>
        <v>0</v>
      </c>
      <c r="AE41" s="47">
        <f t="shared" si="29"/>
        <v>0</v>
      </c>
      <c r="AF41" s="46"/>
      <c r="AG41" s="48">
        <f t="shared" si="30"/>
        <v>0</v>
      </c>
      <c r="AH41" s="49">
        <f t="shared" si="31"/>
        <v>597</v>
      </c>
      <c r="AI41" s="49">
        <f t="shared" si="32"/>
        <v>0</v>
      </c>
      <c r="AJ41" s="49">
        <f t="shared" si="33"/>
        <v>0</v>
      </c>
      <c r="AK41" s="49">
        <f t="shared" si="34"/>
        <v>0</v>
      </c>
      <c r="AL41" s="49">
        <f t="array" ref="AL41">_xlfn.IFS(R41=0,AE41,R41&lt;0,AE41/-R41,R41&gt;0,AE41/R41)</f>
        <v>0</v>
      </c>
      <c r="AM41" s="50">
        <f t="shared" si="35"/>
        <v>0</v>
      </c>
      <c r="AN41" s="51">
        <f t="shared" si="36"/>
        <v>0</v>
      </c>
      <c r="AP41" s="53">
        <f t="shared" si="37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21"/>
        <v>0</v>
      </c>
      <c r="O42" s="38">
        <f t="shared" si="22"/>
        <v>0.14285714285714285</v>
      </c>
      <c r="P42" s="39">
        <f>SUMIFS('Отчет 05-11.01'!H:H,'Отчет 05-11.01'!D:D,"Выручка",'Отчет 05-11.01'!E:E,B42)</f>
        <v>1</v>
      </c>
      <c r="Q42" s="39">
        <f>SUMIFS('Отчет 05-11.01'!H:H,'Отчет 05-11.01'!D:D,"Возврат выручки",'Отчет 05-11.01'!E:E,B42)</f>
        <v>0</v>
      </c>
      <c r="R42" s="40">
        <f t="shared" si="23"/>
        <v>1</v>
      </c>
      <c r="S42" s="41">
        <f>SUMIFS('Отчет 05-11.01'!P:P,'Отчет 05-11.01'!C:C,"Продажи",'Отчет 05-11.01'!E:E,B42)</f>
        <v>4024</v>
      </c>
      <c r="T42" s="42">
        <f>SUMIFS('Отчет 05-11.01'!P:P,'Отчет 05-11.01'!C:C,"Возвраты",'Отчет 05-11.01'!E:E,B42)</f>
        <v>0</v>
      </c>
      <c r="U42" s="40">
        <f t="shared" si="24"/>
        <v>4024</v>
      </c>
      <c r="V42" s="43">
        <f t="shared" si="25"/>
        <v>0.3823641201064234</v>
      </c>
      <c r="W42" s="44">
        <f t="shared" si="26"/>
        <v>642</v>
      </c>
      <c r="X42" s="42">
        <f>-SUMIFS('Отчет 05-11.01'!P:P,'Отчет 05-11.01'!C:C,"Вознаграждение Ozon",'Отчет 05-11.01'!E:E,B42)</f>
        <v>1730.32</v>
      </c>
      <c r="Y42" s="45">
        <f t="shared" si="27"/>
        <v>0.43</v>
      </c>
      <c r="Z42" s="42">
        <f>-SUMIFS('Отчет 05-11.01'!P:P,'Отчет 05-11.01'!C:C,"Услуги доставки",'Отчет 05-11.01'!E:E,B42)</f>
        <v>188.59</v>
      </c>
      <c r="AA42" s="32">
        <v>0</v>
      </c>
      <c r="AB42" s="55"/>
      <c r="AC42" s="42"/>
      <c r="AD42" s="46">
        <f t="shared" si="28"/>
        <v>40.24</v>
      </c>
      <c r="AE42" s="47">
        <f t="shared" si="29"/>
        <v>1422.8500000000001</v>
      </c>
      <c r="AF42" s="46"/>
      <c r="AG42" s="48">
        <f t="shared" si="30"/>
        <v>4024</v>
      </c>
      <c r="AH42" s="49">
        <f t="shared" si="31"/>
        <v>642</v>
      </c>
      <c r="AI42" s="49">
        <f t="shared" si="32"/>
        <v>1730.32</v>
      </c>
      <c r="AJ42" s="49">
        <f t="shared" si="33"/>
        <v>188.59</v>
      </c>
      <c r="AK42" s="49">
        <f t="shared" si="34"/>
        <v>0</v>
      </c>
      <c r="AL42" s="49">
        <f t="array" ref="AL42">_xlfn.IFS(R42=0,AE42,R42&lt;0,AE42/-R42,R42&gt;0,AE42/R42)</f>
        <v>1422.8500000000001</v>
      </c>
      <c r="AM42" s="50">
        <f t="shared" si="35"/>
        <v>0.35359095427435389</v>
      </c>
      <c r="AN42" s="51">
        <f t="shared" si="36"/>
        <v>2.2162772585669783</v>
      </c>
      <c r="AP42" s="53">
        <f t="shared" si="37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21"/>
        <v>0</v>
      </c>
      <c r="O43" s="38">
        <f t="shared" si="22"/>
        <v>0</v>
      </c>
      <c r="P43" s="39">
        <f>SUMIFS('Отчет 05-11.01'!H:H,'Отчет 05-11.01'!D:D,"Выручка",'Отчет 05-11.01'!E:E,B43)</f>
        <v>0</v>
      </c>
      <c r="Q43" s="39">
        <f>SUMIFS('Отчет 05-11.01'!H:H,'Отчет 05-11.01'!D:D,"Возврат выручки",'Отчет 05-11.01'!E:E,B43)</f>
        <v>0</v>
      </c>
      <c r="R43" s="40">
        <f t="shared" si="23"/>
        <v>0</v>
      </c>
      <c r="S43" s="41">
        <f>SUMIFS('Отчет 05-11.01'!P:P,'Отчет 05-11.01'!C:C,"Продажи",'Отчет 05-11.01'!E:E,B43)</f>
        <v>0</v>
      </c>
      <c r="T43" s="42">
        <f>SUMIFS('Отчет 05-11.01'!P:P,'Отчет 05-11.01'!C:C,"Возвраты",'Отчет 05-11.01'!E:E,B43)</f>
        <v>0</v>
      </c>
      <c r="U43" s="40">
        <f t="shared" si="24"/>
        <v>0</v>
      </c>
      <c r="V43" s="43">
        <f t="shared" si="25"/>
        <v>0</v>
      </c>
      <c r="W43" s="44">
        <f t="shared" si="26"/>
        <v>0</v>
      </c>
      <c r="X43" s="42">
        <f>-SUMIFS('Отчет 05-11.01'!P:P,'Отчет 05-11.01'!C:C,"Вознаграждение Ozon",'Отчет 05-11.01'!E:E,B43)</f>
        <v>0</v>
      </c>
      <c r="Y43" s="45">
        <f t="shared" si="27"/>
        <v>0</v>
      </c>
      <c r="Z43" s="42">
        <f>-SUMIFS('Отчет 05-11.01'!P:P,'Отчет 05-11.01'!C:C,"Услуги доставки",'Отчет 05-11.01'!E:E,B43)</f>
        <v>0</v>
      </c>
      <c r="AA43" s="32">
        <v>0</v>
      </c>
      <c r="AB43" s="55"/>
      <c r="AC43" s="42"/>
      <c r="AD43" s="46">
        <f t="shared" si="28"/>
        <v>0</v>
      </c>
      <c r="AE43" s="47">
        <f t="shared" si="29"/>
        <v>0</v>
      </c>
      <c r="AF43" s="46"/>
      <c r="AG43" s="48">
        <f t="shared" si="30"/>
        <v>0</v>
      </c>
      <c r="AH43" s="49">
        <f t="shared" si="31"/>
        <v>642</v>
      </c>
      <c r="AI43" s="49">
        <f t="shared" si="32"/>
        <v>0</v>
      </c>
      <c r="AJ43" s="49">
        <f t="shared" si="33"/>
        <v>0</v>
      </c>
      <c r="AK43" s="49">
        <f t="shared" si="34"/>
        <v>0</v>
      </c>
      <c r="AL43" s="49">
        <f t="array" ref="AL43">_xlfn.IFS(R43=0,AE43,R43&lt;0,AE43/-R43,R43&gt;0,AE43/R43)</f>
        <v>0</v>
      </c>
      <c r="AM43" s="50">
        <f t="shared" si="35"/>
        <v>0</v>
      </c>
      <c r="AN43" s="51">
        <f t="shared" si="36"/>
        <v>0</v>
      </c>
      <c r="AP43" s="53">
        <f t="shared" si="37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21"/>
        <v>0</v>
      </c>
      <c r="O44" s="38">
        <f t="shared" si="22"/>
        <v>0</v>
      </c>
      <c r="P44" s="39">
        <f>SUMIFS('Отчет 05-11.01'!H:H,'Отчет 05-11.01'!D:D,"Выручка",'Отчет 05-11.01'!E:E,B44)</f>
        <v>0</v>
      </c>
      <c r="Q44" s="39">
        <f>SUMIFS('Отчет 05-11.01'!H:H,'Отчет 05-11.01'!D:D,"Возврат выручки",'Отчет 05-11.01'!E:E,B44)</f>
        <v>0</v>
      </c>
      <c r="R44" s="40">
        <f t="shared" si="23"/>
        <v>0</v>
      </c>
      <c r="S44" s="41">
        <f>SUMIFS('Отчет 05-11.01'!P:P,'Отчет 05-11.01'!C:C,"Продажи",'Отчет 05-11.01'!E:E,B44)</f>
        <v>0</v>
      </c>
      <c r="T44" s="42">
        <f>SUMIFS('Отчет 05-11.01'!P:P,'Отчет 05-11.01'!C:C,"Возвраты",'Отчет 05-11.01'!E:E,B44)</f>
        <v>0</v>
      </c>
      <c r="U44" s="40">
        <f t="shared" si="24"/>
        <v>0</v>
      </c>
      <c r="V44" s="43">
        <f t="shared" si="25"/>
        <v>0</v>
      </c>
      <c r="W44" s="44">
        <f t="shared" si="26"/>
        <v>0</v>
      </c>
      <c r="X44" s="42">
        <f>-SUMIFS('Отчет 05-11.01'!P:P,'Отчет 05-11.01'!C:C,"Вознаграждение Ozon",'Отчет 05-11.01'!E:E,B44)</f>
        <v>0</v>
      </c>
      <c r="Y44" s="45">
        <f t="shared" si="27"/>
        <v>0</v>
      </c>
      <c r="Z44" s="42">
        <f>-SUMIFS('Отчет 05-11.01'!P:P,'Отчет 05-11.01'!C:C,"Услуги доставки",'Отчет 05-11.01'!E:E,B44)</f>
        <v>0</v>
      </c>
      <c r="AA44" s="32">
        <v>0</v>
      </c>
      <c r="AB44" s="55"/>
      <c r="AC44" s="42"/>
      <c r="AD44" s="46">
        <f t="shared" si="28"/>
        <v>0</v>
      </c>
      <c r="AE44" s="47">
        <f t="shared" si="29"/>
        <v>0</v>
      </c>
      <c r="AF44" s="46"/>
      <c r="AG44" s="48">
        <f t="shared" si="30"/>
        <v>0</v>
      </c>
      <c r="AH44" s="49">
        <f t="shared" si="31"/>
        <v>687</v>
      </c>
      <c r="AI44" s="49">
        <f t="shared" si="32"/>
        <v>0</v>
      </c>
      <c r="AJ44" s="49">
        <f t="shared" si="33"/>
        <v>0</v>
      </c>
      <c r="AK44" s="49">
        <f t="shared" si="34"/>
        <v>0</v>
      </c>
      <c r="AL44" s="49">
        <f t="array" ref="AL44">_xlfn.IFS(R44=0,AE44,R44&lt;0,AE44/-R44,R44&gt;0,AE44/R44)</f>
        <v>0</v>
      </c>
      <c r="AM44" s="50">
        <f t="shared" si="35"/>
        <v>0</v>
      </c>
      <c r="AN44" s="51">
        <f t="shared" si="36"/>
        <v>0</v>
      </c>
      <c r="AP44" s="53">
        <f t="shared" si="37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2</v>
      </c>
      <c r="L45" s="36"/>
      <c r="M45" s="36"/>
      <c r="N45" s="37">
        <f t="shared" si="21"/>
        <v>0.2857142857142857</v>
      </c>
      <c r="O45" s="38">
        <f t="shared" si="22"/>
        <v>0.14285714285714285</v>
      </c>
      <c r="P45" s="39">
        <f>SUMIFS('Отчет 05-11.01'!H:H,'Отчет 05-11.01'!D:D,"Выручка",'Отчет 05-11.01'!E:E,B45)</f>
        <v>1</v>
      </c>
      <c r="Q45" s="39">
        <f>SUMIFS('Отчет 05-11.01'!H:H,'Отчет 05-11.01'!D:D,"Возврат выручки",'Отчет 05-11.01'!E:E,B45)</f>
        <v>0</v>
      </c>
      <c r="R45" s="40">
        <f t="shared" si="23"/>
        <v>1</v>
      </c>
      <c r="S45" s="41">
        <f>SUMIFS('Отчет 05-11.01'!P:P,'Отчет 05-11.01'!C:C,"Продажи",'Отчет 05-11.01'!E:E,B45)</f>
        <v>6500</v>
      </c>
      <c r="T45" s="42">
        <f>SUMIFS('Отчет 05-11.01'!P:P,'Отчет 05-11.01'!C:C,"Возвраты",'Отчет 05-11.01'!E:E,B45)</f>
        <v>0</v>
      </c>
      <c r="U45" s="40">
        <f t="shared" si="24"/>
        <v>6500</v>
      </c>
      <c r="V45" s="43">
        <f t="shared" si="25"/>
        <v>0.6176358798935766</v>
      </c>
      <c r="W45" s="44">
        <f t="shared" si="26"/>
        <v>687</v>
      </c>
      <c r="X45" s="42">
        <f>-SUMIFS('Отчет 05-11.01'!P:P,'Отчет 05-11.01'!C:C,"Вознаграждение Ozon",'Отчет 05-11.01'!E:E,B45)</f>
        <v>2795</v>
      </c>
      <c r="Y45" s="45">
        <f t="shared" si="27"/>
        <v>0.43</v>
      </c>
      <c r="Z45" s="42">
        <f>-SUMIFS('Отчет 05-11.01'!P:P,'Отчет 05-11.01'!C:C,"Услуги доставки",'Отчет 05-11.01'!E:E,B45)</f>
        <v>490.95</v>
      </c>
      <c r="AA45" s="32">
        <v>980.76155200000005</v>
      </c>
      <c r="AB45" s="55"/>
      <c r="AC45" s="42"/>
      <c r="AD45" s="46">
        <f t="shared" si="28"/>
        <v>65</v>
      </c>
      <c r="AE45" s="47">
        <f t="shared" si="29"/>
        <v>1481.2884480000002</v>
      </c>
      <c r="AF45" s="46"/>
      <c r="AG45" s="48">
        <f t="shared" si="30"/>
        <v>6500</v>
      </c>
      <c r="AH45" s="49">
        <f t="shared" si="31"/>
        <v>687</v>
      </c>
      <c r="AI45" s="49">
        <f t="shared" si="32"/>
        <v>2795</v>
      </c>
      <c r="AJ45" s="49">
        <f t="shared" si="33"/>
        <v>490.95</v>
      </c>
      <c r="AK45" s="49">
        <f t="shared" si="34"/>
        <v>980.76155200000005</v>
      </c>
      <c r="AL45" s="49">
        <f t="array" ref="AL45">_xlfn.IFS(R45=0,AE45,R45&lt;0,AE45/-R45,R45&gt;0,AE45/R45)</f>
        <v>1481.2884480000002</v>
      </c>
      <c r="AM45" s="50">
        <f t="shared" si="35"/>
        <v>0.22789053046153851</v>
      </c>
      <c r="AN45" s="51">
        <f t="shared" si="36"/>
        <v>2.1561695021834066</v>
      </c>
      <c r="AP45" s="53">
        <f t="shared" si="37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21"/>
        <v>0</v>
      </c>
      <c r="O46" s="38">
        <f t="shared" si="22"/>
        <v>0</v>
      </c>
      <c r="P46" s="39">
        <f>SUMIFS('Отчет 05-11.01'!H:H,'Отчет 05-11.01'!D:D,"Выручка",'Отчет 05-11.01'!E:E,B46)</f>
        <v>0</v>
      </c>
      <c r="Q46" s="39">
        <f>SUMIFS('Отчет 05-11.01'!H:H,'Отчет 05-11.01'!D:D,"Возврат выручки",'Отчет 05-11.01'!E:E,B46)</f>
        <v>0</v>
      </c>
      <c r="R46" s="40">
        <f t="shared" si="23"/>
        <v>0</v>
      </c>
      <c r="S46" s="41">
        <f>SUMIFS('Отчет 05-11.01'!P:P,'Отчет 05-11.01'!C:C,"Продажи",'Отчет 05-11.01'!E:E,B46)</f>
        <v>0</v>
      </c>
      <c r="T46" s="42">
        <f>SUMIFS('Отчет 05-11.01'!P:P,'Отчет 05-11.01'!C:C,"Возвраты",'Отчет 05-11.01'!E:E,B46)</f>
        <v>0</v>
      </c>
      <c r="U46" s="40">
        <f t="shared" si="24"/>
        <v>0</v>
      </c>
      <c r="V46" s="43">
        <f t="shared" si="25"/>
        <v>0</v>
      </c>
      <c r="W46" s="44">
        <f t="shared" si="26"/>
        <v>0</v>
      </c>
      <c r="X46" s="42">
        <f>-SUMIFS('Отчет 05-11.01'!P:P,'Отчет 05-11.01'!C:C,"Вознаграждение Ozon",'Отчет 05-11.01'!E:E,B46)</f>
        <v>0</v>
      </c>
      <c r="Y46" s="45">
        <f t="shared" si="27"/>
        <v>0</v>
      </c>
      <c r="Z46" s="42">
        <f>-SUMIFS('Отчет 05-11.01'!P:P,'Отчет 05-11.01'!C:C,"Услуги доставки",'Отчет 05-11.01'!E:E,B46)</f>
        <v>113.88</v>
      </c>
      <c r="AA46" s="32">
        <v>0</v>
      </c>
      <c r="AB46" s="55"/>
      <c r="AC46" s="42"/>
      <c r="AD46" s="46">
        <f t="shared" si="28"/>
        <v>0</v>
      </c>
      <c r="AE46" s="47">
        <f t="shared" si="29"/>
        <v>-113.88</v>
      </c>
      <c r="AF46" s="46"/>
      <c r="AG46" s="48">
        <f t="shared" si="30"/>
        <v>0</v>
      </c>
      <c r="AH46" s="49">
        <f t="shared" si="31"/>
        <v>552</v>
      </c>
      <c r="AI46" s="49">
        <f t="shared" si="32"/>
        <v>0</v>
      </c>
      <c r="AJ46" s="49">
        <f t="shared" si="33"/>
        <v>113.88</v>
      </c>
      <c r="AK46" s="49">
        <f t="shared" si="34"/>
        <v>0</v>
      </c>
      <c r="AL46" s="49">
        <f t="array" ref="AL46">_xlfn.IFS(R46=0,AE46,R46&lt;0,AE46/-R46,R46&gt;0,AE46/R46)</f>
        <v>-113.88</v>
      </c>
      <c r="AM46" s="50">
        <f t="shared" si="35"/>
        <v>0</v>
      </c>
      <c r="AN46" s="51">
        <f t="shared" si="36"/>
        <v>-0.20630434782608695</v>
      </c>
      <c r="AP46" s="53">
        <f t="shared" si="37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21"/>
        <v>0</v>
      </c>
      <c r="O47" s="38">
        <f t="shared" si="22"/>
        <v>0</v>
      </c>
      <c r="P47" s="39">
        <f>SUMIFS('Отчет 05-11.01'!H:H,'Отчет 05-11.01'!D:D,"Выручка",'Отчет 05-11.01'!E:E,B47)</f>
        <v>0</v>
      </c>
      <c r="Q47" s="39">
        <f>SUMIFS('Отчет 05-11.01'!H:H,'Отчет 05-11.01'!D:D,"Возврат выручки",'Отчет 05-11.01'!E:E,B47)</f>
        <v>0</v>
      </c>
      <c r="R47" s="40">
        <f t="shared" si="23"/>
        <v>0</v>
      </c>
      <c r="S47" s="41">
        <f>SUMIFS('Отчет 05-11.01'!P:P,'Отчет 05-11.01'!C:C,"Продажи",'Отчет 05-11.01'!E:E,B47)</f>
        <v>0</v>
      </c>
      <c r="T47" s="42">
        <f>SUMIFS('Отчет 05-11.01'!P:P,'Отчет 05-11.01'!C:C,"Возвраты",'Отчет 05-11.01'!E:E,B47)</f>
        <v>0</v>
      </c>
      <c r="U47" s="40">
        <f t="shared" si="24"/>
        <v>0</v>
      </c>
      <c r="V47" s="43">
        <f t="shared" si="25"/>
        <v>0</v>
      </c>
      <c r="W47" s="44">
        <f t="shared" si="26"/>
        <v>0</v>
      </c>
      <c r="X47" s="42">
        <f>-SUMIFS('Отчет 05-11.01'!P:P,'Отчет 05-11.01'!C:C,"Вознаграждение Ozon",'Отчет 05-11.01'!E:E,B47)</f>
        <v>0</v>
      </c>
      <c r="Y47" s="45">
        <f t="shared" si="27"/>
        <v>0</v>
      </c>
      <c r="Z47" s="42">
        <f>-SUMIFS('Отчет 05-11.01'!P:P,'Отчет 05-11.01'!C:C,"Услуги доставки",'Отчет 05-11.01'!E:E,B47)</f>
        <v>0</v>
      </c>
      <c r="AA47" s="32">
        <v>0</v>
      </c>
      <c r="AB47" s="55"/>
      <c r="AC47" s="42"/>
      <c r="AD47" s="46">
        <f t="shared" si="28"/>
        <v>0</v>
      </c>
      <c r="AE47" s="47">
        <f t="shared" si="29"/>
        <v>0</v>
      </c>
      <c r="AF47" s="46"/>
      <c r="AG47" s="48">
        <f t="shared" si="30"/>
        <v>0</v>
      </c>
      <c r="AH47" s="49">
        <f t="shared" si="31"/>
        <v>552</v>
      </c>
      <c r="AI47" s="49">
        <f t="shared" si="32"/>
        <v>0</v>
      </c>
      <c r="AJ47" s="49">
        <f t="shared" si="33"/>
        <v>0</v>
      </c>
      <c r="AK47" s="49">
        <f t="shared" si="34"/>
        <v>0</v>
      </c>
      <c r="AL47" s="49">
        <f t="array" ref="AL47">_xlfn.IFS(R47=0,AE47,R47&lt;0,AE47/-R47,R47&gt;0,AE47/R47)</f>
        <v>0</v>
      </c>
      <c r="AM47" s="50">
        <f t="shared" si="35"/>
        <v>0</v>
      </c>
      <c r="AN47" s="51">
        <f t="shared" si="36"/>
        <v>0</v>
      </c>
      <c r="AP47" s="53">
        <f t="shared" si="37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5262</v>
      </c>
      <c r="AH48" s="86">
        <f t="shared" si="38"/>
        <v>617.25</v>
      </c>
      <c r="AI48" s="86">
        <f t="shared" si="38"/>
        <v>2262.66</v>
      </c>
      <c r="AJ48" s="86">
        <f t="shared" si="38"/>
        <v>226.82500000000002</v>
      </c>
      <c r="AK48" s="86">
        <f t="shared" si="38"/>
        <v>980.76155200000005</v>
      </c>
      <c r="AL48" s="86">
        <f t="shared" si="38"/>
        <v>669.0946120000001</v>
      </c>
      <c r="AM48" s="87">
        <f t="shared" si="38"/>
        <v>0.29074074236794623</v>
      </c>
      <c r="AN48" s="87">
        <f t="shared" si="38"/>
        <v>1.00009455519614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4</v>
      </c>
      <c r="L49" s="93"/>
      <c r="M49" s="93"/>
      <c r="N49" s="94"/>
      <c r="O49" s="95"/>
      <c r="P49" s="90">
        <f t="shared" ref="P49:X49" si="39">SUM(P28:P47)</f>
        <v>2</v>
      </c>
      <c r="Q49" s="90">
        <f t="shared" si="39"/>
        <v>0</v>
      </c>
      <c r="R49" s="96">
        <f t="shared" si="39"/>
        <v>2</v>
      </c>
      <c r="S49" s="90">
        <f t="shared" si="39"/>
        <v>10524</v>
      </c>
      <c r="T49" s="90">
        <f t="shared" si="39"/>
        <v>0</v>
      </c>
      <c r="U49" s="96">
        <f t="shared" si="39"/>
        <v>10524</v>
      </c>
      <c r="V49" s="97">
        <f t="shared" si="39"/>
        <v>1</v>
      </c>
      <c r="W49" s="90">
        <f t="shared" si="39"/>
        <v>1329</v>
      </c>
      <c r="X49" s="90">
        <f t="shared" si="39"/>
        <v>4525.32</v>
      </c>
      <c r="Y49" s="98">
        <f>IF(U49=0,0,X49/U49)</f>
        <v>0.43</v>
      </c>
      <c r="Z49" s="90">
        <f>SUM(Z28:Z47)</f>
        <v>907.30000000000007</v>
      </c>
      <c r="AA49" s="90">
        <f>IFERROR(P49*AA51/P51,0)</f>
        <v>701.59366666666676</v>
      </c>
      <c r="AB49" s="90">
        <f>SUM(AB28:AB47)</f>
        <v>0</v>
      </c>
      <c r="AC49" s="90">
        <f>SUM(AC28:AC47)</f>
        <v>0</v>
      </c>
      <c r="AD49" s="96">
        <f>SUM(AD28:AD47)</f>
        <v>105.24000000000001</v>
      </c>
      <c r="AE49" s="90">
        <f>SUM(AE28:AE47)</f>
        <v>2676.3784480000004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980.76155200000005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78</v>
      </c>
      <c r="L51" s="119"/>
      <c r="M51" s="119"/>
      <c r="N51" s="119"/>
      <c r="O51" s="119"/>
      <c r="P51" s="120">
        <f t="shared" ref="P51:X51" si="40">P26+P49</f>
        <v>60</v>
      </c>
      <c r="Q51" s="118">
        <f t="shared" si="40"/>
        <v>4</v>
      </c>
      <c r="R51" s="121">
        <f t="shared" si="40"/>
        <v>56</v>
      </c>
      <c r="S51" s="118">
        <f t="shared" si="40"/>
        <v>102684.00000000001</v>
      </c>
      <c r="T51" s="118">
        <f t="shared" si="40"/>
        <v>-6799</v>
      </c>
      <c r="U51" s="121">
        <f t="shared" si="40"/>
        <v>95885.000000000015</v>
      </c>
      <c r="V51" s="122">
        <f t="shared" si="40"/>
        <v>9.1110794374762474</v>
      </c>
      <c r="W51" s="118">
        <f t="shared" si="40"/>
        <v>8980.7999999999993</v>
      </c>
      <c r="X51" s="118">
        <f t="shared" si="40"/>
        <v>41230.55000000001</v>
      </c>
      <c r="Y51" s="123">
        <f>X51/U51</f>
        <v>0.43000000000000005</v>
      </c>
      <c r="Z51" s="118">
        <f>Z26+Z49</f>
        <v>10857.570000000005</v>
      </c>
      <c r="AA51" s="124">
        <v>21047.81</v>
      </c>
      <c r="AB51" s="125"/>
      <c r="AC51" s="125">
        <f>SUM(AC3:AC47)</f>
        <v>0</v>
      </c>
      <c r="AD51" s="118">
        <f>AD26+AD49</f>
        <v>958.85000000000014</v>
      </c>
      <c r="AE51" s="126">
        <f>AE26+AE49</f>
        <v>12809.399351000011</v>
      </c>
      <c r="AF51" s="127"/>
      <c r="AG51" s="128"/>
      <c r="AH51" s="129"/>
      <c r="AI51" s="129"/>
      <c r="AJ51" s="129"/>
      <c r="AK51" s="129">
        <f>AA52/P51</f>
        <v>350.79683333333338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21047.81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252">
        <f>AA27+AA50</f>
        <v>21047.830649000003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27" priority="28" operator="greaterThan">
      <formula>120</formula>
    </cfRule>
  </conditionalFormatting>
  <conditionalFormatting sqref="N50">
    <cfRule type="cellIs" dxfId="26" priority="27" operator="between">
      <formula>0.000001</formula>
      <formula>25</formula>
    </cfRule>
  </conditionalFormatting>
  <conditionalFormatting sqref="V1 V52:V55 V57:V1048576">
    <cfRule type="cellIs" dxfId="25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{6D5B39C1-BDCF-42B3-8BD8-977EA0C09F2E}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{4B274D05-F270-498F-826A-09A12923C4F4}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{9157DF82-ED15-44E5-811F-0E8B15743699}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{11BF2F3D-F07A-4D84-94DD-39EB30C82394}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{CC42F30D-83EA-48DA-8BB0-78F916DC943D}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{DF902768-0233-4BFC-BB46-FD15485EFAD9}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{F1468FBE-CDB9-4592-A869-92E78CBF6363}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{E3FF12E0-D09F-412C-853D-938FA50C563F}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{F3042236-2776-42E6-A0B9-3E937805365E}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{5DCDB6A6-88D9-4FA7-B5AC-E836B203F5C4}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{AA213FDD-665A-4407-AFEB-E0FE5A25A53B}</x14:id>
        </ext>
      </extLst>
    </cfRule>
  </conditionalFormatting>
  <conditionalFormatting sqref="P50">
    <cfRule type="cellIs" dxfId="24" priority="23" operator="greaterThan">
      <formula>120</formula>
    </cfRule>
  </conditionalFormatting>
  <conditionalFormatting sqref="Q50">
    <cfRule type="cellIs" dxfId="23" priority="22" operator="greaterThan">
      <formula>120</formula>
    </cfRule>
  </conditionalFormatting>
  <conditionalFormatting sqref="R50">
    <cfRule type="cellIs" dxfId="22" priority="21" operator="greaterThan">
      <formula>120</formula>
    </cfRule>
  </conditionalFormatting>
  <conditionalFormatting sqref="S50">
    <cfRule type="cellIs" dxfId="21" priority="20" operator="greaterThan">
      <formula>120</formula>
    </cfRule>
  </conditionalFormatting>
  <conditionalFormatting sqref="T50">
    <cfRule type="cellIs" dxfId="20" priority="19" operator="greaterThan">
      <formula>120</formula>
    </cfRule>
  </conditionalFormatting>
  <conditionalFormatting sqref="U50">
    <cfRule type="cellIs" dxfId="19" priority="18" operator="greaterThan">
      <formula>120</formula>
    </cfRule>
  </conditionalFormatting>
  <conditionalFormatting sqref="V50">
    <cfRule type="cellIs" dxfId="18" priority="17" operator="greaterThan">
      <formula>120</formula>
    </cfRule>
  </conditionalFormatting>
  <conditionalFormatting sqref="W50">
    <cfRule type="cellIs" dxfId="17" priority="16" operator="greaterThan">
      <formula>120</formula>
    </cfRule>
  </conditionalFormatting>
  <conditionalFormatting sqref="X50">
    <cfRule type="cellIs" dxfId="16" priority="15" operator="greaterThan">
      <formula>120</formula>
    </cfRule>
  </conditionalFormatting>
  <conditionalFormatting sqref="Z50">
    <cfRule type="cellIs" dxfId="15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{209E32FB-CDA7-4357-8345-A0E8827B3C5F}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{81E8B5C9-42E9-45AE-BED4-8E9A7B5BC742}</x14:id>
        </ext>
      </extLst>
    </cfRule>
  </conditionalFormatting>
  <conditionalFormatting sqref="J8:J9">
    <cfRule type="cellIs" dxfId="14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{80818FBB-F7FA-49D3-9E91-434C9CE71C31}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{DFFD5BB3-DC19-4A35-8214-F5CDB576178E}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{D354F7C0-41E0-4FB3-8153-8525CAACAB17}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{B11B8B58-7B9E-4106-929B-B9438B21C69F}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{9D3C103D-5432-468E-A5A1-3DDF5ED4ADEC}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{790EAA09-AE59-4D0D-90D3-00147F0F741A}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{1C8D6747-5CA0-4CCE-B4E9-1DEB0001FD1E}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{8A1C91A4-CA1A-42F0-98C9-EA74AC886C15}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{11028432-52A9-49AE-8CEB-BBAB01AD2B14}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{652CC5BE-CBD3-44E7-AA48-D2504778FA3E}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5B39C1-BDCF-42B3-8BD8-977EA0C09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4B274D05-F270-498F-826A-09A12923C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9157DF82-ED15-44E5-811F-0E8B157436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11BF2F3D-F07A-4D84-94DD-39EB30C823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42F30D-83EA-48DA-8BB0-78F916DC94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DF902768-0233-4BFC-BB46-FD15485EFA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F1468FBE-CDB9-4592-A869-92E78CBF63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E3FF12E0-D09F-412C-853D-938FA50C5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F3042236-2776-42E6-A0B9-3E9378053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5DCDB6A6-88D9-4FA7-B5AC-E836B203F5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AA213FDD-665A-4407-AFEB-E0FE5A25A5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209E32FB-CDA7-4357-8345-A0E8827B3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1E8B5C9-42E9-45AE-BED4-8E9A7B5BC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80818FBB-F7FA-49D3-9E91-434C9CE71C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DFFD5BB3-DC19-4A35-8214-F5CDB5761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354F7C0-41E0-4FB3-8153-8525CAACA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11B8B58-7B9E-4106-929B-B9438B21C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9D3C103D-5432-468E-A5A1-3DDF5ED4AD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790EAA09-AE59-4D0D-90D3-00147F0F74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1C8D6747-5CA0-4CCE-B4E9-1DEB0001F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8A1C91A4-CA1A-42F0-98C9-EA74AC886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11028432-52A9-49AE-8CEB-BBAB01AD2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652CC5BE-CBD3-44E7-AA48-D2504778F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4812-0A2E-411A-8EEA-EDAAE8EEC186}">
  <dimension ref="A1:AZ64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11" sqref="AA11"/>
    </sheetView>
  </sheetViews>
  <sheetFormatPr defaultColWidth="12.54296875" defaultRowHeight="14.5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336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91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749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751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2638219896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24" si="0">C3*H3</f>
        <v>0</v>
      </c>
      <c r="J3" s="36"/>
      <c r="K3" s="32">
        <v>29</v>
      </c>
      <c r="L3" s="36"/>
      <c r="M3" s="36"/>
      <c r="N3" s="37">
        <f>K3/4</f>
        <v>7.25</v>
      </c>
      <c r="O3" s="38">
        <f>R3/4</f>
        <v>3.5</v>
      </c>
      <c r="P3" s="39">
        <f>SUMIFS('Отчет 01-04.01'!H:H,'Отчет 01-04.01'!D:D,"Выручка",'Отчет 01-04.01'!E:E,B3)</f>
        <v>14</v>
      </c>
      <c r="Q3" s="39">
        <f>SUMIFS('Отчет 01-04.01'!H:H,'Отчет 01-04.01'!D:D,"Возврат выручки",'Отчет 01-04.01'!E:E,B3)</f>
        <v>0</v>
      </c>
      <c r="R3" s="40">
        <f t="shared" ref="R3:R24" si="1">P3-Q3</f>
        <v>14</v>
      </c>
      <c r="S3" s="41">
        <f>SUMIFS('Отчет 01-04.01'!P:P,'Отчет 01-04.01'!C:C,"Продажи",'Отчет 01-04.01'!E:E,B3)</f>
        <v>22591</v>
      </c>
      <c r="T3" s="42">
        <f>SUMIFS('Отчет 01-04.01'!P:P,'Отчет 01-04.01'!C:C,"Возвраты",'Отчет 01-04.01'!E:E,B3)</f>
        <v>0</v>
      </c>
      <c r="U3" s="40">
        <f t="shared" ref="U3:U24" si="2">S3+T3</f>
        <v>22591</v>
      </c>
      <c r="V3" s="43">
        <f t="shared" ref="V3:V24" si="3">U3/$U$49</f>
        <v>5.3192842006121968</v>
      </c>
      <c r="W3" s="44">
        <f t="shared" ref="W3:W24" si="4">R3*H3</f>
        <v>2001.7199999999998</v>
      </c>
      <c r="X3" s="42">
        <f>-SUMIFS('Отчет 01-04.01'!P:P,'Отчет 01-04.01'!C:C,"Вознаграждение Ozon",'Отчет 01-04.01'!E:E,B3)</f>
        <v>9714.1299999999992</v>
      </c>
      <c r="Y3" s="45">
        <f t="shared" ref="Y3:Y24" si="5">IF(U3=0,0,X3/U3)</f>
        <v>0.42999999999999994</v>
      </c>
      <c r="Z3" s="42">
        <f>-SUMIFS('Отчет 01-04.01'!P:P,'Отчет 01-04.01'!C:C,"Услуги доставки",'Отчет 01-04.01'!E:E,B3)</f>
        <v>1929.3999999999996</v>
      </c>
      <c r="AA3" s="32">
        <v>8536.7978440000006</v>
      </c>
      <c r="AB3" s="42"/>
      <c r="AC3" s="42"/>
      <c r="AD3" s="46">
        <f t="shared" ref="AD3:AD24" si="6">U3*1%</f>
        <v>225.91</v>
      </c>
      <c r="AE3" s="47">
        <f t="shared" ref="AE3:AE24" si="7">U3-W3-X3-Z3-AA3-AB3-AC3-AD3</f>
        <v>183.04215599999938</v>
      </c>
      <c r="AF3" s="46"/>
      <c r="AG3" s="48">
        <f t="shared" ref="AG3:AG24" si="8">IF(R3=0,0,U3/R3)</f>
        <v>1613.6428571428571</v>
      </c>
      <c r="AH3" s="49">
        <f t="shared" ref="AH3:AH24" si="9">H3</f>
        <v>142.97999999999999</v>
      </c>
      <c r="AI3" s="49">
        <f t="shared" ref="AI3:AI24" si="10">IF(R3=0,0,X3/R3)</f>
        <v>693.86642857142851</v>
      </c>
      <c r="AJ3" s="49">
        <f t="shared" ref="AJ3:AJ24" si="11">IF(P3=0,Z3/1,Z3/P3)</f>
        <v>137.81428571428569</v>
      </c>
      <c r="AK3" s="49">
        <f t="shared" ref="AK3:AK24" si="12">IF(P3=0,0,AA3/P3)</f>
        <v>609.77127457142865</v>
      </c>
      <c r="AL3" s="49">
        <f>_xlfn.IFS(R3=0,AE3,R3&lt;0,AE3/-R3,R3&gt;0,AE3/R3)</f>
        <v>13.074439714285671</v>
      </c>
      <c r="AM3" s="50">
        <f t="shared" ref="AM3:AM24" si="13">IF(AG3=0,0,AL3/AG3)</f>
        <v>8.1024370767119377E-3</v>
      </c>
      <c r="AN3" s="51">
        <f t="shared" ref="AN3:AN24" si="14">IF(AH3=0,0,AL3/AH3)</f>
        <v>9.1442437503746477E-2</v>
      </c>
      <c r="AP3" s="53">
        <f t="shared" ref="AP3:AP24" si="15">AL3*C3</f>
        <v>0</v>
      </c>
    </row>
    <row r="4" spans="1:42">
      <c r="A4" s="30">
        <v>2638638550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ref="N4:N24" si="16">K4/4</f>
        <v>0.25</v>
      </c>
      <c r="O4" s="38">
        <f t="shared" ref="O4:O24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1195</v>
      </c>
      <c r="T4" s="42">
        <f>SUMIFS('Отчет 01-04.01'!P:P,'Отчет 01-04.01'!C:C,"Возвраты",'Отчет 01-04.01'!E:E,B4)</f>
        <v>0</v>
      </c>
      <c r="U4" s="40">
        <f t="shared" si="2"/>
        <v>1195</v>
      </c>
      <c r="V4" s="43">
        <f t="shared" si="3"/>
        <v>0.28137508829762187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513.85</v>
      </c>
      <c r="Y4" s="45">
        <f t="shared" si="5"/>
        <v>0.43</v>
      </c>
      <c r="Z4" s="42">
        <f>-SUMIFS('Отчет 01-04.01'!P:P,'Отчет 01-04.01'!C:C,"Услуги доставки",'Отчет 01-04.01'!E:E,B4)</f>
        <v>97.9</v>
      </c>
      <c r="AA4" s="32">
        <v>0</v>
      </c>
      <c r="AB4" s="42"/>
      <c r="AC4" s="42"/>
      <c r="AD4" s="46">
        <f t="shared" si="6"/>
        <v>11.950000000000001</v>
      </c>
      <c r="AE4" s="47">
        <f t="shared" si="7"/>
        <v>448.21000000000009</v>
      </c>
      <c r="AF4" s="46"/>
      <c r="AG4" s="48">
        <f t="shared" si="8"/>
        <v>1195</v>
      </c>
      <c r="AH4" s="49">
        <f t="shared" si="9"/>
        <v>123.09</v>
      </c>
      <c r="AI4" s="49">
        <f t="shared" si="10"/>
        <v>513.85</v>
      </c>
      <c r="AJ4" s="49">
        <f t="shared" si="11"/>
        <v>97.9</v>
      </c>
      <c r="AK4" s="49">
        <f t="shared" si="12"/>
        <v>0</v>
      </c>
      <c r="AL4" s="49">
        <f t="array" ref="AL4">_xlfn.IFS(R4=0,AE4,R4&lt;0,AE4/-R4,R4&gt;0,AE4/R4)</f>
        <v>448.21000000000009</v>
      </c>
      <c r="AM4" s="50">
        <f t="shared" si="13"/>
        <v>0.37507112970711304</v>
      </c>
      <c r="AN4" s="51">
        <f t="shared" si="14"/>
        <v>3.64131935981802</v>
      </c>
      <c r="AP4" s="53">
        <f t="shared" si="15"/>
        <v>0</v>
      </c>
    </row>
    <row r="5" spans="1:42">
      <c r="A5" s="30">
        <v>2638691131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2</v>
      </c>
      <c r="L5" s="36"/>
      <c r="M5" s="36"/>
      <c r="N5" s="37">
        <f t="shared" si="16"/>
        <v>0.5</v>
      </c>
      <c r="O5" s="38">
        <f t="shared" si="17"/>
        <v>0.25</v>
      </c>
      <c r="P5" s="39">
        <f>SUMIFS('Отчет 01-04.01'!H:H,'Отчет 01-04.01'!D:D,"Выручка",'Отчет 01-04.01'!E:E,B5)</f>
        <v>1</v>
      </c>
      <c r="Q5" s="39">
        <f>SUMIFS('Отчет 01-04.01'!H:H,'Отчет 01-04.01'!D:D,"Возврат выручки",'Отчет 01-04.01'!E:E,B5)</f>
        <v>0</v>
      </c>
      <c r="R5" s="40">
        <f t="shared" si="1"/>
        <v>1</v>
      </c>
      <c r="S5" s="41">
        <f>SUMIFS('Отчет 01-04.01'!P:P,'Отчет 01-04.01'!C:C,"Продажи",'Отчет 01-04.01'!E:E,B5)</f>
        <v>1206</v>
      </c>
      <c r="T5" s="42">
        <f>SUMIFS('Отчет 01-04.01'!P:P,'Отчет 01-04.01'!C:C,"Возвраты",'Отчет 01-04.01'!E:E,B5)</f>
        <v>0</v>
      </c>
      <c r="U5" s="40">
        <f t="shared" si="2"/>
        <v>1206</v>
      </c>
      <c r="V5" s="43">
        <f t="shared" si="3"/>
        <v>0.28396515187190957</v>
      </c>
      <c r="W5" s="44">
        <f t="shared" si="4"/>
        <v>123.09</v>
      </c>
      <c r="X5" s="42">
        <f>-SUMIFS('Отчет 01-04.01'!P:P,'Отчет 01-04.01'!C:C,"Вознаграждение Ozon",'Отчет 01-04.01'!E:E,B5)</f>
        <v>518.58000000000004</v>
      </c>
      <c r="Y5" s="45">
        <f t="shared" si="5"/>
        <v>0.43000000000000005</v>
      </c>
      <c r="Z5" s="42">
        <f>-SUMIFS('Отчет 01-04.01'!P:P,'Отчет 01-04.01'!C:C,"Услуги доставки",'Отчет 01-04.01'!E:E,B5)</f>
        <v>93.88</v>
      </c>
      <c r="AA5" s="32">
        <v>0</v>
      </c>
      <c r="AB5" s="55"/>
      <c r="AC5" s="42"/>
      <c r="AD5" s="46">
        <f t="shared" si="6"/>
        <v>12.06</v>
      </c>
      <c r="AE5" s="47">
        <f t="shared" si="7"/>
        <v>458.39000000000004</v>
      </c>
      <c r="AF5" s="46"/>
      <c r="AG5" s="48">
        <f t="shared" si="8"/>
        <v>1206</v>
      </c>
      <c r="AH5" s="49">
        <f t="shared" si="9"/>
        <v>123.09</v>
      </c>
      <c r="AI5" s="49">
        <f t="shared" si="10"/>
        <v>518.58000000000004</v>
      </c>
      <c r="AJ5" s="49">
        <f t="shared" si="11"/>
        <v>93.88</v>
      </c>
      <c r="AK5" s="49">
        <f t="shared" si="12"/>
        <v>0</v>
      </c>
      <c r="AL5" s="49">
        <f t="array" ref="AL5">_xlfn.IFS(R5=0,AE5,R5&lt;0,AE5/-R5,R5&gt;0,AE5/R5)</f>
        <v>458.39000000000004</v>
      </c>
      <c r="AM5" s="50">
        <f t="shared" si="13"/>
        <v>0.38009121061359868</v>
      </c>
      <c r="AN5" s="51">
        <f t="shared" si="14"/>
        <v>3.7240230725485421</v>
      </c>
      <c r="AP5" s="53">
        <f t="shared" si="15"/>
        <v>0</v>
      </c>
    </row>
    <row r="6" spans="1:42">
      <c r="A6" s="30">
        <v>2638382749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6</v>
      </c>
      <c r="L6" s="36"/>
      <c r="M6" s="36"/>
      <c r="N6" s="37">
        <f t="shared" si="16"/>
        <v>1.5</v>
      </c>
      <c r="O6" s="38">
        <f t="shared" si="17"/>
        <v>2.5</v>
      </c>
      <c r="P6" s="39">
        <f>SUMIFS('Отчет 01-04.01'!H:H,'Отчет 01-04.01'!D:D,"Выручка",'Отчет 01-04.01'!E:E,B6)</f>
        <v>10</v>
      </c>
      <c r="Q6" s="39">
        <f>SUMIFS('Отчет 01-04.01'!H:H,'Отчет 01-04.01'!D:D,"Возврат выручки",'Отчет 01-04.01'!E:E,B6)</f>
        <v>0</v>
      </c>
      <c r="R6" s="40">
        <f t="shared" si="1"/>
        <v>10</v>
      </c>
      <c r="S6" s="41">
        <f>SUMIFS('Отчет 01-04.01'!P:P,'Отчет 01-04.01'!C:C,"Продажи",'Отчет 01-04.01'!E:E,B6)</f>
        <v>14572</v>
      </c>
      <c r="T6" s="42">
        <f>SUMIFS('Отчет 01-04.01'!P:P,'Отчет 01-04.01'!C:C,"Возвраты",'Отчет 01-04.01'!E:E,B6)</f>
        <v>0</v>
      </c>
      <c r="U6" s="40">
        <f t="shared" si="2"/>
        <v>14572</v>
      </c>
      <c r="V6" s="43">
        <f t="shared" si="3"/>
        <v>3.4311278549564399</v>
      </c>
      <c r="W6" s="44">
        <f t="shared" si="4"/>
        <v>1230.9000000000001</v>
      </c>
      <c r="X6" s="42">
        <f>-SUMIFS('Отчет 01-04.01'!P:P,'Отчет 01-04.01'!C:C,"Вознаграждение Ozon",'Отчет 01-04.01'!E:E,B6)</f>
        <v>6265.9600000000009</v>
      </c>
      <c r="Y6" s="45">
        <f t="shared" si="5"/>
        <v>0.43000000000000005</v>
      </c>
      <c r="Z6" s="42">
        <f>-SUMIFS('Отчет 01-04.01'!P:P,'Отчет 01-04.01'!C:C,"Услуги доставки",'Отчет 01-04.01'!E:E,B6)</f>
        <v>1173.47</v>
      </c>
      <c r="AA6" s="32">
        <v>3041.8341700000001</v>
      </c>
      <c r="AB6" s="55"/>
      <c r="AC6" s="42"/>
      <c r="AD6" s="46">
        <f t="shared" si="6"/>
        <v>145.72</v>
      </c>
      <c r="AE6" s="47">
        <f t="shared" si="7"/>
        <v>2714.1158299999993</v>
      </c>
      <c r="AF6" s="46"/>
      <c r="AG6" s="48">
        <f t="shared" si="8"/>
        <v>1457.2</v>
      </c>
      <c r="AH6" s="49">
        <f t="shared" si="9"/>
        <v>123.09</v>
      </c>
      <c r="AI6" s="49">
        <f t="shared" si="10"/>
        <v>626.59600000000012</v>
      </c>
      <c r="AJ6" s="49">
        <f t="shared" si="11"/>
        <v>117.34700000000001</v>
      </c>
      <c r="AK6" s="49">
        <f t="shared" si="12"/>
        <v>304.18341700000002</v>
      </c>
      <c r="AL6" s="49">
        <f t="array" ref="AL6">_xlfn.IFS(R6=0,AE6,R6&lt;0,AE6/-R6,R6&gt;0,AE6/R6)</f>
        <v>271.41158299999995</v>
      </c>
      <c r="AM6" s="50">
        <f t="shared" si="13"/>
        <v>0.18625554693933566</v>
      </c>
      <c r="AN6" s="51">
        <f t="shared" si="14"/>
        <v>2.2049848322365744</v>
      </c>
      <c r="AP6" s="53">
        <f t="shared" si="15"/>
        <v>0</v>
      </c>
    </row>
    <row r="7" spans="1:42">
      <c r="A7" s="30">
        <v>2638569317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0</v>
      </c>
      <c r="L7" s="36"/>
      <c r="M7" s="36"/>
      <c r="N7" s="37">
        <f t="shared" si="16"/>
        <v>0</v>
      </c>
      <c r="O7" s="38">
        <f t="shared" si="17"/>
        <v>0.25</v>
      </c>
      <c r="P7" s="39">
        <f>SUMIFS('Отчет 01-04.01'!H:H,'Отчет 01-04.01'!D:D,"Выручка",'Отчет 01-04.01'!E:E,B7)</f>
        <v>1</v>
      </c>
      <c r="Q7" s="39">
        <f>SUMIFS('Отчет 01-04.01'!H:H,'Отчет 01-04.01'!D:D,"Возврат выручки",'Отчет 01-04.01'!E:E,B7)</f>
        <v>0</v>
      </c>
      <c r="R7" s="40">
        <f t="shared" si="1"/>
        <v>1</v>
      </c>
      <c r="S7" s="41">
        <f>SUMIFS('Отчет 01-04.01'!P:P,'Отчет 01-04.01'!C:C,"Продажи",'Отчет 01-04.01'!E:E,B7)</f>
        <v>1414</v>
      </c>
      <c r="T7" s="42">
        <f>SUMIFS('Отчет 01-04.01'!P:P,'Отчет 01-04.01'!C:C,"Возвраты",'Отчет 01-04.01'!E:E,B7)</f>
        <v>0</v>
      </c>
      <c r="U7" s="40">
        <f t="shared" si="2"/>
        <v>1414</v>
      </c>
      <c r="V7" s="43">
        <f t="shared" si="3"/>
        <v>0.33294089945844124</v>
      </c>
      <c r="W7" s="44">
        <f t="shared" si="4"/>
        <v>117.24</v>
      </c>
      <c r="X7" s="42">
        <f>-SUMIFS('Отчет 01-04.01'!P:P,'Отчет 01-04.01'!C:C,"Вознаграждение Ozon",'Отчет 01-04.01'!E:E,B7)</f>
        <v>608.02</v>
      </c>
      <c r="Y7" s="45">
        <f t="shared" si="5"/>
        <v>0.43</v>
      </c>
      <c r="Z7" s="42">
        <f>-SUMIFS('Отчет 01-04.01'!P:P,'Отчет 01-04.01'!C:C,"Услуги доставки",'Отчет 01-04.01'!E:E,B7)</f>
        <v>98.46</v>
      </c>
      <c r="AA7" s="32">
        <v>0</v>
      </c>
      <c r="AB7" s="55"/>
      <c r="AC7" s="42"/>
      <c r="AD7" s="46">
        <f t="shared" si="6"/>
        <v>14.14</v>
      </c>
      <c r="AE7" s="47">
        <f t="shared" si="7"/>
        <v>576.14</v>
      </c>
      <c r="AF7" s="46"/>
      <c r="AG7" s="48">
        <f t="shared" si="8"/>
        <v>1414</v>
      </c>
      <c r="AH7" s="49">
        <f t="shared" si="9"/>
        <v>117.24</v>
      </c>
      <c r="AI7" s="49">
        <f t="shared" si="10"/>
        <v>608.02</v>
      </c>
      <c r="AJ7" s="49">
        <f t="shared" si="11"/>
        <v>98.46</v>
      </c>
      <c r="AK7" s="49">
        <f t="shared" si="12"/>
        <v>0</v>
      </c>
      <c r="AL7" s="49">
        <f t="array" ref="AL7">_xlfn.IFS(R7=0,AE7,R7&lt;0,AE7/-R7,R7&gt;0,AE7/R7)</f>
        <v>576.14</v>
      </c>
      <c r="AM7" s="50">
        <f t="shared" si="13"/>
        <v>0.40745403111739742</v>
      </c>
      <c r="AN7" s="51">
        <f t="shared" si="14"/>
        <v>4.9141931081542136</v>
      </c>
      <c r="AP7" s="53">
        <f t="shared" si="15"/>
        <v>0</v>
      </c>
    </row>
    <row r="8" spans="1:42">
      <c r="A8" s="30">
        <v>3064334128</v>
      </c>
      <c r="B8" s="31" t="s">
        <v>43</v>
      </c>
      <c r="C8" s="32"/>
      <c r="D8" s="33"/>
      <c r="E8" s="33"/>
      <c r="F8" s="33"/>
      <c r="G8" s="34"/>
      <c r="H8" s="35">
        <v>123</v>
      </c>
      <c r="I8" s="54">
        <f t="shared" si="0"/>
        <v>0</v>
      </c>
      <c r="J8" s="36"/>
      <c r="K8" s="32">
        <v>0</v>
      </c>
      <c r="L8" s="36"/>
      <c r="M8" s="36"/>
      <c r="N8" s="37">
        <f t="shared" si="16"/>
        <v>0</v>
      </c>
      <c r="O8" s="38">
        <f t="shared" si="17"/>
        <v>0</v>
      </c>
      <c r="P8" s="39">
        <f>SUMIFS('Отчет 01-04.01'!H:H,'Отчет 01-04.01'!D:D,"Выручка",'Отчет 01-04.01'!E:E,B8)</f>
        <v>0</v>
      </c>
      <c r="Q8" s="39">
        <f>SUMIFS('Отчет 01-04.01'!H:H,'Отчет 01-04.01'!D:D,"Возврат выручки",'Отчет 01-04.01'!E:E,B8)</f>
        <v>0</v>
      </c>
      <c r="R8" s="40">
        <f t="shared" si="1"/>
        <v>0</v>
      </c>
      <c r="S8" s="41">
        <f>SUMIFS('Отчет 01-04.01'!P:P,'Отчет 01-04.01'!C:C,"Продажи",'Отчет 01-04.01'!E:E,B8)</f>
        <v>0</v>
      </c>
      <c r="T8" s="42">
        <f>SUMIFS('Отчет 01-04.01'!P:P,'Отчет 01-04.01'!C:C,"Возвраты",'Отчет 01-04.01'!E:E,B8)</f>
        <v>0</v>
      </c>
      <c r="U8" s="40">
        <f t="shared" si="2"/>
        <v>0</v>
      </c>
      <c r="V8" s="43">
        <f t="shared" si="3"/>
        <v>0</v>
      </c>
      <c r="W8" s="44">
        <f t="shared" si="4"/>
        <v>0</v>
      </c>
      <c r="X8" s="42">
        <f>-SUMIFS('Отчет 01-04.01'!P:P,'Отчет 01-04.01'!C:C,"Вознаграждение Ozon",'Отчет 01-04.01'!E:E,B8)</f>
        <v>0</v>
      </c>
      <c r="Y8" s="45">
        <f t="shared" si="5"/>
        <v>0</v>
      </c>
      <c r="Z8" s="42">
        <f>-SUMIFS('Отчет 01-04.01'!P:P,'Отчет 01-04.01'!C:C,"Услуги доставки",'Отчет 01-04.01'!E:E,B8)</f>
        <v>0</v>
      </c>
      <c r="AA8" s="32">
        <v>0</v>
      </c>
      <c r="AB8" s="55"/>
      <c r="AC8" s="42"/>
      <c r="AD8" s="46">
        <f t="shared" si="6"/>
        <v>0</v>
      </c>
      <c r="AE8" s="47">
        <f t="shared" si="7"/>
        <v>0</v>
      </c>
      <c r="AF8" s="46"/>
      <c r="AG8" s="48">
        <f t="shared" si="8"/>
        <v>0</v>
      </c>
      <c r="AH8" s="49">
        <f t="shared" si="9"/>
        <v>123</v>
      </c>
      <c r="AI8" s="49">
        <f t="shared" si="10"/>
        <v>0</v>
      </c>
      <c r="AJ8" s="49">
        <f t="shared" si="11"/>
        <v>0</v>
      </c>
      <c r="AK8" s="49">
        <f t="shared" si="12"/>
        <v>0</v>
      </c>
      <c r="AL8" s="49">
        <f t="array" ref="AL8">_xlfn.IFS(R8=0,AE8,R8&lt;0,AE8/-R8,R8&gt;0,AE8/R8)</f>
        <v>0</v>
      </c>
      <c r="AM8" s="50">
        <f t="shared" si="13"/>
        <v>0</v>
      </c>
      <c r="AN8" s="51">
        <f t="shared" si="14"/>
        <v>0</v>
      </c>
      <c r="AP8" s="53">
        <f t="shared" si="15"/>
        <v>0</v>
      </c>
    </row>
    <row r="9" spans="1:42">
      <c r="A9" s="30">
        <v>3064334311</v>
      </c>
      <c r="B9" s="31" t="s">
        <v>44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1</v>
      </c>
      <c r="L9" s="36"/>
      <c r="M9" s="36"/>
      <c r="N9" s="37">
        <f t="shared" si="16"/>
        <v>0.25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si="1"/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si="2"/>
        <v>0</v>
      </c>
      <c r="V9" s="43">
        <f t="shared" si="3"/>
        <v>0</v>
      </c>
      <c r="W9" s="44">
        <f t="shared" si="4"/>
        <v>0</v>
      </c>
      <c r="X9" s="42">
        <f>-SUMIFS('Отчет 01-04.01'!P:P,'Отчет 01-04.01'!C:C,"Вознаграждение Ozon",'Отчет 01-04.01'!E:E,B9)</f>
        <v>0</v>
      </c>
      <c r="Y9" s="45">
        <f t="shared" si="5"/>
        <v>0</v>
      </c>
      <c r="Z9" s="42">
        <f>-SUMIFS('Отчет 01-04.01'!P:P,'Отчет 01-04.01'!C:C,"Услуги доставки",'Отчет 01-04.01'!E:E,B9)</f>
        <v>0</v>
      </c>
      <c r="AA9" s="32">
        <v>509.46505400000001</v>
      </c>
      <c r="AB9" s="55"/>
      <c r="AC9" s="42"/>
      <c r="AD9" s="46">
        <f t="shared" si="6"/>
        <v>0</v>
      </c>
      <c r="AE9" s="47">
        <f t="shared" si="7"/>
        <v>-509.46505400000001</v>
      </c>
      <c r="AF9" s="46"/>
      <c r="AG9" s="48">
        <f t="shared" si="8"/>
        <v>0</v>
      </c>
      <c r="AH9" s="49">
        <f t="shared" si="9"/>
        <v>123</v>
      </c>
      <c r="AI9" s="49">
        <f t="shared" si="10"/>
        <v>0</v>
      </c>
      <c r="AJ9" s="49">
        <f t="shared" si="11"/>
        <v>0</v>
      </c>
      <c r="AK9" s="49">
        <f t="shared" si="12"/>
        <v>0</v>
      </c>
      <c r="AL9" s="49">
        <f t="array" ref="AL9">_xlfn.IFS(R9=0,AE9,R9&lt;0,AE9/-R9,R9&gt;0,AE9/R9)</f>
        <v>-509.46505400000001</v>
      </c>
      <c r="AM9" s="50">
        <f t="shared" si="13"/>
        <v>0</v>
      </c>
      <c r="AN9" s="51">
        <f t="shared" si="14"/>
        <v>-4.1419923089430899</v>
      </c>
      <c r="AP9" s="53">
        <f t="shared" si="15"/>
        <v>0</v>
      </c>
    </row>
    <row r="10" spans="1:42">
      <c r="A10" s="30">
        <v>2638291563</v>
      </c>
      <c r="B10" s="31" t="s">
        <v>45</v>
      </c>
      <c r="C10" s="32"/>
      <c r="D10" s="33"/>
      <c r="E10" s="33"/>
      <c r="F10" s="33"/>
      <c r="G10" s="34"/>
      <c r="H10" s="35">
        <v>169.89</v>
      </c>
      <c r="I10" s="54">
        <f t="shared" si="0"/>
        <v>0</v>
      </c>
      <c r="J10" s="36"/>
      <c r="K10" s="32">
        <v>2</v>
      </c>
      <c r="L10" s="36"/>
      <c r="M10" s="36"/>
      <c r="N10" s="37">
        <f t="shared" si="16"/>
        <v>0.5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"/>
        <v>0</v>
      </c>
      <c r="V10" s="43">
        <f t="shared" si="3"/>
        <v>0</v>
      </c>
      <c r="W10" s="44">
        <f t="shared" si="4"/>
        <v>0</v>
      </c>
      <c r="X10" s="42">
        <f>-SUMIFS('Отчет 01-04.01'!P:P,'Отчет 01-04.01'!C:C,"Вознаграждение Ozon",'Отчет 01-04.01'!E:E,B10)</f>
        <v>0</v>
      </c>
      <c r="Y10" s="45">
        <f t="shared" si="5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7"/>
        <v>0</v>
      </c>
      <c r="AF10" s="46"/>
      <c r="AG10" s="48">
        <f t="shared" si="8"/>
        <v>0</v>
      </c>
      <c r="AH10" s="49">
        <f t="shared" si="9"/>
        <v>169.89</v>
      </c>
      <c r="AI10" s="49">
        <f t="shared" si="10"/>
        <v>0</v>
      </c>
      <c r="AJ10" s="49">
        <f t="shared" si="11"/>
        <v>0</v>
      </c>
      <c r="AK10" s="49">
        <f t="shared" si="12"/>
        <v>0</v>
      </c>
      <c r="AL10" s="49">
        <f t="array" ref="AL10">_xlfn.IFS(R10=0,AE10,R10&lt;0,AE10/-R10,R10&gt;0,AE10/R10)</f>
        <v>0</v>
      </c>
      <c r="AM10" s="50">
        <f t="shared" si="13"/>
        <v>0</v>
      </c>
      <c r="AN10" s="51">
        <f t="shared" si="14"/>
        <v>0</v>
      </c>
      <c r="AP10" s="53">
        <f t="shared" si="15"/>
        <v>0</v>
      </c>
    </row>
    <row r="11" spans="1:42">
      <c r="A11" s="30">
        <v>2730130733</v>
      </c>
      <c r="B11" s="31" t="s">
        <v>46</v>
      </c>
      <c r="C11" s="32"/>
      <c r="D11" s="33"/>
      <c r="E11" s="33"/>
      <c r="F11" s="33"/>
      <c r="G11" s="34"/>
      <c r="H11" s="35">
        <v>169.89</v>
      </c>
      <c r="I11" s="54">
        <f t="shared" si="0"/>
        <v>0</v>
      </c>
      <c r="J11" s="36"/>
      <c r="K11" s="32">
        <v>0</v>
      </c>
      <c r="L11" s="36"/>
      <c r="M11" s="36"/>
      <c r="N11" s="37">
        <f t="shared" si="16"/>
        <v>0</v>
      </c>
      <c r="O11" s="38">
        <f t="shared" si="17"/>
        <v>0</v>
      </c>
      <c r="P11" s="39">
        <f>SUMIFS('Отчет 01-04.01'!H:H,'Отчет 01-04.01'!D:D,"Выручка",'Отчет 01-04.01'!E:E,B11)</f>
        <v>0</v>
      </c>
      <c r="Q11" s="39">
        <f>SUMIFS('Отчет 01-04.01'!H:H,'Отчет 01-04.01'!D:D,"Возврат выручки",'Отчет 01-04.01'!E:E,B11)</f>
        <v>0</v>
      </c>
      <c r="R11" s="40">
        <f t="shared" si="1"/>
        <v>0</v>
      </c>
      <c r="S11" s="41">
        <f>SUMIFS('Отчет 01-04.01'!P:P,'Отчет 01-04.01'!C:C,"Продажи",'Отчет 01-04.01'!E:E,B11)</f>
        <v>0</v>
      </c>
      <c r="T11" s="42">
        <f>SUMIFS('Отчет 01-04.01'!P:P,'Отчет 01-04.01'!C:C,"Возвраты",'Отчет 01-04.01'!E:E,B11)</f>
        <v>0</v>
      </c>
      <c r="U11" s="40">
        <f t="shared" si="2"/>
        <v>0</v>
      </c>
      <c r="V11" s="43">
        <f t="shared" si="3"/>
        <v>0</v>
      </c>
      <c r="W11" s="44">
        <f t="shared" si="4"/>
        <v>0</v>
      </c>
      <c r="X11" s="42">
        <f>-SUMIFS('Отчет 01-04.01'!P:P,'Отчет 01-04.01'!C:C,"Вознаграждение Ozon",'Отчет 01-04.01'!E:E,B11)</f>
        <v>0</v>
      </c>
      <c r="Y11" s="45">
        <f t="shared" si="5"/>
        <v>0</v>
      </c>
      <c r="Z11" s="42">
        <f>-SUMIFS('Отчет 01-04.01'!P:P,'Отчет 01-04.01'!C:C,"Услуги доставки",'Отчет 01-04.01'!E:E,B11)</f>
        <v>0</v>
      </c>
      <c r="AA11" s="32">
        <v>0</v>
      </c>
      <c r="AB11" s="55"/>
      <c r="AC11" s="42"/>
      <c r="AD11" s="46">
        <f t="shared" si="6"/>
        <v>0</v>
      </c>
      <c r="AE11" s="47">
        <f t="shared" si="7"/>
        <v>0</v>
      </c>
      <c r="AF11" s="46"/>
      <c r="AG11" s="48">
        <f t="shared" si="8"/>
        <v>0</v>
      </c>
      <c r="AH11" s="49">
        <f t="shared" si="9"/>
        <v>169.89</v>
      </c>
      <c r="AI11" s="49">
        <f t="shared" si="10"/>
        <v>0</v>
      </c>
      <c r="AJ11" s="49">
        <f t="shared" si="11"/>
        <v>0</v>
      </c>
      <c r="AK11" s="49">
        <f t="shared" si="12"/>
        <v>0</v>
      </c>
      <c r="AL11" s="49">
        <f t="array" ref="AL11">_xlfn.IFS(R11=0,AE11,R11&lt;0,AE11/-R11,R11&gt;0,AE11/R11)</f>
        <v>0</v>
      </c>
      <c r="AM11" s="50">
        <f t="shared" si="13"/>
        <v>0</v>
      </c>
      <c r="AN11" s="51">
        <f t="shared" si="14"/>
        <v>0</v>
      </c>
      <c r="AP11" s="53">
        <f t="shared" si="15"/>
        <v>0</v>
      </c>
    </row>
    <row r="12" spans="1:42">
      <c r="A12" s="30">
        <v>2730131249</v>
      </c>
      <c r="B12" s="31" t="s">
        <v>47</v>
      </c>
      <c r="C12" s="32"/>
      <c r="D12" s="33"/>
      <c r="E12" s="33"/>
      <c r="F12" s="33"/>
      <c r="G12" s="34"/>
      <c r="H12" s="35">
        <v>169.89</v>
      </c>
      <c r="I12" s="54">
        <f t="shared" si="0"/>
        <v>0</v>
      </c>
      <c r="J12" s="36"/>
      <c r="K12" s="32">
        <v>1</v>
      </c>
      <c r="L12" s="36"/>
      <c r="M12" s="36"/>
      <c r="N12" s="37">
        <f t="shared" si="16"/>
        <v>0.25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"/>
        <v>0</v>
      </c>
      <c r="V12" s="43">
        <f t="shared" si="3"/>
        <v>0</v>
      </c>
      <c r="W12" s="44">
        <f t="shared" si="4"/>
        <v>0</v>
      </c>
      <c r="X12" s="42">
        <f>-SUMIFS('Отчет 01-04.01'!P:P,'Отчет 01-04.01'!C:C,"Вознаграждение Ozon",'Отчет 01-04.01'!E:E,B12)</f>
        <v>0</v>
      </c>
      <c r="Y12" s="45">
        <f t="shared" si="5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7"/>
        <v>0</v>
      </c>
      <c r="AF12" s="46"/>
      <c r="AG12" s="48">
        <f t="shared" si="8"/>
        <v>0</v>
      </c>
      <c r="AH12" s="49">
        <f t="shared" si="9"/>
        <v>169.89</v>
      </c>
      <c r="AI12" s="49">
        <f t="shared" si="10"/>
        <v>0</v>
      </c>
      <c r="AJ12" s="49">
        <f t="shared" si="11"/>
        <v>0</v>
      </c>
      <c r="AK12" s="49">
        <f t="shared" si="12"/>
        <v>0</v>
      </c>
      <c r="AL12" s="49">
        <f t="array" ref="AL12">_xlfn.IFS(R12=0,AE12,R12&lt;0,AE12/-R12,R12&gt;0,AE12/R12)</f>
        <v>0</v>
      </c>
      <c r="AM12" s="50">
        <f t="shared" si="13"/>
        <v>0</v>
      </c>
      <c r="AN12" s="51">
        <f t="shared" si="14"/>
        <v>0</v>
      </c>
      <c r="AP12" s="53">
        <f t="shared" si="15"/>
        <v>0</v>
      </c>
    </row>
    <row r="13" spans="1:42">
      <c r="A13" s="30">
        <v>2730130553</v>
      </c>
      <c r="B13" s="31" t="s">
        <v>48</v>
      </c>
      <c r="C13" s="32"/>
      <c r="D13" s="33"/>
      <c r="E13" s="33"/>
      <c r="F13" s="33"/>
      <c r="G13" s="34"/>
      <c r="H13" s="35">
        <v>169.89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"/>
        <v>0</v>
      </c>
      <c r="V13" s="43">
        <f t="shared" si="3"/>
        <v>0</v>
      </c>
      <c r="W13" s="44">
        <f t="shared" si="4"/>
        <v>0</v>
      </c>
      <c r="X13" s="42">
        <f>-SUMIFS('Отчет 01-04.01'!P:P,'Отчет 01-04.01'!C:C,"Вознаграждение Ozon",'Отчет 01-04.01'!E:E,B13)</f>
        <v>0</v>
      </c>
      <c r="Y13" s="45">
        <f t="shared" si="5"/>
        <v>0</v>
      </c>
      <c r="Z13" s="42">
        <f>-SUMIFS('Отчет 01-04.01'!P:P,'Отчет 01-04.01'!C:C,"Услуги доставки",'Отчет 01-04.01'!E:E,B13)</f>
        <v>93.54</v>
      </c>
      <c r="AA13" s="32">
        <v>0</v>
      </c>
      <c r="AB13" s="55"/>
      <c r="AC13" s="42"/>
      <c r="AD13" s="46">
        <f t="shared" si="6"/>
        <v>0</v>
      </c>
      <c r="AE13" s="47">
        <f t="shared" si="7"/>
        <v>-93.54</v>
      </c>
      <c r="AF13" s="46"/>
      <c r="AG13" s="48">
        <f t="shared" si="8"/>
        <v>0</v>
      </c>
      <c r="AH13" s="49">
        <f t="shared" si="9"/>
        <v>169.89</v>
      </c>
      <c r="AI13" s="49">
        <f t="shared" si="10"/>
        <v>0</v>
      </c>
      <c r="AJ13" s="49">
        <f t="shared" si="11"/>
        <v>93.54</v>
      </c>
      <c r="AK13" s="49">
        <f t="shared" si="12"/>
        <v>0</v>
      </c>
      <c r="AL13" s="49">
        <f t="array" ref="AL13">_xlfn.IFS(R13=0,AE13,R13&lt;0,AE13/-R13,R13&gt;0,AE13/R13)</f>
        <v>-93.54</v>
      </c>
      <c r="AM13" s="50">
        <f t="shared" si="13"/>
        <v>0</v>
      </c>
      <c r="AN13" s="51">
        <f t="shared" si="14"/>
        <v>-0.55059155924421688</v>
      </c>
      <c r="AP13" s="53">
        <f t="shared" si="15"/>
        <v>0</v>
      </c>
    </row>
    <row r="14" spans="1:42" ht="13.75" customHeight="1">
      <c r="A14" s="30">
        <v>2730129638</v>
      </c>
      <c r="B14" s="31" t="s">
        <v>49</v>
      </c>
      <c r="C14" s="32"/>
      <c r="D14" s="33"/>
      <c r="E14" s="33"/>
      <c r="F14" s="33"/>
      <c r="G14" s="34"/>
      <c r="H14" s="35">
        <v>169.89</v>
      </c>
      <c r="I14" s="54">
        <f t="shared" si="0"/>
        <v>0</v>
      </c>
      <c r="J14" s="36"/>
      <c r="K14" s="32">
        <v>0</v>
      </c>
      <c r="L14" s="36"/>
      <c r="M14" s="36"/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"/>
        <v>0</v>
      </c>
      <c r="V14" s="43">
        <f t="shared" si="3"/>
        <v>0</v>
      </c>
      <c r="W14" s="44">
        <f t="shared" si="4"/>
        <v>0</v>
      </c>
      <c r="X14" s="42">
        <f>-SUMIFS('Отчет 01-04.01'!P:P,'Отчет 01-04.01'!C:C,"Вознаграждение Ozon",'Отчет 01-04.01'!E:E,B14)</f>
        <v>0</v>
      </c>
      <c r="Y14" s="45">
        <f t="shared" si="5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7"/>
        <v>0</v>
      </c>
      <c r="AF14" s="46"/>
      <c r="AG14" s="48">
        <f t="shared" si="8"/>
        <v>0</v>
      </c>
      <c r="AH14" s="49">
        <f t="shared" si="9"/>
        <v>169.89</v>
      </c>
      <c r="AI14" s="49">
        <f t="shared" si="10"/>
        <v>0</v>
      </c>
      <c r="AJ14" s="49">
        <f t="shared" si="11"/>
        <v>0</v>
      </c>
      <c r="AK14" s="49">
        <f t="shared" si="12"/>
        <v>0</v>
      </c>
      <c r="AL14" s="49">
        <f t="array" ref="AL14">_xlfn.IFS(R14=0,AE14,R14&lt;0,AE14/-R14,R14&gt;0,AE14/R14)</f>
        <v>0</v>
      </c>
      <c r="AM14" s="50">
        <f t="shared" si="13"/>
        <v>0</v>
      </c>
      <c r="AN14" s="51">
        <f t="shared" si="14"/>
        <v>0</v>
      </c>
      <c r="AP14" s="53">
        <f t="shared" si="15"/>
        <v>0</v>
      </c>
    </row>
    <row r="15" spans="1:42" ht="13.75" customHeight="1">
      <c r="A15" s="30">
        <v>2730130141</v>
      </c>
      <c r="B15" s="31" t="s">
        <v>50</v>
      </c>
      <c r="C15" s="32"/>
      <c r="D15" s="33"/>
      <c r="E15" s="33"/>
      <c r="F15" s="33"/>
      <c r="G15" s="34"/>
      <c r="H15" s="35">
        <v>169.89</v>
      </c>
      <c r="I15" s="54">
        <f t="shared" si="0"/>
        <v>0</v>
      </c>
      <c r="J15" s="36"/>
      <c r="K15" s="32">
        <v>1</v>
      </c>
      <c r="L15" s="36"/>
      <c r="M15" s="36"/>
      <c r="N15" s="37">
        <f t="shared" si="16"/>
        <v>0.25</v>
      </c>
      <c r="O15" s="38">
        <f t="shared" si="17"/>
        <v>0</v>
      </c>
      <c r="P15" s="39">
        <f>SUMIFS('Отчет 01-04.01'!H:H,'Отчет 01-04.01'!D:D,"Выручка",'Отчет 01-04.01'!E:E,B15)</f>
        <v>0</v>
      </c>
      <c r="Q15" s="39">
        <f>SUMIFS('Отчет 01-04.01'!H:H,'Отчет 01-04.01'!D:D,"Возврат выручки",'Отчет 01-04.01'!E:E,B15)</f>
        <v>0</v>
      </c>
      <c r="R15" s="40">
        <f t="shared" si="1"/>
        <v>0</v>
      </c>
      <c r="S15" s="41">
        <f>SUMIFS('Отчет 01-04.01'!P:P,'Отчет 01-04.01'!C:C,"Продажи",'Отчет 01-04.01'!E:E,B15)</f>
        <v>0</v>
      </c>
      <c r="T15" s="42">
        <f>SUMIFS('Отчет 01-04.01'!P:P,'Отчет 01-04.01'!C:C,"Возвраты",'Отчет 01-04.01'!E:E,B15)</f>
        <v>0</v>
      </c>
      <c r="U15" s="40">
        <f t="shared" si="2"/>
        <v>0</v>
      </c>
      <c r="V15" s="43">
        <f t="shared" si="3"/>
        <v>0</v>
      </c>
      <c r="W15" s="44">
        <f t="shared" si="4"/>
        <v>0</v>
      </c>
      <c r="X15" s="42">
        <f>-SUMIFS('Отчет 01-04.01'!P:P,'Отчет 01-04.01'!C:C,"Вознаграждение Ozon",'Отчет 01-04.01'!E:E,B15)</f>
        <v>0</v>
      </c>
      <c r="Y15" s="45">
        <f t="shared" si="5"/>
        <v>0</v>
      </c>
      <c r="Z15" s="42">
        <f>-SUMIFS('Отчет 01-04.01'!P:P,'Отчет 01-04.01'!C:C,"Услуги доставки",'Отчет 01-04.01'!E:E,B15)</f>
        <v>0</v>
      </c>
      <c r="AA15" s="32">
        <v>295.55</v>
      </c>
      <c r="AB15" s="55"/>
      <c r="AC15" s="42"/>
      <c r="AD15" s="46">
        <f t="shared" si="6"/>
        <v>0</v>
      </c>
      <c r="AE15" s="47">
        <f t="shared" si="7"/>
        <v>-295.55</v>
      </c>
      <c r="AF15" s="46"/>
      <c r="AG15" s="48">
        <f t="shared" si="8"/>
        <v>0</v>
      </c>
      <c r="AH15" s="49">
        <f t="shared" si="9"/>
        <v>169.89</v>
      </c>
      <c r="AI15" s="49">
        <f t="shared" si="10"/>
        <v>0</v>
      </c>
      <c r="AJ15" s="49">
        <f t="shared" si="11"/>
        <v>0</v>
      </c>
      <c r="AK15" s="49">
        <f t="shared" si="12"/>
        <v>0</v>
      </c>
      <c r="AL15" s="49">
        <f t="array" ref="AL15">_xlfn.IFS(R15=0,AE15,R15&lt;0,AE15/-R15,R15&gt;0,AE15/R15)</f>
        <v>-295.55</v>
      </c>
      <c r="AM15" s="50">
        <f t="shared" si="13"/>
        <v>0</v>
      </c>
      <c r="AN15" s="51">
        <f t="shared" si="14"/>
        <v>-1.7396550709282479</v>
      </c>
      <c r="AP15" s="53">
        <f t="shared" si="15"/>
        <v>0</v>
      </c>
    </row>
    <row r="16" spans="1:42" ht="13.75" customHeight="1">
      <c r="A16" s="30">
        <v>2730129805</v>
      </c>
      <c r="B16" s="31" t="s">
        <v>51</v>
      </c>
      <c r="C16" s="32"/>
      <c r="D16" s="33"/>
      <c r="E16" s="33"/>
      <c r="F16" s="33"/>
      <c r="G16" s="34"/>
      <c r="H16" s="35">
        <v>169.89</v>
      </c>
      <c r="I16" s="54">
        <f t="shared" si="0"/>
        <v>0</v>
      </c>
      <c r="J16" s="36"/>
      <c r="K16" s="32">
        <v>1</v>
      </c>
      <c r="L16" s="36"/>
      <c r="M16" s="36"/>
      <c r="N16" s="37">
        <f t="shared" si="16"/>
        <v>0.25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"/>
        <v>0</v>
      </c>
      <c r="V16" s="43">
        <f t="shared" si="3"/>
        <v>0</v>
      </c>
      <c r="W16" s="44">
        <f t="shared" si="4"/>
        <v>0</v>
      </c>
      <c r="X16" s="42">
        <f>-SUMIFS('Отчет 01-04.01'!P:P,'Отчет 01-04.01'!C:C,"Вознаграждение Ozon",'Отчет 01-04.01'!E:E,B16)</f>
        <v>0</v>
      </c>
      <c r="Y16" s="45">
        <f t="shared" si="5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7"/>
        <v>0</v>
      </c>
      <c r="AF16" s="46"/>
      <c r="AG16" s="48">
        <f t="shared" si="8"/>
        <v>0</v>
      </c>
      <c r="AH16" s="49">
        <f t="shared" si="9"/>
        <v>169.89</v>
      </c>
      <c r="AI16" s="49">
        <f t="shared" si="10"/>
        <v>0</v>
      </c>
      <c r="AJ16" s="49">
        <f t="shared" si="11"/>
        <v>0</v>
      </c>
      <c r="AK16" s="49">
        <f t="shared" si="12"/>
        <v>0</v>
      </c>
      <c r="AL16" s="49">
        <f t="array" ref="AL16">_xlfn.IFS(R16=0,AE16,R16&lt;0,AE16/-R16,R16&gt;0,AE16/R16)</f>
        <v>0</v>
      </c>
      <c r="AM16" s="50">
        <f t="shared" si="13"/>
        <v>0</v>
      </c>
      <c r="AN16" s="51">
        <f t="shared" si="14"/>
        <v>0</v>
      </c>
      <c r="AP16" s="53">
        <f t="shared" si="15"/>
        <v>0</v>
      </c>
    </row>
    <row r="17" spans="1:52" ht="13.75" customHeight="1">
      <c r="A17" s="30">
        <v>2807226201</v>
      </c>
      <c r="B17" s="31" t="s">
        <v>52</v>
      </c>
      <c r="C17" s="32"/>
      <c r="D17" s="33"/>
      <c r="E17" s="33"/>
      <c r="F17" s="33"/>
      <c r="G17" s="34"/>
      <c r="H17" s="35">
        <v>1002.82</v>
      </c>
      <c r="I17" s="54">
        <f t="shared" si="0"/>
        <v>0</v>
      </c>
      <c r="J17" s="36"/>
      <c r="K17" s="32">
        <v>0</v>
      </c>
      <c r="L17" s="36"/>
      <c r="M17" s="36"/>
      <c r="N17" s="37">
        <f t="shared" si="16"/>
        <v>0</v>
      </c>
      <c r="O17" s="38">
        <f t="shared" si="17"/>
        <v>0</v>
      </c>
      <c r="P17" s="39">
        <f>SUMIFS('Отчет 01-04.01'!H:H,'Отчет 01-04.01'!D:D,"Выручка",'Отчет 01-04.01'!E:E,B17)</f>
        <v>0</v>
      </c>
      <c r="Q17" s="39">
        <f>SUMIFS('Отчет 01-04.01'!H:H,'Отчет 01-04.01'!D:D,"Возврат выручки",'Отчет 01-04.01'!E:E,B17)</f>
        <v>0</v>
      </c>
      <c r="R17" s="40">
        <f t="shared" si="1"/>
        <v>0</v>
      </c>
      <c r="S17" s="41">
        <f>SUMIFS('Отчет 01-04.01'!P:P,'Отчет 01-04.01'!C:C,"Продажи",'Отчет 01-04.01'!E:E,B17)</f>
        <v>0</v>
      </c>
      <c r="T17" s="42">
        <f>SUMIFS('Отчет 01-04.01'!P:P,'Отчет 01-04.01'!C:C,"Возвраты",'Отчет 01-04.01'!E:E,B17)</f>
        <v>0</v>
      </c>
      <c r="U17" s="40">
        <f t="shared" si="2"/>
        <v>0</v>
      </c>
      <c r="V17" s="43">
        <f t="shared" si="3"/>
        <v>0</v>
      </c>
      <c r="W17" s="44">
        <f t="shared" si="4"/>
        <v>0</v>
      </c>
      <c r="X17" s="42">
        <f>-SUMIFS('Отчет 01-04.01'!P:P,'Отчет 01-04.01'!C:C,"Вознаграждение Ozon",'Отчет 01-04.01'!E:E,B17)</f>
        <v>0</v>
      </c>
      <c r="Y17" s="45">
        <f t="shared" si="5"/>
        <v>0</v>
      </c>
      <c r="Z17" s="42">
        <f>-SUMIFS('Отчет 01-04.01'!P:P,'Отчет 01-04.01'!C:C,"Услуги доставки",'Отчет 01-04.01'!E:E,B17)</f>
        <v>0</v>
      </c>
      <c r="AA17" s="32">
        <v>0</v>
      </c>
      <c r="AB17" s="55"/>
      <c r="AC17" s="42"/>
      <c r="AD17" s="46">
        <f t="shared" si="6"/>
        <v>0</v>
      </c>
      <c r="AE17" s="47">
        <f t="shared" si="7"/>
        <v>0</v>
      </c>
      <c r="AF17" s="46"/>
      <c r="AG17" s="48">
        <f t="shared" si="8"/>
        <v>0</v>
      </c>
      <c r="AH17" s="49">
        <f t="shared" si="9"/>
        <v>1002.82</v>
      </c>
      <c r="AI17" s="49">
        <f t="shared" si="10"/>
        <v>0</v>
      </c>
      <c r="AJ17" s="49">
        <f t="shared" si="11"/>
        <v>0</v>
      </c>
      <c r="AK17" s="49">
        <f t="shared" si="12"/>
        <v>0</v>
      </c>
      <c r="AL17" s="49">
        <f t="array" ref="AL17">_xlfn.IFS(R17=0,AE17,R17&lt;0,AE17/-R17,R17&gt;0,AE17/R17)</f>
        <v>0</v>
      </c>
      <c r="AM17" s="50">
        <f t="shared" si="13"/>
        <v>0</v>
      </c>
      <c r="AN17" s="51">
        <f t="shared" si="14"/>
        <v>0</v>
      </c>
      <c r="AP17" s="53">
        <f t="shared" si="15"/>
        <v>0</v>
      </c>
    </row>
    <row r="18" spans="1:52" ht="13.75" customHeight="1">
      <c r="A18" s="30">
        <v>2807226228</v>
      </c>
      <c r="B18" s="31" t="s">
        <v>53</v>
      </c>
      <c r="C18" s="32"/>
      <c r="D18" s="33"/>
      <c r="E18" s="33"/>
      <c r="F18" s="33"/>
      <c r="G18" s="34"/>
      <c r="H18" s="35">
        <v>909.22</v>
      </c>
      <c r="I18" s="54">
        <f t="shared" si="0"/>
        <v>0</v>
      </c>
      <c r="J18" s="36"/>
      <c r="K18" s="32">
        <v>0</v>
      </c>
      <c r="L18" s="36"/>
      <c r="M18" s="36"/>
      <c r="N18" s="37">
        <f t="shared" si="16"/>
        <v>0</v>
      </c>
      <c r="O18" s="38">
        <f t="shared" si="17"/>
        <v>0</v>
      </c>
      <c r="P18" s="39">
        <f>SUMIFS('Отчет 01-04.01'!H:H,'Отчет 01-04.01'!D:D,"Выручка",'Отчет 01-04.01'!E:E,B18)</f>
        <v>0</v>
      </c>
      <c r="Q18" s="39">
        <f>SUMIFS('Отчет 01-04.01'!H:H,'Отчет 01-04.01'!D:D,"Возврат выручки",'Отчет 01-04.01'!E:E,B18)</f>
        <v>0</v>
      </c>
      <c r="R18" s="40">
        <f t="shared" si="1"/>
        <v>0</v>
      </c>
      <c r="S18" s="41">
        <f>SUMIFS('Отчет 01-04.01'!P:P,'Отчет 01-04.01'!C:C,"Продажи",'Отчет 01-04.01'!E:E,B18)</f>
        <v>0</v>
      </c>
      <c r="T18" s="42">
        <f>SUMIFS('Отчет 01-04.01'!P:P,'Отчет 01-04.01'!C:C,"Возвраты",'Отчет 01-04.01'!E:E,B18)</f>
        <v>0</v>
      </c>
      <c r="U18" s="40">
        <f t="shared" si="2"/>
        <v>0</v>
      </c>
      <c r="V18" s="43">
        <f t="shared" si="3"/>
        <v>0</v>
      </c>
      <c r="W18" s="44">
        <f t="shared" si="4"/>
        <v>0</v>
      </c>
      <c r="X18" s="42">
        <f>-SUMIFS('Отчет 01-04.01'!P:P,'Отчет 01-04.01'!C:C,"Вознаграждение Ozon",'Отчет 01-04.01'!E:E,B18)</f>
        <v>0</v>
      </c>
      <c r="Y18" s="45">
        <f t="shared" si="5"/>
        <v>0</v>
      </c>
      <c r="Z18" s="42">
        <f>-SUMIFS('Отчет 01-04.01'!P:P,'Отчет 01-04.01'!C:C,"Услуги доставки",'Отчет 01-04.01'!E:E,B18)</f>
        <v>0</v>
      </c>
      <c r="AA18" s="32">
        <v>0</v>
      </c>
      <c r="AB18" s="55"/>
      <c r="AC18" s="42"/>
      <c r="AD18" s="46">
        <f t="shared" si="6"/>
        <v>0</v>
      </c>
      <c r="AE18" s="47">
        <f t="shared" si="7"/>
        <v>0</v>
      </c>
      <c r="AF18" s="46"/>
      <c r="AG18" s="48">
        <f t="shared" si="8"/>
        <v>0</v>
      </c>
      <c r="AH18" s="49">
        <f t="shared" si="9"/>
        <v>909.22</v>
      </c>
      <c r="AI18" s="49">
        <f t="shared" si="10"/>
        <v>0</v>
      </c>
      <c r="AJ18" s="49">
        <f t="shared" si="11"/>
        <v>0</v>
      </c>
      <c r="AK18" s="49">
        <f t="shared" si="12"/>
        <v>0</v>
      </c>
      <c r="AL18" s="49">
        <f t="array" ref="AL18">_xlfn.IFS(R18=0,AE18,R18&lt;0,AE18/-R18,R18&gt;0,AE18/R18)</f>
        <v>0</v>
      </c>
      <c r="AM18" s="50">
        <f t="shared" si="13"/>
        <v>0</v>
      </c>
      <c r="AN18" s="51">
        <f t="shared" si="14"/>
        <v>0</v>
      </c>
      <c r="AP18" s="53">
        <f t="shared" si="15"/>
        <v>0</v>
      </c>
    </row>
    <row r="19" spans="1:52" ht="13.75" customHeight="1">
      <c r="A19" s="30">
        <v>2807226016</v>
      </c>
      <c r="B19" s="31" t="s">
        <v>54</v>
      </c>
      <c r="C19" s="32"/>
      <c r="D19" s="33"/>
      <c r="E19" s="33"/>
      <c r="F19" s="33"/>
      <c r="G19" s="34"/>
      <c r="H19" s="35">
        <v>909.22</v>
      </c>
      <c r="I19" s="54">
        <f t="shared" si="0"/>
        <v>0</v>
      </c>
      <c r="J19" s="36"/>
      <c r="K19" s="32">
        <v>0</v>
      </c>
      <c r="L19" s="36"/>
      <c r="M19" s="36"/>
      <c r="N19" s="37">
        <f t="shared" si="16"/>
        <v>0</v>
      </c>
      <c r="O19" s="38">
        <f t="shared" si="17"/>
        <v>0</v>
      </c>
      <c r="P19" s="39">
        <f>SUMIFS('Отчет 01-04.01'!H:H,'Отчет 01-04.01'!D:D,"Выручка",'Отчет 01-04.01'!E:E,B19)</f>
        <v>0</v>
      </c>
      <c r="Q19" s="39">
        <f>SUMIFS('Отчет 01-04.01'!H:H,'Отчет 01-04.01'!D:D,"Возврат выручки",'Отчет 01-04.01'!E:E,B19)</f>
        <v>0</v>
      </c>
      <c r="R19" s="40">
        <f t="shared" si="1"/>
        <v>0</v>
      </c>
      <c r="S19" s="41">
        <f>SUMIFS('Отчет 01-04.01'!P:P,'Отчет 01-04.01'!C:C,"Продажи",'Отчет 01-04.01'!E:E,B19)</f>
        <v>0</v>
      </c>
      <c r="T19" s="42">
        <f>SUMIFS('Отчет 01-04.01'!P:P,'Отчет 01-04.01'!C:C,"Возвраты",'Отчет 01-04.01'!E:E,B19)</f>
        <v>0</v>
      </c>
      <c r="U19" s="40">
        <f t="shared" si="2"/>
        <v>0</v>
      </c>
      <c r="V19" s="43">
        <f t="shared" si="3"/>
        <v>0</v>
      </c>
      <c r="W19" s="44">
        <f t="shared" si="4"/>
        <v>0</v>
      </c>
      <c r="X19" s="42">
        <f>-SUMIFS('Отчет 01-04.01'!P:P,'Отчет 01-04.01'!C:C,"Вознаграждение Ozon",'Отчет 01-04.01'!E:E,B19)</f>
        <v>0</v>
      </c>
      <c r="Y19" s="45">
        <f t="shared" si="5"/>
        <v>0</v>
      </c>
      <c r="Z19" s="42">
        <f>-SUMIFS('Отчет 01-04.01'!P:P,'Отчет 01-04.01'!C:C,"Услуги доставки",'Отчет 01-04.01'!E:E,B19)</f>
        <v>0</v>
      </c>
      <c r="AA19" s="32">
        <v>0</v>
      </c>
      <c r="AB19" s="55"/>
      <c r="AC19" s="42"/>
      <c r="AD19" s="46">
        <f t="shared" si="6"/>
        <v>0</v>
      </c>
      <c r="AE19" s="47">
        <f t="shared" si="7"/>
        <v>0</v>
      </c>
      <c r="AF19" s="46"/>
      <c r="AG19" s="48">
        <f t="shared" si="8"/>
        <v>0</v>
      </c>
      <c r="AH19" s="49">
        <f t="shared" si="9"/>
        <v>909.22</v>
      </c>
      <c r="AI19" s="49">
        <f t="shared" si="10"/>
        <v>0</v>
      </c>
      <c r="AJ19" s="49">
        <f t="shared" si="11"/>
        <v>0</v>
      </c>
      <c r="AK19" s="49">
        <f t="shared" si="12"/>
        <v>0</v>
      </c>
      <c r="AL19" s="49">
        <f t="array" ref="AL19">_xlfn.IFS(R19=0,AE19,R19&lt;0,AE19/-R19,R19&gt;0,AE19/R19)</f>
        <v>0</v>
      </c>
      <c r="AM19" s="50">
        <f t="shared" si="13"/>
        <v>0</v>
      </c>
      <c r="AN19" s="51">
        <f t="shared" si="14"/>
        <v>0</v>
      </c>
      <c r="AP19" s="53">
        <f t="shared" si="15"/>
        <v>0</v>
      </c>
    </row>
    <row r="20" spans="1:52" ht="13.75" customHeight="1">
      <c r="A20" s="30">
        <v>2807226072</v>
      </c>
      <c r="B20" s="31" t="s">
        <v>55</v>
      </c>
      <c r="C20" s="32"/>
      <c r="D20" s="33"/>
      <c r="E20" s="33"/>
      <c r="F20" s="33"/>
      <c r="G20" s="34"/>
      <c r="H20" s="35">
        <v>932.62</v>
      </c>
      <c r="I20" s="54">
        <f t="shared" si="0"/>
        <v>0</v>
      </c>
      <c r="J20" s="36"/>
      <c r="K20" s="32">
        <v>0</v>
      </c>
      <c r="L20" s="36"/>
      <c r="M20" s="36"/>
      <c r="N20" s="37">
        <f t="shared" si="16"/>
        <v>0</v>
      </c>
      <c r="O20" s="38">
        <f t="shared" si="17"/>
        <v>0.25</v>
      </c>
      <c r="P20" s="39">
        <f>SUMIFS('Отчет 01-04.01'!H:H,'Отчет 01-04.01'!D:D,"Выручка",'Отчет 01-04.01'!E:E,B20)</f>
        <v>1</v>
      </c>
      <c r="Q20" s="39">
        <f>SUMIFS('Отчет 01-04.01'!H:H,'Отчет 01-04.01'!D:D,"Возврат выручки",'Отчет 01-04.01'!E:E,B20)</f>
        <v>0</v>
      </c>
      <c r="R20" s="40">
        <f t="shared" si="1"/>
        <v>1</v>
      </c>
      <c r="S20" s="41">
        <f>SUMIFS('Отчет 01-04.01'!P:P,'Отчет 01-04.01'!C:C,"Продажи",'Отчет 01-04.01'!E:E,B20)</f>
        <v>5000</v>
      </c>
      <c r="T20" s="42">
        <f>SUMIFS('Отчет 01-04.01'!P:P,'Отчет 01-04.01'!C:C,"Возвраты",'Отчет 01-04.01'!E:E,B20)</f>
        <v>0</v>
      </c>
      <c r="U20" s="40">
        <f t="shared" si="2"/>
        <v>5000</v>
      </c>
      <c r="V20" s="43">
        <f t="shared" si="3"/>
        <v>1.177301624676242</v>
      </c>
      <c r="W20" s="44">
        <f t="shared" si="4"/>
        <v>932.62</v>
      </c>
      <c r="X20" s="42">
        <f>-SUMIFS('Отчет 01-04.01'!P:P,'Отчет 01-04.01'!C:C,"Вознаграждение Ozon",'Отчет 01-04.01'!E:E,B20)</f>
        <v>2150</v>
      </c>
      <c r="Y20" s="45">
        <f t="shared" si="5"/>
        <v>0.43</v>
      </c>
      <c r="Z20" s="42">
        <f>-SUMIFS('Отчет 01-04.01'!P:P,'Отчет 01-04.01'!C:C,"Услуги доставки",'Отчет 01-04.01'!E:E,B20)</f>
        <v>222.69</v>
      </c>
      <c r="AA20" s="32">
        <v>0</v>
      </c>
      <c r="AB20" s="55"/>
      <c r="AC20" s="42"/>
      <c r="AD20" s="46">
        <f t="shared" si="6"/>
        <v>50</v>
      </c>
      <c r="AE20" s="47">
        <f t="shared" si="7"/>
        <v>1644.69</v>
      </c>
      <c r="AF20" s="46"/>
      <c r="AG20" s="48">
        <f t="shared" si="8"/>
        <v>5000</v>
      </c>
      <c r="AH20" s="49">
        <f t="shared" si="9"/>
        <v>932.62</v>
      </c>
      <c r="AI20" s="49">
        <f t="shared" si="10"/>
        <v>2150</v>
      </c>
      <c r="AJ20" s="49">
        <f t="shared" si="11"/>
        <v>222.69</v>
      </c>
      <c r="AK20" s="49">
        <f t="shared" si="12"/>
        <v>0</v>
      </c>
      <c r="AL20" s="49">
        <f t="array" ref="AL20">_xlfn.IFS(R20=0,AE20,R20&lt;0,AE20/-R20,R20&gt;0,AE20/R20)</f>
        <v>1644.69</v>
      </c>
      <c r="AM20" s="50">
        <f t="shared" si="13"/>
        <v>0.32893800000000001</v>
      </c>
      <c r="AN20" s="51">
        <f t="shared" si="14"/>
        <v>1.7635156869893418</v>
      </c>
      <c r="AP20" s="53">
        <f t="shared" si="15"/>
        <v>0</v>
      </c>
    </row>
    <row r="21" spans="1:52" ht="13.75" customHeight="1">
      <c r="A21" s="30">
        <v>2807226223</v>
      </c>
      <c r="B21" s="31" t="s">
        <v>56</v>
      </c>
      <c r="C21" s="32"/>
      <c r="D21" s="33"/>
      <c r="E21" s="33"/>
      <c r="F21" s="33"/>
      <c r="G21" s="34"/>
      <c r="H21" s="35">
        <v>1014.52</v>
      </c>
      <c r="I21" s="54">
        <f t="shared" si="0"/>
        <v>0</v>
      </c>
      <c r="J21" s="36"/>
      <c r="K21" s="32">
        <v>0</v>
      </c>
      <c r="L21" s="36"/>
      <c r="M21" s="36"/>
      <c r="N21" s="37">
        <f t="shared" si="16"/>
        <v>0</v>
      </c>
      <c r="O21" s="38">
        <f t="shared" si="17"/>
        <v>0</v>
      </c>
      <c r="P21" s="39">
        <f>SUMIFS('Отчет 01-04.01'!H:H,'Отчет 01-04.01'!D:D,"Выручка",'Отчет 01-04.01'!E:E,B21)</f>
        <v>0</v>
      </c>
      <c r="Q21" s="39">
        <f>SUMIFS('Отчет 01-04.01'!H:H,'Отчет 01-04.01'!D:D,"Возврат выручки",'Отчет 01-04.01'!E:E,B21)</f>
        <v>0</v>
      </c>
      <c r="R21" s="40">
        <f t="shared" si="1"/>
        <v>0</v>
      </c>
      <c r="S21" s="41">
        <f>SUMIFS('Отчет 01-04.01'!P:P,'Отчет 01-04.01'!C:C,"Продажи",'Отчет 01-04.01'!E:E,B21)</f>
        <v>0</v>
      </c>
      <c r="T21" s="42">
        <f>SUMIFS('Отчет 01-04.01'!P:P,'Отчет 01-04.01'!C:C,"Возвраты",'Отчет 01-04.01'!E:E,B21)</f>
        <v>0</v>
      </c>
      <c r="U21" s="40">
        <f t="shared" si="2"/>
        <v>0</v>
      </c>
      <c r="V21" s="43">
        <f t="shared" si="3"/>
        <v>0</v>
      </c>
      <c r="W21" s="44">
        <f t="shared" si="4"/>
        <v>0</v>
      </c>
      <c r="X21" s="42">
        <f>-SUMIFS('Отчет 01-04.01'!P:P,'Отчет 01-04.01'!C:C,"Вознаграждение Ozon",'Отчет 01-04.01'!E:E,B21)</f>
        <v>0</v>
      </c>
      <c r="Y21" s="45">
        <f t="shared" si="5"/>
        <v>0</v>
      </c>
      <c r="Z21" s="42">
        <f>-SUMIFS('Отчет 01-04.01'!P:P,'Отчет 01-04.01'!C:C,"Услуги доставки",'Отчет 01-04.01'!E:E,B21)</f>
        <v>0</v>
      </c>
      <c r="AA21" s="32">
        <v>0</v>
      </c>
      <c r="AB21" s="55"/>
      <c r="AC21" s="42"/>
      <c r="AD21" s="46">
        <f t="shared" si="6"/>
        <v>0</v>
      </c>
      <c r="AE21" s="47">
        <f t="shared" si="7"/>
        <v>0</v>
      </c>
      <c r="AF21" s="46"/>
      <c r="AG21" s="48">
        <f t="shared" si="8"/>
        <v>0</v>
      </c>
      <c r="AH21" s="49">
        <f t="shared" si="9"/>
        <v>1014.52</v>
      </c>
      <c r="AI21" s="49">
        <f t="shared" si="10"/>
        <v>0</v>
      </c>
      <c r="AJ21" s="49">
        <f t="shared" si="11"/>
        <v>0</v>
      </c>
      <c r="AK21" s="49">
        <f t="shared" si="12"/>
        <v>0</v>
      </c>
      <c r="AL21" s="49">
        <f t="array" ref="AL21">_xlfn.IFS(R21=0,AE21,R21&lt;0,AE21/-R21,R21&gt;0,AE21/R21)</f>
        <v>0</v>
      </c>
      <c r="AM21" s="50">
        <f t="shared" si="13"/>
        <v>0</v>
      </c>
      <c r="AN21" s="51">
        <f t="shared" si="14"/>
        <v>0</v>
      </c>
      <c r="AP21" s="53">
        <f t="shared" si="15"/>
        <v>0</v>
      </c>
    </row>
    <row r="22" spans="1:52" ht="13.75" customHeight="1">
      <c r="A22" s="30">
        <v>2807226341</v>
      </c>
      <c r="B22" s="31" t="s">
        <v>57</v>
      </c>
      <c r="C22" s="32"/>
      <c r="D22" s="33"/>
      <c r="E22" s="33"/>
      <c r="F22" s="33"/>
      <c r="G22" s="34"/>
      <c r="H22" s="35">
        <v>1014.52</v>
      </c>
      <c r="I22" s="54">
        <f t="shared" si="0"/>
        <v>0</v>
      </c>
      <c r="J22" s="36"/>
      <c r="K22" s="32">
        <v>0</v>
      </c>
      <c r="L22" s="36"/>
      <c r="M22" s="36"/>
      <c r="N22" s="37">
        <f t="shared" si="16"/>
        <v>0</v>
      </c>
      <c r="O22" s="38">
        <f t="shared" si="17"/>
        <v>0</v>
      </c>
      <c r="P22" s="39">
        <f>SUMIFS('Отчет 01-04.01'!H:H,'Отчет 01-04.01'!D:D,"Выручка",'Отчет 01-04.01'!E:E,B22)</f>
        <v>0</v>
      </c>
      <c r="Q22" s="39">
        <f>SUMIFS('Отчет 01-04.01'!H:H,'Отчет 01-04.01'!D:D,"Возврат выручки",'Отчет 01-04.01'!E:E,B22)</f>
        <v>0</v>
      </c>
      <c r="R22" s="40">
        <f t="shared" si="1"/>
        <v>0</v>
      </c>
      <c r="S22" s="41">
        <f>SUMIFS('Отчет 01-04.01'!P:P,'Отчет 01-04.01'!C:C,"Продажи",'Отчет 01-04.01'!E:E,B22)</f>
        <v>0</v>
      </c>
      <c r="T22" s="42">
        <f>SUMIFS('Отчет 01-04.01'!P:P,'Отчет 01-04.01'!C:C,"Возвраты",'Отчет 01-04.01'!E:E,B22)</f>
        <v>0</v>
      </c>
      <c r="U22" s="40">
        <f t="shared" si="2"/>
        <v>0</v>
      </c>
      <c r="V22" s="43">
        <f t="shared" si="3"/>
        <v>0</v>
      </c>
      <c r="W22" s="44">
        <f t="shared" si="4"/>
        <v>0</v>
      </c>
      <c r="X22" s="42">
        <f>-SUMIFS('Отчет 01-04.01'!P:P,'Отчет 01-04.01'!C:C,"Вознаграждение Ozon",'Отчет 01-04.01'!E:E,B22)</f>
        <v>0</v>
      </c>
      <c r="Y22" s="45">
        <f t="shared" si="5"/>
        <v>0</v>
      </c>
      <c r="Z22" s="42">
        <f>-SUMIFS('Отчет 01-04.01'!P:P,'Отчет 01-04.01'!C:C,"Услуги доставки",'Отчет 01-04.01'!E:E,B22)</f>
        <v>0</v>
      </c>
      <c r="AA22" s="32">
        <v>0</v>
      </c>
      <c r="AB22" s="55"/>
      <c r="AC22" s="42"/>
      <c r="AD22" s="46">
        <f t="shared" si="6"/>
        <v>0</v>
      </c>
      <c r="AE22" s="47">
        <f t="shared" si="7"/>
        <v>0</v>
      </c>
      <c r="AF22" s="46"/>
      <c r="AG22" s="48">
        <f t="shared" si="8"/>
        <v>0</v>
      </c>
      <c r="AH22" s="49">
        <f t="shared" si="9"/>
        <v>1014.52</v>
      </c>
      <c r="AI22" s="49">
        <f t="shared" si="10"/>
        <v>0</v>
      </c>
      <c r="AJ22" s="49">
        <f t="shared" si="11"/>
        <v>0</v>
      </c>
      <c r="AK22" s="49">
        <f t="shared" si="12"/>
        <v>0</v>
      </c>
      <c r="AL22" s="49">
        <f t="array" ref="AL22">_xlfn.IFS(R22=0,AE22,R22&lt;0,AE22/-R22,R22&gt;0,AE22/R22)</f>
        <v>0</v>
      </c>
      <c r="AM22" s="50">
        <f t="shared" si="13"/>
        <v>0</v>
      </c>
      <c r="AN22" s="51">
        <f t="shared" si="14"/>
        <v>0</v>
      </c>
      <c r="AP22" s="53">
        <f t="shared" si="15"/>
        <v>0</v>
      </c>
    </row>
    <row r="23" spans="1:52" ht="13.75" customHeight="1">
      <c r="A23" s="30">
        <v>2807226351</v>
      </c>
      <c r="B23" s="31" t="s">
        <v>58</v>
      </c>
      <c r="C23" s="32"/>
      <c r="D23" s="33"/>
      <c r="E23" s="33"/>
      <c r="F23" s="33"/>
      <c r="G23" s="34"/>
      <c r="H23" s="35">
        <v>1014.52</v>
      </c>
      <c r="I23" s="54">
        <f t="shared" si="0"/>
        <v>0</v>
      </c>
      <c r="J23" s="36"/>
      <c r="K23" s="32">
        <v>0</v>
      </c>
      <c r="L23" s="36"/>
      <c r="M23" s="36"/>
      <c r="N23" s="37">
        <f t="shared" si="16"/>
        <v>0</v>
      </c>
      <c r="O23" s="38">
        <f t="shared" si="17"/>
        <v>0</v>
      </c>
      <c r="P23" s="39">
        <f>SUMIFS('Отчет 01-04.01'!H:H,'Отчет 01-04.01'!D:D,"Выручка",'Отчет 01-04.01'!E:E,B23)</f>
        <v>0</v>
      </c>
      <c r="Q23" s="39">
        <f>SUMIFS('Отчет 01-04.01'!H:H,'Отчет 01-04.01'!D:D,"Возврат выручки",'Отчет 01-04.01'!E:E,B23)</f>
        <v>0</v>
      </c>
      <c r="R23" s="40">
        <f t="shared" si="1"/>
        <v>0</v>
      </c>
      <c r="S23" s="41">
        <f>SUMIFS('Отчет 01-04.01'!P:P,'Отчет 01-04.01'!C:C,"Продажи",'Отчет 01-04.01'!E:E,B23)</f>
        <v>0</v>
      </c>
      <c r="T23" s="42">
        <f>SUMIFS('Отчет 01-04.01'!P:P,'Отчет 01-04.01'!C:C,"Возвраты",'Отчет 01-04.01'!E:E,B23)</f>
        <v>0</v>
      </c>
      <c r="U23" s="40">
        <f t="shared" si="2"/>
        <v>0</v>
      </c>
      <c r="V23" s="43">
        <f t="shared" si="3"/>
        <v>0</v>
      </c>
      <c r="W23" s="44">
        <f t="shared" si="4"/>
        <v>0</v>
      </c>
      <c r="X23" s="42">
        <f>-SUMIFS('Отчет 01-04.01'!P:P,'Отчет 01-04.01'!C:C,"Вознаграждение Ozon",'Отчет 01-04.01'!E:E,B23)</f>
        <v>0</v>
      </c>
      <c r="Y23" s="45">
        <f t="shared" si="5"/>
        <v>0</v>
      </c>
      <c r="Z23" s="42">
        <f>-SUMIFS('Отчет 01-04.01'!P:P,'Отчет 01-04.01'!C:C,"Услуги доставки",'Отчет 01-04.01'!E:E,B23)</f>
        <v>0</v>
      </c>
      <c r="AA23" s="32">
        <v>0</v>
      </c>
      <c r="AB23" s="55"/>
      <c r="AC23" s="42"/>
      <c r="AD23" s="46">
        <f t="shared" si="6"/>
        <v>0</v>
      </c>
      <c r="AE23" s="47">
        <f t="shared" si="7"/>
        <v>0</v>
      </c>
      <c r="AF23" s="46"/>
      <c r="AG23" s="48">
        <f t="shared" si="8"/>
        <v>0</v>
      </c>
      <c r="AH23" s="49">
        <f t="shared" si="9"/>
        <v>1014.52</v>
      </c>
      <c r="AI23" s="49">
        <f t="shared" si="10"/>
        <v>0</v>
      </c>
      <c r="AJ23" s="49">
        <f t="shared" si="11"/>
        <v>0</v>
      </c>
      <c r="AK23" s="49">
        <f t="shared" si="12"/>
        <v>0</v>
      </c>
      <c r="AL23" s="49">
        <f t="array" ref="AL23">_xlfn.IFS(R23=0,AE23,R23&lt;0,AE23/-R23,R23&gt;0,AE23/R23)</f>
        <v>0</v>
      </c>
      <c r="AM23" s="50">
        <f t="shared" si="13"/>
        <v>0</v>
      </c>
      <c r="AN23" s="51">
        <f t="shared" si="14"/>
        <v>0</v>
      </c>
      <c r="AP23" s="53">
        <f t="shared" si="15"/>
        <v>0</v>
      </c>
    </row>
    <row r="24" spans="1:52" ht="13.75" customHeight="1">
      <c r="A24" s="30">
        <v>2807226146</v>
      </c>
      <c r="B24" s="31" t="s">
        <v>59</v>
      </c>
      <c r="C24" s="32"/>
      <c r="D24" s="33"/>
      <c r="E24" s="33"/>
      <c r="F24" s="33"/>
      <c r="G24" s="34"/>
      <c r="H24" s="35">
        <v>991.12</v>
      </c>
      <c r="I24" s="54">
        <f t="shared" si="0"/>
        <v>0</v>
      </c>
      <c r="J24" s="36"/>
      <c r="K24" s="32">
        <v>0</v>
      </c>
      <c r="L24" s="36"/>
      <c r="M24" s="36"/>
      <c r="N24" s="37">
        <f t="shared" si="16"/>
        <v>0</v>
      </c>
      <c r="O24" s="38">
        <f t="shared" si="17"/>
        <v>0</v>
      </c>
      <c r="P24" s="39">
        <f>SUMIFS('Отчет 01-04.01'!H:H,'Отчет 01-04.01'!D:D,"Выручка",'Отчет 01-04.01'!E:E,B24)</f>
        <v>0</v>
      </c>
      <c r="Q24" s="39">
        <f>SUMIFS('Отчет 01-04.01'!H:H,'Отчет 01-04.01'!D:D,"Возврат выручки",'Отчет 01-04.01'!E:E,B24)</f>
        <v>0</v>
      </c>
      <c r="R24" s="40">
        <f t="shared" si="1"/>
        <v>0</v>
      </c>
      <c r="S24" s="41">
        <f>SUMIFS('Отчет 01-04.01'!P:P,'Отчет 01-04.01'!C:C,"Продажи",'Отчет 01-04.01'!E:E,B24)</f>
        <v>0</v>
      </c>
      <c r="T24" s="42">
        <f>SUMIFS('Отчет 01-04.01'!P:P,'Отчет 01-04.01'!C:C,"Возвраты",'Отчет 01-04.01'!E:E,B24)</f>
        <v>0</v>
      </c>
      <c r="U24" s="40">
        <f t="shared" si="2"/>
        <v>0</v>
      </c>
      <c r="V24" s="43">
        <f t="shared" si="3"/>
        <v>0</v>
      </c>
      <c r="W24" s="44">
        <f t="shared" si="4"/>
        <v>0</v>
      </c>
      <c r="X24" s="42">
        <f>-SUMIFS('Отчет 01-04.01'!P:P,'Отчет 01-04.01'!C:C,"Вознаграждение Ozon",'Отчет 01-04.01'!E:E,B24)</f>
        <v>0</v>
      </c>
      <c r="Y24" s="45">
        <f t="shared" si="5"/>
        <v>0</v>
      </c>
      <c r="Z24" s="42">
        <f>-SUMIFS('Отчет 01-04.01'!P:P,'Отчет 01-04.01'!C:C,"Услуги доставки",'Отчет 01-04.01'!E:E,B24)</f>
        <v>0</v>
      </c>
      <c r="AA24" s="32">
        <v>0</v>
      </c>
      <c r="AB24" s="55"/>
      <c r="AC24" s="42"/>
      <c r="AD24" s="46">
        <f t="shared" si="6"/>
        <v>0</v>
      </c>
      <c r="AE24" s="47">
        <f t="shared" si="7"/>
        <v>0</v>
      </c>
      <c r="AF24" s="46"/>
      <c r="AG24" s="48">
        <f t="shared" si="8"/>
        <v>0</v>
      </c>
      <c r="AH24" s="49">
        <f t="shared" si="9"/>
        <v>991.12</v>
      </c>
      <c r="AI24" s="49">
        <f t="shared" si="10"/>
        <v>0</v>
      </c>
      <c r="AJ24" s="49">
        <f t="shared" si="11"/>
        <v>0</v>
      </c>
      <c r="AK24" s="49">
        <f t="shared" si="12"/>
        <v>0</v>
      </c>
      <c r="AL24" s="49">
        <f t="array" ref="AL24">_xlfn.IFS(R24=0,AE24,R24&lt;0,AE24/-R24,R24&gt;0,AE24/R24)</f>
        <v>0</v>
      </c>
      <c r="AM24" s="50">
        <f t="shared" si="13"/>
        <v>0</v>
      </c>
      <c r="AN24" s="51">
        <f t="shared" si="14"/>
        <v>0</v>
      </c>
      <c r="AP24" s="53">
        <f t="shared" si="15"/>
        <v>0</v>
      </c>
    </row>
    <row r="25" spans="1:52" ht="13.75" customHeight="1">
      <c r="A25" s="30"/>
      <c r="B25" s="31"/>
      <c r="C25" s="32"/>
      <c r="D25" s="33"/>
      <c r="E25" s="33"/>
      <c r="F25" s="33"/>
      <c r="G25" s="34"/>
      <c r="H25" s="56"/>
      <c r="I25" s="54"/>
      <c r="J25" s="36"/>
      <c r="K25" s="32"/>
      <c r="L25" s="36"/>
      <c r="M25" s="36"/>
      <c r="N25" s="37"/>
      <c r="O25" s="38"/>
      <c r="P25" s="39"/>
      <c r="Q25" s="39"/>
      <c r="R25" s="40"/>
      <c r="S25" s="41"/>
      <c r="T25" s="42"/>
      <c r="U25" s="40"/>
      <c r="V25" s="43"/>
      <c r="W25" s="44"/>
      <c r="X25" s="42"/>
      <c r="Y25" s="45"/>
      <c r="Z25" s="42"/>
      <c r="AA25" s="32"/>
      <c r="AB25" s="55"/>
      <c r="AC25" s="42"/>
      <c r="AD25" s="46"/>
      <c r="AE25" s="47"/>
      <c r="AF25" s="46"/>
      <c r="AG25" s="57">
        <f t="shared" ref="AG25:AN25" si="18">AVERAGEIF(AG3:AG24,"&lt;&gt;0",AG3:AG24)</f>
        <v>1980.9738095238092</v>
      </c>
      <c r="AH25" s="58">
        <f t="shared" si="18"/>
        <v>447.87636363636369</v>
      </c>
      <c r="AI25" s="58">
        <f t="shared" si="18"/>
        <v>851.81873809523802</v>
      </c>
      <c r="AJ25" s="58">
        <f t="shared" si="18"/>
        <v>123.09018367346938</v>
      </c>
      <c r="AK25" s="58">
        <f t="shared" si="18"/>
        <v>456.97734578571431</v>
      </c>
      <c r="AL25" s="58">
        <f t="shared" si="18"/>
        <v>279.26232985714284</v>
      </c>
      <c r="AM25" s="59">
        <f t="shared" si="18"/>
        <v>0.28098539257569283</v>
      </c>
      <c r="AN25" s="59">
        <f t="shared" si="18"/>
        <v>1.1008043953483204</v>
      </c>
      <c r="AO25" s="60"/>
      <c r="AP25" s="61"/>
    </row>
    <row r="26" spans="1:52">
      <c r="A26" s="62" t="s">
        <v>60</v>
      </c>
      <c r="B26" s="63"/>
      <c r="C26" s="64">
        <f>SUM(C3:C24)</f>
        <v>0</v>
      </c>
      <c r="D26" s="65"/>
      <c r="E26" s="65">
        <v>108496</v>
      </c>
      <c r="F26" s="65">
        <v>597</v>
      </c>
      <c r="G26" s="65">
        <v>295</v>
      </c>
      <c r="H26" s="66"/>
      <c r="I26" s="64">
        <f>SUM(I3:I24)</f>
        <v>0</v>
      </c>
      <c r="J26" s="67"/>
      <c r="K26" s="64">
        <f>SUM(K3:K24)</f>
        <v>44</v>
      </c>
      <c r="L26" s="67"/>
      <c r="M26" s="67"/>
      <c r="N26" s="68"/>
      <c r="O26" s="69"/>
      <c r="P26" s="64">
        <f>SUM(P3:P24)</f>
        <v>28</v>
      </c>
      <c r="Q26" s="64">
        <f t="shared" ref="Q26:AE26" si="19">SUM(Q3:Q24)</f>
        <v>0</v>
      </c>
      <c r="R26" s="64">
        <f t="shared" si="19"/>
        <v>28</v>
      </c>
      <c r="S26" s="70">
        <f>SUM(S3:S24)</f>
        <v>45978</v>
      </c>
      <c r="T26" s="64">
        <f t="shared" si="19"/>
        <v>0</v>
      </c>
      <c r="U26" s="64">
        <f t="shared" si="19"/>
        <v>45978</v>
      </c>
      <c r="V26" s="71">
        <f t="shared" si="19"/>
        <v>10.82599481987285</v>
      </c>
      <c r="W26" s="64">
        <f t="shared" si="19"/>
        <v>4528.66</v>
      </c>
      <c r="X26" s="64">
        <f t="shared" si="19"/>
        <v>19770.54</v>
      </c>
      <c r="Y26" s="72">
        <f>IF(U26=0,0,X26/U26)</f>
        <v>0.43</v>
      </c>
      <c r="Z26" s="64">
        <f t="shared" si="19"/>
        <v>3709.3399999999997</v>
      </c>
      <c r="AA26" s="64">
        <f>IFERROR(P26*AA51/P51,0)</f>
        <v>14387.481379310344</v>
      </c>
      <c r="AB26" s="64">
        <f t="shared" si="19"/>
        <v>0</v>
      </c>
      <c r="AC26" s="64">
        <f t="shared" si="19"/>
        <v>0</v>
      </c>
      <c r="AD26" s="73">
        <f t="shared" si="19"/>
        <v>459.78</v>
      </c>
      <c r="AE26" s="74">
        <f t="shared" si="19"/>
        <v>5126.0329319999983</v>
      </c>
      <c r="AF26" s="75"/>
      <c r="AG26" s="76"/>
      <c r="AH26" s="77"/>
      <c r="AI26" s="77"/>
      <c r="AJ26" s="77"/>
      <c r="AK26" s="78"/>
      <c r="AL26" s="77"/>
      <c r="AM26" s="79"/>
      <c r="AN26" s="80"/>
      <c r="AO26" s="81"/>
      <c r="AP26" s="82">
        <f>SUM(AP3:AP24)</f>
        <v>0</v>
      </c>
      <c r="AZ26" s="52">
        <v>18592777.379413977</v>
      </c>
    </row>
    <row r="27" spans="1:52" ht="13.75" customHeight="1">
      <c r="A27" s="30"/>
      <c r="B27" s="31"/>
      <c r="C27" s="32"/>
      <c r="D27" s="33"/>
      <c r="E27" s="33"/>
      <c r="F27" s="33"/>
      <c r="G27" s="34"/>
      <c r="H27" s="56"/>
      <c r="I27" s="54"/>
      <c r="J27" s="36"/>
      <c r="K27" s="32"/>
      <c r="L27" s="36"/>
      <c r="M27" s="36"/>
      <c r="N27" s="37"/>
      <c r="O27" s="38"/>
      <c r="P27" s="39"/>
      <c r="Q27" s="39"/>
      <c r="R27" s="40"/>
      <c r="S27" s="41"/>
      <c r="T27" s="42"/>
      <c r="U27" s="40"/>
      <c r="V27" s="43"/>
      <c r="W27" s="44"/>
      <c r="X27" s="42"/>
      <c r="Y27" s="45"/>
      <c r="Z27" s="42"/>
      <c r="AA27" s="83">
        <f>SUM(AA3:AA24)</f>
        <v>12383.647068</v>
      </c>
      <c r="AB27" s="55"/>
      <c r="AC27" s="42"/>
      <c r="AD27" s="46"/>
      <c r="AE27" s="47"/>
      <c r="AF27" s="46"/>
      <c r="AG27" s="48"/>
      <c r="AH27" s="49"/>
      <c r="AI27" s="49"/>
      <c r="AJ27" s="49"/>
      <c r="AK27" s="49"/>
      <c r="AL27" s="49"/>
      <c r="AM27" s="50"/>
      <c r="AN27" s="51"/>
      <c r="AP27" s="53"/>
    </row>
    <row r="28" spans="1:52">
      <c r="A28" s="30">
        <v>2774708536</v>
      </c>
      <c r="B28" s="31" t="s">
        <v>61</v>
      </c>
      <c r="C28" s="32"/>
      <c r="D28" s="33"/>
      <c r="E28" s="33"/>
      <c r="F28" s="33"/>
      <c r="G28" s="34"/>
      <c r="H28" s="84">
        <v>672</v>
      </c>
      <c r="I28" s="54">
        <f t="shared" ref="I28:I46" si="20">C28*H28</f>
        <v>0</v>
      </c>
      <c r="J28" s="36"/>
      <c r="K28" s="32">
        <v>0</v>
      </c>
      <c r="L28" s="36"/>
      <c r="M28" s="36"/>
      <c r="N28" s="37">
        <f>K28/4</f>
        <v>0</v>
      </c>
      <c r="O28" s="38">
        <f>R28/4</f>
        <v>0</v>
      </c>
      <c r="P28" s="39">
        <f>SUMIFS('Отчет 01-04.01'!H:H,'Отчет 01-04.01'!D:D,"Выручка",'Отчет 01-04.01'!E:E,B28)</f>
        <v>0</v>
      </c>
      <c r="Q28" s="39">
        <f>SUMIFS('Отчет 01-04.01'!H:H,'Отчет 01-04.01'!D:D,"Возврат выручки",'Отчет 01-04.01'!E:E,B28)</f>
        <v>0</v>
      </c>
      <c r="R28" s="40">
        <f t="shared" ref="R28:R47" si="21">P28-Q28</f>
        <v>0</v>
      </c>
      <c r="S28" s="41">
        <f>SUMIFS('Отчет 01-04.01'!P:P,'Отчет 01-04.01'!C:C,"Продажи",'Отчет 01-04.01'!E:E,B28)</f>
        <v>0</v>
      </c>
      <c r="T28" s="42">
        <f>SUMIFS('Отчет 01-04.01'!P:P,'Отчет 01-04.01'!C:C,"Возвраты",'Отчет 01-04.01'!E:E,B28)</f>
        <v>0</v>
      </c>
      <c r="U28" s="40">
        <f t="shared" ref="U28:U47" si="22">S28+T28</f>
        <v>0</v>
      </c>
      <c r="V28" s="43">
        <f t="shared" ref="V28:V47" si="23">U28/$U$49</f>
        <v>0</v>
      </c>
      <c r="W28" s="44">
        <f t="shared" ref="W28:W47" si="24">R28*H28</f>
        <v>0</v>
      </c>
      <c r="X28" s="42">
        <f>-SUMIFS('Отчет 01-04.01'!P:P,'Отчет 01-04.01'!C:C,"Вознаграждение Ozon",'Отчет 01-04.01'!E:E,B28)</f>
        <v>0</v>
      </c>
      <c r="Y28" s="45">
        <f t="shared" ref="Y28:Y47" si="25">IF(U28=0,0,X28/U28)</f>
        <v>0</v>
      </c>
      <c r="Z28" s="42">
        <f>-SUMIFS('Отчет 01-04.01'!P:P,'Отчет 01-04.01'!C:C,"Услуги доставки",'Отчет 01-04.01'!E:E,B28)</f>
        <v>0</v>
      </c>
      <c r="AA28" s="32">
        <v>0</v>
      </c>
      <c r="AB28" s="55"/>
      <c r="AC28" s="42"/>
      <c r="AD28" s="46">
        <f t="shared" ref="AD28:AD47" si="26">U28*1%</f>
        <v>0</v>
      </c>
      <c r="AE28" s="47">
        <f t="shared" ref="AE28:AE47" si="27">U28-W28-X28-Z28-AA28-AB28-AC28-AD28</f>
        <v>0</v>
      </c>
      <c r="AF28" s="46"/>
      <c r="AG28" s="48">
        <f t="shared" ref="AG28:AG47" si="28">IF(R28=0,0,U28/R28)</f>
        <v>0</v>
      </c>
      <c r="AH28" s="49">
        <f t="shared" ref="AH28:AH47" si="29">H28</f>
        <v>672</v>
      </c>
      <c r="AI28" s="49">
        <f t="shared" ref="AI28:AI47" si="30">IF(R28=0,0,X28/R28)</f>
        <v>0</v>
      </c>
      <c r="AJ28" s="49">
        <f t="shared" ref="AJ28:AJ47" si="31">IF(P28=0,Z28/1,Z28/P28)</f>
        <v>0</v>
      </c>
      <c r="AK28" s="49">
        <f t="shared" ref="AK28:AK47" si="32">IF(P28=0,0,AA28/P28)</f>
        <v>0</v>
      </c>
      <c r="AL28" s="49">
        <f t="array" ref="AL28">_xlfn.IFS(R28=0,AE28,R28&lt;0,AE28/-R28,R28&gt;0,AE28/R28)</f>
        <v>0</v>
      </c>
      <c r="AM28" s="50">
        <f t="shared" ref="AM28:AM47" si="33">IF(AG28=0,0,AL28/AG28)</f>
        <v>0</v>
      </c>
      <c r="AN28" s="51">
        <f t="shared" ref="AN28:AN47" si="34">IF(AH28=0,0,AL28/AH28)</f>
        <v>0</v>
      </c>
      <c r="AP28" s="53">
        <f t="shared" ref="AP28:AP47" si="35">AL28*C28</f>
        <v>0</v>
      </c>
    </row>
    <row r="29" spans="1:52">
      <c r="A29" s="30">
        <v>2774708622</v>
      </c>
      <c r="B29" s="31" t="s">
        <v>62</v>
      </c>
      <c r="C29" s="32"/>
      <c r="D29" s="33"/>
      <c r="E29" s="33"/>
      <c r="F29" s="33"/>
      <c r="G29" s="34"/>
      <c r="H29" s="84">
        <v>627</v>
      </c>
      <c r="I29" s="54">
        <f t="shared" si="20"/>
        <v>0</v>
      </c>
      <c r="J29" s="36"/>
      <c r="K29" s="32">
        <v>0</v>
      </c>
      <c r="L29" s="36"/>
      <c r="M29" s="36"/>
      <c r="N29" s="37">
        <f t="shared" ref="N29:N47" si="36">K29/4</f>
        <v>0</v>
      </c>
      <c r="O29" s="38">
        <f t="shared" ref="O29:O47" si="37">R29/4</f>
        <v>0</v>
      </c>
      <c r="P29" s="39">
        <f>SUMIFS('Отчет 01-04.01'!H:H,'Отчет 01-04.01'!D:D,"Выручка",'Отчет 01-04.01'!E:E,B29)</f>
        <v>0</v>
      </c>
      <c r="Q29" s="39">
        <f>SUMIFS('Отчет 01-04.01'!H:H,'Отчет 01-04.01'!D:D,"Возврат выручки",'Отчет 01-04.01'!E:E,B29)</f>
        <v>0</v>
      </c>
      <c r="R29" s="40">
        <f t="shared" si="21"/>
        <v>0</v>
      </c>
      <c r="S29" s="41">
        <f>SUMIFS('Отчет 01-04.01'!P:P,'Отчет 01-04.01'!C:C,"Продажи",'Отчет 01-04.01'!E:E,B29)</f>
        <v>0</v>
      </c>
      <c r="T29" s="42">
        <f>SUMIFS('Отчет 01-04.01'!P:P,'Отчет 01-04.01'!C:C,"Возвраты",'Отчет 01-04.01'!E:E,B29)</f>
        <v>0</v>
      </c>
      <c r="U29" s="40">
        <f t="shared" si="22"/>
        <v>0</v>
      </c>
      <c r="V29" s="43">
        <f t="shared" si="23"/>
        <v>0</v>
      </c>
      <c r="W29" s="44">
        <f t="shared" si="24"/>
        <v>0</v>
      </c>
      <c r="X29" s="42">
        <f>-SUMIFS('Отчет 01-04.01'!P:P,'Отчет 01-04.01'!C:C,"Вознаграждение Ozon",'Отчет 01-04.01'!E:E,B29)</f>
        <v>0</v>
      </c>
      <c r="Y29" s="45">
        <f t="shared" si="25"/>
        <v>0</v>
      </c>
      <c r="Z29" s="42">
        <f>-SUMIFS('Отчет 01-04.01'!P:P,'Отчет 01-04.01'!C:C,"Услуги доставки",'Отчет 01-04.01'!E:E,B29)</f>
        <v>0</v>
      </c>
      <c r="AA29" s="32">
        <v>0</v>
      </c>
      <c r="AB29" s="55"/>
      <c r="AC29" s="42"/>
      <c r="AD29" s="46">
        <f t="shared" si="26"/>
        <v>0</v>
      </c>
      <c r="AE29" s="47">
        <f t="shared" si="27"/>
        <v>0</v>
      </c>
      <c r="AF29" s="46"/>
      <c r="AG29" s="48">
        <f t="shared" si="28"/>
        <v>0</v>
      </c>
      <c r="AH29" s="49">
        <f t="shared" si="29"/>
        <v>627</v>
      </c>
      <c r="AI29" s="49">
        <f t="shared" si="30"/>
        <v>0</v>
      </c>
      <c r="AJ29" s="49">
        <f t="shared" si="31"/>
        <v>0</v>
      </c>
      <c r="AK29" s="49">
        <f t="shared" si="32"/>
        <v>0</v>
      </c>
      <c r="AL29" s="49">
        <f t="array" ref="AL29">_xlfn.IFS(R29=0,AE29,R29&lt;0,AE29/-R29,R29&gt;0,AE29/R29)</f>
        <v>0</v>
      </c>
      <c r="AM29" s="50">
        <f t="shared" si="33"/>
        <v>0</v>
      </c>
      <c r="AN29" s="51">
        <f t="shared" si="34"/>
        <v>0</v>
      </c>
      <c r="AP29" s="53">
        <f t="shared" si="35"/>
        <v>0</v>
      </c>
    </row>
    <row r="30" spans="1:52">
      <c r="A30" s="30">
        <v>2774709606</v>
      </c>
      <c r="B30" s="31" t="s">
        <v>63</v>
      </c>
      <c r="C30" s="32"/>
      <c r="D30" s="33"/>
      <c r="E30" s="33"/>
      <c r="F30" s="33"/>
      <c r="G30" s="34"/>
      <c r="H30" s="84">
        <v>627</v>
      </c>
      <c r="I30" s="54">
        <f t="shared" si="20"/>
        <v>0</v>
      </c>
      <c r="J30" s="36"/>
      <c r="K30" s="32">
        <v>0</v>
      </c>
      <c r="L30" s="36"/>
      <c r="M30" s="36"/>
      <c r="N30" s="37">
        <f t="shared" si="36"/>
        <v>0</v>
      </c>
      <c r="O30" s="38">
        <f t="shared" si="37"/>
        <v>0</v>
      </c>
      <c r="P30" s="39">
        <f>SUMIFS('Отчет 01-04.01'!H:H,'Отчет 01-04.01'!D:D,"Выручка",'Отчет 01-04.01'!E:E,B30)</f>
        <v>0</v>
      </c>
      <c r="Q30" s="39">
        <f>SUMIFS('Отчет 01-04.01'!H:H,'Отчет 01-04.01'!D:D,"Возврат выручки",'Отчет 01-04.01'!E:E,B30)</f>
        <v>0</v>
      </c>
      <c r="R30" s="40">
        <f t="shared" si="21"/>
        <v>0</v>
      </c>
      <c r="S30" s="41">
        <f>SUMIFS('Отчет 01-04.01'!P:P,'Отчет 01-04.01'!C:C,"Продажи",'Отчет 01-04.01'!E:E,B30)</f>
        <v>0</v>
      </c>
      <c r="T30" s="42">
        <f>SUMIFS('Отчет 01-04.01'!P:P,'Отчет 01-04.01'!C:C,"Возвраты",'Отчет 01-04.01'!E:E,B30)</f>
        <v>0</v>
      </c>
      <c r="U30" s="40">
        <f t="shared" si="22"/>
        <v>0</v>
      </c>
      <c r="V30" s="43">
        <f t="shared" si="23"/>
        <v>0</v>
      </c>
      <c r="W30" s="44">
        <f t="shared" si="24"/>
        <v>0</v>
      </c>
      <c r="X30" s="42">
        <f>-SUMIFS('Отчет 01-04.01'!P:P,'Отчет 01-04.01'!C:C,"Вознаграждение Ozon",'Отчет 01-04.01'!E:E,B30)</f>
        <v>0</v>
      </c>
      <c r="Y30" s="45">
        <f t="shared" si="25"/>
        <v>0</v>
      </c>
      <c r="Z30" s="42">
        <f>-SUMIFS('Отчет 01-04.01'!P:P,'Отчет 01-04.01'!C:C,"Услуги доставки",'Отчет 01-04.01'!E:E,B30)</f>
        <v>0</v>
      </c>
      <c r="AA30" s="32">
        <v>0</v>
      </c>
      <c r="AB30" s="55"/>
      <c r="AC30" s="42"/>
      <c r="AD30" s="46">
        <f t="shared" si="26"/>
        <v>0</v>
      </c>
      <c r="AE30" s="47">
        <f t="shared" si="27"/>
        <v>0</v>
      </c>
      <c r="AF30" s="46"/>
      <c r="AG30" s="48">
        <f t="shared" si="28"/>
        <v>0</v>
      </c>
      <c r="AH30" s="49">
        <f t="shared" si="29"/>
        <v>627</v>
      </c>
      <c r="AI30" s="49">
        <f t="shared" si="30"/>
        <v>0</v>
      </c>
      <c r="AJ30" s="49">
        <f t="shared" si="31"/>
        <v>0</v>
      </c>
      <c r="AK30" s="49">
        <f t="shared" si="32"/>
        <v>0</v>
      </c>
      <c r="AL30" s="49">
        <f t="array" ref="AL30">_xlfn.IFS(R30=0,AE30,R30&lt;0,AE30/-R30,R30&gt;0,AE30/R30)</f>
        <v>0</v>
      </c>
      <c r="AM30" s="50">
        <f t="shared" si="33"/>
        <v>0</v>
      </c>
      <c r="AN30" s="51">
        <f t="shared" si="34"/>
        <v>0</v>
      </c>
      <c r="AP30" s="53">
        <f t="shared" si="35"/>
        <v>0</v>
      </c>
    </row>
    <row r="31" spans="1:52">
      <c r="A31" s="30">
        <v>2774720465</v>
      </c>
      <c r="B31" s="31" t="s">
        <v>64</v>
      </c>
      <c r="C31" s="32"/>
      <c r="D31" s="33"/>
      <c r="E31" s="33"/>
      <c r="F31" s="33"/>
      <c r="G31" s="34"/>
      <c r="H31" s="84">
        <v>567</v>
      </c>
      <c r="I31" s="54">
        <f t="shared" si="20"/>
        <v>0</v>
      </c>
      <c r="J31" s="36"/>
      <c r="K31" s="32">
        <v>0</v>
      </c>
      <c r="L31" s="36"/>
      <c r="M31" s="36"/>
      <c r="N31" s="37">
        <f t="shared" si="36"/>
        <v>0</v>
      </c>
      <c r="O31" s="38">
        <f t="shared" si="37"/>
        <v>0</v>
      </c>
      <c r="P31" s="39">
        <f>SUMIFS('Отчет 01-04.01'!H:H,'Отчет 01-04.01'!D:D,"Выручка",'Отчет 01-04.01'!E:E,B31)</f>
        <v>0</v>
      </c>
      <c r="Q31" s="39">
        <f>SUMIFS('Отчет 01-04.01'!H:H,'Отчет 01-04.01'!D:D,"Возврат выручки",'Отчет 01-04.01'!E:E,B31)</f>
        <v>0</v>
      </c>
      <c r="R31" s="40">
        <f t="shared" si="21"/>
        <v>0</v>
      </c>
      <c r="S31" s="41">
        <f>SUMIFS('Отчет 01-04.01'!P:P,'Отчет 01-04.01'!C:C,"Продажи",'Отчет 01-04.01'!E:E,B31)</f>
        <v>0</v>
      </c>
      <c r="T31" s="42">
        <f>SUMIFS('Отчет 01-04.01'!P:P,'Отчет 01-04.01'!C:C,"Возвраты",'Отчет 01-04.01'!E:E,B31)</f>
        <v>0</v>
      </c>
      <c r="U31" s="40">
        <f t="shared" si="22"/>
        <v>0</v>
      </c>
      <c r="V31" s="43">
        <f t="shared" si="23"/>
        <v>0</v>
      </c>
      <c r="W31" s="44">
        <f t="shared" si="24"/>
        <v>0</v>
      </c>
      <c r="X31" s="42">
        <f>-SUMIFS('Отчет 01-04.01'!P:P,'Отчет 01-04.01'!C:C,"Вознаграждение Ozon",'Отчет 01-04.01'!E:E,B31)</f>
        <v>0</v>
      </c>
      <c r="Y31" s="45">
        <f t="shared" si="25"/>
        <v>0</v>
      </c>
      <c r="Z31" s="42">
        <f>-SUMIFS('Отчет 01-04.01'!P:P,'Отчет 01-04.01'!C:C,"Услуги доставки",'Отчет 01-04.01'!E:E,B31)</f>
        <v>0</v>
      </c>
      <c r="AA31" s="32">
        <v>0</v>
      </c>
      <c r="AB31" s="55"/>
      <c r="AC31" s="42"/>
      <c r="AD31" s="46">
        <f t="shared" si="26"/>
        <v>0</v>
      </c>
      <c r="AE31" s="47">
        <f t="shared" si="27"/>
        <v>0</v>
      </c>
      <c r="AF31" s="46"/>
      <c r="AG31" s="48">
        <f t="shared" si="28"/>
        <v>0</v>
      </c>
      <c r="AH31" s="49">
        <f t="shared" si="29"/>
        <v>567</v>
      </c>
      <c r="AI31" s="49">
        <f t="shared" si="30"/>
        <v>0</v>
      </c>
      <c r="AJ31" s="49">
        <f t="shared" si="31"/>
        <v>0</v>
      </c>
      <c r="AK31" s="49">
        <f t="shared" si="32"/>
        <v>0</v>
      </c>
      <c r="AL31" s="49">
        <f t="array" ref="AL31">_xlfn.IFS(R31=0,AE31,R31&lt;0,AE31/-R31,R31&gt;0,AE31/R31)</f>
        <v>0</v>
      </c>
      <c r="AM31" s="50">
        <f t="shared" si="33"/>
        <v>0</v>
      </c>
      <c r="AN31" s="51">
        <f t="shared" si="34"/>
        <v>0</v>
      </c>
      <c r="AP31" s="53">
        <f t="shared" si="35"/>
        <v>0</v>
      </c>
    </row>
    <row r="32" spans="1:52">
      <c r="A32" s="30">
        <v>2774718470</v>
      </c>
      <c r="B32" s="31" t="s">
        <v>65</v>
      </c>
      <c r="C32" s="32"/>
      <c r="D32" s="33"/>
      <c r="E32" s="33"/>
      <c r="F32" s="33"/>
      <c r="G32" s="34"/>
      <c r="H32" s="84">
        <v>567</v>
      </c>
      <c r="I32" s="54">
        <f t="shared" si="20"/>
        <v>0</v>
      </c>
      <c r="J32" s="36"/>
      <c r="K32" s="32">
        <v>0</v>
      </c>
      <c r="L32" s="36"/>
      <c r="M32" s="36"/>
      <c r="N32" s="37">
        <f t="shared" si="36"/>
        <v>0</v>
      </c>
      <c r="O32" s="38">
        <f t="shared" si="37"/>
        <v>0</v>
      </c>
      <c r="P32" s="39">
        <f>SUMIFS('Отчет 01-04.01'!H:H,'Отчет 01-04.01'!D:D,"Выручка",'Отчет 01-04.01'!E:E,B32)</f>
        <v>0</v>
      </c>
      <c r="Q32" s="39">
        <f>SUMIFS('Отчет 01-04.01'!H:H,'Отчет 01-04.01'!D:D,"Возврат выручки",'Отчет 01-04.01'!E:E,B32)</f>
        <v>0</v>
      </c>
      <c r="R32" s="40">
        <f t="shared" si="21"/>
        <v>0</v>
      </c>
      <c r="S32" s="41">
        <f>SUMIFS('Отчет 01-04.01'!P:P,'Отчет 01-04.01'!C:C,"Продажи",'Отчет 01-04.01'!E:E,B32)</f>
        <v>0</v>
      </c>
      <c r="T32" s="42">
        <f>SUMIFS('Отчет 01-04.01'!P:P,'Отчет 01-04.01'!C:C,"Возвраты",'Отчет 01-04.01'!E:E,B32)</f>
        <v>0</v>
      </c>
      <c r="U32" s="40">
        <f t="shared" si="22"/>
        <v>0</v>
      </c>
      <c r="V32" s="43">
        <f t="shared" si="23"/>
        <v>0</v>
      </c>
      <c r="W32" s="44">
        <f t="shared" si="24"/>
        <v>0</v>
      </c>
      <c r="X32" s="42">
        <f>-SUMIFS('Отчет 01-04.01'!P:P,'Отчет 01-04.01'!C:C,"Вознаграждение Ozon",'Отчет 01-04.01'!E:E,B32)</f>
        <v>0</v>
      </c>
      <c r="Y32" s="45">
        <f t="shared" si="25"/>
        <v>0</v>
      </c>
      <c r="Z32" s="42">
        <f>-SUMIFS('Отчет 01-04.01'!P:P,'Отчет 01-04.01'!C:C,"Услуги доставки",'Отчет 01-04.01'!E:E,B32)</f>
        <v>0</v>
      </c>
      <c r="AA32" s="32">
        <v>0</v>
      </c>
      <c r="AB32" s="55"/>
      <c r="AC32" s="42"/>
      <c r="AD32" s="46">
        <f t="shared" si="26"/>
        <v>0</v>
      </c>
      <c r="AE32" s="47">
        <f t="shared" si="27"/>
        <v>0</v>
      </c>
      <c r="AF32" s="46"/>
      <c r="AG32" s="48">
        <f t="shared" si="28"/>
        <v>0</v>
      </c>
      <c r="AH32" s="49">
        <f t="shared" si="29"/>
        <v>567</v>
      </c>
      <c r="AI32" s="49">
        <f t="shared" si="30"/>
        <v>0</v>
      </c>
      <c r="AJ32" s="49">
        <f t="shared" si="31"/>
        <v>0</v>
      </c>
      <c r="AK32" s="49">
        <f t="shared" si="32"/>
        <v>0</v>
      </c>
      <c r="AL32" s="49">
        <f t="array" ref="AL32">_xlfn.IFS(R32=0,AE32,R32&lt;0,AE32/-R32,R32&gt;0,AE32/R32)</f>
        <v>0</v>
      </c>
      <c r="AM32" s="50">
        <f t="shared" si="33"/>
        <v>0</v>
      </c>
      <c r="AN32" s="51">
        <f t="shared" si="34"/>
        <v>0</v>
      </c>
      <c r="AP32" s="53">
        <f t="shared" si="35"/>
        <v>0</v>
      </c>
    </row>
    <row r="33" spans="1:42">
      <c r="A33" s="30">
        <v>2774719022</v>
      </c>
      <c r="B33" s="31" t="s">
        <v>66</v>
      </c>
      <c r="C33" s="32"/>
      <c r="D33" s="33"/>
      <c r="E33" s="33"/>
      <c r="F33" s="33"/>
      <c r="G33" s="34"/>
      <c r="H33" s="84">
        <v>657</v>
      </c>
      <c r="I33" s="54">
        <f t="shared" si="20"/>
        <v>0</v>
      </c>
      <c r="J33" s="36"/>
      <c r="K33" s="32">
        <v>0</v>
      </c>
      <c r="L33" s="36"/>
      <c r="M33" s="36"/>
      <c r="N33" s="37">
        <f t="shared" si="36"/>
        <v>0</v>
      </c>
      <c r="O33" s="38">
        <f t="shared" si="37"/>
        <v>0</v>
      </c>
      <c r="P33" s="39">
        <f>SUMIFS('Отчет 01-04.01'!H:H,'Отчет 01-04.01'!D:D,"Выручка",'Отчет 01-04.01'!E:E,B33)</f>
        <v>0</v>
      </c>
      <c r="Q33" s="39">
        <f>SUMIFS('Отчет 01-04.01'!H:H,'Отчет 01-04.01'!D:D,"Возврат выручки",'Отчет 01-04.01'!E:E,B33)</f>
        <v>0</v>
      </c>
      <c r="R33" s="40">
        <f t="shared" si="21"/>
        <v>0</v>
      </c>
      <c r="S33" s="41">
        <f>SUMIFS('Отчет 01-04.01'!P:P,'Отчет 01-04.01'!C:C,"Продажи",'Отчет 01-04.01'!E:E,B33)</f>
        <v>0</v>
      </c>
      <c r="T33" s="42">
        <f>SUMIFS('Отчет 01-04.01'!P:P,'Отчет 01-04.01'!C:C,"Возвраты",'Отчет 01-04.01'!E:E,B33)</f>
        <v>0</v>
      </c>
      <c r="U33" s="40">
        <f t="shared" si="22"/>
        <v>0</v>
      </c>
      <c r="V33" s="43">
        <f t="shared" si="23"/>
        <v>0</v>
      </c>
      <c r="W33" s="44">
        <f t="shared" si="24"/>
        <v>0</v>
      </c>
      <c r="X33" s="42">
        <f>-SUMIFS('Отчет 01-04.01'!P:P,'Отчет 01-04.01'!C:C,"Вознаграждение Ozon",'Отчет 01-04.01'!E:E,B33)</f>
        <v>0</v>
      </c>
      <c r="Y33" s="45">
        <f t="shared" si="25"/>
        <v>0</v>
      </c>
      <c r="Z33" s="42">
        <f>-SUMIFS('Отчет 01-04.01'!P:P,'Отчет 01-04.01'!C:C,"Услуги доставки",'Отчет 01-04.01'!E:E,B33)</f>
        <v>0</v>
      </c>
      <c r="AA33" s="32">
        <v>0</v>
      </c>
      <c r="AB33" s="55"/>
      <c r="AC33" s="42"/>
      <c r="AD33" s="46">
        <f t="shared" si="26"/>
        <v>0</v>
      </c>
      <c r="AE33" s="47">
        <f t="shared" si="27"/>
        <v>0</v>
      </c>
      <c r="AF33" s="46"/>
      <c r="AG33" s="48">
        <f t="shared" si="28"/>
        <v>0</v>
      </c>
      <c r="AH33" s="49">
        <f t="shared" si="29"/>
        <v>657</v>
      </c>
      <c r="AI33" s="49">
        <f t="shared" si="30"/>
        <v>0</v>
      </c>
      <c r="AJ33" s="49">
        <f t="shared" si="31"/>
        <v>0</v>
      </c>
      <c r="AK33" s="49">
        <f t="shared" si="32"/>
        <v>0</v>
      </c>
      <c r="AL33" s="49">
        <f t="array" ref="AL33">_xlfn.IFS(R33=0,AE33,R33&lt;0,AE33/-R33,R33&gt;0,AE33/R33)</f>
        <v>0</v>
      </c>
      <c r="AM33" s="50">
        <f t="shared" si="33"/>
        <v>0</v>
      </c>
      <c r="AN33" s="51">
        <f t="shared" si="34"/>
        <v>0</v>
      </c>
      <c r="AP33" s="53">
        <f t="shared" si="35"/>
        <v>0</v>
      </c>
    </row>
    <row r="34" spans="1:42">
      <c r="A34" s="30">
        <v>2774719501</v>
      </c>
      <c r="B34" s="31" t="s">
        <v>67</v>
      </c>
      <c r="C34" s="32"/>
      <c r="D34" s="33"/>
      <c r="E34" s="33"/>
      <c r="F34" s="33"/>
      <c r="G34" s="34"/>
      <c r="H34" s="84">
        <v>597</v>
      </c>
      <c r="I34" s="54">
        <f t="shared" si="20"/>
        <v>0</v>
      </c>
      <c r="J34" s="36"/>
      <c r="K34" s="32">
        <v>0</v>
      </c>
      <c r="L34" s="36"/>
      <c r="M34" s="36"/>
      <c r="N34" s="37">
        <f t="shared" si="36"/>
        <v>0</v>
      </c>
      <c r="O34" s="38">
        <f t="shared" si="37"/>
        <v>0.25</v>
      </c>
      <c r="P34" s="39">
        <f>SUMIFS('Отчет 01-04.01'!H:H,'Отчет 01-04.01'!D:D,"Выручка",'Отчет 01-04.01'!E:E,B34)</f>
        <v>1</v>
      </c>
      <c r="Q34" s="39">
        <f>SUMIFS('Отчет 01-04.01'!H:H,'Отчет 01-04.01'!D:D,"Возврат выручки",'Отчет 01-04.01'!E:E,B34)</f>
        <v>0</v>
      </c>
      <c r="R34" s="40">
        <f t="shared" si="21"/>
        <v>1</v>
      </c>
      <c r="S34" s="41">
        <f>SUMIFS('Отчет 01-04.01'!P:P,'Отчет 01-04.01'!C:C,"Продажи",'Отчет 01-04.01'!E:E,B34)</f>
        <v>4247</v>
      </c>
      <c r="T34" s="42">
        <f>SUMIFS('Отчет 01-04.01'!P:P,'Отчет 01-04.01'!C:C,"Возвраты",'Отчет 01-04.01'!E:E,B34)</f>
        <v>0</v>
      </c>
      <c r="U34" s="40">
        <f t="shared" si="22"/>
        <v>4247</v>
      </c>
      <c r="V34" s="43">
        <f t="shared" si="23"/>
        <v>1</v>
      </c>
      <c r="W34" s="44">
        <f t="shared" si="24"/>
        <v>597</v>
      </c>
      <c r="X34" s="42">
        <f>-SUMIFS('Отчет 01-04.01'!P:P,'Отчет 01-04.01'!C:C,"Вознаграждение Ozon",'Отчет 01-04.01'!E:E,B34)</f>
        <v>1826.21</v>
      </c>
      <c r="Y34" s="45">
        <f t="shared" si="25"/>
        <v>0.43</v>
      </c>
      <c r="Z34" s="42">
        <f>-SUMIFS('Отчет 01-04.01'!P:P,'Отчет 01-04.01'!C:C,"Услуги доставки",'Отчет 01-04.01'!E:E,B34)</f>
        <v>186.2</v>
      </c>
      <c r="AA34" s="32">
        <v>0</v>
      </c>
      <c r="AB34" s="55"/>
      <c r="AC34" s="42"/>
      <c r="AD34" s="46">
        <f t="shared" si="26"/>
        <v>42.47</v>
      </c>
      <c r="AE34" s="47">
        <f t="shared" si="27"/>
        <v>1595.12</v>
      </c>
      <c r="AF34" s="46"/>
      <c r="AG34" s="48">
        <f t="shared" si="28"/>
        <v>4247</v>
      </c>
      <c r="AH34" s="49">
        <f t="shared" si="29"/>
        <v>597</v>
      </c>
      <c r="AI34" s="49">
        <f t="shared" si="30"/>
        <v>1826.21</v>
      </c>
      <c r="AJ34" s="49">
        <f t="shared" si="31"/>
        <v>186.2</v>
      </c>
      <c r="AK34" s="49">
        <f t="shared" si="32"/>
        <v>0</v>
      </c>
      <c r="AL34" s="49">
        <f t="array" ref="AL34">_xlfn.IFS(R34=0,AE34,R34&lt;0,AE34/-R34,R34&gt;0,AE34/R34)</f>
        <v>1595.12</v>
      </c>
      <c r="AM34" s="50">
        <f t="shared" si="33"/>
        <v>0.37558747351071342</v>
      </c>
      <c r="AN34" s="51">
        <f t="shared" si="34"/>
        <v>2.6718927973199329</v>
      </c>
      <c r="AP34" s="53">
        <f t="shared" si="35"/>
        <v>0</v>
      </c>
    </row>
    <row r="35" spans="1:42">
      <c r="A35" s="30">
        <v>2774714412</v>
      </c>
      <c r="B35" s="31" t="s">
        <v>68</v>
      </c>
      <c r="C35" s="32"/>
      <c r="D35" s="33"/>
      <c r="E35" s="33"/>
      <c r="F35" s="33"/>
      <c r="G35" s="34"/>
      <c r="H35" s="84">
        <v>552</v>
      </c>
      <c r="I35" s="54">
        <f t="shared" si="20"/>
        <v>0</v>
      </c>
      <c r="J35" s="36"/>
      <c r="K35" s="32">
        <v>0</v>
      </c>
      <c r="L35" s="36"/>
      <c r="M35" s="36"/>
      <c r="N35" s="37">
        <f t="shared" si="36"/>
        <v>0</v>
      </c>
      <c r="O35" s="38">
        <f t="shared" si="37"/>
        <v>0</v>
      </c>
      <c r="P35" s="39">
        <f>SUMIFS('Отчет 01-04.01'!H:H,'Отчет 01-04.01'!D:D,"Выручка",'Отчет 01-04.01'!E:E,B35)</f>
        <v>0</v>
      </c>
      <c r="Q35" s="39">
        <f>SUMIFS('Отчет 01-04.01'!H:H,'Отчет 01-04.01'!D:D,"Возврат выручки",'Отчет 01-04.01'!E:E,B35)</f>
        <v>0</v>
      </c>
      <c r="R35" s="40">
        <f t="shared" si="21"/>
        <v>0</v>
      </c>
      <c r="S35" s="41">
        <f>SUMIFS('Отчет 01-04.01'!P:P,'Отчет 01-04.01'!C:C,"Продажи",'Отчет 01-04.01'!E:E,B35)</f>
        <v>0</v>
      </c>
      <c r="T35" s="42">
        <f>SUMIFS('Отчет 01-04.01'!P:P,'Отчет 01-04.01'!C:C,"Возвраты",'Отчет 01-04.01'!E:E,B35)</f>
        <v>0</v>
      </c>
      <c r="U35" s="40">
        <f t="shared" si="22"/>
        <v>0</v>
      </c>
      <c r="V35" s="43">
        <f t="shared" si="23"/>
        <v>0</v>
      </c>
      <c r="W35" s="44">
        <f t="shared" si="24"/>
        <v>0</v>
      </c>
      <c r="X35" s="42">
        <f>-SUMIFS('Отчет 01-04.01'!P:P,'Отчет 01-04.01'!C:C,"Вознаграждение Ozon",'Отчет 01-04.01'!E:E,B35)</f>
        <v>0</v>
      </c>
      <c r="Y35" s="45">
        <f t="shared" si="25"/>
        <v>0</v>
      </c>
      <c r="Z35" s="42">
        <f>-SUMIFS('Отчет 01-04.01'!P:P,'Отчет 01-04.01'!C:C,"Услуги доставки",'Отчет 01-04.01'!E:E,B35)</f>
        <v>0</v>
      </c>
      <c r="AA35" s="32">
        <v>0</v>
      </c>
      <c r="AB35" s="55"/>
      <c r="AC35" s="42"/>
      <c r="AD35" s="46">
        <f t="shared" si="26"/>
        <v>0</v>
      </c>
      <c r="AE35" s="47">
        <f t="shared" si="27"/>
        <v>0</v>
      </c>
      <c r="AF35" s="46"/>
      <c r="AG35" s="48">
        <f t="shared" si="28"/>
        <v>0</v>
      </c>
      <c r="AH35" s="49">
        <f t="shared" si="29"/>
        <v>552</v>
      </c>
      <c r="AI35" s="49">
        <f t="shared" si="30"/>
        <v>0</v>
      </c>
      <c r="AJ35" s="49">
        <f t="shared" si="31"/>
        <v>0</v>
      </c>
      <c r="AK35" s="49">
        <f t="shared" si="32"/>
        <v>0</v>
      </c>
      <c r="AL35" s="49">
        <f t="array" ref="AL35">_xlfn.IFS(R35=0,AE35,R35&lt;0,AE35/-R35,R35&gt;0,AE35/R35)</f>
        <v>0</v>
      </c>
      <c r="AM35" s="50">
        <f t="shared" si="33"/>
        <v>0</v>
      </c>
      <c r="AN35" s="51">
        <f t="shared" si="34"/>
        <v>0</v>
      </c>
      <c r="AP35" s="53">
        <f t="shared" si="35"/>
        <v>0</v>
      </c>
    </row>
    <row r="36" spans="1:42">
      <c r="A36" s="30">
        <v>2774710430</v>
      </c>
      <c r="B36" s="31" t="s">
        <v>69</v>
      </c>
      <c r="C36" s="32"/>
      <c r="D36" s="33"/>
      <c r="E36" s="33"/>
      <c r="F36" s="33"/>
      <c r="G36" s="34"/>
      <c r="H36" s="84">
        <v>552</v>
      </c>
      <c r="I36" s="54">
        <f t="shared" si="20"/>
        <v>0</v>
      </c>
      <c r="J36" s="36"/>
      <c r="K36" s="32">
        <v>1</v>
      </c>
      <c r="L36" s="36"/>
      <c r="M36" s="36"/>
      <c r="N36" s="37">
        <f t="shared" si="36"/>
        <v>0.25</v>
      </c>
      <c r="O36" s="38">
        <f t="shared" si="37"/>
        <v>0</v>
      </c>
      <c r="P36" s="39">
        <f>SUMIFS('Отчет 01-04.01'!H:H,'Отчет 01-04.01'!D:D,"Выручка",'Отчет 01-04.01'!E:E,B36)</f>
        <v>0</v>
      </c>
      <c r="Q36" s="39">
        <f>SUMIFS('Отчет 01-04.01'!H:H,'Отчет 01-04.01'!D:D,"Возврат выручки",'Отчет 01-04.01'!E:E,B36)</f>
        <v>0</v>
      </c>
      <c r="R36" s="40">
        <f t="shared" si="21"/>
        <v>0</v>
      </c>
      <c r="S36" s="41">
        <f>SUMIFS('Отчет 01-04.01'!P:P,'Отчет 01-04.01'!C:C,"Продажи",'Отчет 01-04.01'!E:E,B36)</f>
        <v>0</v>
      </c>
      <c r="T36" s="42">
        <f>SUMIFS('Отчет 01-04.01'!P:P,'Отчет 01-04.01'!C:C,"Возвраты",'Отчет 01-04.01'!E:E,B36)</f>
        <v>0</v>
      </c>
      <c r="U36" s="40">
        <f t="shared" si="22"/>
        <v>0</v>
      </c>
      <c r="V36" s="43">
        <f t="shared" si="23"/>
        <v>0</v>
      </c>
      <c r="W36" s="44">
        <f t="shared" si="24"/>
        <v>0</v>
      </c>
      <c r="X36" s="42">
        <f>-SUMIFS('Отчет 01-04.01'!P:P,'Отчет 01-04.01'!C:C,"Вознаграждение Ozon",'Отчет 01-04.01'!E:E,B36)</f>
        <v>0</v>
      </c>
      <c r="Y36" s="45">
        <f t="shared" si="25"/>
        <v>0</v>
      </c>
      <c r="Z36" s="42">
        <f>-SUMIFS('Отчет 01-04.01'!P:P,'Отчет 01-04.01'!C:C,"Услуги доставки",'Отчет 01-04.01'!E:E,B36)</f>
        <v>0</v>
      </c>
      <c r="AA36" s="32">
        <v>0</v>
      </c>
      <c r="AB36" s="55"/>
      <c r="AC36" s="42"/>
      <c r="AD36" s="46">
        <f t="shared" si="26"/>
        <v>0</v>
      </c>
      <c r="AE36" s="47">
        <f t="shared" si="27"/>
        <v>0</v>
      </c>
      <c r="AF36" s="46"/>
      <c r="AG36" s="48">
        <f t="shared" si="28"/>
        <v>0</v>
      </c>
      <c r="AH36" s="49">
        <f t="shared" si="29"/>
        <v>552</v>
      </c>
      <c r="AI36" s="49">
        <f t="shared" si="30"/>
        <v>0</v>
      </c>
      <c r="AJ36" s="49">
        <f t="shared" si="31"/>
        <v>0</v>
      </c>
      <c r="AK36" s="49">
        <f t="shared" si="32"/>
        <v>0</v>
      </c>
      <c r="AL36" s="49">
        <f t="array" ref="AL36">_xlfn.IFS(R36=0,AE36,R36&lt;0,AE36/-R36,R36&gt;0,AE36/R36)</f>
        <v>0</v>
      </c>
      <c r="AM36" s="50">
        <f t="shared" si="33"/>
        <v>0</v>
      </c>
      <c r="AN36" s="51">
        <f t="shared" si="34"/>
        <v>0</v>
      </c>
      <c r="AP36" s="53">
        <f t="shared" si="35"/>
        <v>0</v>
      </c>
    </row>
    <row r="37" spans="1:42">
      <c r="A37" s="30">
        <v>2774712116</v>
      </c>
      <c r="B37" s="31" t="s">
        <v>70</v>
      </c>
      <c r="C37" s="32"/>
      <c r="D37" s="33"/>
      <c r="E37" s="33"/>
      <c r="F37" s="33"/>
      <c r="G37" s="34"/>
      <c r="H37" s="84">
        <v>687</v>
      </c>
      <c r="I37" s="54">
        <f t="shared" si="20"/>
        <v>0</v>
      </c>
      <c r="J37" s="36"/>
      <c r="K37" s="32">
        <v>0</v>
      </c>
      <c r="L37" s="36"/>
      <c r="M37" s="36"/>
      <c r="N37" s="37">
        <f t="shared" si="36"/>
        <v>0</v>
      </c>
      <c r="O37" s="38">
        <f t="shared" si="37"/>
        <v>0</v>
      </c>
      <c r="P37" s="39">
        <f>SUMIFS('Отчет 01-04.01'!H:H,'Отчет 01-04.01'!D:D,"Выручка",'Отчет 01-04.01'!E:E,B37)</f>
        <v>0</v>
      </c>
      <c r="Q37" s="39">
        <f>SUMIFS('Отчет 01-04.01'!H:H,'Отчет 01-04.01'!D:D,"Возврат выручки",'Отчет 01-04.01'!E:E,B37)</f>
        <v>0</v>
      </c>
      <c r="R37" s="40">
        <f t="shared" si="21"/>
        <v>0</v>
      </c>
      <c r="S37" s="41">
        <f>SUMIFS('Отчет 01-04.01'!P:P,'Отчет 01-04.01'!C:C,"Продажи",'Отчет 01-04.01'!E:E,B37)</f>
        <v>0</v>
      </c>
      <c r="T37" s="42">
        <f>SUMIFS('Отчет 01-04.01'!P:P,'Отчет 01-04.01'!C:C,"Возвраты",'Отчет 01-04.01'!E:E,B37)</f>
        <v>0</v>
      </c>
      <c r="U37" s="40">
        <f t="shared" si="22"/>
        <v>0</v>
      </c>
      <c r="V37" s="43">
        <f t="shared" si="23"/>
        <v>0</v>
      </c>
      <c r="W37" s="44">
        <f t="shared" si="24"/>
        <v>0</v>
      </c>
      <c r="X37" s="42">
        <f>-SUMIFS('Отчет 01-04.01'!P:P,'Отчет 01-04.01'!C:C,"Вознаграждение Ozon",'Отчет 01-04.01'!E:E,B37)</f>
        <v>0</v>
      </c>
      <c r="Y37" s="45">
        <f t="shared" si="25"/>
        <v>0</v>
      </c>
      <c r="Z37" s="42">
        <f>-SUMIFS('Отчет 01-04.01'!P:P,'Отчет 01-04.01'!C:C,"Услуги доставки",'Отчет 01-04.01'!E:E,B37)</f>
        <v>0</v>
      </c>
      <c r="AA37" s="32">
        <v>0</v>
      </c>
      <c r="AB37" s="55"/>
      <c r="AC37" s="42"/>
      <c r="AD37" s="46">
        <f t="shared" si="26"/>
        <v>0</v>
      </c>
      <c r="AE37" s="47">
        <f t="shared" si="27"/>
        <v>0</v>
      </c>
      <c r="AF37" s="46"/>
      <c r="AG37" s="48">
        <f t="shared" si="28"/>
        <v>0</v>
      </c>
      <c r="AH37" s="49">
        <f t="shared" si="29"/>
        <v>687</v>
      </c>
      <c r="AI37" s="49">
        <f t="shared" si="30"/>
        <v>0</v>
      </c>
      <c r="AJ37" s="49">
        <f t="shared" si="31"/>
        <v>0</v>
      </c>
      <c r="AK37" s="49">
        <f t="shared" si="32"/>
        <v>0</v>
      </c>
      <c r="AL37" s="49">
        <f t="array" ref="AL37">_xlfn.IFS(R37=0,AE37,R37&lt;0,AE37/-R37,R37&gt;0,AE37/R37)</f>
        <v>0</v>
      </c>
      <c r="AM37" s="50">
        <f t="shared" si="33"/>
        <v>0</v>
      </c>
      <c r="AN37" s="51">
        <f t="shared" si="34"/>
        <v>0</v>
      </c>
      <c r="AP37" s="53">
        <f t="shared" si="35"/>
        <v>0</v>
      </c>
    </row>
    <row r="38" spans="1:42">
      <c r="A38" s="30">
        <v>2774719012</v>
      </c>
      <c r="B38" s="31" t="s">
        <v>71</v>
      </c>
      <c r="C38" s="32"/>
      <c r="D38" s="33"/>
      <c r="E38" s="33"/>
      <c r="F38" s="33"/>
      <c r="G38" s="34"/>
      <c r="H38" s="84">
        <v>687</v>
      </c>
      <c r="I38" s="54">
        <f t="shared" si="20"/>
        <v>0</v>
      </c>
      <c r="J38" s="36"/>
      <c r="K38" s="32">
        <v>0</v>
      </c>
      <c r="L38" s="36"/>
      <c r="M38" s="36"/>
      <c r="N38" s="37">
        <f t="shared" si="36"/>
        <v>0</v>
      </c>
      <c r="O38" s="38">
        <f t="shared" si="37"/>
        <v>0</v>
      </c>
      <c r="P38" s="39">
        <f>SUMIFS('Отчет 01-04.01'!H:H,'Отчет 01-04.01'!D:D,"Выручка",'Отчет 01-04.01'!E:E,B38)</f>
        <v>0</v>
      </c>
      <c r="Q38" s="39">
        <f>SUMIFS('Отчет 01-04.01'!H:H,'Отчет 01-04.01'!D:D,"Возврат выручки",'Отчет 01-04.01'!E:E,B38)</f>
        <v>0</v>
      </c>
      <c r="R38" s="40">
        <f t="shared" si="21"/>
        <v>0</v>
      </c>
      <c r="S38" s="41">
        <f>SUMIFS('Отчет 01-04.01'!P:P,'Отчет 01-04.01'!C:C,"Продажи",'Отчет 01-04.01'!E:E,B38)</f>
        <v>0</v>
      </c>
      <c r="T38" s="42">
        <f>SUMIFS('Отчет 01-04.01'!P:P,'Отчет 01-04.01'!C:C,"Возвраты",'Отчет 01-04.01'!E:E,B38)</f>
        <v>0</v>
      </c>
      <c r="U38" s="40">
        <f t="shared" si="22"/>
        <v>0</v>
      </c>
      <c r="V38" s="43">
        <f t="shared" si="23"/>
        <v>0</v>
      </c>
      <c r="W38" s="44">
        <f t="shared" si="24"/>
        <v>0</v>
      </c>
      <c r="X38" s="42">
        <f>-SUMIFS('Отчет 01-04.01'!P:P,'Отчет 01-04.01'!C:C,"Вознаграждение Ozon",'Отчет 01-04.01'!E:E,B38)</f>
        <v>0</v>
      </c>
      <c r="Y38" s="45">
        <f t="shared" si="25"/>
        <v>0</v>
      </c>
      <c r="Z38" s="42">
        <f>-SUMIFS('Отчет 01-04.01'!P:P,'Отчет 01-04.01'!C:C,"Услуги доставки",'Отчет 01-04.01'!E:E,B38)</f>
        <v>0</v>
      </c>
      <c r="AA38" s="32">
        <v>0</v>
      </c>
      <c r="AB38" s="55"/>
      <c r="AC38" s="42"/>
      <c r="AD38" s="46">
        <f t="shared" si="26"/>
        <v>0</v>
      </c>
      <c r="AE38" s="47">
        <f t="shared" si="27"/>
        <v>0</v>
      </c>
      <c r="AF38" s="46"/>
      <c r="AG38" s="48">
        <f t="shared" si="28"/>
        <v>0</v>
      </c>
      <c r="AH38" s="49">
        <f t="shared" si="29"/>
        <v>687</v>
      </c>
      <c r="AI38" s="49">
        <f t="shared" si="30"/>
        <v>0</v>
      </c>
      <c r="AJ38" s="49">
        <f t="shared" si="31"/>
        <v>0</v>
      </c>
      <c r="AK38" s="49">
        <f t="shared" si="32"/>
        <v>0</v>
      </c>
      <c r="AL38" s="49">
        <f t="array" ref="AL38">_xlfn.IFS(R38=0,AE38,R38&lt;0,AE38/-R38,R38&gt;0,AE38/R38)</f>
        <v>0</v>
      </c>
      <c r="AM38" s="50">
        <f t="shared" si="33"/>
        <v>0</v>
      </c>
      <c r="AN38" s="51">
        <f t="shared" si="34"/>
        <v>0</v>
      </c>
      <c r="AP38" s="53">
        <f t="shared" si="35"/>
        <v>0</v>
      </c>
    </row>
    <row r="39" spans="1:42">
      <c r="A39" s="30">
        <v>2774719433</v>
      </c>
      <c r="B39" s="31" t="s">
        <v>72</v>
      </c>
      <c r="C39" s="32"/>
      <c r="D39" s="33"/>
      <c r="E39" s="33"/>
      <c r="F39" s="33"/>
      <c r="G39" s="34"/>
      <c r="H39" s="84">
        <v>597</v>
      </c>
      <c r="I39" s="54">
        <f t="shared" si="20"/>
        <v>0</v>
      </c>
      <c r="J39" s="36"/>
      <c r="K39" s="32">
        <v>0</v>
      </c>
      <c r="L39" s="36"/>
      <c r="M39" s="36"/>
      <c r="N39" s="37">
        <f t="shared" si="36"/>
        <v>0</v>
      </c>
      <c r="O39" s="38">
        <f t="shared" si="37"/>
        <v>0</v>
      </c>
      <c r="P39" s="39">
        <f>SUMIFS('Отчет 01-04.01'!H:H,'Отчет 01-04.01'!D:D,"Выручка",'Отчет 01-04.01'!E:E,B39)</f>
        <v>0</v>
      </c>
      <c r="Q39" s="39">
        <f>SUMIFS('Отчет 01-04.01'!H:H,'Отчет 01-04.01'!D:D,"Возврат выручки",'Отчет 01-04.01'!E:E,B39)</f>
        <v>0</v>
      </c>
      <c r="R39" s="40">
        <f t="shared" si="21"/>
        <v>0</v>
      </c>
      <c r="S39" s="41">
        <f>SUMIFS('Отчет 01-04.01'!P:P,'Отчет 01-04.01'!C:C,"Продажи",'Отчет 01-04.01'!E:E,B39)</f>
        <v>0</v>
      </c>
      <c r="T39" s="42">
        <f>SUMIFS('Отчет 01-04.01'!P:P,'Отчет 01-04.01'!C:C,"Возвраты",'Отчет 01-04.01'!E:E,B39)</f>
        <v>0</v>
      </c>
      <c r="U39" s="40">
        <f t="shared" si="22"/>
        <v>0</v>
      </c>
      <c r="V39" s="43">
        <f t="shared" si="23"/>
        <v>0</v>
      </c>
      <c r="W39" s="44">
        <f t="shared" si="24"/>
        <v>0</v>
      </c>
      <c r="X39" s="42">
        <f>-SUMIFS('Отчет 01-04.01'!P:P,'Отчет 01-04.01'!C:C,"Вознаграждение Ozon",'Отчет 01-04.01'!E:E,B39)</f>
        <v>0</v>
      </c>
      <c r="Y39" s="45">
        <f t="shared" si="25"/>
        <v>0</v>
      </c>
      <c r="Z39" s="42">
        <f>-SUMIFS('Отчет 01-04.01'!P:P,'Отчет 01-04.01'!C:C,"Услуги доставки",'Отчет 01-04.01'!E:E,B39)</f>
        <v>0</v>
      </c>
      <c r="AA39" s="32">
        <v>0</v>
      </c>
      <c r="AB39" s="55"/>
      <c r="AC39" s="42"/>
      <c r="AD39" s="46">
        <f t="shared" si="26"/>
        <v>0</v>
      </c>
      <c r="AE39" s="47">
        <f t="shared" si="27"/>
        <v>0</v>
      </c>
      <c r="AF39" s="46"/>
      <c r="AG39" s="48">
        <f t="shared" si="28"/>
        <v>0</v>
      </c>
      <c r="AH39" s="49">
        <f t="shared" si="29"/>
        <v>597</v>
      </c>
      <c r="AI39" s="49">
        <f t="shared" si="30"/>
        <v>0</v>
      </c>
      <c r="AJ39" s="49">
        <f t="shared" si="31"/>
        <v>0</v>
      </c>
      <c r="AK39" s="49">
        <f t="shared" si="32"/>
        <v>0</v>
      </c>
      <c r="AL39" s="49">
        <f t="array" ref="AL39">_xlfn.IFS(R39=0,AE39,R39&lt;0,AE39/-R39,R39&gt;0,AE39/R39)</f>
        <v>0</v>
      </c>
      <c r="AM39" s="50">
        <f t="shared" si="33"/>
        <v>0</v>
      </c>
      <c r="AN39" s="51">
        <f t="shared" si="34"/>
        <v>0</v>
      </c>
      <c r="AP39" s="53">
        <f t="shared" si="35"/>
        <v>0</v>
      </c>
    </row>
    <row r="40" spans="1:42">
      <c r="A40" s="30">
        <v>2774719029</v>
      </c>
      <c r="B40" s="31" t="s">
        <v>73</v>
      </c>
      <c r="C40" s="32"/>
      <c r="D40" s="33"/>
      <c r="E40" s="33"/>
      <c r="F40" s="33"/>
      <c r="G40" s="34"/>
      <c r="H40" s="84">
        <v>597</v>
      </c>
      <c r="I40" s="54">
        <f t="shared" si="20"/>
        <v>0</v>
      </c>
      <c r="J40" s="36"/>
      <c r="K40" s="32">
        <v>0</v>
      </c>
      <c r="L40" s="36"/>
      <c r="M40" s="36"/>
      <c r="N40" s="37">
        <f t="shared" si="36"/>
        <v>0</v>
      </c>
      <c r="O40" s="38">
        <f t="shared" si="37"/>
        <v>0</v>
      </c>
      <c r="P40" s="39">
        <f>SUMIFS('Отчет 01-04.01'!H:H,'Отчет 01-04.01'!D:D,"Выручка",'Отчет 01-04.01'!E:E,B40)</f>
        <v>0</v>
      </c>
      <c r="Q40" s="39">
        <f>SUMIFS('Отчет 01-04.01'!H:H,'Отчет 01-04.01'!D:D,"Возврат выручки",'Отчет 01-04.01'!E:E,B40)</f>
        <v>0</v>
      </c>
      <c r="R40" s="40">
        <f t="shared" si="21"/>
        <v>0</v>
      </c>
      <c r="S40" s="41">
        <f>SUMIFS('Отчет 01-04.01'!P:P,'Отчет 01-04.01'!C:C,"Продажи",'Отчет 01-04.01'!E:E,B40)</f>
        <v>0</v>
      </c>
      <c r="T40" s="42">
        <f>SUMIFS('Отчет 01-04.01'!P:P,'Отчет 01-04.01'!C:C,"Возвраты",'Отчет 01-04.01'!E:E,B40)</f>
        <v>0</v>
      </c>
      <c r="U40" s="40">
        <f t="shared" si="22"/>
        <v>0</v>
      </c>
      <c r="V40" s="43">
        <f t="shared" si="23"/>
        <v>0</v>
      </c>
      <c r="W40" s="44">
        <f t="shared" si="24"/>
        <v>0</v>
      </c>
      <c r="X40" s="42">
        <f>-SUMIFS('Отчет 01-04.01'!P:P,'Отчет 01-04.01'!C:C,"Вознаграждение Ozon",'Отчет 01-04.01'!E:E,B40)</f>
        <v>0</v>
      </c>
      <c r="Y40" s="45">
        <f t="shared" si="25"/>
        <v>0</v>
      </c>
      <c r="Z40" s="42">
        <f>-SUMIFS('Отчет 01-04.01'!P:P,'Отчет 01-04.01'!C:C,"Услуги доставки",'Отчет 01-04.01'!E:E,B40)</f>
        <v>0</v>
      </c>
      <c r="AA40" s="32">
        <v>0</v>
      </c>
      <c r="AB40" s="55"/>
      <c r="AC40" s="42"/>
      <c r="AD40" s="46">
        <f t="shared" si="26"/>
        <v>0</v>
      </c>
      <c r="AE40" s="47">
        <f t="shared" si="27"/>
        <v>0</v>
      </c>
      <c r="AF40" s="46"/>
      <c r="AG40" s="48">
        <f t="shared" si="28"/>
        <v>0</v>
      </c>
      <c r="AH40" s="49">
        <f t="shared" si="29"/>
        <v>597</v>
      </c>
      <c r="AI40" s="49">
        <f t="shared" si="30"/>
        <v>0</v>
      </c>
      <c r="AJ40" s="49">
        <f t="shared" si="31"/>
        <v>0</v>
      </c>
      <c r="AK40" s="49">
        <f t="shared" si="32"/>
        <v>0</v>
      </c>
      <c r="AL40" s="49">
        <f t="array" ref="AL40">_xlfn.IFS(R40=0,AE40,R40&lt;0,AE40/-R40,R40&gt;0,AE40/R40)</f>
        <v>0</v>
      </c>
      <c r="AM40" s="50">
        <f t="shared" si="33"/>
        <v>0</v>
      </c>
      <c r="AN40" s="51">
        <f t="shared" si="34"/>
        <v>0</v>
      </c>
      <c r="AP40" s="53">
        <f t="shared" si="35"/>
        <v>0</v>
      </c>
    </row>
    <row r="41" spans="1:42">
      <c r="A41" s="30">
        <v>2774719553</v>
      </c>
      <c r="B41" s="31" t="s">
        <v>74</v>
      </c>
      <c r="C41" s="32"/>
      <c r="D41" s="33"/>
      <c r="E41" s="33"/>
      <c r="F41" s="33"/>
      <c r="G41" s="34"/>
      <c r="H41" s="84">
        <v>597</v>
      </c>
      <c r="I41" s="54">
        <f t="shared" si="20"/>
        <v>0</v>
      </c>
      <c r="J41" s="36"/>
      <c r="K41" s="32">
        <v>0</v>
      </c>
      <c r="L41" s="36"/>
      <c r="M41" s="36"/>
      <c r="N41" s="37">
        <f t="shared" si="36"/>
        <v>0</v>
      </c>
      <c r="O41" s="38">
        <f t="shared" si="37"/>
        <v>0</v>
      </c>
      <c r="P41" s="39">
        <f>SUMIFS('Отчет 01-04.01'!H:H,'Отчет 01-04.01'!D:D,"Выручка",'Отчет 01-04.01'!E:E,B41)</f>
        <v>0</v>
      </c>
      <c r="Q41" s="39">
        <f>SUMIFS('Отчет 01-04.01'!H:H,'Отчет 01-04.01'!D:D,"Возврат выручки",'Отчет 01-04.01'!E:E,B41)</f>
        <v>0</v>
      </c>
      <c r="R41" s="40">
        <f t="shared" si="21"/>
        <v>0</v>
      </c>
      <c r="S41" s="41">
        <f>SUMIFS('Отчет 01-04.01'!P:P,'Отчет 01-04.01'!C:C,"Продажи",'Отчет 01-04.01'!E:E,B41)</f>
        <v>0</v>
      </c>
      <c r="T41" s="42">
        <f>SUMIFS('Отчет 01-04.01'!P:P,'Отчет 01-04.01'!C:C,"Возвраты",'Отчет 01-04.01'!E:E,B41)</f>
        <v>0</v>
      </c>
      <c r="U41" s="40">
        <f t="shared" si="22"/>
        <v>0</v>
      </c>
      <c r="V41" s="43">
        <f t="shared" si="23"/>
        <v>0</v>
      </c>
      <c r="W41" s="44">
        <f t="shared" si="24"/>
        <v>0</v>
      </c>
      <c r="X41" s="42">
        <f>-SUMIFS('Отчет 01-04.01'!P:P,'Отчет 01-04.01'!C:C,"Вознаграждение Ozon",'Отчет 01-04.01'!E:E,B41)</f>
        <v>0</v>
      </c>
      <c r="Y41" s="45">
        <f t="shared" si="25"/>
        <v>0</v>
      </c>
      <c r="Z41" s="42">
        <f>-SUMIFS('Отчет 01-04.01'!P:P,'Отчет 01-04.01'!C:C,"Услуги доставки",'Отчет 01-04.01'!E:E,B41)</f>
        <v>0</v>
      </c>
      <c r="AA41" s="32">
        <v>0</v>
      </c>
      <c r="AB41" s="55"/>
      <c r="AC41" s="42"/>
      <c r="AD41" s="46">
        <f t="shared" si="26"/>
        <v>0</v>
      </c>
      <c r="AE41" s="47">
        <f t="shared" si="27"/>
        <v>0</v>
      </c>
      <c r="AF41" s="46"/>
      <c r="AG41" s="48">
        <f t="shared" si="28"/>
        <v>0</v>
      </c>
      <c r="AH41" s="49">
        <f t="shared" si="29"/>
        <v>597</v>
      </c>
      <c r="AI41" s="49">
        <f t="shared" si="30"/>
        <v>0</v>
      </c>
      <c r="AJ41" s="49">
        <f t="shared" si="31"/>
        <v>0</v>
      </c>
      <c r="AK41" s="49">
        <f t="shared" si="32"/>
        <v>0</v>
      </c>
      <c r="AL41" s="49">
        <f t="array" ref="AL41">_xlfn.IFS(R41=0,AE41,R41&lt;0,AE41/-R41,R41&gt;0,AE41/R41)</f>
        <v>0</v>
      </c>
      <c r="AM41" s="50">
        <f t="shared" si="33"/>
        <v>0</v>
      </c>
      <c r="AN41" s="51">
        <f t="shared" si="34"/>
        <v>0</v>
      </c>
      <c r="AP41" s="53">
        <f t="shared" si="35"/>
        <v>0</v>
      </c>
    </row>
    <row r="42" spans="1:42">
      <c r="A42" s="30">
        <v>2774710913</v>
      </c>
      <c r="B42" s="31" t="s">
        <v>75</v>
      </c>
      <c r="C42" s="32"/>
      <c r="D42" s="33"/>
      <c r="E42" s="33"/>
      <c r="F42" s="33"/>
      <c r="G42" s="34"/>
      <c r="H42" s="84">
        <v>642</v>
      </c>
      <c r="I42" s="54">
        <f t="shared" si="20"/>
        <v>0</v>
      </c>
      <c r="J42" s="36"/>
      <c r="K42" s="32">
        <v>0</v>
      </c>
      <c r="L42" s="36"/>
      <c r="M42" s="36"/>
      <c r="N42" s="37">
        <f t="shared" si="36"/>
        <v>0</v>
      </c>
      <c r="O42" s="38">
        <f t="shared" si="37"/>
        <v>0</v>
      </c>
      <c r="P42" s="39">
        <f>SUMIFS('Отчет 01-04.01'!H:H,'Отчет 01-04.01'!D:D,"Выручка",'Отчет 01-04.01'!E:E,B42)</f>
        <v>0</v>
      </c>
      <c r="Q42" s="39">
        <f>SUMIFS('Отчет 01-04.01'!H:H,'Отчет 01-04.01'!D:D,"Возврат выручки",'Отчет 01-04.01'!E:E,B42)</f>
        <v>0</v>
      </c>
      <c r="R42" s="40">
        <f t="shared" si="21"/>
        <v>0</v>
      </c>
      <c r="S42" s="41">
        <f>SUMIFS('Отчет 01-04.01'!P:P,'Отчет 01-04.01'!C:C,"Продажи",'Отчет 01-04.01'!E:E,B42)</f>
        <v>0</v>
      </c>
      <c r="T42" s="42">
        <f>SUMIFS('Отчет 01-04.01'!P:P,'Отчет 01-04.01'!C:C,"Возвраты",'Отчет 01-04.01'!E:E,B42)</f>
        <v>0</v>
      </c>
      <c r="U42" s="40">
        <f t="shared" si="22"/>
        <v>0</v>
      </c>
      <c r="V42" s="43">
        <f t="shared" si="23"/>
        <v>0</v>
      </c>
      <c r="W42" s="44">
        <f t="shared" si="24"/>
        <v>0</v>
      </c>
      <c r="X42" s="42">
        <f>-SUMIFS('Отчет 01-04.01'!P:P,'Отчет 01-04.01'!C:C,"Вознаграждение Ozon",'Отчет 01-04.01'!E:E,B42)</f>
        <v>0</v>
      </c>
      <c r="Y42" s="45">
        <f t="shared" si="25"/>
        <v>0</v>
      </c>
      <c r="Z42" s="42">
        <f>-SUMIFS('Отчет 01-04.01'!P:P,'Отчет 01-04.01'!C:C,"Услуги доставки",'Отчет 01-04.01'!E:E,B42)</f>
        <v>0</v>
      </c>
      <c r="AA42" s="32">
        <v>976.81</v>
      </c>
      <c r="AB42" s="55"/>
      <c r="AC42" s="42"/>
      <c r="AD42" s="46">
        <f t="shared" si="26"/>
        <v>0</v>
      </c>
      <c r="AE42" s="47">
        <f t="shared" si="27"/>
        <v>-976.81</v>
      </c>
      <c r="AF42" s="46"/>
      <c r="AG42" s="48">
        <f t="shared" si="28"/>
        <v>0</v>
      </c>
      <c r="AH42" s="49">
        <f t="shared" si="29"/>
        <v>642</v>
      </c>
      <c r="AI42" s="49">
        <f t="shared" si="30"/>
        <v>0</v>
      </c>
      <c r="AJ42" s="49">
        <f t="shared" si="31"/>
        <v>0</v>
      </c>
      <c r="AK42" s="49">
        <f t="shared" si="32"/>
        <v>0</v>
      </c>
      <c r="AL42" s="49">
        <f t="array" ref="AL42">_xlfn.IFS(R42=0,AE42,R42&lt;0,AE42/-R42,R42&gt;0,AE42/R42)</f>
        <v>-976.81</v>
      </c>
      <c r="AM42" s="50">
        <f t="shared" si="33"/>
        <v>0</v>
      </c>
      <c r="AN42" s="51">
        <f t="shared" si="34"/>
        <v>-1.5215109034267913</v>
      </c>
      <c r="AP42" s="53">
        <f t="shared" si="35"/>
        <v>0</v>
      </c>
    </row>
    <row r="43" spans="1:42">
      <c r="A43" s="30">
        <v>2774721668</v>
      </c>
      <c r="B43" s="31" t="s">
        <v>76</v>
      </c>
      <c r="C43" s="32"/>
      <c r="D43" s="33"/>
      <c r="E43" s="33"/>
      <c r="F43" s="33"/>
      <c r="G43" s="34"/>
      <c r="H43" s="84">
        <v>642</v>
      </c>
      <c r="I43" s="54">
        <f t="shared" si="20"/>
        <v>0</v>
      </c>
      <c r="J43" s="36"/>
      <c r="K43" s="32">
        <v>0</v>
      </c>
      <c r="L43" s="36"/>
      <c r="M43" s="36"/>
      <c r="N43" s="37">
        <f t="shared" si="36"/>
        <v>0</v>
      </c>
      <c r="O43" s="38">
        <f t="shared" si="37"/>
        <v>0</v>
      </c>
      <c r="P43" s="39">
        <f>SUMIFS('Отчет 01-04.01'!H:H,'Отчет 01-04.01'!D:D,"Выручка",'Отчет 01-04.01'!E:E,B43)</f>
        <v>0</v>
      </c>
      <c r="Q43" s="39">
        <f>SUMIFS('Отчет 01-04.01'!H:H,'Отчет 01-04.01'!D:D,"Возврат выручки",'Отчет 01-04.01'!E:E,B43)</f>
        <v>0</v>
      </c>
      <c r="R43" s="40">
        <f t="shared" si="21"/>
        <v>0</v>
      </c>
      <c r="S43" s="41">
        <f>SUMIFS('Отчет 01-04.01'!P:P,'Отчет 01-04.01'!C:C,"Продажи",'Отчет 01-04.01'!E:E,B43)</f>
        <v>0</v>
      </c>
      <c r="T43" s="42">
        <f>SUMIFS('Отчет 01-04.01'!P:P,'Отчет 01-04.01'!C:C,"Возвраты",'Отчет 01-04.01'!E:E,B43)</f>
        <v>0</v>
      </c>
      <c r="U43" s="40">
        <f t="shared" si="22"/>
        <v>0</v>
      </c>
      <c r="V43" s="43">
        <f t="shared" si="23"/>
        <v>0</v>
      </c>
      <c r="W43" s="44">
        <f t="shared" si="24"/>
        <v>0</v>
      </c>
      <c r="X43" s="42">
        <f>-SUMIFS('Отчет 01-04.01'!P:P,'Отчет 01-04.01'!C:C,"Вознаграждение Ozon",'Отчет 01-04.01'!E:E,B43)</f>
        <v>0</v>
      </c>
      <c r="Y43" s="45">
        <f t="shared" si="25"/>
        <v>0</v>
      </c>
      <c r="Z43" s="42">
        <f>-SUMIFS('Отчет 01-04.01'!P:P,'Отчет 01-04.01'!C:C,"Услуги доставки",'Отчет 01-04.01'!E:E,B43)</f>
        <v>0</v>
      </c>
      <c r="AA43" s="32">
        <v>0</v>
      </c>
      <c r="AB43" s="55"/>
      <c r="AC43" s="42"/>
      <c r="AD43" s="46">
        <f t="shared" si="26"/>
        <v>0</v>
      </c>
      <c r="AE43" s="47">
        <f t="shared" si="27"/>
        <v>0</v>
      </c>
      <c r="AF43" s="46"/>
      <c r="AG43" s="48">
        <f t="shared" si="28"/>
        <v>0</v>
      </c>
      <c r="AH43" s="49">
        <f t="shared" si="29"/>
        <v>642</v>
      </c>
      <c r="AI43" s="49">
        <f t="shared" si="30"/>
        <v>0</v>
      </c>
      <c r="AJ43" s="49">
        <f t="shared" si="31"/>
        <v>0</v>
      </c>
      <c r="AK43" s="49">
        <f t="shared" si="32"/>
        <v>0</v>
      </c>
      <c r="AL43" s="49">
        <f t="array" ref="AL43">_xlfn.IFS(R43=0,AE43,R43&lt;0,AE43/-R43,R43&gt;0,AE43/R43)</f>
        <v>0</v>
      </c>
      <c r="AM43" s="50">
        <f t="shared" si="33"/>
        <v>0</v>
      </c>
      <c r="AN43" s="51">
        <f t="shared" si="34"/>
        <v>0</v>
      </c>
      <c r="AP43" s="53">
        <f t="shared" si="35"/>
        <v>0</v>
      </c>
    </row>
    <row r="44" spans="1:42">
      <c r="A44" s="30">
        <v>2774722656</v>
      </c>
      <c r="B44" s="31" t="s">
        <v>77</v>
      </c>
      <c r="C44" s="32"/>
      <c r="D44" s="33"/>
      <c r="E44" s="33"/>
      <c r="F44" s="33"/>
      <c r="G44" s="34"/>
      <c r="H44" s="84">
        <v>687</v>
      </c>
      <c r="I44" s="54">
        <f t="shared" si="20"/>
        <v>0</v>
      </c>
      <c r="J44" s="36"/>
      <c r="K44" s="32">
        <v>0</v>
      </c>
      <c r="L44" s="36"/>
      <c r="M44" s="36"/>
      <c r="N44" s="37">
        <f t="shared" si="36"/>
        <v>0</v>
      </c>
      <c r="O44" s="38">
        <f t="shared" si="37"/>
        <v>0</v>
      </c>
      <c r="P44" s="39">
        <f>SUMIFS('Отчет 01-04.01'!H:H,'Отчет 01-04.01'!D:D,"Выручка",'Отчет 01-04.01'!E:E,B44)</f>
        <v>0</v>
      </c>
      <c r="Q44" s="39">
        <f>SUMIFS('Отчет 01-04.01'!H:H,'Отчет 01-04.01'!D:D,"Возврат выручки",'Отчет 01-04.01'!E:E,B44)</f>
        <v>0</v>
      </c>
      <c r="R44" s="40">
        <f t="shared" si="21"/>
        <v>0</v>
      </c>
      <c r="S44" s="41">
        <f>SUMIFS('Отчет 01-04.01'!P:P,'Отчет 01-04.01'!C:C,"Продажи",'Отчет 01-04.01'!E:E,B44)</f>
        <v>0</v>
      </c>
      <c r="T44" s="42">
        <f>SUMIFS('Отчет 01-04.01'!P:P,'Отчет 01-04.01'!C:C,"Возвраты",'Отчет 01-04.01'!E:E,B44)</f>
        <v>0</v>
      </c>
      <c r="U44" s="40">
        <f t="shared" si="22"/>
        <v>0</v>
      </c>
      <c r="V44" s="43">
        <f t="shared" si="23"/>
        <v>0</v>
      </c>
      <c r="W44" s="44">
        <f t="shared" si="24"/>
        <v>0</v>
      </c>
      <c r="X44" s="42">
        <f>-SUMIFS('Отчет 01-04.01'!P:P,'Отчет 01-04.01'!C:C,"Вознаграждение Ozon",'Отчет 01-04.01'!E:E,B44)</f>
        <v>0</v>
      </c>
      <c r="Y44" s="45">
        <f t="shared" si="25"/>
        <v>0</v>
      </c>
      <c r="Z44" s="42">
        <f>-SUMIFS('Отчет 01-04.01'!P:P,'Отчет 01-04.01'!C:C,"Услуги доставки",'Отчет 01-04.01'!E:E,B44)</f>
        <v>0</v>
      </c>
      <c r="AA44" s="32">
        <v>149.55251699999999</v>
      </c>
      <c r="AB44" s="55"/>
      <c r="AC44" s="42"/>
      <c r="AD44" s="46">
        <f t="shared" si="26"/>
        <v>0</v>
      </c>
      <c r="AE44" s="47">
        <f t="shared" si="27"/>
        <v>-149.55251699999999</v>
      </c>
      <c r="AF44" s="46"/>
      <c r="AG44" s="48">
        <f t="shared" si="28"/>
        <v>0</v>
      </c>
      <c r="AH44" s="49">
        <f t="shared" si="29"/>
        <v>687</v>
      </c>
      <c r="AI44" s="49">
        <f t="shared" si="30"/>
        <v>0</v>
      </c>
      <c r="AJ44" s="49">
        <f t="shared" si="31"/>
        <v>0</v>
      </c>
      <c r="AK44" s="49">
        <f t="shared" si="32"/>
        <v>0</v>
      </c>
      <c r="AL44" s="49">
        <f t="array" ref="AL44">_xlfn.IFS(R44=0,AE44,R44&lt;0,AE44/-R44,R44&gt;0,AE44/R44)</f>
        <v>-149.55251699999999</v>
      </c>
      <c r="AM44" s="50">
        <f t="shared" si="33"/>
        <v>0</v>
      </c>
      <c r="AN44" s="51">
        <f t="shared" si="34"/>
        <v>-0.21768925327510916</v>
      </c>
      <c r="AP44" s="53">
        <f t="shared" si="35"/>
        <v>0</v>
      </c>
    </row>
    <row r="45" spans="1:42">
      <c r="A45" s="30">
        <v>2774721190</v>
      </c>
      <c r="B45" s="31" t="s">
        <v>78</v>
      </c>
      <c r="C45" s="32"/>
      <c r="D45" s="33"/>
      <c r="E45" s="33"/>
      <c r="F45" s="33"/>
      <c r="G45" s="34"/>
      <c r="H45" s="84">
        <v>687</v>
      </c>
      <c r="I45" s="54">
        <f t="shared" si="20"/>
        <v>0</v>
      </c>
      <c r="J45" s="36"/>
      <c r="K45" s="32">
        <v>4</v>
      </c>
      <c r="L45" s="36"/>
      <c r="M45" s="36"/>
      <c r="N45" s="37">
        <f t="shared" si="36"/>
        <v>1</v>
      </c>
      <c r="O45" s="38">
        <f t="shared" si="37"/>
        <v>0</v>
      </c>
      <c r="P45" s="39">
        <f>SUMIFS('Отчет 01-04.01'!H:H,'Отчет 01-04.01'!D:D,"Выручка",'Отчет 01-04.01'!E:E,B45)</f>
        <v>0</v>
      </c>
      <c r="Q45" s="39">
        <f>SUMIFS('Отчет 01-04.01'!H:H,'Отчет 01-04.01'!D:D,"Возврат выручки",'Отчет 01-04.01'!E:E,B45)</f>
        <v>0</v>
      </c>
      <c r="R45" s="40">
        <f t="shared" si="21"/>
        <v>0</v>
      </c>
      <c r="S45" s="41">
        <f>SUMIFS('Отчет 01-04.01'!P:P,'Отчет 01-04.01'!C:C,"Продажи",'Отчет 01-04.01'!E:E,B45)</f>
        <v>0</v>
      </c>
      <c r="T45" s="42">
        <f>SUMIFS('Отчет 01-04.01'!P:P,'Отчет 01-04.01'!C:C,"Возвраты",'Отчет 01-04.01'!E:E,B45)</f>
        <v>0</v>
      </c>
      <c r="U45" s="40">
        <f t="shared" si="22"/>
        <v>0</v>
      </c>
      <c r="V45" s="43">
        <f t="shared" si="23"/>
        <v>0</v>
      </c>
      <c r="W45" s="44">
        <f t="shared" si="24"/>
        <v>0</v>
      </c>
      <c r="X45" s="42">
        <f>-SUMIFS('Отчет 01-04.01'!P:P,'Отчет 01-04.01'!C:C,"Вознаграждение Ozon",'Отчет 01-04.01'!E:E,B45)</f>
        <v>0</v>
      </c>
      <c r="Y45" s="45">
        <f t="shared" si="25"/>
        <v>0</v>
      </c>
      <c r="Z45" s="42">
        <f>-SUMIFS('Отчет 01-04.01'!P:P,'Отчет 01-04.01'!C:C,"Услуги доставки",'Отчет 01-04.01'!E:E,B45)</f>
        <v>0</v>
      </c>
      <c r="AA45" s="32">
        <v>1268.1699140000001</v>
      </c>
      <c r="AB45" s="55"/>
      <c r="AC45" s="42"/>
      <c r="AD45" s="46">
        <f t="shared" si="26"/>
        <v>0</v>
      </c>
      <c r="AE45" s="47">
        <f t="shared" si="27"/>
        <v>-1268.1699140000001</v>
      </c>
      <c r="AF45" s="46"/>
      <c r="AG45" s="48">
        <f t="shared" si="28"/>
        <v>0</v>
      </c>
      <c r="AH45" s="49">
        <f t="shared" si="29"/>
        <v>687</v>
      </c>
      <c r="AI45" s="49">
        <f t="shared" si="30"/>
        <v>0</v>
      </c>
      <c r="AJ45" s="49">
        <f t="shared" si="31"/>
        <v>0</v>
      </c>
      <c r="AK45" s="49">
        <f t="shared" si="32"/>
        <v>0</v>
      </c>
      <c r="AL45" s="49">
        <f t="array" ref="AL45">_xlfn.IFS(R45=0,AE45,R45&lt;0,AE45/-R45,R45&gt;0,AE45/R45)</f>
        <v>-1268.1699140000001</v>
      </c>
      <c r="AM45" s="50">
        <f t="shared" si="33"/>
        <v>0</v>
      </c>
      <c r="AN45" s="51">
        <f t="shared" si="34"/>
        <v>-1.8459532954876274</v>
      </c>
      <c r="AP45" s="53">
        <f t="shared" si="35"/>
        <v>0</v>
      </c>
    </row>
    <row r="46" spans="1:42">
      <c r="A46" s="30">
        <v>2774718796</v>
      </c>
      <c r="B46" s="31" t="s">
        <v>79</v>
      </c>
      <c r="C46" s="32"/>
      <c r="D46" s="33"/>
      <c r="E46" s="33"/>
      <c r="F46" s="33"/>
      <c r="G46" s="34"/>
      <c r="H46" s="84">
        <v>552</v>
      </c>
      <c r="I46" s="54">
        <f t="shared" si="20"/>
        <v>0</v>
      </c>
      <c r="J46" s="36"/>
      <c r="K46" s="32">
        <v>0</v>
      </c>
      <c r="L46" s="36"/>
      <c r="M46" s="36"/>
      <c r="N46" s="37">
        <f t="shared" si="36"/>
        <v>0</v>
      </c>
      <c r="O46" s="38">
        <f t="shared" si="37"/>
        <v>0</v>
      </c>
      <c r="P46" s="39">
        <f>SUMIFS('Отчет 01-04.01'!H:H,'Отчет 01-04.01'!D:D,"Выручка",'Отчет 01-04.01'!E:E,B46)</f>
        <v>0</v>
      </c>
      <c r="Q46" s="39">
        <f>SUMIFS('Отчет 01-04.01'!H:H,'Отчет 01-04.01'!D:D,"Возврат выручки",'Отчет 01-04.01'!E:E,B46)</f>
        <v>0</v>
      </c>
      <c r="R46" s="40">
        <f t="shared" si="21"/>
        <v>0</v>
      </c>
      <c r="S46" s="41">
        <f>SUMIFS('Отчет 01-04.01'!P:P,'Отчет 01-04.01'!C:C,"Продажи",'Отчет 01-04.01'!E:E,B46)</f>
        <v>0</v>
      </c>
      <c r="T46" s="42">
        <f>SUMIFS('Отчет 01-04.01'!P:P,'Отчет 01-04.01'!C:C,"Возвраты",'Отчет 01-04.01'!E:E,B46)</f>
        <v>0</v>
      </c>
      <c r="U46" s="40">
        <f t="shared" si="22"/>
        <v>0</v>
      </c>
      <c r="V46" s="43">
        <f t="shared" si="23"/>
        <v>0</v>
      </c>
      <c r="W46" s="44">
        <f t="shared" si="24"/>
        <v>0</v>
      </c>
      <c r="X46" s="42">
        <f>-SUMIFS('Отчет 01-04.01'!P:P,'Отчет 01-04.01'!C:C,"Вознаграждение Ozon",'Отчет 01-04.01'!E:E,B46)</f>
        <v>0</v>
      </c>
      <c r="Y46" s="45">
        <f t="shared" si="25"/>
        <v>0</v>
      </c>
      <c r="Z46" s="42">
        <f>-SUMIFS('Отчет 01-04.01'!P:P,'Отчет 01-04.01'!C:C,"Услуги доставки",'Отчет 01-04.01'!E:E,B46)</f>
        <v>0</v>
      </c>
      <c r="AA46" s="32">
        <v>124.262242</v>
      </c>
      <c r="AB46" s="55"/>
      <c r="AC46" s="42"/>
      <c r="AD46" s="46">
        <f t="shared" si="26"/>
        <v>0</v>
      </c>
      <c r="AE46" s="47">
        <f t="shared" si="27"/>
        <v>-124.262242</v>
      </c>
      <c r="AF46" s="46"/>
      <c r="AG46" s="48">
        <f t="shared" si="28"/>
        <v>0</v>
      </c>
      <c r="AH46" s="49">
        <f t="shared" si="29"/>
        <v>552</v>
      </c>
      <c r="AI46" s="49">
        <f t="shared" si="30"/>
        <v>0</v>
      </c>
      <c r="AJ46" s="49">
        <f t="shared" si="31"/>
        <v>0</v>
      </c>
      <c r="AK46" s="49">
        <f t="shared" si="32"/>
        <v>0</v>
      </c>
      <c r="AL46" s="49">
        <f t="array" ref="AL46">_xlfn.IFS(R46=0,AE46,R46&lt;0,AE46/-R46,R46&gt;0,AE46/R46)</f>
        <v>-124.262242</v>
      </c>
      <c r="AM46" s="50">
        <f t="shared" si="33"/>
        <v>0</v>
      </c>
      <c r="AN46" s="51">
        <f t="shared" si="34"/>
        <v>-0.2251127572463768</v>
      </c>
      <c r="AP46" s="53">
        <f t="shared" si="35"/>
        <v>0</v>
      </c>
    </row>
    <row r="47" spans="1:42">
      <c r="A47" s="30">
        <v>2774719500</v>
      </c>
      <c r="B47" s="31" t="s">
        <v>80</v>
      </c>
      <c r="C47" s="32"/>
      <c r="D47" s="33"/>
      <c r="E47" s="33"/>
      <c r="F47" s="33"/>
      <c r="G47" s="34"/>
      <c r="H47" s="84">
        <v>552</v>
      </c>
      <c r="I47" s="54">
        <f>C47*H47</f>
        <v>0</v>
      </c>
      <c r="J47" s="36"/>
      <c r="K47" s="32">
        <v>0</v>
      </c>
      <c r="L47" s="36"/>
      <c r="M47" s="36"/>
      <c r="N47" s="37">
        <f t="shared" si="36"/>
        <v>0</v>
      </c>
      <c r="O47" s="38">
        <f t="shared" si="37"/>
        <v>0</v>
      </c>
      <c r="P47" s="39">
        <f>SUMIFS('Отчет 01-04.01'!H:H,'Отчет 01-04.01'!D:D,"Выручка",'Отчет 01-04.01'!E:E,B47)</f>
        <v>0</v>
      </c>
      <c r="Q47" s="39">
        <f>SUMIFS('Отчет 01-04.01'!H:H,'Отчет 01-04.01'!D:D,"Возврат выручки",'Отчет 01-04.01'!E:E,B47)</f>
        <v>0</v>
      </c>
      <c r="R47" s="40">
        <f t="shared" si="21"/>
        <v>0</v>
      </c>
      <c r="S47" s="41">
        <f>SUMIFS('Отчет 01-04.01'!P:P,'Отчет 01-04.01'!C:C,"Продажи",'Отчет 01-04.01'!E:E,B47)</f>
        <v>0</v>
      </c>
      <c r="T47" s="42">
        <f>SUMIFS('Отчет 01-04.01'!P:P,'Отчет 01-04.01'!C:C,"Возвраты",'Отчет 01-04.01'!E:E,B47)</f>
        <v>0</v>
      </c>
      <c r="U47" s="40">
        <f t="shared" si="22"/>
        <v>0</v>
      </c>
      <c r="V47" s="43">
        <f t="shared" si="23"/>
        <v>0</v>
      </c>
      <c r="W47" s="44">
        <f t="shared" si="24"/>
        <v>0</v>
      </c>
      <c r="X47" s="42">
        <f>-SUMIFS('Отчет 01-04.01'!P:P,'Отчет 01-04.01'!C:C,"Вознаграждение Ozon",'Отчет 01-04.01'!E:E,B47)</f>
        <v>0</v>
      </c>
      <c r="Y47" s="45">
        <f t="shared" si="25"/>
        <v>0</v>
      </c>
      <c r="Z47" s="42">
        <f>-SUMIFS('Отчет 01-04.01'!P:P,'Отчет 01-04.01'!C:C,"Услуги доставки",'Отчет 01-04.01'!E:E,B47)</f>
        <v>0</v>
      </c>
      <c r="AA47" s="32">
        <v>0</v>
      </c>
      <c r="AB47" s="55"/>
      <c r="AC47" s="42"/>
      <c r="AD47" s="46">
        <f t="shared" si="26"/>
        <v>0</v>
      </c>
      <c r="AE47" s="47">
        <f t="shared" si="27"/>
        <v>0</v>
      </c>
      <c r="AF47" s="46"/>
      <c r="AG47" s="48">
        <f t="shared" si="28"/>
        <v>0</v>
      </c>
      <c r="AH47" s="49">
        <f t="shared" si="29"/>
        <v>552</v>
      </c>
      <c r="AI47" s="49">
        <f t="shared" si="30"/>
        <v>0</v>
      </c>
      <c r="AJ47" s="49">
        <f t="shared" si="31"/>
        <v>0</v>
      </c>
      <c r="AK47" s="49">
        <f t="shared" si="32"/>
        <v>0</v>
      </c>
      <c r="AL47" s="49">
        <f t="array" ref="AL47">_xlfn.IFS(R47=0,AE47,R47&lt;0,AE47/-R47,R47&gt;0,AE47/R47)</f>
        <v>0</v>
      </c>
      <c r="AM47" s="50">
        <f t="shared" si="33"/>
        <v>0</v>
      </c>
      <c r="AN47" s="51">
        <f t="shared" si="34"/>
        <v>0</v>
      </c>
      <c r="AP47" s="53">
        <f t="shared" si="35"/>
        <v>0</v>
      </c>
    </row>
    <row r="48" spans="1:42">
      <c r="A48" s="30"/>
      <c r="B48" s="31"/>
      <c r="C48" s="32"/>
      <c r="D48" s="33"/>
      <c r="E48" s="33"/>
      <c r="F48" s="33"/>
      <c r="G48" s="34"/>
      <c r="H48" s="84"/>
      <c r="I48" s="54"/>
      <c r="J48" s="36"/>
      <c r="K48" s="32"/>
      <c r="L48" s="36"/>
      <c r="M48" s="36"/>
      <c r="N48" s="37"/>
      <c r="O48" s="38"/>
      <c r="P48" s="39"/>
      <c r="Q48" s="39"/>
      <c r="R48" s="40"/>
      <c r="S48" s="41"/>
      <c r="T48" s="42"/>
      <c r="U48" s="40"/>
      <c r="V48" s="43"/>
      <c r="W48" s="44"/>
      <c r="X48" s="42"/>
      <c r="Y48" s="45"/>
      <c r="Z48" s="42"/>
      <c r="AA48" s="32"/>
      <c r="AB48" s="55"/>
      <c r="AC48" s="42"/>
      <c r="AD48" s="46"/>
      <c r="AE48" s="47"/>
      <c r="AF48" s="46"/>
      <c r="AG48" s="85">
        <f t="shared" ref="AG48:AN48" si="38">AVERAGEIF(AG28:AG47,"&lt;&gt;0",AG28:AG47)</f>
        <v>4247</v>
      </c>
      <c r="AH48" s="86">
        <f t="shared" si="38"/>
        <v>617.25</v>
      </c>
      <c r="AI48" s="86">
        <f t="shared" si="38"/>
        <v>1826.21</v>
      </c>
      <c r="AJ48" s="86">
        <f t="shared" si="38"/>
        <v>186.2</v>
      </c>
      <c r="AK48" s="86" t="e">
        <f t="shared" si="38"/>
        <v>#DIV/0!</v>
      </c>
      <c r="AL48" s="86">
        <f t="shared" si="38"/>
        <v>-184.73493460000003</v>
      </c>
      <c r="AM48" s="87">
        <f t="shared" si="38"/>
        <v>0.37558747351071342</v>
      </c>
      <c r="AN48" s="87">
        <f t="shared" si="38"/>
        <v>-0.22767468242319433</v>
      </c>
      <c r="AO48" s="60"/>
      <c r="AP48" s="61"/>
    </row>
    <row r="49" spans="1:42">
      <c r="A49" s="88" t="s">
        <v>81</v>
      </c>
      <c r="B49" s="89"/>
      <c r="C49" s="90">
        <f>SUM(C28:C47)</f>
        <v>0</v>
      </c>
      <c r="D49" s="91"/>
      <c r="E49" s="91"/>
      <c r="F49" s="91"/>
      <c r="G49" s="91"/>
      <c r="H49" s="92"/>
      <c r="I49" s="90">
        <f>SUM(I28:I47)</f>
        <v>0</v>
      </c>
      <c r="J49" s="93"/>
      <c r="K49" s="90">
        <f>SUM(K28:K47)</f>
        <v>5</v>
      </c>
      <c r="L49" s="93"/>
      <c r="M49" s="93"/>
      <c r="N49" s="94"/>
      <c r="O49" s="95"/>
      <c r="P49" s="90">
        <f t="shared" ref="P49:X49" si="39">SUM(P28:P47)</f>
        <v>1</v>
      </c>
      <c r="Q49" s="90">
        <f t="shared" si="39"/>
        <v>0</v>
      </c>
      <c r="R49" s="96">
        <f t="shared" si="39"/>
        <v>1</v>
      </c>
      <c r="S49" s="90">
        <f t="shared" si="39"/>
        <v>4247</v>
      </c>
      <c r="T49" s="90">
        <f t="shared" si="39"/>
        <v>0</v>
      </c>
      <c r="U49" s="96">
        <f t="shared" si="39"/>
        <v>4247</v>
      </c>
      <c r="V49" s="97">
        <f t="shared" si="39"/>
        <v>1</v>
      </c>
      <c r="W49" s="90">
        <f t="shared" si="39"/>
        <v>597</v>
      </c>
      <c r="X49" s="90">
        <f t="shared" si="39"/>
        <v>1826.21</v>
      </c>
      <c r="Y49" s="98">
        <f>IF(U49=0,0,X49/U49)</f>
        <v>0.43</v>
      </c>
      <c r="Z49" s="90">
        <f>SUM(Z28:Z47)</f>
        <v>186.2</v>
      </c>
      <c r="AA49" s="90">
        <f>IFERROR(P49*AA51/P51,0)</f>
        <v>513.83862068965516</v>
      </c>
      <c r="AB49" s="90">
        <f>SUM(AB28:AB47)</f>
        <v>0</v>
      </c>
      <c r="AC49" s="90">
        <f>SUM(AC28:AC47)</f>
        <v>0</v>
      </c>
      <c r="AD49" s="96">
        <f>SUM(AD28:AD47)</f>
        <v>42.47</v>
      </c>
      <c r="AE49" s="90">
        <f>SUM(AE28:AE47)</f>
        <v>-923.6746730000001</v>
      </c>
      <c r="AF49" s="75"/>
      <c r="AG49" s="99"/>
      <c r="AH49" s="100"/>
      <c r="AI49" s="100"/>
      <c r="AJ49" s="100"/>
      <c r="AK49" s="101"/>
      <c r="AL49" s="100"/>
      <c r="AM49" s="102"/>
      <c r="AN49" s="103"/>
      <c r="AO49" s="81"/>
      <c r="AP49" s="104">
        <f>SUM(AP28:AP47)</f>
        <v>0</v>
      </c>
    </row>
    <row r="50" spans="1:42">
      <c r="A50" s="105"/>
      <c r="B50" s="106"/>
      <c r="C50" s="107"/>
      <c r="D50" s="44"/>
      <c r="E50" s="44"/>
      <c r="F50" s="44"/>
      <c r="G50" s="34"/>
      <c r="H50" s="44"/>
      <c r="I50" s="44"/>
      <c r="J50" s="108"/>
      <c r="K50" s="109"/>
      <c r="L50" s="109"/>
      <c r="M50" s="109"/>
      <c r="N50" s="108"/>
      <c r="O50" s="110"/>
      <c r="P50" s="109"/>
      <c r="Q50" s="109"/>
      <c r="R50" s="111"/>
      <c r="S50" s="109"/>
      <c r="T50" s="109"/>
      <c r="U50" s="111"/>
      <c r="V50" s="112"/>
      <c r="W50" s="109"/>
      <c r="X50" s="109"/>
      <c r="Y50" s="45"/>
      <c r="Z50" s="109"/>
      <c r="AA50" s="113">
        <f>SUM(AA28:AA47)</f>
        <v>2518.7946729999999</v>
      </c>
      <c r="AB50" s="42"/>
      <c r="AC50" s="42"/>
      <c r="AD50" s="46"/>
      <c r="AE50" s="47"/>
      <c r="AF50" s="46"/>
      <c r="AG50" s="114"/>
      <c r="AH50" s="115"/>
      <c r="AI50" s="115"/>
      <c r="AJ50" s="115"/>
      <c r="AK50" s="115"/>
      <c r="AL50" s="115"/>
      <c r="AM50" s="50"/>
      <c r="AN50" s="51"/>
      <c r="AP50" s="53"/>
    </row>
    <row r="51" spans="1:42" s="131" customFormat="1" ht="15" customHeight="1">
      <c r="A51" s="116" t="s">
        <v>82</v>
      </c>
      <c r="B51" s="117"/>
      <c r="C51" s="118">
        <f>C26+C49</f>
        <v>0</v>
      </c>
      <c r="D51" s="119">
        <f>SUM(D3:D47)</f>
        <v>0</v>
      </c>
      <c r="E51" s="119">
        <f>SUM(E3:E47)</f>
        <v>108496</v>
      </c>
      <c r="F51" s="119">
        <f>SUM(F3:F47)</f>
        <v>597</v>
      </c>
      <c r="G51" s="119">
        <f>SUM(G3:G47)</f>
        <v>295</v>
      </c>
      <c r="H51" s="119"/>
      <c r="I51" s="118">
        <f>I26+I49</f>
        <v>0</v>
      </c>
      <c r="J51" s="118">
        <f>J26+J49</f>
        <v>0</v>
      </c>
      <c r="K51" s="118">
        <f>K26+K49</f>
        <v>49</v>
      </c>
      <c r="L51" s="119"/>
      <c r="M51" s="119"/>
      <c r="N51" s="119"/>
      <c r="O51" s="119"/>
      <c r="P51" s="120">
        <f t="shared" ref="P51:X51" si="40">P26+P49</f>
        <v>29</v>
      </c>
      <c r="Q51" s="118">
        <f t="shared" si="40"/>
        <v>0</v>
      </c>
      <c r="R51" s="121">
        <f t="shared" si="40"/>
        <v>29</v>
      </c>
      <c r="S51" s="118">
        <f t="shared" si="40"/>
        <v>50225</v>
      </c>
      <c r="T51" s="118">
        <f t="shared" si="40"/>
        <v>0</v>
      </c>
      <c r="U51" s="121">
        <f t="shared" si="40"/>
        <v>50225</v>
      </c>
      <c r="V51" s="122">
        <f t="shared" si="40"/>
        <v>11.82599481987285</v>
      </c>
      <c r="W51" s="118">
        <f t="shared" si="40"/>
        <v>5125.66</v>
      </c>
      <c r="X51" s="118">
        <f t="shared" si="40"/>
        <v>21596.75</v>
      </c>
      <c r="Y51" s="123">
        <f>X51/U51</f>
        <v>0.43</v>
      </c>
      <c r="Z51" s="118">
        <f>Z26+Z49</f>
        <v>3895.5399999999995</v>
      </c>
      <c r="AA51" s="124">
        <v>14901.32</v>
      </c>
      <c r="AB51" s="125"/>
      <c r="AC51" s="125">
        <f>SUM(AC3:AC47)</f>
        <v>0</v>
      </c>
      <c r="AD51" s="118">
        <f>AD26+AD49</f>
        <v>502.25</v>
      </c>
      <c r="AE51" s="126">
        <f>AE26+AE49</f>
        <v>4202.3582589999978</v>
      </c>
      <c r="AF51" s="127"/>
      <c r="AG51" s="128"/>
      <c r="AH51" s="129"/>
      <c r="AI51" s="129"/>
      <c r="AJ51" s="129"/>
      <c r="AK51" s="129">
        <f>AA52/P51</f>
        <v>513.83862068965516</v>
      </c>
      <c r="AL51" s="129"/>
      <c r="AM51" s="129"/>
      <c r="AN51" s="130"/>
      <c r="AP51" s="126">
        <f>SUM(AP3:AP47)</f>
        <v>0</v>
      </c>
    </row>
    <row r="52" spans="1:42" s="132" customFormat="1">
      <c r="B52" s="133"/>
      <c r="C52" s="134"/>
      <c r="K52" s="135"/>
      <c r="L52" s="135"/>
      <c r="M52" s="135"/>
      <c r="O52" s="136"/>
      <c r="P52" s="137"/>
      <c r="Q52" s="137"/>
      <c r="R52" s="138"/>
      <c r="S52" s="137"/>
      <c r="T52" s="138"/>
      <c r="U52" s="138"/>
      <c r="X52" s="139"/>
      <c r="Z52" s="137"/>
      <c r="AA52" s="140">
        <f>AA26+AA49</f>
        <v>14901.32</v>
      </c>
      <c r="AB52" s="141"/>
      <c r="AC52" s="142"/>
    </row>
    <row r="53" spans="1:42" s="132" customFormat="1">
      <c r="B53" s="133"/>
      <c r="C53" s="134"/>
      <c r="I53" s="143"/>
      <c r="J53" s="143"/>
      <c r="K53" s="135"/>
      <c r="L53" s="135"/>
      <c r="M53" s="135"/>
      <c r="P53" s="144"/>
      <c r="Q53" s="135"/>
      <c r="X53" s="144"/>
      <c r="Y53" s="135"/>
      <c r="Z53" s="145"/>
      <c r="AA53" s="146">
        <f>AA27+AA50</f>
        <v>14902.441741000001</v>
      </c>
      <c r="AB53" s="141"/>
      <c r="AC53" s="6"/>
    </row>
    <row r="54" spans="1:42" s="132" customFormat="1">
      <c r="B54" s="133"/>
      <c r="C54" s="134"/>
      <c r="J54" s="143"/>
      <c r="K54" s="135"/>
      <c r="L54" s="135"/>
      <c r="M54" s="135"/>
      <c r="P54" s="144"/>
      <c r="Q54" s="135"/>
      <c r="X54" s="144"/>
      <c r="Y54" s="135"/>
      <c r="Z54" s="147"/>
      <c r="AA54" s="147"/>
      <c r="AB54" s="141"/>
      <c r="AC54" s="6"/>
    </row>
    <row r="55" spans="1:42" s="132" customFormat="1">
      <c r="B55" s="133"/>
      <c r="C55" s="134"/>
      <c r="K55" s="135"/>
      <c r="L55" s="135"/>
      <c r="M55" s="135"/>
      <c r="P55" s="144"/>
      <c r="Q55" s="135"/>
      <c r="X55" s="144"/>
      <c r="Y55" s="135"/>
      <c r="Z55" s="145"/>
      <c r="AA55" s="145"/>
      <c r="AB55" s="141"/>
      <c r="AC55" s="6"/>
    </row>
    <row r="56" spans="1:42" ht="29">
      <c r="B56" s="148"/>
      <c r="H56" s="150"/>
      <c r="I56" s="151" t="s">
        <v>7</v>
      </c>
      <c r="J56" s="151"/>
      <c r="K56" s="152" t="s">
        <v>37</v>
      </c>
      <c r="L56" s="152" t="s">
        <v>83</v>
      </c>
      <c r="W56" s="155"/>
      <c r="X56" s="155"/>
      <c r="Z56" s="156"/>
      <c r="AA56" s="156"/>
      <c r="AM56" s="153"/>
    </row>
    <row r="57" spans="1:42" ht="15.5">
      <c r="B57" s="148"/>
      <c r="H57" s="150"/>
      <c r="I57" s="151"/>
      <c r="J57" s="151"/>
      <c r="K57" s="152"/>
      <c r="L57" s="152"/>
      <c r="Y57" s="155"/>
    </row>
    <row r="58" spans="1:42" ht="15.5">
      <c r="B58" s="148"/>
      <c r="H58" s="157" t="s">
        <v>84</v>
      </c>
      <c r="I58" s="158">
        <f>SUMIF(J3:J47,"&lt;60",I3:I47)</f>
        <v>0</v>
      </c>
      <c r="J58" s="159" t="e">
        <f>I58/I51</f>
        <v>#DIV/0!</v>
      </c>
      <c r="K58" s="160">
        <f>SUMIF(J3:J47,"&lt;60",AP3:AP47)</f>
        <v>0</v>
      </c>
      <c r="L58" s="161" t="e">
        <f>K58/I58</f>
        <v>#DIV/0!</v>
      </c>
    </row>
    <row r="59" spans="1:42" ht="15.5">
      <c r="B59" s="148"/>
      <c r="H59" s="162" t="s">
        <v>85</v>
      </c>
      <c r="I59" s="163">
        <f>I51-I60-I58</f>
        <v>0</v>
      </c>
      <c r="J59" s="164" t="e">
        <f>I59/I51</f>
        <v>#DIV/0!</v>
      </c>
      <c r="K59" s="160">
        <f>AP51-K58-K60</f>
        <v>0</v>
      </c>
      <c r="L59" s="161" t="e">
        <f>K59/I59</f>
        <v>#DIV/0!</v>
      </c>
    </row>
    <row r="60" spans="1:42" ht="15.5">
      <c r="B60" s="148"/>
      <c r="C60" s="165"/>
      <c r="D60" s="166"/>
      <c r="E60" s="166"/>
      <c r="F60" s="166"/>
      <c r="G60" s="166"/>
      <c r="H60" s="167" t="s">
        <v>86</v>
      </c>
      <c r="I60" s="168">
        <f>SUMIF(J3:J47,"&gt;120",I3:I47)</f>
        <v>0</v>
      </c>
      <c r="J60" s="169" t="e">
        <f>I60/I51</f>
        <v>#DIV/0!</v>
      </c>
      <c r="K60" s="160">
        <f>SUMIF(J3:J47,"&gt;120",AP3:AP47)</f>
        <v>0</v>
      </c>
      <c r="L60" s="161" t="e">
        <f>K60/I60</f>
        <v>#DIV/0!</v>
      </c>
    </row>
    <row r="61" spans="1:42" ht="15.5">
      <c r="B61" s="148"/>
      <c r="C61" s="165"/>
      <c r="D61" s="166"/>
      <c r="E61" s="166"/>
      <c r="F61" s="166"/>
      <c r="G61" s="166"/>
    </row>
    <row r="62" spans="1:42" ht="15.5">
      <c r="B62" s="148"/>
      <c r="H62" s="52" t="s">
        <v>87</v>
      </c>
    </row>
    <row r="63" spans="1:42" ht="15.5">
      <c r="B63" s="148"/>
    </row>
    <row r="64" spans="1:42" ht="15.5">
      <c r="B64" s="148"/>
    </row>
  </sheetData>
  <conditionalFormatting sqref="J50:L50 J3:J7 J10:J49">
    <cfRule type="cellIs" dxfId="13" priority="28" operator="greaterThan">
      <formula>120</formula>
    </cfRule>
  </conditionalFormatting>
  <conditionalFormatting sqref="N50">
    <cfRule type="cellIs" dxfId="12" priority="27" operator="between">
      <formula>0.000001</formula>
      <formula>25</formula>
    </cfRule>
  </conditionalFormatting>
  <conditionalFormatting sqref="V1 V52:V55 V57:V1048576">
    <cfRule type="cellIs" dxfId="11" priority="29" operator="greaterThan">
      <formula>0.23</formula>
    </cfRule>
  </conditionalFormatting>
  <conditionalFormatting sqref="AM5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{F4078848-2DA9-414E-A77D-1F6CAC393CF1}</x14:id>
        </ext>
      </extLst>
    </cfRule>
  </conditionalFormatting>
  <conditionalFormatting sqref="AP3:AP7 AP27:AP47 AP50 AP10:AP2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{D8EF3EF6-220B-4F40-A980-CCE4C32296B1}</x14:id>
        </ext>
      </extLst>
    </cfRule>
  </conditionalFormatting>
  <conditionalFormatting sqref="AE3:AE7 AE27:AE48 AE50 AE10:AE2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{D9B718D2-1931-4263-B65A-5255B7D6EE28}</x14:id>
        </ext>
      </extLst>
    </cfRule>
  </conditionalFormatting>
  <conditionalFormatting sqref="AL3:AL7 AL27:AL47 AL50 AL10:AL2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{814CA84F-9D86-4E09-84A4-526B72DB0A70}</x14:id>
        </ext>
      </extLst>
    </cfRule>
  </conditionalFormatting>
  <conditionalFormatting sqref="AM3:AN7 AM27:AN47 AM50:AN50 AM10:AN2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{CC6632ED-AA60-410B-92DC-71D51412C743}</x14:id>
        </ext>
      </extLst>
    </cfRule>
  </conditionalFormatting>
  <conditionalFormatting sqref="AP3:AP7 AP27:AP47 AP10:AP24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{BC77A18F-FE80-47CB-8CEB-17C74BA932D8}</x14:id>
        </ext>
      </extLst>
    </cfRule>
  </conditionalFormatting>
  <conditionalFormatting sqref="AE3:AE7 AE27:AE48 AE10:AE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{5D3D3391-E666-41E6-8147-2DE1E68B3368}</x14:id>
        </ext>
      </extLst>
    </cfRule>
  </conditionalFormatting>
  <conditionalFormatting sqref="U27:V27 U48:V48 U25:V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{6B3251AF-394F-44AD-A3F0-8071E75E97A7}</x14:id>
        </ext>
      </extLst>
    </cfRule>
  </conditionalFormatting>
  <conditionalFormatting sqref="V27 V48 V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{ED0DFC0A-40A9-41DA-82D5-79567D17B3BB}</x14:id>
        </ext>
      </extLst>
    </cfRule>
  </conditionalFormatting>
  <conditionalFormatting sqref="AP2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{087B0B50-7CE5-40CF-9888-99CF35798692}</x14:id>
        </ext>
      </extLst>
    </cfRule>
  </conditionalFormatting>
  <conditionalFormatting sqref="AP2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{BE1CA346-C721-4090-AA02-B0EA2C4D53BC}</x14:id>
        </ext>
      </extLst>
    </cfRule>
  </conditionalFormatting>
  <conditionalFormatting sqref="P50">
    <cfRule type="cellIs" dxfId="10" priority="23" operator="greaterThan">
      <formula>120</formula>
    </cfRule>
  </conditionalFormatting>
  <conditionalFormatting sqref="Q50">
    <cfRule type="cellIs" dxfId="9" priority="22" operator="greaterThan">
      <formula>120</formula>
    </cfRule>
  </conditionalFormatting>
  <conditionalFormatting sqref="R50">
    <cfRule type="cellIs" dxfId="8" priority="21" operator="greaterThan">
      <formula>120</formula>
    </cfRule>
  </conditionalFormatting>
  <conditionalFormatting sqref="S50">
    <cfRule type="cellIs" dxfId="7" priority="20" operator="greaterThan">
      <formula>120</formula>
    </cfRule>
  </conditionalFormatting>
  <conditionalFormatting sqref="T50">
    <cfRule type="cellIs" dxfId="6" priority="19" operator="greaterThan">
      <formula>120</formula>
    </cfRule>
  </conditionalFormatting>
  <conditionalFormatting sqref="U50">
    <cfRule type="cellIs" dxfId="5" priority="18" operator="greaterThan">
      <formula>120</formula>
    </cfRule>
  </conditionalFormatting>
  <conditionalFormatting sqref="V50">
    <cfRule type="cellIs" dxfId="4" priority="17" operator="greaterThan">
      <formula>120</formula>
    </cfRule>
  </conditionalFormatting>
  <conditionalFormatting sqref="W50">
    <cfRule type="cellIs" dxfId="3" priority="16" operator="greaterThan">
      <formula>120</formula>
    </cfRule>
  </conditionalFormatting>
  <conditionalFormatting sqref="X50">
    <cfRule type="cellIs" dxfId="2" priority="15" operator="greaterThan">
      <formula>120</formula>
    </cfRule>
  </conditionalFormatting>
  <conditionalFormatting sqref="Z50">
    <cfRule type="cellIs" dxfId="1" priority="14" operator="greaterThan">
      <formula>120</formula>
    </cfRule>
  </conditionalFormatting>
  <conditionalFormatting sqref="AP4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{180A5C65-6F96-4C49-8BE4-EC45DD92AFAB}</x14:id>
        </ext>
      </extLst>
    </cfRule>
  </conditionalFormatting>
  <conditionalFormatting sqref="AP4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{A3DD8D31-BE8D-4AB9-953D-C249B6AAEC9A}</x14:id>
        </ext>
      </extLst>
    </cfRule>
  </conditionalFormatting>
  <conditionalFormatting sqref="J8:J9">
    <cfRule type="cellIs" dxfId="0" priority="5" operator="greaterThan">
      <formula>120</formula>
    </cfRule>
  </conditionalFormatting>
  <conditionalFormatting sqref="AP8:AP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{A33283EC-17B0-4F64-B878-0D0CA917FA44}</x14:id>
        </ext>
      </extLst>
    </cfRule>
  </conditionalFormatting>
  <conditionalFormatting sqref="AE8:AE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{FC5B4414-D28B-4D3F-9716-693C429672E2}</x14:id>
        </ext>
      </extLst>
    </cfRule>
  </conditionalFormatting>
  <conditionalFormatting sqref="AL8:AL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{5EAEC651-3A83-4D65-A63C-809007FD7F68}</x14:id>
        </ext>
      </extLst>
    </cfRule>
  </conditionalFormatting>
  <conditionalFormatting sqref="AM8:AN9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{B65BACB0-4DA9-443A-BD69-AF658C9D3E6A}</x14:id>
        </ext>
      </extLst>
    </cfRule>
  </conditionalFormatting>
  <conditionalFormatting sqref="AP8:AP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{1C5793F7-3FA9-40CF-B264-B7B5FC53FBFE}</x14:id>
        </ext>
      </extLst>
    </cfRule>
  </conditionalFormatting>
  <conditionalFormatting sqref="AE8:A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{4857BDCB-EC28-4AA7-ADD3-B03F80639F90}</x14:id>
        </ext>
      </extLst>
    </cfRule>
  </conditionalFormatting>
  <conditionalFormatting sqref="U3:V2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{D94957F7-E0C4-452F-911B-62965F6D78E5}</x14:id>
        </ext>
      </extLst>
    </cfRule>
  </conditionalFormatting>
  <conditionalFormatting sqref="V3:V24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{7F247DC7-5CFF-420B-81BE-E592B06A22AE}</x14:id>
        </ext>
      </extLst>
    </cfRule>
  </conditionalFormatting>
  <conditionalFormatting sqref="U28:V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{344025B2-C54D-485A-93B8-7401AA184F01}</x14:id>
        </ext>
      </extLst>
    </cfRule>
  </conditionalFormatting>
  <conditionalFormatting sqref="V28:V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{273ACD26-6FC4-49E3-8A44-8A8BF64FE508}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078848-2DA9-414E-A77D-1F6CAC393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AM56</xm:sqref>
        </x14:conditionalFormatting>
        <x14:conditionalFormatting xmlns:xm="http://schemas.microsoft.com/office/excel/2006/main">
          <x14:cfRule type="dataBar" id="{D8EF3EF6-220B-4F40-A980-CCE4C322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AP50 AP10:AP24</xm:sqref>
        </x14:conditionalFormatting>
        <x14:conditionalFormatting xmlns:xm="http://schemas.microsoft.com/office/excel/2006/main">
          <x14:cfRule type="dataBar" id="{D9B718D2-1931-4263-B65A-5255B7D6E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AE50 AE10:AE25</xm:sqref>
        </x14:conditionalFormatting>
        <x14:conditionalFormatting xmlns:xm="http://schemas.microsoft.com/office/excel/2006/main">
          <x14:cfRule type="dataBar" id="{814CA84F-9D86-4E09-84A4-526B72DB0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AL3:AL7 AL27:AL47 AL50 AL10:AL24</xm:sqref>
        </x14:conditionalFormatting>
        <x14:conditionalFormatting xmlns:xm="http://schemas.microsoft.com/office/excel/2006/main">
          <x14:cfRule type="dataBar" id="{CC6632ED-AA60-410B-92DC-71D51412C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AM3:AN7 AM27:AN47 AM50:AN50 AM10:AN24</xm:sqref>
        </x14:conditionalFormatting>
        <x14:conditionalFormatting xmlns:xm="http://schemas.microsoft.com/office/excel/2006/main">
          <x14:cfRule type="dataBar" id="{BC77A18F-FE80-47CB-8CEB-17C74BA93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AP3:AP7 AP27:AP47 AP10:AP24</xm:sqref>
        </x14:conditionalFormatting>
        <x14:conditionalFormatting xmlns:xm="http://schemas.microsoft.com/office/excel/2006/main">
          <x14:cfRule type="dataBar" id="{5D3D3391-E666-41E6-8147-2DE1E68B33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AE3:AE7 AE27:AE48 AE10:AE25</xm:sqref>
        </x14:conditionalFormatting>
        <x14:conditionalFormatting xmlns:xm="http://schemas.microsoft.com/office/excel/2006/main">
          <x14:cfRule type="dataBar" id="{6B3251AF-394F-44AD-A3F0-8071E75E9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U27:V27 U48:V48 U25:V25</xm:sqref>
        </x14:conditionalFormatting>
        <x14:conditionalFormatting xmlns:xm="http://schemas.microsoft.com/office/excel/2006/main">
          <x14:cfRule type="dataBar" id="{ED0DFC0A-40A9-41DA-82D5-79567D17B3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V27 V48 V25</xm:sqref>
        </x14:conditionalFormatting>
        <x14:conditionalFormatting xmlns:xm="http://schemas.microsoft.com/office/excel/2006/main">
          <x14:cfRule type="dataBar" id="{087B0B50-7CE5-40CF-9888-99CF357986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BE1CA346-C721-4090-AA02-B0EA2C4D5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AP25</xm:sqref>
        </x14:conditionalFormatting>
        <x14:conditionalFormatting xmlns:xm="http://schemas.microsoft.com/office/excel/2006/main">
          <x14:cfRule type="dataBar" id="{180A5C65-6F96-4C49-8BE4-EC45DD92A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DD8D31-BE8D-4AB9-953D-C249B6AAEC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AP48</xm:sqref>
        </x14:conditionalFormatting>
        <x14:conditionalFormatting xmlns:xm="http://schemas.microsoft.com/office/excel/2006/main">
          <x14:cfRule type="dataBar" id="{A33283EC-17B0-4F64-B878-0D0CA917F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FC5B4414-D28B-4D3F-9716-693C429672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5EAEC651-3A83-4D65-A63C-809007FD7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AL8:AL9</xm:sqref>
        </x14:conditionalFormatting>
        <x14:conditionalFormatting xmlns:xm="http://schemas.microsoft.com/office/excel/2006/main">
          <x14:cfRule type="dataBar" id="{B65BACB0-4DA9-443A-BD69-AF658C9D3E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AM8:AN9</xm:sqref>
        </x14:conditionalFormatting>
        <x14:conditionalFormatting xmlns:xm="http://schemas.microsoft.com/office/excel/2006/main">
          <x14:cfRule type="dataBar" id="{1C5793F7-3FA9-40CF-B264-B7B5FC53FB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AP8:AP9</xm:sqref>
        </x14:conditionalFormatting>
        <x14:conditionalFormatting xmlns:xm="http://schemas.microsoft.com/office/excel/2006/main">
          <x14:cfRule type="dataBar" id="{4857BDCB-EC28-4AA7-ADD3-B03F80639F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AE8:AE9</xm:sqref>
        </x14:conditionalFormatting>
        <x14:conditionalFormatting xmlns:xm="http://schemas.microsoft.com/office/excel/2006/main">
          <x14:cfRule type="dataBar" id="{D94957F7-E0C4-452F-911B-62965F6D78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U3:V24</xm:sqref>
        </x14:conditionalFormatting>
        <x14:conditionalFormatting xmlns:xm="http://schemas.microsoft.com/office/excel/2006/main">
          <x14:cfRule type="dataBar" id="{7F247DC7-5CFF-420B-81BE-E592B06A2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V3:V24</xm:sqref>
        </x14:conditionalFormatting>
        <x14:conditionalFormatting xmlns:xm="http://schemas.microsoft.com/office/excel/2006/main">
          <x14:cfRule type="dataBar" id="{344025B2-C54D-485A-93B8-7401AA184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U28:V47</xm:sqref>
        </x14:conditionalFormatting>
        <x14:conditionalFormatting xmlns:xm="http://schemas.microsoft.com/office/excel/2006/main">
          <x14:cfRule type="dataBar" id="{273ACD26-6FC4-49E3-8A44-8A8BF64FE5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V28:V47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EB18-1469-407C-B075-12761356B416}">
  <dimension ref="A1"/>
  <sheetViews>
    <sheetView workbookViewId="0">
      <selection activeCell="F14" sqref="F14"/>
    </sheetView>
  </sheetViews>
  <sheetFormatPr defaultRowHeight="14.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68AD2-B9AA-4436-BE78-3E0D6CE35C0E}">
  <dimension ref="A1"/>
  <sheetViews>
    <sheetView workbookViewId="0">
      <selection activeCell="G16" sqref="G16"/>
    </sheetView>
  </sheetViews>
  <sheetFormatPr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0637-2C72-490F-9B67-60A8F1755C79}">
  <dimension ref="A1"/>
  <sheetViews>
    <sheetView workbookViewId="0">
      <selection activeCell="E14" sqref="E14"/>
    </sheetView>
  </sheetViews>
  <sheetFormatPr defaultRowHeight="14.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51F0-27C2-4E95-A1D7-8F73875DA87B}">
  <sheetPr filterMode="1"/>
  <dimension ref="A1:P1070"/>
  <sheetViews>
    <sheetView topLeftCell="F1" zoomScale="70" zoomScaleNormal="70" workbookViewId="0">
      <selection activeCell="D1072" sqref="D1072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78.75" customHeight="1">
      <c r="A1" s="173" t="s">
        <v>93</v>
      </c>
      <c r="B1" s="173" t="s">
        <v>94</v>
      </c>
      <c r="C1" s="173" t="s">
        <v>95</v>
      </c>
      <c r="D1" s="173" t="s">
        <v>96</v>
      </c>
      <c r="E1" s="173" t="s">
        <v>97</v>
      </c>
      <c r="F1" s="173" t="s">
        <v>98</v>
      </c>
      <c r="G1" s="173" t="s">
        <v>99</v>
      </c>
      <c r="H1" s="173" t="s">
        <v>100</v>
      </c>
      <c r="I1" s="173" t="s">
        <v>101</v>
      </c>
      <c r="J1" s="173" t="s">
        <v>102</v>
      </c>
      <c r="K1" s="173" t="s">
        <v>103</v>
      </c>
      <c r="L1" s="173" t="s">
        <v>104</v>
      </c>
      <c r="M1" s="173" t="s">
        <v>105</v>
      </c>
      <c r="N1" s="173" t="s">
        <v>106</v>
      </c>
      <c r="O1" s="173" t="s">
        <v>107</v>
      </c>
      <c r="P1" s="174" t="s">
        <v>108</v>
      </c>
    </row>
    <row r="2" spans="1:16" ht="19.5" hidden="1" customHeight="1">
      <c r="A2" s="171" t="s">
        <v>1265</v>
      </c>
      <c r="B2" s="175">
        <v>46062</v>
      </c>
      <c r="C2" s="171" t="s">
        <v>110</v>
      </c>
      <c r="D2" s="171" t="s">
        <v>24</v>
      </c>
      <c r="E2" s="171" t="s">
        <v>38</v>
      </c>
      <c r="F2" s="171" t="s">
        <v>111</v>
      </c>
      <c r="G2" s="171" t="s">
        <v>112</v>
      </c>
      <c r="H2" s="176">
        <v>1</v>
      </c>
      <c r="I2" s="177">
        <v>0</v>
      </c>
      <c r="J2" s="175">
        <v>46058</v>
      </c>
      <c r="K2" s="171" t="s">
        <v>113</v>
      </c>
      <c r="L2" s="171" t="s">
        <v>114</v>
      </c>
      <c r="M2" s="178">
        <v>0</v>
      </c>
      <c r="N2" s="176"/>
      <c r="O2" s="176">
        <v>42</v>
      </c>
      <c r="P2" s="179">
        <v>-46.77</v>
      </c>
    </row>
    <row r="3" spans="1:16" ht="19.5" hidden="1" customHeight="1">
      <c r="A3" s="171" t="s">
        <v>1265</v>
      </c>
      <c r="B3" s="175">
        <v>46062</v>
      </c>
      <c r="C3" s="171" t="s">
        <v>115</v>
      </c>
      <c r="D3" s="171" t="s">
        <v>116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46058</v>
      </c>
      <c r="K3" s="171" t="s">
        <v>113</v>
      </c>
      <c r="L3" s="171" t="s">
        <v>114</v>
      </c>
      <c r="M3" s="178">
        <v>0</v>
      </c>
      <c r="N3" s="176"/>
      <c r="O3" s="176"/>
      <c r="P3" s="179">
        <v>-10.75</v>
      </c>
    </row>
    <row r="4" spans="1:16" ht="19.5" hidden="1" customHeight="1">
      <c r="A4" s="171" t="s">
        <v>1265</v>
      </c>
      <c r="B4" s="175">
        <v>46062</v>
      </c>
      <c r="C4" s="171" t="s">
        <v>110</v>
      </c>
      <c r="D4" s="171" t="s">
        <v>117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46058</v>
      </c>
      <c r="K4" s="171" t="s">
        <v>113</v>
      </c>
      <c r="L4" s="171" t="s">
        <v>114</v>
      </c>
      <c r="M4" s="178">
        <v>0</v>
      </c>
      <c r="N4" s="176"/>
      <c r="O4" s="176"/>
      <c r="P4" s="179">
        <v>0</v>
      </c>
    </row>
    <row r="5" spans="1:16" ht="19.5" hidden="1" customHeight="1">
      <c r="A5" s="171" t="s">
        <v>1265</v>
      </c>
      <c r="B5" s="175">
        <v>46062</v>
      </c>
      <c r="C5" s="171" t="s">
        <v>110</v>
      </c>
      <c r="D5" s="171" t="s">
        <v>118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46058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-46.77</v>
      </c>
    </row>
    <row r="6" spans="1:16" ht="19.5" hidden="1" customHeight="1">
      <c r="A6" s="171" t="s">
        <v>1265</v>
      </c>
      <c r="B6" s="175">
        <v>46062</v>
      </c>
      <c r="C6" s="171" t="s">
        <v>115</v>
      </c>
      <c r="D6" s="171" t="s">
        <v>119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46058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-15</v>
      </c>
    </row>
    <row r="7" spans="1:16" ht="19.5" hidden="1" customHeight="1">
      <c r="A7" s="171" t="s">
        <v>1266</v>
      </c>
      <c r="B7" s="175">
        <v>46062</v>
      </c>
      <c r="C7" s="171" t="s">
        <v>110</v>
      </c>
      <c r="D7" s="171" t="s">
        <v>117</v>
      </c>
      <c r="E7" s="171" t="s">
        <v>78</v>
      </c>
      <c r="F7" s="171" t="s">
        <v>176</v>
      </c>
      <c r="G7" s="171" t="s">
        <v>177</v>
      </c>
      <c r="H7" s="176">
        <v>1</v>
      </c>
      <c r="I7" s="177">
        <v>0</v>
      </c>
      <c r="J7" s="175">
        <v>46059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hidden="1" customHeight="1">
      <c r="A8" s="171" t="s">
        <v>1266</v>
      </c>
      <c r="B8" s="175">
        <v>46062</v>
      </c>
      <c r="C8" s="171" t="s">
        <v>110</v>
      </c>
      <c r="D8" s="171" t="s">
        <v>118</v>
      </c>
      <c r="E8" s="171" t="s">
        <v>78</v>
      </c>
      <c r="F8" s="171" t="s">
        <v>176</v>
      </c>
      <c r="G8" s="171" t="s">
        <v>177</v>
      </c>
      <c r="H8" s="176">
        <v>1</v>
      </c>
      <c r="I8" s="177">
        <v>0</v>
      </c>
      <c r="J8" s="175">
        <v>46059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hidden="1" customHeight="1">
      <c r="A9" s="171" t="s">
        <v>1266</v>
      </c>
      <c r="B9" s="175">
        <v>46062</v>
      </c>
      <c r="C9" s="171" t="s">
        <v>115</v>
      </c>
      <c r="D9" s="171" t="s">
        <v>119</v>
      </c>
      <c r="E9" s="171" t="s">
        <v>78</v>
      </c>
      <c r="F9" s="171" t="s">
        <v>176</v>
      </c>
      <c r="G9" s="171" t="s">
        <v>177</v>
      </c>
      <c r="H9" s="176">
        <v>1</v>
      </c>
      <c r="I9" s="177">
        <v>0</v>
      </c>
      <c r="J9" s="175">
        <v>46059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hidden="1" customHeight="1">
      <c r="A10" s="171" t="s">
        <v>1266</v>
      </c>
      <c r="B10" s="175">
        <v>46062</v>
      </c>
      <c r="C10" s="171" t="s">
        <v>110</v>
      </c>
      <c r="D10" s="171" t="s">
        <v>24</v>
      </c>
      <c r="E10" s="171" t="s">
        <v>78</v>
      </c>
      <c r="F10" s="171" t="s">
        <v>176</v>
      </c>
      <c r="G10" s="171" t="s">
        <v>177</v>
      </c>
      <c r="H10" s="176">
        <v>1</v>
      </c>
      <c r="I10" s="177">
        <v>0</v>
      </c>
      <c r="J10" s="175">
        <v>46059</v>
      </c>
      <c r="K10" s="171" t="s">
        <v>113</v>
      </c>
      <c r="L10" s="171" t="s">
        <v>114</v>
      </c>
      <c r="M10" s="178">
        <v>0</v>
      </c>
      <c r="N10" s="176"/>
      <c r="O10" s="176">
        <v>42</v>
      </c>
      <c r="P10" s="179">
        <v>-56.94</v>
      </c>
    </row>
    <row r="11" spans="1:16" ht="19.5" hidden="1" customHeight="1">
      <c r="A11" s="171" t="s">
        <v>1266</v>
      </c>
      <c r="B11" s="175">
        <v>46062</v>
      </c>
      <c r="C11" s="171" t="s">
        <v>115</v>
      </c>
      <c r="D11" s="171" t="s">
        <v>116</v>
      </c>
      <c r="E11" s="171" t="s">
        <v>78</v>
      </c>
      <c r="F11" s="171" t="s">
        <v>176</v>
      </c>
      <c r="G11" s="171" t="s">
        <v>177</v>
      </c>
      <c r="H11" s="176">
        <v>1</v>
      </c>
      <c r="I11" s="177">
        <v>0</v>
      </c>
      <c r="J11" s="175">
        <v>46059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-12.12</v>
      </c>
    </row>
    <row r="12" spans="1:16" ht="19.5" hidden="1" customHeight="1">
      <c r="A12" s="171" t="s">
        <v>1267</v>
      </c>
      <c r="B12" s="175">
        <v>46062</v>
      </c>
      <c r="C12" s="171" t="s">
        <v>110</v>
      </c>
      <c r="D12" s="171" t="s">
        <v>24</v>
      </c>
      <c r="E12" s="171" t="s">
        <v>47</v>
      </c>
      <c r="F12" s="171" t="s">
        <v>430</v>
      </c>
      <c r="G12" s="171" t="s">
        <v>112</v>
      </c>
      <c r="H12" s="176">
        <v>1</v>
      </c>
      <c r="I12" s="177">
        <v>1102</v>
      </c>
      <c r="J12" s="175">
        <v>46046</v>
      </c>
      <c r="K12" s="171" t="s">
        <v>113</v>
      </c>
      <c r="L12" s="171" t="s">
        <v>114</v>
      </c>
      <c r="M12" s="178">
        <v>0.43</v>
      </c>
      <c r="N12" s="176"/>
      <c r="O12" s="176">
        <v>50</v>
      </c>
      <c r="P12" s="179">
        <v>-124.2</v>
      </c>
    </row>
    <row r="13" spans="1:16" ht="19.5" hidden="1" customHeight="1">
      <c r="A13" s="171" t="s">
        <v>1267</v>
      </c>
      <c r="B13" s="175">
        <v>46062</v>
      </c>
      <c r="C13" s="171" t="s">
        <v>127</v>
      </c>
      <c r="D13" s="171" t="s">
        <v>128</v>
      </c>
      <c r="E13" s="171" t="s">
        <v>47</v>
      </c>
      <c r="F13" s="171" t="s">
        <v>430</v>
      </c>
      <c r="G13" s="171" t="s">
        <v>112</v>
      </c>
      <c r="H13" s="176">
        <v>1</v>
      </c>
      <c r="I13" s="177">
        <v>1102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521.9</v>
      </c>
    </row>
    <row r="14" spans="1:16" ht="19.5" hidden="1" customHeight="1">
      <c r="A14" s="171" t="s">
        <v>1267</v>
      </c>
      <c r="B14" s="175">
        <v>46062</v>
      </c>
      <c r="C14" s="171" t="s">
        <v>127</v>
      </c>
      <c r="D14" s="171" t="s">
        <v>129</v>
      </c>
      <c r="E14" s="171" t="s">
        <v>47</v>
      </c>
      <c r="F14" s="171" t="s">
        <v>430</v>
      </c>
      <c r="G14" s="171" t="s">
        <v>112</v>
      </c>
      <c r="H14" s="176">
        <v>1</v>
      </c>
      <c r="I14" s="177">
        <v>1102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5.22</v>
      </c>
    </row>
    <row r="15" spans="1:16" ht="19.5" hidden="1" customHeight="1">
      <c r="A15" s="171" t="s">
        <v>1267</v>
      </c>
      <c r="B15" s="175">
        <v>46062</v>
      </c>
      <c r="C15" s="171" t="s">
        <v>127</v>
      </c>
      <c r="D15" s="171" t="s">
        <v>130</v>
      </c>
      <c r="E15" s="171" t="s">
        <v>47</v>
      </c>
      <c r="F15" s="171" t="s">
        <v>430</v>
      </c>
      <c r="G15" s="171" t="s">
        <v>112</v>
      </c>
      <c r="H15" s="176">
        <v>1</v>
      </c>
      <c r="I15" s="177">
        <v>1102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574.88</v>
      </c>
    </row>
    <row r="16" spans="1:16" ht="19.5" hidden="1" customHeight="1">
      <c r="A16" s="171" t="s">
        <v>1267</v>
      </c>
      <c r="B16" s="175">
        <v>46062</v>
      </c>
      <c r="C16" s="171" t="s">
        <v>131</v>
      </c>
      <c r="D16" s="171" t="s">
        <v>132</v>
      </c>
      <c r="E16" s="171" t="s">
        <v>47</v>
      </c>
      <c r="F16" s="171" t="s">
        <v>430</v>
      </c>
      <c r="G16" s="171" t="s">
        <v>112</v>
      </c>
      <c r="H16" s="176">
        <v>1</v>
      </c>
      <c r="I16" s="177">
        <v>1102</v>
      </c>
      <c r="J16" s="175">
        <v>46046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-473.86</v>
      </c>
    </row>
    <row r="17" spans="1:16" ht="19.5" hidden="1" customHeight="1">
      <c r="A17" s="171" t="s">
        <v>1267</v>
      </c>
      <c r="B17" s="175">
        <v>46062</v>
      </c>
      <c r="C17" s="171" t="s">
        <v>115</v>
      </c>
      <c r="D17" s="171" t="s">
        <v>116</v>
      </c>
      <c r="E17" s="171" t="s">
        <v>47</v>
      </c>
      <c r="F17" s="171" t="s">
        <v>430</v>
      </c>
      <c r="G17" s="171" t="s">
        <v>112</v>
      </c>
      <c r="H17" s="176">
        <v>1</v>
      </c>
      <c r="I17" s="177">
        <v>1102</v>
      </c>
      <c r="J17" s="175">
        <v>46046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-0.37</v>
      </c>
    </row>
    <row r="18" spans="1:16" ht="19.5" hidden="1" customHeight="1">
      <c r="A18" s="171" t="s">
        <v>1267</v>
      </c>
      <c r="B18" s="175">
        <v>46062</v>
      </c>
      <c r="C18" s="171" t="s">
        <v>115</v>
      </c>
      <c r="D18" s="171" t="s">
        <v>135</v>
      </c>
      <c r="E18" s="171" t="s">
        <v>47</v>
      </c>
      <c r="F18" s="171" t="s">
        <v>430</v>
      </c>
      <c r="G18" s="171" t="s">
        <v>112</v>
      </c>
      <c r="H18" s="176">
        <v>1</v>
      </c>
      <c r="I18" s="177">
        <v>0</v>
      </c>
      <c r="J18" s="175">
        <v>46046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-9.92</v>
      </c>
    </row>
    <row r="19" spans="1:16" ht="19.5" hidden="1" customHeight="1">
      <c r="A19" s="171" t="s">
        <v>1268</v>
      </c>
      <c r="B19" s="175">
        <v>46062</v>
      </c>
      <c r="C19" s="171" t="s">
        <v>110</v>
      </c>
      <c r="D19" s="171" t="s">
        <v>24</v>
      </c>
      <c r="E19" s="171" t="s">
        <v>77</v>
      </c>
      <c r="F19" s="171" t="s">
        <v>194</v>
      </c>
      <c r="G19" s="171" t="s">
        <v>177</v>
      </c>
      <c r="H19" s="176">
        <v>1</v>
      </c>
      <c r="I19" s="177">
        <v>0</v>
      </c>
      <c r="J19" s="175">
        <v>46055</v>
      </c>
      <c r="K19" s="171" t="s">
        <v>113</v>
      </c>
      <c r="L19" s="171" t="s">
        <v>114</v>
      </c>
      <c r="M19" s="178">
        <v>0</v>
      </c>
      <c r="N19" s="176"/>
      <c r="O19" s="176">
        <v>42</v>
      </c>
      <c r="P19" s="179">
        <v>-56.94</v>
      </c>
    </row>
    <row r="20" spans="1:16" ht="19.5" hidden="1" customHeight="1">
      <c r="A20" s="171" t="s">
        <v>1268</v>
      </c>
      <c r="B20" s="175">
        <v>46062</v>
      </c>
      <c r="C20" s="171" t="s">
        <v>115</v>
      </c>
      <c r="D20" s="171" t="s">
        <v>116</v>
      </c>
      <c r="E20" s="171" t="s">
        <v>77</v>
      </c>
      <c r="F20" s="171" t="s">
        <v>194</v>
      </c>
      <c r="G20" s="171" t="s">
        <v>177</v>
      </c>
      <c r="H20" s="176">
        <v>1</v>
      </c>
      <c r="I20" s="177">
        <v>0</v>
      </c>
      <c r="J20" s="175">
        <v>46055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-13.1</v>
      </c>
    </row>
    <row r="21" spans="1:16" ht="19.5" hidden="1" customHeight="1">
      <c r="A21" s="171" t="s">
        <v>1268</v>
      </c>
      <c r="B21" s="175">
        <v>46062</v>
      </c>
      <c r="C21" s="171" t="s">
        <v>110</v>
      </c>
      <c r="D21" s="171" t="s">
        <v>117</v>
      </c>
      <c r="E21" s="171" t="s">
        <v>77</v>
      </c>
      <c r="F21" s="171" t="s">
        <v>194</v>
      </c>
      <c r="G21" s="171" t="s">
        <v>177</v>
      </c>
      <c r="H21" s="176">
        <v>1</v>
      </c>
      <c r="I21" s="177">
        <v>0</v>
      </c>
      <c r="J21" s="175">
        <v>46055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0</v>
      </c>
    </row>
    <row r="22" spans="1:16" ht="19.5" hidden="1" customHeight="1">
      <c r="A22" s="171" t="s">
        <v>1268</v>
      </c>
      <c r="B22" s="175">
        <v>46062</v>
      </c>
      <c r="C22" s="171" t="s">
        <v>110</v>
      </c>
      <c r="D22" s="171" t="s">
        <v>118</v>
      </c>
      <c r="E22" s="171" t="s">
        <v>77</v>
      </c>
      <c r="F22" s="171" t="s">
        <v>194</v>
      </c>
      <c r="G22" s="171" t="s">
        <v>177</v>
      </c>
      <c r="H22" s="176">
        <v>1</v>
      </c>
      <c r="I22" s="177">
        <v>0</v>
      </c>
      <c r="J22" s="175">
        <v>46055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-56.94</v>
      </c>
    </row>
    <row r="23" spans="1:16" ht="19.5" hidden="1" customHeight="1">
      <c r="A23" s="171" t="s">
        <v>1268</v>
      </c>
      <c r="B23" s="175">
        <v>46062</v>
      </c>
      <c r="C23" s="171" t="s">
        <v>115</v>
      </c>
      <c r="D23" s="171" t="s">
        <v>119</v>
      </c>
      <c r="E23" s="171" t="s">
        <v>77</v>
      </c>
      <c r="F23" s="171" t="s">
        <v>194</v>
      </c>
      <c r="G23" s="171" t="s">
        <v>177</v>
      </c>
      <c r="H23" s="176">
        <v>1</v>
      </c>
      <c r="I23" s="177">
        <v>0</v>
      </c>
      <c r="J23" s="175">
        <v>46055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-15</v>
      </c>
    </row>
    <row r="24" spans="1:16" ht="19.5" hidden="1" customHeight="1">
      <c r="A24" s="171" t="s">
        <v>1269</v>
      </c>
      <c r="B24" s="175">
        <v>46062</v>
      </c>
      <c r="C24" s="171" t="s">
        <v>110</v>
      </c>
      <c r="D24" s="171" t="s">
        <v>24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1692</v>
      </c>
      <c r="J24" s="175">
        <v>46059</v>
      </c>
      <c r="K24" s="171" t="s">
        <v>113</v>
      </c>
      <c r="L24" s="171" t="s">
        <v>114</v>
      </c>
      <c r="M24" s="178">
        <v>0.43</v>
      </c>
      <c r="N24" s="176"/>
      <c r="O24" s="176">
        <v>42</v>
      </c>
      <c r="P24" s="179">
        <v>-121.65</v>
      </c>
    </row>
    <row r="25" spans="1:16" ht="19.5" hidden="1" customHeight="1">
      <c r="A25" s="171" t="s">
        <v>1269</v>
      </c>
      <c r="B25" s="175">
        <v>46062</v>
      </c>
      <c r="C25" s="171" t="s">
        <v>127</v>
      </c>
      <c r="D25" s="171" t="s">
        <v>128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1692</v>
      </c>
      <c r="J25" s="175">
        <v>46059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697.14</v>
      </c>
    </row>
    <row r="26" spans="1:16" ht="19.5" hidden="1" customHeight="1">
      <c r="A26" s="171" t="s">
        <v>1269</v>
      </c>
      <c r="B26" s="175">
        <v>46062</v>
      </c>
      <c r="C26" s="171" t="s">
        <v>127</v>
      </c>
      <c r="D26" s="171" t="s">
        <v>129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1692</v>
      </c>
      <c r="J26" s="175">
        <v>46059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6.97</v>
      </c>
    </row>
    <row r="27" spans="1:16" ht="19.5" hidden="1" customHeight="1">
      <c r="A27" s="171" t="s">
        <v>1269</v>
      </c>
      <c r="B27" s="175">
        <v>46062</v>
      </c>
      <c r="C27" s="171" t="s">
        <v>127</v>
      </c>
      <c r="D27" s="171" t="s">
        <v>130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1692</v>
      </c>
      <c r="J27" s="175">
        <v>46059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987.89</v>
      </c>
    </row>
    <row r="28" spans="1:16" ht="19.5" hidden="1" customHeight="1">
      <c r="A28" s="171" t="s">
        <v>1269</v>
      </c>
      <c r="B28" s="175">
        <v>46062</v>
      </c>
      <c r="C28" s="171" t="s">
        <v>131</v>
      </c>
      <c r="D28" s="171" t="s">
        <v>132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1692</v>
      </c>
      <c r="J28" s="175">
        <v>46059</v>
      </c>
      <c r="K28" s="171" t="s">
        <v>113</v>
      </c>
      <c r="L28" s="171" t="s">
        <v>114</v>
      </c>
      <c r="M28" s="178">
        <v>0.43</v>
      </c>
      <c r="N28" s="176"/>
      <c r="O28" s="176"/>
      <c r="P28" s="179">
        <v>-727.56</v>
      </c>
    </row>
    <row r="29" spans="1:16" ht="19.5" hidden="1" customHeight="1">
      <c r="A29" s="171" t="s">
        <v>1270</v>
      </c>
      <c r="B29" s="175">
        <v>46062</v>
      </c>
      <c r="C29" s="171" t="s">
        <v>110</v>
      </c>
      <c r="D29" s="171" t="s">
        <v>24</v>
      </c>
      <c r="E29" s="171" t="s">
        <v>66</v>
      </c>
      <c r="F29" s="171" t="s">
        <v>602</v>
      </c>
      <c r="G29" s="171" t="s">
        <v>177</v>
      </c>
      <c r="H29" s="176">
        <v>1</v>
      </c>
      <c r="I29" s="177">
        <v>2033</v>
      </c>
      <c r="J29" s="175">
        <v>46058</v>
      </c>
      <c r="K29" s="171" t="s">
        <v>113</v>
      </c>
      <c r="L29" s="171" t="s">
        <v>114</v>
      </c>
      <c r="M29" s="178">
        <v>0.43</v>
      </c>
      <c r="N29" s="176"/>
      <c r="O29" s="176">
        <v>42</v>
      </c>
      <c r="P29" s="179">
        <v>-147.34</v>
      </c>
    </row>
    <row r="30" spans="1:16" ht="19.5" hidden="1" customHeight="1">
      <c r="A30" s="171" t="s">
        <v>1270</v>
      </c>
      <c r="B30" s="175">
        <v>46062</v>
      </c>
      <c r="C30" s="171" t="s">
        <v>127</v>
      </c>
      <c r="D30" s="171" t="s">
        <v>128</v>
      </c>
      <c r="E30" s="171" t="s">
        <v>66</v>
      </c>
      <c r="F30" s="171" t="s">
        <v>602</v>
      </c>
      <c r="G30" s="171" t="s">
        <v>177</v>
      </c>
      <c r="H30" s="176">
        <v>1</v>
      </c>
      <c r="I30" s="177">
        <v>2033</v>
      </c>
      <c r="J30" s="175">
        <v>46058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1094.29</v>
      </c>
    </row>
    <row r="31" spans="1:16" ht="19.5" hidden="1" customHeight="1">
      <c r="A31" s="171" t="s">
        <v>1270</v>
      </c>
      <c r="B31" s="175">
        <v>46062</v>
      </c>
      <c r="C31" s="171" t="s">
        <v>127</v>
      </c>
      <c r="D31" s="171" t="s">
        <v>129</v>
      </c>
      <c r="E31" s="171" t="s">
        <v>66</v>
      </c>
      <c r="F31" s="171" t="s">
        <v>602</v>
      </c>
      <c r="G31" s="171" t="s">
        <v>177</v>
      </c>
      <c r="H31" s="176">
        <v>1</v>
      </c>
      <c r="I31" s="177">
        <v>2033</v>
      </c>
      <c r="J31" s="175">
        <v>46058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10.94</v>
      </c>
    </row>
    <row r="32" spans="1:16" ht="19.5" hidden="1" customHeight="1">
      <c r="A32" s="171" t="s">
        <v>1270</v>
      </c>
      <c r="B32" s="175">
        <v>46062</v>
      </c>
      <c r="C32" s="171" t="s">
        <v>127</v>
      </c>
      <c r="D32" s="171" t="s">
        <v>130</v>
      </c>
      <c r="E32" s="171" t="s">
        <v>66</v>
      </c>
      <c r="F32" s="171" t="s">
        <v>602</v>
      </c>
      <c r="G32" s="171" t="s">
        <v>177</v>
      </c>
      <c r="H32" s="176">
        <v>1</v>
      </c>
      <c r="I32" s="177">
        <v>2033</v>
      </c>
      <c r="J32" s="175">
        <v>46058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927.77</v>
      </c>
    </row>
    <row r="33" spans="1:16" ht="19.5" hidden="1" customHeight="1">
      <c r="A33" s="171" t="s">
        <v>1270</v>
      </c>
      <c r="B33" s="175">
        <v>46062</v>
      </c>
      <c r="C33" s="171" t="s">
        <v>131</v>
      </c>
      <c r="D33" s="171" t="s">
        <v>132</v>
      </c>
      <c r="E33" s="171" t="s">
        <v>66</v>
      </c>
      <c r="F33" s="171" t="s">
        <v>602</v>
      </c>
      <c r="G33" s="171" t="s">
        <v>177</v>
      </c>
      <c r="H33" s="176">
        <v>1</v>
      </c>
      <c r="I33" s="177">
        <v>2033</v>
      </c>
      <c r="J33" s="175">
        <v>46058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-874.19</v>
      </c>
    </row>
    <row r="34" spans="1:16" ht="19.5" hidden="1" customHeight="1">
      <c r="A34" s="171" t="s">
        <v>1270</v>
      </c>
      <c r="B34" s="175">
        <v>46062</v>
      </c>
      <c r="C34" s="171" t="s">
        <v>115</v>
      </c>
      <c r="D34" s="171" t="s">
        <v>116</v>
      </c>
      <c r="E34" s="171" t="s">
        <v>66</v>
      </c>
      <c r="F34" s="171" t="s">
        <v>602</v>
      </c>
      <c r="G34" s="171" t="s">
        <v>177</v>
      </c>
      <c r="H34" s="176">
        <v>1</v>
      </c>
      <c r="I34" s="177">
        <v>2033</v>
      </c>
      <c r="J34" s="175">
        <v>46058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-10.199999999999999</v>
      </c>
    </row>
    <row r="35" spans="1:16" ht="19.5" hidden="1" customHeight="1">
      <c r="A35" s="171" t="s">
        <v>1270</v>
      </c>
      <c r="B35" s="175">
        <v>46062</v>
      </c>
      <c r="C35" s="171" t="s">
        <v>115</v>
      </c>
      <c r="D35" s="171" t="s">
        <v>135</v>
      </c>
      <c r="E35" s="171" t="s">
        <v>66</v>
      </c>
      <c r="F35" s="171" t="s">
        <v>602</v>
      </c>
      <c r="G35" s="171" t="s">
        <v>177</v>
      </c>
      <c r="H35" s="176">
        <v>1</v>
      </c>
      <c r="I35" s="177">
        <v>0</v>
      </c>
      <c r="J35" s="175">
        <v>46058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-20.79</v>
      </c>
    </row>
    <row r="36" spans="1:16" ht="19.5" hidden="1" customHeight="1">
      <c r="A36" s="171" t="s">
        <v>1271</v>
      </c>
      <c r="B36" s="175">
        <v>46062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2400</v>
      </c>
      <c r="J36" s="175">
        <v>46060</v>
      </c>
      <c r="K36" s="171" t="s">
        <v>113</v>
      </c>
      <c r="L36" s="171" t="s">
        <v>114</v>
      </c>
      <c r="M36" s="178">
        <v>0.43</v>
      </c>
      <c r="N36" s="176"/>
      <c r="O36" s="176">
        <v>43</v>
      </c>
      <c r="P36" s="179">
        <v>-146.83000000000001</v>
      </c>
    </row>
    <row r="37" spans="1:16" ht="19.5" hidden="1" customHeight="1">
      <c r="A37" s="171" t="s">
        <v>1271</v>
      </c>
      <c r="B37" s="175">
        <v>46062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2400</v>
      </c>
      <c r="J37" s="175">
        <v>46060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1189.52</v>
      </c>
    </row>
    <row r="38" spans="1:16" ht="19.5" hidden="1" customHeight="1">
      <c r="A38" s="171" t="s">
        <v>1271</v>
      </c>
      <c r="B38" s="175">
        <v>46062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2400</v>
      </c>
      <c r="J38" s="175">
        <v>46060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11.9</v>
      </c>
    </row>
    <row r="39" spans="1:16" ht="19.5" hidden="1" customHeight="1">
      <c r="A39" s="171" t="s">
        <v>1271</v>
      </c>
      <c r="B39" s="175">
        <v>46062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2400</v>
      </c>
      <c r="J39" s="175">
        <v>46060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1198.58</v>
      </c>
    </row>
    <row r="40" spans="1:16" ht="19.5" hidden="1" customHeight="1">
      <c r="A40" s="171" t="s">
        <v>1271</v>
      </c>
      <c r="B40" s="175">
        <v>46062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2400</v>
      </c>
      <c r="J40" s="175">
        <v>46060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-1032</v>
      </c>
    </row>
    <row r="41" spans="1:16" ht="19.5" hidden="1" customHeight="1">
      <c r="A41" s="171" t="s">
        <v>1271</v>
      </c>
      <c r="B41" s="175">
        <v>46062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2400</v>
      </c>
      <c r="J41" s="175">
        <v>46060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-18.260000000000002</v>
      </c>
    </row>
    <row r="42" spans="1:16" ht="19.5" hidden="1" customHeight="1">
      <c r="A42" s="171" t="s">
        <v>1272</v>
      </c>
      <c r="B42" s="175">
        <v>46062</v>
      </c>
      <c r="C42" s="171" t="s">
        <v>110</v>
      </c>
      <c r="D42" s="171" t="s">
        <v>24</v>
      </c>
      <c r="E42" s="171" t="s">
        <v>77</v>
      </c>
      <c r="F42" s="171" t="s">
        <v>194</v>
      </c>
      <c r="G42" s="171" t="s">
        <v>177</v>
      </c>
      <c r="H42" s="176">
        <v>1</v>
      </c>
      <c r="I42" s="177">
        <v>5412</v>
      </c>
      <c r="J42" s="175">
        <v>46054</v>
      </c>
      <c r="K42" s="171" t="s">
        <v>113</v>
      </c>
      <c r="L42" s="171" t="s">
        <v>114</v>
      </c>
      <c r="M42" s="178">
        <v>0.43</v>
      </c>
      <c r="N42" s="176"/>
      <c r="O42" s="176">
        <v>42</v>
      </c>
      <c r="P42" s="179">
        <v>-243.64</v>
      </c>
    </row>
    <row r="43" spans="1:16" ht="19.5" hidden="1" customHeight="1">
      <c r="A43" s="171" t="s">
        <v>1272</v>
      </c>
      <c r="B43" s="175">
        <v>46062</v>
      </c>
      <c r="C43" s="171" t="s">
        <v>127</v>
      </c>
      <c r="D43" s="171" t="s">
        <v>128</v>
      </c>
      <c r="E43" s="171" t="s">
        <v>77</v>
      </c>
      <c r="F43" s="171" t="s">
        <v>194</v>
      </c>
      <c r="G43" s="171" t="s">
        <v>177</v>
      </c>
      <c r="H43" s="176">
        <v>1</v>
      </c>
      <c r="I43" s="177">
        <v>5412</v>
      </c>
      <c r="J43" s="175">
        <v>46054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2057.98</v>
      </c>
    </row>
    <row r="44" spans="1:16" ht="19.5" hidden="1" customHeight="1">
      <c r="A44" s="171" t="s">
        <v>1272</v>
      </c>
      <c r="B44" s="175">
        <v>46062</v>
      </c>
      <c r="C44" s="171" t="s">
        <v>127</v>
      </c>
      <c r="D44" s="171" t="s">
        <v>129</v>
      </c>
      <c r="E44" s="171" t="s">
        <v>77</v>
      </c>
      <c r="F44" s="171" t="s">
        <v>194</v>
      </c>
      <c r="G44" s="171" t="s">
        <v>177</v>
      </c>
      <c r="H44" s="176">
        <v>1</v>
      </c>
      <c r="I44" s="177">
        <v>5412</v>
      </c>
      <c r="J44" s="175">
        <v>46054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hidden="1" customHeight="1">
      <c r="A45" s="171" t="s">
        <v>1272</v>
      </c>
      <c r="B45" s="175">
        <v>46062</v>
      </c>
      <c r="C45" s="171" t="s">
        <v>127</v>
      </c>
      <c r="D45" s="171" t="s">
        <v>130</v>
      </c>
      <c r="E45" s="171" t="s">
        <v>77</v>
      </c>
      <c r="F45" s="171" t="s">
        <v>194</v>
      </c>
      <c r="G45" s="171" t="s">
        <v>177</v>
      </c>
      <c r="H45" s="176">
        <v>1</v>
      </c>
      <c r="I45" s="177">
        <v>5412</v>
      </c>
      <c r="J45" s="175">
        <v>46054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3354.02</v>
      </c>
    </row>
    <row r="46" spans="1:16" ht="19.5" hidden="1" customHeight="1">
      <c r="A46" s="171" t="s">
        <v>1272</v>
      </c>
      <c r="B46" s="175">
        <v>46062</v>
      </c>
      <c r="C46" s="171" t="s">
        <v>131</v>
      </c>
      <c r="D46" s="171" t="s">
        <v>132</v>
      </c>
      <c r="E46" s="171" t="s">
        <v>77</v>
      </c>
      <c r="F46" s="171" t="s">
        <v>194</v>
      </c>
      <c r="G46" s="171" t="s">
        <v>177</v>
      </c>
      <c r="H46" s="176">
        <v>1</v>
      </c>
      <c r="I46" s="177">
        <v>5412</v>
      </c>
      <c r="J46" s="175">
        <v>46054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-2327.16</v>
      </c>
    </row>
    <row r="47" spans="1:16" ht="19.5" hidden="1" customHeight="1">
      <c r="A47" s="171" t="s">
        <v>1272</v>
      </c>
      <c r="B47" s="175">
        <v>46062</v>
      </c>
      <c r="C47" s="171" t="s">
        <v>115</v>
      </c>
      <c r="D47" s="171" t="s">
        <v>116</v>
      </c>
      <c r="E47" s="171" t="s">
        <v>77</v>
      </c>
      <c r="F47" s="171" t="s">
        <v>194</v>
      </c>
      <c r="G47" s="171" t="s">
        <v>177</v>
      </c>
      <c r="H47" s="176">
        <v>1</v>
      </c>
      <c r="I47" s="177">
        <v>5412</v>
      </c>
      <c r="J47" s="175">
        <v>46054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-14.77</v>
      </c>
    </row>
    <row r="48" spans="1:16" ht="19.5" hidden="1" customHeight="1">
      <c r="A48" s="171" t="s">
        <v>1273</v>
      </c>
      <c r="B48" s="175">
        <v>46062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1800</v>
      </c>
      <c r="J48" s="175">
        <v>46057</v>
      </c>
      <c r="K48" s="171" t="s">
        <v>113</v>
      </c>
      <c r="L48" s="171" t="s">
        <v>114</v>
      </c>
      <c r="M48" s="178">
        <v>0.43</v>
      </c>
      <c r="N48" s="176"/>
      <c r="O48" s="176">
        <v>42</v>
      </c>
      <c r="P48" s="179">
        <v>-124.73</v>
      </c>
    </row>
    <row r="49" spans="1:16" ht="19.5" hidden="1" customHeight="1">
      <c r="A49" s="171" t="s">
        <v>1273</v>
      </c>
      <c r="B49" s="175">
        <v>46062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1800</v>
      </c>
      <c r="J49" s="175">
        <v>46057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847.76</v>
      </c>
    </row>
    <row r="50" spans="1:16" ht="19.5" hidden="1" customHeight="1">
      <c r="A50" s="171" t="s">
        <v>1273</v>
      </c>
      <c r="B50" s="175">
        <v>46062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1800</v>
      </c>
      <c r="J50" s="175">
        <v>46057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8.48</v>
      </c>
    </row>
    <row r="51" spans="1:16" ht="19.5" hidden="1" customHeight="1">
      <c r="A51" s="171" t="s">
        <v>1273</v>
      </c>
      <c r="B51" s="175">
        <v>46062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1800</v>
      </c>
      <c r="J51" s="175">
        <v>46057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943.76</v>
      </c>
    </row>
    <row r="52" spans="1:16" ht="19.5" hidden="1" customHeight="1">
      <c r="A52" s="171" t="s">
        <v>1273</v>
      </c>
      <c r="B52" s="175">
        <v>46062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1800</v>
      </c>
      <c r="J52" s="175">
        <v>46057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-774</v>
      </c>
    </row>
    <row r="53" spans="1:16" ht="19.5" hidden="1" customHeight="1">
      <c r="A53" s="171" t="s">
        <v>1273</v>
      </c>
      <c r="B53" s="175">
        <v>46062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1800</v>
      </c>
      <c r="J53" s="175">
        <v>46057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-11.56</v>
      </c>
    </row>
    <row r="54" spans="1:16" ht="19.5" hidden="1" customHeight="1">
      <c r="A54" s="171" t="s">
        <v>1274</v>
      </c>
      <c r="B54" s="175">
        <v>46062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4919</v>
      </c>
      <c r="J54" s="175">
        <v>46059</v>
      </c>
      <c r="K54" s="171" t="s">
        <v>113</v>
      </c>
      <c r="L54" s="171" t="s">
        <v>114</v>
      </c>
      <c r="M54" s="178">
        <v>0.43</v>
      </c>
      <c r="N54" s="176"/>
      <c r="O54" s="176">
        <v>42</v>
      </c>
      <c r="P54" s="179">
        <v>-229.59</v>
      </c>
    </row>
    <row r="55" spans="1:16" ht="19.5" hidden="1" customHeight="1">
      <c r="A55" s="171" t="s">
        <v>1274</v>
      </c>
      <c r="B55" s="175">
        <v>46062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4919</v>
      </c>
      <c r="J55" s="175">
        <v>46059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2057.0300000000002</v>
      </c>
    </row>
    <row r="56" spans="1:16" ht="19.5" hidden="1" customHeight="1">
      <c r="A56" s="171" t="s">
        <v>1274</v>
      </c>
      <c r="B56" s="175">
        <v>46062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4919</v>
      </c>
      <c r="J56" s="175">
        <v>46059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20.57</v>
      </c>
    </row>
    <row r="57" spans="1:16" ht="19.5" hidden="1" customHeight="1">
      <c r="A57" s="171" t="s">
        <v>1274</v>
      </c>
      <c r="B57" s="175">
        <v>46062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4919</v>
      </c>
      <c r="J57" s="175">
        <v>46059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2841.4</v>
      </c>
    </row>
    <row r="58" spans="1:16" ht="19.5" hidden="1" customHeight="1">
      <c r="A58" s="171" t="s">
        <v>1274</v>
      </c>
      <c r="B58" s="175">
        <v>46062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4919</v>
      </c>
      <c r="J58" s="175">
        <v>46059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-2115.17</v>
      </c>
    </row>
    <row r="59" spans="1:16" ht="19.5" hidden="1" customHeight="1">
      <c r="A59" s="171" t="s">
        <v>1274</v>
      </c>
      <c r="B59" s="175">
        <v>46062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4919</v>
      </c>
      <c r="J59" s="175">
        <v>46059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-25</v>
      </c>
    </row>
    <row r="60" spans="1:16" ht="19.5" hidden="1" customHeight="1">
      <c r="A60" s="171" t="s">
        <v>1274</v>
      </c>
      <c r="B60" s="175">
        <v>46062</v>
      </c>
      <c r="C60" s="171" t="s">
        <v>115</v>
      </c>
      <c r="D60" s="171" t="s">
        <v>135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46059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-39.08</v>
      </c>
    </row>
    <row r="61" spans="1:16" ht="19.5" hidden="1" customHeight="1">
      <c r="A61" s="171" t="s">
        <v>1269</v>
      </c>
      <c r="B61" s="175">
        <v>46062</v>
      </c>
      <c r="C61" s="171" t="s">
        <v>308</v>
      </c>
      <c r="D61" s="171" t="s">
        <v>419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-1692</v>
      </c>
      <c r="J61" s="175">
        <v>46059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-697.14</v>
      </c>
    </row>
    <row r="62" spans="1:16" ht="19.5" hidden="1" customHeight="1">
      <c r="A62" s="171" t="s">
        <v>1269</v>
      </c>
      <c r="B62" s="175">
        <v>46062</v>
      </c>
      <c r="C62" s="171" t="s">
        <v>308</v>
      </c>
      <c r="D62" s="171" t="s">
        <v>129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-1692</v>
      </c>
      <c r="J62" s="175">
        <v>46059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-6.97</v>
      </c>
    </row>
    <row r="63" spans="1:16" ht="19.5" hidden="1" customHeight="1">
      <c r="A63" s="171" t="s">
        <v>1269</v>
      </c>
      <c r="B63" s="175">
        <v>46062</v>
      </c>
      <c r="C63" s="171" t="s">
        <v>308</v>
      </c>
      <c r="D63" s="171" t="s">
        <v>130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-1692</v>
      </c>
      <c r="J63" s="175">
        <v>46059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-987.89</v>
      </c>
    </row>
    <row r="64" spans="1:16" ht="19.5" hidden="1" customHeight="1">
      <c r="A64" s="171" t="s">
        <v>1269</v>
      </c>
      <c r="B64" s="175">
        <v>46062</v>
      </c>
      <c r="C64" s="171" t="s">
        <v>131</v>
      </c>
      <c r="D64" s="171" t="s">
        <v>420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-1692</v>
      </c>
      <c r="J64" s="175">
        <v>46059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727.56</v>
      </c>
    </row>
    <row r="65" spans="1:16" ht="19.5" hidden="1" customHeight="1">
      <c r="A65" s="171" t="s">
        <v>1161</v>
      </c>
      <c r="B65" s="175">
        <v>46062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46059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13.25</v>
      </c>
    </row>
    <row r="66" spans="1:16" ht="19.5" hidden="1" customHeight="1">
      <c r="A66" s="171" t="s">
        <v>1275</v>
      </c>
      <c r="B66" s="175">
        <v>46062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0</v>
      </c>
      <c r="J66" s="175">
        <v>46059</v>
      </c>
      <c r="K66" s="171" t="s">
        <v>113</v>
      </c>
      <c r="L66" s="171" t="s">
        <v>114</v>
      </c>
      <c r="M66" s="178">
        <v>0</v>
      </c>
      <c r="N66" s="176"/>
      <c r="O66" s="176">
        <v>42</v>
      </c>
      <c r="P66" s="179">
        <v>-46.77</v>
      </c>
    </row>
    <row r="67" spans="1:16" ht="19.5" hidden="1" customHeight="1">
      <c r="A67" s="171" t="s">
        <v>1275</v>
      </c>
      <c r="B67" s="175">
        <v>46062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0</v>
      </c>
      <c r="J67" s="175">
        <v>46059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-15.3</v>
      </c>
    </row>
    <row r="68" spans="1:16" ht="19.5" hidden="1" customHeight="1">
      <c r="A68" s="171" t="s">
        <v>1275</v>
      </c>
      <c r="B68" s="175">
        <v>46062</v>
      </c>
      <c r="C68" s="171" t="s">
        <v>110</v>
      </c>
      <c r="D68" s="171" t="s">
        <v>117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0</v>
      </c>
    </row>
    <row r="69" spans="1:16" ht="19.5" hidden="1" customHeight="1">
      <c r="A69" s="171" t="s">
        <v>1275</v>
      </c>
      <c r="B69" s="175">
        <v>46062</v>
      </c>
      <c r="C69" s="171" t="s">
        <v>110</v>
      </c>
      <c r="D69" s="171" t="s">
        <v>118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-46.77</v>
      </c>
    </row>
    <row r="70" spans="1:16" ht="19.5" hidden="1" customHeight="1">
      <c r="A70" s="171" t="s">
        <v>1275</v>
      </c>
      <c r="B70" s="175">
        <v>46062</v>
      </c>
      <c r="C70" s="171" t="s">
        <v>115</v>
      </c>
      <c r="D70" s="171" t="s">
        <v>119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0</v>
      </c>
      <c r="J70" s="175">
        <v>46059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-15</v>
      </c>
    </row>
    <row r="71" spans="1:16" ht="19.5" hidden="1" customHeight="1">
      <c r="A71" s="171" t="s">
        <v>1276</v>
      </c>
      <c r="B71" s="175">
        <v>46062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1692</v>
      </c>
      <c r="J71" s="175">
        <v>46059</v>
      </c>
      <c r="K71" s="171" t="s">
        <v>113</v>
      </c>
      <c r="L71" s="171" t="s">
        <v>114</v>
      </c>
      <c r="M71" s="178">
        <v>0.43</v>
      </c>
      <c r="N71" s="176"/>
      <c r="O71" s="176">
        <v>42</v>
      </c>
      <c r="P71" s="179">
        <v>-121.65</v>
      </c>
    </row>
    <row r="72" spans="1:16" ht="19.5" hidden="1" customHeight="1">
      <c r="A72" s="171" t="s">
        <v>1276</v>
      </c>
      <c r="B72" s="175">
        <v>46062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1692</v>
      </c>
      <c r="J72" s="175">
        <v>46059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733.33</v>
      </c>
    </row>
    <row r="73" spans="1:16" ht="19.5" hidden="1" customHeight="1">
      <c r="A73" s="171" t="s">
        <v>1276</v>
      </c>
      <c r="B73" s="175">
        <v>46062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1692</v>
      </c>
      <c r="J73" s="175">
        <v>46059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7.33</v>
      </c>
    </row>
    <row r="74" spans="1:16" ht="19.5" hidden="1" customHeight="1">
      <c r="A74" s="171" t="s">
        <v>1276</v>
      </c>
      <c r="B74" s="175">
        <v>46062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1692</v>
      </c>
      <c r="J74" s="175">
        <v>46059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951.34</v>
      </c>
    </row>
    <row r="75" spans="1:16" ht="19.5" hidden="1" customHeight="1">
      <c r="A75" s="171" t="s">
        <v>1276</v>
      </c>
      <c r="B75" s="175">
        <v>46062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1692</v>
      </c>
      <c r="J75" s="175">
        <v>46059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-727.56</v>
      </c>
    </row>
    <row r="76" spans="1:16" ht="19.5" hidden="1" customHeight="1">
      <c r="A76" s="171" t="s">
        <v>1276</v>
      </c>
      <c r="B76" s="175">
        <v>46062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1692</v>
      </c>
      <c r="J76" s="175">
        <v>46059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-25</v>
      </c>
    </row>
    <row r="77" spans="1:16" ht="19.5" hidden="1" customHeight="1">
      <c r="A77" s="171" t="s">
        <v>1276</v>
      </c>
      <c r="B77" s="175">
        <v>46062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46059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-13.93</v>
      </c>
    </row>
    <row r="78" spans="1:16" ht="19.5" hidden="1" customHeight="1">
      <c r="A78" s="171" t="s">
        <v>1277</v>
      </c>
      <c r="B78" s="175">
        <v>46062</v>
      </c>
      <c r="C78" s="171" t="s">
        <v>115</v>
      </c>
      <c r="D78" s="171" t="s">
        <v>135</v>
      </c>
      <c r="E78" s="171" t="s">
        <v>79</v>
      </c>
      <c r="F78" s="171" t="s">
        <v>441</v>
      </c>
      <c r="G78" s="171" t="s">
        <v>177</v>
      </c>
      <c r="H78" s="176">
        <v>1</v>
      </c>
      <c r="I78" s="177">
        <v>0</v>
      </c>
      <c r="J78" s="175">
        <v>46062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-48.5</v>
      </c>
    </row>
    <row r="79" spans="1:16" ht="19.5" hidden="1" customHeight="1">
      <c r="A79" s="171" t="s">
        <v>1277</v>
      </c>
      <c r="B79" s="175">
        <v>46062</v>
      </c>
      <c r="C79" s="171" t="s">
        <v>115</v>
      </c>
      <c r="D79" s="171" t="s">
        <v>135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46062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-39.369999999999997</v>
      </c>
    </row>
    <row r="80" spans="1:16" ht="19.5" hidden="1" customHeight="1">
      <c r="A80" s="171" t="s">
        <v>1278</v>
      </c>
      <c r="B80" s="175">
        <v>46062</v>
      </c>
      <c r="C80" s="171" t="s">
        <v>110</v>
      </c>
      <c r="D80" s="171" t="s">
        <v>24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2400</v>
      </c>
      <c r="J80" s="175">
        <v>46059</v>
      </c>
      <c r="K80" s="171" t="s">
        <v>113</v>
      </c>
      <c r="L80" s="171" t="s">
        <v>114</v>
      </c>
      <c r="M80" s="178">
        <v>0.43</v>
      </c>
      <c r="N80" s="176"/>
      <c r="O80" s="176">
        <v>42</v>
      </c>
      <c r="P80" s="179">
        <v>-141.83000000000001</v>
      </c>
    </row>
    <row r="81" spans="1:16" ht="19.5" hidden="1" customHeight="1">
      <c r="A81" s="171" t="s">
        <v>1278</v>
      </c>
      <c r="B81" s="175">
        <v>46062</v>
      </c>
      <c r="C81" s="171" t="s">
        <v>127</v>
      </c>
      <c r="D81" s="171" t="s">
        <v>128</v>
      </c>
      <c r="E81" s="171" t="s">
        <v>38</v>
      </c>
      <c r="F81" s="171" t="s">
        <v>111</v>
      </c>
      <c r="G81" s="171" t="s">
        <v>112</v>
      </c>
      <c r="H81" s="176">
        <v>1</v>
      </c>
      <c r="I81" s="177">
        <v>2400</v>
      </c>
      <c r="J81" s="175">
        <v>46059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1052.28</v>
      </c>
    </row>
    <row r="82" spans="1:16" ht="19.5" hidden="1" customHeight="1">
      <c r="A82" s="171" t="s">
        <v>1278</v>
      </c>
      <c r="B82" s="175">
        <v>46062</v>
      </c>
      <c r="C82" s="171" t="s">
        <v>127</v>
      </c>
      <c r="D82" s="171" t="s">
        <v>129</v>
      </c>
      <c r="E82" s="171" t="s">
        <v>38</v>
      </c>
      <c r="F82" s="171" t="s">
        <v>111</v>
      </c>
      <c r="G82" s="171" t="s">
        <v>112</v>
      </c>
      <c r="H82" s="176">
        <v>1</v>
      </c>
      <c r="I82" s="177">
        <v>2400</v>
      </c>
      <c r="J82" s="175">
        <v>46059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10.52</v>
      </c>
    </row>
    <row r="83" spans="1:16" ht="19.5" hidden="1" customHeight="1">
      <c r="A83" s="171" t="s">
        <v>1278</v>
      </c>
      <c r="B83" s="175">
        <v>46062</v>
      </c>
      <c r="C83" s="171" t="s">
        <v>127</v>
      </c>
      <c r="D83" s="171" t="s">
        <v>130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2400</v>
      </c>
      <c r="J83" s="175">
        <v>46059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1337.2</v>
      </c>
    </row>
    <row r="84" spans="1:16" ht="19.5" hidden="1" customHeight="1">
      <c r="A84" s="171" t="s">
        <v>1278</v>
      </c>
      <c r="B84" s="175">
        <v>46062</v>
      </c>
      <c r="C84" s="171" t="s">
        <v>131</v>
      </c>
      <c r="D84" s="171" t="s">
        <v>132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2400</v>
      </c>
      <c r="J84" s="175">
        <v>46059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-1032</v>
      </c>
    </row>
    <row r="85" spans="1:16" ht="19.5" hidden="1" customHeight="1">
      <c r="A85" s="171" t="s">
        <v>1278</v>
      </c>
      <c r="B85" s="175">
        <v>46062</v>
      </c>
      <c r="C85" s="171" t="s">
        <v>115</v>
      </c>
      <c r="D85" s="171" t="s">
        <v>116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2400</v>
      </c>
      <c r="J85" s="175">
        <v>46059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-12.13</v>
      </c>
    </row>
    <row r="86" spans="1:16" ht="19.5" hidden="1" customHeight="1">
      <c r="A86" s="171" t="s">
        <v>1279</v>
      </c>
      <c r="B86" s="175">
        <v>46062</v>
      </c>
      <c r="C86" s="171" t="s">
        <v>110</v>
      </c>
      <c r="D86" s="171" t="s">
        <v>24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1692</v>
      </c>
      <c r="J86" s="175">
        <v>46059</v>
      </c>
      <c r="K86" s="171" t="s">
        <v>113</v>
      </c>
      <c r="L86" s="171" t="s">
        <v>114</v>
      </c>
      <c r="M86" s="178">
        <v>0.43</v>
      </c>
      <c r="N86" s="176"/>
      <c r="O86" s="176">
        <v>42</v>
      </c>
      <c r="P86" s="179">
        <v>-121.65</v>
      </c>
    </row>
    <row r="87" spans="1:16" ht="19.5" hidden="1" customHeight="1">
      <c r="A87" s="171" t="s">
        <v>1279</v>
      </c>
      <c r="B87" s="175">
        <v>46062</v>
      </c>
      <c r="C87" s="171" t="s">
        <v>127</v>
      </c>
      <c r="D87" s="171" t="s">
        <v>128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1692</v>
      </c>
      <c r="J87" s="175">
        <v>46059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697.14</v>
      </c>
    </row>
    <row r="88" spans="1:16" ht="19.5" hidden="1" customHeight="1">
      <c r="A88" s="171" t="s">
        <v>1279</v>
      </c>
      <c r="B88" s="175">
        <v>46062</v>
      </c>
      <c r="C88" s="171" t="s">
        <v>127</v>
      </c>
      <c r="D88" s="171" t="s">
        <v>129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1692</v>
      </c>
      <c r="J88" s="175">
        <v>46059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6.97</v>
      </c>
    </row>
    <row r="89" spans="1:16" ht="19.5" hidden="1" customHeight="1">
      <c r="A89" s="171" t="s">
        <v>1279</v>
      </c>
      <c r="B89" s="175">
        <v>46062</v>
      </c>
      <c r="C89" s="171" t="s">
        <v>127</v>
      </c>
      <c r="D89" s="171" t="s">
        <v>130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1692</v>
      </c>
      <c r="J89" s="175">
        <v>46059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987.89</v>
      </c>
    </row>
    <row r="90" spans="1:16" ht="19.5" hidden="1" customHeight="1">
      <c r="A90" s="171" t="s">
        <v>1279</v>
      </c>
      <c r="B90" s="175">
        <v>46062</v>
      </c>
      <c r="C90" s="171" t="s">
        <v>131</v>
      </c>
      <c r="D90" s="171" t="s">
        <v>132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1692</v>
      </c>
      <c r="J90" s="175">
        <v>46059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-727.56</v>
      </c>
    </row>
    <row r="91" spans="1:16" ht="19.5" hidden="1" customHeight="1">
      <c r="A91" s="171" t="s">
        <v>1280</v>
      </c>
      <c r="B91" s="175">
        <v>46062</v>
      </c>
      <c r="C91" s="171" t="s">
        <v>110</v>
      </c>
      <c r="D91" s="171" t="s">
        <v>24</v>
      </c>
      <c r="E91" s="171" t="s">
        <v>41</v>
      </c>
      <c r="F91" s="171" t="s">
        <v>138</v>
      </c>
      <c r="G91" s="171" t="s">
        <v>112</v>
      </c>
      <c r="H91" s="176">
        <v>1</v>
      </c>
      <c r="I91" s="177">
        <v>0</v>
      </c>
      <c r="J91" s="175">
        <v>46050</v>
      </c>
      <c r="K91" s="171" t="s">
        <v>113</v>
      </c>
      <c r="L91" s="171" t="s">
        <v>114</v>
      </c>
      <c r="M91" s="178">
        <v>0</v>
      </c>
      <c r="N91" s="176"/>
      <c r="O91" s="176">
        <v>50</v>
      </c>
      <c r="P91" s="179">
        <v>-46.77</v>
      </c>
    </row>
    <row r="92" spans="1:16" ht="19.5" hidden="1" customHeight="1">
      <c r="A92" s="171" t="s">
        <v>1280</v>
      </c>
      <c r="B92" s="175">
        <v>46062</v>
      </c>
      <c r="C92" s="171" t="s">
        <v>115</v>
      </c>
      <c r="D92" s="171" t="s">
        <v>116</v>
      </c>
      <c r="E92" s="171" t="s">
        <v>41</v>
      </c>
      <c r="F92" s="171" t="s">
        <v>138</v>
      </c>
      <c r="G92" s="171" t="s">
        <v>112</v>
      </c>
      <c r="H92" s="176">
        <v>1</v>
      </c>
      <c r="I92" s="177">
        <v>0</v>
      </c>
      <c r="J92" s="175">
        <v>46050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-10.48</v>
      </c>
    </row>
    <row r="93" spans="1:16" ht="19.5" hidden="1" customHeight="1">
      <c r="A93" s="171" t="s">
        <v>1281</v>
      </c>
      <c r="B93" s="175">
        <v>46062</v>
      </c>
      <c r="C93" s="171" t="s">
        <v>110</v>
      </c>
      <c r="D93" s="171" t="s">
        <v>24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2000</v>
      </c>
      <c r="J93" s="175">
        <v>46058</v>
      </c>
      <c r="K93" s="171" t="s">
        <v>113</v>
      </c>
      <c r="L93" s="171" t="s">
        <v>114</v>
      </c>
      <c r="M93" s="178">
        <v>0.43</v>
      </c>
      <c r="N93" s="176"/>
      <c r="O93" s="176">
        <v>42</v>
      </c>
      <c r="P93" s="179">
        <v>-130.43</v>
      </c>
    </row>
    <row r="94" spans="1:16" ht="19.5" hidden="1" customHeight="1">
      <c r="A94" s="171" t="s">
        <v>1281</v>
      </c>
      <c r="B94" s="175">
        <v>46062</v>
      </c>
      <c r="C94" s="171" t="s">
        <v>127</v>
      </c>
      <c r="D94" s="171" t="s">
        <v>128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2000</v>
      </c>
      <c r="J94" s="175">
        <v>46058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865.71</v>
      </c>
    </row>
    <row r="95" spans="1:16" ht="19.5" hidden="1" customHeight="1">
      <c r="A95" s="171" t="s">
        <v>1281</v>
      </c>
      <c r="B95" s="175">
        <v>46062</v>
      </c>
      <c r="C95" s="171" t="s">
        <v>127</v>
      </c>
      <c r="D95" s="171" t="s">
        <v>129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2000</v>
      </c>
      <c r="J95" s="175">
        <v>46058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0</v>
      </c>
    </row>
    <row r="96" spans="1:16" ht="19.5" hidden="1" customHeight="1">
      <c r="A96" s="171" t="s">
        <v>1281</v>
      </c>
      <c r="B96" s="175">
        <v>46062</v>
      </c>
      <c r="C96" s="171" t="s">
        <v>127</v>
      </c>
      <c r="D96" s="171" t="s">
        <v>130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2000</v>
      </c>
      <c r="J96" s="175">
        <v>46058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1134.29</v>
      </c>
    </row>
    <row r="97" spans="1:16" ht="19.5" hidden="1" customHeight="1">
      <c r="A97" s="171" t="s">
        <v>1281</v>
      </c>
      <c r="B97" s="175">
        <v>46062</v>
      </c>
      <c r="C97" s="171" t="s">
        <v>131</v>
      </c>
      <c r="D97" s="171" t="s">
        <v>132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2000</v>
      </c>
      <c r="J97" s="175">
        <v>46058</v>
      </c>
      <c r="K97" s="171" t="s">
        <v>113</v>
      </c>
      <c r="L97" s="171" t="s">
        <v>114</v>
      </c>
      <c r="M97" s="178">
        <v>0.43</v>
      </c>
      <c r="N97" s="176"/>
      <c r="O97" s="176"/>
      <c r="P97" s="179">
        <v>-860</v>
      </c>
    </row>
    <row r="98" spans="1:16" ht="19.5" hidden="1" customHeight="1">
      <c r="A98" s="171" t="s">
        <v>1280</v>
      </c>
      <c r="B98" s="175">
        <v>46062</v>
      </c>
      <c r="C98" s="171" t="s">
        <v>110</v>
      </c>
      <c r="D98" s="171" t="s">
        <v>117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0</v>
      </c>
      <c r="J98" s="175">
        <v>46050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0</v>
      </c>
    </row>
    <row r="99" spans="1:16" ht="19.5" hidden="1" customHeight="1">
      <c r="A99" s="171" t="s">
        <v>1280</v>
      </c>
      <c r="B99" s="175">
        <v>46062</v>
      </c>
      <c r="C99" s="171" t="s">
        <v>110</v>
      </c>
      <c r="D99" s="171" t="s">
        <v>118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0</v>
      </c>
      <c r="J99" s="175">
        <v>46050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-46.77</v>
      </c>
    </row>
    <row r="100" spans="1:16" ht="19.5" hidden="1" customHeight="1">
      <c r="A100" s="171" t="s">
        <v>1282</v>
      </c>
      <c r="B100" s="175">
        <v>46062</v>
      </c>
      <c r="C100" s="171" t="s">
        <v>110</v>
      </c>
      <c r="D100" s="171" t="s">
        <v>24</v>
      </c>
      <c r="E100" s="171" t="s">
        <v>48</v>
      </c>
      <c r="F100" s="171" t="s">
        <v>198</v>
      </c>
      <c r="G100" s="171" t="s">
        <v>112</v>
      </c>
      <c r="H100" s="176">
        <v>1</v>
      </c>
      <c r="I100" s="177">
        <v>0</v>
      </c>
      <c r="J100" s="175">
        <v>46054</v>
      </c>
      <c r="K100" s="171" t="s">
        <v>113</v>
      </c>
      <c r="L100" s="171" t="s">
        <v>114</v>
      </c>
      <c r="M100" s="178">
        <v>0</v>
      </c>
      <c r="N100" s="176"/>
      <c r="O100" s="176">
        <v>42</v>
      </c>
      <c r="P100" s="179">
        <v>-46.77</v>
      </c>
    </row>
    <row r="101" spans="1:16" ht="19.5" hidden="1" customHeight="1">
      <c r="A101" s="171" t="s">
        <v>1282</v>
      </c>
      <c r="B101" s="175">
        <v>46062</v>
      </c>
      <c r="C101" s="171" t="s">
        <v>115</v>
      </c>
      <c r="D101" s="171" t="s">
        <v>116</v>
      </c>
      <c r="E101" s="171" t="s">
        <v>48</v>
      </c>
      <c r="F101" s="171" t="s">
        <v>198</v>
      </c>
      <c r="G101" s="171" t="s">
        <v>112</v>
      </c>
      <c r="H101" s="176">
        <v>1</v>
      </c>
      <c r="I101" s="177">
        <v>0</v>
      </c>
      <c r="J101" s="175">
        <v>46054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-10.7</v>
      </c>
    </row>
    <row r="102" spans="1:16" ht="19.5" hidden="1" customHeight="1">
      <c r="A102" s="171" t="s">
        <v>1282</v>
      </c>
      <c r="B102" s="175">
        <v>46062</v>
      </c>
      <c r="C102" s="171" t="s">
        <v>110</v>
      </c>
      <c r="D102" s="171" t="s">
        <v>117</v>
      </c>
      <c r="E102" s="171" t="s">
        <v>48</v>
      </c>
      <c r="F102" s="171" t="s">
        <v>198</v>
      </c>
      <c r="G102" s="171" t="s">
        <v>112</v>
      </c>
      <c r="H102" s="176">
        <v>1</v>
      </c>
      <c r="I102" s="177">
        <v>0</v>
      </c>
      <c r="J102" s="175">
        <v>46054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0</v>
      </c>
    </row>
    <row r="103" spans="1:16" ht="19.5" hidden="1" customHeight="1">
      <c r="A103" s="171" t="s">
        <v>1282</v>
      </c>
      <c r="B103" s="175">
        <v>46062</v>
      </c>
      <c r="C103" s="171" t="s">
        <v>110</v>
      </c>
      <c r="D103" s="171" t="s">
        <v>118</v>
      </c>
      <c r="E103" s="171" t="s">
        <v>48</v>
      </c>
      <c r="F103" s="171" t="s">
        <v>198</v>
      </c>
      <c r="G103" s="171" t="s">
        <v>112</v>
      </c>
      <c r="H103" s="176">
        <v>1</v>
      </c>
      <c r="I103" s="177">
        <v>0</v>
      </c>
      <c r="J103" s="175">
        <v>46054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-46.77</v>
      </c>
    </row>
    <row r="104" spans="1:16" ht="19.5" hidden="1" customHeight="1">
      <c r="A104" s="171" t="s">
        <v>1282</v>
      </c>
      <c r="B104" s="175">
        <v>46062</v>
      </c>
      <c r="C104" s="171" t="s">
        <v>115</v>
      </c>
      <c r="D104" s="171" t="s">
        <v>119</v>
      </c>
      <c r="E104" s="171" t="s">
        <v>48</v>
      </c>
      <c r="F104" s="171" t="s">
        <v>198</v>
      </c>
      <c r="G104" s="171" t="s">
        <v>112</v>
      </c>
      <c r="H104" s="176">
        <v>1</v>
      </c>
      <c r="I104" s="177">
        <v>0</v>
      </c>
      <c r="J104" s="175">
        <v>46054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-15</v>
      </c>
    </row>
    <row r="105" spans="1:16" ht="19.5" hidden="1" customHeight="1">
      <c r="A105" s="171" t="s">
        <v>1283</v>
      </c>
      <c r="B105" s="175">
        <v>46062</v>
      </c>
      <c r="C105" s="171" t="s">
        <v>110</v>
      </c>
      <c r="D105" s="171" t="s">
        <v>24</v>
      </c>
      <c r="E105" s="171" t="s">
        <v>66</v>
      </c>
      <c r="F105" s="171" t="s">
        <v>602</v>
      </c>
      <c r="G105" s="171" t="s">
        <v>177</v>
      </c>
      <c r="H105" s="176">
        <v>1</v>
      </c>
      <c r="I105" s="177">
        <v>4200</v>
      </c>
      <c r="J105" s="175">
        <v>46057</v>
      </c>
      <c r="K105" s="171" t="s">
        <v>113</v>
      </c>
      <c r="L105" s="171" t="s">
        <v>114</v>
      </c>
      <c r="M105" s="178">
        <v>0.43</v>
      </c>
      <c r="N105" s="176"/>
      <c r="O105" s="176">
        <v>42</v>
      </c>
      <c r="P105" s="179">
        <v>-209.1</v>
      </c>
    </row>
    <row r="106" spans="1:16" ht="19.5" hidden="1" customHeight="1">
      <c r="A106" s="171" t="s">
        <v>1283</v>
      </c>
      <c r="B106" s="175">
        <v>46062</v>
      </c>
      <c r="C106" s="171" t="s">
        <v>127</v>
      </c>
      <c r="D106" s="171" t="s">
        <v>128</v>
      </c>
      <c r="E106" s="171" t="s">
        <v>66</v>
      </c>
      <c r="F106" s="171" t="s">
        <v>602</v>
      </c>
      <c r="G106" s="171" t="s">
        <v>177</v>
      </c>
      <c r="H106" s="176">
        <v>1</v>
      </c>
      <c r="I106" s="177">
        <v>4200</v>
      </c>
      <c r="J106" s="175">
        <v>46057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2323.19</v>
      </c>
    </row>
    <row r="107" spans="1:16" ht="19.5" hidden="1" customHeight="1">
      <c r="A107" s="171" t="s">
        <v>1283</v>
      </c>
      <c r="B107" s="175">
        <v>46062</v>
      </c>
      <c r="C107" s="171" t="s">
        <v>127</v>
      </c>
      <c r="D107" s="171" t="s">
        <v>129</v>
      </c>
      <c r="E107" s="171" t="s">
        <v>66</v>
      </c>
      <c r="F107" s="171" t="s">
        <v>602</v>
      </c>
      <c r="G107" s="171" t="s">
        <v>177</v>
      </c>
      <c r="H107" s="176">
        <v>1</v>
      </c>
      <c r="I107" s="177">
        <v>4200</v>
      </c>
      <c r="J107" s="175">
        <v>46057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23.23</v>
      </c>
    </row>
    <row r="108" spans="1:16" ht="19.5" hidden="1" customHeight="1">
      <c r="A108" s="171" t="s">
        <v>1283</v>
      </c>
      <c r="B108" s="175">
        <v>46062</v>
      </c>
      <c r="C108" s="171" t="s">
        <v>127</v>
      </c>
      <c r="D108" s="171" t="s">
        <v>130</v>
      </c>
      <c r="E108" s="171" t="s">
        <v>66</v>
      </c>
      <c r="F108" s="171" t="s">
        <v>602</v>
      </c>
      <c r="G108" s="171" t="s">
        <v>177</v>
      </c>
      <c r="H108" s="176">
        <v>1</v>
      </c>
      <c r="I108" s="177">
        <v>4200</v>
      </c>
      <c r="J108" s="175">
        <v>46057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1853.58</v>
      </c>
    </row>
    <row r="109" spans="1:16" ht="19.5" hidden="1" customHeight="1">
      <c r="A109" s="171" t="s">
        <v>1283</v>
      </c>
      <c r="B109" s="175">
        <v>46062</v>
      </c>
      <c r="C109" s="171" t="s">
        <v>131</v>
      </c>
      <c r="D109" s="171" t="s">
        <v>132</v>
      </c>
      <c r="E109" s="171" t="s">
        <v>66</v>
      </c>
      <c r="F109" s="171" t="s">
        <v>602</v>
      </c>
      <c r="G109" s="171" t="s">
        <v>177</v>
      </c>
      <c r="H109" s="176">
        <v>1</v>
      </c>
      <c r="I109" s="177">
        <v>4200</v>
      </c>
      <c r="J109" s="175">
        <v>46057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-1806</v>
      </c>
    </row>
    <row r="110" spans="1:16" ht="19.5" hidden="1" customHeight="1">
      <c r="A110" s="171" t="s">
        <v>1283</v>
      </c>
      <c r="B110" s="175">
        <v>46062</v>
      </c>
      <c r="C110" s="171" t="s">
        <v>115</v>
      </c>
      <c r="D110" s="171" t="s">
        <v>116</v>
      </c>
      <c r="E110" s="171" t="s">
        <v>66</v>
      </c>
      <c r="F110" s="171" t="s">
        <v>602</v>
      </c>
      <c r="G110" s="171" t="s">
        <v>177</v>
      </c>
      <c r="H110" s="176">
        <v>1</v>
      </c>
      <c r="I110" s="177">
        <v>4200</v>
      </c>
      <c r="J110" s="175">
        <v>46057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-13.43</v>
      </c>
    </row>
    <row r="111" spans="1:16" ht="19.5" hidden="1" customHeight="1">
      <c r="A111" s="171" t="s">
        <v>1284</v>
      </c>
      <c r="B111" s="175">
        <v>46062</v>
      </c>
      <c r="C111" s="171" t="s">
        <v>110</v>
      </c>
      <c r="D111" s="171" t="s">
        <v>24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1692</v>
      </c>
      <c r="J111" s="175">
        <v>46059</v>
      </c>
      <c r="K111" s="171" t="s">
        <v>113</v>
      </c>
      <c r="L111" s="171" t="s">
        <v>114</v>
      </c>
      <c r="M111" s="178">
        <v>0.43</v>
      </c>
      <c r="N111" s="176"/>
      <c r="O111" s="176">
        <v>42</v>
      </c>
      <c r="P111" s="179">
        <v>-121.65</v>
      </c>
    </row>
    <row r="112" spans="1:16" ht="19.5" hidden="1" customHeight="1">
      <c r="A112" s="171" t="s">
        <v>1284</v>
      </c>
      <c r="B112" s="175">
        <v>46062</v>
      </c>
      <c r="C112" s="171" t="s">
        <v>127</v>
      </c>
      <c r="D112" s="171" t="s">
        <v>128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1692</v>
      </c>
      <c r="J112" s="175">
        <v>46059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733.33</v>
      </c>
    </row>
    <row r="113" spans="1:16" ht="19.5" hidden="1" customHeight="1">
      <c r="A113" s="171" t="s">
        <v>1284</v>
      </c>
      <c r="B113" s="175">
        <v>46062</v>
      </c>
      <c r="C113" s="171" t="s">
        <v>127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1692</v>
      </c>
      <c r="J113" s="175">
        <v>46059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7.33</v>
      </c>
    </row>
    <row r="114" spans="1:16" ht="19.5" hidden="1" customHeight="1">
      <c r="A114" s="171" t="s">
        <v>1284</v>
      </c>
      <c r="B114" s="175">
        <v>46062</v>
      </c>
      <c r="C114" s="171" t="s">
        <v>127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1692</v>
      </c>
      <c r="J114" s="175">
        <v>46059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951.34</v>
      </c>
    </row>
    <row r="115" spans="1:16" ht="19.5" hidden="1" customHeight="1">
      <c r="A115" s="171" t="s">
        <v>1284</v>
      </c>
      <c r="B115" s="175">
        <v>46062</v>
      </c>
      <c r="C115" s="171" t="s">
        <v>131</v>
      </c>
      <c r="D115" s="171" t="s">
        <v>132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1692</v>
      </c>
      <c r="J115" s="175">
        <v>46059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-727.56</v>
      </c>
    </row>
    <row r="116" spans="1:16" ht="19.5" hidden="1" customHeight="1">
      <c r="A116" s="171" t="s">
        <v>1284</v>
      </c>
      <c r="B116" s="175">
        <v>46062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1692</v>
      </c>
      <c r="J116" s="175">
        <v>46059</v>
      </c>
      <c r="K116" s="171" t="s">
        <v>113</v>
      </c>
      <c r="L116" s="171" t="s">
        <v>114</v>
      </c>
      <c r="M116" s="178">
        <v>0.43</v>
      </c>
      <c r="N116" s="176"/>
      <c r="O116" s="176"/>
      <c r="P116" s="179">
        <v>-9.02</v>
      </c>
    </row>
    <row r="117" spans="1:16" ht="19.5" hidden="1" customHeight="1">
      <c r="A117" s="171" t="s">
        <v>1285</v>
      </c>
      <c r="B117" s="175">
        <v>46062</v>
      </c>
      <c r="C117" s="171" t="s">
        <v>110</v>
      </c>
      <c r="D117" s="171" t="s">
        <v>24</v>
      </c>
      <c r="E117" s="171" t="s">
        <v>77</v>
      </c>
      <c r="F117" s="171" t="s">
        <v>194</v>
      </c>
      <c r="G117" s="171" t="s">
        <v>177</v>
      </c>
      <c r="H117" s="176">
        <v>1</v>
      </c>
      <c r="I117" s="177">
        <v>5412</v>
      </c>
      <c r="J117" s="175">
        <v>46052</v>
      </c>
      <c r="K117" s="171" t="s">
        <v>113</v>
      </c>
      <c r="L117" s="171" t="s">
        <v>114</v>
      </c>
      <c r="M117" s="178">
        <v>0.43</v>
      </c>
      <c r="N117" s="176"/>
      <c r="O117" s="176">
        <v>49</v>
      </c>
      <c r="P117" s="179">
        <v>-302.60000000000002</v>
      </c>
    </row>
    <row r="118" spans="1:16" ht="19.5" hidden="1" customHeight="1">
      <c r="A118" s="171" t="s">
        <v>1285</v>
      </c>
      <c r="B118" s="175">
        <v>46062</v>
      </c>
      <c r="C118" s="171" t="s">
        <v>127</v>
      </c>
      <c r="D118" s="171" t="s">
        <v>128</v>
      </c>
      <c r="E118" s="171" t="s">
        <v>77</v>
      </c>
      <c r="F118" s="171" t="s">
        <v>194</v>
      </c>
      <c r="G118" s="171" t="s">
        <v>177</v>
      </c>
      <c r="H118" s="176">
        <v>1</v>
      </c>
      <c r="I118" s="177">
        <v>5412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1887.2</v>
      </c>
    </row>
    <row r="119" spans="1:16" ht="19.5" hidden="1" customHeight="1">
      <c r="A119" s="171" t="s">
        <v>1285</v>
      </c>
      <c r="B119" s="175">
        <v>46062</v>
      </c>
      <c r="C119" s="171" t="s">
        <v>127</v>
      </c>
      <c r="D119" s="171" t="s">
        <v>129</v>
      </c>
      <c r="E119" s="171" t="s">
        <v>77</v>
      </c>
      <c r="F119" s="171" t="s">
        <v>194</v>
      </c>
      <c r="G119" s="171" t="s">
        <v>177</v>
      </c>
      <c r="H119" s="176">
        <v>1</v>
      </c>
      <c r="I119" s="177">
        <v>5412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18.87</v>
      </c>
    </row>
    <row r="120" spans="1:16" ht="19.5" hidden="1" customHeight="1">
      <c r="A120" s="171" t="s">
        <v>1285</v>
      </c>
      <c r="B120" s="175">
        <v>46062</v>
      </c>
      <c r="C120" s="171" t="s">
        <v>127</v>
      </c>
      <c r="D120" s="171" t="s">
        <v>130</v>
      </c>
      <c r="E120" s="171" t="s">
        <v>77</v>
      </c>
      <c r="F120" s="171" t="s">
        <v>194</v>
      </c>
      <c r="G120" s="171" t="s">
        <v>177</v>
      </c>
      <c r="H120" s="176">
        <v>1</v>
      </c>
      <c r="I120" s="177">
        <v>5412</v>
      </c>
      <c r="J120" s="175">
        <v>46052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3505.93</v>
      </c>
    </row>
    <row r="121" spans="1:16" ht="19.5" hidden="1" customHeight="1">
      <c r="A121" s="171" t="s">
        <v>1285</v>
      </c>
      <c r="B121" s="175">
        <v>46062</v>
      </c>
      <c r="C121" s="171" t="s">
        <v>131</v>
      </c>
      <c r="D121" s="171" t="s">
        <v>132</v>
      </c>
      <c r="E121" s="171" t="s">
        <v>77</v>
      </c>
      <c r="F121" s="171" t="s">
        <v>194</v>
      </c>
      <c r="G121" s="171" t="s">
        <v>177</v>
      </c>
      <c r="H121" s="176">
        <v>1</v>
      </c>
      <c r="I121" s="177">
        <v>5412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-2327.16</v>
      </c>
    </row>
    <row r="122" spans="1:16" ht="19.5" hidden="1" customHeight="1">
      <c r="A122" s="171" t="s">
        <v>1285</v>
      </c>
      <c r="B122" s="175">
        <v>46062</v>
      </c>
      <c r="C122" s="171" t="s">
        <v>115</v>
      </c>
      <c r="D122" s="171" t="s">
        <v>116</v>
      </c>
      <c r="E122" s="171" t="s">
        <v>77</v>
      </c>
      <c r="F122" s="171" t="s">
        <v>194</v>
      </c>
      <c r="G122" s="171" t="s">
        <v>177</v>
      </c>
      <c r="H122" s="176">
        <v>1</v>
      </c>
      <c r="I122" s="177">
        <v>5412</v>
      </c>
      <c r="J122" s="175">
        <v>46052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-15.78</v>
      </c>
    </row>
    <row r="123" spans="1:16" ht="19.5" hidden="1" customHeight="1">
      <c r="A123" s="171" t="s">
        <v>1283</v>
      </c>
      <c r="B123" s="175">
        <v>46062</v>
      </c>
      <c r="C123" s="171" t="s">
        <v>115</v>
      </c>
      <c r="D123" s="171" t="s">
        <v>135</v>
      </c>
      <c r="E123" s="171" t="s">
        <v>66</v>
      </c>
      <c r="F123" s="171" t="s">
        <v>602</v>
      </c>
      <c r="G123" s="171" t="s">
        <v>177</v>
      </c>
      <c r="H123" s="176">
        <v>1</v>
      </c>
      <c r="I123" s="177">
        <v>0</v>
      </c>
      <c r="J123" s="175">
        <v>46057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-44.14</v>
      </c>
    </row>
    <row r="124" spans="1:16" ht="19.5" hidden="1" customHeight="1">
      <c r="A124" s="171" t="s">
        <v>1284</v>
      </c>
      <c r="B124" s="175">
        <v>46062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46059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-13.93</v>
      </c>
    </row>
    <row r="125" spans="1:16" ht="19.5" hidden="1" customHeight="1">
      <c r="A125" s="171" t="s">
        <v>1285</v>
      </c>
      <c r="B125" s="175">
        <v>46062</v>
      </c>
      <c r="C125" s="171" t="s">
        <v>115</v>
      </c>
      <c r="D125" s="171" t="s">
        <v>135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0</v>
      </c>
      <c r="J125" s="175">
        <v>46052</v>
      </c>
      <c r="K125" s="171" t="s">
        <v>125</v>
      </c>
      <c r="L125" s="171" t="s">
        <v>125</v>
      </c>
      <c r="M125" s="178">
        <v>0</v>
      </c>
      <c r="N125" s="176"/>
      <c r="O125" s="176"/>
      <c r="P125" s="179">
        <v>-35.86</v>
      </c>
    </row>
    <row r="126" spans="1:16" ht="19.5" hidden="1" customHeight="1">
      <c r="A126" s="171" t="s">
        <v>1286</v>
      </c>
      <c r="B126" s="175">
        <v>46062</v>
      </c>
      <c r="C126" s="171" t="s">
        <v>110</v>
      </c>
      <c r="D126" s="171" t="s">
        <v>24</v>
      </c>
      <c r="E126" s="171" t="s">
        <v>70</v>
      </c>
      <c r="F126" s="171" t="s">
        <v>509</v>
      </c>
      <c r="G126" s="171" t="s">
        <v>177</v>
      </c>
      <c r="H126" s="176">
        <v>1</v>
      </c>
      <c r="I126" s="177">
        <v>5300</v>
      </c>
      <c r="J126" s="175">
        <v>46059</v>
      </c>
      <c r="K126" s="171" t="s">
        <v>113</v>
      </c>
      <c r="L126" s="171" t="s">
        <v>114</v>
      </c>
      <c r="M126" s="178">
        <v>0.43</v>
      </c>
      <c r="N126" s="176"/>
      <c r="O126" s="176">
        <v>42</v>
      </c>
      <c r="P126" s="179">
        <v>-240.45</v>
      </c>
    </row>
    <row r="127" spans="1:16" ht="19.5" hidden="1" customHeight="1">
      <c r="A127" s="171" t="s">
        <v>1286</v>
      </c>
      <c r="B127" s="175">
        <v>46062</v>
      </c>
      <c r="C127" s="171" t="s">
        <v>127</v>
      </c>
      <c r="D127" s="171" t="s">
        <v>128</v>
      </c>
      <c r="E127" s="171" t="s">
        <v>70</v>
      </c>
      <c r="F127" s="171" t="s">
        <v>509</v>
      </c>
      <c r="G127" s="171" t="s">
        <v>177</v>
      </c>
      <c r="H127" s="176">
        <v>1</v>
      </c>
      <c r="I127" s="177">
        <v>5300</v>
      </c>
      <c r="J127" s="175">
        <v>46059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1926.07</v>
      </c>
    </row>
    <row r="128" spans="1:16" ht="19.5" hidden="1" customHeight="1">
      <c r="A128" s="171" t="s">
        <v>1286</v>
      </c>
      <c r="B128" s="175">
        <v>46062</v>
      </c>
      <c r="C128" s="171" t="s">
        <v>127</v>
      </c>
      <c r="D128" s="171" t="s">
        <v>129</v>
      </c>
      <c r="E128" s="171" t="s">
        <v>70</v>
      </c>
      <c r="F128" s="171" t="s">
        <v>509</v>
      </c>
      <c r="G128" s="171" t="s">
        <v>177</v>
      </c>
      <c r="H128" s="176">
        <v>1</v>
      </c>
      <c r="I128" s="177">
        <v>5300</v>
      </c>
      <c r="J128" s="175">
        <v>46059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19.260000000000002</v>
      </c>
    </row>
    <row r="129" spans="1:16" ht="19.5" hidden="1" customHeight="1">
      <c r="A129" s="171" t="s">
        <v>1286</v>
      </c>
      <c r="B129" s="175">
        <v>46062</v>
      </c>
      <c r="C129" s="171" t="s">
        <v>127</v>
      </c>
      <c r="D129" s="171" t="s">
        <v>130</v>
      </c>
      <c r="E129" s="171" t="s">
        <v>70</v>
      </c>
      <c r="F129" s="171" t="s">
        <v>509</v>
      </c>
      <c r="G129" s="171" t="s">
        <v>177</v>
      </c>
      <c r="H129" s="176">
        <v>1</v>
      </c>
      <c r="I129" s="177">
        <v>5300</v>
      </c>
      <c r="J129" s="175">
        <v>46059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3354.67</v>
      </c>
    </row>
    <row r="130" spans="1:16" ht="19.5" hidden="1" customHeight="1">
      <c r="A130" s="171" t="s">
        <v>1286</v>
      </c>
      <c r="B130" s="175">
        <v>46062</v>
      </c>
      <c r="C130" s="171" t="s">
        <v>131</v>
      </c>
      <c r="D130" s="171" t="s">
        <v>132</v>
      </c>
      <c r="E130" s="171" t="s">
        <v>70</v>
      </c>
      <c r="F130" s="171" t="s">
        <v>509</v>
      </c>
      <c r="G130" s="171" t="s">
        <v>177</v>
      </c>
      <c r="H130" s="176">
        <v>1</v>
      </c>
      <c r="I130" s="177">
        <v>5300</v>
      </c>
      <c r="J130" s="175">
        <v>46059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-2279</v>
      </c>
    </row>
    <row r="131" spans="1:16" ht="19.5" hidden="1" customHeight="1">
      <c r="A131" s="171" t="s">
        <v>1286</v>
      </c>
      <c r="B131" s="175">
        <v>46062</v>
      </c>
      <c r="C131" s="171" t="s">
        <v>115</v>
      </c>
      <c r="D131" s="171" t="s">
        <v>116</v>
      </c>
      <c r="E131" s="171" t="s">
        <v>70</v>
      </c>
      <c r="F131" s="171" t="s">
        <v>509</v>
      </c>
      <c r="G131" s="171" t="s">
        <v>177</v>
      </c>
      <c r="H131" s="176">
        <v>1</v>
      </c>
      <c r="I131" s="177">
        <v>5300</v>
      </c>
      <c r="J131" s="175">
        <v>46059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-15.21</v>
      </c>
    </row>
    <row r="132" spans="1:16" ht="19.5" hidden="1" customHeight="1">
      <c r="A132" s="171" t="s">
        <v>1286</v>
      </c>
      <c r="B132" s="175">
        <v>46062</v>
      </c>
      <c r="C132" s="171" t="s">
        <v>115</v>
      </c>
      <c r="D132" s="171" t="s">
        <v>135</v>
      </c>
      <c r="E132" s="171" t="s">
        <v>70</v>
      </c>
      <c r="F132" s="171" t="s">
        <v>509</v>
      </c>
      <c r="G132" s="171" t="s">
        <v>177</v>
      </c>
      <c r="H132" s="176">
        <v>1</v>
      </c>
      <c r="I132" s="177">
        <v>0</v>
      </c>
      <c r="J132" s="175">
        <v>46059</v>
      </c>
      <c r="K132" s="171" t="s">
        <v>125</v>
      </c>
      <c r="L132" s="171" t="s">
        <v>125</v>
      </c>
      <c r="M132" s="178">
        <v>0</v>
      </c>
      <c r="N132" s="176"/>
      <c r="O132" s="176"/>
      <c r="P132" s="179">
        <v>-36.6</v>
      </c>
    </row>
    <row r="133" spans="1:16" ht="19.5" hidden="1" customHeight="1">
      <c r="A133" s="171" t="s">
        <v>1287</v>
      </c>
      <c r="B133" s="175">
        <v>46062</v>
      </c>
      <c r="C133" s="171" t="s">
        <v>110</v>
      </c>
      <c r="D133" s="171" t="s">
        <v>24</v>
      </c>
      <c r="E133" s="171" t="s">
        <v>39</v>
      </c>
      <c r="F133" s="171" t="s">
        <v>141</v>
      </c>
      <c r="G133" s="171" t="s">
        <v>112</v>
      </c>
      <c r="H133" s="176">
        <v>1</v>
      </c>
      <c r="I133" s="177">
        <v>2000</v>
      </c>
      <c r="J133" s="175">
        <v>46060</v>
      </c>
      <c r="K133" s="171" t="s">
        <v>113</v>
      </c>
      <c r="L133" s="171" t="s">
        <v>114</v>
      </c>
      <c r="M133" s="178">
        <v>0.43</v>
      </c>
      <c r="N133" s="176"/>
      <c r="O133" s="176">
        <v>43</v>
      </c>
      <c r="P133" s="179">
        <v>-134.83000000000001</v>
      </c>
    </row>
    <row r="134" spans="1:16" ht="19.5" hidden="1" customHeight="1">
      <c r="A134" s="171" t="s">
        <v>1287</v>
      </c>
      <c r="B134" s="175">
        <v>46062</v>
      </c>
      <c r="C134" s="171" t="s">
        <v>127</v>
      </c>
      <c r="D134" s="171" t="s">
        <v>128</v>
      </c>
      <c r="E134" s="171" t="s">
        <v>39</v>
      </c>
      <c r="F134" s="171" t="s">
        <v>141</v>
      </c>
      <c r="G134" s="171" t="s">
        <v>112</v>
      </c>
      <c r="H134" s="176">
        <v>1</v>
      </c>
      <c r="I134" s="177">
        <v>2000</v>
      </c>
      <c r="J134" s="175">
        <v>46060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1157.94</v>
      </c>
    </row>
    <row r="135" spans="1:16" ht="19.5" hidden="1" customHeight="1">
      <c r="A135" s="171" t="s">
        <v>1287</v>
      </c>
      <c r="B135" s="175">
        <v>46062</v>
      </c>
      <c r="C135" s="171" t="s">
        <v>127</v>
      </c>
      <c r="D135" s="171" t="s">
        <v>129</v>
      </c>
      <c r="E135" s="171" t="s">
        <v>39</v>
      </c>
      <c r="F135" s="171" t="s">
        <v>141</v>
      </c>
      <c r="G135" s="171" t="s">
        <v>112</v>
      </c>
      <c r="H135" s="176">
        <v>1</v>
      </c>
      <c r="I135" s="177">
        <v>2000</v>
      </c>
      <c r="J135" s="175">
        <v>46060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11.58</v>
      </c>
    </row>
    <row r="136" spans="1:16" ht="19.5" hidden="1" customHeight="1">
      <c r="A136" s="171" t="s">
        <v>1287</v>
      </c>
      <c r="B136" s="175">
        <v>46062</v>
      </c>
      <c r="C136" s="171" t="s">
        <v>127</v>
      </c>
      <c r="D136" s="171" t="s">
        <v>130</v>
      </c>
      <c r="E136" s="171" t="s">
        <v>39</v>
      </c>
      <c r="F136" s="171" t="s">
        <v>141</v>
      </c>
      <c r="G136" s="171" t="s">
        <v>112</v>
      </c>
      <c r="H136" s="176">
        <v>1</v>
      </c>
      <c r="I136" s="177">
        <v>2000</v>
      </c>
      <c r="J136" s="175">
        <v>46060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830.48</v>
      </c>
    </row>
    <row r="137" spans="1:16" ht="19.5" hidden="1" customHeight="1">
      <c r="A137" s="171" t="s">
        <v>1287</v>
      </c>
      <c r="B137" s="175">
        <v>46062</v>
      </c>
      <c r="C137" s="171" t="s">
        <v>131</v>
      </c>
      <c r="D137" s="171" t="s">
        <v>132</v>
      </c>
      <c r="E137" s="171" t="s">
        <v>39</v>
      </c>
      <c r="F137" s="171" t="s">
        <v>141</v>
      </c>
      <c r="G137" s="171" t="s">
        <v>112</v>
      </c>
      <c r="H137" s="176">
        <v>1</v>
      </c>
      <c r="I137" s="177">
        <v>2000</v>
      </c>
      <c r="J137" s="175">
        <v>46060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-860</v>
      </c>
    </row>
    <row r="138" spans="1:16" ht="19.5" hidden="1" customHeight="1">
      <c r="A138" s="171" t="s">
        <v>1287</v>
      </c>
      <c r="B138" s="175">
        <v>46062</v>
      </c>
      <c r="C138" s="171" t="s">
        <v>115</v>
      </c>
      <c r="D138" s="171" t="s">
        <v>116</v>
      </c>
      <c r="E138" s="171" t="s">
        <v>39</v>
      </c>
      <c r="F138" s="171" t="s">
        <v>141</v>
      </c>
      <c r="G138" s="171" t="s">
        <v>112</v>
      </c>
      <c r="H138" s="176">
        <v>1</v>
      </c>
      <c r="I138" s="177">
        <v>2000</v>
      </c>
      <c r="J138" s="175">
        <v>46060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-9.67</v>
      </c>
    </row>
    <row r="139" spans="1:16" ht="19.5" hidden="1" customHeight="1">
      <c r="A139" s="171" t="s">
        <v>1288</v>
      </c>
      <c r="B139" s="175">
        <v>46062</v>
      </c>
      <c r="C139" s="171" t="s">
        <v>110</v>
      </c>
      <c r="D139" s="171" t="s">
        <v>24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0</v>
      </c>
      <c r="J139" s="175">
        <v>46053</v>
      </c>
      <c r="K139" s="171" t="s">
        <v>113</v>
      </c>
      <c r="L139" s="171" t="s">
        <v>114</v>
      </c>
      <c r="M139" s="178">
        <v>0</v>
      </c>
      <c r="N139" s="176"/>
      <c r="O139" s="176">
        <v>48</v>
      </c>
      <c r="P139" s="179">
        <v>-46.77</v>
      </c>
    </row>
    <row r="140" spans="1:16" ht="19.5" hidden="1" customHeight="1">
      <c r="A140" s="171" t="s">
        <v>1288</v>
      </c>
      <c r="B140" s="175">
        <v>46062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0</v>
      </c>
      <c r="J140" s="175">
        <v>46053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-25</v>
      </c>
    </row>
    <row r="141" spans="1:16" ht="19.5" hidden="1" customHeight="1">
      <c r="A141" s="171" t="s">
        <v>1287</v>
      </c>
      <c r="B141" s="175">
        <v>46062</v>
      </c>
      <c r="C141" s="171" t="s">
        <v>115</v>
      </c>
      <c r="D141" s="171" t="s">
        <v>135</v>
      </c>
      <c r="E141" s="171" t="s">
        <v>39</v>
      </c>
      <c r="F141" s="171" t="s">
        <v>141</v>
      </c>
      <c r="G141" s="171" t="s">
        <v>112</v>
      </c>
      <c r="H141" s="176">
        <v>1</v>
      </c>
      <c r="I141" s="177">
        <v>0</v>
      </c>
      <c r="J141" s="175">
        <v>46060</v>
      </c>
      <c r="K141" s="171" t="s">
        <v>125</v>
      </c>
      <c r="L141" s="171" t="s">
        <v>125</v>
      </c>
      <c r="M141" s="178">
        <v>0</v>
      </c>
      <c r="N141" s="176"/>
      <c r="O141" s="176"/>
      <c r="P141" s="179">
        <v>-22</v>
      </c>
    </row>
    <row r="142" spans="1:16" ht="19.5" hidden="1" customHeight="1">
      <c r="A142" s="171" t="s">
        <v>1288</v>
      </c>
      <c r="B142" s="175">
        <v>46062</v>
      </c>
      <c r="C142" s="171" t="s">
        <v>110</v>
      </c>
      <c r="D142" s="171" t="s">
        <v>117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46053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0</v>
      </c>
    </row>
    <row r="143" spans="1:16" ht="19.5" hidden="1" customHeight="1">
      <c r="A143" s="171" t="s">
        <v>1288</v>
      </c>
      <c r="B143" s="175">
        <v>46062</v>
      </c>
      <c r="C143" s="171" t="s">
        <v>110</v>
      </c>
      <c r="D143" s="171" t="s">
        <v>118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46053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-46.77</v>
      </c>
    </row>
    <row r="144" spans="1:16" ht="19.5" hidden="1" customHeight="1">
      <c r="A144" s="171" t="s">
        <v>1288</v>
      </c>
      <c r="B144" s="175">
        <v>46062</v>
      </c>
      <c r="C144" s="171" t="s">
        <v>115</v>
      </c>
      <c r="D144" s="171" t="s">
        <v>119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46053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-15</v>
      </c>
    </row>
    <row r="145" spans="1:16" ht="19.5" hidden="1" customHeight="1">
      <c r="A145" s="171" t="s">
        <v>1289</v>
      </c>
      <c r="B145" s="175">
        <v>46062</v>
      </c>
      <c r="C145" s="171" t="s">
        <v>110</v>
      </c>
      <c r="D145" s="171" t="s">
        <v>24</v>
      </c>
      <c r="E145" s="171" t="s">
        <v>42</v>
      </c>
      <c r="F145" s="171" t="s">
        <v>248</v>
      </c>
      <c r="G145" s="171" t="s">
        <v>112</v>
      </c>
      <c r="H145" s="176">
        <v>1</v>
      </c>
      <c r="I145" s="177">
        <v>0</v>
      </c>
      <c r="J145" s="175">
        <v>46055</v>
      </c>
      <c r="K145" s="171" t="s">
        <v>113</v>
      </c>
      <c r="L145" s="171" t="s">
        <v>114</v>
      </c>
      <c r="M145" s="178">
        <v>0</v>
      </c>
      <c r="N145" s="176"/>
      <c r="O145" s="176">
        <v>42</v>
      </c>
      <c r="P145" s="179">
        <v>-46.77</v>
      </c>
    </row>
    <row r="146" spans="1:16" ht="19.5" hidden="1" customHeight="1">
      <c r="A146" s="171" t="s">
        <v>1289</v>
      </c>
      <c r="B146" s="175">
        <v>46062</v>
      </c>
      <c r="C146" s="171" t="s">
        <v>115</v>
      </c>
      <c r="D146" s="171" t="s">
        <v>116</v>
      </c>
      <c r="E146" s="171" t="s">
        <v>42</v>
      </c>
      <c r="F146" s="171" t="s">
        <v>248</v>
      </c>
      <c r="G146" s="171" t="s">
        <v>112</v>
      </c>
      <c r="H146" s="176">
        <v>1</v>
      </c>
      <c r="I146" s="177">
        <v>0</v>
      </c>
      <c r="J146" s="175">
        <v>46055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-7.86</v>
      </c>
    </row>
    <row r="147" spans="1:16" ht="19.5" hidden="1" customHeight="1">
      <c r="A147" s="171" t="s">
        <v>1289</v>
      </c>
      <c r="B147" s="175">
        <v>46062</v>
      </c>
      <c r="C147" s="171" t="s">
        <v>110</v>
      </c>
      <c r="D147" s="171" t="s">
        <v>117</v>
      </c>
      <c r="E147" s="171" t="s">
        <v>42</v>
      </c>
      <c r="F147" s="171" t="s">
        <v>248</v>
      </c>
      <c r="G147" s="171" t="s">
        <v>112</v>
      </c>
      <c r="H147" s="176">
        <v>1</v>
      </c>
      <c r="I147" s="177">
        <v>0</v>
      </c>
      <c r="J147" s="175">
        <v>46055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hidden="1" customHeight="1">
      <c r="A148" s="171" t="s">
        <v>1289</v>
      </c>
      <c r="B148" s="175">
        <v>46062</v>
      </c>
      <c r="C148" s="171" t="s">
        <v>110</v>
      </c>
      <c r="D148" s="171" t="s">
        <v>118</v>
      </c>
      <c r="E148" s="171" t="s">
        <v>42</v>
      </c>
      <c r="F148" s="171" t="s">
        <v>248</v>
      </c>
      <c r="G148" s="171" t="s">
        <v>112</v>
      </c>
      <c r="H148" s="176">
        <v>1</v>
      </c>
      <c r="I148" s="177">
        <v>0</v>
      </c>
      <c r="J148" s="175">
        <v>46055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-46.77</v>
      </c>
    </row>
    <row r="149" spans="1:16" ht="19.5" hidden="1" customHeight="1">
      <c r="A149" s="171" t="s">
        <v>1289</v>
      </c>
      <c r="B149" s="175">
        <v>46062</v>
      </c>
      <c r="C149" s="171" t="s">
        <v>115</v>
      </c>
      <c r="D149" s="171" t="s">
        <v>119</v>
      </c>
      <c r="E149" s="171" t="s">
        <v>42</v>
      </c>
      <c r="F149" s="171" t="s">
        <v>248</v>
      </c>
      <c r="G149" s="171" t="s">
        <v>112</v>
      </c>
      <c r="H149" s="176">
        <v>1</v>
      </c>
      <c r="I149" s="177">
        <v>0</v>
      </c>
      <c r="J149" s="175">
        <v>46055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-15</v>
      </c>
    </row>
    <row r="150" spans="1:16" ht="19.5" hidden="1" customHeight="1">
      <c r="A150" s="171" t="s">
        <v>1290</v>
      </c>
      <c r="B150" s="175">
        <v>46062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46062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-268.22000000000003</v>
      </c>
    </row>
    <row r="151" spans="1:16" ht="19.5" hidden="1" customHeight="1">
      <c r="A151" s="171" t="s">
        <v>1192</v>
      </c>
      <c r="B151" s="175">
        <v>46062</v>
      </c>
      <c r="C151" s="171" t="s">
        <v>151</v>
      </c>
      <c r="D151" s="171" t="s">
        <v>152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46062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-182.33</v>
      </c>
    </row>
    <row r="152" spans="1:16" ht="19.5" hidden="1" customHeight="1">
      <c r="A152" s="171" t="s">
        <v>180</v>
      </c>
      <c r="B152" s="175">
        <v>46062</v>
      </c>
      <c r="C152" s="171" t="s">
        <v>151</v>
      </c>
      <c r="D152" s="171" t="s">
        <v>152</v>
      </c>
      <c r="E152" s="171" t="s">
        <v>125</v>
      </c>
      <c r="F152" s="171" t="s">
        <v>125</v>
      </c>
      <c r="G152" s="171" t="s">
        <v>125</v>
      </c>
      <c r="H152" s="176">
        <v>0</v>
      </c>
      <c r="I152" s="177">
        <v>0</v>
      </c>
      <c r="J152" s="175">
        <v>46062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-322.04000000000002</v>
      </c>
    </row>
    <row r="153" spans="1:16" ht="19.5" hidden="1" customHeight="1">
      <c r="A153" s="171" t="s">
        <v>150</v>
      </c>
      <c r="B153" s="175">
        <v>46062</v>
      </c>
      <c r="C153" s="171" t="s">
        <v>151</v>
      </c>
      <c r="D153" s="171" t="s">
        <v>152</v>
      </c>
      <c r="E153" s="171" t="s">
        <v>125</v>
      </c>
      <c r="F153" s="171" t="s">
        <v>125</v>
      </c>
      <c r="G153" s="171" t="s">
        <v>125</v>
      </c>
      <c r="H153" s="176">
        <v>0</v>
      </c>
      <c r="I153" s="177">
        <v>0</v>
      </c>
      <c r="J153" s="175">
        <v>46062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-863.99</v>
      </c>
    </row>
    <row r="154" spans="1:16" ht="19.5" hidden="1" customHeight="1">
      <c r="A154" s="171" t="s">
        <v>155</v>
      </c>
      <c r="B154" s="175">
        <v>46062</v>
      </c>
      <c r="C154" s="171" t="s">
        <v>151</v>
      </c>
      <c r="D154" s="171" t="s">
        <v>156</v>
      </c>
      <c r="E154" s="171" t="s">
        <v>125</v>
      </c>
      <c r="F154" s="171" t="s">
        <v>125</v>
      </c>
      <c r="G154" s="171" t="s">
        <v>125</v>
      </c>
      <c r="H154" s="176">
        <v>0</v>
      </c>
      <c r="I154" s="177">
        <v>0</v>
      </c>
      <c r="J154" s="175">
        <v>46062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-3875.09</v>
      </c>
    </row>
    <row r="155" spans="1:16" ht="19.5" hidden="1" customHeight="1">
      <c r="A155" s="171" t="s">
        <v>1291</v>
      </c>
      <c r="B155" s="175">
        <v>46063</v>
      </c>
      <c r="C155" s="171" t="s">
        <v>110</v>
      </c>
      <c r="D155" s="171" t="s">
        <v>117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0</v>
      </c>
    </row>
    <row r="156" spans="1:16" ht="19.5" hidden="1" customHeight="1">
      <c r="A156" s="171" t="s">
        <v>1291</v>
      </c>
      <c r="B156" s="175">
        <v>46063</v>
      </c>
      <c r="C156" s="171" t="s">
        <v>110</v>
      </c>
      <c r="D156" s="171" t="s">
        <v>118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-46.77</v>
      </c>
    </row>
    <row r="157" spans="1:16" ht="19.5" hidden="1" customHeight="1">
      <c r="A157" s="171" t="s">
        <v>1291</v>
      </c>
      <c r="B157" s="175">
        <v>46063</v>
      </c>
      <c r="C157" s="171" t="s">
        <v>115</v>
      </c>
      <c r="D157" s="171" t="s">
        <v>119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46050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-15</v>
      </c>
    </row>
    <row r="158" spans="1:16" ht="19.5" hidden="1" customHeight="1">
      <c r="A158" s="171" t="s">
        <v>1291</v>
      </c>
      <c r="B158" s="175">
        <v>46063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46050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hidden="1" customHeight="1">
      <c r="A159" s="171" t="s">
        <v>1291</v>
      </c>
      <c r="B159" s="175">
        <v>46063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46050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-25</v>
      </c>
    </row>
    <row r="160" spans="1:16" ht="19.5" hidden="1" customHeight="1">
      <c r="A160" s="171" t="s">
        <v>1292</v>
      </c>
      <c r="B160" s="175">
        <v>46063</v>
      </c>
      <c r="C160" s="171" t="s">
        <v>110</v>
      </c>
      <c r="D160" s="171" t="s">
        <v>24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46059</v>
      </c>
      <c r="K160" s="171" t="s">
        <v>113</v>
      </c>
      <c r="L160" s="171" t="s">
        <v>114</v>
      </c>
      <c r="M160" s="178">
        <v>0</v>
      </c>
      <c r="N160" s="176"/>
      <c r="O160" s="176">
        <v>42</v>
      </c>
      <c r="P160" s="179">
        <v>-46.77</v>
      </c>
    </row>
    <row r="161" spans="1:16" ht="19.5" hidden="1" customHeight="1">
      <c r="A161" s="171" t="s">
        <v>1292</v>
      </c>
      <c r="B161" s="175">
        <v>46063</v>
      </c>
      <c r="C161" s="171" t="s">
        <v>115</v>
      </c>
      <c r="D161" s="171" t="s">
        <v>116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46059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-11.51</v>
      </c>
    </row>
    <row r="162" spans="1:16" ht="19.5" hidden="1" customHeight="1">
      <c r="A162" s="171" t="s">
        <v>1292</v>
      </c>
      <c r="B162" s="175">
        <v>46063</v>
      </c>
      <c r="C162" s="171" t="s">
        <v>110</v>
      </c>
      <c r="D162" s="171" t="s">
        <v>117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46059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0</v>
      </c>
    </row>
    <row r="163" spans="1:16" ht="19.5" hidden="1" customHeight="1">
      <c r="A163" s="171" t="s">
        <v>1292</v>
      </c>
      <c r="B163" s="175">
        <v>46063</v>
      </c>
      <c r="C163" s="171" t="s">
        <v>110</v>
      </c>
      <c r="D163" s="171" t="s">
        <v>118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0</v>
      </c>
      <c r="J163" s="175">
        <v>46059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-46.77</v>
      </c>
    </row>
    <row r="164" spans="1:16" ht="19.5" hidden="1" customHeight="1">
      <c r="A164" s="171" t="s">
        <v>1292</v>
      </c>
      <c r="B164" s="175">
        <v>46063</v>
      </c>
      <c r="C164" s="171" t="s">
        <v>115</v>
      </c>
      <c r="D164" s="171" t="s">
        <v>119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0</v>
      </c>
      <c r="J164" s="175">
        <v>46059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-15</v>
      </c>
    </row>
    <row r="165" spans="1:16" ht="19.5" hidden="1" customHeight="1">
      <c r="A165" s="171" t="s">
        <v>1293</v>
      </c>
      <c r="B165" s="175">
        <v>46063</v>
      </c>
      <c r="C165" s="171" t="s">
        <v>110</v>
      </c>
      <c r="D165" s="171" t="s">
        <v>117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0</v>
      </c>
      <c r="J165" s="175">
        <v>46036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0</v>
      </c>
    </row>
    <row r="166" spans="1:16" ht="19.5" hidden="1" customHeight="1">
      <c r="A166" s="171" t="s">
        <v>1293</v>
      </c>
      <c r="B166" s="175">
        <v>46063</v>
      </c>
      <c r="C166" s="171" t="s">
        <v>110</v>
      </c>
      <c r="D166" s="171" t="s">
        <v>118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0</v>
      </c>
      <c r="J166" s="175">
        <v>46036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-46.77</v>
      </c>
    </row>
    <row r="167" spans="1:16" ht="19.5" hidden="1" customHeight="1">
      <c r="A167" s="171" t="s">
        <v>1293</v>
      </c>
      <c r="B167" s="175">
        <v>46063</v>
      </c>
      <c r="C167" s="171" t="s">
        <v>115</v>
      </c>
      <c r="D167" s="171" t="s">
        <v>119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0</v>
      </c>
      <c r="J167" s="175">
        <v>46036</v>
      </c>
      <c r="K167" s="171" t="s">
        <v>113</v>
      </c>
      <c r="L167" s="171" t="s">
        <v>114</v>
      </c>
      <c r="M167" s="178">
        <v>0</v>
      </c>
      <c r="N167" s="176"/>
      <c r="O167" s="176"/>
      <c r="P167" s="179">
        <v>-15</v>
      </c>
    </row>
    <row r="168" spans="1:16" ht="19.5" hidden="1" customHeight="1">
      <c r="A168" s="171" t="s">
        <v>1293</v>
      </c>
      <c r="B168" s="175">
        <v>46063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0</v>
      </c>
      <c r="J168" s="175">
        <v>46036</v>
      </c>
      <c r="K168" s="171" t="s">
        <v>113</v>
      </c>
      <c r="L168" s="171" t="s">
        <v>114</v>
      </c>
      <c r="M168" s="178">
        <v>0</v>
      </c>
      <c r="N168" s="176"/>
      <c r="O168" s="176">
        <v>44</v>
      </c>
      <c r="P168" s="179">
        <v>-46.77</v>
      </c>
    </row>
    <row r="169" spans="1:16" ht="19.5" hidden="1" customHeight="1">
      <c r="A169" s="171" t="s">
        <v>1293</v>
      </c>
      <c r="B169" s="175">
        <v>46063</v>
      </c>
      <c r="C169" s="171" t="s">
        <v>115</v>
      </c>
      <c r="D169" s="171" t="s">
        <v>116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-12.04</v>
      </c>
    </row>
    <row r="170" spans="1:16" ht="19.5" hidden="1" customHeight="1">
      <c r="A170" s="171" t="s">
        <v>1294</v>
      </c>
      <c r="B170" s="175">
        <v>46063</v>
      </c>
      <c r="C170" s="171" t="s">
        <v>110</v>
      </c>
      <c r="D170" s="171" t="s">
        <v>117</v>
      </c>
      <c r="E170" s="171" t="s">
        <v>77</v>
      </c>
      <c r="F170" s="171" t="s">
        <v>194</v>
      </c>
      <c r="G170" s="171" t="s">
        <v>177</v>
      </c>
      <c r="H170" s="176">
        <v>1</v>
      </c>
      <c r="I170" s="177">
        <v>0</v>
      </c>
      <c r="J170" s="175">
        <v>46057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hidden="1" customHeight="1">
      <c r="A171" s="171" t="s">
        <v>1294</v>
      </c>
      <c r="B171" s="175">
        <v>46063</v>
      </c>
      <c r="C171" s="171" t="s">
        <v>110</v>
      </c>
      <c r="D171" s="171" t="s">
        <v>118</v>
      </c>
      <c r="E171" s="171" t="s">
        <v>77</v>
      </c>
      <c r="F171" s="171" t="s">
        <v>194</v>
      </c>
      <c r="G171" s="171" t="s">
        <v>177</v>
      </c>
      <c r="H171" s="176">
        <v>1</v>
      </c>
      <c r="I171" s="177">
        <v>0</v>
      </c>
      <c r="J171" s="175">
        <v>46057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-56.94</v>
      </c>
    </row>
    <row r="172" spans="1:16" ht="19.5" hidden="1" customHeight="1">
      <c r="A172" s="171" t="s">
        <v>1294</v>
      </c>
      <c r="B172" s="175">
        <v>46063</v>
      </c>
      <c r="C172" s="171" t="s">
        <v>115</v>
      </c>
      <c r="D172" s="171" t="s">
        <v>119</v>
      </c>
      <c r="E172" s="171" t="s">
        <v>77</v>
      </c>
      <c r="F172" s="171" t="s">
        <v>194</v>
      </c>
      <c r="G172" s="171" t="s">
        <v>177</v>
      </c>
      <c r="H172" s="176">
        <v>1</v>
      </c>
      <c r="I172" s="177">
        <v>0</v>
      </c>
      <c r="J172" s="175">
        <v>46057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-15</v>
      </c>
    </row>
    <row r="173" spans="1:16" ht="19.5" hidden="1" customHeight="1">
      <c r="A173" s="171" t="s">
        <v>1294</v>
      </c>
      <c r="B173" s="175">
        <v>46063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46057</v>
      </c>
      <c r="K173" s="171" t="s">
        <v>113</v>
      </c>
      <c r="L173" s="171" t="s">
        <v>114</v>
      </c>
      <c r="M173" s="178">
        <v>0</v>
      </c>
      <c r="N173" s="176"/>
      <c r="O173" s="176">
        <v>42</v>
      </c>
      <c r="P173" s="179">
        <v>-56.94</v>
      </c>
    </row>
    <row r="174" spans="1:16" ht="19.5" hidden="1" customHeight="1">
      <c r="A174" s="171" t="s">
        <v>1294</v>
      </c>
      <c r="B174" s="175">
        <v>46063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46057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-19.16</v>
      </c>
    </row>
    <row r="175" spans="1:16" ht="19.5" hidden="1" customHeight="1">
      <c r="A175" s="171" t="s">
        <v>1295</v>
      </c>
      <c r="B175" s="175">
        <v>46063</v>
      </c>
      <c r="C175" s="171" t="s">
        <v>110</v>
      </c>
      <c r="D175" s="171" t="s">
        <v>24</v>
      </c>
      <c r="E175" s="171" t="s">
        <v>78</v>
      </c>
      <c r="F175" s="171" t="s">
        <v>176</v>
      </c>
      <c r="G175" s="171" t="s">
        <v>177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-56.94</v>
      </c>
    </row>
    <row r="176" spans="1:16" ht="19.5" hidden="1" customHeight="1">
      <c r="A176" s="171" t="s">
        <v>1295</v>
      </c>
      <c r="B176" s="175">
        <v>46063</v>
      </c>
      <c r="C176" s="171" t="s">
        <v>115</v>
      </c>
      <c r="D176" s="171" t="s">
        <v>116</v>
      </c>
      <c r="E176" s="171" t="s">
        <v>78</v>
      </c>
      <c r="F176" s="171" t="s">
        <v>176</v>
      </c>
      <c r="G176" s="171" t="s">
        <v>177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-13.58</v>
      </c>
    </row>
    <row r="177" spans="1:16" ht="19.5" hidden="1" customHeight="1">
      <c r="A177" s="171" t="s">
        <v>1295</v>
      </c>
      <c r="B177" s="175">
        <v>46063</v>
      </c>
      <c r="C177" s="171" t="s">
        <v>110</v>
      </c>
      <c r="D177" s="171" t="s">
        <v>117</v>
      </c>
      <c r="E177" s="171" t="s">
        <v>78</v>
      </c>
      <c r="F177" s="171" t="s">
        <v>176</v>
      </c>
      <c r="G177" s="171" t="s">
        <v>177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hidden="1" customHeight="1">
      <c r="A178" s="171" t="s">
        <v>1295</v>
      </c>
      <c r="B178" s="175">
        <v>46063</v>
      </c>
      <c r="C178" s="171" t="s">
        <v>110</v>
      </c>
      <c r="D178" s="171" t="s">
        <v>118</v>
      </c>
      <c r="E178" s="171" t="s">
        <v>78</v>
      </c>
      <c r="F178" s="171" t="s">
        <v>176</v>
      </c>
      <c r="G178" s="171" t="s">
        <v>177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-56.94</v>
      </c>
    </row>
    <row r="179" spans="1:16" ht="19.5" hidden="1" customHeight="1">
      <c r="A179" s="171" t="s">
        <v>1295</v>
      </c>
      <c r="B179" s="175">
        <v>46063</v>
      </c>
      <c r="C179" s="171" t="s">
        <v>115</v>
      </c>
      <c r="D179" s="171" t="s">
        <v>119</v>
      </c>
      <c r="E179" s="171" t="s">
        <v>78</v>
      </c>
      <c r="F179" s="171" t="s">
        <v>176</v>
      </c>
      <c r="G179" s="171" t="s">
        <v>177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hidden="1" customHeight="1">
      <c r="A180" s="171" t="s">
        <v>1198</v>
      </c>
      <c r="B180" s="175">
        <v>46063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46047</v>
      </c>
      <c r="K180" s="171" t="s">
        <v>113</v>
      </c>
      <c r="L180" s="171" t="s">
        <v>114</v>
      </c>
      <c r="M180" s="178">
        <v>0</v>
      </c>
      <c r="N180" s="176"/>
      <c r="O180" s="176">
        <v>52</v>
      </c>
      <c r="P180" s="179">
        <v>-56.94</v>
      </c>
    </row>
    <row r="181" spans="1:16" ht="19.5" hidden="1" customHeight="1">
      <c r="A181" s="171" t="s">
        <v>1198</v>
      </c>
      <c r="B181" s="175">
        <v>46063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46047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-11.64</v>
      </c>
    </row>
    <row r="182" spans="1:16" ht="19.5" hidden="1" customHeight="1">
      <c r="A182" s="171" t="s">
        <v>1198</v>
      </c>
      <c r="B182" s="175">
        <v>46063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46047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hidden="1" customHeight="1">
      <c r="A183" s="171" t="s">
        <v>1198</v>
      </c>
      <c r="B183" s="175">
        <v>46063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46047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hidden="1" customHeight="1">
      <c r="A184" s="171" t="s">
        <v>1198</v>
      </c>
      <c r="B184" s="175">
        <v>46063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46047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hidden="1" customHeight="1">
      <c r="A185" s="171" t="s">
        <v>1296</v>
      </c>
      <c r="B185" s="175">
        <v>46063</v>
      </c>
      <c r="C185" s="171" t="s">
        <v>110</v>
      </c>
      <c r="D185" s="171" t="s">
        <v>117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46054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0</v>
      </c>
    </row>
    <row r="186" spans="1:16" ht="19.5" hidden="1" customHeight="1">
      <c r="A186" s="171" t="s">
        <v>1296</v>
      </c>
      <c r="B186" s="175">
        <v>46063</v>
      </c>
      <c r="C186" s="171" t="s">
        <v>110</v>
      </c>
      <c r="D186" s="171" t="s">
        <v>118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46054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-46.77</v>
      </c>
    </row>
    <row r="187" spans="1:16" ht="19.5" hidden="1" customHeight="1">
      <c r="A187" s="171" t="s">
        <v>1296</v>
      </c>
      <c r="B187" s="175">
        <v>46063</v>
      </c>
      <c r="C187" s="171" t="s">
        <v>115</v>
      </c>
      <c r="D187" s="171" t="s">
        <v>119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46054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-15</v>
      </c>
    </row>
    <row r="188" spans="1:16" ht="19.5" hidden="1" customHeight="1">
      <c r="A188" s="171" t="s">
        <v>1296</v>
      </c>
      <c r="B188" s="175">
        <v>46063</v>
      </c>
      <c r="C188" s="171" t="s">
        <v>110</v>
      </c>
      <c r="D188" s="171" t="s">
        <v>24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46054</v>
      </c>
      <c r="K188" s="171" t="s">
        <v>113</v>
      </c>
      <c r="L188" s="171" t="s">
        <v>114</v>
      </c>
      <c r="M188" s="178">
        <v>0</v>
      </c>
      <c r="N188" s="176"/>
      <c r="O188" s="176">
        <v>42</v>
      </c>
      <c r="P188" s="179">
        <v>-46.77</v>
      </c>
    </row>
    <row r="189" spans="1:16" ht="19.5" hidden="1" customHeight="1">
      <c r="A189" s="171" t="s">
        <v>1296</v>
      </c>
      <c r="B189" s="175">
        <v>46063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46054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-11.84</v>
      </c>
    </row>
    <row r="190" spans="1:16" ht="19.5" hidden="1" customHeight="1">
      <c r="A190" s="171" t="s">
        <v>1297</v>
      </c>
      <c r="B190" s="175">
        <v>46063</v>
      </c>
      <c r="C190" s="171" t="s">
        <v>110</v>
      </c>
      <c r="D190" s="171" t="s">
        <v>24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2000</v>
      </c>
      <c r="J190" s="175">
        <v>46058</v>
      </c>
      <c r="K190" s="171" t="s">
        <v>113</v>
      </c>
      <c r="L190" s="171" t="s">
        <v>114</v>
      </c>
      <c r="M190" s="178">
        <v>0.43</v>
      </c>
      <c r="N190" s="176"/>
      <c r="O190" s="176">
        <v>42</v>
      </c>
      <c r="P190" s="179">
        <v>-130.43</v>
      </c>
    </row>
    <row r="191" spans="1:16" ht="19.5" hidden="1" customHeight="1">
      <c r="A191" s="171" t="s">
        <v>1297</v>
      </c>
      <c r="B191" s="175">
        <v>46063</v>
      </c>
      <c r="C191" s="171" t="s">
        <v>127</v>
      </c>
      <c r="D191" s="171" t="s">
        <v>128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2000</v>
      </c>
      <c r="J191" s="175">
        <v>46058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828.57</v>
      </c>
    </row>
    <row r="192" spans="1:16" ht="19.5" hidden="1" customHeight="1">
      <c r="A192" s="171" t="s">
        <v>1297</v>
      </c>
      <c r="B192" s="175">
        <v>46063</v>
      </c>
      <c r="C192" s="171" t="s">
        <v>127</v>
      </c>
      <c r="D192" s="171" t="s">
        <v>129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2000</v>
      </c>
      <c r="J192" s="175">
        <v>46058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8.2899999999999991</v>
      </c>
    </row>
    <row r="193" spans="1:16" ht="19.5" hidden="1" customHeight="1">
      <c r="A193" s="171" t="s">
        <v>1297</v>
      </c>
      <c r="B193" s="175">
        <v>46063</v>
      </c>
      <c r="C193" s="171" t="s">
        <v>127</v>
      </c>
      <c r="D193" s="171" t="s">
        <v>130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2000</v>
      </c>
      <c r="J193" s="175">
        <v>46058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1163.1400000000001</v>
      </c>
    </row>
    <row r="194" spans="1:16" ht="19.5" hidden="1" customHeight="1">
      <c r="A194" s="171" t="s">
        <v>1297</v>
      </c>
      <c r="B194" s="175">
        <v>46063</v>
      </c>
      <c r="C194" s="171" t="s">
        <v>131</v>
      </c>
      <c r="D194" s="171" t="s">
        <v>132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2000</v>
      </c>
      <c r="J194" s="175">
        <v>46058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-860</v>
      </c>
    </row>
    <row r="195" spans="1:16" ht="19.5" hidden="1" customHeight="1">
      <c r="A195" s="171" t="s">
        <v>1298</v>
      </c>
      <c r="B195" s="175">
        <v>46063</v>
      </c>
      <c r="C195" s="171" t="s">
        <v>110</v>
      </c>
      <c r="D195" s="171" t="s">
        <v>24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5400</v>
      </c>
      <c r="J195" s="175">
        <v>46059</v>
      </c>
      <c r="K195" s="171" t="s">
        <v>113</v>
      </c>
      <c r="L195" s="171" t="s">
        <v>114</v>
      </c>
      <c r="M195" s="178">
        <v>0.43</v>
      </c>
      <c r="N195" s="176"/>
      <c r="O195" s="176">
        <v>42</v>
      </c>
      <c r="P195" s="179">
        <v>-243.3</v>
      </c>
    </row>
    <row r="196" spans="1:16" ht="19.5" hidden="1" customHeight="1">
      <c r="A196" s="171" t="s">
        <v>1298</v>
      </c>
      <c r="B196" s="175">
        <v>46063</v>
      </c>
      <c r="C196" s="171" t="s">
        <v>127</v>
      </c>
      <c r="D196" s="171" t="s">
        <v>128</v>
      </c>
      <c r="E196" s="171" t="s">
        <v>78</v>
      </c>
      <c r="F196" s="171" t="s">
        <v>176</v>
      </c>
      <c r="G196" s="171" t="s">
        <v>177</v>
      </c>
      <c r="H196" s="176">
        <v>1</v>
      </c>
      <c r="I196" s="177">
        <v>5400</v>
      </c>
      <c r="J196" s="175">
        <v>46059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1965</v>
      </c>
    </row>
    <row r="197" spans="1:16" ht="19.5" hidden="1" customHeight="1">
      <c r="A197" s="171" t="s">
        <v>1298</v>
      </c>
      <c r="B197" s="175">
        <v>46063</v>
      </c>
      <c r="C197" s="171" t="s">
        <v>127</v>
      </c>
      <c r="D197" s="171" t="s">
        <v>129</v>
      </c>
      <c r="E197" s="171" t="s">
        <v>78</v>
      </c>
      <c r="F197" s="171" t="s">
        <v>176</v>
      </c>
      <c r="G197" s="171" t="s">
        <v>177</v>
      </c>
      <c r="H197" s="176">
        <v>1</v>
      </c>
      <c r="I197" s="177">
        <v>5400</v>
      </c>
      <c r="J197" s="175">
        <v>46059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19.649999999999999</v>
      </c>
    </row>
    <row r="198" spans="1:16" ht="19.5" hidden="1" customHeight="1">
      <c r="A198" s="171" t="s">
        <v>1298</v>
      </c>
      <c r="B198" s="175">
        <v>46063</v>
      </c>
      <c r="C198" s="171" t="s">
        <v>127</v>
      </c>
      <c r="D198" s="171" t="s">
        <v>130</v>
      </c>
      <c r="E198" s="171" t="s">
        <v>78</v>
      </c>
      <c r="F198" s="171" t="s">
        <v>176</v>
      </c>
      <c r="G198" s="171" t="s">
        <v>177</v>
      </c>
      <c r="H198" s="176">
        <v>1</v>
      </c>
      <c r="I198" s="177">
        <v>5400</v>
      </c>
      <c r="J198" s="175">
        <v>46059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3415.35</v>
      </c>
    </row>
    <row r="199" spans="1:16" ht="19.5" hidden="1" customHeight="1">
      <c r="A199" s="171" t="s">
        <v>1298</v>
      </c>
      <c r="B199" s="175">
        <v>46063</v>
      </c>
      <c r="C199" s="171" t="s">
        <v>131</v>
      </c>
      <c r="D199" s="171" t="s">
        <v>132</v>
      </c>
      <c r="E199" s="171" t="s">
        <v>78</v>
      </c>
      <c r="F199" s="171" t="s">
        <v>176</v>
      </c>
      <c r="G199" s="171" t="s">
        <v>177</v>
      </c>
      <c r="H199" s="176">
        <v>1</v>
      </c>
      <c r="I199" s="177">
        <v>5400</v>
      </c>
      <c r="J199" s="175">
        <v>46059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-2322</v>
      </c>
    </row>
    <row r="200" spans="1:16" ht="19.5" hidden="1" customHeight="1">
      <c r="A200" s="171" t="s">
        <v>1298</v>
      </c>
      <c r="B200" s="175">
        <v>46063</v>
      </c>
      <c r="C200" s="171" t="s">
        <v>115</v>
      </c>
      <c r="D200" s="171" t="s">
        <v>116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5400</v>
      </c>
      <c r="J200" s="175">
        <v>46059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-13.56</v>
      </c>
    </row>
    <row r="201" spans="1:16" ht="19.5" hidden="1" customHeight="1">
      <c r="A201" s="171" t="s">
        <v>1298</v>
      </c>
      <c r="B201" s="175">
        <v>46063</v>
      </c>
      <c r="C201" s="171" t="s">
        <v>115</v>
      </c>
      <c r="D201" s="171" t="s">
        <v>135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46059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-37.340000000000003</v>
      </c>
    </row>
    <row r="202" spans="1:16" ht="19.5" hidden="1" customHeight="1">
      <c r="A202" s="171" t="s">
        <v>1299</v>
      </c>
      <c r="B202" s="175">
        <v>46063</v>
      </c>
      <c r="C202" s="171" t="s">
        <v>110</v>
      </c>
      <c r="D202" s="171" t="s">
        <v>24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0</v>
      </c>
      <c r="J202" s="175">
        <v>46057</v>
      </c>
      <c r="K202" s="171" t="s">
        <v>113</v>
      </c>
      <c r="L202" s="171" t="s">
        <v>114</v>
      </c>
      <c r="M202" s="178">
        <v>0</v>
      </c>
      <c r="N202" s="176"/>
      <c r="O202" s="176">
        <v>42</v>
      </c>
      <c r="P202" s="179">
        <v>-46.77</v>
      </c>
    </row>
    <row r="203" spans="1:16" ht="19.5" hidden="1" customHeight="1">
      <c r="A203" s="171" t="s">
        <v>1299</v>
      </c>
      <c r="B203" s="175">
        <v>46063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0</v>
      </c>
      <c r="J203" s="175">
        <v>46057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-10.59</v>
      </c>
    </row>
    <row r="204" spans="1:16" ht="19.5" hidden="1" customHeight="1">
      <c r="A204" s="171" t="s">
        <v>1299</v>
      </c>
      <c r="B204" s="175">
        <v>46063</v>
      </c>
      <c r="C204" s="171" t="s">
        <v>110</v>
      </c>
      <c r="D204" s="171" t="s">
        <v>117</v>
      </c>
      <c r="E204" s="171" t="s">
        <v>40</v>
      </c>
      <c r="F204" s="171" t="s">
        <v>149</v>
      </c>
      <c r="G204" s="171" t="s">
        <v>112</v>
      </c>
      <c r="H204" s="176">
        <v>1</v>
      </c>
      <c r="I204" s="177">
        <v>0</v>
      </c>
      <c r="J204" s="175">
        <v>46057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0</v>
      </c>
    </row>
    <row r="205" spans="1:16" ht="19.5" hidden="1" customHeight="1">
      <c r="A205" s="171" t="s">
        <v>1299</v>
      </c>
      <c r="B205" s="175">
        <v>46063</v>
      </c>
      <c r="C205" s="171" t="s">
        <v>110</v>
      </c>
      <c r="D205" s="171" t="s">
        <v>118</v>
      </c>
      <c r="E205" s="171" t="s">
        <v>40</v>
      </c>
      <c r="F205" s="171" t="s">
        <v>149</v>
      </c>
      <c r="G205" s="171" t="s">
        <v>112</v>
      </c>
      <c r="H205" s="176">
        <v>1</v>
      </c>
      <c r="I205" s="177">
        <v>0</v>
      </c>
      <c r="J205" s="175">
        <v>46057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-46.77</v>
      </c>
    </row>
    <row r="206" spans="1:16" ht="19.5" hidden="1" customHeight="1">
      <c r="A206" s="171" t="s">
        <v>1300</v>
      </c>
      <c r="B206" s="175">
        <v>46063</v>
      </c>
      <c r="C206" s="171" t="s">
        <v>110</v>
      </c>
      <c r="D206" s="171" t="s">
        <v>24</v>
      </c>
      <c r="E206" s="171" t="s">
        <v>45</v>
      </c>
      <c r="F206" s="171" t="s">
        <v>162</v>
      </c>
      <c r="G206" s="171" t="s">
        <v>163</v>
      </c>
      <c r="H206" s="176">
        <v>1</v>
      </c>
      <c r="I206" s="177">
        <v>2000</v>
      </c>
      <c r="J206" s="175">
        <v>46058</v>
      </c>
      <c r="K206" s="171" t="s">
        <v>113</v>
      </c>
      <c r="L206" s="171" t="s">
        <v>114</v>
      </c>
      <c r="M206" s="178">
        <v>0.43</v>
      </c>
      <c r="N206" s="176"/>
      <c r="O206" s="176">
        <v>42</v>
      </c>
      <c r="P206" s="179">
        <v>-130.43</v>
      </c>
    </row>
    <row r="207" spans="1:16" ht="19.5" hidden="1" customHeight="1">
      <c r="A207" s="171" t="s">
        <v>1300</v>
      </c>
      <c r="B207" s="175">
        <v>46063</v>
      </c>
      <c r="C207" s="171" t="s">
        <v>127</v>
      </c>
      <c r="D207" s="171" t="s">
        <v>128</v>
      </c>
      <c r="E207" s="171" t="s">
        <v>45</v>
      </c>
      <c r="F207" s="171" t="s">
        <v>162</v>
      </c>
      <c r="G207" s="171" t="s">
        <v>163</v>
      </c>
      <c r="H207" s="176">
        <v>1</v>
      </c>
      <c r="I207" s="177">
        <v>2000</v>
      </c>
      <c r="J207" s="175">
        <v>46058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1255.95</v>
      </c>
    </row>
    <row r="208" spans="1:16" ht="19.5" hidden="1" customHeight="1">
      <c r="A208" s="171" t="s">
        <v>1300</v>
      </c>
      <c r="B208" s="175">
        <v>46063</v>
      </c>
      <c r="C208" s="171" t="s">
        <v>127</v>
      </c>
      <c r="D208" s="171" t="s">
        <v>129</v>
      </c>
      <c r="E208" s="171" t="s">
        <v>45</v>
      </c>
      <c r="F208" s="171" t="s">
        <v>162</v>
      </c>
      <c r="G208" s="171" t="s">
        <v>163</v>
      </c>
      <c r="H208" s="176">
        <v>1</v>
      </c>
      <c r="I208" s="177">
        <v>2000</v>
      </c>
      <c r="J208" s="175">
        <v>46058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12.56</v>
      </c>
    </row>
    <row r="209" spans="1:16" ht="19.5" hidden="1" customHeight="1">
      <c r="A209" s="171" t="s">
        <v>1300</v>
      </c>
      <c r="B209" s="175">
        <v>46063</v>
      </c>
      <c r="C209" s="171" t="s">
        <v>127</v>
      </c>
      <c r="D209" s="171" t="s">
        <v>130</v>
      </c>
      <c r="E209" s="171" t="s">
        <v>45</v>
      </c>
      <c r="F209" s="171" t="s">
        <v>162</v>
      </c>
      <c r="G209" s="171" t="s">
        <v>163</v>
      </c>
      <c r="H209" s="176">
        <v>1</v>
      </c>
      <c r="I209" s="177">
        <v>2000</v>
      </c>
      <c r="J209" s="175">
        <v>46058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731.49</v>
      </c>
    </row>
    <row r="210" spans="1:16" ht="19.5" hidden="1" customHeight="1">
      <c r="A210" s="171" t="s">
        <v>1300</v>
      </c>
      <c r="B210" s="175">
        <v>46063</v>
      </c>
      <c r="C210" s="171" t="s">
        <v>131</v>
      </c>
      <c r="D210" s="171" t="s">
        <v>132</v>
      </c>
      <c r="E210" s="171" t="s">
        <v>45</v>
      </c>
      <c r="F210" s="171" t="s">
        <v>162</v>
      </c>
      <c r="G210" s="171" t="s">
        <v>163</v>
      </c>
      <c r="H210" s="176">
        <v>1</v>
      </c>
      <c r="I210" s="177">
        <v>2000</v>
      </c>
      <c r="J210" s="175">
        <v>46058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-860</v>
      </c>
    </row>
    <row r="211" spans="1:16" ht="19.5" hidden="1" customHeight="1">
      <c r="A211" s="171" t="s">
        <v>1300</v>
      </c>
      <c r="B211" s="175">
        <v>46063</v>
      </c>
      <c r="C211" s="171" t="s">
        <v>115</v>
      </c>
      <c r="D211" s="171" t="s">
        <v>116</v>
      </c>
      <c r="E211" s="171" t="s">
        <v>45</v>
      </c>
      <c r="F211" s="171" t="s">
        <v>162</v>
      </c>
      <c r="G211" s="171" t="s">
        <v>163</v>
      </c>
      <c r="H211" s="176">
        <v>1</v>
      </c>
      <c r="I211" s="177">
        <v>2000</v>
      </c>
      <c r="J211" s="175">
        <v>46058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-11.3</v>
      </c>
    </row>
    <row r="212" spans="1:16" ht="19.5" hidden="1" customHeight="1">
      <c r="A212" s="171" t="s">
        <v>1301</v>
      </c>
      <c r="B212" s="175">
        <v>46063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46063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-18.079999999999998</v>
      </c>
    </row>
    <row r="213" spans="1:16" ht="19.5" hidden="1" customHeight="1">
      <c r="A213" s="171" t="s">
        <v>1302</v>
      </c>
      <c r="B213" s="175">
        <v>46063</v>
      </c>
      <c r="C213" s="171" t="s">
        <v>110</v>
      </c>
      <c r="D213" s="171" t="s">
        <v>24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2000</v>
      </c>
      <c r="J213" s="175">
        <v>46057</v>
      </c>
      <c r="K213" s="171" t="s">
        <v>113</v>
      </c>
      <c r="L213" s="171" t="s">
        <v>114</v>
      </c>
      <c r="M213" s="178">
        <v>0.43</v>
      </c>
      <c r="N213" s="176"/>
      <c r="O213" s="176">
        <v>42</v>
      </c>
      <c r="P213" s="179">
        <v>-130.43</v>
      </c>
    </row>
    <row r="214" spans="1:16" ht="19.5" hidden="1" customHeight="1">
      <c r="A214" s="171" t="s">
        <v>1302</v>
      </c>
      <c r="B214" s="175">
        <v>46063</v>
      </c>
      <c r="C214" s="171" t="s">
        <v>127</v>
      </c>
      <c r="D214" s="171" t="s">
        <v>128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2000</v>
      </c>
      <c r="J214" s="175">
        <v>46057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869.52</v>
      </c>
    </row>
    <row r="215" spans="1:16" ht="19.5" hidden="1" customHeight="1">
      <c r="A215" s="171" t="s">
        <v>1302</v>
      </c>
      <c r="B215" s="175">
        <v>46063</v>
      </c>
      <c r="C215" s="171" t="s">
        <v>127</v>
      </c>
      <c r="D215" s="171" t="s">
        <v>129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2000</v>
      </c>
      <c r="J215" s="175">
        <v>46057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8.6999999999999993</v>
      </c>
    </row>
    <row r="216" spans="1:16" ht="19.5" hidden="1" customHeight="1">
      <c r="A216" s="171" t="s">
        <v>1302</v>
      </c>
      <c r="B216" s="175">
        <v>46063</v>
      </c>
      <c r="C216" s="171" t="s">
        <v>127</v>
      </c>
      <c r="D216" s="171" t="s">
        <v>130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2000</v>
      </c>
      <c r="J216" s="175">
        <v>46057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1121.78</v>
      </c>
    </row>
    <row r="217" spans="1:16" ht="19.5" hidden="1" customHeight="1">
      <c r="A217" s="171" t="s">
        <v>1302</v>
      </c>
      <c r="B217" s="175">
        <v>46063</v>
      </c>
      <c r="C217" s="171" t="s">
        <v>131</v>
      </c>
      <c r="D217" s="171" t="s">
        <v>132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2000</v>
      </c>
      <c r="J217" s="175">
        <v>46057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-860</v>
      </c>
    </row>
    <row r="218" spans="1:16" ht="19.5" hidden="1" customHeight="1">
      <c r="A218" s="171" t="s">
        <v>1303</v>
      </c>
      <c r="B218" s="175">
        <v>46063</v>
      </c>
      <c r="C218" s="171" t="s">
        <v>110</v>
      </c>
      <c r="D218" s="171" t="s">
        <v>24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46058</v>
      </c>
      <c r="K218" s="171" t="s">
        <v>113</v>
      </c>
      <c r="L218" s="171" t="s">
        <v>114</v>
      </c>
      <c r="M218" s="178">
        <v>0</v>
      </c>
      <c r="N218" s="176"/>
      <c r="O218" s="176">
        <v>42</v>
      </c>
      <c r="P218" s="179">
        <v>-46.77</v>
      </c>
    </row>
    <row r="219" spans="1:16" ht="19.5" hidden="1" customHeight="1">
      <c r="A219" s="171" t="s">
        <v>1303</v>
      </c>
      <c r="B219" s="175">
        <v>46063</v>
      </c>
      <c r="C219" s="171" t="s">
        <v>115</v>
      </c>
      <c r="D219" s="171" t="s">
        <v>116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0</v>
      </c>
      <c r="J219" s="175">
        <v>46058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-8.6199999999999992</v>
      </c>
    </row>
    <row r="220" spans="1:16" ht="19.5" hidden="1" customHeight="1">
      <c r="A220" s="171" t="s">
        <v>1102</v>
      </c>
      <c r="B220" s="175">
        <v>46063</v>
      </c>
      <c r="C220" s="171" t="s">
        <v>308</v>
      </c>
      <c r="D220" s="171" t="s">
        <v>419</v>
      </c>
      <c r="E220" s="171" t="s">
        <v>55</v>
      </c>
      <c r="F220" s="171" t="s">
        <v>356</v>
      </c>
      <c r="G220" s="171" t="s">
        <v>357</v>
      </c>
      <c r="H220" s="176">
        <v>1</v>
      </c>
      <c r="I220" s="177">
        <v>-3185</v>
      </c>
      <c r="J220" s="175">
        <v>46046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-1925.71</v>
      </c>
    </row>
    <row r="221" spans="1:16" ht="19.5" hidden="1" customHeight="1">
      <c r="A221" s="171" t="s">
        <v>1102</v>
      </c>
      <c r="B221" s="175">
        <v>46063</v>
      </c>
      <c r="C221" s="171" t="s">
        <v>308</v>
      </c>
      <c r="D221" s="171" t="s">
        <v>129</v>
      </c>
      <c r="E221" s="171" t="s">
        <v>55</v>
      </c>
      <c r="F221" s="171" t="s">
        <v>356</v>
      </c>
      <c r="G221" s="171" t="s">
        <v>357</v>
      </c>
      <c r="H221" s="176">
        <v>1</v>
      </c>
      <c r="I221" s="177">
        <v>-3185</v>
      </c>
      <c r="J221" s="175">
        <v>46046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-19.260000000000002</v>
      </c>
    </row>
    <row r="222" spans="1:16" ht="19.5" hidden="1" customHeight="1">
      <c r="A222" s="171" t="s">
        <v>1102</v>
      </c>
      <c r="B222" s="175">
        <v>46063</v>
      </c>
      <c r="C222" s="171" t="s">
        <v>308</v>
      </c>
      <c r="D222" s="171" t="s">
        <v>130</v>
      </c>
      <c r="E222" s="171" t="s">
        <v>55</v>
      </c>
      <c r="F222" s="171" t="s">
        <v>356</v>
      </c>
      <c r="G222" s="171" t="s">
        <v>357</v>
      </c>
      <c r="H222" s="176">
        <v>1</v>
      </c>
      <c r="I222" s="177">
        <v>-3185</v>
      </c>
      <c r="J222" s="175">
        <v>46046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-1240.03</v>
      </c>
    </row>
    <row r="223" spans="1:16" ht="19.5" hidden="1" customHeight="1">
      <c r="A223" s="171" t="s">
        <v>1102</v>
      </c>
      <c r="B223" s="175">
        <v>46063</v>
      </c>
      <c r="C223" s="171" t="s">
        <v>131</v>
      </c>
      <c r="D223" s="171" t="s">
        <v>420</v>
      </c>
      <c r="E223" s="171" t="s">
        <v>55</v>
      </c>
      <c r="F223" s="171" t="s">
        <v>356</v>
      </c>
      <c r="G223" s="171" t="s">
        <v>357</v>
      </c>
      <c r="H223" s="176">
        <v>1</v>
      </c>
      <c r="I223" s="177">
        <v>-3185</v>
      </c>
      <c r="J223" s="175">
        <v>46046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1369.55</v>
      </c>
    </row>
    <row r="224" spans="1:16" ht="19.5" hidden="1" customHeight="1">
      <c r="A224" s="171" t="s">
        <v>1303</v>
      </c>
      <c r="B224" s="175">
        <v>46063</v>
      </c>
      <c r="C224" s="171" t="s">
        <v>110</v>
      </c>
      <c r="D224" s="171" t="s">
        <v>117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46058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0</v>
      </c>
    </row>
    <row r="225" spans="1:16" ht="19.5" hidden="1" customHeight="1">
      <c r="A225" s="171" t="s">
        <v>1303</v>
      </c>
      <c r="B225" s="175">
        <v>46063</v>
      </c>
      <c r="C225" s="171" t="s">
        <v>110</v>
      </c>
      <c r="D225" s="171" t="s">
        <v>118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0</v>
      </c>
      <c r="J225" s="175">
        <v>46058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-46.77</v>
      </c>
    </row>
    <row r="226" spans="1:16" ht="19.5" hidden="1" customHeight="1">
      <c r="A226" s="171" t="s">
        <v>1304</v>
      </c>
      <c r="B226" s="175">
        <v>46063</v>
      </c>
      <c r="C226" s="171" t="s">
        <v>110</v>
      </c>
      <c r="D226" s="171" t="s">
        <v>24</v>
      </c>
      <c r="E226" s="171" t="s">
        <v>45</v>
      </c>
      <c r="F226" s="171" t="s">
        <v>162</v>
      </c>
      <c r="G226" s="171" t="s">
        <v>163</v>
      </c>
      <c r="H226" s="176">
        <v>1</v>
      </c>
      <c r="I226" s="177">
        <v>2400</v>
      </c>
      <c r="J226" s="175">
        <v>46061</v>
      </c>
      <c r="K226" s="171" t="s">
        <v>113</v>
      </c>
      <c r="L226" s="171" t="s">
        <v>114</v>
      </c>
      <c r="M226" s="178">
        <v>0.43</v>
      </c>
      <c r="N226" s="176"/>
      <c r="O226" s="176">
        <v>45</v>
      </c>
      <c r="P226" s="179">
        <v>-156.84</v>
      </c>
    </row>
    <row r="227" spans="1:16" ht="19.5" hidden="1" customHeight="1">
      <c r="A227" s="171" t="s">
        <v>1304</v>
      </c>
      <c r="B227" s="175">
        <v>46063</v>
      </c>
      <c r="C227" s="171" t="s">
        <v>127</v>
      </c>
      <c r="D227" s="171" t="s">
        <v>128</v>
      </c>
      <c r="E227" s="171" t="s">
        <v>45</v>
      </c>
      <c r="F227" s="171" t="s">
        <v>162</v>
      </c>
      <c r="G227" s="171" t="s">
        <v>163</v>
      </c>
      <c r="H227" s="176">
        <v>1</v>
      </c>
      <c r="I227" s="177">
        <v>2400</v>
      </c>
      <c r="J227" s="175">
        <v>46061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1246.67</v>
      </c>
    </row>
    <row r="228" spans="1:16" ht="19.5" hidden="1" customHeight="1">
      <c r="A228" s="171" t="s">
        <v>1304</v>
      </c>
      <c r="B228" s="175">
        <v>46063</v>
      </c>
      <c r="C228" s="171" t="s">
        <v>127</v>
      </c>
      <c r="D228" s="171" t="s">
        <v>129</v>
      </c>
      <c r="E228" s="171" t="s">
        <v>45</v>
      </c>
      <c r="F228" s="171" t="s">
        <v>162</v>
      </c>
      <c r="G228" s="171" t="s">
        <v>163</v>
      </c>
      <c r="H228" s="176">
        <v>1</v>
      </c>
      <c r="I228" s="177">
        <v>2400</v>
      </c>
      <c r="J228" s="175">
        <v>46061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12.47</v>
      </c>
    </row>
    <row r="229" spans="1:16" ht="19.5" hidden="1" customHeight="1">
      <c r="A229" s="171" t="s">
        <v>1304</v>
      </c>
      <c r="B229" s="175">
        <v>46063</v>
      </c>
      <c r="C229" s="171" t="s">
        <v>127</v>
      </c>
      <c r="D229" s="171" t="s">
        <v>130</v>
      </c>
      <c r="E229" s="171" t="s">
        <v>45</v>
      </c>
      <c r="F229" s="171" t="s">
        <v>162</v>
      </c>
      <c r="G229" s="171" t="s">
        <v>163</v>
      </c>
      <c r="H229" s="176">
        <v>1</v>
      </c>
      <c r="I229" s="177">
        <v>2400</v>
      </c>
      <c r="J229" s="175">
        <v>46061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1140.8599999999999</v>
      </c>
    </row>
    <row r="230" spans="1:16" ht="19.5" hidden="1" customHeight="1">
      <c r="A230" s="171" t="s">
        <v>1304</v>
      </c>
      <c r="B230" s="175">
        <v>46063</v>
      </c>
      <c r="C230" s="171" t="s">
        <v>131</v>
      </c>
      <c r="D230" s="171" t="s">
        <v>132</v>
      </c>
      <c r="E230" s="171" t="s">
        <v>45</v>
      </c>
      <c r="F230" s="171" t="s">
        <v>162</v>
      </c>
      <c r="G230" s="171" t="s">
        <v>163</v>
      </c>
      <c r="H230" s="176">
        <v>1</v>
      </c>
      <c r="I230" s="177">
        <v>2400</v>
      </c>
      <c r="J230" s="175">
        <v>46061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-1032</v>
      </c>
    </row>
    <row r="231" spans="1:16" ht="19.5" hidden="1" customHeight="1">
      <c r="A231" s="171" t="s">
        <v>1304</v>
      </c>
      <c r="B231" s="175">
        <v>46063</v>
      </c>
      <c r="C231" s="171" t="s">
        <v>115</v>
      </c>
      <c r="D231" s="171" t="s">
        <v>116</v>
      </c>
      <c r="E231" s="171" t="s">
        <v>45</v>
      </c>
      <c r="F231" s="171" t="s">
        <v>162</v>
      </c>
      <c r="G231" s="171" t="s">
        <v>163</v>
      </c>
      <c r="H231" s="176">
        <v>1</v>
      </c>
      <c r="I231" s="177">
        <v>2400</v>
      </c>
      <c r="J231" s="175">
        <v>46061</v>
      </c>
      <c r="K231" s="171" t="s">
        <v>113</v>
      </c>
      <c r="L231" s="171" t="s">
        <v>114</v>
      </c>
      <c r="M231" s="178">
        <v>0.43</v>
      </c>
      <c r="N231" s="176"/>
      <c r="O231" s="176"/>
      <c r="P231" s="179">
        <v>-22.32</v>
      </c>
    </row>
    <row r="232" spans="1:16" ht="19.5" hidden="1" customHeight="1">
      <c r="A232" s="171" t="s">
        <v>1102</v>
      </c>
      <c r="B232" s="175">
        <v>46063</v>
      </c>
      <c r="C232" s="171" t="s">
        <v>115</v>
      </c>
      <c r="D232" s="171" t="s">
        <v>135</v>
      </c>
      <c r="E232" s="171" t="s">
        <v>55</v>
      </c>
      <c r="F232" s="171" t="s">
        <v>356</v>
      </c>
      <c r="G232" s="171" t="s">
        <v>357</v>
      </c>
      <c r="H232" s="176">
        <v>1</v>
      </c>
      <c r="I232" s="177">
        <v>0</v>
      </c>
      <c r="J232" s="175">
        <v>46046</v>
      </c>
      <c r="K232" s="171" t="s">
        <v>125</v>
      </c>
      <c r="L232" s="171" t="s">
        <v>125</v>
      </c>
      <c r="M232" s="178">
        <v>0</v>
      </c>
      <c r="N232" s="176"/>
      <c r="O232" s="176"/>
      <c r="P232" s="179">
        <v>36.590000000000003</v>
      </c>
    </row>
    <row r="233" spans="1:16" ht="19.5" hidden="1" customHeight="1">
      <c r="A233" s="171" t="s">
        <v>1305</v>
      </c>
      <c r="B233" s="175">
        <v>46063</v>
      </c>
      <c r="C233" s="171" t="s">
        <v>115</v>
      </c>
      <c r="D233" s="171" t="s">
        <v>135</v>
      </c>
      <c r="E233" s="171" t="s">
        <v>79</v>
      </c>
      <c r="F233" s="171" t="s">
        <v>441</v>
      </c>
      <c r="G233" s="171" t="s">
        <v>177</v>
      </c>
      <c r="H233" s="176">
        <v>1</v>
      </c>
      <c r="I233" s="177">
        <v>0</v>
      </c>
      <c r="J233" s="175">
        <v>46063</v>
      </c>
      <c r="K233" s="171" t="s">
        <v>125</v>
      </c>
      <c r="L233" s="171" t="s">
        <v>125</v>
      </c>
      <c r="M233" s="178">
        <v>0</v>
      </c>
      <c r="N233" s="176"/>
      <c r="O233" s="176"/>
      <c r="P233" s="179">
        <v>-46.43</v>
      </c>
    </row>
    <row r="234" spans="1:16" ht="19.5" hidden="1" customHeight="1">
      <c r="A234" s="171" t="s">
        <v>1304</v>
      </c>
      <c r="B234" s="175">
        <v>46063</v>
      </c>
      <c r="C234" s="171" t="s">
        <v>115</v>
      </c>
      <c r="D234" s="171" t="s">
        <v>135</v>
      </c>
      <c r="E234" s="171" t="s">
        <v>45</v>
      </c>
      <c r="F234" s="171" t="s">
        <v>162</v>
      </c>
      <c r="G234" s="171" t="s">
        <v>163</v>
      </c>
      <c r="H234" s="176">
        <v>1</v>
      </c>
      <c r="I234" s="177">
        <v>0</v>
      </c>
      <c r="J234" s="175">
        <v>46061</v>
      </c>
      <c r="K234" s="171" t="s">
        <v>125</v>
      </c>
      <c r="L234" s="171" t="s">
        <v>125</v>
      </c>
      <c r="M234" s="178">
        <v>0</v>
      </c>
      <c r="N234" s="176"/>
      <c r="O234" s="176"/>
      <c r="P234" s="179">
        <v>-23.69</v>
      </c>
    </row>
    <row r="235" spans="1:16" ht="19.5" hidden="1" customHeight="1">
      <c r="A235" s="171" t="s">
        <v>1306</v>
      </c>
      <c r="B235" s="175">
        <v>46063</v>
      </c>
      <c r="C235" s="171" t="s">
        <v>110</v>
      </c>
      <c r="D235" s="171" t="s">
        <v>24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46059</v>
      </c>
      <c r="K235" s="171" t="s">
        <v>113</v>
      </c>
      <c r="L235" s="171" t="s">
        <v>114</v>
      </c>
      <c r="M235" s="178">
        <v>0</v>
      </c>
      <c r="N235" s="176"/>
      <c r="O235" s="176">
        <v>42</v>
      </c>
      <c r="P235" s="179">
        <v>-56.94</v>
      </c>
    </row>
    <row r="236" spans="1:16" ht="19.5" hidden="1" customHeight="1">
      <c r="A236" s="171" t="s">
        <v>1306</v>
      </c>
      <c r="B236" s="175">
        <v>46063</v>
      </c>
      <c r="C236" s="171" t="s">
        <v>110</v>
      </c>
      <c r="D236" s="171" t="s">
        <v>117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46059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hidden="1" customHeight="1">
      <c r="A237" s="171" t="s">
        <v>1306</v>
      </c>
      <c r="B237" s="175">
        <v>46063</v>
      </c>
      <c r="C237" s="171" t="s">
        <v>110</v>
      </c>
      <c r="D237" s="171" t="s">
        <v>118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46059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-56.94</v>
      </c>
    </row>
    <row r="238" spans="1:16" ht="19.5" hidden="1" customHeight="1">
      <c r="A238" s="171" t="s">
        <v>1307</v>
      </c>
      <c r="B238" s="175">
        <v>46063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2000</v>
      </c>
      <c r="J238" s="175">
        <v>46058</v>
      </c>
      <c r="K238" s="171" t="s">
        <v>113</v>
      </c>
      <c r="L238" s="171" t="s">
        <v>114</v>
      </c>
      <c r="M238" s="178">
        <v>0.43</v>
      </c>
      <c r="N238" s="176"/>
      <c r="O238" s="176">
        <v>42</v>
      </c>
      <c r="P238" s="179">
        <v>-130.43</v>
      </c>
    </row>
    <row r="239" spans="1:16" ht="19.5" hidden="1" customHeight="1">
      <c r="A239" s="171" t="s">
        <v>1307</v>
      </c>
      <c r="B239" s="175">
        <v>46063</v>
      </c>
      <c r="C239" s="171" t="s">
        <v>127</v>
      </c>
      <c r="D239" s="171" t="s">
        <v>128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2000</v>
      </c>
      <c r="J239" s="175">
        <v>46058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791.43</v>
      </c>
    </row>
    <row r="240" spans="1:16" ht="19.5" hidden="1" customHeight="1">
      <c r="A240" s="171" t="s">
        <v>1307</v>
      </c>
      <c r="B240" s="175">
        <v>46063</v>
      </c>
      <c r="C240" s="171" t="s">
        <v>127</v>
      </c>
      <c r="D240" s="171" t="s">
        <v>129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2000</v>
      </c>
      <c r="J240" s="175">
        <v>46058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7.91</v>
      </c>
    </row>
    <row r="241" spans="1:16" ht="19.5" hidden="1" customHeight="1">
      <c r="A241" s="171" t="s">
        <v>1307</v>
      </c>
      <c r="B241" s="175">
        <v>46063</v>
      </c>
      <c r="C241" s="171" t="s">
        <v>127</v>
      </c>
      <c r="D241" s="171" t="s">
        <v>130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2000</v>
      </c>
      <c r="J241" s="175">
        <v>46058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1200.6600000000001</v>
      </c>
    </row>
    <row r="242" spans="1:16" ht="19.5" hidden="1" customHeight="1">
      <c r="A242" s="171" t="s">
        <v>1307</v>
      </c>
      <c r="B242" s="175">
        <v>46063</v>
      </c>
      <c r="C242" s="171" t="s">
        <v>131</v>
      </c>
      <c r="D242" s="171" t="s">
        <v>132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2000</v>
      </c>
      <c r="J242" s="175">
        <v>46058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-860</v>
      </c>
    </row>
    <row r="243" spans="1:16" ht="19.5" hidden="1" customHeight="1">
      <c r="A243" s="171" t="s">
        <v>1307</v>
      </c>
      <c r="B243" s="175">
        <v>46063</v>
      </c>
      <c r="C243" s="171" t="s">
        <v>115</v>
      </c>
      <c r="D243" s="171" t="s">
        <v>116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2000</v>
      </c>
      <c r="J243" s="175">
        <v>46058</v>
      </c>
      <c r="K243" s="171" t="s">
        <v>113</v>
      </c>
      <c r="L243" s="171" t="s">
        <v>114</v>
      </c>
      <c r="M243" s="178">
        <v>0.43</v>
      </c>
      <c r="N243" s="176"/>
      <c r="O243" s="176"/>
      <c r="P243" s="179">
        <v>-18.829999999999998</v>
      </c>
    </row>
    <row r="244" spans="1:16" ht="19.5" hidden="1" customHeight="1">
      <c r="A244" s="171" t="s">
        <v>1307</v>
      </c>
      <c r="B244" s="175">
        <v>46063</v>
      </c>
      <c r="C244" s="171" t="s">
        <v>115</v>
      </c>
      <c r="D244" s="171" t="s">
        <v>135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46058</v>
      </c>
      <c r="K244" s="171" t="s">
        <v>125</v>
      </c>
      <c r="L244" s="171" t="s">
        <v>125</v>
      </c>
      <c r="M244" s="178">
        <v>0</v>
      </c>
      <c r="N244" s="176"/>
      <c r="O244" s="176"/>
      <c r="P244" s="179">
        <v>-15.04</v>
      </c>
    </row>
    <row r="245" spans="1:16" ht="19.5" hidden="1" customHeight="1">
      <c r="A245" s="171" t="s">
        <v>1308</v>
      </c>
      <c r="B245" s="175">
        <v>46063</v>
      </c>
      <c r="C245" s="171" t="s">
        <v>110</v>
      </c>
      <c r="D245" s="171" t="s">
        <v>24</v>
      </c>
      <c r="E245" s="171" t="s">
        <v>75</v>
      </c>
      <c r="F245" s="171" t="s">
        <v>474</v>
      </c>
      <c r="G245" s="171" t="s">
        <v>177</v>
      </c>
      <c r="H245" s="176">
        <v>1</v>
      </c>
      <c r="I245" s="177">
        <v>4300</v>
      </c>
      <c r="J245" s="175">
        <v>46061</v>
      </c>
      <c r="K245" s="171" t="s">
        <v>113</v>
      </c>
      <c r="L245" s="171" t="s">
        <v>114</v>
      </c>
      <c r="M245" s="178">
        <v>0.43</v>
      </c>
      <c r="N245" s="176"/>
      <c r="O245" s="176">
        <v>45</v>
      </c>
      <c r="P245" s="179">
        <v>-236.42</v>
      </c>
    </row>
    <row r="246" spans="1:16" ht="19.5" hidden="1" customHeight="1">
      <c r="A246" s="171" t="s">
        <v>1308</v>
      </c>
      <c r="B246" s="175">
        <v>46063</v>
      </c>
      <c r="C246" s="171" t="s">
        <v>127</v>
      </c>
      <c r="D246" s="171" t="s">
        <v>128</v>
      </c>
      <c r="E246" s="171" t="s">
        <v>75</v>
      </c>
      <c r="F246" s="171" t="s">
        <v>474</v>
      </c>
      <c r="G246" s="171" t="s">
        <v>177</v>
      </c>
      <c r="H246" s="176">
        <v>1</v>
      </c>
      <c r="I246" s="177">
        <v>4300</v>
      </c>
      <c r="J246" s="175">
        <v>46061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1609.16</v>
      </c>
    </row>
    <row r="247" spans="1:16" ht="19.5" hidden="1" customHeight="1">
      <c r="A247" s="171" t="s">
        <v>1308</v>
      </c>
      <c r="B247" s="175">
        <v>46063</v>
      </c>
      <c r="C247" s="171" t="s">
        <v>127</v>
      </c>
      <c r="D247" s="171" t="s">
        <v>129</v>
      </c>
      <c r="E247" s="171" t="s">
        <v>75</v>
      </c>
      <c r="F247" s="171" t="s">
        <v>474</v>
      </c>
      <c r="G247" s="171" t="s">
        <v>177</v>
      </c>
      <c r="H247" s="176">
        <v>1</v>
      </c>
      <c r="I247" s="177">
        <v>4300</v>
      </c>
      <c r="J247" s="175">
        <v>46061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16.09</v>
      </c>
    </row>
    <row r="248" spans="1:16" ht="19.5" hidden="1" customHeight="1">
      <c r="A248" s="171" t="s">
        <v>1308</v>
      </c>
      <c r="B248" s="175">
        <v>46063</v>
      </c>
      <c r="C248" s="171" t="s">
        <v>127</v>
      </c>
      <c r="D248" s="171" t="s">
        <v>130</v>
      </c>
      <c r="E248" s="171" t="s">
        <v>75</v>
      </c>
      <c r="F248" s="171" t="s">
        <v>474</v>
      </c>
      <c r="G248" s="171" t="s">
        <v>177</v>
      </c>
      <c r="H248" s="176">
        <v>1</v>
      </c>
      <c r="I248" s="177">
        <v>4300</v>
      </c>
      <c r="J248" s="175">
        <v>46061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2674.75</v>
      </c>
    </row>
    <row r="249" spans="1:16" ht="19.5" hidden="1" customHeight="1">
      <c r="A249" s="171" t="s">
        <v>1308</v>
      </c>
      <c r="B249" s="175">
        <v>46063</v>
      </c>
      <c r="C249" s="171" t="s">
        <v>131</v>
      </c>
      <c r="D249" s="171" t="s">
        <v>132</v>
      </c>
      <c r="E249" s="171" t="s">
        <v>75</v>
      </c>
      <c r="F249" s="171" t="s">
        <v>474</v>
      </c>
      <c r="G249" s="171" t="s">
        <v>177</v>
      </c>
      <c r="H249" s="176">
        <v>1</v>
      </c>
      <c r="I249" s="177">
        <v>4300</v>
      </c>
      <c r="J249" s="175">
        <v>46061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-1849</v>
      </c>
    </row>
    <row r="250" spans="1:16" ht="19.5" hidden="1" customHeight="1">
      <c r="A250" s="171" t="s">
        <v>1309</v>
      </c>
      <c r="B250" s="175">
        <v>46063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0</v>
      </c>
      <c r="J250" s="175">
        <v>46058</v>
      </c>
      <c r="K250" s="171" t="s">
        <v>113</v>
      </c>
      <c r="L250" s="171" t="s">
        <v>114</v>
      </c>
      <c r="M250" s="178">
        <v>0</v>
      </c>
      <c r="N250" s="176"/>
      <c r="O250" s="176">
        <v>42</v>
      </c>
      <c r="P250" s="179">
        <v>-46.77</v>
      </c>
    </row>
    <row r="251" spans="1:16" ht="19.5" hidden="1" customHeight="1">
      <c r="A251" s="171" t="s">
        <v>1309</v>
      </c>
      <c r="B251" s="175">
        <v>46063</v>
      </c>
      <c r="C251" s="171" t="s">
        <v>115</v>
      </c>
      <c r="D251" s="171" t="s">
        <v>116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46058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-10.16</v>
      </c>
    </row>
    <row r="252" spans="1:16" ht="19.5" hidden="1" customHeight="1">
      <c r="A252" s="171" t="s">
        <v>1310</v>
      </c>
      <c r="B252" s="175">
        <v>46063</v>
      </c>
      <c r="C252" s="171" t="s">
        <v>123</v>
      </c>
      <c r="D252" s="171" t="s">
        <v>376</v>
      </c>
      <c r="E252" s="171" t="s">
        <v>125</v>
      </c>
      <c r="F252" s="171" t="s">
        <v>125</v>
      </c>
      <c r="G252" s="171" t="s">
        <v>125</v>
      </c>
      <c r="H252" s="176">
        <v>0</v>
      </c>
      <c r="I252" s="177">
        <v>0</v>
      </c>
      <c r="J252" s="175">
        <v>46056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-396</v>
      </c>
    </row>
    <row r="253" spans="1:16" ht="19.5" hidden="1" customHeight="1">
      <c r="A253" s="171" t="s">
        <v>1309</v>
      </c>
      <c r="B253" s="175">
        <v>46063</v>
      </c>
      <c r="C253" s="171" t="s">
        <v>110</v>
      </c>
      <c r="D253" s="171" t="s">
        <v>117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46058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hidden="1" customHeight="1">
      <c r="A254" s="171" t="s">
        <v>1309</v>
      </c>
      <c r="B254" s="175">
        <v>46063</v>
      </c>
      <c r="C254" s="171" t="s">
        <v>110</v>
      </c>
      <c r="D254" s="171" t="s">
        <v>118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0</v>
      </c>
      <c r="J254" s="175">
        <v>46058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-46.77</v>
      </c>
    </row>
    <row r="255" spans="1:16" ht="19.5" hidden="1" customHeight="1">
      <c r="A255" s="171" t="s">
        <v>1309</v>
      </c>
      <c r="B255" s="175">
        <v>46063</v>
      </c>
      <c r="C255" s="171" t="s">
        <v>115</v>
      </c>
      <c r="D255" s="171" t="s">
        <v>119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46058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-15</v>
      </c>
    </row>
    <row r="256" spans="1:16" ht="19.5" hidden="1" customHeight="1">
      <c r="A256" s="171" t="s">
        <v>1310</v>
      </c>
      <c r="B256" s="175">
        <v>46063</v>
      </c>
      <c r="C256" s="171" t="s">
        <v>123</v>
      </c>
      <c r="D256" s="171" t="s">
        <v>376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46056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-514.79999999999995</v>
      </c>
    </row>
    <row r="257" spans="1:16" ht="19.5" hidden="1" customHeight="1">
      <c r="A257" s="171" t="s">
        <v>1310</v>
      </c>
      <c r="B257" s="175">
        <v>46063</v>
      </c>
      <c r="C257" s="171" t="s">
        <v>123</v>
      </c>
      <c r="D257" s="171" t="s">
        <v>376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46056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-488.4</v>
      </c>
    </row>
    <row r="258" spans="1:16" ht="19.5" hidden="1" customHeight="1">
      <c r="A258" s="171" t="s">
        <v>1311</v>
      </c>
      <c r="B258" s="175">
        <v>46063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46063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-6.97</v>
      </c>
    </row>
    <row r="259" spans="1:16" ht="19.5" hidden="1" customHeight="1">
      <c r="A259" s="171" t="s">
        <v>1312</v>
      </c>
      <c r="B259" s="175">
        <v>46063</v>
      </c>
      <c r="C259" s="171" t="s">
        <v>110</v>
      </c>
      <c r="D259" s="171" t="s">
        <v>24</v>
      </c>
      <c r="E259" s="171" t="s">
        <v>42</v>
      </c>
      <c r="F259" s="171" t="s">
        <v>248</v>
      </c>
      <c r="G259" s="171" t="s">
        <v>112</v>
      </c>
      <c r="H259" s="176">
        <v>1</v>
      </c>
      <c r="I259" s="177">
        <v>2000</v>
      </c>
      <c r="J259" s="175">
        <v>46057</v>
      </c>
      <c r="K259" s="171" t="s">
        <v>113</v>
      </c>
      <c r="L259" s="171" t="s">
        <v>114</v>
      </c>
      <c r="M259" s="178">
        <v>0.43</v>
      </c>
      <c r="N259" s="176"/>
      <c r="O259" s="176">
        <v>42</v>
      </c>
      <c r="P259" s="179">
        <v>-130.43</v>
      </c>
    </row>
    <row r="260" spans="1:16" ht="19.5" hidden="1" customHeight="1">
      <c r="A260" s="171" t="s">
        <v>1312</v>
      </c>
      <c r="B260" s="175">
        <v>46063</v>
      </c>
      <c r="C260" s="171" t="s">
        <v>127</v>
      </c>
      <c r="D260" s="171" t="s">
        <v>128</v>
      </c>
      <c r="E260" s="171" t="s">
        <v>42</v>
      </c>
      <c r="F260" s="171" t="s">
        <v>248</v>
      </c>
      <c r="G260" s="171" t="s">
        <v>112</v>
      </c>
      <c r="H260" s="176">
        <v>1</v>
      </c>
      <c r="I260" s="177">
        <v>2000</v>
      </c>
      <c r="J260" s="175">
        <v>46057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887.62</v>
      </c>
    </row>
    <row r="261" spans="1:16" ht="19.5" hidden="1" customHeight="1">
      <c r="A261" s="171" t="s">
        <v>1312</v>
      </c>
      <c r="B261" s="175">
        <v>46063</v>
      </c>
      <c r="C261" s="171" t="s">
        <v>127</v>
      </c>
      <c r="D261" s="171" t="s">
        <v>129</v>
      </c>
      <c r="E261" s="171" t="s">
        <v>42</v>
      </c>
      <c r="F261" s="171" t="s">
        <v>248</v>
      </c>
      <c r="G261" s="171" t="s">
        <v>112</v>
      </c>
      <c r="H261" s="176">
        <v>1</v>
      </c>
      <c r="I261" s="177">
        <v>2000</v>
      </c>
      <c r="J261" s="175">
        <v>46057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8.8800000000000008</v>
      </c>
    </row>
    <row r="262" spans="1:16" ht="19.5" hidden="1" customHeight="1">
      <c r="A262" s="171" t="s">
        <v>1312</v>
      </c>
      <c r="B262" s="175">
        <v>46063</v>
      </c>
      <c r="C262" s="171" t="s">
        <v>127</v>
      </c>
      <c r="D262" s="171" t="s">
        <v>130</v>
      </c>
      <c r="E262" s="171" t="s">
        <v>42</v>
      </c>
      <c r="F262" s="171" t="s">
        <v>248</v>
      </c>
      <c r="G262" s="171" t="s">
        <v>112</v>
      </c>
      <c r="H262" s="176">
        <v>1</v>
      </c>
      <c r="I262" s="177">
        <v>2000</v>
      </c>
      <c r="J262" s="175">
        <v>46057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1103.5</v>
      </c>
    </row>
    <row r="263" spans="1:16" ht="19.5" hidden="1" customHeight="1">
      <c r="A263" s="171" t="s">
        <v>1312</v>
      </c>
      <c r="B263" s="175">
        <v>46063</v>
      </c>
      <c r="C263" s="171" t="s">
        <v>131</v>
      </c>
      <c r="D263" s="171" t="s">
        <v>132</v>
      </c>
      <c r="E263" s="171" t="s">
        <v>42</v>
      </c>
      <c r="F263" s="171" t="s">
        <v>248</v>
      </c>
      <c r="G263" s="171" t="s">
        <v>112</v>
      </c>
      <c r="H263" s="176">
        <v>1</v>
      </c>
      <c r="I263" s="177">
        <v>2000</v>
      </c>
      <c r="J263" s="175">
        <v>46057</v>
      </c>
      <c r="K263" s="171" t="s">
        <v>113</v>
      </c>
      <c r="L263" s="171" t="s">
        <v>114</v>
      </c>
      <c r="M263" s="178">
        <v>0.43</v>
      </c>
      <c r="N263" s="176"/>
      <c r="O263" s="176"/>
      <c r="P263" s="179">
        <v>-860</v>
      </c>
    </row>
    <row r="264" spans="1:16" ht="19.5" hidden="1" customHeight="1">
      <c r="A264" s="171" t="s">
        <v>1312</v>
      </c>
      <c r="B264" s="175">
        <v>46063</v>
      </c>
      <c r="C264" s="171" t="s">
        <v>115</v>
      </c>
      <c r="D264" s="171" t="s">
        <v>116</v>
      </c>
      <c r="E264" s="171" t="s">
        <v>42</v>
      </c>
      <c r="F264" s="171" t="s">
        <v>248</v>
      </c>
      <c r="G264" s="171" t="s">
        <v>112</v>
      </c>
      <c r="H264" s="176">
        <v>1</v>
      </c>
      <c r="I264" s="177">
        <v>2000</v>
      </c>
      <c r="J264" s="175">
        <v>46057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-10.02</v>
      </c>
    </row>
    <row r="265" spans="1:16" ht="19.5" hidden="1" customHeight="1">
      <c r="A265" s="171" t="s">
        <v>1313</v>
      </c>
      <c r="B265" s="175">
        <v>46063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46063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-5.8</v>
      </c>
    </row>
    <row r="266" spans="1:16" ht="19.5" hidden="1" customHeight="1">
      <c r="A266" s="171" t="s">
        <v>1314</v>
      </c>
      <c r="B266" s="175">
        <v>46063</v>
      </c>
      <c r="C266" s="171" t="s">
        <v>110</v>
      </c>
      <c r="D266" s="171" t="s">
        <v>24</v>
      </c>
      <c r="E266" s="171" t="s">
        <v>42</v>
      </c>
      <c r="F266" s="171" t="s">
        <v>248</v>
      </c>
      <c r="G266" s="171" t="s">
        <v>112</v>
      </c>
      <c r="H266" s="176">
        <v>1</v>
      </c>
      <c r="I266" s="177">
        <v>2400</v>
      </c>
      <c r="J266" s="175">
        <v>46061</v>
      </c>
      <c r="K266" s="171" t="s">
        <v>113</v>
      </c>
      <c r="L266" s="171" t="s">
        <v>114</v>
      </c>
      <c r="M266" s="178">
        <v>0.43</v>
      </c>
      <c r="N266" s="176"/>
      <c r="O266" s="176">
        <v>45</v>
      </c>
      <c r="P266" s="179">
        <v>-156.84</v>
      </c>
    </row>
    <row r="267" spans="1:16" ht="19.5" hidden="1" customHeight="1">
      <c r="A267" s="171" t="s">
        <v>1314</v>
      </c>
      <c r="B267" s="175">
        <v>46063</v>
      </c>
      <c r="C267" s="171" t="s">
        <v>127</v>
      </c>
      <c r="D267" s="171" t="s">
        <v>128</v>
      </c>
      <c r="E267" s="171" t="s">
        <v>42</v>
      </c>
      <c r="F267" s="171" t="s">
        <v>248</v>
      </c>
      <c r="G267" s="171" t="s">
        <v>112</v>
      </c>
      <c r="H267" s="176">
        <v>1</v>
      </c>
      <c r="I267" s="177">
        <v>2400</v>
      </c>
      <c r="J267" s="175">
        <v>46061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1040</v>
      </c>
    </row>
    <row r="268" spans="1:16" ht="19.5" hidden="1" customHeight="1">
      <c r="A268" s="171" t="s">
        <v>1314</v>
      </c>
      <c r="B268" s="175">
        <v>46063</v>
      </c>
      <c r="C268" s="171" t="s">
        <v>127</v>
      </c>
      <c r="D268" s="171" t="s">
        <v>129</v>
      </c>
      <c r="E268" s="171" t="s">
        <v>42</v>
      </c>
      <c r="F268" s="171" t="s">
        <v>248</v>
      </c>
      <c r="G268" s="171" t="s">
        <v>112</v>
      </c>
      <c r="H268" s="176">
        <v>1</v>
      </c>
      <c r="I268" s="177">
        <v>2400</v>
      </c>
      <c r="J268" s="175">
        <v>46061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10.4</v>
      </c>
    </row>
    <row r="269" spans="1:16" ht="19.5" hidden="1" customHeight="1">
      <c r="A269" s="171" t="s">
        <v>1314</v>
      </c>
      <c r="B269" s="175">
        <v>46063</v>
      </c>
      <c r="C269" s="171" t="s">
        <v>127</v>
      </c>
      <c r="D269" s="171" t="s">
        <v>130</v>
      </c>
      <c r="E269" s="171" t="s">
        <v>42</v>
      </c>
      <c r="F269" s="171" t="s">
        <v>248</v>
      </c>
      <c r="G269" s="171" t="s">
        <v>112</v>
      </c>
      <c r="H269" s="176">
        <v>1</v>
      </c>
      <c r="I269" s="177">
        <v>2400</v>
      </c>
      <c r="J269" s="175">
        <v>46061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1349.6</v>
      </c>
    </row>
    <row r="270" spans="1:16" ht="19.5" hidden="1" customHeight="1">
      <c r="A270" s="171" t="s">
        <v>1314</v>
      </c>
      <c r="B270" s="175">
        <v>46063</v>
      </c>
      <c r="C270" s="171" t="s">
        <v>131</v>
      </c>
      <c r="D270" s="171" t="s">
        <v>132</v>
      </c>
      <c r="E270" s="171" t="s">
        <v>42</v>
      </c>
      <c r="F270" s="171" t="s">
        <v>248</v>
      </c>
      <c r="G270" s="171" t="s">
        <v>112</v>
      </c>
      <c r="H270" s="176">
        <v>1</v>
      </c>
      <c r="I270" s="177">
        <v>2400</v>
      </c>
      <c r="J270" s="175">
        <v>46061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-1032</v>
      </c>
    </row>
    <row r="271" spans="1:16" ht="19.5" hidden="1" customHeight="1">
      <c r="A271" s="171" t="s">
        <v>1314</v>
      </c>
      <c r="B271" s="175">
        <v>46063</v>
      </c>
      <c r="C271" s="171" t="s">
        <v>115</v>
      </c>
      <c r="D271" s="171" t="s">
        <v>116</v>
      </c>
      <c r="E271" s="171" t="s">
        <v>42</v>
      </c>
      <c r="F271" s="171" t="s">
        <v>248</v>
      </c>
      <c r="G271" s="171" t="s">
        <v>112</v>
      </c>
      <c r="H271" s="176">
        <v>1</v>
      </c>
      <c r="I271" s="177">
        <v>2400</v>
      </c>
      <c r="J271" s="175">
        <v>46061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-14.91</v>
      </c>
    </row>
    <row r="272" spans="1:16" ht="19.5" hidden="1" customHeight="1">
      <c r="A272" s="171" t="s">
        <v>1314</v>
      </c>
      <c r="B272" s="175">
        <v>46063</v>
      </c>
      <c r="C272" s="171" t="s">
        <v>115</v>
      </c>
      <c r="D272" s="171" t="s">
        <v>135</v>
      </c>
      <c r="E272" s="171" t="s">
        <v>42</v>
      </c>
      <c r="F272" s="171" t="s">
        <v>248</v>
      </c>
      <c r="G272" s="171" t="s">
        <v>112</v>
      </c>
      <c r="H272" s="176">
        <v>1</v>
      </c>
      <c r="I272" s="177">
        <v>0</v>
      </c>
      <c r="J272" s="175">
        <v>46061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-19.760000000000002</v>
      </c>
    </row>
    <row r="273" spans="1:16" ht="19.5" hidden="1" customHeight="1">
      <c r="A273" s="171" t="s">
        <v>1315</v>
      </c>
      <c r="B273" s="175">
        <v>46063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2400</v>
      </c>
      <c r="J273" s="175">
        <v>46060</v>
      </c>
      <c r="K273" s="171" t="s">
        <v>113</v>
      </c>
      <c r="L273" s="171" t="s">
        <v>114</v>
      </c>
      <c r="M273" s="178">
        <v>0.43</v>
      </c>
      <c r="N273" s="176"/>
      <c r="O273" s="176">
        <v>43</v>
      </c>
      <c r="P273" s="179">
        <v>-146.83000000000001</v>
      </c>
    </row>
    <row r="274" spans="1:16" ht="19.5" hidden="1" customHeight="1">
      <c r="A274" s="171" t="s">
        <v>1315</v>
      </c>
      <c r="B274" s="175">
        <v>46063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2400</v>
      </c>
      <c r="J274" s="175">
        <v>46060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1137.1400000000001</v>
      </c>
    </row>
    <row r="275" spans="1:16" ht="19.5" hidden="1" customHeight="1">
      <c r="A275" s="171" t="s">
        <v>1315</v>
      </c>
      <c r="B275" s="175">
        <v>46063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2400</v>
      </c>
      <c r="J275" s="175">
        <v>46060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11.37</v>
      </c>
    </row>
    <row r="276" spans="1:16" ht="19.5" hidden="1" customHeight="1">
      <c r="A276" s="171" t="s">
        <v>1315</v>
      </c>
      <c r="B276" s="175">
        <v>46063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2400</v>
      </c>
      <c r="J276" s="175">
        <v>46060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1251.49</v>
      </c>
    </row>
    <row r="277" spans="1:16" ht="19.5" hidden="1" customHeight="1">
      <c r="A277" s="171" t="s">
        <v>1315</v>
      </c>
      <c r="B277" s="175">
        <v>46063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2400</v>
      </c>
      <c r="J277" s="175">
        <v>46060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-1032</v>
      </c>
    </row>
    <row r="278" spans="1:16" ht="19.5" hidden="1" customHeight="1">
      <c r="A278" s="171" t="s">
        <v>1315</v>
      </c>
      <c r="B278" s="175">
        <v>46063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2400</v>
      </c>
      <c r="J278" s="175">
        <v>46060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-11.73</v>
      </c>
    </row>
    <row r="279" spans="1:16" ht="19.5" customHeight="1">
      <c r="A279" s="171" t="s">
        <v>1316</v>
      </c>
      <c r="B279" s="175">
        <v>46063</v>
      </c>
      <c r="C279" s="171" t="s">
        <v>1317</v>
      </c>
      <c r="D279" s="171" t="s">
        <v>508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46051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</v>
      </c>
    </row>
    <row r="280" spans="1:16" ht="19.5" hidden="1" customHeight="1">
      <c r="A280" s="171" t="s">
        <v>1316</v>
      </c>
      <c r="B280" s="175">
        <v>46063</v>
      </c>
      <c r="C280" s="171" t="s">
        <v>115</v>
      </c>
      <c r="D280" s="171" t="s">
        <v>510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46051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-10</v>
      </c>
    </row>
    <row r="281" spans="1:16" ht="19.5" hidden="1" customHeight="1">
      <c r="A281" s="171" t="s">
        <v>1318</v>
      </c>
      <c r="B281" s="175">
        <v>46063</v>
      </c>
      <c r="C281" s="171" t="s">
        <v>110</v>
      </c>
      <c r="D281" s="171" t="s">
        <v>24</v>
      </c>
      <c r="E281" s="171" t="s">
        <v>44</v>
      </c>
      <c r="F281" s="171" t="s">
        <v>213</v>
      </c>
      <c r="G281" s="171" t="s">
        <v>214</v>
      </c>
      <c r="H281" s="176">
        <v>1</v>
      </c>
      <c r="I281" s="177">
        <v>1815</v>
      </c>
      <c r="J281" s="175">
        <v>46052</v>
      </c>
      <c r="K281" s="171" t="s">
        <v>113</v>
      </c>
      <c r="L281" s="171" t="s">
        <v>114</v>
      </c>
      <c r="M281" s="178">
        <v>0.43</v>
      </c>
      <c r="N281" s="176"/>
      <c r="O281" s="176">
        <v>49</v>
      </c>
      <c r="P281" s="179">
        <v>-149.91</v>
      </c>
    </row>
    <row r="282" spans="1:16" ht="19.5" hidden="1" customHeight="1">
      <c r="A282" s="171" t="s">
        <v>1318</v>
      </c>
      <c r="B282" s="175">
        <v>46063</v>
      </c>
      <c r="C282" s="171" t="s">
        <v>127</v>
      </c>
      <c r="D282" s="171" t="s">
        <v>128</v>
      </c>
      <c r="E282" s="171" t="s">
        <v>44</v>
      </c>
      <c r="F282" s="171" t="s">
        <v>213</v>
      </c>
      <c r="G282" s="171" t="s">
        <v>214</v>
      </c>
      <c r="H282" s="176">
        <v>1</v>
      </c>
      <c r="I282" s="177">
        <v>1815</v>
      </c>
      <c r="J282" s="175">
        <v>46052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698.58</v>
      </c>
    </row>
    <row r="283" spans="1:16" ht="19.5" hidden="1" customHeight="1">
      <c r="A283" s="171" t="s">
        <v>1318</v>
      </c>
      <c r="B283" s="175">
        <v>46063</v>
      </c>
      <c r="C283" s="171" t="s">
        <v>127</v>
      </c>
      <c r="D283" s="171" t="s">
        <v>129</v>
      </c>
      <c r="E283" s="171" t="s">
        <v>44</v>
      </c>
      <c r="F283" s="171" t="s">
        <v>213</v>
      </c>
      <c r="G283" s="171" t="s">
        <v>214</v>
      </c>
      <c r="H283" s="176">
        <v>1</v>
      </c>
      <c r="I283" s="177">
        <v>1815</v>
      </c>
      <c r="J283" s="175">
        <v>46052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6.99</v>
      </c>
    </row>
    <row r="284" spans="1:16" ht="19.5" hidden="1" customHeight="1">
      <c r="A284" s="171" t="s">
        <v>1318</v>
      </c>
      <c r="B284" s="175">
        <v>46063</v>
      </c>
      <c r="C284" s="171" t="s">
        <v>127</v>
      </c>
      <c r="D284" s="171" t="s">
        <v>130</v>
      </c>
      <c r="E284" s="171" t="s">
        <v>44</v>
      </c>
      <c r="F284" s="171" t="s">
        <v>213</v>
      </c>
      <c r="G284" s="171" t="s">
        <v>214</v>
      </c>
      <c r="H284" s="176">
        <v>1</v>
      </c>
      <c r="I284" s="177">
        <v>1815</v>
      </c>
      <c r="J284" s="175">
        <v>46052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1109.43</v>
      </c>
    </row>
    <row r="285" spans="1:16" ht="19.5" hidden="1" customHeight="1">
      <c r="A285" s="171" t="s">
        <v>1318</v>
      </c>
      <c r="B285" s="175">
        <v>46063</v>
      </c>
      <c r="C285" s="171" t="s">
        <v>131</v>
      </c>
      <c r="D285" s="171" t="s">
        <v>132</v>
      </c>
      <c r="E285" s="171" t="s">
        <v>44</v>
      </c>
      <c r="F285" s="171" t="s">
        <v>213</v>
      </c>
      <c r="G285" s="171" t="s">
        <v>214</v>
      </c>
      <c r="H285" s="176">
        <v>1</v>
      </c>
      <c r="I285" s="177">
        <v>1815</v>
      </c>
      <c r="J285" s="175">
        <v>46052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-780.45</v>
      </c>
    </row>
    <row r="286" spans="1:16" ht="19.5" hidden="1" customHeight="1">
      <c r="A286" s="171" t="s">
        <v>1318</v>
      </c>
      <c r="B286" s="175">
        <v>46063</v>
      </c>
      <c r="C286" s="171" t="s">
        <v>115</v>
      </c>
      <c r="D286" s="171" t="s">
        <v>116</v>
      </c>
      <c r="E286" s="171" t="s">
        <v>44</v>
      </c>
      <c r="F286" s="171" t="s">
        <v>213</v>
      </c>
      <c r="G286" s="171" t="s">
        <v>214</v>
      </c>
      <c r="H286" s="176">
        <v>1</v>
      </c>
      <c r="I286" s="177">
        <v>1815</v>
      </c>
      <c r="J286" s="175">
        <v>46052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-11.98</v>
      </c>
    </row>
    <row r="287" spans="1:16" ht="19.5" hidden="1" customHeight="1">
      <c r="A287" s="171" t="s">
        <v>1318</v>
      </c>
      <c r="B287" s="175">
        <v>46063</v>
      </c>
      <c r="C287" s="171" t="s">
        <v>115</v>
      </c>
      <c r="D287" s="171" t="s">
        <v>135</v>
      </c>
      <c r="E287" s="171" t="s">
        <v>44</v>
      </c>
      <c r="F287" s="171" t="s">
        <v>213</v>
      </c>
      <c r="G287" s="171" t="s">
        <v>214</v>
      </c>
      <c r="H287" s="176">
        <v>1</v>
      </c>
      <c r="I287" s="177">
        <v>0</v>
      </c>
      <c r="J287" s="175">
        <v>46052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-13.27</v>
      </c>
    </row>
    <row r="288" spans="1:16" ht="19.5" hidden="1" customHeight="1">
      <c r="A288" s="171" t="s">
        <v>1319</v>
      </c>
      <c r="B288" s="175">
        <v>46063</v>
      </c>
      <c r="C288" s="171" t="s">
        <v>110</v>
      </c>
      <c r="D288" s="171" t="s">
        <v>24</v>
      </c>
      <c r="E288" s="171" t="s">
        <v>46</v>
      </c>
      <c r="F288" s="171" t="s">
        <v>681</v>
      </c>
      <c r="G288" s="171" t="s">
        <v>112</v>
      </c>
      <c r="H288" s="176">
        <v>1</v>
      </c>
      <c r="I288" s="177">
        <v>0</v>
      </c>
      <c r="J288" s="175">
        <v>46061</v>
      </c>
      <c r="K288" s="171" t="s">
        <v>113</v>
      </c>
      <c r="L288" s="171" t="s">
        <v>114</v>
      </c>
      <c r="M288" s="178">
        <v>0</v>
      </c>
      <c r="N288" s="176"/>
      <c r="O288" s="176">
        <v>45</v>
      </c>
      <c r="P288" s="179">
        <v>-46.77</v>
      </c>
    </row>
    <row r="289" spans="1:16" ht="19.5" hidden="1" customHeight="1">
      <c r="A289" s="171" t="s">
        <v>1319</v>
      </c>
      <c r="B289" s="175">
        <v>46063</v>
      </c>
      <c r="C289" s="171" t="s">
        <v>115</v>
      </c>
      <c r="D289" s="171" t="s">
        <v>116</v>
      </c>
      <c r="E289" s="171" t="s">
        <v>46</v>
      </c>
      <c r="F289" s="171" t="s">
        <v>681</v>
      </c>
      <c r="G289" s="171" t="s">
        <v>112</v>
      </c>
      <c r="H289" s="176">
        <v>1</v>
      </c>
      <c r="I289" s="177">
        <v>0</v>
      </c>
      <c r="J289" s="175">
        <v>46061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-15.35</v>
      </c>
    </row>
    <row r="290" spans="1:16" ht="19.5" hidden="1" customHeight="1">
      <c r="A290" s="171" t="s">
        <v>1319</v>
      </c>
      <c r="B290" s="175">
        <v>46063</v>
      </c>
      <c r="C290" s="171" t="s">
        <v>110</v>
      </c>
      <c r="D290" s="171" t="s">
        <v>117</v>
      </c>
      <c r="E290" s="171" t="s">
        <v>46</v>
      </c>
      <c r="F290" s="171" t="s">
        <v>681</v>
      </c>
      <c r="G290" s="171" t="s">
        <v>112</v>
      </c>
      <c r="H290" s="176">
        <v>1</v>
      </c>
      <c r="I290" s="177">
        <v>0</v>
      </c>
      <c r="J290" s="175">
        <v>46061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0</v>
      </c>
    </row>
    <row r="291" spans="1:16" ht="19.5" hidden="1" customHeight="1">
      <c r="A291" s="171" t="s">
        <v>1319</v>
      </c>
      <c r="B291" s="175">
        <v>46063</v>
      </c>
      <c r="C291" s="171" t="s">
        <v>110</v>
      </c>
      <c r="D291" s="171" t="s">
        <v>118</v>
      </c>
      <c r="E291" s="171" t="s">
        <v>46</v>
      </c>
      <c r="F291" s="171" t="s">
        <v>681</v>
      </c>
      <c r="G291" s="171" t="s">
        <v>112</v>
      </c>
      <c r="H291" s="176">
        <v>1</v>
      </c>
      <c r="I291" s="177">
        <v>0</v>
      </c>
      <c r="J291" s="175">
        <v>46061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-46.77</v>
      </c>
    </row>
    <row r="292" spans="1:16" ht="19.5" hidden="1" customHeight="1">
      <c r="A292" s="171" t="s">
        <v>1319</v>
      </c>
      <c r="B292" s="175">
        <v>46063</v>
      </c>
      <c r="C292" s="171" t="s">
        <v>115</v>
      </c>
      <c r="D292" s="171" t="s">
        <v>119</v>
      </c>
      <c r="E292" s="171" t="s">
        <v>46</v>
      </c>
      <c r="F292" s="171" t="s">
        <v>681</v>
      </c>
      <c r="G292" s="171" t="s">
        <v>112</v>
      </c>
      <c r="H292" s="176">
        <v>1</v>
      </c>
      <c r="I292" s="177">
        <v>0</v>
      </c>
      <c r="J292" s="175">
        <v>46061</v>
      </c>
      <c r="K292" s="171" t="s">
        <v>113</v>
      </c>
      <c r="L292" s="171" t="s">
        <v>114</v>
      </c>
      <c r="M292" s="178">
        <v>0</v>
      </c>
      <c r="N292" s="176"/>
      <c r="O292" s="176"/>
      <c r="P292" s="179">
        <v>-15</v>
      </c>
    </row>
    <row r="293" spans="1:16" ht="19.5" hidden="1" customHeight="1">
      <c r="A293" s="171" t="s">
        <v>1290</v>
      </c>
      <c r="B293" s="175">
        <v>46063</v>
      </c>
      <c r="C293" s="171" t="s">
        <v>151</v>
      </c>
      <c r="D293" s="171" t="s">
        <v>152</v>
      </c>
      <c r="E293" s="171" t="s">
        <v>125</v>
      </c>
      <c r="F293" s="171" t="s">
        <v>125</v>
      </c>
      <c r="G293" s="171" t="s">
        <v>125</v>
      </c>
      <c r="H293" s="176">
        <v>0</v>
      </c>
      <c r="I293" s="177">
        <v>0</v>
      </c>
      <c r="J293" s="175">
        <v>46063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-287.45999999999998</v>
      </c>
    </row>
    <row r="294" spans="1:16" ht="19.5" hidden="1" customHeight="1">
      <c r="A294" s="171" t="s">
        <v>150</v>
      </c>
      <c r="B294" s="175">
        <v>46063</v>
      </c>
      <c r="C294" s="171" t="s">
        <v>151</v>
      </c>
      <c r="D294" s="171" t="s">
        <v>152</v>
      </c>
      <c r="E294" s="171" t="s">
        <v>125</v>
      </c>
      <c r="F294" s="171" t="s">
        <v>125</v>
      </c>
      <c r="G294" s="171" t="s">
        <v>125</v>
      </c>
      <c r="H294" s="176">
        <v>0</v>
      </c>
      <c r="I294" s="177">
        <v>0</v>
      </c>
      <c r="J294" s="175">
        <v>46063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-852.91</v>
      </c>
    </row>
    <row r="295" spans="1:16" ht="19.5" hidden="1" customHeight="1">
      <c r="A295" s="171" t="s">
        <v>155</v>
      </c>
      <c r="B295" s="175">
        <v>46063</v>
      </c>
      <c r="C295" s="171" t="s">
        <v>151</v>
      </c>
      <c r="D295" s="171" t="s">
        <v>156</v>
      </c>
      <c r="E295" s="171" t="s">
        <v>125</v>
      </c>
      <c r="F295" s="171" t="s">
        <v>125</v>
      </c>
      <c r="G295" s="171" t="s">
        <v>125</v>
      </c>
      <c r="H295" s="176">
        <v>0</v>
      </c>
      <c r="I295" s="177">
        <v>0</v>
      </c>
      <c r="J295" s="175">
        <v>46063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-2381.5</v>
      </c>
    </row>
    <row r="296" spans="1:16" ht="19.5" hidden="1" customHeight="1">
      <c r="A296" s="171" t="s">
        <v>1320</v>
      </c>
      <c r="B296" s="175">
        <v>46064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46059</v>
      </c>
      <c r="K296" s="171" t="s">
        <v>113</v>
      </c>
      <c r="L296" s="171" t="s">
        <v>114</v>
      </c>
      <c r="M296" s="178">
        <v>0</v>
      </c>
      <c r="N296" s="176"/>
      <c r="O296" s="176">
        <v>42</v>
      </c>
      <c r="P296" s="179">
        <v>-46.77</v>
      </c>
    </row>
    <row r="297" spans="1:16" ht="19.5" hidden="1" customHeight="1">
      <c r="A297" s="171" t="s">
        <v>1320</v>
      </c>
      <c r="B297" s="175">
        <v>46064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46059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-8.32</v>
      </c>
    </row>
    <row r="298" spans="1:16" ht="19.5" hidden="1" customHeight="1">
      <c r="A298" s="171" t="s">
        <v>1320</v>
      </c>
      <c r="B298" s="175">
        <v>46064</v>
      </c>
      <c r="C298" s="171" t="s">
        <v>110</v>
      </c>
      <c r="D298" s="171" t="s">
        <v>117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0</v>
      </c>
      <c r="J298" s="175">
        <v>46059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hidden="1" customHeight="1">
      <c r="A299" s="171" t="s">
        <v>1320</v>
      </c>
      <c r="B299" s="175">
        <v>46064</v>
      </c>
      <c r="C299" s="171" t="s">
        <v>110</v>
      </c>
      <c r="D299" s="171" t="s">
        <v>118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0</v>
      </c>
      <c r="J299" s="175">
        <v>46059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-46.77</v>
      </c>
    </row>
    <row r="300" spans="1:16" ht="19.5" hidden="1" customHeight="1">
      <c r="A300" s="171" t="s">
        <v>1320</v>
      </c>
      <c r="B300" s="175">
        <v>46064</v>
      </c>
      <c r="C300" s="171" t="s">
        <v>115</v>
      </c>
      <c r="D300" s="171" t="s">
        <v>119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0</v>
      </c>
      <c r="J300" s="175">
        <v>46059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hidden="1" customHeight="1">
      <c r="A301" s="171" t="s">
        <v>1321</v>
      </c>
      <c r="B301" s="175">
        <v>46064</v>
      </c>
      <c r="C301" s="171" t="s">
        <v>110</v>
      </c>
      <c r="D301" s="171" t="s">
        <v>24</v>
      </c>
      <c r="E301" s="171" t="s">
        <v>45</v>
      </c>
      <c r="F301" s="171" t="s">
        <v>162</v>
      </c>
      <c r="G301" s="171" t="s">
        <v>163</v>
      </c>
      <c r="H301" s="176">
        <v>1</v>
      </c>
      <c r="I301" s="177">
        <v>0</v>
      </c>
      <c r="J301" s="175">
        <v>46059</v>
      </c>
      <c r="K301" s="171" t="s">
        <v>113</v>
      </c>
      <c r="L301" s="171" t="s">
        <v>114</v>
      </c>
      <c r="M301" s="178">
        <v>0</v>
      </c>
      <c r="N301" s="176"/>
      <c r="O301" s="176">
        <v>42</v>
      </c>
      <c r="P301" s="179">
        <v>-46.77</v>
      </c>
    </row>
    <row r="302" spans="1:16" ht="19.5" hidden="1" customHeight="1">
      <c r="A302" s="171" t="s">
        <v>1321</v>
      </c>
      <c r="B302" s="175">
        <v>46064</v>
      </c>
      <c r="C302" s="171" t="s">
        <v>115</v>
      </c>
      <c r="D302" s="171" t="s">
        <v>116</v>
      </c>
      <c r="E302" s="171" t="s">
        <v>45</v>
      </c>
      <c r="F302" s="171" t="s">
        <v>162</v>
      </c>
      <c r="G302" s="171" t="s">
        <v>163</v>
      </c>
      <c r="H302" s="176">
        <v>1</v>
      </c>
      <c r="I302" s="177">
        <v>0</v>
      </c>
      <c r="J302" s="175">
        <v>46059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-8.25</v>
      </c>
    </row>
    <row r="303" spans="1:16" ht="19.5" hidden="1" customHeight="1">
      <c r="A303" s="171" t="s">
        <v>1321</v>
      </c>
      <c r="B303" s="175">
        <v>46064</v>
      </c>
      <c r="C303" s="171" t="s">
        <v>110</v>
      </c>
      <c r="D303" s="171" t="s">
        <v>117</v>
      </c>
      <c r="E303" s="171" t="s">
        <v>45</v>
      </c>
      <c r="F303" s="171" t="s">
        <v>162</v>
      </c>
      <c r="G303" s="171" t="s">
        <v>163</v>
      </c>
      <c r="H303" s="176">
        <v>1</v>
      </c>
      <c r="I303" s="177">
        <v>0</v>
      </c>
      <c r="J303" s="175">
        <v>46059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0</v>
      </c>
    </row>
    <row r="304" spans="1:16" ht="19.5" hidden="1" customHeight="1">
      <c r="A304" s="171" t="s">
        <v>1321</v>
      </c>
      <c r="B304" s="175">
        <v>46064</v>
      </c>
      <c r="C304" s="171" t="s">
        <v>110</v>
      </c>
      <c r="D304" s="171" t="s">
        <v>118</v>
      </c>
      <c r="E304" s="171" t="s">
        <v>45</v>
      </c>
      <c r="F304" s="171" t="s">
        <v>162</v>
      </c>
      <c r="G304" s="171" t="s">
        <v>163</v>
      </c>
      <c r="H304" s="176">
        <v>1</v>
      </c>
      <c r="I304" s="177">
        <v>0</v>
      </c>
      <c r="J304" s="175">
        <v>46059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-46.77</v>
      </c>
    </row>
    <row r="305" spans="1:16" ht="19.5" hidden="1" customHeight="1">
      <c r="A305" s="171" t="s">
        <v>1321</v>
      </c>
      <c r="B305" s="175">
        <v>46064</v>
      </c>
      <c r="C305" s="171" t="s">
        <v>115</v>
      </c>
      <c r="D305" s="171" t="s">
        <v>119</v>
      </c>
      <c r="E305" s="171" t="s">
        <v>45</v>
      </c>
      <c r="F305" s="171" t="s">
        <v>162</v>
      </c>
      <c r="G305" s="171" t="s">
        <v>163</v>
      </c>
      <c r="H305" s="176">
        <v>1</v>
      </c>
      <c r="I305" s="177">
        <v>0</v>
      </c>
      <c r="J305" s="175">
        <v>46059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-15</v>
      </c>
    </row>
    <row r="306" spans="1:16" ht="19.5" hidden="1" customHeight="1">
      <c r="A306" s="171" t="s">
        <v>1322</v>
      </c>
      <c r="B306" s="175">
        <v>46064</v>
      </c>
      <c r="C306" s="171" t="s">
        <v>110</v>
      </c>
      <c r="D306" s="171" t="s">
        <v>24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46042</v>
      </c>
      <c r="K306" s="171" t="s">
        <v>113</v>
      </c>
      <c r="L306" s="171" t="s">
        <v>114</v>
      </c>
      <c r="M306" s="178">
        <v>0</v>
      </c>
      <c r="N306" s="176"/>
      <c r="O306" s="176">
        <v>52</v>
      </c>
      <c r="P306" s="179">
        <v>-46.77</v>
      </c>
    </row>
    <row r="307" spans="1:16" ht="19.5" hidden="1" customHeight="1">
      <c r="A307" s="171" t="s">
        <v>1322</v>
      </c>
      <c r="B307" s="175">
        <v>46064</v>
      </c>
      <c r="C307" s="171" t="s">
        <v>115</v>
      </c>
      <c r="D307" s="171" t="s">
        <v>116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46042</v>
      </c>
      <c r="K307" s="171" t="s">
        <v>113</v>
      </c>
      <c r="L307" s="171" t="s">
        <v>114</v>
      </c>
      <c r="M307" s="178">
        <v>0</v>
      </c>
      <c r="N307" s="176"/>
      <c r="O307" s="176"/>
      <c r="P307" s="179">
        <v>-10.64</v>
      </c>
    </row>
    <row r="308" spans="1:16" ht="19.5" hidden="1" customHeight="1">
      <c r="A308" s="171" t="s">
        <v>1322</v>
      </c>
      <c r="B308" s="175">
        <v>46064</v>
      </c>
      <c r="C308" s="171" t="s">
        <v>110</v>
      </c>
      <c r="D308" s="171" t="s">
        <v>117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46042</v>
      </c>
      <c r="K308" s="171" t="s">
        <v>113</v>
      </c>
      <c r="L308" s="171" t="s">
        <v>114</v>
      </c>
      <c r="M308" s="178">
        <v>0</v>
      </c>
      <c r="N308" s="176"/>
      <c r="O308" s="176"/>
      <c r="P308" s="179">
        <v>0</v>
      </c>
    </row>
    <row r="309" spans="1:16" ht="19.5" hidden="1" customHeight="1">
      <c r="A309" s="171" t="s">
        <v>1322</v>
      </c>
      <c r="B309" s="175">
        <v>46064</v>
      </c>
      <c r="C309" s="171" t="s">
        <v>110</v>
      </c>
      <c r="D309" s="171" t="s">
        <v>118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46042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-46.77</v>
      </c>
    </row>
    <row r="310" spans="1:16" ht="19.5" hidden="1" customHeight="1">
      <c r="A310" s="171" t="s">
        <v>1322</v>
      </c>
      <c r="B310" s="175">
        <v>46064</v>
      </c>
      <c r="C310" s="171" t="s">
        <v>115</v>
      </c>
      <c r="D310" s="171" t="s">
        <v>119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46042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-15</v>
      </c>
    </row>
    <row r="311" spans="1:16" ht="19.5" hidden="1" customHeight="1">
      <c r="A311" s="171" t="s">
        <v>1246</v>
      </c>
      <c r="B311" s="175">
        <v>46064</v>
      </c>
      <c r="C311" s="171" t="s">
        <v>110</v>
      </c>
      <c r="D311" s="171" t="s">
        <v>121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46059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0</v>
      </c>
    </row>
    <row r="312" spans="1:16" ht="19.5" hidden="1" customHeight="1">
      <c r="A312" s="171" t="s">
        <v>1246</v>
      </c>
      <c r="B312" s="175">
        <v>46064</v>
      </c>
      <c r="C312" s="171" t="s">
        <v>110</v>
      </c>
      <c r="D312" s="171" t="s">
        <v>118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46059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-46.77</v>
      </c>
    </row>
    <row r="313" spans="1:16" ht="19.5" hidden="1" customHeight="1">
      <c r="A313" s="171" t="s">
        <v>1246</v>
      </c>
      <c r="B313" s="175">
        <v>46064</v>
      </c>
      <c r="C313" s="171" t="s">
        <v>115</v>
      </c>
      <c r="D313" s="171" t="s">
        <v>119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0</v>
      </c>
      <c r="J313" s="175">
        <v>46059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-15</v>
      </c>
    </row>
    <row r="314" spans="1:16" ht="19.5" hidden="1" customHeight="1">
      <c r="A314" s="171" t="s">
        <v>1323</v>
      </c>
      <c r="B314" s="175">
        <v>46064</v>
      </c>
      <c r="C314" s="171" t="s">
        <v>110</v>
      </c>
      <c r="D314" s="171" t="s">
        <v>117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46057</v>
      </c>
      <c r="K314" s="171" t="s">
        <v>113</v>
      </c>
      <c r="L314" s="171" t="s">
        <v>114</v>
      </c>
      <c r="M314" s="178">
        <v>0</v>
      </c>
      <c r="N314" s="176"/>
      <c r="O314" s="176"/>
      <c r="P314" s="179">
        <v>0</v>
      </c>
    </row>
    <row r="315" spans="1:16" ht="19.5" hidden="1" customHeight="1">
      <c r="A315" s="171" t="s">
        <v>1323</v>
      </c>
      <c r="B315" s="175">
        <v>46064</v>
      </c>
      <c r="C315" s="171" t="s">
        <v>110</v>
      </c>
      <c r="D315" s="171" t="s">
        <v>118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0</v>
      </c>
      <c r="J315" s="175">
        <v>46057</v>
      </c>
      <c r="K315" s="171" t="s">
        <v>113</v>
      </c>
      <c r="L315" s="171" t="s">
        <v>114</v>
      </c>
      <c r="M315" s="178">
        <v>0</v>
      </c>
      <c r="N315" s="176"/>
      <c r="O315" s="176"/>
      <c r="P315" s="179">
        <v>-46.77</v>
      </c>
    </row>
    <row r="316" spans="1:16" ht="19.5" hidden="1" customHeight="1">
      <c r="A316" s="171" t="s">
        <v>1323</v>
      </c>
      <c r="B316" s="175">
        <v>46064</v>
      </c>
      <c r="C316" s="171" t="s">
        <v>115</v>
      </c>
      <c r="D316" s="171" t="s">
        <v>119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0</v>
      </c>
      <c r="J316" s="175">
        <v>46057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-15</v>
      </c>
    </row>
    <row r="317" spans="1:16" ht="19.5" hidden="1" customHeight="1">
      <c r="A317" s="171" t="s">
        <v>1323</v>
      </c>
      <c r="B317" s="175">
        <v>46064</v>
      </c>
      <c r="C317" s="171" t="s">
        <v>110</v>
      </c>
      <c r="D317" s="171" t="s">
        <v>24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0</v>
      </c>
      <c r="J317" s="175">
        <v>46057</v>
      </c>
      <c r="K317" s="171" t="s">
        <v>113</v>
      </c>
      <c r="L317" s="171" t="s">
        <v>114</v>
      </c>
      <c r="M317" s="178">
        <v>0</v>
      </c>
      <c r="N317" s="176"/>
      <c r="O317" s="176">
        <v>42</v>
      </c>
      <c r="P317" s="179">
        <v>-46.77</v>
      </c>
    </row>
    <row r="318" spans="1:16" ht="19.5" hidden="1" customHeight="1">
      <c r="A318" s="171" t="s">
        <v>1323</v>
      </c>
      <c r="B318" s="175">
        <v>46064</v>
      </c>
      <c r="C318" s="171" t="s">
        <v>115</v>
      </c>
      <c r="D318" s="171" t="s">
        <v>116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0</v>
      </c>
      <c r="J318" s="175">
        <v>46057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-25</v>
      </c>
    </row>
    <row r="319" spans="1:16" ht="19.5" hidden="1" customHeight="1">
      <c r="A319" s="171" t="s">
        <v>987</v>
      </c>
      <c r="B319" s="175">
        <v>46064</v>
      </c>
      <c r="C319" s="171" t="s">
        <v>110</v>
      </c>
      <c r="D319" s="171" t="s">
        <v>117</v>
      </c>
      <c r="E319" s="171" t="s">
        <v>78</v>
      </c>
      <c r="F319" s="171" t="s">
        <v>176</v>
      </c>
      <c r="G319" s="171" t="s">
        <v>177</v>
      </c>
      <c r="H319" s="176">
        <v>1</v>
      </c>
      <c r="I319" s="177">
        <v>0</v>
      </c>
      <c r="J319" s="175">
        <v>46049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hidden="1" customHeight="1">
      <c r="A320" s="171" t="s">
        <v>987</v>
      </c>
      <c r="B320" s="175">
        <v>46064</v>
      </c>
      <c r="C320" s="171" t="s">
        <v>110</v>
      </c>
      <c r="D320" s="171" t="s">
        <v>118</v>
      </c>
      <c r="E320" s="171" t="s">
        <v>78</v>
      </c>
      <c r="F320" s="171" t="s">
        <v>176</v>
      </c>
      <c r="G320" s="171" t="s">
        <v>177</v>
      </c>
      <c r="H320" s="176">
        <v>1</v>
      </c>
      <c r="I320" s="177">
        <v>0</v>
      </c>
      <c r="J320" s="175">
        <v>46049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-56.94</v>
      </c>
    </row>
    <row r="321" spans="1:16" ht="19.5" hidden="1" customHeight="1">
      <c r="A321" s="171" t="s">
        <v>987</v>
      </c>
      <c r="B321" s="175">
        <v>46064</v>
      </c>
      <c r="C321" s="171" t="s">
        <v>115</v>
      </c>
      <c r="D321" s="171" t="s">
        <v>119</v>
      </c>
      <c r="E321" s="171" t="s">
        <v>78</v>
      </c>
      <c r="F321" s="171" t="s">
        <v>176</v>
      </c>
      <c r="G321" s="171" t="s">
        <v>177</v>
      </c>
      <c r="H321" s="176">
        <v>1</v>
      </c>
      <c r="I321" s="177">
        <v>0</v>
      </c>
      <c r="J321" s="175">
        <v>46049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hidden="1" customHeight="1">
      <c r="A322" s="171" t="s">
        <v>987</v>
      </c>
      <c r="B322" s="175">
        <v>46064</v>
      </c>
      <c r="C322" s="171" t="s">
        <v>110</v>
      </c>
      <c r="D322" s="171" t="s">
        <v>24</v>
      </c>
      <c r="E322" s="171" t="s">
        <v>78</v>
      </c>
      <c r="F322" s="171" t="s">
        <v>176</v>
      </c>
      <c r="G322" s="171" t="s">
        <v>177</v>
      </c>
      <c r="H322" s="176">
        <v>1</v>
      </c>
      <c r="I322" s="177">
        <v>0</v>
      </c>
      <c r="J322" s="175">
        <v>46049</v>
      </c>
      <c r="K322" s="171" t="s">
        <v>113</v>
      </c>
      <c r="L322" s="171" t="s">
        <v>114</v>
      </c>
      <c r="M322" s="178">
        <v>0</v>
      </c>
      <c r="N322" s="176"/>
      <c r="O322" s="176">
        <v>51</v>
      </c>
      <c r="P322" s="179">
        <v>-56.94</v>
      </c>
    </row>
    <row r="323" spans="1:16" ht="19.5" hidden="1" customHeight="1">
      <c r="A323" s="171" t="s">
        <v>987</v>
      </c>
      <c r="B323" s="175">
        <v>46064</v>
      </c>
      <c r="C323" s="171" t="s">
        <v>115</v>
      </c>
      <c r="D323" s="171" t="s">
        <v>116</v>
      </c>
      <c r="E323" s="171" t="s">
        <v>78</v>
      </c>
      <c r="F323" s="171" t="s">
        <v>176</v>
      </c>
      <c r="G323" s="171" t="s">
        <v>177</v>
      </c>
      <c r="H323" s="176">
        <v>1</v>
      </c>
      <c r="I323" s="177">
        <v>0</v>
      </c>
      <c r="J323" s="175">
        <v>46049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-19.88</v>
      </c>
    </row>
    <row r="324" spans="1:16" ht="19.5" hidden="1" customHeight="1">
      <c r="A324" s="171" t="s">
        <v>1324</v>
      </c>
      <c r="B324" s="175">
        <v>46064</v>
      </c>
      <c r="C324" s="171" t="s">
        <v>110</v>
      </c>
      <c r="D324" s="171" t="s">
        <v>24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46059</v>
      </c>
      <c r="K324" s="171" t="s">
        <v>113</v>
      </c>
      <c r="L324" s="171" t="s">
        <v>114</v>
      </c>
      <c r="M324" s="178">
        <v>0</v>
      </c>
      <c r="N324" s="176"/>
      <c r="O324" s="176">
        <v>42</v>
      </c>
      <c r="P324" s="179">
        <v>-46.77</v>
      </c>
    </row>
    <row r="325" spans="1:16" ht="19.5" hidden="1" customHeight="1">
      <c r="A325" s="171" t="s">
        <v>1324</v>
      </c>
      <c r="B325" s="175">
        <v>46064</v>
      </c>
      <c r="C325" s="171" t="s">
        <v>115</v>
      </c>
      <c r="D325" s="171" t="s">
        <v>116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46059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-11.78</v>
      </c>
    </row>
    <row r="326" spans="1:16" ht="19.5" hidden="1" customHeight="1">
      <c r="A326" s="171" t="s">
        <v>1324</v>
      </c>
      <c r="B326" s="175">
        <v>46064</v>
      </c>
      <c r="C326" s="171" t="s">
        <v>110</v>
      </c>
      <c r="D326" s="171" t="s">
        <v>117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46059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0</v>
      </c>
    </row>
    <row r="327" spans="1:16" ht="19.5" hidden="1" customHeight="1">
      <c r="A327" s="171" t="s">
        <v>1324</v>
      </c>
      <c r="B327" s="175">
        <v>46064</v>
      </c>
      <c r="C327" s="171" t="s">
        <v>110</v>
      </c>
      <c r="D327" s="171" t="s">
        <v>118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46059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-46.77</v>
      </c>
    </row>
    <row r="328" spans="1:16" ht="19.5" hidden="1" customHeight="1">
      <c r="A328" s="171" t="s">
        <v>1324</v>
      </c>
      <c r="B328" s="175">
        <v>46064</v>
      </c>
      <c r="C328" s="171" t="s">
        <v>115</v>
      </c>
      <c r="D328" s="171" t="s">
        <v>119</v>
      </c>
      <c r="E328" s="171" t="s">
        <v>38</v>
      </c>
      <c r="F328" s="171" t="s">
        <v>111</v>
      </c>
      <c r="G328" s="171" t="s">
        <v>112</v>
      </c>
      <c r="H328" s="176">
        <v>1</v>
      </c>
      <c r="I328" s="177">
        <v>0</v>
      </c>
      <c r="J328" s="175">
        <v>46059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-15</v>
      </c>
    </row>
    <row r="329" spans="1:16" ht="19.5" hidden="1" customHeight="1">
      <c r="A329" s="171" t="s">
        <v>1325</v>
      </c>
      <c r="B329" s="175">
        <v>46064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0</v>
      </c>
      <c r="J329" s="175">
        <v>46058</v>
      </c>
      <c r="K329" s="171" t="s">
        <v>113</v>
      </c>
      <c r="L329" s="171" t="s">
        <v>114</v>
      </c>
      <c r="M329" s="178">
        <v>0</v>
      </c>
      <c r="N329" s="176"/>
      <c r="O329" s="176">
        <v>42</v>
      </c>
      <c r="P329" s="179">
        <v>-46.77</v>
      </c>
    </row>
    <row r="330" spans="1:16" ht="19.5" hidden="1" customHeight="1">
      <c r="A330" s="171" t="s">
        <v>1325</v>
      </c>
      <c r="B330" s="175">
        <v>46064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0</v>
      </c>
      <c r="J330" s="175">
        <v>46058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-11.85</v>
      </c>
    </row>
    <row r="331" spans="1:16" ht="19.5" hidden="1" customHeight="1">
      <c r="A331" s="171" t="s">
        <v>1325</v>
      </c>
      <c r="B331" s="175">
        <v>46064</v>
      </c>
      <c r="C331" s="171" t="s">
        <v>110</v>
      </c>
      <c r="D331" s="171" t="s">
        <v>117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0</v>
      </c>
      <c r="J331" s="175">
        <v>46058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0</v>
      </c>
    </row>
    <row r="332" spans="1:16" ht="19.5" hidden="1" customHeight="1">
      <c r="A332" s="171" t="s">
        <v>1325</v>
      </c>
      <c r="B332" s="175">
        <v>46064</v>
      </c>
      <c r="C332" s="171" t="s">
        <v>110</v>
      </c>
      <c r="D332" s="171" t="s">
        <v>118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0</v>
      </c>
      <c r="J332" s="175">
        <v>46058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-46.77</v>
      </c>
    </row>
    <row r="333" spans="1:16" ht="19.5" hidden="1" customHeight="1">
      <c r="A333" s="171" t="s">
        <v>1325</v>
      </c>
      <c r="B333" s="175">
        <v>46064</v>
      </c>
      <c r="C333" s="171" t="s">
        <v>115</v>
      </c>
      <c r="D333" s="171" t="s">
        <v>119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0</v>
      </c>
      <c r="J333" s="175">
        <v>46058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-15</v>
      </c>
    </row>
    <row r="334" spans="1:16" ht="19.5" hidden="1" customHeight="1">
      <c r="A334" s="171" t="s">
        <v>1326</v>
      </c>
      <c r="B334" s="175">
        <v>46064</v>
      </c>
      <c r="C334" s="171" t="s">
        <v>115</v>
      </c>
      <c r="D334" s="171" t="s">
        <v>135</v>
      </c>
      <c r="E334" s="171" t="s">
        <v>48</v>
      </c>
      <c r="F334" s="171" t="s">
        <v>198</v>
      </c>
      <c r="G334" s="171" t="s">
        <v>112</v>
      </c>
      <c r="H334" s="176">
        <v>1</v>
      </c>
      <c r="I334" s="177">
        <v>0</v>
      </c>
      <c r="J334" s="175">
        <v>46064</v>
      </c>
      <c r="K334" s="171" t="s">
        <v>125</v>
      </c>
      <c r="L334" s="171" t="s">
        <v>125</v>
      </c>
      <c r="M334" s="178">
        <v>0</v>
      </c>
      <c r="N334" s="176"/>
      <c r="O334" s="176"/>
      <c r="P334" s="179">
        <v>-16.39</v>
      </c>
    </row>
    <row r="335" spans="1:16" ht="19.5" hidden="1" customHeight="1">
      <c r="A335" s="171" t="s">
        <v>1327</v>
      </c>
      <c r="B335" s="175">
        <v>46064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0</v>
      </c>
      <c r="J335" s="175">
        <v>46060</v>
      </c>
      <c r="K335" s="171" t="s">
        <v>113</v>
      </c>
      <c r="L335" s="171" t="s">
        <v>114</v>
      </c>
      <c r="M335" s="178">
        <v>0</v>
      </c>
      <c r="N335" s="176"/>
      <c r="O335" s="176">
        <v>43</v>
      </c>
      <c r="P335" s="179">
        <v>-46.77</v>
      </c>
    </row>
    <row r="336" spans="1:16" ht="19.5" hidden="1" customHeight="1">
      <c r="A336" s="171" t="s">
        <v>1327</v>
      </c>
      <c r="B336" s="175">
        <v>46064</v>
      </c>
      <c r="C336" s="171" t="s">
        <v>115</v>
      </c>
      <c r="D336" s="171" t="s">
        <v>116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0</v>
      </c>
      <c r="J336" s="175">
        <v>46060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-16.53</v>
      </c>
    </row>
    <row r="337" spans="1:16" ht="19.5" hidden="1" customHeight="1">
      <c r="A337" s="171" t="s">
        <v>1327</v>
      </c>
      <c r="B337" s="175">
        <v>46064</v>
      </c>
      <c r="C337" s="171" t="s">
        <v>110</v>
      </c>
      <c r="D337" s="171" t="s">
        <v>117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0</v>
      </c>
      <c r="J337" s="175">
        <v>46060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0</v>
      </c>
    </row>
    <row r="338" spans="1:16" ht="19.5" hidden="1" customHeight="1">
      <c r="A338" s="171" t="s">
        <v>1327</v>
      </c>
      <c r="B338" s="175">
        <v>46064</v>
      </c>
      <c r="C338" s="171" t="s">
        <v>110</v>
      </c>
      <c r="D338" s="171" t="s">
        <v>118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46060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-46.77</v>
      </c>
    </row>
    <row r="339" spans="1:16" ht="19.5" hidden="1" customHeight="1">
      <c r="A339" s="171" t="s">
        <v>1327</v>
      </c>
      <c r="B339" s="175">
        <v>46064</v>
      </c>
      <c r="C339" s="171" t="s">
        <v>115</v>
      </c>
      <c r="D339" s="171" t="s">
        <v>119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0</v>
      </c>
      <c r="J339" s="175">
        <v>46060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-15</v>
      </c>
    </row>
    <row r="340" spans="1:16" ht="19.5" hidden="1" customHeight="1">
      <c r="A340" s="171" t="s">
        <v>1328</v>
      </c>
      <c r="B340" s="175">
        <v>46064</v>
      </c>
      <c r="C340" s="171" t="s">
        <v>115</v>
      </c>
      <c r="D340" s="171" t="s">
        <v>135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46064</v>
      </c>
      <c r="K340" s="171" t="s">
        <v>125</v>
      </c>
      <c r="L340" s="171" t="s">
        <v>125</v>
      </c>
      <c r="M340" s="178">
        <v>0</v>
      </c>
      <c r="N340" s="176"/>
      <c r="O340" s="176"/>
      <c r="P340" s="179">
        <v>-5.48</v>
      </c>
    </row>
    <row r="341" spans="1:16" ht="19.5" hidden="1" customHeight="1">
      <c r="A341" s="171" t="s">
        <v>1329</v>
      </c>
      <c r="B341" s="175">
        <v>46064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2400</v>
      </c>
      <c r="J341" s="175">
        <v>46060</v>
      </c>
      <c r="K341" s="171" t="s">
        <v>113</v>
      </c>
      <c r="L341" s="171" t="s">
        <v>114</v>
      </c>
      <c r="M341" s="178">
        <v>0.43</v>
      </c>
      <c r="N341" s="176"/>
      <c r="O341" s="176">
        <v>43</v>
      </c>
      <c r="P341" s="179">
        <v>-146.83000000000001</v>
      </c>
    </row>
    <row r="342" spans="1:16" ht="19.5" hidden="1" customHeight="1">
      <c r="A342" s="171" t="s">
        <v>1329</v>
      </c>
      <c r="B342" s="175">
        <v>46064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2400</v>
      </c>
      <c r="J342" s="175">
        <v>46060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1242.8599999999999</v>
      </c>
    </row>
    <row r="343" spans="1:16" ht="19.5" hidden="1" customHeight="1">
      <c r="A343" s="171" t="s">
        <v>1329</v>
      </c>
      <c r="B343" s="175">
        <v>46064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2400</v>
      </c>
      <c r="J343" s="175">
        <v>46060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0</v>
      </c>
    </row>
    <row r="344" spans="1:16" ht="19.5" hidden="1" customHeight="1">
      <c r="A344" s="171" t="s">
        <v>1329</v>
      </c>
      <c r="B344" s="175">
        <v>46064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2400</v>
      </c>
      <c r="J344" s="175">
        <v>46060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1157.1400000000001</v>
      </c>
    </row>
    <row r="345" spans="1:16" ht="19.5" hidden="1" customHeight="1">
      <c r="A345" s="171" t="s">
        <v>1329</v>
      </c>
      <c r="B345" s="175">
        <v>46064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2400</v>
      </c>
      <c r="J345" s="175">
        <v>46060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-1032</v>
      </c>
    </row>
    <row r="346" spans="1:16" ht="19.5" hidden="1" customHeight="1">
      <c r="A346" s="171" t="s">
        <v>1329</v>
      </c>
      <c r="B346" s="175">
        <v>46064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2400</v>
      </c>
      <c r="J346" s="175">
        <v>46060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-12.51</v>
      </c>
    </row>
    <row r="347" spans="1:16" ht="19.5" hidden="1" customHeight="1">
      <c r="A347" s="171" t="s">
        <v>1330</v>
      </c>
      <c r="B347" s="175">
        <v>46064</v>
      </c>
      <c r="C347" s="171" t="s">
        <v>115</v>
      </c>
      <c r="D347" s="171" t="s">
        <v>135</v>
      </c>
      <c r="E347" s="171" t="s">
        <v>44</v>
      </c>
      <c r="F347" s="171" t="s">
        <v>213</v>
      </c>
      <c r="G347" s="171" t="s">
        <v>214</v>
      </c>
      <c r="H347" s="176">
        <v>1</v>
      </c>
      <c r="I347" s="177">
        <v>0</v>
      </c>
      <c r="J347" s="175">
        <v>46064</v>
      </c>
      <c r="K347" s="171" t="s">
        <v>125</v>
      </c>
      <c r="L347" s="171" t="s">
        <v>125</v>
      </c>
      <c r="M347" s="178">
        <v>0</v>
      </c>
      <c r="N347" s="176"/>
      <c r="O347" s="176"/>
      <c r="P347" s="179">
        <v>-17.100000000000001</v>
      </c>
    </row>
    <row r="348" spans="1:16" ht="19.5" hidden="1" customHeight="1">
      <c r="A348" s="171" t="s">
        <v>1331</v>
      </c>
      <c r="B348" s="175">
        <v>46064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46064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-22.24</v>
      </c>
    </row>
    <row r="349" spans="1:16" ht="19.5" hidden="1" customHeight="1">
      <c r="A349" s="171" t="s">
        <v>1332</v>
      </c>
      <c r="B349" s="175">
        <v>46064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46057</v>
      </c>
      <c r="K349" s="171" t="s">
        <v>113</v>
      </c>
      <c r="L349" s="171" t="s">
        <v>114</v>
      </c>
      <c r="M349" s="178">
        <v>0</v>
      </c>
      <c r="N349" s="176"/>
      <c r="O349" s="176">
        <v>42</v>
      </c>
      <c r="P349" s="179">
        <v>-46.77</v>
      </c>
    </row>
    <row r="350" spans="1:16" ht="19.5" hidden="1" customHeight="1">
      <c r="A350" s="171" t="s">
        <v>1332</v>
      </c>
      <c r="B350" s="175">
        <v>46064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46057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-9.69</v>
      </c>
    </row>
    <row r="351" spans="1:16" ht="19.5" hidden="1" customHeight="1">
      <c r="A351" s="171" t="s">
        <v>1332</v>
      </c>
      <c r="B351" s="175">
        <v>46064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46057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hidden="1" customHeight="1">
      <c r="A352" s="171" t="s">
        <v>1332</v>
      </c>
      <c r="B352" s="175">
        <v>46064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46057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-46.77</v>
      </c>
    </row>
    <row r="353" spans="1:16" ht="19.5" hidden="1" customHeight="1">
      <c r="A353" s="171" t="s">
        <v>1332</v>
      </c>
      <c r="B353" s="175">
        <v>46064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46057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hidden="1" customHeight="1">
      <c r="A354" s="171" t="s">
        <v>1333</v>
      </c>
      <c r="B354" s="175">
        <v>46064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0</v>
      </c>
      <c r="J354" s="175">
        <v>46060</v>
      </c>
      <c r="K354" s="171" t="s">
        <v>113</v>
      </c>
      <c r="L354" s="171" t="s">
        <v>114</v>
      </c>
      <c r="M354" s="178">
        <v>0</v>
      </c>
      <c r="N354" s="176"/>
      <c r="O354" s="176">
        <v>43</v>
      </c>
      <c r="P354" s="179">
        <v>-46.77</v>
      </c>
    </row>
    <row r="355" spans="1:16" ht="19.5" hidden="1" customHeight="1">
      <c r="A355" s="171" t="s">
        <v>1333</v>
      </c>
      <c r="B355" s="175">
        <v>46064</v>
      </c>
      <c r="C355" s="171" t="s">
        <v>115</v>
      </c>
      <c r="D355" s="171" t="s">
        <v>116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0</v>
      </c>
      <c r="J355" s="175">
        <v>46060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-17.940000000000001</v>
      </c>
    </row>
    <row r="356" spans="1:16" ht="19.5" hidden="1" customHeight="1">
      <c r="A356" s="171" t="s">
        <v>972</v>
      </c>
      <c r="B356" s="175">
        <v>46064</v>
      </c>
      <c r="C356" s="171" t="s">
        <v>115</v>
      </c>
      <c r="D356" s="171" t="s">
        <v>135</v>
      </c>
      <c r="E356" s="171" t="s">
        <v>70</v>
      </c>
      <c r="F356" s="171" t="s">
        <v>509</v>
      </c>
      <c r="G356" s="171" t="s">
        <v>177</v>
      </c>
      <c r="H356" s="176">
        <v>1</v>
      </c>
      <c r="I356" s="177">
        <v>0</v>
      </c>
      <c r="J356" s="175">
        <v>46054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43.3</v>
      </c>
    </row>
    <row r="357" spans="1:16" ht="19.5" hidden="1" customHeight="1">
      <c r="A357" s="171" t="s">
        <v>1333</v>
      </c>
      <c r="B357" s="175">
        <v>46064</v>
      </c>
      <c r="C357" s="171" t="s">
        <v>110</v>
      </c>
      <c r="D357" s="171" t="s">
        <v>117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46060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0</v>
      </c>
    </row>
    <row r="358" spans="1:16" ht="19.5" hidden="1" customHeight="1">
      <c r="A358" s="171" t="s">
        <v>1333</v>
      </c>
      <c r="B358" s="175">
        <v>46064</v>
      </c>
      <c r="C358" s="171" t="s">
        <v>110</v>
      </c>
      <c r="D358" s="171" t="s">
        <v>118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46060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-46.77</v>
      </c>
    </row>
    <row r="359" spans="1:16" ht="19.5" hidden="1" customHeight="1">
      <c r="A359" s="171" t="s">
        <v>1333</v>
      </c>
      <c r="B359" s="175">
        <v>46064</v>
      </c>
      <c r="C359" s="171" t="s">
        <v>115</v>
      </c>
      <c r="D359" s="171" t="s">
        <v>119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46060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-15</v>
      </c>
    </row>
    <row r="360" spans="1:16" ht="19.5" hidden="1" customHeight="1">
      <c r="A360" s="171" t="s">
        <v>1334</v>
      </c>
      <c r="B360" s="175">
        <v>46064</v>
      </c>
      <c r="C360" s="171" t="s">
        <v>110</v>
      </c>
      <c r="D360" s="171" t="s">
        <v>24</v>
      </c>
      <c r="E360" s="171" t="s">
        <v>45</v>
      </c>
      <c r="F360" s="171" t="s">
        <v>162</v>
      </c>
      <c r="G360" s="171" t="s">
        <v>163</v>
      </c>
      <c r="H360" s="176">
        <v>1</v>
      </c>
      <c r="I360" s="177">
        <v>2400</v>
      </c>
      <c r="J360" s="175">
        <v>46059</v>
      </c>
      <c r="K360" s="171" t="s">
        <v>113</v>
      </c>
      <c r="L360" s="171" t="s">
        <v>114</v>
      </c>
      <c r="M360" s="178">
        <v>0.43</v>
      </c>
      <c r="N360" s="176"/>
      <c r="O360" s="176">
        <v>42</v>
      </c>
      <c r="P360" s="179">
        <v>-141.83000000000001</v>
      </c>
    </row>
    <row r="361" spans="1:16" ht="19.5" hidden="1" customHeight="1">
      <c r="A361" s="171" t="s">
        <v>1334</v>
      </c>
      <c r="B361" s="175">
        <v>46064</v>
      </c>
      <c r="C361" s="171" t="s">
        <v>127</v>
      </c>
      <c r="D361" s="171" t="s">
        <v>128</v>
      </c>
      <c r="E361" s="171" t="s">
        <v>45</v>
      </c>
      <c r="F361" s="171" t="s">
        <v>162</v>
      </c>
      <c r="G361" s="171" t="s">
        <v>163</v>
      </c>
      <c r="H361" s="176">
        <v>1</v>
      </c>
      <c r="I361" s="177">
        <v>2400</v>
      </c>
      <c r="J361" s="175">
        <v>46059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1444.87</v>
      </c>
    </row>
    <row r="362" spans="1:16" ht="19.5" hidden="1" customHeight="1">
      <c r="A362" s="171" t="s">
        <v>1334</v>
      </c>
      <c r="B362" s="175">
        <v>46064</v>
      </c>
      <c r="C362" s="171" t="s">
        <v>127</v>
      </c>
      <c r="D362" s="171" t="s">
        <v>129</v>
      </c>
      <c r="E362" s="171" t="s">
        <v>45</v>
      </c>
      <c r="F362" s="171" t="s">
        <v>162</v>
      </c>
      <c r="G362" s="171" t="s">
        <v>163</v>
      </c>
      <c r="H362" s="176">
        <v>1</v>
      </c>
      <c r="I362" s="177">
        <v>2400</v>
      </c>
      <c r="J362" s="175">
        <v>46059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14.45</v>
      </c>
    </row>
    <row r="363" spans="1:16" ht="19.5" hidden="1" customHeight="1">
      <c r="A363" s="171" t="s">
        <v>1334</v>
      </c>
      <c r="B363" s="175">
        <v>46064</v>
      </c>
      <c r="C363" s="171" t="s">
        <v>127</v>
      </c>
      <c r="D363" s="171" t="s">
        <v>130</v>
      </c>
      <c r="E363" s="171" t="s">
        <v>45</v>
      </c>
      <c r="F363" s="171" t="s">
        <v>162</v>
      </c>
      <c r="G363" s="171" t="s">
        <v>163</v>
      </c>
      <c r="H363" s="176">
        <v>1</v>
      </c>
      <c r="I363" s="177">
        <v>2400</v>
      </c>
      <c r="J363" s="175">
        <v>46059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940.68</v>
      </c>
    </row>
    <row r="364" spans="1:16" ht="19.5" hidden="1" customHeight="1">
      <c r="A364" s="171" t="s">
        <v>1334</v>
      </c>
      <c r="B364" s="175">
        <v>46064</v>
      </c>
      <c r="C364" s="171" t="s">
        <v>131</v>
      </c>
      <c r="D364" s="171" t="s">
        <v>132</v>
      </c>
      <c r="E364" s="171" t="s">
        <v>45</v>
      </c>
      <c r="F364" s="171" t="s">
        <v>162</v>
      </c>
      <c r="G364" s="171" t="s">
        <v>163</v>
      </c>
      <c r="H364" s="176">
        <v>1</v>
      </c>
      <c r="I364" s="177">
        <v>2400</v>
      </c>
      <c r="J364" s="175">
        <v>46059</v>
      </c>
      <c r="K364" s="171" t="s">
        <v>113</v>
      </c>
      <c r="L364" s="171" t="s">
        <v>114</v>
      </c>
      <c r="M364" s="178">
        <v>0.43</v>
      </c>
      <c r="N364" s="176"/>
      <c r="O364" s="176"/>
      <c r="P364" s="179">
        <v>-1032</v>
      </c>
    </row>
    <row r="365" spans="1:16" ht="19.5" hidden="1" customHeight="1">
      <c r="A365" s="171" t="s">
        <v>1334</v>
      </c>
      <c r="B365" s="175">
        <v>46064</v>
      </c>
      <c r="C365" s="171" t="s">
        <v>115</v>
      </c>
      <c r="D365" s="171" t="s">
        <v>116</v>
      </c>
      <c r="E365" s="171" t="s">
        <v>45</v>
      </c>
      <c r="F365" s="171" t="s">
        <v>162</v>
      </c>
      <c r="G365" s="171" t="s">
        <v>163</v>
      </c>
      <c r="H365" s="176">
        <v>1</v>
      </c>
      <c r="I365" s="177">
        <v>2400</v>
      </c>
      <c r="J365" s="175">
        <v>46059</v>
      </c>
      <c r="K365" s="171" t="s">
        <v>113</v>
      </c>
      <c r="L365" s="171" t="s">
        <v>114</v>
      </c>
      <c r="M365" s="178">
        <v>0.43</v>
      </c>
      <c r="N365" s="176"/>
      <c r="O365" s="176"/>
      <c r="P365" s="179">
        <v>-12.76</v>
      </c>
    </row>
    <row r="366" spans="1:16" ht="19.5" hidden="1" customHeight="1">
      <c r="A366" s="171" t="s">
        <v>1334</v>
      </c>
      <c r="B366" s="175">
        <v>46064</v>
      </c>
      <c r="C366" s="171" t="s">
        <v>115</v>
      </c>
      <c r="D366" s="171" t="s">
        <v>135</v>
      </c>
      <c r="E366" s="171" t="s">
        <v>45</v>
      </c>
      <c r="F366" s="171" t="s">
        <v>162</v>
      </c>
      <c r="G366" s="171" t="s">
        <v>163</v>
      </c>
      <c r="H366" s="176">
        <v>1</v>
      </c>
      <c r="I366" s="177">
        <v>0</v>
      </c>
      <c r="J366" s="175">
        <v>46059</v>
      </c>
      <c r="K366" s="171" t="s">
        <v>125</v>
      </c>
      <c r="L366" s="171" t="s">
        <v>125</v>
      </c>
      <c r="M366" s="178">
        <v>0</v>
      </c>
      <c r="N366" s="176"/>
      <c r="O366" s="176"/>
      <c r="P366" s="179">
        <v>-27.45</v>
      </c>
    </row>
    <row r="367" spans="1:16" ht="19.5" hidden="1" customHeight="1">
      <c r="A367" s="171" t="s">
        <v>1174</v>
      </c>
      <c r="B367" s="175">
        <v>46064</v>
      </c>
      <c r="C367" s="171" t="s">
        <v>308</v>
      </c>
      <c r="D367" s="171" t="s">
        <v>419</v>
      </c>
      <c r="E367" s="171" t="s">
        <v>77</v>
      </c>
      <c r="F367" s="171" t="s">
        <v>194</v>
      </c>
      <c r="G367" s="171" t="s">
        <v>177</v>
      </c>
      <c r="H367" s="176">
        <v>1</v>
      </c>
      <c r="I367" s="177">
        <v>-5412</v>
      </c>
      <c r="J367" s="175">
        <v>46055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-1896.19</v>
      </c>
    </row>
    <row r="368" spans="1:16" ht="19.5" hidden="1" customHeight="1">
      <c r="A368" s="171" t="s">
        <v>1174</v>
      </c>
      <c r="B368" s="175">
        <v>46064</v>
      </c>
      <c r="C368" s="171" t="s">
        <v>308</v>
      </c>
      <c r="D368" s="171" t="s">
        <v>129</v>
      </c>
      <c r="E368" s="171" t="s">
        <v>77</v>
      </c>
      <c r="F368" s="171" t="s">
        <v>194</v>
      </c>
      <c r="G368" s="171" t="s">
        <v>177</v>
      </c>
      <c r="H368" s="176">
        <v>1</v>
      </c>
      <c r="I368" s="177">
        <v>-5412</v>
      </c>
      <c r="J368" s="175">
        <v>46055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-18.96</v>
      </c>
    </row>
    <row r="369" spans="1:16" ht="19.5" hidden="1" customHeight="1">
      <c r="A369" s="171" t="s">
        <v>1174</v>
      </c>
      <c r="B369" s="175">
        <v>46064</v>
      </c>
      <c r="C369" s="171" t="s">
        <v>308</v>
      </c>
      <c r="D369" s="171" t="s">
        <v>130</v>
      </c>
      <c r="E369" s="171" t="s">
        <v>77</v>
      </c>
      <c r="F369" s="171" t="s">
        <v>194</v>
      </c>
      <c r="G369" s="171" t="s">
        <v>177</v>
      </c>
      <c r="H369" s="176">
        <v>1</v>
      </c>
      <c r="I369" s="177">
        <v>-5412</v>
      </c>
      <c r="J369" s="175">
        <v>46055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-3496.85</v>
      </c>
    </row>
    <row r="370" spans="1:16" ht="19.5" hidden="1" customHeight="1">
      <c r="A370" s="171" t="s">
        <v>1174</v>
      </c>
      <c r="B370" s="175">
        <v>46064</v>
      </c>
      <c r="C370" s="171" t="s">
        <v>131</v>
      </c>
      <c r="D370" s="171" t="s">
        <v>420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-5412</v>
      </c>
      <c r="J370" s="175">
        <v>46055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2327.16</v>
      </c>
    </row>
    <row r="371" spans="1:16" ht="19.5" hidden="1" customHeight="1">
      <c r="A371" s="171" t="s">
        <v>1335</v>
      </c>
      <c r="B371" s="175">
        <v>46064</v>
      </c>
      <c r="C371" s="171" t="s">
        <v>115</v>
      </c>
      <c r="D371" s="171" t="s">
        <v>135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46064</v>
      </c>
      <c r="K371" s="171" t="s">
        <v>125</v>
      </c>
      <c r="L371" s="171" t="s">
        <v>125</v>
      </c>
      <c r="M371" s="178">
        <v>0</v>
      </c>
      <c r="N371" s="176"/>
      <c r="O371" s="176"/>
      <c r="P371" s="179">
        <v>-21.24</v>
      </c>
    </row>
    <row r="372" spans="1:16" ht="19.5" hidden="1" customHeight="1">
      <c r="A372" s="171" t="s">
        <v>1336</v>
      </c>
      <c r="B372" s="175">
        <v>46064</v>
      </c>
      <c r="C372" s="171" t="s">
        <v>110</v>
      </c>
      <c r="D372" s="171" t="s">
        <v>24</v>
      </c>
      <c r="E372" s="171" t="s">
        <v>45</v>
      </c>
      <c r="F372" s="171" t="s">
        <v>162</v>
      </c>
      <c r="G372" s="171" t="s">
        <v>163</v>
      </c>
      <c r="H372" s="176">
        <v>1</v>
      </c>
      <c r="I372" s="177">
        <v>2400</v>
      </c>
      <c r="J372" s="175">
        <v>46059</v>
      </c>
      <c r="K372" s="171" t="s">
        <v>113</v>
      </c>
      <c r="L372" s="171" t="s">
        <v>114</v>
      </c>
      <c r="M372" s="178">
        <v>0.43</v>
      </c>
      <c r="N372" s="176"/>
      <c r="O372" s="176">
        <v>42</v>
      </c>
      <c r="P372" s="179">
        <v>-141.83000000000001</v>
      </c>
    </row>
    <row r="373" spans="1:16" ht="19.5" hidden="1" customHeight="1">
      <c r="A373" s="171" t="s">
        <v>1336</v>
      </c>
      <c r="B373" s="175">
        <v>46064</v>
      </c>
      <c r="C373" s="171" t="s">
        <v>127</v>
      </c>
      <c r="D373" s="171" t="s">
        <v>128</v>
      </c>
      <c r="E373" s="171" t="s">
        <v>45</v>
      </c>
      <c r="F373" s="171" t="s">
        <v>162</v>
      </c>
      <c r="G373" s="171" t="s">
        <v>163</v>
      </c>
      <c r="H373" s="176">
        <v>1</v>
      </c>
      <c r="I373" s="177">
        <v>2400</v>
      </c>
      <c r="J373" s="175">
        <v>46059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1455.24</v>
      </c>
    </row>
    <row r="374" spans="1:16" ht="19.5" hidden="1" customHeight="1">
      <c r="A374" s="171" t="s">
        <v>1336</v>
      </c>
      <c r="B374" s="175">
        <v>46064</v>
      </c>
      <c r="C374" s="171" t="s">
        <v>127</v>
      </c>
      <c r="D374" s="171" t="s">
        <v>129</v>
      </c>
      <c r="E374" s="171" t="s">
        <v>45</v>
      </c>
      <c r="F374" s="171" t="s">
        <v>162</v>
      </c>
      <c r="G374" s="171" t="s">
        <v>163</v>
      </c>
      <c r="H374" s="176">
        <v>1</v>
      </c>
      <c r="I374" s="177">
        <v>2400</v>
      </c>
      <c r="J374" s="175">
        <v>46059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14.55</v>
      </c>
    </row>
    <row r="375" spans="1:16" ht="19.5" hidden="1" customHeight="1">
      <c r="A375" s="171" t="s">
        <v>1336</v>
      </c>
      <c r="B375" s="175">
        <v>46064</v>
      </c>
      <c r="C375" s="171" t="s">
        <v>127</v>
      </c>
      <c r="D375" s="171" t="s">
        <v>130</v>
      </c>
      <c r="E375" s="171" t="s">
        <v>45</v>
      </c>
      <c r="F375" s="171" t="s">
        <v>162</v>
      </c>
      <c r="G375" s="171" t="s">
        <v>163</v>
      </c>
      <c r="H375" s="176">
        <v>1</v>
      </c>
      <c r="I375" s="177">
        <v>2400</v>
      </c>
      <c r="J375" s="175">
        <v>46059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930.21</v>
      </c>
    </row>
    <row r="376" spans="1:16" ht="19.5" hidden="1" customHeight="1">
      <c r="A376" s="171" t="s">
        <v>1336</v>
      </c>
      <c r="B376" s="175">
        <v>46064</v>
      </c>
      <c r="C376" s="171" t="s">
        <v>131</v>
      </c>
      <c r="D376" s="171" t="s">
        <v>132</v>
      </c>
      <c r="E376" s="171" t="s">
        <v>45</v>
      </c>
      <c r="F376" s="171" t="s">
        <v>162</v>
      </c>
      <c r="G376" s="171" t="s">
        <v>163</v>
      </c>
      <c r="H376" s="176">
        <v>1</v>
      </c>
      <c r="I376" s="177">
        <v>2400</v>
      </c>
      <c r="J376" s="175">
        <v>46059</v>
      </c>
      <c r="K376" s="171" t="s">
        <v>113</v>
      </c>
      <c r="L376" s="171" t="s">
        <v>114</v>
      </c>
      <c r="M376" s="178">
        <v>0.43</v>
      </c>
      <c r="N376" s="176"/>
      <c r="O376" s="176"/>
      <c r="P376" s="179">
        <v>-1032</v>
      </c>
    </row>
    <row r="377" spans="1:16" ht="19.5" hidden="1" customHeight="1">
      <c r="A377" s="171" t="s">
        <v>1336</v>
      </c>
      <c r="B377" s="175">
        <v>46064</v>
      </c>
      <c r="C377" s="171" t="s">
        <v>115</v>
      </c>
      <c r="D377" s="171" t="s">
        <v>135</v>
      </c>
      <c r="E377" s="171" t="s">
        <v>45</v>
      </c>
      <c r="F377" s="171" t="s">
        <v>162</v>
      </c>
      <c r="G377" s="171" t="s">
        <v>163</v>
      </c>
      <c r="H377" s="176">
        <v>1</v>
      </c>
      <c r="I377" s="177">
        <v>0</v>
      </c>
      <c r="J377" s="175">
        <v>46059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-27.65</v>
      </c>
    </row>
    <row r="378" spans="1:16" ht="19.5" hidden="1" customHeight="1">
      <c r="A378" s="171" t="s">
        <v>1337</v>
      </c>
      <c r="B378" s="175">
        <v>46064</v>
      </c>
      <c r="C378" s="171" t="s">
        <v>110</v>
      </c>
      <c r="D378" s="171" t="s">
        <v>24</v>
      </c>
      <c r="E378" s="171" t="s">
        <v>48</v>
      </c>
      <c r="F378" s="171" t="s">
        <v>198</v>
      </c>
      <c r="G378" s="171" t="s">
        <v>112</v>
      </c>
      <c r="H378" s="176">
        <v>1</v>
      </c>
      <c r="I378" s="177">
        <v>0</v>
      </c>
      <c r="J378" s="175">
        <v>46061</v>
      </c>
      <c r="K378" s="171" t="s">
        <v>113</v>
      </c>
      <c r="L378" s="171" t="s">
        <v>114</v>
      </c>
      <c r="M378" s="178">
        <v>0</v>
      </c>
      <c r="N378" s="176"/>
      <c r="O378" s="176">
        <v>45</v>
      </c>
      <c r="P378" s="179">
        <v>-46.77</v>
      </c>
    </row>
    <row r="379" spans="1:16" ht="19.5" hidden="1" customHeight="1">
      <c r="A379" s="171" t="s">
        <v>1337</v>
      </c>
      <c r="B379" s="175">
        <v>46064</v>
      </c>
      <c r="C379" s="171" t="s">
        <v>115</v>
      </c>
      <c r="D379" s="171" t="s">
        <v>116</v>
      </c>
      <c r="E379" s="171" t="s">
        <v>48</v>
      </c>
      <c r="F379" s="171" t="s">
        <v>198</v>
      </c>
      <c r="G379" s="171" t="s">
        <v>112</v>
      </c>
      <c r="H379" s="176">
        <v>1</v>
      </c>
      <c r="I379" s="177">
        <v>0</v>
      </c>
      <c r="J379" s="175">
        <v>46061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-16.36</v>
      </c>
    </row>
    <row r="380" spans="1:16" ht="19.5" hidden="1" customHeight="1">
      <c r="A380" s="171" t="s">
        <v>1337</v>
      </c>
      <c r="B380" s="175">
        <v>46064</v>
      </c>
      <c r="C380" s="171" t="s">
        <v>110</v>
      </c>
      <c r="D380" s="171" t="s">
        <v>117</v>
      </c>
      <c r="E380" s="171" t="s">
        <v>48</v>
      </c>
      <c r="F380" s="171" t="s">
        <v>198</v>
      </c>
      <c r="G380" s="171" t="s">
        <v>112</v>
      </c>
      <c r="H380" s="176">
        <v>1</v>
      </c>
      <c r="I380" s="177">
        <v>0</v>
      </c>
      <c r="J380" s="175">
        <v>46061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hidden="1" customHeight="1">
      <c r="A381" s="171" t="s">
        <v>1337</v>
      </c>
      <c r="B381" s="175">
        <v>46064</v>
      </c>
      <c r="C381" s="171" t="s">
        <v>110</v>
      </c>
      <c r="D381" s="171" t="s">
        <v>118</v>
      </c>
      <c r="E381" s="171" t="s">
        <v>48</v>
      </c>
      <c r="F381" s="171" t="s">
        <v>198</v>
      </c>
      <c r="G381" s="171" t="s">
        <v>112</v>
      </c>
      <c r="H381" s="176">
        <v>1</v>
      </c>
      <c r="I381" s="177">
        <v>0</v>
      </c>
      <c r="J381" s="175">
        <v>46061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hidden="1" customHeight="1">
      <c r="A382" s="171" t="s">
        <v>1337</v>
      </c>
      <c r="B382" s="175">
        <v>46064</v>
      </c>
      <c r="C382" s="171" t="s">
        <v>115</v>
      </c>
      <c r="D382" s="171" t="s">
        <v>119</v>
      </c>
      <c r="E382" s="171" t="s">
        <v>48</v>
      </c>
      <c r="F382" s="171" t="s">
        <v>198</v>
      </c>
      <c r="G382" s="171" t="s">
        <v>112</v>
      </c>
      <c r="H382" s="176">
        <v>1</v>
      </c>
      <c r="I382" s="177">
        <v>0</v>
      </c>
      <c r="J382" s="175">
        <v>46061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hidden="1" customHeight="1">
      <c r="A383" s="171" t="s">
        <v>1338</v>
      </c>
      <c r="B383" s="175">
        <v>46064</v>
      </c>
      <c r="C383" s="171" t="s">
        <v>110</v>
      </c>
      <c r="D383" s="171" t="s">
        <v>24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46060</v>
      </c>
      <c r="K383" s="171" t="s">
        <v>113</v>
      </c>
      <c r="L383" s="171" t="s">
        <v>114</v>
      </c>
      <c r="M383" s="178">
        <v>0</v>
      </c>
      <c r="N383" s="176"/>
      <c r="O383" s="176">
        <v>43</v>
      </c>
      <c r="P383" s="179">
        <v>-46.77</v>
      </c>
    </row>
    <row r="384" spans="1:16" ht="19.5" hidden="1" customHeight="1">
      <c r="A384" s="171" t="s">
        <v>1338</v>
      </c>
      <c r="B384" s="175">
        <v>46064</v>
      </c>
      <c r="C384" s="171" t="s">
        <v>115</v>
      </c>
      <c r="D384" s="171" t="s">
        <v>116</v>
      </c>
      <c r="E384" s="171" t="s">
        <v>38</v>
      </c>
      <c r="F384" s="171" t="s">
        <v>111</v>
      </c>
      <c r="G384" s="171" t="s">
        <v>112</v>
      </c>
      <c r="H384" s="176">
        <v>1</v>
      </c>
      <c r="I384" s="177">
        <v>0</v>
      </c>
      <c r="J384" s="175">
        <v>46060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-14.98</v>
      </c>
    </row>
    <row r="385" spans="1:16" ht="19.5" hidden="1" customHeight="1">
      <c r="A385" s="171" t="s">
        <v>1339</v>
      </c>
      <c r="B385" s="175">
        <v>46064</v>
      </c>
      <c r="C385" s="171" t="s">
        <v>110</v>
      </c>
      <c r="D385" s="171" t="s">
        <v>24</v>
      </c>
      <c r="E385" s="171" t="s">
        <v>38</v>
      </c>
      <c r="F385" s="171" t="s">
        <v>111</v>
      </c>
      <c r="G385" s="171" t="s">
        <v>112</v>
      </c>
      <c r="H385" s="176">
        <v>1</v>
      </c>
      <c r="I385" s="177">
        <v>2400</v>
      </c>
      <c r="J385" s="175">
        <v>46062</v>
      </c>
      <c r="K385" s="171" t="s">
        <v>113</v>
      </c>
      <c r="L385" s="171" t="s">
        <v>114</v>
      </c>
      <c r="M385" s="178">
        <v>0.43</v>
      </c>
      <c r="N385" s="176"/>
      <c r="O385" s="176">
        <v>45</v>
      </c>
      <c r="P385" s="179">
        <v>-156.84</v>
      </c>
    </row>
    <row r="386" spans="1:16" ht="19.5" hidden="1" customHeight="1">
      <c r="A386" s="171" t="s">
        <v>1339</v>
      </c>
      <c r="B386" s="175">
        <v>46064</v>
      </c>
      <c r="C386" s="171" t="s">
        <v>127</v>
      </c>
      <c r="D386" s="171" t="s">
        <v>128</v>
      </c>
      <c r="E386" s="171" t="s">
        <v>38</v>
      </c>
      <c r="F386" s="171" t="s">
        <v>111</v>
      </c>
      <c r="G386" s="171" t="s">
        <v>112</v>
      </c>
      <c r="H386" s="176">
        <v>1</v>
      </c>
      <c r="I386" s="177">
        <v>2400</v>
      </c>
      <c r="J386" s="175">
        <v>46062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951.43</v>
      </c>
    </row>
    <row r="387" spans="1:16" ht="19.5" hidden="1" customHeight="1">
      <c r="A387" s="171" t="s">
        <v>1339</v>
      </c>
      <c r="B387" s="175">
        <v>46064</v>
      </c>
      <c r="C387" s="171" t="s">
        <v>127</v>
      </c>
      <c r="D387" s="171" t="s">
        <v>129</v>
      </c>
      <c r="E387" s="171" t="s">
        <v>38</v>
      </c>
      <c r="F387" s="171" t="s">
        <v>111</v>
      </c>
      <c r="G387" s="171" t="s">
        <v>112</v>
      </c>
      <c r="H387" s="176">
        <v>1</v>
      </c>
      <c r="I387" s="177">
        <v>2400</v>
      </c>
      <c r="J387" s="175">
        <v>46062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9.51</v>
      </c>
    </row>
    <row r="388" spans="1:16" ht="19.5" hidden="1" customHeight="1">
      <c r="A388" s="171" t="s">
        <v>1339</v>
      </c>
      <c r="B388" s="175">
        <v>46064</v>
      </c>
      <c r="C388" s="171" t="s">
        <v>127</v>
      </c>
      <c r="D388" s="171" t="s">
        <v>130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2400</v>
      </c>
      <c r="J388" s="175">
        <v>46062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1439.06</v>
      </c>
    </row>
    <row r="389" spans="1:16" ht="19.5" hidden="1" customHeight="1">
      <c r="A389" s="171" t="s">
        <v>1339</v>
      </c>
      <c r="B389" s="175">
        <v>46064</v>
      </c>
      <c r="C389" s="171" t="s">
        <v>131</v>
      </c>
      <c r="D389" s="171" t="s">
        <v>132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2400</v>
      </c>
      <c r="J389" s="175">
        <v>46062</v>
      </c>
      <c r="K389" s="171" t="s">
        <v>113</v>
      </c>
      <c r="L389" s="171" t="s">
        <v>114</v>
      </c>
      <c r="M389" s="178">
        <v>0.43</v>
      </c>
      <c r="N389" s="176"/>
      <c r="O389" s="176"/>
      <c r="P389" s="179">
        <v>-1032</v>
      </c>
    </row>
    <row r="390" spans="1:16" ht="19.5" hidden="1" customHeight="1">
      <c r="A390" s="171" t="s">
        <v>1339</v>
      </c>
      <c r="B390" s="175">
        <v>46064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2400</v>
      </c>
      <c r="J390" s="175">
        <v>46062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-25</v>
      </c>
    </row>
    <row r="391" spans="1:16" ht="19.5" hidden="1" customHeight="1">
      <c r="A391" s="171" t="s">
        <v>1340</v>
      </c>
      <c r="B391" s="175">
        <v>46064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2400</v>
      </c>
      <c r="J391" s="175">
        <v>46061</v>
      </c>
      <c r="K391" s="171" t="s">
        <v>113</v>
      </c>
      <c r="L391" s="171" t="s">
        <v>114</v>
      </c>
      <c r="M391" s="178">
        <v>0.43</v>
      </c>
      <c r="N391" s="176"/>
      <c r="O391" s="176">
        <v>45</v>
      </c>
      <c r="P391" s="179">
        <v>-156.84</v>
      </c>
    </row>
    <row r="392" spans="1:16" ht="19.5" hidden="1" customHeight="1">
      <c r="A392" s="171" t="s">
        <v>1340</v>
      </c>
      <c r="B392" s="175">
        <v>46064</v>
      </c>
      <c r="C392" s="171" t="s">
        <v>127</v>
      </c>
      <c r="D392" s="171" t="s">
        <v>128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2400</v>
      </c>
      <c r="J392" s="175">
        <v>46061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1134.98</v>
      </c>
    </row>
    <row r="393" spans="1:16" ht="19.5" hidden="1" customHeight="1">
      <c r="A393" s="171" t="s">
        <v>1340</v>
      </c>
      <c r="B393" s="175">
        <v>46064</v>
      </c>
      <c r="C393" s="171" t="s">
        <v>127</v>
      </c>
      <c r="D393" s="171" t="s">
        <v>129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2400</v>
      </c>
      <c r="J393" s="175">
        <v>46061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11.35</v>
      </c>
    </row>
    <row r="394" spans="1:16" ht="19.5" hidden="1" customHeight="1">
      <c r="A394" s="171" t="s">
        <v>1340</v>
      </c>
      <c r="B394" s="175">
        <v>46064</v>
      </c>
      <c r="C394" s="171" t="s">
        <v>127</v>
      </c>
      <c r="D394" s="171" t="s">
        <v>130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2400</v>
      </c>
      <c r="J394" s="175">
        <v>46061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1253.67</v>
      </c>
    </row>
    <row r="395" spans="1:16" ht="19.5" hidden="1" customHeight="1">
      <c r="A395" s="171" t="s">
        <v>1340</v>
      </c>
      <c r="B395" s="175">
        <v>46064</v>
      </c>
      <c r="C395" s="171" t="s">
        <v>131</v>
      </c>
      <c r="D395" s="171" t="s">
        <v>132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2400</v>
      </c>
      <c r="J395" s="175">
        <v>46061</v>
      </c>
      <c r="K395" s="171" t="s">
        <v>113</v>
      </c>
      <c r="L395" s="171" t="s">
        <v>114</v>
      </c>
      <c r="M395" s="178">
        <v>0.43</v>
      </c>
      <c r="N395" s="176"/>
      <c r="O395" s="176"/>
      <c r="P395" s="179">
        <v>-1032</v>
      </c>
    </row>
    <row r="396" spans="1:16" ht="19.5" hidden="1" customHeight="1">
      <c r="A396" s="171" t="s">
        <v>1340</v>
      </c>
      <c r="B396" s="175">
        <v>46064</v>
      </c>
      <c r="C396" s="171" t="s">
        <v>115</v>
      </c>
      <c r="D396" s="171" t="s">
        <v>116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2400</v>
      </c>
      <c r="J396" s="175">
        <v>46061</v>
      </c>
      <c r="K396" s="171" t="s">
        <v>113</v>
      </c>
      <c r="L396" s="171" t="s">
        <v>114</v>
      </c>
      <c r="M396" s="178">
        <v>0.43</v>
      </c>
      <c r="N396" s="176"/>
      <c r="O396" s="176"/>
      <c r="P396" s="179">
        <v>-25</v>
      </c>
    </row>
    <row r="397" spans="1:16" ht="19.5" hidden="1" customHeight="1">
      <c r="A397" s="171" t="s">
        <v>1338</v>
      </c>
      <c r="B397" s="175">
        <v>46064</v>
      </c>
      <c r="C397" s="171" t="s">
        <v>110</v>
      </c>
      <c r="D397" s="171" t="s">
        <v>117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46060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hidden="1" customHeight="1">
      <c r="A398" s="171" t="s">
        <v>1338</v>
      </c>
      <c r="B398" s="175">
        <v>46064</v>
      </c>
      <c r="C398" s="171" t="s">
        <v>110</v>
      </c>
      <c r="D398" s="171" t="s">
        <v>118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46060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-46.77</v>
      </c>
    </row>
    <row r="399" spans="1:16" ht="19.5" hidden="1" customHeight="1">
      <c r="A399" s="171" t="s">
        <v>1338</v>
      </c>
      <c r="B399" s="175">
        <v>46064</v>
      </c>
      <c r="C399" s="171" t="s">
        <v>115</v>
      </c>
      <c r="D399" s="171" t="s">
        <v>119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0</v>
      </c>
      <c r="J399" s="175">
        <v>46060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hidden="1" customHeight="1">
      <c r="A400" s="171" t="s">
        <v>1339</v>
      </c>
      <c r="B400" s="175">
        <v>46064</v>
      </c>
      <c r="C400" s="171" t="s">
        <v>115</v>
      </c>
      <c r="D400" s="171" t="s">
        <v>135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0</v>
      </c>
      <c r="J400" s="175">
        <v>46062</v>
      </c>
      <c r="K400" s="171" t="s">
        <v>125</v>
      </c>
      <c r="L400" s="171" t="s">
        <v>125</v>
      </c>
      <c r="M400" s="178">
        <v>0</v>
      </c>
      <c r="N400" s="176"/>
      <c r="O400" s="176"/>
      <c r="P400" s="179">
        <v>-18.079999999999998</v>
      </c>
    </row>
    <row r="401" spans="1:16" ht="19.5" hidden="1" customHeight="1">
      <c r="A401" s="171" t="s">
        <v>1340</v>
      </c>
      <c r="B401" s="175">
        <v>46064</v>
      </c>
      <c r="C401" s="171" t="s">
        <v>115</v>
      </c>
      <c r="D401" s="171" t="s">
        <v>135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0</v>
      </c>
      <c r="J401" s="175">
        <v>46061</v>
      </c>
      <c r="K401" s="171" t="s">
        <v>125</v>
      </c>
      <c r="L401" s="171" t="s">
        <v>125</v>
      </c>
      <c r="M401" s="178">
        <v>0</v>
      </c>
      <c r="N401" s="176"/>
      <c r="O401" s="176"/>
      <c r="P401" s="179">
        <v>-21.56</v>
      </c>
    </row>
    <row r="402" spans="1:16" ht="19.5" hidden="1" customHeight="1">
      <c r="A402" s="171" t="s">
        <v>1341</v>
      </c>
      <c r="B402" s="175">
        <v>46064</v>
      </c>
      <c r="C402" s="171" t="s">
        <v>110</v>
      </c>
      <c r="D402" s="171" t="s">
        <v>24</v>
      </c>
      <c r="E402" s="171" t="s">
        <v>70</v>
      </c>
      <c r="F402" s="171" t="s">
        <v>509</v>
      </c>
      <c r="G402" s="171" t="s">
        <v>177</v>
      </c>
      <c r="H402" s="176">
        <v>1</v>
      </c>
      <c r="I402" s="177">
        <v>5300</v>
      </c>
      <c r="J402" s="175">
        <v>46059</v>
      </c>
      <c r="K402" s="171" t="s">
        <v>113</v>
      </c>
      <c r="L402" s="171" t="s">
        <v>114</v>
      </c>
      <c r="M402" s="178">
        <v>0.43</v>
      </c>
      <c r="N402" s="176"/>
      <c r="O402" s="176">
        <v>42</v>
      </c>
      <c r="P402" s="179">
        <v>-240.45</v>
      </c>
    </row>
    <row r="403" spans="1:16" ht="19.5" hidden="1" customHeight="1">
      <c r="A403" s="171" t="s">
        <v>1341</v>
      </c>
      <c r="B403" s="175">
        <v>46064</v>
      </c>
      <c r="C403" s="171" t="s">
        <v>127</v>
      </c>
      <c r="D403" s="171" t="s">
        <v>128</v>
      </c>
      <c r="E403" s="171" t="s">
        <v>70</v>
      </c>
      <c r="F403" s="171" t="s">
        <v>509</v>
      </c>
      <c r="G403" s="171" t="s">
        <v>177</v>
      </c>
      <c r="H403" s="176">
        <v>1</v>
      </c>
      <c r="I403" s="177">
        <v>5300</v>
      </c>
      <c r="J403" s="175">
        <v>46059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2409.52</v>
      </c>
    </row>
    <row r="404" spans="1:16" ht="19.5" hidden="1" customHeight="1">
      <c r="A404" s="171" t="s">
        <v>1341</v>
      </c>
      <c r="B404" s="175">
        <v>46064</v>
      </c>
      <c r="C404" s="171" t="s">
        <v>127</v>
      </c>
      <c r="D404" s="171" t="s">
        <v>129</v>
      </c>
      <c r="E404" s="171" t="s">
        <v>70</v>
      </c>
      <c r="F404" s="171" t="s">
        <v>509</v>
      </c>
      <c r="G404" s="171" t="s">
        <v>177</v>
      </c>
      <c r="H404" s="176">
        <v>1</v>
      </c>
      <c r="I404" s="177">
        <v>5300</v>
      </c>
      <c r="J404" s="175">
        <v>46059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0</v>
      </c>
    </row>
    <row r="405" spans="1:16" ht="19.5" hidden="1" customHeight="1">
      <c r="A405" s="171" t="s">
        <v>1341</v>
      </c>
      <c r="B405" s="175">
        <v>46064</v>
      </c>
      <c r="C405" s="171" t="s">
        <v>127</v>
      </c>
      <c r="D405" s="171" t="s">
        <v>130</v>
      </c>
      <c r="E405" s="171" t="s">
        <v>70</v>
      </c>
      <c r="F405" s="171" t="s">
        <v>509</v>
      </c>
      <c r="G405" s="171" t="s">
        <v>177</v>
      </c>
      <c r="H405" s="176">
        <v>1</v>
      </c>
      <c r="I405" s="177">
        <v>5300</v>
      </c>
      <c r="J405" s="175">
        <v>46059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2890.48</v>
      </c>
    </row>
    <row r="406" spans="1:16" ht="19.5" hidden="1" customHeight="1">
      <c r="A406" s="171" t="s">
        <v>1341</v>
      </c>
      <c r="B406" s="175">
        <v>46064</v>
      </c>
      <c r="C406" s="171" t="s">
        <v>131</v>
      </c>
      <c r="D406" s="171" t="s">
        <v>132</v>
      </c>
      <c r="E406" s="171" t="s">
        <v>70</v>
      </c>
      <c r="F406" s="171" t="s">
        <v>509</v>
      </c>
      <c r="G406" s="171" t="s">
        <v>177</v>
      </c>
      <c r="H406" s="176">
        <v>1</v>
      </c>
      <c r="I406" s="177">
        <v>5300</v>
      </c>
      <c r="J406" s="175">
        <v>46059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-2279</v>
      </c>
    </row>
    <row r="407" spans="1:16" ht="19.5" hidden="1" customHeight="1">
      <c r="A407" s="171" t="s">
        <v>1341</v>
      </c>
      <c r="B407" s="175">
        <v>46064</v>
      </c>
      <c r="C407" s="171" t="s">
        <v>115</v>
      </c>
      <c r="D407" s="171" t="s">
        <v>116</v>
      </c>
      <c r="E407" s="171" t="s">
        <v>70</v>
      </c>
      <c r="F407" s="171" t="s">
        <v>509</v>
      </c>
      <c r="G407" s="171" t="s">
        <v>177</v>
      </c>
      <c r="H407" s="176">
        <v>1</v>
      </c>
      <c r="I407" s="177">
        <v>5300</v>
      </c>
      <c r="J407" s="175">
        <v>46059</v>
      </c>
      <c r="K407" s="171" t="s">
        <v>113</v>
      </c>
      <c r="L407" s="171" t="s">
        <v>114</v>
      </c>
      <c r="M407" s="178">
        <v>0.43</v>
      </c>
      <c r="N407" s="176"/>
      <c r="O407" s="176"/>
      <c r="P407" s="179">
        <v>-14.77</v>
      </c>
    </row>
    <row r="408" spans="1:16" ht="19.5" hidden="1" customHeight="1">
      <c r="A408" s="171" t="s">
        <v>1342</v>
      </c>
      <c r="B408" s="175">
        <v>46064</v>
      </c>
      <c r="C408" s="171" t="s">
        <v>110</v>
      </c>
      <c r="D408" s="171" t="s">
        <v>24</v>
      </c>
      <c r="E408" s="171" t="s">
        <v>77</v>
      </c>
      <c r="F408" s="171" t="s">
        <v>194</v>
      </c>
      <c r="G408" s="171" t="s">
        <v>177</v>
      </c>
      <c r="H408" s="176">
        <v>1</v>
      </c>
      <c r="I408" s="177">
        <v>4136</v>
      </c>
      <c r="J408" s="175">
        <v>46050</v>
      </c>
      <c r="K408" s="171" t="s">
        <v>113</v>
      </c>
      <c r="L408" s="171" t="s">
        <v>114</v>
      </c>
      <c r="M408" s="178">
        <v>0.43</v>
      </c>
      <c r="N408" s="176"/>
      <c r="O408" s="176">
        <v>50</v>
      </c>
      <c r="P408" s="179">
        <v>-257.38</v>
      </c>
    </row>
    <row r="409" spans="1:16" ht="19.5" hidden="1" customHeight="1">
      <c r="A409" s="171" t="s">
        <v>1342</v>
      </c>
      <c r="B409" s="175">
        <v>46064</v>
      </c>
      <c r="C409" s="171" t="s">
        <v>127</v>
      </c>
      <c r="D409" s="171" t="s">
        <v>128</v>
      </c>
      <c r="E409" s="171" t="s">
        <v>77</v>
      </c>
      <c r="F409" s="171" t="s">
        <v>194</v>
      </c>
      <c r="G409" s="171" t="s">
        <v>177</v>
      </c>
      <c r="H409" s="176">
        <v>1</v>
      </c>
      <c r="I409" s="177">
        <v>4136</v>
      </c>
      <c r="J409" s="175">
        <v>46050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1449.52</v>
      </c>
    </row>
    <row r="410" spans="1:16" ht="19.5" hidden="1" customHeight="1">
      <c r="A410" s="171" t="s">
        <v>1342</v>
      </c>
      <c r="B410" s="175">
        <v>46064</v>
      </c>
      <c r="C410" s="171" t="s">
        <v>127</v>
      </c>
      <c r="D410" s="171" t="s">
        <v>129</v>
      </c>
      <c r="E410" s="171" t="s">
        <v>77</v>
      </c>
      <c r="F410" s="171" t="s">
        <v>194</v>
      </c>
      <c r="G410" s="171" t="s">
        <v>177</v>
      </c>
      <c r="H410" s="176">
        <v>1</v>
      </c>
      <c r="I410" s="177">
        <v>4136</v>
      </c>
      <c r="J410" s="175">
        <v>46050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14.5</v>
      </c>
    </row>
    <row r="411" spans="1:16" ht="19.5" hidden="1" customHeight="1">
      <c r="A411" s="171" t="s">
        <v>1342</v>
      </c>
      <c r="B411" s="175">
        <v>46064</v>
      </c>
      <c r="C411" s="171" t="s">
        <v>127</v>
      </c>
      <c r="D411" s="171" t="s">
        <v>130</v>
      </c>
      <c r="E411" s="171" t="s">
        <v>77</v>
      </c>
      <c r="F411" s="171" t="s">
        <v>194</v>
      </c>
      <c r="G411" s="171" t="s">
        <v>177</v>
      </c>
      <c r="H411" s="176">
        <v>1</v>
      </c>
      <c r="I411" s="177">
        <v>4136</v>
      </c>
      <c r="J411" s="175">
        <v>46050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2671.98</v>
      </c>
    </row>
    <row r="412" spans="1:16" ht="19.5" hidden="1" customHeight="1">
      <c r="A412" s="171" t="s">
        <v>1342</v>
      </c>
      <c r="B412" s="175">
        <v>46064</v>
      </c>
      <c r="C412" s="171" t="s">
        <v>131</v>
      </c>
      <c r="D412" s="171" t="s">
        <v>132</v>
      </c>
      <c r="E412" s="171" t="s">
        <v>77</v>
      </c>
      <c r="F412" s="171" t="s">
        <v>194</v>
      </c>
      <c r="G412" s="171" t="s">
        <v>177</v>
      </c>
      <c r="H412" s="176">
        <v>1</v>
      </c>
      <c r="I412" s="177">
        <v>4136</v>
      </c>
      <c r="J412" s="175">
        <v>46050</v>
      </c>
      <c r="K412" s="171" t="s">
        <v>113</v>
      </c>
      <c r="L412" s="171" t="s">
        <v>114</v>
      </c>
      <c r="M412" s="178">
        <v>0.43</v>
      </c>
      <c r="N412" s="176"/>
      <c r="O412" s="176"/>
      <c r="P412" s="179">
        <v>-1778.48</v>
      </c>
    </row>
    <row r="413" spans="1:16" ht="19.5" hidden="1" customHeight="1">
      <c r="A413" s="171" t="s">
        <v>1342</v>
      </c>
      <c r="B413" s="175">
        <v>46064</v>
      </c>
      <c r="C413" s="171" t="s">
        <v>115</v>
      </c>
      <c r="D413" s="171" t="s">
        <v>116</v>
      </c>
      <c r="E413" s="171" t="s">
        <v>77</v>
      </c>
      <c r="F413" s="171" t="s">
        <v>194</v>
      </c>
      <c r="G413" s="171" t="s">
        <v>177</v>
      </c>
      <c r="H413" s="176">
        <v>1</v>
      </c>
      <c r="I413" s="177">
        <v>4136</v>
      </c>
      <c r="J413" s="175">
        <v>46050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-16.3</v>
      </c>
    </row>
    <row r="414" spans="1:16" ht="19.5" hidden="1" customHeight="1">
      <c r="A414" s="171" t="s">
        <v>1341</v>
      </c>
      <c r="B414" s="175">
        <v>46064</v>
      </c>
      <c r="C414" s="171" t="s">
        <v>115</v>
      </c>
      <c r="D414" s="171" t="s">
        <v>135</v>
      </c>
      <c r="E414" s="171" t="s">
        <v>70</v>
      </c>
      <c r="F414" s="171" t="s">
        <v>509</v>
      </c>
      <c r="G414" s="171" t="s">
        <v>177</v>
      </c>
      <c r="H414" s="176">
        <v>1</v>
      </c>
      <c r="I414" s="177">
        <v>0</v>
      </c>
      <c r="J414" s="175">
        <v>46059</v>
      </c>
      <c r="K414" s="171" t="s">
        <v>125</v>
      </c>
      <c r="L414" s="171" t="s">
        <v>125</v>
      </c>
      <c r="M414" s="178">
        <v>0</v>
      </c>
      <c r="N414" s="176"/>
      <c r="O414" s="176"/>
      <c r="P414" s="179">
        <v>-13.49</v>
      </c>
    </row>
    <row r="415" spans="1:16" ht="19.5" hidden="1" customHeight="1">
      <c r="A415" s="171" t="s">
        <v>1342</v>
      </c>
      <c r="B415" s="175">
        <v>46064</v>
      </c>
      <c r="C415" s="171" t="s">
        <v>115</v>
      </c>
      <c r="D415" s="171" t="s">
        <v>135</v>
      </c>
      <c r="E415" s="171" t="s">
        <v>77</v>
      </c>
      <c r="F415" s="171" t="s">
        <v>194</v>
      </c>
      <c r="G415" s="171" t="s">
        <v>177</v>
      </c>
      <c r="H415" s="176">
        <v>1</v>
      </c>
      <c r="I415" s="177">
        <v>0</v>
      </c>
      <c r="J415" s="175">
        <v>46050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-27.54</v>
      </c>
    </row>
    <row r="416" spans="1:16" ht="19.5" hidden="1" customHeight="1">
      <c r="A416" s="171" t="s">
        <v>1343</v>
      </c>
      <c r="B416" s="175">
        <v>46064</v>
      </c>
      <c r="C416" s="171" t="s">
        <v>115</v>
      </c>
      <c r="D416" s="171" t="s">
        <v>135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0</v>
      </c>
      <c r="J416" s="175">
        <v>46064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-7.16</v>
      </c>
    </row>
    <row r="417" spans="1:16" ht="19.5" hidden="1" customHeight="1">
      <c r="A417" s="171" t="s">
        <v>1344</v>
      </c>
      <c r="B417" s="175">
        <v>46064</v>
      </c>
      <c r="C417" s="171" t="s">
        <v>115</v>
      </c>
      <c r="D417" s="171" t="s">
        <v>135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0</v>
      </c>
      <c r="J417" s="175">
        <v>46064</v>
      </c>
      <c r="K417" s="171" t="s">
        <v>125</v>
      </c>
      <c r="L417" s="171" t="s">
        <v>125</v>
      </c>
      <c r="M417" s="178">
        <v>0</v>
      </c>
      <c r="N417" s="176"/>
      <c r="O417" s="176"/>
      <c r="P417" s="179">
        <v>-12.06</v>
      </c>
    </row>
    <row r="418" spans="1:16" ht="19.5" hidden="1" customHeight="1">
      <c r="A418" s="171" t="s">
        <v>1345</v>
      </c>
      <c r="B418" s="175">
        <v>46064</v>
      </c>
      <c r="C418" s="171" t="s">
        <v>110</v>
      </c>
      <c r="D418" s="171" t="s">
        <v>24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0</v>
      </c>
      <c r="J418" s="175">
        <v>46059</v>
      </c>
      <c r="K418" s="171" t="s">
        <v>113</v>
      </c>
      <c r="L418" s="171" t="s">
        <v>114</v>
      </c>
      <c r="M418" s="178">
        <v>0</v>
      </c>
      <c r="N418" s="176"/>
      <c r="O418" s="176">
        <v>42</v>
      </c>
      <c r="P418" s="179">
        <v>-46.77</v>
      </c>
    </row>
    <row r="419" spans="1:16" ht="19.5" hidden="1" customHeight="1">
      <c r="A419" s="171" t="s">
        <v>1345</v>
      </c>
      <c r="B419" s="175">
        <v>46064</v>
      </c>
      <c r="C419" s="171" t="s">
        <v>115</v>
      </c>
      <c r="D419" s="171" t="s">
        <v>116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46059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-14.92</v>
      </c>
    </row>
    <row r="420" spans="1:16" ht="19.5" hidden="1" customHeight="1">
      <c r="A420" s="171" t="s">
        <v>1345</v>
      </c>
      <c r="B420" s="175">
        <v>46064</v>
      </c>
      <c r="C420" s="171" t="s">
        <v>110</v>
      </c>
      <c r="D420" s="171" t="s">
        <v>117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46059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0</v>
      </c>
    </row>
    <row r="421" spans="1:16" ht="19.5" hidden="1" customHeight="1">
      <c r="A421" s="171" t="s">
        <v>1345</v>
      </c>
      <c r="B421" s="175">
        <v>46064</v>
      </c>
      <c r="C421" s="171" t="s">
        <v>110</v>
      </c>
      <c r="D421" s="171" t="s">
        <v>118</v>
      </c>
      <c r="E421" s="171" t="s">
        <v>38</v>
      </c>
      <c r="F421" s="171" t="s">
        <v>111</v>
      </c>
      <c r="G421" s="171" t="s">
        <v>112</v>
      </c>
      <c r="H421" s="176">
        <v>1</v>
      </c>
      <c r="I421" s="177">
        <v>0</v>
      </c>
      <c r="J421" s="175">
        <v>46059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-46.77</v>
      </c>
    </row>
    <row r="422" spans="1:16" ht="19.5" hidden="1" customHeight="1">
      <c r="A422" s="171" t="s">
        <v>1346</v>
      </c>
      <c r="B422" s="175">
        <v>46064</v>
      </c>
      <c r="C422" s="171" t="s">
        <v>110</v>
      </c>
      <c r="D422" s="171" t="s">
        <v>24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4687</v>
      </c>
      <c r="J422" s="175">
        <v>46056</v>
      </c>
      <c r="K422" s="171" t="s">
        <v>113</v>
      </c>
      <c r="L422" s="171" t="s">
        <v>114</v>
      </c>
      <c r="M422" s="178">
        <v>0.43</v>
      </c>
      <c r="N422" s="176"/>
      <c r="O422" s="176">
        <v>43</v>
      </c>
      <c r="P422" s="179">
        <v>-231.71</v>
      </c>
    </row>
    <row r="423" spans="1:16" ht="19.5" hidden="1" customHeight="1">
      <c r="A423" s="171" t="s">
        <v>1346</v>
      </c>
      <c r="B423" s="175">
        <v>46064</v>
      </c>
      <c r="C423" s="171" t="s">
        <v>127</v>
      </c>
      <c r="D423" s="171" t="s">
        <v>128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4687</v>
      </c>
      <c r="J423" s="175">
        <v>46056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1779.05</v>
      </c>
    </row>
    <row r="424" spans="1:16" ht="19.5" hidden="1" customHeight="1">
      <c r="A424" s="171" t="s">
        <v>1346</v>
      </c>
      <c r="B424" s="175">
        <v>46064</v>
      </c>
      <c r="C424" s="171" t="s">
        <v>127</v>
      </c>
      <c r="D424" s="171" t="s">
        <v>129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4687</v>
      </c>
      <c r="J424" s="175">
        <v>46056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17.79</v>
      </c>
    </row>
    <row r="425" spans="1:16" ht="19.5" hidden="1" customHeight="1">
      <c r="A425" s="171" t="s">
        <v>1346</v>
      </c>
      <c r="B425" s="175">
        <v>46064</v>
      </c>
      <c r="C425" s="171" t="s">
        <v>127</v>
      </c>
      <c r="D425" s="171" t="s">
        <v>130</v>
      </c>
      <c r="E425" s="171" t="s">
        <v>70</v>
      </c>
      <c r="F425" s="171" t="s">
        <v>509</v>
      </c>
      <c r="G425" s="171" t="s">
        <v>177</v>
      </c>
      <c r="H425" s="176">
        <v>1</v>
      </c>
      <c r="I425" s="177">
        <v>4687</v>
      </c>
      <c r="J425" s="175">
        <v>46056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2890.16</v>
      </c>
    </row>
    <row r="426" spans="1:16" ht="19.5" hidden="1" customHeight="1">
      <c r="A426" s="171" t="s">
        <v>1346</v>
      </c>
      <c r="B426" s="175">
        <v>46064</v>
      </c>
      <c r="C426" s="171" t="s">
        <v>131</v>
      </c>
      <c r="D426" s="171" t="s">
        <v>132</v>
      </c>
      <c r="E426" s="171" t="s">
        <v>70</v>
      </c>
      <c r="F426" s="171" t="s">
        <v>509</v>
      </c>
      <c r="G426" s="171" t="s">
        <v>177</v>
      </c>
      <c r="H426" s="176">
        <v>1</v>
      </c>
      <c r="I426" s="177">
        <v>4687</v>
      </c>
      <c r="J426" s="175">
        <v>46056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-2015.41</v>
      </c>
    </row>
    <row r="427" spans="1:16" ht="19.5" hidden="1" customHeight="1">
      <c r="A427" s="171" t="s">
        <v>1346</v>
      </c>
      <c r="B427" s="175">
        <v>46064</v>
      </c>
      <c r="C427" s="171" t="s">
        <v>115</v>
      </c>
      <c r="D427" s="171" t="s">
        <v>116</v>
      </c>
      <c r="E427" s="171" t="s">
        <v>70</v>
      </c>
      <c r="F427" s="171" t="s">
        <v>509</v>
      </c>
      <c r="G427" s="171" t="s">
        <v>177</v>
      </c>
      <c r="H427" s="176">
        <v>1</v>
      </c>
      <c r="I427" s="177">
        <v>4687</v>
      </c>
      <c r="J427" s="175">
        <v>46056</v>
      </c>
      <c r="K427" s="171" t="s">
        <v>113</v>
      </c>
      <c r="L427" s="171" t="s">
        <v>114</v>
      </c>
      <c r="M427" s="178">
        <v>0.43</v>
      </c>
      <c r="N427" s="176"/>
      <c r="O427" s="176"/>
      <c r="P427" s="179">
        <v>-13.56</v>
      </c>
    </row>
    <row r="428" spans="1:16" ht="19.5" hidden="1" customHeight="1">
      <c r="A428" s="171" t="s">
        <v>1347</v>
      </c>
      <c r="B428" s="175">
        <v>46064</v>
      </c>
      <c r="C428" s="171" t="s">
        <v>123</v>
      </c>
      <c r="D428" s="171" t="s">
        <v>376</v>
      </c>
      <c r="E428" s="171" t="s">
        <v>125</v>
      </c>
      <c r="F428" s="171" t="s">
        <v>125</v>
      </c>
      <c r="G428" s="171" t="s">
        <v>125</v>
      </c>
      <c r="H428" s="176">
        <v>0</v>
      </c>
      <c r="I428" s="177">
        <v>0</v>
      </c>
      <c r="J428" s="175">
        <v>46056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-748.8</v>
      </c>
    </row>
    <row r="429" spans="1:16" ht="19.5" hidden="1" customHeight="1">
      <c r="A429" s="171" t="s">
        <v>1347</v>
      </c>
      <c r="B429" s="175">
        <v>46064</v>
      </c>
      <c r="C429" s="171" t="s">
        <v>123</v>
      </c>
      <c r="D429" s="171" t="s">
        <v>376</v>
      </c>
      <c r="E429" s="171" t="s">
        <v>125</v>
      </c>
      <c r="F429" s="171" t="s">
        <v>125</v>
      </c>
      <c r="G429" s="171" t="s">
        <v>125</v>
      </c>
      <c r="H429" s="176">
        <v>0</v>
      </c>
      <c r="I429" s="177">
        <v>0</v>
      </c>
      <c r="J429" s="175">
        <v>46056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-748.8</v>
      </c>
    </row>
    <row r="430" spans="1:16" ht="19.5" hidden="1" customHeight="1">
      <c r="A430" s="171" t="s">
        <v>1241</v>
      </c>
      <c r="B430" s="175">
        <v>46064</v>
      </c>
      <c r="C430" s="171" t="s">
        <v>308</v>
      </c>
      <c r="D430" s="171" t="s">
        <v>419</v>
      </c>
      <c r="E430" s="171" t="s">
        <v>71</v>
      </c>
      <c r="F430" s="171" t="s">
        <v>185</v>
      </c>
      <c r="G430" s="171" t="s">
        <v>177</v>
      </c>
      <c r="H430" s="176">
        <v>1</v>
      </c>
      <c r="I430" s="177">
        <v>-3635</v>
      </c>
      <c r="J430" s="175">
        <v>46059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-1987.68</v>
      </c>
    </row>
    <row r="431" spans="1:16" ht="19.5" hidden="1" customHeight="1">
      <c r="A431" s="171" t="s">
        <v>1241</v>
      </c>
      <c r="B431" s="175">
        <v>46064</v>
      </c>
      <c r="C431" s="171" t="s">
        <v>308</v>
      </c>
      <c r="D431" s="171" t="s">
        <v>129</v>
      </c>
      <c r="E431" s="171" t="s">
        <v>71</v>
      </c>
      <c r="F431" s="171" t="s">
        <v>185</v>
      </c>
      <c r="G431" s="171" t="s">
        <v>177</v>
      </c>
      <c r="H431" s="176">
        <v>1</v>
      </c>
      <c r="I431" s="177">
        <v>-3635</v>
      </c>
      <c r="J431" s="175">
        <v>46059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-19.88</v>
      </c>
    </row>
    <row r="432" spans="1:16" ht="19.5" hidden="1" customHeight="1">
      <c r="A432" s="171" t="s">
        <v>1241</v>
      </c>
      <c r="B432" s="175">
        <v>46064</v>
      </c>
      <c r="C432" s="171" t="s">
        <v>308</v>
      </c>
      <c r="D432" s="171" t="s">
        <v>130</v>
      </c>
      <c r="E432" s="171" t="s">
        <v>71</v>
      </c>
      <c r="F432" s="171" t="s">
        <v>185</v>
      </c>
      <c r="G432" s="171" t="s">
        <v>177</v>
      </c>
      <c r="H432" s="176">
        <v>1</v>
      </c>
      <c r="I432" s="177">
        <v>-3635</v>
      </c>
      <c r="J432" s="175">
        <v>46059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-1627.44</v>
      </c>
    </row>
    <row r="433" spans="1:16" ht="19.5" hidden="1" customHeight="1">
      <c r="A433" s="171" t="s">
        <v>1241</v>
      </c>
      <c r="B433" s="175">
        <v>46064</v>
      </c>
      <c r="C433" s="171" t="s">
        <v>131</v>
      </c>
      <c r="D433" s="171" t="s">
        <v>420</v>
      </c>
      <c r="E433" s="171" t="s">
        <v>71</v>
      </c>
      <c r="F433" s="171" t="s">
        <v>185</v>
      </c>
      <c r="G433" s="171" t="s">
        <v>177</v>
      </c>
      <c r="H433" s="176">
        <v>1</v>
      </c>
      <c r="I433" s="177">
        <v>-3635</v>
      </c>
      <c r="J433" s="175">
        <v>46059</v>
      </c>
      <c r="K433" s="171" t="s">
        <v>113</v>
      </c>
      <c r="L433" s="171" t="s">
        <v>114</v>
      </c>
      <c r="M433" s="178">
        <v>0.43</v>
      </c>
      <c r="N433" s="176"/>
      <c r="O433" s="176"/>
      <c r="P433" s="179">
        <v>1563.05</v>
      </c>
    </row>
    <row r="434" spans="1:16" ht="19.5" customHeight="1">
      <c r="A434" s="171" t="s">
        <v>1241</v>
      </c>
      <c r="B434" s="175">
        <v>46064</v>
      </c>
      <c r="C434" s="171" t="s">
        <v>1317</v>
      </c>
      <c r="D434" s="171" t="s">
        <v>508</v>
      </c>
      <c r="E434" s="171" t="s">
        <v>71</v>
      </c>
      <c r="F434" s="171" t="s">
        <v>185</v>
      </c>
      <c r="G434" s="171" t="s">
        <v>177</v>
      </c>
      <c r="H434" s="176">
        <v>1</v>
      </c>
      <c r="I434" s="177">
        <v>0</v>
      </c>
      <c r="J434" s="175">
        <v>46059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-5</v>
      </c>
    </row>
    <row r="435" spans="1:16" ht="19.5" hidden="1" customHeight="1">
      <c r="A435" s="171" t="s">
        <v>1241</v>
      </c>
      <c r="B435" s="175">
        <v>46064</v>
      </c>
      <c r="C435" s="171" t="s">
        <v>115</v>
      </c>
      <c r="D435" s="171" t="s">
        <v>510</v>
      </c>
      <c r="E435" s="171" t="s">
        <v>71</v>
      </c>
      <c r="F435" s="171" t="s">
        <v>185</v>
      </c>
      <c r="G435" s="171" t="s">
        <v>177</v>
      </c>
      <c r="H435" s="176">
        <v>1</v>
      </c>
      <c r="I435" s="177">
        <v>0</v>
      </c>
      <c r="J435" s="175">
        <v>46059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-10</v>
      </c>
    </row>
    <row r="436" spans="1:16" ht="19.5" hidden="1" customHeight="1">
      <c r="A436" s="171" t="s">
        <v>1241</v>
      </c>
      <c r="B436" s="175">
        <v>46064</v>
      </c>
      <c r="C436" s="171" t="s">
        <v>115</v>
      </c>
      <c r="D436" s="171" t="s">
        <v>135</v>
      </c>
      <c r="E436" s="171" t="s">
        <v>71</v>
      </c>
      <c r="F436" s="171" t="s">
        <v>185</v>
      </c>
      <c r="G436" s="171" t="s">
        <v>177</v>
      </c>
      <c r="H436" s="176">
        <v>1</v>
      </c>
      <c r="I436" s="177">
        <v>0</v>
      </c>
      <c r="J436" s="175">
        <v>46059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37.770000000000003</v>
      </c>
    </row>
    <row r="437" spans="1:16" ht="19.5" hidden="1" customHeight="1">
      <c r="A437" s="171" t="s">
        <v>1348</v>
      </c>
      <c r="B437" s="175">
        <v>46064</v>
      </c>
      <c r="C437" s="171" t="s">
        <v>110</v>
      </c>
      <c r="D437" s="171" t="s">
        <v>24</v>
      </c>
      <c r="E437" s="171" t="s">
        <v>77</v>
      </c>
      <c r="F437" s="171" t="s">
        <v>194</v>
      </c>
      <c r="G437" s="171" t="s">
        <v>177</v>
      </c>
      <c r="H437" s="176">
        <v>1</v>
      </c>
      <c r="I437" s="177">
        <v>5412</v>
      </c>
      <c r="J437" s="175">
        <v>46055</v>
      </c>
      <c r="K437" s="171" t="s">
        <v>113</v>
      </c>
      <c r="L437" s="171" t="s">
        <v>114</v>
      </c>
      <c r="M437" s="178">
        <v>0.43</v>
      </c>
      <c r="N437" s="176"/>
      <c r="O437" s="176">
        <v>42</v>
      </c>
      <c r="P437" s="179">
        <v>-243.64</v>
      </c>
    </row>
    <row r="438" spans="1:16" ht="19.5" hidden="1" customHeight="1">
      <c r="A438" s="171" t="s">
        <v>1348</v>
      </c>
      <c r="B438" s="175">
        <v>46064</v>
      </c>
      <c r="C438" s="171" t="s">
        <v>127</v>
      </c>
      <c r="D438" s="171" t="s">
        <v>128</v>
      </c>
      <c r="E438" s="171" t="s">
        <v>77</v>
      </c>
      <c r="F438" s="171" t="s">
        <v>194</v>
      </c>
      <c r="G438" s="171" t="s">
        <v>177</v>
      </c>
      <c r="H438" s="176">
        <v>1</v>
      </c>
      <c r="I438" s="177">
        <v>5412</v>
      </c>
      <c r="J438" s="175">
        <v>46055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1896.19</v>
      </c>
    </row>
    <row r="439" spans="1:16" ht="19.5" hidden="1" customHeight="1">
      <c r="A439" s="171" t="s">
        <v>1348</v>
      </c>
      <c r="B439" s="175">
        <v>46064</v>
      </c>
      <c r="C439" s="171" t="s">
        <v>127</v>
      </c>
      <c r="D439" s="171" t="s">
        <v>129</v>
      </c>
      <c r="E439" s="171" t="s">
        <v>77</v>
      </c>
      <c r="F439" s="171" t="s">
        <v>194</v>
      </c>
      <c r="G439" s="171" t="s">
        <v>177</v>
      </c>
      <c r="H439" s="176">
        <v>1</v>
      </c>
      <c r="I439" s="177">
        <v>5412</v>
      </c>
      <c r="J439" s="175">
        <v>46055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18.96</v>
      </c>
    </row>
    <row r="440" spans="1:16" ht="19.5" hidden="1" customHeight="1">
      <c r="A440" s="171" t="s">
        <v>1348</v>
      </c>
      <c r="B440" s="175">
        <v>46064</v>
      </c>
      <c r="C440" s="171" t="s">
        <v>127</v>
      </c>
      <c r="D440" s="171" t="s">
        <v>130</v>
      </c>
      <c r="E440" s="171" t="s">
        <v>77</v>
      </c>
      <c r="F440" s="171" t="s">
        <v>194</v>
      </c>
      <c r="G440" s="171" t="s">
        <v>177</v>
      </c>
      <c r="H440" s="176">
        <v>1</v>
      </c>
      <c r="I440" s="177">
        <v>5412</v>
      </c>
      <c r="J440" s="175">
        <v>46055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3496.85</v>
      </c>
    </row>
    <row r="441" spans="1:16" ht="19.5" hidden="1" customHeight="1">
      <c r="A441" s="171" t="s">
        <v>1348</v>
      </c>
      <c r="B441" s="175">
        <v>46064</v>
      </c>
      <c r="C441" s="171" t="s">
        <v>131</v>
      </c>
      <c r="D441" s="171" t="s">
        <v>132</v>
      </c>
      <c r="E441" s="171" t="s">
        <v>77</v>
      </c>
      <c r="F441" s="171" t="s">
        <v>194</v>
      </c>
      <c r="G441" s="171" t="s">
        <v>177</v>
      </c>
      <c r="H441" s="176">
        <v>1</v>
      </c>
      <c r="I441" s="177">
        <v>5412</v>
      </c>
      <c r="J441" s="175">
        <v>46055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-2327.16</v>
      </c>
    </row>
    <row r="442" spans="1:16" ht="19.5" hidden="1" customHeight="1">
      <c r="A442" s="171" t="s">
        <v>1348</v>
      </c>
      <c r="B442" s="175">
        <v>46064</v>
      </c>
      <c r="C442" s="171" t="s">
        <v>115</v>
      </c>
      <c r="D442" s="171" t="s">
        <v>116</v>
      </c>
      <c r="E442" s="171" t="s">
        <v>77</v>
      </c>
      <c r="F442" s="171" t="s">
        <v>194</v>
      </c>
      <c r="G442" s="171" t="s">
        <v>177</v>
      </c>
      <c r="H442" s="176">
        <v>1</v>
      </c>
      <c r="I442" s="177">
        <v>5412</v>
      </c>
      <c r="J442" s="175">
        <v>46055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-13.97</v>
      </c>
    </row>
    <row r="443" spans="1:16" ht="19.5" hidden="1" customHeight="1">
      <c r="A443" s="171" t="s">
        <v>1348</v>
      </c>
      <c r="B443" s="175">
        <v>46064</v>
      </c>
      <c r="C443" s="171" t="s">
        <v>115</v>
      </c>
      <c r="D443" s="171" t="s">
        <v>135</v>
      </c>
      <c r="E443" s="171" t="s">
        <v>77</v>
      </c>
      <c r="F443" s="171" t="s">
        <v>194</v>
      </c>
      <c r="G443" s="171" t="s">
        <v>177</v>
      </c>
      <c r="H443" s="176">
        <v>1</v>
      </c>
      <c r="I443" s="177">
        <v>0</v>
      </c>
      <c r="J443" s="175">
        <v>46055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-36.03</v>
      </c>
    </row>
    <row r="444" spans="1:16" ht="19.5" hidden="1" customHeight="1">
      <c r="A444" s="171" t="s">
        <v>1349</v>
      </c>
      <c r="B444" s="175">
        <v>46064</v>
      </c>
      <c r="C444" s="171" t="s">
        <v>115</v>
      </c>
      <c r="D444" s="171" t="s">
        <v>135</v>
      </c>
      <c r="E444" s="171" t="s">
        <v>77</v>
      </c>
      <c r="F444" s="171" t="s">
        <v>194</v>
      </c>
      <c r="G444" s="171" t="s">
        <v>177</v>
      </c>
      <c r="H444" s="176">
        <v>1</v>
      </c>
      <c r="I444" s="177">
        <v>0</v>
      </c>
      <c r="J444" s="175">
        <v>46064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-48.4</v>
      </c>
    </row>
    <row r="445" spans="1:16" ht="19.5" hidden="1" customHeight="1">
      <c r="A445" s="171" t="s">
        <v>1350</v>
      </c>
      <c r="B445" s="175">
        <v>46064</v>
      </c>
      <c r="C445" s="171" t="s">
        <v>110</v>
      </c>
      <c r="D445" s="171" t="s">
        <v>24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46054</v>
      </c>
      <c r="K445" s="171" t="s">
        <v>113</v>
      </c>
      <c r="L445" s="171" t="s">
        <v>114</v>
      </c>
      <c r="M445" s="178">
        <v>0.43</v>
      </c>
      <c r="N445" s="176"/>
      <c r="O445" s="176">
        <v>42</v>
      </c>
      <c r="P445" s="179">
        <v>-124.73</v>
      </c>
    </row>
    <row r="446" spans="1:16" ht="19.5" hidden="1" customHeight="1">
      <c r="A446" s="171" t="s">
        <v>1350</v>
      </c>
      <c r="B446" s="175">
        <v>46064</v>
      </c>
      <c r="C446" s="171" t="s">
        <v>127</v>
      </c>
      <c r="D446" s="171" t="s">
        <v>128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46054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824.14</v>
      </c>
    </row>
    <row r="447" spans="1:16" ht="19.5" hidden="1" customHeight="1">
      <c r="A447" s="171" t="s">
        <v>1350</v>
      </c>
      <c r="B447" s="175">
        <v>46064</v>
      </c>
      <c r="C447" s="171" t="s">
        <v>127</v>
      </c>
      <c r="D447" s="171" t="s">
        <v>129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46054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8.24</v>
      </c>
    </row>
    <row r="448" spans="1:16" ht="19.5" hidden="1" customHeight="1">
      <c r="A448" s="171" t="s">
        <v>1350</v>
      </c>
      <c r="B448" s="175">
        <v>46064</v>
      </c>
      <c r="C448" s="171" t="s">
        <v>127</v>
      </c>
      <c r="D448" s="171" t="s">
        <v>130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46054</v>
      </c>
      <c r="K448" s="171" t="s">
        <v>113</v>
      </c>
      <c r="L448" s="171" t="s">
        <v>114</v>
      </c>
      <c r="M448" s="178">
        <v>0</v>
      </c>
      <c r="N448" s="176"/>
      <c r="O448" s="176"/>
      <c r="P448" s="179">
        <v>967.62</v>
      </c>
    </row>
    <row r="449" spans="1:16" ht="19.5" hidden="1" customHeight="1">
      <c r="A449" s="171" t="s">
        <v>1350</v>
      </c>
      <c r="B449" s="175">
        <v>46064</v>
      </c>
      <c r="C449" s="171" t="s">
        <v>131</v>
      </c>
      <c r="D449" s="171" t="s">
        <v>132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1800</v>
      </c>
      <c r="J449" s="175">
        <v>46054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-774</v>
      </c>
    </row>
    <row r="450" spans="1:16" ht="19.5" hidden="1" customHeight="1">
      <c r="A450" s="171" t="s">
        <v>1350</v>
      </c>
      <c r="B450" s="175">
        <v>46064</v>
      </c>
      <c r="C450" s="171" t="s">
        <v>115</v>
      </c>
      <c r="D450" s="171" t="s">
        <v>116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1800</v>
      </c>
      <c r="J450" s="175">
        <v>46054</v>
      </c>
      <c r="K450" s="171" t="s">
        <v>113</v>
      </c>
      <c r="L450" s="171" t="s">
        <v>114</v>
      </c>
      <c r="M450" s="178">
        <v>0.43</v>
      </c>
      <c r="N450" s="176"/>
      <c r="O450" s="176"/>
      <c r="P450" s="179">
        <v>-1.25</v>
      </c>
    </row>
    <row r="451" spans="1:16" ht="19.5" hidden="1" customHeight="1">
      <c r="A451" s="171" t="s">
        <v>858</v>
      </c>
      <c r="B451" s="175">
        <v>46064</v>
      </c>
      <c r="C451" s="171" t="s">
        <v>115</v>
      </c>
      <c r="D451" s="171" t="s">
        <v>135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0</v>
      </c>
      <c r="J451" s="175">
        <v>46051</v>
      </c>
      <c r="K451" s="171" t="s">
        <v>125</v>
      </c>
      <c r="L451" s="171" t="s">
        <v>125</v>
      </c>
      <c r="M451" s="178">
        <v>0</v>
      </c>
      <c r="N451" s="176"/>
      <c r="O451" s="176"/>
      <c r="P451" s="179">
        <v>27.38</v>
      </c>
    </row>
    <row r="452" spans="1:16" ht="19.5" hidden="1" customHeight="1">
      <c r="A452" s="171" t="s">
        <v>1351</v>
      </c>
      <c r="B452" s="175">
        <v>46064</v>
      </c>
      <c r="C452" s="171" t="s">
        <v>115</v>
      </c>
      <c r="D452" s="171" t="s">
        <v>135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46064</v>
      </c>
      <c r="K452" s="171" t="s">
        <v>125</v>
      </c>
      <c r="L452" s="171" t="s">
        <v>125</v>
      </c>
      <c r="M452" s="178">
        <v>0</v>
      </c>
      <c r="N452" s="176"/>
      <c r="O452" s="176"/>
      <c r="P452" s="179">
        <v>-22.8</v>
      </c>
    </row>
    <row r="453" spans="1:16" ht="19.5" hidden="1" customHeight="1">
      <c r="A453" s="171" t="s">
        <v>1352</v>
      </c>
      <c r="B453" s="175">
        <v>46064</v>
      </c>
      <c r="C453" s="171" t="s">
        <v>110</v>
      </c>
      <c r="D453" s="171" t="s">
        <v>24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5700</v>
      </c>
      <c r="J453" s="175">
        <v>46059</v>
      </c>
      <c r="K453" s="171" t="s">
        <v>113</v>
      </c>
      <c r="L453" s="171" t="s">
        <v>114</v>
      </c>
      <c r="M453" s="178">
        <v>0.43</v>
      </c>
      <c r="N453" s="176"/>
      <c r="O453" s="176">
        <v>42</v>
      </c>
      <c r="P453" s="179">
        <v>-251.85</v>
      </c>
    </row>
    <row r="454" spans="1:16" ht="19.5" hidden="1" customHeight="1">
      <c r="A454" s="171" t="s">
        <v>1352</v>
      </c>
      <c r="B454" s="175">
        <v>46064</v>
      </c>
      <c r="C454" s="171" t="s">
        <v>127</v>
      </c>
      <c r="D454" s="171" t="s">
        <v>128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5700</v>
      </c>
      <c r="J454" s="175">
        <v>46059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1974.58</v>
      </c>
    </row>
    <row r="455" spans="1:16" ht="19.5" hidden="1" customHeight="1">
      <c r="A455" s="171" t="s">
        <v>1352</v>
      </c>
      <c r="B455" s="175">
        <v>46064</v>
      </c>
      <c r="C455" s="171" t="s">
        <v>127</v>
      </c>
      <c r="D455" s="171" t="s">
        <v>129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5700</v>
      </c>
      <c r="J455" s="175">
        <v>46059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19.75</v>
      </c>
    </row>
    <row r="456" spans="1:16" ht="19.5" hidden="1" customHeight="1">
      <c r="A456" s="171" t="s">
        <v>1352</v>
      </c>
      <c r="B456" s="175">
        <v>46064</v>
      </c>
      <c r="C456" s="171" t="s">
        <v>127</v>
      </c>
      <c r="D456" s="171" t="s">
        <v>130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5700</v>
      </c>
      <c r="J456" s="175">
        <v>46059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3705.67</v>
      </c>
    </row>
    <row r="457" spans="1:16" ht="19.5" hidden="1" customHeight="1">
      <c r="A457" s="171" t="s">
        <v>1352</v>
      </c>
      <c r="B457" s="175">
        <v>46064</v>
      </c>
      <c r="C457" s="171" t="s">
        <v>131</v>
      </c>
      <c r="D457" s="171" t="s">
        <v>132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5700</v>
      </c>
      <c r="J457" s="175">
        <v>46059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-2451</v>
      </c>
    </row>
    <row r="458" spans="1:16" ht="19.5" hidden="1" customHeight="1">
      <c r="A458" s="171" t="s">
        <v>1352</v>
      </c>
      <c r="B458" s="175">
        <v>46064</v>
      </c>
      <c r="C458" s="171" t="s">
        <v>115</v>
      </c>
      <c r="D458" s="171" t="s">
        <v>116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5700</v>
      </c>
      <c r="J458" s="175">
        <v>46059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-15.06</v>
      </c>
    </row>
    <row r="459" spans="1:16" ht="19.5" hidden="1" customHeight="1">
      <c r="A459" s="171" t="s">
        <v>1352</v>
      </c>
      <c r="B459" s="175">
        <v>46064</v>
      </c>
      <c r="C459" s="171" t="s">
        <v>115</v>
      </c>
      <c r="D459" s="171" t="s">
        <v>135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46059</v>
      </c>
      <c r="K459" s="171" t="s">
        <v>125</v>
      </c>
      <c r="L459" s="171" t="s">
        <v>125</v>
      </c>
      <c r="M459" s="178">
        <v>0</v>
      </c>
      <c r="N459" s="176"/>
      <c r="O459" s="176"/>
      <c r="P459" s="179">
        <v>-37.520000000000003</v>
      </c>
    </row>
    <row r="460" spans="1:16" ht="19.5" hidden="1" customHeight="1">
      <c r="A460" s="171" t="s">
        <v>1353</v>
      </c>
      <c r="B460" s="175">
        <v>46064</v>
      </c>
      <c r="C460" s="171" t="s">
        <v>115</v>
      </c>
      <c r="D460" s="171" t="s">
        <v>135</v>
      </c>
      <c r="E460" s="171" t="s">
        <v>50</v>
      </c>
      <c r="F460" s="171" t="s">
        <v>413</v>
      </c>
      <c r="G460" s="171" t="s">
        <v>112</v>
      </c>
      <c r="H460" s="176">
        <v>1</v>
      </c>
      <c r="I460" s="177">
        <v>0</v>
      </c>
      <c r="J460" s="175">
        <v>46064</v>
      </c>
      <c r="K460" s="171" t="s">
        <v>125</v>
      </c>
      <c r="L460" s="171" t="s">
        <v>125</v>
      </c>
      <c r="M460" s="178">
        <v>0</v>
      </c>
      <c r="N460" s="176"/>
      <c r="O460" s="176"/>
      <c r="P460" s="179">
        <v>-7.85</v>
      </c>
    </row>
    <row r="461" spans="1:16" ht="19.5" hidden="1" customHeight="1">
      <c r="A461" s="171" t="s">
        <v>1354</v>
      </c>
      <c r="B461" s="175">
        <v>46064</v>
      </c>
      <c r="C461" s="171" t="s">
        <v>110</v>
      </c>
      <c r="D461" s="171" t="s">
        <v>24</v>
      </c>
      <c r="E461" s="171" t="s">
        <v>70</v>
      </c>
      <c r="F461" s="171" t="s">
        <v>509</v>
      </c>
      <c r="G461" s="171" t="s">
        <v>177</v>
      </c>
      <c r="H461" s="176">
        <v>1</v>
      </c>
      <c r="I461" s="177">
        <v>0</v>
      </c>
      <c r="J461" s="175">
        <v>46053</v>
      </c>
      <c r="K461" s="171" t="s">
        <v>113</v>
      </c>
      <c r="L461" s="171" t="s">
        <v>114</v>
      </c>
      <c r="M461" s="178">
        <v>0</v>
      </c>
      <c r="N461" s="176"/>
      <c r="O461" s="176">
        <v>48</v>
      </c>
      <c r="P461" s="179">
        <v>-56.94</v>
      </c>
    </row>
    <row r="462" spans="1:16" ht="19.5" hidden="1" customHeight="1">
      <c r="A462" s="171" t="s">
        <v>1354</v>
      </c>
      <c r="B462" s="175">
        <v>46064</v>
      </c>
      <c r="C462" s="171" t="s">
        <v>115</v>
      </c>
      <c r="D462" s="171" t="s">
        <v>116</v>
      </c>
      <c r="E462" s="171" t="s">
        <v>70</v>
      </c>
      <c r="F462" s="171" t="s">
        <v>509</v>
      </c>
      <c r="G462" s="171" t="s">
        <v>177</v>
      </c>
      <c r="H462" s="176">
        <v>1</v>
      </c>
      <c r="I462" s="177">
        <v>0</v>
      </c>
      <c r="J462" s="175">
        <v>46053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-15.5</v>
      </c>
    </row>
    <row r="463" spans="1:16" ht="19.5" hidden="1" customHeight="1">
      <c r="A463" s="171" t="s">
        <v>1354</v>
      </c>
      <c r="B463" s="175">
        <v>46064</v>
      </c>
      <c r="C463" s="171" t="s">
        <v>110</v>
      </c>
      <c r="D463" s="171" t="s">
        <v>117</v>
      </c>
      <c r="E463" s="171" t="s">
        <v>70</v>
      </c>
      <c r="F463" s="171" t="s">
        <v>509</v>
      </c>
      <c r="G463" s="171" t="s">
        <v>177</v>
      </c>
      <c r="H463" s="176">
        <v>1</v>
      </c>
      <c r="I463" s="177">
        <v>0</v>
      </c>
      <c r="J463" s="175">
        <v>46053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0</v>
      </c>
    </row>
    <row r="464" spans="1:16" ht="19.5" hidden="1" customHeight="1">
      <c r="A464" s="171" t="s">
        <v>1354</v>
      </c>
      <c r="B464" s="175">
        <v>46064</v>
      </c>
      <c r="C464" s="171" t="s">
        <v>110</v>
      </c>
      <c r="D464" s="171" t="s">
        <v>118</v>
      </c>
      <c r="E464" s="171" t="s">
        <v>70</v>
      </c>
      <c r="F464" s="171" t="s">
        <v>509</v>
      </c>
      <c r="G464" s="171" t="s">
        <v>177</v>
      </c>
      <c r="H464" s="176">
        <v>1</v>
      </c>
      <c r="I464" s="177">
        <v>0</v>
      </c>
      <c r="J464" s="175">
        <v>46053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-56.94</v>
      </c>
    </row>
    <row r="465" spans="1:16" ht="19.5" hidden="1" customHeight="1">
      <c r="A465" s="171" t="s">
        <v>1354</v>
      </c>
      <c r="B465" s="175">
        <v>46064</v>
      </c>
      <c r="C465" s="171" t="s">
        <v>115</v>
      </c>
      <c r="D465" s="171" t="s">
        <v>119</v>
      </c>
      <c r="E465" s="171" t="s">
        <v>70</v>
      </c>
      <c r="F465" s="171" t="s">
        <v>509</v>
      </c>
      <c r="G465" s="171" t="s">
        <v>177</v>
      </c>
      <c r="H465" s="176">
        <v>1</v>
      </c>
      <c r="I465" s="177">
        <v>0</v>
      </c>
      <c r="J465" s="175">
        <v>46053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-15</v>
      </c>
    </row>
    <row r="466" spans="1:16" ht="19.5" hidden="1" customHeight="1">
      <c r="A466" s="171" t="s">
        <v>1355</v>
      </c>
      <c r="B466" s="175">
        <v>46064</v>
      </c>
      <c r="C466" s="171" t="s">
        <v>110</v>
      </c>
      <c r="D466" s="171" t="s">
        <v>24</v>
      </c>
      <c r="E466" s="171" t="s">
        <v>51</v>
      </c>
      <c r="F466" s="171" t="s">
        <v>227</v>
      </c>
      <c r="G466" s="171" t="s">
        <v>112</v>
      </c>
      <c r="H466" s="176">
        <v>1</v>
      </c>
      <c r="I466" s="177">
        <v>0</v>
      </c>
      <c r="J466" s="175">
        <v>46044</v>
      </c>
      <c r="K466" s="171" t="s">
        <v>113</v>
      </c>
      <c r="L466" s="171" t="s">
        <v>114</v>
      </c>
      <c r="M466" s="178">
        <v>0</v>
      </c>
      <c r="N466" s="176"/>
      <c r="O466" s="176">
        <v>54</v>
      </c>
      <c r="P466" s="179">
        <v>-46.77</v>
      </c>
    </row>
    <row r="467" spans="1:16" ht="19.5" hidden="1" customHeight="1">
      <c r="A467" s="171" t="s">
        <v>1355</v>
      </c>
      <c r="B467" s="175">
        <v>46064</v>
      </c>
      <c r="C467" s="171" t="s">
        <v>115</v>
      </c>
      <c r="D467" s="171" t="s">
        <v>116</v>
      </c>
      <c r="E467" s="171" t="s">
        <v>51</v>
      </c>
      <c r="F467" s="171" t="s">
        <v>227</v>
      </c>
      <c r="G467" s="171" t="s">
        <v>112</v>
      </c>
      <c r="H467" s="176">
        <v>1</v>
      </c>
      <c r="I467" s="177">
        <v>0</v>
      </c>
      <c r="J467" s="175">
        <v>46044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-7.45</v>
      </c>
    </row>
    <row r="468" spans="1:16" ht="19.5" hidden="1" customHeight="1">
      <c r="A468" s="171" t="s">
        <v>1355</v>
      </c>
      <c r="B468" s="175">
        <v>46064</v>
      </c>
      <c r="C468" s="171" t="s">
        <v>110</v>
      </c>
      <c r="D468" s="171" t="s">
        <v>117</v>
      </c>
      <c r="E468" s="171" t="s">
        <v>51</v>
      </c>
      <c r="F468" s="171" t="s">
        <v>227</v>
      </c>
      <c r="G468" s="171" t="s">
        <v>112</v>
      </c>
      <c r="H468" s="176">
        <v>1</v>
      </c>
      <c r="I468" s="177">
        <v>0</v>
      </c>
      <c r="J468" s="175">
        <v>46044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0</v>
      </c>
    </row>
    <row r="469" spans="1:16" ht="19.5" hidden="1" customHeight="1">
      <c r="A469" s="171" t="s">
        <v>1355</v>
      </c>
      <c r="B469" s="175">
        <v>46064</v>
      </c>
      <c r="C469" s="171" t="s">
        <v>110</v>
      </c>
      <c r="D469" s="171" t="s">
        <v>118</v>
      </c>
      <c r="E469" s="171" t="s">
        <v>51</v>
      </c>
      <c r="F469" s="171" t="s">
        <v>227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-46.77</v>
      </c>
    </row>
    <row r="470" spans="1:16" ht="19.5" hidden="1" customHeight="1">
      <c r="A470" s="171" t="s">
        <v>1356</v>
      </c>
      <c r="B470" s="175">
        <v>46064</v>
      </c>
      <c r="C470" s="171" t="s">
        <v>151</v>
      </c>
      <c r="D470" s="171" t="s">
        <v>152</v>
      </c>
      <c r="E470" s="171" t="s">
        <v>125</v>
      </c>
      <c r="F470" s="171" t="s">
        <v>125</v>
      </c>
      <c r="G470" s="171" t="s">
        <v>125</v>
      </c>
      <c r="H470" s="176">
        <v>0</v>
      </c>
      <c r="I470" s="177">
        <v>0</v>
      </c>
      <c r="J470" s="175">
        <v>46064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-232.54</v>
      </c>
    </row>
    <row r="471" spans="1:16" ht="19.5" hidden="1" customHeight="1">
      <c r="A471" s="171" t="s">
        <v>1290</v>
      </c>
      <c r="B471" s="175">
        <v>46064</v>
      </c>
      <c r="C471" s="171" t="s">
        <v>151</v>
      </c>
      <c r="D471" s="171" t="s">
        <v>152</v>
      </c>
      <c r="E471" s="171" t="s">
        <v>125</v>
      </c>
      <c r="F471" s="171" t="s">
        <v>125</v>
      </c>
      <c r="G471" s="171" t="s">
        <v>125</v>
      </c>
      <c r="H471" s="176">
        <v>0</v>
      </c>
      <c r="I471" s="177">
        <v>0</v>
      </c>
      <c r="J471" s="175">
        <v>46064</v>
      </c>
      <c r="K471" s="171" t="s">
        <v>125</v>
      </c>
      <c r="L471" s="171" t="s">
        <v>125</v>
      </c>
      <c r="M471" s="178">
        <v>0</v>
      </c>
      <c r="N471" s="176"/>
      <c r="O471" s="176"/>
      <c r="P471" s="179">
        <v>-129.29</v>
      </c>
    </row>
    <row r="472" spans="1:16" ht="19.5" hidden="1" customHeight="1">
      <c r="A472" s="171" t="s">
        <v>150</v>
      </c>
      <c r="B472" s="175">
        <v>46064</v>
      </c>
      <c r="C472" s="171" t="s">
        <v>151</v>
      </c>
      <c r="D472" s="171" t="s">
        <v>152</v>
      </c>
      <c r="E472" s="171" t="s">
        <v>125</v>
      </c>
      <c r="F472" s="171" t="s">
        <v>125</v>
      </c>
      <c r="G472" s="171" t="s">
        <v>125</v>
      </c>
      <c r="H472" s="176">
        <v>0</v>
      </c>
      <c r="I472" s="177">
        <v>0</v>
      </c>
      <c r="J472" s="175">
        <v>46064</v>
      </c>
      <c r="K472" s="171" t="s">
        <v>125</v>
      </c>
      <c r="L472" s="171" t="s">
        <v>125</v>
      </c>
      <c r="M472" s="178">
        <v>0</v>
      </c>
      <c r="N472" s="176"/>
      <c r="O472" s="176"/>
      <c r="P472" s="179">
        <v>-833.2</v>
      </c>
    </row>
    <row r="473" spans="1:16" ht="19.5" hidden="1" customHeight="1">
      <c r="A473" s="171" t="s">
        <v>155</v>
      </c>
      <c r="B473" s="175">
        <v>46064</v>
      </c>
      <c r="C473" s="171" t="s">
        <v>151</v>
      </c>
      <c r="D473" s="171" t="s">
        <v>156</v>
      </c>
      <c r="E473" s="171" t="s">
        <v>125</v>
      </c>
      <c r="F473" s="171" t="s">
        <v>125</v>
      </c>
      <c r="G473" s="171" t="s">
        <v>125</v>
      </c>
      <c r="H473" s="176">
        <v>0</v>
      </c>
      <c r="I473" s="177">
        <v>0</v>
      </c>
      <c r="J473" s="175">
        <v>46064</v>
      </c>
      <c r="K473" s="171" t="s">
        <v>125</v>
      </c>
      <c r="L473" s="171" t="s">
        <v>125</v>
      </c>
      <c r="M473" s="178">
        <v>0</v>
      </c>
      <c r="N473" s="176"/>
      <c r="O473" s="176"/>
      <c r="P473" s="179">
        <v>-8082.2</v>
      </c>
    </row>
    <row r="474" spans="1:16" ht="19.5" hidden="1" customHeight="1">
      <c r="A474" s="171" t="s">
        <v>1357</v>
      </c>
      <c r="B474" s="175">
        <v>46065</v>
      </c>
      <c r="C474" s="171" t="s">
        <v>110</v>
      </c>
      <c r="D474" s="171" t="s">
        <v>24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46057</v>
      </c>
      <c r="K474" s="171" t="s">
        <v>113</v>
      </c>
      <c r="L474" s="171" t="s">
        <v>114</v>
      </c>
      <c r="M474" s="178">
        <v>0</v>
      </c>
      <c r="N474" s="176"/>
      <c r="O474" s="176">
        <v>42</v>
      </c>
      <c r="P474" s="179">
        <v>-46.77</v>
      </c>
    </row>
    <row r="475" spans="1:16" ht="19.5" hidden="1" customHeight="1">
      <c r="A475" s="171" t="s">
        <v>1357</v>
      </c>
      <c r="B475" s="175">
        <v>46065</v>
      </c>
      <c r="C475" s="171" t="s">
        <v>115</v>
      </c>
      <c r="D475" s="171" t="s">
        <v>116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46057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-14.5</v>
      </c>
    </row>
    <row r="476" spans="1:16" ht="19.5" hidden="1" customHeight="1">
      <c r="A476" s="171" t="s">
        <v>1357</v>
      </c>
      <c r="B476" s="175">
        <v>46065</v>
      </c>
      <c r="C476" s="171" t="s">
        <v>110</v>
      </c>
      <c r="D476" s="171" t="s">
        <v>117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46057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0</v>
      </c>
    </row>
    <row r="477" spans="1:16" ht="19.5" hidden="1" customHeight="1">
      <c r="A477" s="171" t="s">
        <v>1357</v>
      </c>
      <c r="B477" s="175">
        <v>46065</v>
      </c>
      <c r="C477" s="171" t="s">
        <v>110</v>
      </c>
      <c r="D477" s="171" t="s">
        <v>118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0</v>
      </c>
      <c r="J477" s="175">
        <v>46057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-46.77</v>
      </c>
    </row>
    <row r="478" spans="1:16" ht="19.5" hidden="1" customHeight="1">
      <c r="A478" s="171" t="s">
        <v>1357</v>
      </c>
      <c r="B478" s="175">
        <v>46065</v>
      </c>
      <c r="C478" s="171" t="s">
        <v>115</v>
      </c>
      <c r="D478" s="171" t="s">
        <v>119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0</v>
      </c>
      <c r="J478" s="175">
        <v>46057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-15</v>
      </c>
    </row>
    <row r="479" spans="1:16" ht="19.5" hidden="1" customHeight="1">
      <c r="A479" s="171" t="s">
        <v>1358</v>
      </c>
      <c r="B479" s="175">
        <v>46065</v>
      </c>
      <c r="C479" s="171" t="s">
        <v>110</v>
      </c>
      <c r="D479" s="171" t="s">
        <v>24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0</v>
      </c>
      <c r="J479" s="175">
        <v>46059</v>
      </c>
      <c r="K479" s="171" t="s">
        <v>113</v>
      </c>
      <c r="L479" s="171" t="s">
        <v>114</v>
      </c>
      <c r="M479" s="178">
        <v>0</v>
      </c>
      <c r="N479" s="176"/>
      <c r="O479" s="176">
        <v>42</v>
      </c>
      <c r="P479" s="179">
        <v>-56.94</v>
      </c>
    </row>
    <row r="480" spans="1:16" ht="19.5" hidden="1" customHeight="1">
      <c r="A480" s="171" t="s">
        <v>1358</v>
      </c>
      <c r="B480" s="175">
        <v>46065</v>
      </c>
      <c r="C480" s="171" t="s">
        <v>115</v>
      </c>
      <c r="D480" s="171" t="s">
        <v>116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46059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-12.44</v>
      </c>
    </row>
    <row r="481" spans="1:16" ht="19.5" hidden="1" customHeight="1">
      <c r="A481" s="171" t="s">
        <v>1358</v>
      </c>
      <c r="B481" s="175">
        <v>46065</v>
      </c>
      <c r="C481" s="171" t="s">
        <v>110</v>
      </c>
      <c r="D481" s="171" t="s">
        <v>117</v>
      </c>
      <c r="E481" s="171" t="s">
        <v>77</v>
      </c>
      <c r="F481" s="171" t="s">
        <v>194</v>
      </c>
      <c r="G481" s="171" t="s">
        <v>177</v>
      </c>
      <c r="H481" s="176">
        <v>1</v>
      </c>
      <c r="I481" s="177">
        <v>0</v>
      </c>
      <c r="J481" s="175">
        <v>46059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0</v>
      </c>
    </row>
    <row r="482" spans="1:16" ht="19.5" hidden="1" customHeight="1">
      <c r="A482" s="171" t="s">
        <v>1358</v>
      </c>
      <c r="B482" s="175">
        <v>46065</v>
      </c>
      <c r="C482" s="171" t="s">
        <v>110</v>
      </c>
      <c r="D482" s="171" t="s">
        <v>118</v>
      </c>
      <c r="E482" s="171" t="s">
        <v>77</v>
      </c>
      <c r="F482" s="171" t="s">
        <v>194</v>
      </c>
      <c r="G482" s="171" t="s">
        <v>177</v>
      </c>
      <c r="H482" s="176">
        <v>1</v>
      </c>
      <c r="I482" s="177">
        <v>0</v>
      </c>
      <c r="J482" s="175">
        <v>46059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-56.94</v>
      </c>
    </row>
    <row r="483" spans="1:16" ht="19.5" hidden="1" customHeight="1">
      <c r="A483" s="171" t="s">
        <v>1358</v>
      </c>
      <c r="B483" s="175">
        <v>46065</v>
      </c>
      <c r="C483" s="171" t="s">
        <v>115</v>
      </c>
      <c r="D483" s="171" t="s">
        <v>119</v>
      </c>
      <c r="E483" s="171" t="s">
        <v>77</v>
      </c>
      <c r="F483" s="171" t="s">
        <v>194</v>
      </c>
      <c r="G483" s="171" t="s">
        <v>177</v>
      </c>
      <c r="H483" s="176">
        <v>1</v>
      </c>
      <c r="I483" s="177">
        <v>0</v>
      </c>
      <c r="J483" s="175">
        <v>46059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-15</v>
      </c>
    </row>
    <row r="484" spans="1:16" ht="19.5" hidden="1" customHeight="1">
      <c r="A484" s="171" t="s">
        <v>1359</v>
      </c>
      <c r="B484" s="175">
        <v>46065</v>
      </c>
      <c r="C484" s="171" t="s">
        <v>110</v>
      </c>
      <c r="D484" s="171" t="s">
        <v>24</v>
      </c>
      <c r="E484" s="171" t="s">
        <v>80</v>
      </c>
      <c r="F484" s="171" t="s">
        <v>1104</v>
      </c>
      <c r="G484" s="171" t="s">
        <v>177</v>
      </c>
      <c r="H484" s="176">
        <v>1</v>
      </c>
      <c r="I484" s="177">
        <v>0</v>
      </c>
      <c r="J484" s="175">
        <v>46059</v>
      </c>
      <c r="K484" s="171" t="s">
        <v>113</v>
      </c>
      <c r="L484" s="171" t="s">
        <v>114</v>
      </c>
      <c r="M484" s="178">
        <v>0</v>
      </c>
      <c r="N484" s="176"/>
      <c r="O484" s="176">
        <v>42</v>
      </c>
      <c r="P484" s="179">
        <v>-56.94</v>
      </c>
    </row>
    <row r="485" spans="1:16" ht="19.5" hidden="1" customHeight="1">
      <c r="A485" s="171" t="s">
        <v>1359</v>
      </c>
      <c r="B485" s="175">
        <v>46065</v>
      </c>
      <c r="C485" s="171" t="s">
        <v>115</v>
      </c>
      <c r="D485" s="171" t="s">
        <v>116</v>
      </c>
      <c r="E485" s="171" t="s">
        <v>80</v>
      </c>
      <c r="F485" s="171" t="s">
        <v>1104</v>
      </c>
      <c r="G485" s="171" t="s">
        <v>177</v>
      </c>
      <c r="H485" s="176">
        <v>1</v>
      </c>
      <c r="I485" s="177">
        <v>0</v>
      </c>
      <c r="J485" s="175">
        <v>46059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-12.04</v>
      </c>
    </row>
    <row r="486" spans="1:16" ht="19.5" hidden="1" customHeight="1">
      <c r="A486" s="171" t="s">
        <v>1359</v>
      </c>
      <c r="B486" s="175">
        <v>46065</v>
      </c>
      <c r="C486" s="171" t="s">
        <v>110</v>
      </c>
      <c r="D486" s="171" t="s">
        <v>117</v>
      </c>
      <c r="E486" s="171" t="s">
        <v>80</v>
      </c>
      <c r="F486" s="171" t="s">
        <v>1104</v>
      </c>
      <c r="G486" s="171" t="s">
        <v>177</v>
      </c>
      <c r="H486" s="176">
        <v>1</v>
      </c>
      <c r="I486" s="177">
        <v>0</v>
      </c>
      <c r="J486" s="175">
        <v>46059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hidden="1" customHeight="1">
      <c r="A487" s="171" t="s">
        <v>1359</v>
      </c>
      <c r="B487" s="175">
        <v>46065</v>
      </c>
      <c r="C487" s="171" t="s">
        <v>110</v>
      </c>
      <c r="D487" s="171" t="s">
        <v>118</v>
      </c>
      <c r="E487" s="171" t="s">
        <v>80</v>
      </c>
      <c r="F487" s="171" t="s">
        <v>1104</v>
      </c>
      <c r="G487" s="171" t="s">
        <v>177</v>
      </c>
      <c r="H487" s="176">
        <v>1</v>
      </c>
      <c r="I487" s="177">
        <v>0</v>
      </c>
      <c r="J487" s="175">
        <v>46059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-56.94</v>
      </c>
    </row>
    <row r="488" spans="1:16" ht="19.5" hidden="1" customHeight="1">
      <c r="A488" s="171" t="s">
        <v>1359</v>
      </c>
      <c r="B488" s="175">
        <v>46065</v>
      </c>
      <c r="C488" s="171" t="s">
        <v>115</v>
      </c>
      <c r="D488" s="171" t="s">
        <v>119</v>
      </c>
      <c r="E488" s="171" t="s">
        <v>80</v>
      </c>
      <c r="F488" s="171" t="s">
        <v>1104</v>
      </c>
      <c r="G488" s="171" t="s">
        <v>177</v>
      </c>
      <c r="H488" s="176">
        <v>1</v>
      </c>
      <c r="I488" s="177">
        <v>0</v>
      </c>
      <c r="J488" s="175">
        <v>46059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hidden="1" customHeight="1">
      <c r="A489" s="171" t="s">
        <v>1360</v>
      </c>
      <c r="B489" s="175">
        <v>46065</v>
      </c>
      <c r="C489" s="171" t="s">
        <v>110</v>
      </c>
      <c r="D489" s="171" t="s">
        <v>24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0</v>
      </c>
      <c r="J489" s="175">
        <v>46061</v>
      </c>
      <c r="K489" s="171" t="s">
        <v>113</v>
      </c>
      <c r="L489" s="171" t="s">
        <v>114</v>
      </c>
      <c r="M489" s="178">
        <v>0</v>
      </c>
      <c r="N489" s="176"/>
      <c r="O489" s="176">
        <v>45</v>
      </c>
      <c r="P489" s="179">
        <v>-56.94</v>
      </c>
    </row>
    <row r="490" spans="1:16" ht="19.5" hidden="1" customHeight="1">
      <c r="A490" s="171" t="s">
        <v>1360</v>
      </c>
      <c r="B490" s="175">
        <v>46065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46061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-20.25</v>
      </c>
    </row>
    <row r="491" spans="1:16" ht="19.5" hidden="1" customHeight="1">
      <c r="A491" s="171" t="s">
        <v>1360</v>
      </c>
      <c r="B491" s="175">
        <v>46065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46061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hidden="1" customHeight="1">
      <c r="A492" s="171" t="s">
        <v>1360</v>
      </c>
      <c r="B492" s="175">
        <v>46065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46061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hidden="1" customHeight="1">
      <c r="A493" s="171" t="s">
        <v>1360</v>
      </c>
      <c r="B493" s="175">
        <v>46065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46061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hidden="1" customHeight="1">
      <c r="A494" s="171" t="s">
        <v>1361</v>
      </c>
      <c r="B494" s="175">
        <v>46065</v>
      </c>
      <c r="C494" s="171" t="s">
        <v>110</v>
      </c>
      <c r="D494" s="171" t="s">
        <v>24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2400</v>
      </c>
      <c r="J494" s="175">
        <v>46063</v>
      </c>
      <c r="K494" s="171" t="s">
        <v>113</v>
      </c>
      <c r="L494" s="171" t="s">
        <v>114</v>
      </c>
      <c r="M494" s="178">
        <v>0.43</v>
      </c>
      <c r="N494" s="176"/>
      <c r="O494" s="176">
        <v>44</v>
      </c>
      <c r="P494" s="179">
        <v>-151.84</v>
      </c>
    </row>
    <row r="495" spans="1:16" ht="19.5" hidden="1" customHeight="1">
      <c r="A495" s="171" t="s">
        <v>1361</v>
      </c>
      <c r="B495" s="175">
        <v>46065</v>
      </c>
      <c r="C495" s="171" t="s">
        <v>127</v>
      </c>
      <c r="D495" s="171" t="s">
        <v>128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2400</v>
      </c>
      <c r="J495" s="175">
        <v>46063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1040.95</v>
      </c>
    </row>
    <row r="496" spans="1:16" ht="19.5" hidden="1" customHeight="1">
      <c r="A496" s="171" t="s">
        <v>1361</v>
      </c>
      <c r="B496" s="175">
        <v>46065</v>
      </c>
      <c r="C496" s="171" t="s">
        <v>127</v>
      </c>
      <c r="D496" s="171" t="s">
        <v>129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2400</v>
      </c>
      <c r="J496" s="175">
        <v>46063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0</v>
      </c>
    </row>
    <row r="497" spans="1:16" ht="19.5" hidden="1" customHeight="1">
      <c r="A497" s="171" t="s">
        <v>1361</v>
      </c>
      <c r="B497" s="175">
        <v>46065</v>
      </c>
      <c r="C497" s="171" t="s">
        <v>127</v>
      </c>
      <c r="D497" s="171" t="s">
        <v>130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2400</v>
      </c>
      <c r="J497" s="175">
        <v>46063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1359.05</v>
      </c>
    </row>
    <row r="498" spans="1:16" ht="19.5" hidden="1" customHeight="1">
      <c r="A498" s="171" t="s">
        <v>1361</v>
      </c>
      <c r="B498" s="175">
        <v>46065</v>
      </c>
      <c r="C498" s="171" t="s">
        <v>131</v>
      </c>
      <c r="D498" s="171" t="s">
        <v>132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2400</v>
      </c>
      <c r="J498" s="175">
        <v>46063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-1032</v>
      </c>
    </row>
    <row r="499" spans="1:16" ht="19.5" hidden="1" customHeight="1">
      <c r="A499" s="171" t="s">
        <v>1361</v>
      </c>
      <c r="B499" s="175">
        <v>46065</v>
      </c>
      <c r="C499" s="171" t="s">
        <v>115</v>
      </c>
      <c r="D499" s="171" t="s">
        <v>116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2400</v>
      </c>
      <c r="J499" s="175">
        <v>46063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-25</v>
      </c>
    </row>
    <row r="500" spans="1:16" ht="19.5" hidden="1" customHeight="1">
      <c r="A500" s="171" t="s">
        <v>1362</v>
      </c>
      <c r="B500" s="175">
        <v>46065</v>
      </c>
      <c r="C500" s="171" t="s">
        <v>110</v>
      </c>
      <c r="D500" s="171" t="s">
        <v>24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2400</v>
      </c>
      <c r="J500" s="175">
        <v>46061</v>
      </c>
      <c r="K500" s="171" t="s">
        <v>113</v>
      </c>
      <c r="L500" s="171" t="s">
        <v>114</v>
      </c>
      <c r="M500" s="178">
        <v>0.43</v>
      </c>
      <c r="N500" s="176"/>
      <c r="O500" s="176">
        <v>45</v>
      </c>
      <c r="P500" s="179">
        <v>-156.84</v>
      </c>
    </row>
    <row r="501" spans="1:16" ht="19.5" hidden="1" customHeight="1">
      <c r="A501" s="171" t="s">
        <v>1362</v>
      </c>
      <c r="B501" s="175">
        <v>46065</v>
      </c>
      <c r="C501" s="171" t="s">
        <v>127</v>
      </c>
      <c r="D501" s="171" t="s">
        <v>128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2400</v>
      </c>
      <c r="J501" s="175">
        <v>46061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1131.75</v>
      </c>
    </row>
    <row r="502" spans="1:16" ht="19.5" hidden="1" customHeight="1">
      <c r="A502" s="171" t="s">
        <v>1362</v>
      </c>
      <c r="B502" s="175">
        <v>46065</v>
      </c>
      <c r="C502" s="171" t="s">
        <v>127</v>
      </c>
      <c r="D502" s="171" t="s">
        <v>129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2400</v>
      </c>
      <c r="J502" s="175">
        <v>46061</v>
      </c>
      <c r="K502" s="171" t="s">
        <v>113</v>
      </c>
      <c r="L502" s="171" t="s">
        <v>114</v>
      </c>
      <c r="M502" s="178">
        <v>0</v>
      </c>
      <c r="N502" s="176"/>
      <c r="O502" s="176"/>
      <c r="P502" s="179">
        <v>11.32</v>
      </c>
    </row>
    <row r="503" spans="1:16" ht="19.5" hidden="1" customHeight="1">
      <c r="A503" s="171" t="s">
        <v>1362</v>
      </c>
      <c r="B503" s="175">
        <v>46065</v>
      </c>
      <c r="C503" s="171" t="s">
        <v>127</v>
      </c>
      <c r="D503" s="171" t="s">
        <v>130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2400</v>
      </c>
      <c r="J503" s="175">
        <v>46061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1256.93</v>
      </c>
    </row>
    <row r="504" spans="1:16" ht="19.5" hidden="1" customHeight="1">
      <c r="A504" s="171" t="s">
        <v>1362</v>
      </c>
      <c r="B504" s="175">
        <v>46065</v>
      </c>
      <c r="C504" s="171" t="s">
        <v>131</v>
      </c>
      <c r="D504" s="171" t="s">
        <v>132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2400</v>
      </c>
      <c r="J504" s="175">
        <v>46061</v>
      </c>
      <c r="K504" s="171" t="s">
        <v>113</v>
      </c>
      <c r="L504" s="171" t="s">
        <v>114</v>
      </c>
      <c r="M504" s="178">
        <v>0.43</v>
      </c>
      <c r="N504" s="176"/>
      <c r="O504" s="176"/>
      <c r="P504" s="179">
        <v>-1032</v>
      </c>
    </row>
    <row r="505" spans="1:16" ht="19.5" hidden="1" customHeight="1">
      <c r="A505" s="171" t="s">
        <v>1362</v>
      </c>
      <c r="B505" s="175">
        <v>46065</v>
      </c>
      <c r="C505" s="171" t="s">
        <v>115</v>
      </c>
      <c r="D505" s="171" t="s">
        <v>116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2400</v>
      </c>
      <c r="J505" s="175">
        <v>46061</v>
      </c>
      <c r="K505" s="171" t="s">
        <v>113</v>
      </c>
      <c r="L505" s="171" t="s">
        <v>114</v>
      </c>
      <c r="M505" s="178">
        <v>0.43</v>
      </c>
      <c r="N505" s="176"/>
      <c r="O505" s="176"/>
      <c r="P505" s="179">
        <v>-12.57</v>
      </c>
    </row>
    <row r="506" spans="1:16" ht="19.5" hidden="1" customHeight="1">
      <c r="A506" s="171" t="s">
        <v>1363</v>
      </c>
      <c r="B506" s="175">
        <v>46065</v>
      </c>
      <c r="C506" s="171" t="s">
        <v>110</v>
      </c>
      <c r="D506" s="171" t="s">
        <v>24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0</v>
      </c>
      <c r="J506" s="175">
        <v>46061</v>
      </c>
      <c r="K506" s="171" t="s">
        <v>113</v>
      </c>
      <c r="L506" s="171" t="s">
        <v>114</v>
      </c>
      <c r="M506" s="178">
        <v>0</v>
      </c>
      <c r="N506" s="176"/>
      <c r="O506" s="176">
        <v>45</v>
      </c>
      <c r="P506" s="179">
        <v>-46.77</v>
      </c>
    </row>
    <row r="507" spans="1:16" ht="19.5" hidden="1" customHeight="1">
      <c r="A507" s="171" t="s">
        <v>1363</v>
      </c>
      <c r="B507" s="175">
        <v>46065</v>
      </c>
      <c r="C507" s="171" t="s">
        <v>110</v>
      </c>
      <c r="D507" s="171" t="s">
        <v>117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0</v>
      </c>
      <c r="J507" s="175">
        <v>46061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0</v>
      </c>
    </row>
    <row r="508" spans="1:16" ht="19.5" hidden="1" customHeight="1">
      <c r="A508" s="171" t="s">
        <v>1363</v>
      </c>
      <c r="B508" s="175">
        <v>46065</v>
      </c>
      <c r="C508" s="171" t="s">
        <v>110</v>
      </c>
      <c r="D508" s="171" t="s">
        <v>118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46061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-46.77</v>
      </c>
    </row>
    <row r="509" spans="1:16" ht="19.5" hidden="1" customHeight="1">
      <c r="A509" s="171" t="s">
        <v>1364</v>
      </c>
      <c r="B509" s="175">
        <v>46065</v>
      </c>
      <c r="C509" s="171" t="s">
        <v>110</v>
      </c>
      <c r="D509" s="171" t="s">
        <v>24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46060</v>
      </c>
      <c r="K509" s="171" t="s">
        <v>113</v>
      </c>
      <c r="L509" s="171" t="s">
        <v>114</v>
      </c>
      <c r="M509" s="178">
        <v>0</v>
      </c>
      <c r="N509" s="176"/>
      <c r="O509" s="176">
        <v>43</v>
      </c>
      <c r="P509" s="179">
        <v>-46.77</v>
      </c>
    </row>
    <row r="510" spans="1:16" ht="19.5" hidden="1" customHeight="1">
      <c r="A510" s="171" t="s">
        <v>1364</v>
      </c>
      <c r="B510" s="175">
        <v>46065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46060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-12.01</v>
      </c>
    </row>
    <row r="511" spans="1:16" ht="19.5" hidden="1" customHeight="1">
      <c r="A511" s="171" t="s">
        <v>1365</v>
      </c>
      <c r="B511" s="175">
        <v>46065</v>
      </c>
      <c r="C511" s="171" t="s">
        <v>110</v>
      </c>
      <c r="D511" s="171" t="s">
        <v>24</v>
      </c>
      <c r="E511" s="171" t="s">
        <v>77</v>
      </c>
      <c r="F511" s="171" t="s">
        <v>194</v>
      </c>
      <c r="G511" s="171" t="s">
        <v>177</v>
      </c>
      <c r="H511" s="176">
        <v>1</v>
      </c>
      <c r="I511" s="177">
        <v>5700</v>
      </c>
      <c r="J511" s="175">
        <v>46061</v>
      </c>
      <c r="K511" s="171" t="s">
        <v>113</v>
      </c>
      <c r="L511" s="171" t="s">
        <v>114</v>
      </c>
      <c r="M511" s="178">
        <v>0.43</v>
      </c>
      <c r="N511" s="176"/>
      <c r="O511" s="176">
        <v>45</v>
      </c>
      <c r="P511" s="179">
        <v>-282.62</v>
      </c>
    </row>
    <row r="512" spans="1:16" ht="19.5" hidden="1" customHeight="1">
      <c r="A512" s="171" t="s">
        <v>1365</v>
      </c>
      <c r="B512" s="175">
        <v>46065</v>
      </c>
      <c r="C512" s="171" t="s">
        <v>127</v>
      </c>
      <c r="D512" s="171" t="s">
        <v>128</v>
      </c>
      <c r="E512" s="171" t="s">
        <v>77</v>
      </c>
      <c r="F512" s="171" t="s">
        <v>194</v>
      </c>
      <c r="G512" s="171" t="s">
        <v>177</v>
      </c>
      <c r="H512" s="176">
        <v>1</v>
      </c>
      <c r="I512" s="177">
        <v>5700</v>
      </c>
      <c r="J512" s="175">
        <v>46061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167.76</v>
      </c>
    </row>
    <row r="513" spans="1:16" ht="19.5" hidden="1" customHeight="1">
      <c r="A513" s="171" t="s">
        <v>1365</v>
      </c>
      <c r="B513" s="175">
        <v>46065</v>
      </c>
      <c r="C513" s="171" t="s">
        <v>127</v>
      </c>
      <c r="D513" s="171" t="s">
        <v>129</v>
      </c>
      <c r="E513" s="171" t="s">
        <v>77</v>
      </c>
      <c r="F513" s="171" t="s">
        <v>194</v>
      </c>
      <c r="G513" s="171" t="s">
        <v>177</v>
      </c>
      <c r="H513" s="176">
        <v>1</v>
      </c>
      <c r="I513" s="177">
        <v>5700</v>
      </c>
      <c r="J513" s="175">
        <v>46061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1.68</v>
      </c>
    </row>
    <row r="514" spans="1:16" ht="19.5" hidden="1" customHeight="1">
      <c r="A514" s="171" t="s">
        <v>1365</v>
      </c>
      <c r="B514" s="175">
        <v>46065</v>
      </c>
      <c r="C514" s="171" t="s">
        <v>127</v>
      </c>
      <c r="D514" s="171" t="s">
        <v>130</v>
      </c>
      <c r="E514" s="171" t="s">
        <v>77</v>
      </c>
      <c r="F514" s="171" t="s">
        <v>194</v>
      </c>
      <c r="G514" s="171" t="s">
        <v>177</v>
      </c>
      <c r="H514" s="176">
        <v>1</v>
      </c>
      <c r="I514" s="177">
        <v>5700</v>
      </c>
      <c r="J514" s="175">
        <v>46061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5530.56</v>
      </c>
    </row>
    <row r="515" spans="1:16" ht="19.5" hidden="1" customHeight="1">
      <c r="A515" s="171" t="s">
        <v>1365</v>
      </c>
      <c r="B515" s="175">
        <v>46065</v>
      </c>
      <c r="C515" s="171" t="s">
        <v>131</v>
      </c>
      <c r="D515" s="171" t="s">
        <v>132</v>
      </c>
      <c r="E515" s="171" t="s">
        <v>77</v>
      </c>
      <c r="F515" s="171" t="s">
        <v>194</v>
      </c>
      <c r="G515" s="171" t="s">
        <v>177</v>
      </c>
      <c r="H515" s="176">
        <v>1</v>
      </c>
      <c r="I515" s="177">
        <v>5700</v>
      </c>
      <c r="J515" s="175">
        <v>46061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-2451</v>
      </c>
    </row>
    <row r="516" spans="1:16" ht="19.5" hidden="1" customHeight="1">
      <c r="A516" s="171" t="s">
        <v>1364</v>
      </c>
      <c r="B516" s="175">
        <v>46065</v>
      </c>
      <c r="C516" s="171" t="s">
        <v>110</v>
      </c>
      <c r="D516" s="171" t="s">
        <v>117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0</v>
      </c>
      <c r="J516" s="175">
        <v>46060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0</v>
      </c>
    </row>
    <row r="517" spans="1:16" ht="19.5" hidden="1" customHeight="1">
      <c r="A517" s="171" t="s">
        <v>1364</v>
      </c>
      <c r="B517" s="175">
        <v>46065</v>
      </c>
      <c r="C517" s="171" t="s">
        <v>110</v>
      </c>
      <c r="D517" s="171" t="s">
        <v>118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46060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-46.77</v>
      </c>
    </row>
    <row r="518" spans="1:16" ht="19.5" hidden="1" customHeight="1">
      <c r="A518" s="171" t="s">
        <v>1364</v>
      </c>
      <c r="B518" s="175">
        <v>46065</v>
      </c>
      <c r="C518" s="171" t="s">
        <v>115</v>
      </c>
      <c r="D518" s="171" t="s">
        <v>119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0</v>
      </c>
      <c r="J518" s="175">
        <v>46060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-15</v>
      </c>
    </row>
    <row r="519" spans="1:16" ht="19.5" hidden="1" customHeight="1">
      <c r="A519" s="171" t="s">
        <v>1366</v>
      </c>
      <c r="B519" s="175">
        <v>46065</v>
      </c>
      <c r="C519" s="171" t="s">
        <v>110</v>
      </c>
      <c r="D519" s="171" t="s">
        <v>24</v>
      </c>
      <c r="E519" s="171" t="s">
        <v>42</v>
      </c>
      <c r="F519" s="171" t="s">
        <v>248</v>
      </c>
      <c r="G519" s="171" t="s">
        <v>112</v>
      </c>
      <c r="H519" s="176">
        <v>1</v>
      </c>
      <c r="I519" s="177">
        <v>2400</v>
      </c>
      <c r="J519" s="175">
        <v>46060</v>
      </c>
      <c r="K519" s="171" t="s">
        <v>113</v>
      </c>
      <c r="L519" s="171" t="s">
        <v>114</v>
      </c>
      <c r="M519" s="178">
        <v>0.43</v>
      </c>
      <c r="N519" s="176"/>
      <c r="O519" s="176">
        <v>43</v>
      </c>
      <c r="P519" s="179">
        <v>-146.83000000000001</v>
      </c>
    </row>
    <row r="520" spans="1:16" ht="19.5" hidden="1" customHeight="1">
      <c r="A520" s="171" t="s">
        <v>1366</v>
      </c>
      <c r="B520" s="175">
        <v>46065</v>
      </c>
      <c r="C520" s="171" t="s">
        <v>127</v>
      </c>
      <c r="D520" s="171" t="s">
        <v>128</v>
      </c>
      <c r="E520" s="171" t="s">
        <v>42</v>
      </c>
      <c r="F520" s="171" t="s">
        <v>248</v>
      </c>
      <c r="G520" s="171" t="s">
        <v>112</v>
      </c>
      <c r="H520" s="176">
        <v>1</v>
      </c>
      <c r="I520" s="177">
        <v>2400</v>
      </c>
      <c r="J520" s="175">
        <v>46060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1123.81</v>
      </c>
    </row>
    <row r="521" spans="1:16" ht="19.5" hidden="1" customHeight="1">
      <c r="A521" s="171" t="s">
        <v>1366</v>
      </c>
      <c r="B521" s="175">
        <v>46065</v>
      </c>
      <c r="C521" s="171" t="s">
        <v>127</v>
      </c>
      <c r="D521" s="171" t="s">
        <v>129</v>
      </c>
      <c r="E521" s="171" t="s">
        <v>42</v>
      </c>
      <c r="F521" s="171" t="s">
        <v>248</v>
      </c>
      <c r="G521" s="171" t="s">
        <v>112</v>
      </c>
      <c r="H521" s="176">
        <v>1</v>
      </c>
      <c r="I521" s="177">
        <v>2400</v>
      </c>
      <c r="J521" s="175">
        <v>46060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11.24</v>
      </c>
    </row>
    <row r="522" spans="1:16" ht="19.5" hidden="1" customHeight="1">
      <c r="A522" s="171" t="s">
        <v>1366</v>
      </c>
      <c r="B522" s="175">
        <v>46065</v>
      </c>
      <c r="C522" s="171" t="s">
        <v>127</v>
      </c>
      <c r="D522" s="171" t="s">
        <v>130</v>
      </c>
      <c r="E522" s="171" t="s">
        <v>42</v>
      </c>
      <c r="F522" s="171" t="s">
        <v>248</v>
      </c>
      <c r="G522" s="171" t="s">
        <v>112</v>
      </c>
      <c r="H522" s="176">
        <v>1</v>
      </c>
      <c r="I522" s="177">
        <v>2400</v>
      </c>
      <c r="J522" s="175">
        <v>46060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1264.95</v>
      </c>
    </row>
    <row r="523" spans="1:16" ht="19.5" hidden="1" customHeight="1">
      <c r="A523" s="171" t="s">
        <v>1366</v>
      </c>
      <c r="B523" s="175">
        <v>46065</v>
      </c>
      <c r="C523" s="171" t="s">
        <v>131</v>
      </c>
      <c r="D523" s="171" t="s">
        <v>132</v>
      </c>
      <c r="E523" s="171" t="s">
        <v>42</v>
      </c>
      <c r="F523" s="171" t="s">
        <v>248</v>
      </c>
      <c r="G523" s="171" t="s">
        <v>112</v>
      </c>
      <c r="H523" s="176">
        <v>1</v>
      </c>
      <c r="I523" s="177">
        <v>2400</v>
      </c>
      <c r="J523" s="175">
        <v>46060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-1032</v>
      </c>
    </row>
    <row r="524" spans="1:16" ht="19.5" hidden="1" customHeight="1">
      <c r="A524" s="171" t="s">
        <v>1366</v>
      </c>
      <c r="B524" s="175">
        <v>46065</v>
      </c>
      <c r="C524" s="171" t="s">
        <v>115</v>
      </c>
      <c r="D524" s="171" t="s">
        <v>116</v>
      </c>
      <c r="E524" s="171" t="s">
        <v>42</v>
      </c>
      <c r="F524" s="171" t="s">
        <v>248</v>
      </c>
      <c r="G524" s="171" t="s">
        <v>112</v>
      </c>
      <c r="H524" s="176">
        <v>1</v>
      </c>
      <c r="I524" s="177">
        <v>2400</v>
      </c>
      <c r="J524" s="175">
        <v>46060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-13.13</v>
      </c>
    </row>
    <row r="525" spans="1:16" ht="19.5" customHeight="1">
      <c r="A525" s="171" t="s">
        <v>1367</v>
      </c>
      <c r="B525" s="175">
        <v>46065</v>
      </c>
      <c r="C525" s="171" t="s">
        <v>1317</v>
      </c>
      <c r="D525" s="171" t="s">
        <v>508</v>
      </c>
      <c r="E525" s="171" t="s">
        <v>79</v>
      </c>
      <c r="F525" s="171" t="s">
        <v>441</v>
      </c>
      <c r="G525" s="171" t="s">
        <v>177</v>
      </c>
      <c r="H525" s="176">
        <v>1</v>
      </c>
      <c r="I525" s="177">
        <v>0</v>
      </c>
      <c r="J525" s="175">
        <v>46063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</v>
      </c>
    </row>
    <row r="526" spans="1:16" ht="19.5" hidden="1" customHeight="1">
      <c r="A526" s="171" t="s">
        <v>1367</v>
      </c>
      <c r="B526" s="175">
        <v>46065</v>
      </c>
      <c r="C526" s="171" t="s">
        <v>115</v>
      </c>
      <c r="D526" s="171" t="s">
        <v>510</v>
      </c>
      <c r="E526" s="171" t="s">
        <v>79</v>
      </c>
      <c r="F526" s="171" t="s">
        <v>441</v>
      </c>
      <c r="G526" s="171" t="s">
        <v>177</v>
      </c>
      <c r="H526" s="176">
        <v>1</v>
      </c>
      <c r="I526" s="177">
        <v>0</v>
      </c>
      <c r="J526" s="175">
        <v>46063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-10</v>
      </c>
    </row>
    <row r="527" spans="1:16" ht="19.5" hidden="1" customHeight="1">
      <c r="A527" s="171" t="s">
        <v>1366</v>
      </c>
      <c r="B527" s="175">
        <v>46065</v>
      </c>
      <c r="C527" s="171" t="s">
        <v>115</v>
      </c>
      <c r="D527" s="171" t="s">
        <v>135</v>
      </c>
      <c r="E527" s="171" t="s">
        <v>42</v>
      </c>
      <c r="F527" s="171" t="s">
        <v>248</v>
      </c>
      <c r="G527" s="171" t="s">
        <v>112</v>
      </c>
      <c r="H527" s="176">
        <v>1</v>
      </c>
      <c r="I527" s="177">
        <v>0</v>
      </c>
      <c r="J527" s="175">
        <v>46060</v>
      </c>
      <c r="K527" s="171" t="s">
        <v>125</v>
      </c>
      <c r="L527" s="171" t="s">
        <v>125</v>
      </c>
      <c r="M527" s="178">
        <v>0</v>
      </c>
      <c r="N527" s="176"/>
      <c r="O527" s="176"/>
      <c r="P527" s="179">
        <v>-21.35</v>
      </c>
    </row>
    <row r="528" spans="1:16" ht="19.5" hidden="1" customHeight="1">
      <c r="A528" s="171" t="s">
        <v>1368</v>
      </c>
      <c r="B528" s="175">
        <v>46065</v>
      </c>
      <c r="C528" s="171" t="s">
        <v>110</v>
      </c>
      <c r="D528" s="171" t="s">
        <v>24</v>
      </c>
      <c r="E528" s="171" t="s">
        <v>76</v>
      </c>
      <c r="F528" s="171" t="s">
        <v>821</v>
      </c>
      <c r="G528" s="171" t="s">
        <v>177</v>
      </c>
      <c r="H528" s="176">
        <v>1</v>
      </c>
      <c r="I528" s="177">
        <v>0</v>
      </c>
      <c r="J528" s="175">
        <v>46057</v>
      </c>
      <c r="K528" s="171" t="s">
        <v>113</v>
      </c>
      <c r="L528" s="171" t="s">
        <v>114</v>
      </c>
      <c r="M528" s="178">
        <v>0</v>
      </c>
      <c r="N528" s="176"/>
      <c r="O528" s="176">
        <v>42</v>
      </c>
      <c r="P528" s="179">
        <v>-56.94</v>
      </c>
    </row>
    <row r="529" spans="1:16" ht="19.5" hidden="1" customHeight="1">
      <c r="A529" s="171" t="s">
        <v>1368</v>
      </c>
      <c r="B529" s="175">
        <v>46065</v>
      </c>
      <c r="C529" s="171" t="s">
        <v>115</v>
      </c>
      <c r="D529" s="171" t="s">
        <v>116</v>
      </c>
      <c r="E529" s="171" t="s">
        <v>76</v>
      </c>
      <c r="F529" s="171" t="s">
        <v>821</v>
      </c>
      <c r="G529" s="171" t="s">
        <v>177</v>
      </c>
      <c r="H529" s="176">
        <v>1</v>
      </c>
      <c r="I529" s="177">
        <v>0</v>
      </c>
      <c r="J529" s="175">
        <v>46057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-16.22</v>
      </c>
    </row>
    <row r="530" spans="1:16" ht="19.5" hidden="1" customHeight="1">
      <c r="A530" s="171" t="s">
        <v>1369</v>
      </c>
      <c r="B530" s="175">
        <v>46065</v>
      </c>
      <c r="C530" s="171" t="s">
        <v>110</v>
      </c>
      <c r="D530" s="171" t="s">
        <v>24</v>
      </c>
      <c r="E530" s="171" t="s">
        <v>75</v>
      </c>
      <c r="F530" s="171" t="s">
        <v>474</v>
      </c>
      <c r="G530" s="171" t="s">
        <v>177</v>
      </c>
      <c r="H530" s="176">
        <v>1</v>
      </c>
      <c r="I530" s="177">
        <v>0</v>
      </c>
      <c r="J530" s="175">
        <v>46057</v>
      </c>
      <c r="K530" s="171" t="s">
        <v>113</v>
      </c>
      <c r="L530" s="171" t="s">
        <v>114</v>
      </c>
      <c r="M530" s="178">
        <v>0</v>
      </c>
      <c r="N530" s="176"/>
      <c r="O530" s="176">
        <v>42</v>
      </c>
      <c r="P530" s="179">
        <v>-56.94</v>
      </c>
    </row>
    <row r="531" spans="1:16" ht="19.5" hidden="1" customHeight="1">
      <c r="A531" s="171" t="s">
        <v>1369</v>
      </c>
      <c r="B531" s="175">
        <v>46065</v>
      </c>
      <c r="C531" s="171" t="s">
        <v>115</v>
      </c>
      <c r="D531" s="171" t="s">
        <v>116</v>
      </c>
      <c r="E531" s="171" t="s">
        <v>75</v>
      </c>
      <c r="F531" s="171" t="s">
        <v>474</v>
      </c>
      <c r="G531" s="171" t="s">
        <v>177</v>
      </c>
      <c r="H531" s="176">
        <v>1</v>
      </c>
      <c r="I531" s="177">
        <v>0</v>
      </c>
      <c r="J531" s="175">
        <v>46057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-16.22</v>
      </c>
    </row>
    <row r="532" spans="1:16" ht="19.5" hidden="1" customHeight="1">
      <c r="A532" s="171" t="s">
        <v>1370</v>
      </c>
      <c r="B532" s="175">
        <v>46065</v>
      </c>
      <c r="C532" s="171" t="s">
        <v>110</v>
      </c>
      <c r="D532" s="171" t="s">
        <v>24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2000</v>
      </c>
      <c r="J532" s="175">
        <v>46057</v>
      </c>
      <c r="K532" s="171" t="s">
        <v>113</v>
      </c>
      <c r="L532" s="171" t="s">
        <v>114</v>
      </c>
      <c r="M532" s="178">
        <v>0.43</v>
      </c>
      <c r="N532" s="176"/>
      <c r="O532" s="176">
        <v>42</v>
      </c>
      <c r="P532" s="179">
        <v>-130.43</v>
      </c>
    </row>
    <row r="533" spans="1:16" ht="19.5" hidden="1" customHeight="1">
      <c r="A533" s="171" t="s">
        <v>1370</v>
      </c>
      <c r="B533" s="175">
        <v>46065</v>
      </c>
      <c r="C533" s="171" t="s">
        <v>127</v>
      </c>
      <c r="D533" s="171" t="s">
        <v>128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2000</v>
      </c>
      <c r="J533" s="175">
        <v>46057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947.62</v>
      </c>
    </row>
    <row r="534" spans="1:16" ht="19.5" hidden="1" customHeight="1">
      <c r="A534" s="171" t="s">
        <v>1370</v>
      </c>
      <c r="B534" s="175">
        <v>46065</v>
      </c>
      <c r="C534" s="171" t="s">
        <v>127</v>
      </c>
      <c r="D534" s="171" t="s">
        <v>129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2000</v>
      </c>
      <c r="J534" s="175">
        <v>46057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0</v>
      </c>
    </row>
    <row r="535" spans="1:16" ht="19.5" hidden="1" customHeight="1">
      <c r="A535" s="171" t="s">
        <v>1370</v>
      </c>
      <c r="B535" s="175">
        <v>46065</v>
      </c>
      <c r="C535" s="171" t="s">
        <v>127</v>
      </c>
      <c r="D535" s="171" t="s">
        <v>130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2000</v>
      </c>
      <c r="J535" s="175">
        <v>46057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1052.3800000000001</v>
      </c>
    </row>
    <row r="536" spans="1:16" ht="19.5" hidden="1" customHeight="1">
      <c r="A536" s="171" t="s">
        <v>1370</v>
      </c>
      <c r="B536" s="175">
        <v>46065</v>
      </c>
      <c r="C536" s="171" t="s">
        <v>131</v>
      </c>
      <c r="D536" s="171" t="s">
        <v>132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2000</v>
      </c>
      <c r="J536" s="175">
        <v>46057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-860</v>
      </c>
    </row>
    <row r="537" spans="1:16" ht="19.5" hidden="1" customHeight="1">
      <c r="A537" s="171" t="s">
        <v>1370</v>
      </c>
      <c r="B537" s="175">
        <v>46065</v>
      </c>
      <c r="C537" s="171" t="s">
        <v>115</v>
      </c>
      <c r="D537" s="171" t="s">
        <v>116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2000</v>
      </c>
      <c r="J537" s="175">
        <v>46057</v>
      </c>
      <c r="K537" s="171" t="s">
        <v>113</v>
      </c>
      <c r="L537" s="171" t="s">
        <v>114</v>
      </c>
      <c r="M537" s="178">
        <v>0.43</v>
      </c>
      <c r="N537" s="176"/>
      <c r="O537" s="176"/>
      <c r="P537" s="179">
        <v>-11.46</v>
      </c>
    </row>
    <row r="538" spans="1:16" ht="19.5" hidden="1" customHeight="1">
      <c r="A538" s="171" t="s">
        <v>1368</v>
      </c>
      <c r="B538" s="175">
        <v>46065</v>
      </c>
      <c r="C538" s="171" t="s">
        <v>110</v>
      </c>
      <c r="D538" s="171" t="s">
        <v>117</v>
      </c>
      <c r="E538" s="171" t="s">
        <v>76</v>
      </c>
      <c r="F538" s="171" t="s">
        <v>821</v>
      </c>
      <c r="G538" s="171" t="s">
        <v>177</v>
      </c>
      <c r="H538" s="176">
        <v>1</v>
      </c>
      <c r="I538" s="177">
        <v>0</v>
      </c>
      <c r="J538" s="175">
        <v>46057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0</v>
      </c>
    </row>
    <row r="539" spans="1:16" ht="19.5" hidden="1" customHeight="1">
      <c r="A539" s="171" t="s">
        <v>1368</v>
      </c>
      <c r="B539" s="175">
        <v>46065</v>
      </c>
      <c r="C539" s="171" t="s">
        <v>110</v>
      </c>
      <c r="D539" s="171" t="s">
        <v>118</v>
      </c>
      <c r="E539" s="171" t="s">
        <v>76</v>
      </c>
      <c r="F539" s="171" t="s">
        <v>821</v>
      </c>
      <c r="G539" s="171" t="s">
        <v>177</v>
      </c>
      <c r="H539" s="176">
        <v>1</v>
      </c>
      <c r="I539" s="177">
        <v>0</v>
      </c>
      <c r="J539" s="175">
        <v>46057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-56.94</v>
      </c>
    </row>
    <row r="540" spans="1:16" ht="19.5" hidden="1" customHeight="1">
      <c r="A540" s="171" t="s">
        <v>1368</v>
      </c>
      <c r="B540" s="175">
        <v>46065</v>
      </c>
      <c r="C540" s="171" t="s">
        <v>115</v>
      </c>
      <c r="D540" s="171" t="s">
        <v>119</v>
      </c>
      <c r="E540" s="171" t="s">
        <v>76</v>
      </c>
      <c r="F540" s="171" t="s">
        <v>821</v>
      </c>
      <c r="G540" s="171" t="s">
        <v>177</v>
      </c>
      <c r="H540" s="176">
        <v>1</v>
      </c>
      <c r="I540" s="177">
        <v>0</v>
      </c>
      <c r="J540" s="175">
        <v>46057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-15</v>
      </c>
    </row>
    <row r="541" spans="1:16" ht="19.5" hidden="1" customHeight="1">
      <c r="A541" s="171" t="s">
        <v>1369</v>
      </c>
      <c r="B541" s="175">
        <v>46065</v>
      </c>
      <c r="C541" s="171" t="s">
        <v>110</v>
      </c>
      <c r="D541" s="171" t="s">
        <v>117</v>
      </c>
      <c r="E541" s="171" t="s">
        <v>75</v>
      </c>
      <c r="F541" s="171" t="s">
        <v>474</v>
      </c>
      <c r="G541" s="171" t="s">
        <v>177</v>
      </c>
      <c r="H541" s="176">
        <v>1</v>
      </c>
      <c r="I541" s="177">
        <v>0</v>
      </c>
      <c r="J541" s="175">
        <v>46057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0</v>
      </c>
    </row>
    <row r="542" spans="1:16" ht="19.5" hidden="1" customHeight="1">
      <c r="A542" s="171" t="s">
        <v>1369</v>
      </c>
      <c r="B542" s="175">
        <v>46065</v>
      </c>
      <c r="C542" s="171" t="s">
        <v>110</v>
      </c>
      <c r="D542" s="171" t="s">
        <v>118</v>
      </c>
      <c r="E542" s="171" t="s">
        <v>75</v>
      </c>
      <c r="F542" s="171" t="s">
        <v>474</v>
      </c>
      <c r="G542" s="171" t="s">
        <v>177</v>
      </c>
      <c r="H542" s="176">
        <v>1</v>
      </c>
      <c r="I542" s="177">
        <v>0</v>
      </c>
      <c r="J542" s="175">
        <v>46057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-56.94</v>
      </c>
    </row>
    <row r="543" spans="1:16" ht="19.5" hidden="1" customHeight="1">
      <c r="A543" s="171" t="s">
        <v>1369</v>
      </c>
      <c r="B543" s="175">
        <v>46065</v>
      </c>
      <c r="C543" s="171" t="s">
        <v>115</v>
      </c>
      <c r="D543" s="171" t="s">
        <v>119</v>
      </c>
      <c r="E543" s="171" t="s">
        <v>75</v>
      </c>
      <c r="F543" s="171" t="s">
        <v>474</v>
      </c>
      <c r="G543" s="171" t="s">
        <v>177</v>
      </c>
      <c r="H543" s="176">
        <v>1</v>
      </c>
      <c r="I543" s="177">
        <v>0</v>
      </c>
      <c r="J543" s="175">
        <v>46057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-15</v>
      </c>
    </row>
    <row r="544" spans="1:16" ht="19.5" hidden="1" customHeight="1">
      <c r="A544" s="171" t="s">
        <v>1370</v>
      </c>
      <c r="B544" s="175">
        <v>46065</v>
      </c>
      <c r="C544" s="171" t="s">
        <v>110</v>
      </c>
      <c r="D544" s="171" t="s">
        <v>1371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-2000</v>
      </c>
      <c r="J544" s="175">
        <v>46057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130.43</v>
      </c>
    </row>
    <row r="545" spans="1:16" ht="19.5" hidden="1" customHeight="1">
      <c r="A545" s="171" t="s">
        <v>1370</v>
      </c>
      <c r="B545" s="175">
        <v>46065</v>
      </c>
      <c r="C545" s="171" t="s">
        <v>127</v>
      </c>
      <c r="D545" s="171" t="s">
        <v>128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-2000</v>
      </c>
      <c r="J545" s="175">
        <v>46057</v>
      </c>
      <c r="K545" s="171" t="s">
        <v>113</v>
      </c>
      <c r="L545" s="171" t="s">
        <v>114</v>
      </c>
      <c r="M545" s="178">
        <v>0</v>
      </c>
      <c r="N545" s="176"/>
      <c r="O545" s="176"/>
      <c r="P545" s="179">
        <v>-947.62</v>
      </c>
    </row>
    <row r="546" spans="1:16" ht="19.5" hidden="1" customHeight="1">
      <c r="A546" s="171" t="s">
        <v>1370</v>
      </c>
      <c r="B546" s="175">
        <v>46065</v>
      </c>
      <c r="C546" s="171" t="s">
        <v>127</v>
      </c>
      <c r="D546" s="171" t="s">
        <v>129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-2000</v>
      </c>
      <c r="J546" s="175">
        <v>46057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hidden="1" customHeight="1">
      <c r="A547" s="171" t="s">
        <v>1370</v>
      </c>
      <c r="B547" s="175">
        <v>46065</v>
      </c>
      <c r="C547" s="171" t="s">
        <v>127</v>
      </c>
      <c r="D547" s="171" t="s">
        <v>130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-2000</v>
      </c>
      <c r="J547" s="175">
        <v>46057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-1052.3800000000001</v>
      </c>
    </row>
    <row r="548" spans="1:16" ht="19.5" hidden="1" customHeight="1">
      <c r="A548" s="171" t="s">
        <v>1370</v>
      </c>
      <c r="B548" s="175">
        <v>46065</v>
      </c>
      <c r="C548" s="171" t="s">
        <v>131</v>
      </c>
      <c r="D548" s="171" t="s">
        <v>132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-2000</v>
      </c>
      <c r="J548" s="175">
        <v>46057</v>
      </c>
      <c r="K548" s="171" t="s">
        <v>113</v>
      </c>
      <c r="L548" s="171" t="s">
        <v>114</v>
      </c>
      <c r="M548" s="178">
        <v>0.43</v>
      </c>
      <c r="N548" s="176"/>
      <c r="O548" s="176"/>
      <c r="P548" s="179">
        <v>860</v>
      </c>
    </row>
    <row r="549" spans="1:16" ht="19.5" hidden="1" customHeight="1">
      <c r="A549" s="171" t="s">
        <v>1370</v>
      </c>
      <c r="B549" s="175">
        <v>46065</v>
      </c>
      <c r="C549" s="171" t="s">
        <v>115</v>
      </c>
      <c r="D549" s="171" t="s">
        <v>1372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-2000</v>
      </c>
      <c r="J549" s="175">
        <v>46057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11.46</v>
      </c>
    </row>
    <row r="550" spans="1:16" ht="19.5" hidden="1" customHeight="1">
      <c r="A550" s="171" t="s">
        <v>1370</v>
      </c>
      <c r="B550" s="175">
        <v>46065</v>
      </c>
      <c r="C550" s="171" t="s">
        <v>115</v>
      </c>
      <c r="D550" s="171" t="s">
        <v>135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46057</v>
      </c>
      <c r="K550" s="171" t="s">
        <v>125</v>
      </c>
      <c r="L550" s="171" t="s">
        <v>125</v>
      </c>
      <c r="M550" s="178">
        <v>0</v>
      </c>
      <c r="N550" s="176"/>
      <c r="O550" s="176"/>
      <c r="P550" s="179">
        <v>-5.31</v>
      </c>
    </row>
    <row r="551" spans="1:16" ht="19.5" hidden="1" customHeight="1">
      <c r="A551" s="171" t="s">
        <v>1370</v>
      </c>
      <c r="B551" s="175">
        <v>46065</v>
      </c>
      <c r="C551" s="171" t="s">
        <v>115</v>
      </c>
      <c r="D551" s="171" t="s">
        <v>135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46057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5.31</v>
      </c>
    </row>
    <row r="552" spans="1:16" ht="19.5" hidden="1" customHeight="1">
      <c r="A552" s="171" t="s">
        <v>1373</v>
      </c>
      <c r="B552" s="175">
        <v>46065</v>
      </c>
      <c r="C552" s="171" t="s">
        <v>110</v>
      </c>
      <c r="D552" s="171" t="s">
        <v>24</v>
      </c>
      <c r="E552" s="171" t="s">
        <v>77</v>
      </c>
      <c r="F552" s="171" t="s">
        <v>194</v>
      </c>
      <c r="G552" s="171" t="s">
        <v>177</v>
      </c>
      <c r="H552" s="176">
        <v>1</v>
      </c>
      <c r="I552" s="177">
        <v>0</v>
      </c>
      <c r="J552" s="175">
        <v>46051</v>
      </c>
      <c r="K552" s="171" t="s">
        <v>113</v>
      </c>
      <c r="L552" s="171" t="s">
        <v>114</v>
      </c>
      <c r="M552" s="178">
        <v>0</v>
      </c>
      <c r="N552" s="176"/>
      <c r="O552" s="176">
        <v>48</v>
      </c>
      <c r="P552" s="179">
        <v>-56.94</v>
      </c>
    </row>
    <row r="553" spans="1:16" ht="19.5" hidden="1" customHeight="1">
      <c r="A553" s="171" t="s">
        <v>1373</v>
      </c>
      <c r="B553" s="175">
        <v>46065</v>
      </c>
      <c r="C553" s="171" t="s">
        <v>115</v>
      </c>
      <c r="D553" s="171" t="s">
        <v>116</v>
      </c>
      <c r="E553" s="171" t="s">
        <v>77</v>
      </c>
      <c r="F553" s="171" t="s">
        <v>194</v>
      </c>
      <c r="G553" s="171" t="s">
        <v>177</v>
      </c>
      <c r="H553" s="176">
        <v>1</v>
      </c>
      <c r="I553" s="177">
        <v>0</v>
      </c>
      <c r="J553" s="175">
        <v>46051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-15.1</v>
      </c>
    </row>
    <row r="554" spans="1:16" ht="19.5" hidden="1" customHeight="1">
      <c r="A554" s="171" t="s">
        <v>1373</v>
      </c>
      <c r="B554" s="175">
        <v>46065</v>
      </c>
      <c r="C554" s="171" t="s">
        <v>110</v>
      </c>
      <c r="D554" s="171" t="s">
        <v>117</v>
      </c>
      <c r="E554" s="171" t="s">
        <v>77</v>
      </c>
      <c r="F554" s="171" t="s">
        <v>194</v>
      </c>
      <c r="G554" s="171" t="s">
        <v>177</v>
      </c>
      <c r="H554" s="176">
        <v>1</v>
      </c>
      <c r="I554" s="177">
        <v>0</v>
      </c>
      <c r="J554" s="175">
        <v>46051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0</v>
      </c>
    </row>
    <row r="555" spans="1:16" ht="19.5" hidden="1" customHeight="1">
      <c r="A555" s="171" t="s">
        <v>1373</v>
      </c>
      <c r="B555" s="175">
        <v>46065</v>
      </c>
      <c r="C555" s="171" t="s">
        <v>110</v>
      </c>
      <c r="D555" s="171" t="s">
        <v>118</v>
      </c>
      <c r="E555" s="171" t="s">
        <v>77</v>
      </c>
      <c r="F555" s="171" t="s">
        <v>194</v>
      </c>
      <c r="G555" s="171" t="s">
        <v>177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-56.94</v>
      </c>
    </row>
    <row r="556" spans="1:16" ht="19.5" hidden="1" customHeight="1">
      <c r="A556" s="171" t="s">
        <v>1373</v>
      </c>
      <c r="B556" s="175">
        <v>46065</v>
      </c>
      <c r="C556" s="171" t="s">
        <v>115</v>
      </c>
      <c r="D556" s="171" t="s">
        <v>119</v>
      </c>
      <c r="E556" s="171" t="s">
        <v>77</v>
      </c>
      <c r="F556" s="171" t="s">
        <v>194</v>
      </c>
      <c r="G556" s="171" t="s">
        <v>177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-15</v>
      </c>
    </row>
    <row r="557" spans="1:16" ht="19.5" hidden="1" customHeight="1">
      <c r="A557" s="171" t="s">
        <v>1310</v>
      </c>
      <c r="B557" s="175">
        <v>46065</v>
      </c>
      <c r="C557" s="171" t="s">
        <v>123</v>
      </c>
      <c r="D557" s="171" t="s">
        <v>124</v>
      </c>
      <c r="E557" s="171" t="s">
        <v>125</v>
      </c>
      <c r="F557" s="171" t="s">
        <v>125</v>
      </c>
      <c r="G557" s="171" t="s">
        <v>125</v>
      </c>
      <c r="H557" s="176">
        <v>0</v>
      </c>
      <c r="I557" s="177">
        <v>0</v>
      </c>
      <c r="J557" s="175">
        <v>46065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-114</v>
      </c>
    </row>
    <row r="558" spans="1:16" ht="19.5" hidden="1" customHeight="1">
      <c r="A558" s="171" t="s">
        <v>1347</v>
      </c>
      <c r="B558" s="175">
        <v>46065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46065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-240</v>
      </c>
    </row>
    <row r="559" spans="1:16" ht="19.5" hidden="1" customHeight="1">
      <c r="A559" s="171" t="s">
        <v>1149</v>
      </c>
      <c r="B559" s="175">
        <v>46065</v>
      </c>
      <c r="C559" s="171" t="s">
        <v>110</v>
      </c>
      <c r="D559" s="171" t="s">
        <v>121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46054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0</v>
      </c>
    </row>
    <row r="560" spans="1:16" ht="19.5" hidden="1" customHeight="1">
      <c r="A560" s="171" t="s">
        <v>1149</v>
      </c>
      <c r="B560" s="175">
        <v>46065</v>
      </c>
      <c r="C560" s="171" t="s">
        <v>110</v>
      </c>
      <c r="D560" s="171" t="s">
        <v>118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46054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-46.77</v>
      </c>
    </row>
    <row r="561" spans="1:16" ht="19.5" hidden="1" customHeight="1">
      <c r="A561" s="171" t="s">
        <v>1149</v>
      </c>
      <c r="B561" s="175">
        <v>46065</v>
      </c>
      <c r="C561" s="171" t="s">
        <v>115</v>
      </c>
      <c r="D561" s="171" t="s">
        <v>119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46054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-15</v>
      </c>
    </row>
    <row r="562" spans="1:16" ht="19.5" hidden="1" customHeight="1">
      <c r="A562" s="171" t="s">
        <v>1374</v>
      </c>
      <c r="B562" s="175">
        <v>46065</v>
      </c>
      <c r="C562" s="171" t="s">
        <v>110</v>
      </c>
      <c r="D562" s="171" t="s">
        <v>24</v>
      </c>
      <c r="E562" s="171" t="s">
        <v>79</v>
      </c>
      <c r="F562" s="171" t="s">
        <v>441</v>
      </c>
      <c r="G562" s="171" t="s">
        <v>177</v>
      </c>
      <c r="H562" s="176">
        <v>1</v>
      </c>
      <c r="I562" s="177">
        <v>0</v>
      </c>
      <c r="J562" s="175">
        <v>46060</v>
      </c>
      <c r="K562" s="171" t="s">
        <v>113</v>
      </c>
      <c r="L562" s="171" t="s">
        <v>114</v>
      </c>
      <c r="M562" s="178">
        <v>0</v>
      </c>
      <c r="N562" s="176"/>
      <c r="O562" s="176">
        <v>43</v>
      </c>
      <c r="P562" s="179">
        <v>-56.94</v>
      </c>
    </row>
    <row r="563" spans="1:16" ht="19.5" hidden="1" customHeight="1">
      <c r="A563" s="171" t="s">
        <v>1374</v>
      </c>
      <c r="B563" s="175">
        <v>46065</v>
      </c>
      <c r="C563" s="171" t="s">
        <v>115</v>
      </c>
      <c r="D563" s="171" t="s">
        <v>116</v>
      </c>
      <c r="E563" s="171" t="s">
        <v>79</v>
      </c>
      <c r="F563" s="171" t="s">
        <v>441</v>
      </c>
      <c r="G563" s="171" t="s">
        <v>177</v>
      </c>
      <c r="H563" s="176">
        <v>1</v>
      </c>
      <c r="I563" s="177">
        <v>0</v>
      </c>
      <c r="J563" s="175">
        <v>46060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-12.14</v>
      </c>
    </row>
    <row r="564" spans="1:16" ht="19.5" hidden="1" customHeight="1">
      <c r="A564" s="171" t="s">
        <v>1374</v>
      </c>
      <c r="B564" s="175">
        <v>46065</v>
      </c>
      <c r="C564" s="171" t="s">
        <v>110</v>
      </c>
      <c r="D564" s="171" t="s">
        <v>117</v>
      </c>
      <c r="E564" s="171" t="s">
        <v>79</v>
      </c>
      <c r="F564" s="171" t="s">
        <v>441</v>
      </c>
      <c r="G564" s="171" t="s">
        <v>177</v>
      </c>
      <c r="H564" s="176">
        <v>1</v>
      </c>
      <c r="I564" s="177">
        <v>0</v>
      </c>
      <c r="J564" s="175">
        <v>46060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0</v>
      </c>
    </row>
    <row r="565" spans="1:16" ht="19.5" hidden="1" customHeight="1">
      <c r="A565" s="171" t="s">
        <v>1374</v>
      </c>
      <c r="B565" s="175">
        <v>46065</v>
      </c>
      <c r="C565" s="171" t="s">
        <v>110</v>
      </c>
      <c r="D565" s="171" t="s">
        <v>118</v>
      </c>
      <c r="E565" s="171" t="s">
        <v>79</v>
      </c>
      <c r="F565" s="171" t="s">
        <v>441</v>
      </c>
      <c r="G565" s="171" t="s">
        <v>177</v>
      </c>
      <c r="H565" s="176">
        <v>1</v>
      </c>
      <c r="I565" s="177">
        <v>0</v>
      </c>
      <c r="J565" s="175">
        <v>46060</v>
      </c>
      <c r="K565" s="171" t="s">
        <v>113</v>
      </c>
      <c r="L565" s="171" t="s">
        <v>114</v>
      </c>
      <c r="M565" s="178">
        <v>0</v>
      </c>
      <c r="N565" s="176"/>
      <c r="O565" s="176"/>
      <c r="P565" s="179">
        <v>-56.94</v>
      </c>
    </row>
    <row r="566" spans="1:16" ht="19.5" hidden="1" customHeight="1">
      <c r="A566" s="171" t="s">
        <v>1374</v>
      </c>
      <c r="B566" s="175">
        <v>46065</v>
      </c>
      <c r="C566" s="171" t="s">
        <v>115</v>
      </c>
      <c r="D566" s="171" t="s">
        <v>119</v>
      </c>
      <c r="E566" s="171" t="s">
        <v>79</v>
      </c>
      <c r="F566" s="171" t="s">
        <v>441</v>
      </c>
      <c r="G566" s="171" t="s">
        <v>177</v>
      </c>
      <c r="H566" s="176">
        <v>1</v>
      </c>
      <c r="I566" s="177">
        <v>0</v>
      </c>
      <c r="J566" s="175">
        <v>46060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-15</v>
      </c>
    </row>
    <row r="567" spans="1:16" ht="19.5" hidden="1" customHeight="1">
      <c r="A567" s="171" t="s">
        <v>1375</v>
      </c>
      <c r="B567" s="175">
        <v>46065</v>
      </c>
      <c r="C567" s="171" t="s">
        <v>115</v>
      </c>
      <c r="D567" s="171" t="s">
        <v>135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46065</v>
      </c>
      <c r="K567" s="171" t="s">
        <v>125</v>
      </c>
      <c r="L567" s="171" t="s">
        <v>125</v>
      </c>
      <c r="M567" s="178">
        <v>0</v>
      </c>
      <c r="N567" s="176"/>
      <c r="O567" s="176"/>
      <c r="P567" s="179">
        <v>-22.31</v>
      </c>
    </row>
    <row r="568" spans="1:16" ht="19.5" hidden="1" customHeight="1">
      <c r="A568" s="171" t="s">
        <v>1376</v>
      </c>
      <c r="B568" s="175">
        <v>46065</v>
      </c>
      <c r="C568" s="171" t="s">
        <v>110</v>
      </c>
      <c r="D568" s="171" t="s">
        <v>24</v>
      </c>
      <c r="E568" s="171" t="s">
        <v>44</v>
      </c>
      <c r="F568" s="171" t="s">
        <v>213</v>
      </c>
      <c r="G568" s="171" t="s">
        <v>214</v>
      </c>
      <c r="H568" s="176">
        <v>1</v>
      </c>
      <c r="I568" s="177">
        <v>2059</v>
      </c>
      <c r="J568" s="175">
        <v>46057</v>
      </c>
      <c r="K568" s="171" t="s">
        <v>113</v>
      </c>
      <c r="L568" s="171" t="s">
        <v>114</v>
      </c>
      <c r="M568" s="178">
        <v>0.43</v>
      </c>
      <c r="N568" s="176"/>
      <c r="O568" s="176">
        <v>42</v>
      </c>
      <c r="P568" s="179">
        <v>-132.11000000000001</v>
      </c>
    </row>
    <row r="569" spans="1:16" ht="19.5" hidden="1" customHeight="1">
      <c r="A569" s="171" t="s">
        <v>1376</v>
      </c>
      <c r="B569" s="175">
        <v>46065</v>
      </c>
      <c r="C569" s="171" t="s">
        <v>127</v>
      </c>
      <c r="D569" s="171" t="s">
        <v>128</v>
      </c>
      <c r="E569" s="171" t="s">
        <v>44</v>
      </c>
      <c r="F569" s="171" t="s">
        <v>213</v>
      </c>
      <c r="G569" s="171" t="s">
        <v>214</v>
      </c>
      <c r="H569" s="176">
        <v>1</v>
      </c>
      <c r="I569" s="177">
        <v>2059</v>
      </c>
      <c r="J569" s="175">
        <v>46057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868.57</v>
      </c>
    </row>
    <row r="570" spans="1:16" ht="19.5" hidden="1" customHeight="1">
      <c r="A570" s="171" t="s">
        <v>1376</v>
      </c>
      <c r="B570" s="175">
        <v>46065</v>
      </c>
      <c r="C570" s="171" t="s">
        <v>127</v>
      </c>
      <c r="D570" s="171" t="s">
        <v>129</v>
      </c>
      <c r="E570" s="171" t="s">
        <v>44</v>
      </c>
      <c r="F570" s="171" t="s">
        <v>213</v>
      </c>
      <c r="G570" s="171" t="s">
        <v>214</v>
      </c>
      <c r="H570" s="176">
        <v>1</v>
      </c>
      <c r="I570" s="177">
        <v>2059</v>
      </c>
      <c r="J570" s="175">
        <v>46057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8.69</v>
      </c>
    </row>
    <row r="571" spans="1:16" ht="19.5" hidden="1" customHeight="1">
      <c r="A571" s="171" t="s">
        <v>1376</v>
      </c>
      <c r="B571" s="175">
        <v>46065</v>
      </c>
      <c r="C571" s="171" t="s">
        <v>127</v>
      </c>
      <c r="D571" s="171" t="s">
        <v>130</v>
      </c>
      <c r="E571" s="171" t="s">
        <v>44</v>
      </c>
      <c r="F571" s="171" t="s">
        <v>213</v>
      </c>
      <c r="G571" s="171" t="s">
        <v>214</v>
      </c>
      <c r="H571" s="176">
        <v>1</v>
      </c>
      <c r="I571" s="177">
        <v>2059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1181.74</v>
      </c>
    </row>
    <row r="572" spans="1:16" ht="19.5" hidden="1" customHeight="1">
      <c r="A572" s="171" t="s">
        <v>1376</v>
      </c>
      <c r="B572" s="175">
        <v>46065</v>
      </c>
      <c r="C572" s="171" t="s">
        <v>131</v>
      </c>
      <c r="D572" s="171" t="s">
        <v>132</v>
      </c>
      <c r="E572" s="171" t="s">
        <v>44</v>
      </c>
      <c r="F572" s="171" t="s">
        <v>213</v>
      </c>
      <c r="G572" s="171" t="s">
        <v>214</v>
      </c>
      <c r="H572" s="176">
        <v>1</v>
      </c>
      <c r="I572" s="177">
        <v>2059</v>
      </c>
      <c r="J572" s="175">
        <v>46057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-885.37</v>
      </c>
    </row>
    <row r="573" spans="1:16" ht="19.5" hidden="1" customHeight="1">
      <c r="A573" s="171" t="s">
        <v>1376</v>
      </c>
      <c r="B573" s="175">
        <v>46065</v>
      </c>
      <c r="C573" s="171" t="s">
        <v>115</v>
      </c>
      <c r="D573" s="171" t="s">
        <v>116</v>
      </c>
      <c r="E573" s="171" t="s">
        <v>44</v>
      </c>
      <c r="F573" s="171" t="s">
        <v>213</v>
      </c>
      <c r="G573" s="171" t="s">
        <v>214</v>
      </c>
      <c r="H573" s="176">
        <v>1</v>
      </c>
      <c r="I573" s="177">
        <v>2059</v>
      </c>
      <c r="J573" s="175">
        <v>46057</v>
      </c>
      <c r="K573" s="171" t="s">
        <v>113</v>
      </c>
      <c r="L573" s="171" t="s">
        <v>114</v>
      </c>
      <c r="M573" s="178">
        <v>0.43</v>
      </c>
      <c r="N573" s="176"/>
      <c r="O573" s="176"/>
      <c r="P573" s="179">
        <v>-12.22</v>
      </c>
    </row>
    <row r="574" spans="1:16" ht="19.5" hidden="1" customHeight="1">
      <c r="A574" s="171" t="s">
        <v>1376</v>
      </c>
      <c r="B574" s="175">
        <v>46065</v>
      </c>
      <c r="C574" s="171" t="s">
        <v>115</v>
      </c>
      <c r="D574" s="171" t="s">
        <v>135</v>
      </c>
      <c r="E574" s="171" t="s">
        <v>44</v>
      </c>
      <c r="F574" s="171" t="s">
        <v>213</v>
      </c>
      <c r="G574" s="171" t="s">
        <v>214</v>
      </c>
      <c r="H574" s="176">
        <v>1</v>
      </c>
      <c r="I574" s="177">
        <v>0</v>
      </c>
      <c r="J574" s="175">
        <v>46057</v>
      </c>
      <c r="K574" s="171" t="s">
        <v>125</v>
      </c>
      <c r="L574" s="171" t="s">
        <v>125</v>
      </c>
      <c r="M574" s="178">
        <v>0</v>
      </c>
      <c r="N574" s="176"/>
      <c r="O574" s="176"/>
      <c r="P574" s="179">
        <v>-16.5</v>
      </c>
    </row>
    <row r="575" spans="1:16" ht="19.5" hidden="1" customHeight="1">
      <c r="A575" s="171" t="s">
        <v>1377</v>
      </c>
      <c r="B575" s="175">
        <v>46065</v>
      </c>
      <c r="C575" s="171" t="s">
        <v>115</v>
      </c>
      <c r="D575" s="171" t="s">
        <v>135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46065</v>
      </c>
      <c r="K575" s="171" t="s">
        <v>125</v>
      </c>
      <c r="L575" s="171" t="s">
        <v>125</v>
      </c>
      <c r="M575" s="178">
        <v>0</v>
      </c>
      <c r="N575" s="176"/>
      <c r="O575" s="176"/>
      <c r="P575" s="179">
        <v>-22.35</v>
      </c>
    </row>
    <row r="576" spans="1:16" ht="19.5" hidden="1" customHeight="1">
      <c r="A576" s="171" t="s">
        <v>1378</v>
      </c>
      <c r="B576" s="175">
        <v>46065</v>
      </c>
      <c r="C576" s="171" t="s">
        <v>115</v>
      </c>
      <c r="D576" s="171" t="s">
        <v>135</v>
      </c>
      <c r="E576" s="171" t="s">
        <v>44</v>
      </c>
      <c r="F576" s="171" t="s">
        <v>213</v>
      </c>
      <c r="G576" s="171" t="s">
        <v>214</v>
      </c>
      <c r="H576" s="176">
        <v>1</v>
      </c>
      <c r="I576" s="177">
        <v>0</v>
      </c>
      <c r="J576" s="175">
        <v>46065</v>
      </c>
      <c r="K576" s="171" t="s">
        <v>125</v>
      </c>
      <c r="L576" s="171" t="s">
        <v>125</v>
      </c>
      <c r="M576" s="178">
        <v>0</v>
      </c>
      <c r="N576" s="176"/>
      <c r="O576" s="176"/>
      <c r="P576" s="179">
        <v>-18.100000000000001</v>
      </c>
    </row>
    <row r="577" spans="1:16" ht="19.5" hidden="1" customHeight="1">
      <c r="A577" s="171" t="s">
        <v>1379</v>
      </c>
      <c r="B577" s="175">
        <v>46065</v>
      </c>
      <c r="C577" s="171" t="s">
        <v>110</v>
      </c>
      <c r="D577" s="171" t="s">
        <v>24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2000</v>
      </c>
      <c r="J577" s="175">
        <v>46058</v>
      </c>
      <c r="K577" s="171" t="s">
        <v>113</v>
      </c>
      <c r="L577" s="171" t="s">
        <v>114</v>
      </c>
      <c r="M577" s="178">
        <v>0.43</v>
      </c>
      <c r="N577" s="176"/>
      <c r="O577" s="176">
        <v>42</v>
      </c>
      <c r="P577" s="179">
        <v>-130.43</v>
      </c>
    </row>
    <row r="578" spans="1:16" ht="19.5" hidden="1" customHeight="1">
      <c r="A578" s="171" t="s">
        <v>1379</v>
      </c>
      <c r="B578" s="175">
        <v>46065</v>
      </c>
      <c r="C578" s="171" t="s">
        <v>127</v>
      </c>
      <c r="D578" s="171" t="s">
        <v>128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2000</v>
      </c>
      <c r="J578" s="175">
        <v>46058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835.24</v>
      </c>
    </row>
    <row r="579" spans="1:16" ht="19.5" hidden="1" customHeight="1">
      <c r="A579" s="171" t="s">
        <v>1379</v>
      </c>
      <c r="B579" s="175">
        <v>46065</v>
      </c>
      <c r="C579" s="171" t="s">
        <v>127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2000</v>
      </c>
      <c r="J579" s="175">
        <v>46058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8.35</v>
      </c>
    </row>
    <row r="580" spans="1:16" ht="19.5" hidden="1" customHeight="1">
      <c r="A580" s="171" t="s">
        <v>1379</v>
      </c>
      <c r="B580" s="175">
        <v>46065</v>
      </c>
      <c r="C580" s="171" t="s">
        <v>127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2000</v>
      </c>
      <c r="J580" s="175">
        <v>46058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1156.4100000000001</v>
      </c>
    </row>
    <row r="581" spans="1:16" ht="19.5" hidden="1" customHeight="1">
      <c r="A581" s="171" t="s">
        <v>1379</v>
      </c>
      <c r="B581" s="175">
        <v>46065</v>
      </c>
      <c r="C581" s="171" t="s">
        <v>131</v>
      </c>
      <c r="D581" s="171" t="s">
        <v>132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2000</v>
      </c>
      <c r="J581" s="175">
        <v>46058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-860</v>
      </c>
    </row>
    <row r="582" spans="1:16" ht="19.5" hidden="1" customHeight="1">
      <c r="A582" s="171" t="s">
        <v>1379</v>
      </c>
      <c r="B582" s="175">
        <v>46065</v>
      </c>
      <c r="C582" s="171" t="s">
        <v>115</v>
      </c>
      <c r="D582" s="171" t="s">
        <v>116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2000</v>
      </c>
      <c r="J582" s="175">
        <v>46058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-14.87</v>
      </c>
    </row>
    <row r="583" spans="1:16" ht="19.5" hidden="1" customHeight="1">
      <c r="A583" s="171" t="s">
        <v>1351</v>
      </c>
      <c r="B583" s="175">
        <v>46065</v>
      </c>
      <c r="C583" s="171" t="s">
        <v>115</v>
      </c>
      <c r="D583" s="171" t="s">
        <v>135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0</v>
      </c>
      <c r="J583" s="175">
        <v>46064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22.8</v>
      </c>
    </row>
    <row r="584" spans="1:16" ht="19.5" hidden="1" customHeight="1">
      <c r="A584" s="171" t="s">
        <v>1380</v>
      </c>
      <c r="B584" s="175">
        <v>46065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46065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-24.69</v>
      </c>
    </row>
    <row r="585" spans="1:16" ht="19.5" hidden="1" customHeight="1">
      <c r="A585" s="171" t="s">
        <v>1381</v>
      </c>
      <c r="B585" s="175">
        <v>46065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2400</v>
      </c>
      <c r="J585" s="175">
        <v>46063</v>
      </c>
      <c r="K585" s="171" t="s">
        <v>113</v>
      </c>
      <c r="L585" s="171" t="s">
        <v>114</v>
      </c>
      <c r="M585" s="178">
        <v>0.43</v>
      </c>
      <c r="N585" s="176"/>
      <c r="O585" s="176">
        <v>44</v>
      </c>
      <c r="P585" s="179">
        <v>-151.84</v>
      </c>
    </row>
    <row r="586" spans="1:16" ht="19.5" hidden="1" customHeight="1">
      <c r="A586" s="171" t="s">
        <v>1381</v>
      </c>
      <c r="B586" s="175">
        <v>46065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2400</v>
      </c>
      <c r="J586" s="175">
        <v>46063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899.05</v>
      </c>
    </row>
    <row r="587" spans="1:16" ht="19.5" hidden="1" customHeight="1">
      <c r="A587" s="171" t="s">
        <v>1381</v>
      </c>
      <c r="B587" s="175">
        <v>46065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2400</v>
      </c>
      <c r="J587" s="175">
        <v>46063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8.99</v>
      </c>
    </row>
    <row r="588" spans="1:16" ht="19.5" hidden="1" customHeight="1">
      <c r="A588" s="171" t="s">
        <v>1381</v>
      </c>
      <c r="B588" s="175">
        <v>46065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2400</v>
      </c>
      <c r="J588" s="175">
        <v>46063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1491.96</v>
      </c>
    </row>
    <row r="589" spans="1:16" ht="19.5" hidden="1" customHeight="1">
      <c r="A589" s="171" t="s">
        <v>1381</v>
      </c>
      <c r="B589" s="175">
        <v>46065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2400</v>
      </c>
      <c r="J589" s="175">
        <v>46063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-1032</v>
      </c>
    </row>
    <row r="590" spans="1:16" ht="19.5" hidden="1" customHeight="1">
      <c r="A590" s="171" t="s">
        <v>1381</v>
      </c>
      <c r="B590" s="175">
        <v>46065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2400</v>
      </c>
      <c r="J590" s="175">
        <v>46063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-25</v>
      </c>
    </row>
    <row r="591" spans="1:16" ht="19.5" hidden="1" customHeight="1">
      <c r="A591" s="171" t="s">
        <v>1381</v>
      </c>
      <c r="B591" s="175">
        <v>46065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46063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-17.079999999999998</v>
      </c>
    </row>
    <row r="592" spans="1:16" ht="19.5" hidden="1" customHeight="1">
      <c r="A592" s="171" t="s">
        <v>1382</v>
      </c>
      <c r="B592" s="175">
        <v>46065</v>
      </c>
      <c r="C592" s="171" t="s">
        <v>110</v>
      </c>
      <c r="D592" s="171" t="s">
        <v>24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2400</v>
      </c>
      <c r="J592" s="175">
        <v>46063</v>
      </c>
      <c r="K592" s="171" t="s">
        <v>113</v>
      </c>
      <c r="L592" s="171" t="s">
        <v>114</v>
      </c>
      <c r="M592" s="178">
        <v>0.43</v>
      </c>
      <c r="N592" s="176"/>
      <c r="O592" s="176">
        <v>44</v>
      </c>
      <c r="P592" s="179">
        <v>-151.84</v>
      </c>
    </row>
    <row r="593" spans="1:16" ht="19.5" hidden="1" customHeight="1">
      <c r="A593" s="171" t="s">
        <v>1382</v>
      </c>
      <c r="B593" s="175">
        <v>46065</v>
      </c>
      <c r="C593" s="171" t="s">
        <v>127</v>
      </c>
      <c r="D593" s="171" t="s">
        <v>128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2400</v>
      </c>
      <c r="J593" s="175">
        <v>46063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1001.9</v>
      </c>
    </row>
    <row r="594" spans="1:16" ht="19.5" hidden="1" customHeight="1">
      <c r="A594" s="171" t="s">
        <v>1382</v>
      </c>
      <c r="B594" s="175">
        <v>46065</v>
      </c>
      <c r="C594" s="171" t="s">
        <v>127</v>
      </c>
      <c r="D594" s="171" t="s">
        <v>129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2400</v>
      </c>
      <c r="J594" s="175">
        <v>46063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10.02</v>
      </c>
    </row>
    <row r="595" spans="1:16" ht="19.5" hidden="1" customHeight="1">
      <c r="A595" s="171" t="s">
        <v>1382</v>
      </c>
      <c r="B595" s="175">
        <v>46065</v>
      </c>
      <c r="C595" s="171" t="s">
        <v>127</v>
      </c>
      <c r="D595" s="171" t="s">
        <v>130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2400</v>
      </c>
      <c r="J595" s="175">
        <v>46063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1388.08</v>
      </c>
    </row>
    <row r="596" spans="1:16" ht="19.5" hidden="1" customHeight="1">
      <c r="A596" s="171" t="s">
        <v>1382</v>
      </c>
      <c r="B596" s="175">
        <v>46065</v>
      </c>
      <c r="C596" s="171" t="s">
        <v>131</v>
      </c>
      <c r="D596" s="171" t="s">
        <v>132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2400</v>
      </c>
      <c r="J596" s="175">
        <v>46063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-1032</v>
      </c>
    </row>
    <row r="597" spans="1:16" ht="19.5" hidden="1" customHeight="1">
      <c r="A597" s="171" t="s">
        <v>1382</v>
      </c>
      <c r="B597" s="175">
        <v>46065</v>
      </c>
      <c r="C597" s="171" t="s">
        <v>115</v>
      </c>
      <c r="D597" s="171" t="s">
        <v>116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2400</v>
      </c>
      <c r="J597" s="175">
        <v>46063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-13.65</v>
      </c>
    </row>
    <row r="598" spans="1:16" ht="19.5" hidden="1" customHeight="1">
      <c r="A598" s="171" t="s">
        <v>1383</v>
      </c>
      <c r="B598" s="175">
        <v>46065</v>
      </c>
      <c r="C598" s="171" t="s">
        <v>110</v>
      </c>
      <c r="D598" s="171" t="s">
        <v>24</v>
      </c>
      <c r="E598" s="171" t="s">
        <v>50</v>
      </c>
      <c r="F598" s="171" t="s">
        <v>413</v>
      </c>
      <c r="G598" s="171" t="s">
        <v>112</v>
      </c>
      <c r="H598" s="176">
        <v>1</v>
      </c>
      <c r="I598" s="177">
        <v>2100</v>
      </c>
      <c r="J598" s="175">
        <v>46064</v>
      </c>
      <c r="K598" s="171" t="s">
        <v>113</v>
      </c>
      <c r="L598" s="171" t="s">
        <v>114</v>
      </c>
      <c r="M598" s="178">
        <v>0.43</v>
      </c>
      <c r="N598" s="176"/>
      <c r="O598" s="176">
        <v>45</v>
      </c>
      <c r="P598" s="179">
        <v>-146.94</v>
      </c>
    </row>
    <row r="599" spans="1:16" ht="19.5" hidden="1" customHeight="1">
      <c r="A599" s="171" t="s">
        <v>1383</v>
      </c>
      <c r="B599" s="175">
        <v>46065</v>
      </c>
      <c r="C599" s="171" t="s">
        <v>127</v>
      </c>
      <c r="D599" s="171" t="s">
        <v>128</v>
      </c>
      <c r="E599" s="171" t="s">
        <v>50</v>
      </c>
      <c r="F599" s="171" t="s">
        <v>413</v>
      </c>
      <c r="G599" s="171" t="s">
        <v>112</v>
      </c>
      <c r="H599" s="176">
        <v>1</v>
      </c>
      <c r="I599" s="177">
        <v>2100</v>
      </c>
      <c r="J599" s="175">
        <v>46064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1171.56</v>
      </c>
    </row>
    <row r="600" spans="1:16" ht="19.5" hidden="1" customHeight="1">
      <c r="A600" s="171" t="s">
        <v>1383</v>
      </c>
      <c r="B600" s="175">
        <v>46065</v>
      </c>
      <c r="C600" s="171" t="s">
        <v>127</v>
      </c>
      <c r="D600" s="171" t="s">
        <v>129</v>
      </c>
      <c r="E600" s="171" t="s">
        <v>50</v>
      </c>
      <c r="F600" s="171" t="s">
        <v>413</v>
      </c>
      <c r="G600" s="171" t="s">
        <v>112</v>
      </c>
      <c r="H600" s="176">
        <v>1</v>
      </c>
      <c r="I600" s="177">
        <v>2100</v>
      </c>
      <c r="J600" s="175">
        <v>46064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0</v>
      </c>
    </row>
    <row r="601" spans="1:16" ht="19.5" hidden="1" customHeight="1">
      <c r="A601" s="171" t="s">
        <v>1383</v>
      </c>
      <c r="B601" s="175">
        <v>46065</v>
      </c>
      <c r="C601" s="171" t="s">
        <v>127</v>
      </c>
      <c r="D601" s="171" t="s">
        <v>130</v>
      </c>
      <c r="E601" s="171" t="s">
        <v>50</v>
      </c>
      <c r="F601" s="171" t="s">
        <v>413</v>
      </c>
      <c r="G601" s="171" t="s">
        <v>112</v>
      </c>
      <c r="H601" s="176">
        <v>1</v>
      </c>
      <c r="I601" s="177">
        <v>2100</v>
      </c>
      <c r="J601" s="175">
        <v>46064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928.44</v>
      </c>
    </row>
    <row r="602" spans="1:16" ht="19.5" hidden="1" customHeight="1">
      <c r="A602" s="171" t="s">
        <v>1383</v>
      </c>
      <c r="B602" s="175">
        <v>46065</v>
      </c>
      <c r="C602" s="171" t="s">
        <v>131</v>
      </c>
      <c r="D602" s="171" t="s">
        <v>132</v>
      </c>
      <c r="E602" s="171" t="s">
        <v>50</v>
      </c>
      <c r="F602" s="171" t="s">
        <v>413</v>
      </c>
      <c r="G602" s="171" t="s">
        <v>112</v>
      </c>
      <c r="H602" s="176">
        <v>1</v>
      </c>
      <c r="I602" s="177">
        <v>2100</v>
      </c>
      <c r="J602" s="175">
        <v>46064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-903</v>
      </c>
    </row>
    <row r="603" spans="1:16" ht="19.5" hidden="1" customHeight="1">
      <c r="A603" s="171" t="s">
        <v>1383</v>
      </c>
      <c r="B603" s="175">
        <v>46065</v>
      </c>
      <c r="C603" s="171" t="s">
        <v>115</v>
      </c>
      <c r="D603" s="171" t="s">
        <v>116</v>
      </c>
      <c r="E603" s="171" t="s">
        <v>50</v>
      </c>
      <c r="F603" s="171" t="s">
        <v>413</v>
      </c>
      <c r="G603" s="171" t="s">
        <v>112</v>
      </c>
      <c r="H603" s="176">
        <v>1</v>
      </c>
      <c r="I603" s="177">
        <v>2100</v>
      </c>
      <c r="J603" s="175">
        <v>46064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-11.78</v>
      </c>
    </row>
    <row r="604" spans="1:16" ht="19.5" hidden="1" customHeight="1">
      <c r="A604" s="171" t="s">
        <v>1382</v>
      </c>
      <c r="B604" s="175">
        <v>46065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1</v>
      </c>
      <c r="I604" s="177">
        <v>0</v>
      </c>
      <c r="J604" s="175">
        <v>46063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-19.04</v>
      </c>
    </row>
    <row r="605" spans="1:16" ht="19.5" hidden="1" customHeight="1">
      <c r="A605" s="171" t="s">
        <v>1384</v>
      </c>
      <c r="B605" s="175">
        <v>46065</v>
      </c>
      <c r="C605" s="171" t="s">
        <v>110</v>
      </c>
      <c r="D605" s="171" t="s">
        <v>24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2400</v>
      </c>
      <c r="J605" s="175">
        <v>46060</v>
      </c>
      <c r="K605" s="171" t="s">
        <v>113</v>
      </c>
      <c r="L605" s="171" t="s">
        <v>114</v>
      </c>
      <c r="M605" s="178">
        <v>0.43</v>
      </c>
      <c r="N605" s="176"/>
      <c r="O605" s="176">
        <v>43</v>
      </c>
      <c r="P605" s="179">
        <v>-146.83000000000001</v>
      </c>
    </row>
    <row r="606" spans="1:16" ht="19.5" hidden="1" customHeight="1">
      <c r="A606" s="171" t="s">
        <v>1384</v>
      </c>
      <c r="B606" s="175">
        <v>46065</v>
      </c>
      <c r="C606" s="171" t="s">
        <v>127</v>
      </c>
      <c r="D606" s="171" t="s">
        <v>128</v>
      </c>
      <c r="E606" s="171" t="s">
        <v>38</v>
      </c>
      <c r="F606" s="171" t="s">
        <v>111</v>
      </c>
      <c r="G606" s="171" t="s">
        <v>112</v>
      </c>
      <c r="H606" s="176">
        <v>1</v>
      </c>
      <c r="I606" s="177">
        <v>2400</v>
      </c>
      <c r="J606" s="175">
        <v>46060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1189.52</v>
      </c>
    </row>
    <row r="607" spans="1:16" ht="19.5" hidden="1" customHeight="1">
      <c r="A607" s="171" t="s">
        <v>1384</v>
      </c>
      <c r="B607" s="175">
        <v>46065</v>
      </c>
      <c r="C607" s="171" t="s">
        <v>127</v>
      </c>
      <c r="D607" s="171" t="s">
        <v>129</v>
      </c>
      <c r="E607" s="171" t="s">
        <v>38</v>
      </c>
      <c r="F607" s="171" t="s">
        <v>111</v>
      </c>
      <c r="G607" s="171" t="s">
        <v>112</v>
      </c>
      <c r="H607" s="176">
        <v>1</v>
      </c>
      <c r="I607" s="177">
        <v>2400</v>
      </c>
      <c r="J607" s="175">
        <v>46060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11.9</v>
      </c>
    </row>
    <row r="608" spans="1:16" ht="19.5" hidden="1" customHeight="1">
      <c r="A608" s="171" t="s">
        <v>1384</v>
      </c>
      <c r="B608" s="175">
        <v>46065</v>
      </c>
      <c r="C608" s="171" t="s">
        <v>127</v>
      </c>
      <c r="D608" s="171" t="s">
        <v>130</v>
      </c>
      <c r="E608" s="171" t="s">
        <v>38</v>
      </c>
      <c r="F608" s="171" t="s">
        <v>111</v>
      </c>
      <c r="G608" s="171" t="s">
        <v>112</v>
      </c>
      <c r="H608" s="176">
        <v>1</v>
      </c>
      <c r="I608" s="177">
        <v>2400</v>
      </c>
      <c r="J608" s="175">
        <v>46060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1198.58</v>
      </c>
    </row>
    <row r="609" spans="1:16" ht="19.5" hidden="1" customHeight="1">
      <c r="A609" s="171" t="s">
        <v>1384</v>
      </c>
      <c r="B609" s="175">
        <v>46065</v>
      </c>
      <c r="C609" s="171" t="s">
        <v>131</v>
      </c>
      <c r="D609" s="171" t="s">
        <v>132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2400</v>
      </c>
      <c r="J609" s="175">
        <v>46060</v>
      </c>
      <c r="K609" s="171" t="s">
        <v>113</v>
      </c>
      <c r="L609" s="171" t="s">
        <v>114</v>
      </c>
      <c r="M609" s="178">
        <v>0.43</v>
      </c>
      <c r="N609" s="176"/>
      <c r="O609" s="176"/>
      <c r="P609" s="179">
        <v>-1032</v>
      </c>
    </row>
    <row r="610" spans="1:16" ht="19.5" hidden="1" customHeight="1">
      <c r="A610" s="171" t="s">
        <v>1384</v>
      </c>
      <c r="B610" s="175">
        <v>46065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2400</v>
      </c>
      <c r="J610" s="175">
        <v>46060</v>
      </c>
      <c r="K610" s="171" t="s">
        <v>113</v>
      </c>
      <c r="L610" s="171" t="s">
        <v>114</v>
      </c>
      <c r="M610" s="178">
        <v>0.43</v>
      </c>
      <c r="N610" s="176"/>
      <c r="O610" s="176"/>
      <c r="P610" s="179">
        <v>-12.48</v>
      </c>
    </row>
    <row r="611" spans="1:16" ht="19.5" hidden="1" customHeight="1">
      <c r="A611" s="171" t="s">
        <v>1385</v>
      </c>
      <c r="B611" s="175">
        <v>46065</v>
      </c>
      <c r="C611" s="171" t="s">
        <v>115</v>
      </c>
      <c r="D611" s="171" t="s">
        <v>135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0</v>
      </c>
      <c r="J611" s="175">
        <v>46065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-23.68</v>
      </c>
    </row>
    <row r="612" spans="1:16" ht="19.5" hidden="1" customHeight="1">
      <c r="A612" s="171" t="s">
        <v>1152</v>
      </c>
      <c r="B612" s="175">
        <v>46065</v>
      </c>
      <c r="C612" s="171" t="s">
        <v>110</v>
      </c>
      <c r="D612" s="171" t="s">
        <v>24</v>
      </c>
      <c r="E612" s="171" t="s">
        <v>69</v>
      </c>
      <c r="F612" s="171" t="s">
        <v>675</v>
      </c>
      <c r="G612" s="171" t="s">
        <v>177</v>
      </c>
      <c r="H612" s="176">
        <v>1</v>
      </c>
      <c r="I612" s="177">
        <v>0</v>
      </c>
      <c r="J612" s="175">
        <v>46044</v>
      </c>
      <c r="K612" s="171" t="s">
        <v>113</v>
      </c>
      <c r="L612" s="171" t="s">
        <v>114</v>
      </c>
      <c r="M612" s="178">
        <v>0</v>
      </c>
      <c r="N612" s="176"/>
      <c r="O612" s="176">
        <v>54</v>
      </c>
      <c r="P612" s="179">
        <v>-56.94</v>
      </c>
    </row>
    <row r="613" spans="1:16" ht="19.5" hidden="1" customHeight="1">
      <c r="A613" s="171" t="s">
        <v>1152</v>
      </c>
      <c r="B613" s="175">
        <v>46065</v>
      </c>
      <c r="C613" s="171" t="s">
        <v>115</v>
      </c>
      <c r="D613" s="171" t="s">
        <v>116</v>
      </c>
      <c r="E613" s="171" t="s">
        <v>69</v>
      </c>
      <c r="F613" s="171" t="s">
        <v>675</v>
      </c>
      <c r="G613" s="171" t="s">
        <v>177</v>
      </c>
      <c r="H613" s="176">
        <v>1</v>
      </c>
      <c r="I613" s="177">
        <v>0</v>
      </c>
      <c r="J613" s="175">
        <v>46044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-13.53</v>
      </c>
    </row>
    <row r="614" spans="1:16" ht="19.5" hidden="1" customHeight="1">
      <c r="A614" s="171" t="s">
        <v>1152</v>
      </c>
      <c r="B614" s="175">
        <v>46065</v>
      </c>
      <c r="C614" s="171" t="s">
        <v>110</v>
      </c>
      <c r="D614" s="171" t="s">
        <v>117</v>
      </c>
      <c r="E614" s="171" t="s">
        <v>69</v>
      </c>
      <c r="F614" s="171" t="s">
        <v>675</v>
      </c>
      <c r="G614" s="171" t="s">
        <v>177</v>
      </c>
      <c r="H614" s="176">
        <v>1</v>
      </c>
      <c r="I614" s="177">
        <v>0</v>
      </c>
      <c r="J614" s="175">
        <v>46044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0</v>
      </c>
    </row>
    <row r="615" spans="1:16" ht="19.5" hidden="1" customHeight="1">
      <c r="A615" s="171" t="s">
        <v>1152</v>
      </c>
      <c r="B615" s="175">
        <v>46065</v>
      </c>
      <c r="C615" s="171" t="s">
        <v>110</v>
      </c>
      <c r="D615" s="171" t="s">
        <v>118</v>
      </c>
      <c r="E615" s="171" t="s">
        <v>69</v>
      </c>
      <c r="F615" s="171" t="s">
        <v>675</v>
      </c>
      <c r="G615" s="171" t="s">
        <v>177</v>
      </c>
      <c r="H615" s="176">
        <v>1</v>
      </c>
      <c r="I615" s="177">
        <v>0</v>
      </c>
      <c r="J615" s="175">
        <v>46044</v>
      </c>
      <c r="K615" s="171" t="s">
        <v>113</v>
      </c>
      <c r="L615" s="171" t="s">
        <v>114</v>
      </c>
      <c r="M615" s="178">
        <v>0</v>
      </c>
      <c r="N615" s="176"/>
      <c r="O615" s="176"/>
      <c r="P615" s="179">
        <v>-56.94</v>
      </c>
    </row>
    <row r="616" spans="1:16" ht="19.5" hidden="1" customHeight="1">
      <c r="A616" s="171" t="s">
        <v>1152</v>
      </c>
      <c r="B616" s="175">
        <v>46065</v>
      </c>
      <c r="C616" s="171" t="s">
        <v>115</v>
      </c>
      <c r="D616" s="171" t="s">
        <v>119</v>
      </c>
      <c r="E616" s="171" t="s">
        <v>69</v>
      </c>
      <c r="F616" s="171" t="s">
        <v>675</v>
      </c>
      <c r="G616" s="171" t="s">
        <v>177</v>
      </c>
      <c r="H616" s="176">
        <v>1</v>
      </c>
      <c r="I616" s="177">
        <v>0</v>
      </c>
      <c r="J616" s="175">
        <v>46044</v>
      </c>
      <c r="K616" s="171" t="s">
        <v>113</v>
      </c>
      <c r="L616" s="171" t="s">
        <v>114</v>
      </c>
      <c r="M616" s="178">
        <v>0</v>
      </c>
      <c r="N616" s="176"/>
      <c r="O616" s="176"/>
      <c r="P616" s="179">
        <v>-15</v>
      </c>
    </row>
    <row r="617" spans="1:16" ht="19.5" hidden="1" customHeight="1">
      <c r="A617" s="171" t="s">
        <v>1313</v>
      </c>
      <c r="B617" s="175">
        <v>46065</v>
      </c>
      <c r="C617" s="171" t="s">
        <v>115</v>
      </c>
      <c r="D617" s="171" t="s">
        <v>135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0</v>
      </c>
      <c r="J617" s="175">
        <v>46063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5.8</v>
      </c>
    </row>
    <row r="618" spans="1:16" ht="19.5" customHeight="1">
      <c r="A618" s="171" t="s">
        <v>1386</v>
      </c>
      <c r="B618" s="175">
        <v>46065</v>
      </c>
      <c r="C618" s="171" t="s">
        <v>1317</v>
      </c>
      <c r="D618" s="171" t="s">
        <v>508</v>
      </c>
      <c r="E618" s="171" t="s">
        <v>66</v>
      </c>
      <c r="F618" s="171" t="s">
        <v>602</v>
      </c>
      <c r="G618" s="171" t="s">
        <v>177</v>
      </c>
      <c r="H618" s="176">
        <v>1</v>
      </c>
      <c r="I618" s="177">
        <v>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</v>
      </c>
    </row>
    <row r="619" spans="1:16" ht="19.5" hidden="1" customHeight="1">
      <c r="A619" s="171" t="s">
        <v>1386</v>
      </c>
      <c r="B619" s="175">
        <v>46065</v>
      </c>
      <c r="C619" s="171" t="s">
        <v>115</v>
      </c>
      <c r="D619" s="171" t="s">
        <v>510</v>
      </c>
      <c r="E619" s="171" t="s">
        <v>66</v>
      </c>
      <c r="F619" s="171" t="s">
        <v>602</v>
      </c>
      <c r="G619" s="171" t="s">
        <v>177</v>
      </c>
      <c r="H619" s="176">
        <v>1</v>
      </c>
      <c r="I619" s="177">
        <v>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-10</v>
      </c>
    </row>
    <row r="620" spans="1:16" ht="19.5" hidden="1" customHeight="1">
      <c r="A620" s="171" t="s">
        <v>1387</v>
      </c>
      <c r="B620" s="175">
        <v>46065</v>
      </c>
      <c r="C620" s="171" t="s">
        <v>110</v>
      </c>
      <c r="D620" s="171" t="s">
        <v>24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0</v>
      </c>
      <c r="J620" s="175">
        <v>46058</v>
      </c>
      <c r="K620" s="171" t="s">
        <v>113</v>
      </c>
      <c r="L620" s="171" t="s">
        <v>114</v>
      </c>
      <c r="M620" s="178">
        <v>0</v>
      </c>
      <c r="N620" s="176"/>
      <c r="O620" s="176">
        <v>42</v>
      </c>
      <c r="P620" s="179">
        <v>-46.77</v>
      </c>
    </row>
    <row r="621" spans="1:16" ht="19.5" hidden="1" customHeight="1">
      <c r="A621" s="171" t="s">
        <v>1387</v>
      </c>
      <c r="B621" s="175">
        <v>46065</v>
      </c>
      <c r="C621" s="171" t="s">
        <v>115</v>
      </c>
      <c r="D621" s="171" t="s">
        <v>116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0</v>
      </c>
      <c r="J621" s="175">
        <v>46058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-10.54</v>
      </c>
    </row>
    <row r="622" spans="1:16" ht="19.5" hidden="1" customHeight="1">
      <c r="A622" s="171" t="s">
        <v>1387</v>
      </c>
      <c r="B622" s="175">
        <v>46065</v>
      </c>
      <c r="C622" s="171" t="s">
        <v>110</v>
      </c>
      <c r="D622" s="171" t="s">
        <v>117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0</v>
      </c>
      <c r="J622" s="175">
        <v>46058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0</v>
      </c>
    </row>
    <row r="623" spans="1:16" ht="19.5" hidden="1" customHeight="1">
      <c r="A623" s="171" t="s">
        <v>1387</v>
      </c>
      <c r="B623" s="175">
        <v>46065</v>
      </c>
      <c r="C623" s="171" t="s">
        <v>110</v>
      </c>
      <c r="D623" s="171" t="s">
        <v>118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46058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-46.77</v>
      </c>
    </row>
    <row r="624" spans="1:16" ht="19.5" hidden="1" customHeight="1">
      <c r="A624" s="171" t="s">
        <v>1387</v>
      </c>
      <c r="B624" s="175">
        <v>46065</v>
      </c>
      <c r="C624" s="171" t="s">
        <v>115</v>
      </c>
      <c r="D624" s="171" t="s">
        <v>119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-15</v>
      </c>
    </row>
    <row r="625" spans="1:16" ht="19.5" hidden="1" customHeight="1">
      <c r="A625" s="171" t="s">
        <v>1356</v>
      </c>
      <c r="B625" s="175">
        <v>46065</v>
      </c>
      <c r="C625" s="171" t="s">
        <v>151</v>
      </c>
      <c r="D625" s="171" t="s">
        <v>152</v>
      </c>
      <c r="E625" s="171" t="s">
        <v>125</v>
      </c>
      <c r="F625" s="171" t="s">
        <v>125</v>
      </c>
      <c r="G625" s="171" t="s">
        <v>125</v>
      </c>
      <c r="H625" s="176">
        <v>0</v>
      </c>
      <c r="I625" s="177">
        <v>0</v>
      </c>
      <c r="J625" s="175">
        <v>46065</v>
      </c>
      <c r="K625" s="171" t="s">
        <v>125</v>
      </c>
      <c r="L625" s="171" t="s">
        <v>125</v>
      </c>
      <c r="M625" s="178">
        <v>0</v>
      </c>
      <c r="N625" s="176"/>
      <c r="O625" s="176"/>
      <c r="P625" s="179">
        <v>-295.44</v>
      </c>
    </row>
    <row r="626" spans="1:16" ht="19.5" hidden="1" customHeight="1">
      <c r="A626" s="171" t="s">
        <v>150</v>
      </c>
      <c r="B626" s="175">
        <v>46065</v>
      </c>
      <c r="C626" s="171" t="s">
        <v>151</v>
      </c>
      <c r="D626" s="171" t="s">
        <v>152</v>
      </c>
      <c r="E626" s="171" t="s">
        <v>125</v>
      </c>
      <c r="F626" s="171" t="s">
        <v>125</v>
      </c>
      <c r="G626" s="171" t="s">
        <v>125</v>
      </c>
      <c r="H626" s="176">
        <v>0</v>
      </c>
      <c r="I626" s="177">
        <v>0</v>
      </c>
      <c r="J626" s="175">
        <v>46065</v>
      </c>
      <c r="K626" s="171" t="s">
        <v>125</v>
      </c>
      <c r="L626" s="171" t="s">
        <v>125</v>
      </c>
      <c r="M626" s="178">
        <v>0</v>
      </c>
      <c r="N626" s="176"/>
      <c r="O626" s="176"/>
      <c r="P626" s="179">
        <v>-806.44</v>
      </c>
    </row>
    <row r="627" spans="1:16" ht="19.5" hidden="1" customHeight="1">
      <c r="A627" s="171" t="s">
        <v>1388</v>
      </c>
      <c r="B627" s="175">
        <v>46065</v>
      </c>
      <c r="C627" s="171" t="s">
        <v>151</v>
      </c>
      <c r="D627" s="171" t="s">
        <v>152</v>
      </c>
      <c r="E627" s="171" t="s">
        <v>125</v>
      </c>
      <c r="F627" s="171" t="s">
        <v>125</v>
      </c>
      <c r="G627" s="171" t="s">
        <v>125</v>
      </c>
      <c r="H627" s="176">
        <v>0</v>
      </c>
      <c r="I627" s="177">
        <v>0</v>
      </c>
      <c r="J627" s="175">
        <v>46065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-163.08000000000001</v>
      </c>
    </row>
    <row r="628" spans="1:16" ht="19.5" hidden="1" customHeight="1">
      <c r="A628" s="171" t="s">
        <v>1389</v>
      </c>
      <c r="B628" s="175">
        <v>46065</v>
      </c>
      <c r="C628" s="171" t="s">
        <v>151</v>
      </c>
      <c r="D628" s="171" t="s">
        <v>152</v>
      </c>
      <c r="E628" s="171" t="s">
        <v>125</v>
      </c>
      <c r="F628" s="171" t="s">
        <v>125</v>
      </c>
      <c r="G628" s="171" t="s">
        <v>125</v>
      </c>
      <c r="H628" s="176">
        <v>0</v>
      </c>
      <c r="I628" s="177">
        <v>0</v>
      </c>
      <c r="J628" s="175">
        <v>46065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-234.08</v>
      </c>
    </row>
    <row r="629" spans="1:16" ht="19.5" hidden="1" customHeight="1">
      <c r="A629" s="171" t="s">
        <v>155</v>
      </c>
      <c r="B629" s="175">
        <v>46065</v>
      </c>
      <c r="C629" s="171" t="s">
        <v>151</v>
      </c>
      <c r="D629" s="171" t="s">
        <v>156</v>
      </c>
      <c r="E629" s="171" t="s">
        <v>125</v>
      </c>
      <c r="F629" s="171" t="s">
        <v>125</v>
      </c>
      <c r="G629" s="171" t="s">
        <v>125</v>
      </c>
      <c r="H629" s="176">
        <v>0</v>
      </c>
      <c r="I629" s="177">
        <v>0</v>
      </c>
      <c r="J629" s="175">
        <v>46065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-2421.1</v>
      </c>
    </row>
    <row r="630" spans="1:16" ht="19.5" hidden="1" customHeight="1">
      <c r="A630" s="171" t="s">
        <v>1390</v>
      </c>
      <c r="B630" s="175">
        <v>46065</v>
      </c>
      <c r="C630" s="171" t="s">
        <v>151</v>
      </c>
      <c r="D630" s="171" t="s">
        <v>152</v>
      </c>
      <c r="E630" s="171" t="s">
        <v>125</v>
      </c>
      <c r="F630" s="171" t="s">
        <v>125</v>
      </c>
      <c r="G630" s="171" t="s">
        <v>125</v>
      </c>
      <c r="H630" s="176">
        <v>0</v>
      </c>
      <c r="I630" s="177">
        <v>0</v>
      </c>
      <c r="J630" s="175">
        <v>46065</v>
      </c>
      <c r="K630" s="171" t="s">
        <v>125</v>
      </c>
      <c r="L630" s="171" t="s">
        <v>125</v>
      </c>
      <c r="M630" s="178">
        <v>0</v>
      </c>
      <c r="N630" s="176"/>
      <c r="O630" s="176"/>
      <c r="P630" s="179">
        <v>-254.64</v>
      </c>
    </row>
    <row r="631" spans="1:16" ht="19.5" hidden="1" customHeight="1">
      <c r="A631" s="171" t="s">
        <v>1391</v>
      </c>
      <c r="B631" s="175">
        <v>46066</v>
      </c>
      <c r="C631" s="171" t="s">
        <v>110</v>
      </c>
      <c r="D631" s="171" t="s">
        <v>24</v>
      </c>
      <c r="E631" s="171" t="s">
        <v>70</v>
      </c>
      <c r="F631" s="171" t="s">
        <v>509</v>
      </c>
      <c r="G631" s="171" t="s">
        <v>177</v>
      </c>
      <c r="H631" s="176">
        <v>1</v>
      </c>
      <c r="I631" s="177">
        <v>0</v>
      </c>
      <c r="J631" s="175">
        <v>46058</v>
      </c>
      <c r="K631" s="171" t="s">
        <v>113</v>
      </c>
      <c r="L631" s="171" t="s">
        <v>114</v>
      </c>
      <c r="M631" s="178">
        <v>0</v>
      </c>
      <c r="N631" s="176"/>
      <c r="O631" s="176">
        <v>42</v>
      </c>
      <c r="P631" s="179">
        <v>-56.94</v>
      </c>
    </row>
    <row r="632" spans="1:16" ht="19.5" hidden="1" customHeight="1">
      <c r="A632" s="171" t="s">
        <v>1391</v>
      </c>
      <c r="B632" s="175">
        <v>46066</v>
      </c>
      <c r="C632" s="171" t="s">
        <v>115</v>
      </c>
      <c r="D632" s="171" t="s">
        <v>116</v>
      </c>
      <c r="E632" s="171" t="s">
        <v>70</v>
      </c>
      <c r="F632" s="171" t="s">
        <v>509</v>
      </c>
      <c r="G632" s="171" t="s">
        <v>177</v>
      </c>
      <c r="H632" s="176">
        <v>1</v>
      </c>
      <c r="I632" s="177">
        <v>0</v>
      </c>
      <c r="J632" s="175">
        <v>46058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-25</v>
      </c>
    </row>
    <row r="633" spans="1:16" ht="19.5" hidden="1" customHeight="1">
      <c r="A633" s="171" t="s">
        <v>1391</v>
      </c>
      <c r="B633" s="175">
        <v>46066</v>
      </c>
      <c r="C633" s="171" t="s">
        <v>110</v>
      </c>
      <c r="D633" s="171" t="s">
        <v>117</v>
      </c>
      <c r="E633" s="171" t="s">
        <v>70</v>
      </c>
      <c r="F633" s="171" t="s">
        <v>509</v>
      </c>
      <c r="G633" s="171" t="s">
        <v>177</v>
      </c>
      <c r="H633" s="176">
        <v>1</v>
      </c>
      <c r="I633" s="177">
        <v>0</v>
      </c>
      <c r="J633" s="175">
        <v>46058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hidden="1" customHeight="1">
      <c r="A634" s="171" t="s">
        <v>1391</v>
      </c>
      <c r="B634" s="175">
        <v>46066</v>
      </c>
      <c r="C634" s="171" t="s">
        <v>110</v>
      </c>
      <c r="D634" s="171" t="s">
        <v>118</v>
      </c>
      <c r="E634" s="171" t="s">
        <v>70</v>
      </c>
      <c r="F634" s="171" t="s">
        <v>509</v>
      </c>
      <c r="G634" s="171" t="s">
        <v>177</v>
      </c>
      <c r="H634" s="176">
        <v>1</v>
      </c>
      <c r="I634" s="177">
        <v>0</v>
      </c>
      <c r="J634" s="175">
        <v>46058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-56.94</v>
      </c>
    </row>
    <row r="635" spans="1:16" ht="19.5" hidden="1" customHeight="1">
      <c r="A635" s="171" t="s">
        <v>1391</v>
      </c>
      <c r="B635" s="175">
        <v>46066</v>
      </c>
      <c r="C635" s="171" t="s">
        <v>115</v>
      </c>
      <c r="D635" s="171" t="s">
        <v>119</v>
      </c>
      <c r="E635" s="171" t="s">
        <v>70</v>
      </c>
      <c r="F635" s="171" t="s">
        <v>509</v>
      </c>
      <c r="G635" s="171" t="s">
        <v>177</v>
      </c>
      <c r="H635" s="176">
        <v>1</v>
      </c>
      <c r="I635" s="177">
        <v>0</v>
      </c>
      <c r="J635" s="175">
        <v>46058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hidden="1" customHeight="1">
      <c r="A636" s="171" t="s">
        <v>1392</v>
      </c>
      <c r="B636" s="175">
        <v>46066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2400</v>
      </c>
      <c r="J636" s="175">
        <v>46064</v>
      </c>
      <c r="K636" s="171" t="s">
        <v>113</v>
      </c>
      <c r="L636" s="171" t="s">
        <v>114</v>
      </c>
      <c r="M636" s="178">
        <v>0.43</v>
      </c>
      <c r="N636" s="176"/>
      <c r="O636" s="176">
        <v>45</v>
      </c>
      <c r="P636" s="179">
        <v>-156.84</v>
      </c>
    </row>
    <row r="637" spans="1:16" ht="19.5" hidden="1" customHeight="1">
      <c r="A637" s="171" t="s">
        <v>1392</v>
      </c>
      <c r="B637" s="175">
        <v>46066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2400</v>
      </c>
      <c r="J637" s="175">
        <v>46064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1170.48</v>
      </c>
    </row>
    <row r="638" spans="1:16" ht="19.5" hidden="1" customHeight="1">
      <c r="A638" s="171" t="s">
        <v>1392</v>
      </c>
      <c r="B638" s="175">
        <v>46066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2400</v>
      </c>
      <c r="J638" s="175">
        <v>46064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11.7</v>
      </c>
    </row>
    <row r="639" spans="1:16" ht="19.5" hidden="1" customHeight="1">
      <c r="A639" s="171" t="s">
        <v>1392</v>
      </c>
      <c r="B639" s="175">
        <v>46066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2400</v>
      </c>
      <c r="J639" s="175">
        <v>46064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1217.82</v>
      </c>
    </row>
    <row r="640" spans="1:16" ht="19.5" hidden="1" customHeight="1">
      <c r="A640" s="171" t="s">
        <v>1392</v>
      </c>
      <c r="B640" s="175">
        <v>46066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2400</v>
      </c>
      <c r="J640" s="175">
        <v>46064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-1032</v>
      </c>
    </row>
    <row r="641" spans="1:16" ht="19.5" hidden="1" customHeight="1">
      <c r="A641" s="171" t="s">
        <v>1392</v>
      </c>
      <c r="B641" s="175">
        <v>46066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2400</v>
      </c>
      <c r="J641" s="175">
        <v>46064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-25</v>
      </c>
    </row>
    <row r="642" spans="1:16" ht="19.5" hidden="1" customHeight="1">
      <c r="A642" s="171" t="s">
        <v>1393</v>
      </c>
      <c r="B642" s="175">
        <v>46066</v>
      </c>
      <c r="C642" s="171" t="s">
        <v>110</v>
      </c>
      <c r="D642" s="171" t="s">
        <v>24</v>
      </c>
      <c r="E642" s="171" t="s">
        <v>78</v>
      </c>
      <c r="F642" s="171" t="s">
        <v>176</v>
      </c>
      <c r="G642" s="171" t="s">
        <v>177</v>
      </c>
      <c r="H642" s="176">
        <v>1</v>
      </c>
      <c r="I642" s="177">
        <v>0</v>
      </c>
      <c r="J642" s="175">
        <v>46057</v>
      </c>
      <c r="K642" s="171" t="s">
        <v>113</v>
      </c>
      <c r="L642" s="171" t="s">
        <v>114</v>
      </c>
      <c r="M642" s="178">
        <v>0</v>
      </c>
      <c r="N642" s="176"/>
      <c r="O642" s="176">
        <v>42</v>
      </c>
      <c r="P642" s="179">
        <v>-56.94</v>
      </c>
    </row>
    <row r="643" spans="1:16" ht="19.5" hidden="1" customHeight="1">
      <c r="A643" s="171" t="s">
        <v>1393</v>
      </c>
      <c r="B643" s="175">
        <v>46066</v>
      </c>
      <c r="C643" s="171" t="s">
        <v>115</v>
      </c>
      <c r="D643" s="171" t="s">
        <v>116</v>
      </c>
      <c r="E643" s="171" t="s">
        <v>78</v>
      </c>
      <c r="F643" s="171" t="s">
        <v>176</v>
      </c>
      <c r="G643" s="171" t="s">
        <v>177</v>
      </c>
      <c r="H643" s="176">
        <v>1</v>
      </c>
      <c r="I643" s="177">
        <v>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-11.39</v>
      </c>
    </row>
    <row r="644" spans="1:16" ht="19.5" hidden="1" customHeight="1">
      <c r="A644" s="171" t="s">
        <v>1393</v>
      </c>
      <c r="B644" s="175">
        <v>46066</v>
      </c>
      <c r="C644" s="171" t="s">
        <v>110</v>
      </c>
      <c r="D644" s="171" t="s">
        <v>117</v>
      </c>
      <c r="E644" s="171" t="s">
        <v>78</v>
      </c>
      <c r="F644" s="171" t="s">
        <v>176</v>
      </c>
      <c r="G644" s="171" t="s">
        <v>177</v>
      </c>
      <c r="H644" s="176">
        <v>1</v>
      </c>
      <c r="I644" s="177">
        <v>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hidden="1" customHeight="1">
      <c r="A645" s="171" t="s">
        <v>1393</v>
      </c>
      <c r="B645" s="175">
        <v>46066</v>
      </c>
      <c r="C645" s="171" t="s">
        <v>110</v>
      </c>
      <c r="D645" s="171" t="s">
        <v>118</v>
      </c>
      <c r="E645" s="171" t="s">
        <v>78</v>
      </c>
      <c r="F645" s="171" t="s">
        <v>176</v>
      </c>
      <c r="G645" s="171" t="s">
        <v>177</v>
      </c>
      <c r="H645" s="176">
        <v>1</v>
      </c>
      <c r="I645" s="177">
        <v>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-56.94</v>
      </c>
    </row>
    <row r="646" spans="1:16" ht="19.5" hidden="1" customHeight="1">
      <c r="A646" s="171" t="s">
        <v>1393</v>
      </c>
      <c r="B646" s="175">
        <v>46066</v>
      </c>
      <c r="C646" s="171" t="s">
        <v>115</v>
      </c>
      <c r="D646" s="171" t="s">
        <v>119</v>
      </c>
      <c r="E646" s="171" t="s">
        <v>78</v>
      </c>
      <c r="F646" s="171" t="s">
        <v>176</v>
      </c>
      <c r="G646" s="171" t="s">
        <v>177</v>
      </c>
      <c r="H646" s="176">
        <v>1</v>
      </c>
      <c r="I646" s="177">
        <v>0</v>
      </c>
      <c r="J646" s="175">
        <v>46057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hidden="1" customHeight="1">
      <c r="A647" s="171" t="s">
        <v>1394</v>
      </c>
      <c r="B647" s="175">
        <v>46066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0</v>
      </c>
      <c r="J647" s="175">
        <v>46050</v>
      </c>
      <c r="K647" s="171" t="s">
        <v>113</v>
      </c>
      <c r="L647" s="171" t="s">
        <v>114</v>
      </c>
      <c r="M647" s="178">
        <v>0</v>
      </c>
      <c r="N647" s="176"/>
      <c r="O647" s="176">
        <v>50</v>
      </c>
      <c r="P647" s="179">
        <v>-56.94</v>
      </c>
    </row>
    <row r="648" spans="1:16" ht="19.5" hidden="1" customHeight="1">
      <c r="A648" s="171" t="s">
        <v>1394</v>
      </c>
      <c r="B648" s="175">
        <v>46066</v>
      </c>
      <c r="C648" s="171" t="s">
        <v>115</v>
      </c>
      <c r="D648" s="171" t="s">
        <v>116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0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-13.99</v>
      </c>
    </row>
    <row r="649" spans="1:16" ht="19.5" hidden="1" customHeight="1">
      <c r="A649" s="171" t="s">
        <v>1394</v>
      </c>
      <c r="B649" s="175">
        <v>46066</v>
      </c>
      <c r="C649" s="171" t="s">
        <v>110</v>
      </c>
      <c r="D649" s="171" t="s">
        <v>117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0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hidden="1" customHeight="1">
      <c r="A650" s="171" t="s">
        <v>1394</v>
      </c>
      <c r="B650" s="175">
        <v>46066</v>
      </c>
      <c r="C650" s="171" t="s">
        <v>110</v>
      </c>
      <c r="D650" s="171" t="s">
        <v>118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0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-56.94</v>
      </c>
    </row>
    <row r="651" spans="1:16" ht="19.5" hidden="1" customHeight="1">
      <c r="A651" s="171" t="s">
        <v>1394</v>
      </c>
      <c r="B651" s="175">
        <v>46066</v>
      </c>
      <c r="C651" s="171" t="s">
        <v>115</v>
      </c>
      <c r="D651" s="171" t="s">
        <v>119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0</v>
      </c>
      <c r="J651" s="175">
        <v>46050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hidden="1" customHeight="1">
      <c r="A652" s="171" t="s">
        <v>1395</v>
      </c>
      <c r="B652" s="175">
        <v>46066</v>
      </c>
      <c r="C652" s="171" t="s">
        <v>110</v>
      </c>
      <c r="D652" s="171" t="s">
        <v>24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46057</v>
      </c>
      <c r="K652" s="171" t="s">
        <v>113</v>
      </c>
      <c r="L652" s="171" t="s">
        <v>114</v>
      </c>
      <c r="M652" s="178">
        <v>0</v>
      </c>
      <c r="N652" s="176"/>
      <c r="O652" s="176">
        <v>42</v>
      </c>
      <c r="P652" s="179">
        <v>-46.77</v>
      </c>
    </row>
    <row r="653" spans="1:16" ht="19.5" hidden="1" customHeight="1">
      <c r="A653" s="171" t="s">
        <v>1395</v>
      </c>
      <c r="B653" s="175">
        <v>46066</v>
      </c>
      <c r="C653" s="171" t="s">
        <v>115</v>
      </c>
      <c r="D653" s="171" t="s">
        <v>116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46057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-12.69</v>
      </c>
    </row>
    <row r="654" spans="1:16" ht="19.5" hidden="1" customHeight="1">
      <c r="A654" s="171" t="s">
        <v>1395</v>
      </c>
      <c r="B654" s="175">
        <v>46066</v>
      </c>
      <c r="C654" s="171" t="s">
        <v>110</v>
      </c>
      <c r="D654" s="171" t="s">
        <v>117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0</v>
      </c>
    </row>
    <row r="655" spans="1:16" ht="19.5" hidden="1" customHeight="1">
      <c r="A655" s="171" t="s">
        <v>1395</v>
      </c>
      <c r="B655" s="175">
        <v>46066</v>
      </c>
      <c r="C655" s="171" t="s">
        <v>110</v>
      </c>
      <c r="D655" s="171" t="s">
        <v>118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0</v>
      </c>
      <c r="J655" s="175">
        <v>46057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-46.77</v>
      </c>
    </row>
    <row r="656" spans="1:16" ht="19.5" hidden="1" customHeight="1">
      <c r="A656" s="171" t="s">
        <v>1395</v>
      </c>
      <c r="B656" s="175">
        <v>46066</v>
      </c>
      <c r="C656" s="171" t="s">
        <v>115</v>
      </c>
      <c r="D656" s="171" t="s">
        <v>119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-15</v>
      </c>
    </row>
    <row r="657" spans="1:16" ht="19.5" hidden="1" customHeight="1">
      <c r="A657" s="171" t="s">
        <v>1396</v>
      </c>
      <c r="B657" s="175">
        <v>46066</v>
      </c>
      <c r="C657" s="171" t="s">
        <v>110</v>
      </c>
      <c r="D657" s="171" t="s">
        <v>24</v>
      </c>
      <c r="E657" s="171" t="s">
        <v>44</v>
      </c>
      <c r="F657" s="171" t="s">
        <v>213</v>
      </c>
      <c r="G657" s="171" t="s">
        <v>214</v>
      </c>
      <c r="H657" s="176">
        <v>1</v>
      </c>
      <c r="I657" s="177">
        <v>1760</v>
      </c>
      <c r="J657" s="175">
        <v>46065</v>
      </c>
      <c r="K657" s="171" t="s">
        <v>113</v>
      </c>
      <c r="L657" s="171" t="s">
        <v>114</v>
      </c>
      <c r="M657" s="178">
        <v>0.43</v>
      </c>
      <c r="N657" s="176"/>
      <c r="O657" s="176">
        <v>45</v>
      </c>
      <c r="P657" s="179">
        <v>-135.72</v>
      </c>
    </row>
    <row r="658" spans="1:16" ht="19.5" hidden="1" customHeight="1">
      <c r="A658" s="171" t="s">
        <v>1396</v>
      </c>
      <c r="B658" s="175">
        <v>46066</v>
      </c>
      <c r="C658" s="171" t="s">
        <v>127</v>
      </c>
      <c r="D658" s="171" t="s">
        <v>128</v>
      </c>
      <c r="E658" s="171" t="s">
        <v>44</v>
      </c>
      <c r="F658" s="171" t="s">
        <v>213</v>
      </c>
      <c r="G658" s="171" t="s">
        <v>214</v>
      </c>
      <c r="H658" s="176">
        <v>1</v>
      </c>
      <c r="I658" s="177">
        <v>1760</v>
      </c>
      <c r="J658" s="175">
        <v>46065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952.38</v>
      </c>
    </row>
    <row r="659" spans="1:16" ht="19.5" hidden="1" customHeight="1">
      <c r="A659" s="171" t="s">
        <v>1396</v>
      </c>
      <c r="B659" s="175">
        <v>46066</v>
      </c>
      <c r="C659" s="171" t="s">
        <v>127</v>
      </c>
      <c r="D659" s="171" t="s">
        <v>129</v>
      </c>
      <c r="E659" s="171" t="s">
        <v>44</v>
      </c>
      <c r="F659" s="171" t="s">
        <v>213</v>
      </c>
      <c r="G659" s="171" t="s">
        <v>214</v>
      </c>
      <c r="H659" s="176">
        <v>1</v>
      </c>
      <c r="I659" s="177">
        <v>1760</v>
      </c>
      <c r="J659" s="175">
        <v>46065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9.52</v>
      </c>
    </row>
    <row r="660" spans="1:16" ht="19.5" hidden="1" customHeight="1">
      <c r="A660" s="171" t="s">
        <v>1396</v>
      </c>
      <c r="B660" s="175">
        <v>46066</v>
      </c>
      <c r="C660" s="171" t="s">
        <v>127</v>
      </c>
      <c r="D660" s="171" t="s">
        <v>130</v>
      </c>
      <c r="E660" s="171" t="s">
        <v>44</v>
      </c>
      <c r="F660" s="171" t="s">
        <v>213</v>
      </c>
      <c r="G660" s="171" t="s">
        <v>214</v>
      </c>
      <c r="H660" s="176">
        <v>1</v>
      </c>
      <c r="I660" s="177">
        <v>1760</v>
      </c>
      <c r="J660" s="175">
        <v>46065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798.1</v>
      </c>
    </row>
    <row r="661" spans="1:16" ht="19.5" hidden="1" customHeight="1">
      <c r="A661" s="171" t="s">
        <v>1396</v>
      </c>
      <c r="B661" s="175">
        <v>46066</v>
      </c>
      <c r="C661" s="171" t="s">
        <v>131</v>
      </c>
      <c r="D661" s="171" t="s">
        <v>132</v>
      </c>
      <c r="E661" s="171" t="s">
        <v>44</v>
      </c>
      <c r="F661" s="171" t="s">
        <v>213</v>
      </c>
      <c r="G661" s="171" t="s">
        <v>214</v>
      </c>
      <c r="H661" s="176">
        <v>1</v>
      </c>
      <c r="I661" s="177">
        <v>1760</v>
      </c>
      <c r="J661" s="175">
        <v>46065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-756.8</v>
      </c>
    </row>
    <row r="662" spans="1:16" ht="19.5" hidden="1" customHeight="1">
      <c r="A662" s="171" t="s">
        <v>1396</v>
      </c>
      <c r="B662" s="175">
        <v>46066</v>
      </c>
      <c r="C662" s="171" t="s">
        <v>115</v>
      </c>
      <c r="D662" s="171" t="s">
        <v>116</v>
      </c>
      <c r="E662" s="171" t="s">
        <v>44</v>
      </c>
      <c r="F662" s="171" t="s">
        <v>213</v>
      </c>
      <c r="G662" s="171" t="s">
        <v>214</v>
      </c>
      <c r="H662" s="176">
        <v>1</v>
      </c>
      <c r="I662" s="177">
        <v>1760</v>
      </c>
      <c r="J662" s="175">
        <v>46065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-9.5500000000000007</v>
      </c>
    </row>
    <row r="663" spans="1:16" ht="19.5" hidden="1" customHeight="1">
      <c r="A663" s="171" t="s">
        <v>1397</v>
      </c>
      <c r="B663" s="175">
        <v>46066</v>
      </c>
      <c r="C663" s="171" t="s">
        <v>110</v>
      </c>
      <c r="D663" s="171" t="s">
        <v>24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1692</v>
      </c>
      <c r="J663" s="175">
        <v>46059</v>
      </c>
      <c r="K663" s="171" t="s">
        <v>113</v>
      </c>
      <c r="L663" s="171" t="s">
        <v>114</v>
      </c>
      <c r="M663" s="178">
        <v>0.43</v>
      </c>
      <c r="N663" s="176"/>
      <c r="O663" s="176">
        <v>42</v>
      </c>
      <c r="P663" s="179">
        <v>-121.65</v>
      </c>
    </row>
    <row r="664" spans="1:16" ht="19.5" hidden="1" customHeight="1">
      <c r="A664" s="171" t="s">
        <v>1397</v>
      </c>
      <c r="B664" s="175">
        <v>46066</v>
      </c>
      <c r="C664" s="171" t="s">
        <v>127</v>
      </c>
      <c r="D664" s="171" t="s">
        <v>128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1692</v>
      </c>
      <c r="J664" s="175">
        <v>46059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697.14</v>
      </c>
    </row>
    <row r="665" spans="1:16" ht="19.5" hidden="1" customHeight="1">
      <c r="A665" s="171" t="s">
        <v>1397</v>
      </c>
      <c r="B665" s="175">
        <v>46066</v>
      </c>
      <c r="C665" s="171" t="s">
        <v>127</v>
      </c>
      <c r="D665" s="171" t="s">
        <v>129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1692</v>
      </c>
      <c r="J665" s="175">
        <v>46059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6.97</v>
      </c>
    </row>
    <row r="666" spans="1:16" ht="19.5" hidden="1" customHeight="1">
      <c r="A666" s="171" t="s">
        <v>1397</v>
      </c>
      <c r="B666" s="175">
        <v>46066</v>
      </c>
      <c r="C666" s="171" t="s">
        <v>127</v>
      </c>
      <c r="D666" s="171" t="s">
        <v>130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1692</v>
      </c>
      <c r="J666" s="175">
        <v>46059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987.89</v>
      </c>
    </row>
    <row r="667" spans="1:16" ht="19.5" hidden="1" customHeight="1">
      <c r="A667" s="171" t="s">
        <v>1397</v>
      </c>
      <c r="B667" s="175">
        <v>46066</v>
      </c>
      <c r="C667" s="171" t="s">
        <v>131</v>
      </c>
      <c r="D667" s="171" t="s">
        <v>132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1692</v>
      </c>
      <c r="J667" s="175">
        <v>46059</v>
      </c>
      <c r="K667" s="171" t="s">
        <v>113</v>
      </c>
      <c r="L667" s="171" t="s">
        <v>114</v>
      </c>
      <c r="M667" s="178">
        <v>0.43</v>
      </c>
      <c r="N667" s="176"/>
      <c r="O667" s="176"/>
      <c r="P667" s="179">
        <v>-727.56</v>
      </c>
    </row>
    <row r="668" spans="1:16" ht="19.5" hidden="1" customHeight="1">
      <c r="A668" s="171" t="s">
        <v>1397</v>
      </c>
      <c r="B668" s="175">
        <v>46066</v>
      </c>
      <c r="C668" s="171" t="s">
        <v>115</v>
      </c>
      <c r="D668" s="171" t="s">
        <v>116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1692</v>
      </c>
      <c r="J668" s="175">
        <v>46059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-25</v>
      </c>
    </row>
    <row r="669" spans="1:16" ht="19.5" hidden="1" customHeight="1">
      <c r="A669" s="171" t="s">
        <v>1397</v>
      </c>
      <c r="B669" s="175">
        <v>46066</v>
      </c>
      <c r="C669" s="171" t="s">
        <v>115</v>
      </c>
      <c r="D669" s="171" t="s">
        <v>135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0</v>
      </c>
      <c r="J669" s="175">
        <v>46059</v>
      </c>
      <c r="K669" s="171" t="s">
        <v>125</v>
      </c>
      <c r="L669" s="171" t="s">
        <v>125</v>
      </c>
      <c r="M669" s="178">
        <v>0</v>
      </c>
      <c r="N669" s="176"/>
      <c r="O669" s="176"/>
      <c r="P669" s="179">
        <v>-13.25</v>
      </c>
    </row>
    <row r="670" spans="1:16" ht="19.5" hidden="1" customHeight="1">
      <c r="A670" s="171" t="s">
        <v>1398</v>
      </c>
      <c r="B670" s="175">
        <v>46066</v>
      </c>
      <c r="C670" s="171" t="s">
        <v>115</v>
      </c>
      <c r="D670" s="171" t="s">
        <v>135</v>
      </c>
      <c r="E670" s="171" t="s">
        <v>79</v>
      </c>
      <c r="F670" s="171" t="s">
        <v>441</v>
      </c>
      <c r="G670" s="171" t="s">
        <v>177</v>
      </c>
      <c r="H670" s="176">
        <v>1</v>
      </c>
      <c r="I670" s="177">
        <v>0</v>
      </c>
      <c r="J670" s="175">
        <v>46066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-42.72</v>
      </c>
    </row>
    <row r="671" spans="1:16" ht="19.5" hidden="1" customHeight="1">
      <c r="A671" s="171" t="s">
        <v>1399</v>
      </c>
      <c r="B671" s="175">
        <v>46066</v>
      </c>
      <c r="C671" s="171" t="s">
        <v>110</v>
      </c>
      <c r="D671" s="171" t="s">
        <v>24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0</v>
      </c>
      <c r="J671" s="175">
        <v>46061</v>
      </c>
      <c r="K671" s="171" t="s">
        <v>113</v>
      </c>
      <c r="L671" s="171" t="s">
        <v>114</v>
      </c>
      <c r="M671" s="178">
        <v>0</v>
      </c>
      <c r="N671" s="176"/>
      <c r="O671" s="176">
        <v>45</v>
      </c>
      <c r="P671" s="179">
        <v>-46.77</v>
      </c>
    </row>
    <row r="672" spans="1:16" ht="19.5" hidden="1" customHeight="1">
      <c r="A672" s="171" t="s">
        <v>1399</v>
      </c>
      <c r="B672" s="175">
        <v>46066</v>
      </c>
      <c r="C672" s="171" t="s">
        <v>115</v>
      </c>
      <c r="D672" s="171" t="s">
        <v>116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0</v>
      </c>
      <c r="J672" s="175">
        <v>46061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-12.67</v>
      </c>
    </row>
    <row r="673" spans="1:16" ht="19.5" hidden="1" customHeight="1">
      <c r="A673" s="171" t="s">
        <v>1399</v>
      </c>
      <c r="B673" s="175">
        <v>46066</v>
      </c>
      <c r="C673" s="171" t="s">
        <v>110</v>
      </c>
      <c r="D673" s="171" t="s">
        <v>117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0</v>
      </c>
      <c r="J673" s="175">
        <v>46061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0</v>
      </c>
    </row>
    <row r="674" spans="1:16" ht="19.5" hidden="1" customHeight="1">
      <c r="A674" s="171" t="s">
        <v>1399</v>
      </c>
      <c r="B674" s="175">
        <v>46066</v>
      </c>
      <c r="C674" s="171" t="s">
        <v>110</v>
      </c>
      <c r="D674" s="171" t="s">
        <v>118</v>
      </c>
      <c r="E674" s="171" t="s">
        <v>38</v>
      </c>
      <c r="F674" s="171" t="s">
        <v>111</v>
      </c>
      <c r="G674" s="171" t="s">
        <v>112</v>
      </c>
      <c r="H674" s="176">
        <v>1</v>
      </c>
      <c r="I674" s="177">
        <v>0</v>
      </c>
      <c r="J674" s="175">
        <v>46061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-46.77</v>
      </c>
    </row>
    <row r="675" spans="1:16" ht="19.5" hidden="1" customHeight="1">
      <c r="A675" s="171" t="s">
        <v>1399</v>
      </c>
      <c r="B675" s="175">
        <v>46066</v>
      </c>
      <c r="C675" s="171" t="s">
        <v>115</v>
      </c>
      <c r="D675" s="171" t="s">
        <v>119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46061</v>
      </c>
      <c r="K675" s="171" t="s">
        <v>113</v>
      </c>
      <c r="L675" s="171" t="s">
        <v>114</v>
      </c>
      <c r="M675" s="178">
        <v>0</v>
      </c>
      <c r="N675" s="176"/>
      <c r="O675" s="176"/>
      <c r="P675" s="179">
        <v>-15</v>
      </c>
    </row>
    <row r="676" spans="1:16" ht="19.5" hidden="1" customHeight="1">
      <c r="A676" s="171" t="s">
        <v>1174</v>
      </c>
      <c r="B676" s="175">
        <v>46066</v>
      </c>
      <c r="C676" s="171" t="s">
        <v>110</v>
      </c>
      <c r="D676" s="171" t="s">
        <v>121</v>
      </c>
      <c r="E676" s="171" t="s">
        <v>77</v>
      </c>
      <c r="F676" s="171" t="s">
        <v>194</v>
      </c>
      <c r="G676" s="171" t="s">
        <v>177</v>
      </c>
      <c r="H676" s="176">
        <v>1</v>
      </c>
      <c r="I676" s="177">
        <v>0</v>
      </c>
      <c r="J676" s="175">
        <v>46055</v>
      </c>
      <c r="K676" s="171" t="s">
        <v>113</v>
      </c>
      <c r="L676" s="171" t="s">
        <v>114</v>
      </c>
      <c r="M676" s="178">
        <v>0</v>
      </c>
      <c r="N676" s="176"/>
      <c r="O676" s="176"/>
      <c r="P676" s="179">
        <v>0</v>
      </c>
    </row>
    <row r="677" spans="1:16" ht="19.5" hidden="1" customHeight="1">
      <c r="A677" s="171" t="s">
        <v>1174</v>
      </c>
      <c r="B677" s="175">
        <v>46066</v>
      </c>
      <c r="C677" s="171" t="s">
        <v>110</v>
      </c>
      <c r="D677" s="171" t="s">
        <v>118</v>
      </c>
      <c r="E677" s="171" t="s">
        <v>77</v>
      </c>
      <c r="F677" s="171" t="s">
        <v>194</v>
      </c>
      <c r="G677" s="171" t="s">
        <v>177</v>
      </c>
      <c r="H677" s="176">
        <v>1</v>
      </c>
      <c r="I677" s="177">
        <v>0</v>
      </c>
      <c r="J677" s="175">
        <v>46055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-56.94</v>
      </c>
    </row>
    <row r="678" spans="1:16" ht="19.5" hidden="1" customHeight="1">
      <c r="A678" s="171" t="s">
        <v>1174</v>
      </c>
      <c r="B678" s="175">
        <v>46066</v>
      </c>
      <c r="C678" s="171" t="s">
        <v>115</v>
      </c>
      <c r="D678" s="171" t="s">
        <v>119</v>
      </c>
      <c r="E678" s="171" t="s">
        <v>77</v>
      </c>
      <c r="F678" s="171" t="s">
        <v>194</v>
      </c>
      <c r="G678" s="171" t="s">
        <v>177</v>
      </c>
      <c r="H678" s="176">
        <v>1</v>
      </c>
      <c r="I678" s="177">
        <v>0</v>
      </c>
      <c r="J678" s="175">
        <v>46055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-15</v>
      </c>
    </row>
    <row r="679" spans="1:16" ht="19.5" hidden="1" customHeight="1">
      <c r="A679" s="171" t="s">
        <v>1400</v>
      </c>
      <c r="B679" s="175">
        <v>46066</v>
      </c>
      <c r="C679" s="171" t="s">
        <v>110</v>
      </c>
      <c r="D679" s="171" t="s">
        <v>24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2000</v>
      </c>
      <c r="J679" s="175">
        <v>46057</v>
      </c>
      <c r="K679" s="171" t="s">
        <v>113</v>
      </c>
      <c r="L679" s="171" t="s">
        <v>114</v>
      </c>
      <c r="M679" s="178">
        <v>0.43</v>
      </c>
      <c r="N679" s="176"/>
      <c r="O679" s="176">
        <v>42</v>
      </c>
      <c r="P679" s="179">
        <v>-130.43</v>
      </c>
    </row>
    <row r="680" spans="1:16" ht="19.5" hidden="1" customHeight="1">
      <c r="A680" s="171" t="s">
        <v>1400</v>
      </c>
      <c r="B680" s="175">
        <v>46066</v>
      </c>
      <c r="C680" s="171" t="s">
        <v>127</v>
      </c>
      <c r="D680" s="171" t="s">
        <v>128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2000</v>
      </c>
      <c r="J680" s="175">
        <v>46057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867.75</v>
      </c>
    </row>
    <row r="681" spans="1:16" ht="19.5" hidden="1" customHeight="1">
      <c r="A681" s="171" t="s">
        <v>1400</v>
      </c>
      <c r="B681" s="175">
        <v>46066</v>
      </c>
      <c r="C681" s="171" t="s">
        <v>127</v>
      </c>
      <c r="D681" s="171" t="s">
        <v>129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2000</v>
      </c>
      <c r="J681" s="175">
        <v>46057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8.68</v>
      </c>
    </row>
    <row r="682" spans="1:16" ht="19.5" hidden="1" customHeight="1">
      <c r="A682" s="171" t="s">
        <v>1400</v>
      </c>
      <c r="B682" s="175">
        <v>46066</v>
      </c>
      <c r="C682" s="171" t="s">
        <v>127</v>
      </c>
      <c r="D682" s="171" t="s">
        <v>130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2000</v>
      </c>
      <c r="J682" s="175">
        <v>46057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1123.57</v>
      </c>
    </row>
    <row r="683" spans="1:16" ht="19.5" hidden="1" customHeight="1">
      <c r="A683" s="171" t="s">
        <v>1400</v>
      </c>
      <c r="B683" s="175">
        <v>46066</v>
      </c>
      <c r="C683" s="171" t="s">
        <v>131</v>
      </c>
      <c r="D683" s="171" t="s">
        <v>132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2000</v>
      </c>
      <c r="J683" s="175">
        <v>46057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-860</v>
      </c>
    </row>
    <row r="684" spans="1:16" ht="19.5" hidden="1" customHeight="1">
      <c r="A684" s="171" t="s">
        <v>1401</v>
      </c>
      <c r="B684" s="175">
        <v>46066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2400</v>
      </c>
      <c r="J684" s="175">
        <v>46060</v>
      </c>
      <c r="K684" s="171" t="s">
        <v>113</v>
      </c>
      <c r="L684" s="171" t="s">
        <v>114</v>
      </c>
      <c r="M684" s="178">
        <v>0.43</v>
      </c>
      <c r="N684" s="176"/>
      <c r="O684" s="176">
        <v>43</v>
      </c>
      <c r="P684" s="179">
        <v>-146.83000000000001</v>
      </c>
    </row>
    <row r="685" spans="1:16" ht="19.5" hidden="1" customHeight="1">
      <c r="A685" s="171" t="s">
        <v>1401</v>
      </c>
      <c r="B685" s="175">
        <v>46066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2400</v>
      </c>
      <c r="J685" s="175">
        <v>46060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1124.46</v>
      </c>
    </row>
    <row r="686" spans="1:16" ht="19.5" hidden="1" customHeight="1">
      <c r="A686" s="171" t="s">
        <v>1401</v>
      </c>
      <c r="B686" s="175">
        <v>46066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2400</v>
      </c>
      <c r="J686" s="175">
        <v>46060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11.24</v>
      </c>
    </row>
    <row r="687" spans="1:16" ht="19.5" hidden="1" customHeight="1">
      <c r="A687" s="171" t="s">
        <v>1401</v>
      </c>
      <c r="B687" s="175">
        <v>46066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2400</v>
      </c>
      <c r="J687" s="175">
        <v>46060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1264.3</v>
      </c>
    </row>
    <row r="688" spans="1:16" ht="19.5" hidden="1" customHeight="1">
      <c r="A688" s="171" t="s">
        <v>1401</v>
      </c>
      <c r="B688" s="175">
        <v>46066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2400</v>
      </c>
      <c r="J688" s="175">
        <v>46060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-1032</v>
      </c>
    </row>
    <row r="689" spans="1:16" ht="19.5" hidden="1" customHeight="1">
      <c r="A689" s="171" t="s">
        <v>1401</v>
      </c>
      <c r="B689" s="175">
        <v>46066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2400</v>
      </c>
      <c r="J689" s="175">
        <v>46060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-12.18</v>
      </c>
    </row>
    <row r="690" spans="1:16" ht="19.5" hidden="1" customHeight="1">
      <c r="A690" s="171" t="s">
        <v>1402</v>
      </c>
      <c r="B690" s="175">
        <v>46066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46066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-21.53</v>
      </c>
    </row>
    <row r="691" spans="1:16" ht="19.5" hidden="1" customHeight="1">
      <c r="A691" s="171" t="s">
        <v>1401</v>
      </c>
      <c r="B691" s="175">
        <v>46066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46060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-21.36</v>
      </c>
    </row>
    <row r="692" spans="1:16" ht="19.5" hidden="1" customHeight="1">
      <c r="A692" s="171" t="s">
        <v>1403</v>
      </c>
      <c r="B692" s="175">
        <v>46066</v>
      </c>
      <c r="C692" s="171" t="s">
        <v>115</v>
      </c>
      <c r="D692" s="171" t="s">
        <v>135</v>
      </c>
      <c r="E692" s="171" t="s">
        <v>47</v>
      </c>
      <c r="F692" s="171" t="s">
        <v>430</v>
      </c>
      <c r="G692" s="171" t="s">
        <v>112</v>
      </c>
      <c r="H692" s="176">
        <v>1</v>
      </c>
      <c r="I692" s="177">
        <v>0</v>
      </c>
      <c r="J692" s="175">
        <v>46066</v>
      </c>
      <c r="K692" s="171" t="s">
        <v>125</v>
      </c>
      <c r="L692" s="171" t="s">
        <v>125</v>
      </c>
      <c r="M692" s="178">
        <v>0</v>
      </c>
      <c r="N692" s="176"/>
      <c r="O692" s="176"/>
      <c r="P692" s="179">
        <v>-15.24</v>
      </c>
    </row>
    <row r="693" spans="1:16" ht="19.5" hidden="1" customHeight="1">
      <c r="A693" s="171" t="s">
        <v>1367</v>
      </c>
      <c r="B693" s="175">
        <v>46066</v>
      </c>
      <c r="C693" s="171" t="s">
        <v>110</v>
      </c>
      <c r="D693" s="171" t="s">
        <v>24</v>
      </c>
      <c r="E693" s="171" t="s">
        <v>79</v>
      </c>
      <c r="F693" s="171" t="s">
        <v>441</v>
      </c>
      <c r="G693" s="171" t="s">
        <v>177</v>
      </c>
      <c r="H693" s="176">
        <v>1</v>
      </c>
      <c r="I693" s="177">
        <v>0</v>
      </c>
      <c r="J693" s="175">
        <v>46063</v>
      </c>
      <c r="K693" s="171" t="s">
        <v>113</v>
      </c>
      <c r="L693" s="171" t="s">
        <v>114</v>
      </c>
      <c r="M693" s="178">
        <v>0</v>
      </c>
      <c r="N693" s="176"/>
      <c r="O693" s="176">
        <v>44</v>
      </c>
      <c r="P693" s="179">
        <v>-56.94</v>
      </c>
    </row>
    <row r="694" spans="1:16" ht="19.5" hidden="1" customHeight="1">
      <c r="A694" s="171" t="s">
        <v>1367</v>
      </c>
      <c r="B694" s="175">
        <v>46066</v>
      </c>
      <c r="C694" s="171" t="s">
        <v>115</v>
      </c>
      <c r="D694" s="171" t="s">
        <v>116</v>
      </c>
      <c r="E694" s="171" t="s">
        <v>79</v>
      </c>
      <c r="F694" s="171" t="s">
        <v>441</v>
      </c>
      <c r="G694" s="171" t="s">
        <v>177</v>
      </c>
      <c r="H694" s="176">
        <v>1</v>
      </c>
      <c r="I694" s="177">
        <v>0</v>
      </c>
      <c r="J694" s="175">
        <v>46063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-18.55</v>
      </c>
    </row>
    <row r="695" spans="1:16" ht="19.5" hidden="1" customHeight="1">
      <c r="A695" s="171" t="s">
        <v>1367</v>
      </c>
      <c r="B695" s="175">
        <v>46066</v>
      </c>
      <c r="C695" s="171" t="s">
        <v>110</v>
      </c>
      <c r="D695" s="171" t="s">
        <v>117</v>
      </c>
      <c r="E695" s="171" t="s">
        <v>79</v>
      </c>
      <c r="F695" s="171" t="s">
        <v>441</v>
      </c>
      <c r="G695" s="171" t="s">
        <v>177</v>
      </c>
      <c r="H695" s="176">
        <v>1</v>
      </c>
      <c r="I695" s="177">
        <v>0</v>
      </c>
      <c r="J695" s="175">
        <v>46063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0</v>
      </c>
    </row>
    <row r="696" spans="1:16" ht="19.5" hidden="1" customHeight="1">
      <c r="A696" s="171" t="s">
        <v>1367</v>
      </c>
      <c r="B696" s="175">
        <v>46066</v>
      </c>
      <c r="C696" s="171" t="s">
        <v>110</v>
      </c>
      <c r="D696" s="171" t="s">
        <v>118</v>
      </c>
      <c r="E696" s="171" t="s">
        <v>79</v>
      </c>
      <c r="F696" s="171" t="s">
        <v>441</v>
      </c>
      <c r="G696" s="171" t="s">
        <v>177</v>
      </c>
      <c r="H696" s="176">
        <v>1</v>
      </c>
      <c r="I696" s="177">
        <v>0</v>
      </c>
      <c r="J696" s="175">
        <v>46063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-56.94</v>
      </c>
    </row>
    <row r="697" spans="1:16" ht="19.5" hidden="1" customHeight="1">
      <c r="A697" s="171" t="s">
        <v>1367</v>
      </c>
      <c r="B697" s="175">
        <v>46066</v>
      </c>
      <c r="C697" s="171" t="s">
        <v>115</v>
      </c>
      <c r="D697" s="171" t="s">
        <v>119</v>
      </c>
      <c r="E697" s="171" t="s">
        <v>79</v>
      </c>
      <c r="F697" s="171" t="s">
        <v>441</v>
      </c>
      <c r="G697" s="171" t="s">
        <v>177</v>
      </c>
      <c r="H697" s="176">
        <v>1</v>
      </c>
      <c r="I697" s="177">
        <v>0</v>
      </c>
      <c r="J697" s="175">
        <v>46063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-15</v>
      </c>
    </row>
    <row r="698" spans="1:16" ht="19.5" hidden="1" customHeight="1">
      <c r="A698" s="171" t="s">
        <v>1404</v>
      </c>
      <c r="B698" s="175">
        <v>46066</v>
      </c>
      <c r="C698" s="171" t="s">
        <v>110</v>
      </c>
      <c r="D698" s="171" t="s">
        <v>24</v>
      </c>
      <c r="E698" s="171" t="s">
        <v>38</v>
      </c>
      <c r="F698" s="171" t="s">
        <v>111</v>
      </c>
      <c r="G698" s="171" t="s">
        <v>112</v>
      </c>
      <c r="H698" s="176">
        <v>1</v>
      </c>
      <c r="I698" s="177">
        <v>2400</v>
      </c>
      <c r="J698" s="175">
        <v>46063</v>
      </c>
      <c r="K698" s="171" t="s">
        <v>113</v>
      </c>
      <c r="L698" s="171" t="s">
        <v>114</v>
      </c>
      <c r="M698" s="178">
        <v>0.43</v>
      </c>
      <c r="N698" s="176"/>
      <c r="O698" s="176">
        <v>44</v>
      </c>
      <c r="P698" s="179">
        <v>-151.84</v>
      </c>
    </row>
    <row r="699" spans="1:16" ht="19.5" hidden="1" customHeight="1">
      <c r="A699" s="171" t="s">
        <v>1404</v>
      </c>
      <c r="B699" s="175">
        <v>46066</v>
      </c>
      <c r="C699" s="171" t="s">
        <v>127</v>
      </c>
      <c r="D699" s="171" t="s">
        <v>128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2400</v>
      </c>
      <c r="J699" s="175">
        <v>46063</v>
      </c>
      <c r="K699" s="171" t="s">
        <v>113</v>
      </c>
      <c r="L699" s="171" t="s">
        <v>114</v>
      </c>
      <c r="M699" s="178">
        <v>0</v>
      </c>
      <c r="N699" s="176"/>
      <c r="O699" s="176"/>
      <c r="P699" s="179">
        <v>899.05</v>
      </c>
    </row>
    <row r="700" spans="1:16" ht="19.5" hidden="1" customHeight="1">
      <c r="A700" s="171" t="s">
        <v>1404</v>
      </c>
      <c r="B700" s="175">
        <v>46066</v>
      </c>
      <c r="C700" s="171" t="s">
        <v>127</v>
      </c>
      <c r="D700" s="171" t="s">
        <v>129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2400</v>
      </c>
      <c r="J700" s="175">
        <v>46063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8.99</v>
      </c>
    </row>
    <row r="701" spans="1:16" ht="19.5" hidden="1" customHeight="1">
      <c r="A701" s="171" t="s">
        <v>1404</v>
      </c>
      <c r="B701" s="175">
        <v>46066</v>
      </c>
      <c r="C701" s="171" t="s">
        <v>127</v>
      </c>
      <c r="D701" s="171" t="s">
        <v>130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2400</v>
      </c>
      <c r="J701" s="175">
        <v>46063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1491.96</v>
      </c>
    </row>
    <row r="702" spans="1:16" ht="19.5" hidden="1" customHeight="1">
      <c r="A702" s="171" t="s">
        <v>1404</v>
      </c>
      <c r="B702" s="175">
        <v>46066</v>
      </c>
      <c r="C702" s="171" t="s">
        <v>131</v>
      </c>
      <c r="D702" s="171" t="s">
        <v>132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2400</v>
      </c>
      <c r="J702" s="175">
        <v>46063</v>
      </c>
      <c r="K702" s="171" t="s">
        <v>113</v>
      </c>
      <c r="L702" s="171" t="s">
        <v>114</v>
      </c>
      <c r="M702" s="178">
        <v>0.43</v>
      </c>
      <c r="N702" s="176"/>
      <c r="O702" s="176"/>
      <c r="P702" s="179">
        <v>-1032</v>
      </c>
    </row>
    <row r="703" spans="1:16" ht="19.5" hidden="1" customHeight="1">
      <c r="A703" s="171" t="s">
        <v>1404</v>
      </c>
      <c r="B703" s="175">
        <v>46066</v>
      </c>
      <c r="C703" s="171" t="s">
        <v>115</v>
      </c>
      <c r="D703" s="171" t="s">
        <v>116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2400</v>
      </c>
      <c r="J703" s="175">
        <v>46063</v>
      </c>
      <c r="K703" s="171" t="s">
        <v>113</v>
      </c>
      <c r="L703" s="171" t="s">
        <v>114</v>
      </c>
      <c r="M703" s="178">
        <v>0.43</v>
      </c>
      <c r="N703" s="176"/>
      <c r="O703" s="176"/>
      <c r="P703" s="179">
        <v>-25</v>
      </c>
    </row>
    <row r="704" spans="1:16" ht="19.5" hidden="1" customHeight="1">
      <c r="A704" s="171" t="s">
        <v>1404</v>
      </c>
      <c r="B704" s="175">
        <v>46066</v>
      </c>
      <c r="C704" s="171" t="s">
        <v>115</v>
      </c>
      <c r="D704" s="171" t="s">
        <v>135</v>
      </c>
      <c r="E704" s="171" t="s">
        <v>38</v>
      </c>
      <c r="F704" s="171" t="s">
        <v>111</v>
      </c>
      <c r="G704" s="171" t="s">
        <v>112</v>
      </c>
      <c r="H704" s="176">
        <v>1</v>
      </c>
      <c r="I704" s="177">
        <v>0</v>
      </c>
      <c r="J704" s="175">
        <v>46063</v>
      </c>
      <c r="K704" s="171" t="s">
        <v>125</v>
      </c>
      <c r="L704" s="171" t="s">
        <v>125</v>
      </c>
      <c r="M704" s="178">
        <v>0</v>
      </c>
      <c r="N704" s="176"/>
      <c r="O704" s="176"/>
      <c r="P704" s="179">
        <v>-17.079999999999998</v>
      </c>
    </row>
    <row r="705" spans="1:16" ht="19.5" hidden="1" customHeight="1">
      <c r="A705" s="171" t="s">
        <v>1405</v>
      </c>
      <c r="B705" s="175">
        <v>46066</v>
      </c>
      <c r="C705" s="171" t="s">
        <v>110</v>
      </c>
      <c r="D705" s="171" t="s">
        <v>24</v>
      </c>
      <c r="E705" s="171" t="s">
        <v>38</v>
      </c>
      <c r="F705" s="171" t="s">
        <v>111</v>
      </c>
      <c r="G705" s="171" t="s">
        <v>112</v>
      </c>
      <c r="H705" s="176">
        <v>1</v>
      </c>
      <c r="I705" s="177">
        <v>2400</v>
      </c>
      <c r="J705" s="175">
        <v>46061</v>
      </c>
      <c r="K705" s="171" t="s">
        <v>113</v>
      </c>
      <c r="L705" s="171" t="s">
        <v>114</v>
      </c>
      <c r="M705" s="178">
        <v>0.43</v>
      </c>
      <c r="N705" s="176"/>
      <c r="O705" s="176">
        <v>45</v>
      </c>
      <c r="P705" s="179">
        <v>-156.84</v>
      </c>
    </row>
    <row r="706" spans="1:16" ht="19.5" hidden="1" customHeight="1">
      <c r="A706" s="171" t="s">
        <v>1405</v>
      </c>
      <c r="B706" s="175">
        <v>46066</v>
      </c>
      <c r="C706" s="171" t="s">
        <v>127</v>
      </c>
      <c r="D706" s="171" t="s">
        <v>128</v>
      </c>
      <c r="E706" s="171" t="s">
        <v>38</v>
      </c>
      <c r="F706" s="171" t="s">
        <v>111</v>
      </c>
      <c r="G706" s="171" t="s">
        <v>112</v>
      </c>
      <c r="H706" s="176">
        <v>1</v>
      </c>
      <c r="I706" s="177">
        <v>2400</v>
      </c>
      <c r="J706" s="175">
        <v>46061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1176.19</v>
      </c>
    </row>
    <row r="707" spans="1:16" ht="19.5" hidden="1" customHeight="1">
      <c r="A707" s="171" t="s">
        <v>1405</v>
      </c>
      <c r="B707" s="175">
        <v>46066</v>
      </c>
      <c r="C707" s="171" t="s">
        <v>127</v>
      </c>
      <c r="D707" s="171" t="s">
        <v>129</v>
      </c>
      <c r="E707" s="171" t="s">
        <v>38</v>
      </c>
      <c r="F707" s="171" t="s">
        <v>111</v>
      </c>
      <c r="G707" s="171" t="s">
        <v>112</v>
      </c>
      <c r="H707" s="176">
        <v>1</v>
      </c>
      <c r="I707" s="177">
        <v>2400</v>
      </c>
      <c r="J707" s="175">
        <v>46061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11.76</v>
      </c>
    </row>
    <row r="708" spans="1:16" ht="19.5" hidden="1" customHeight="1">
      <c r="A708" s="171" t="s">
        <v>1405</v>
      </c>
      <c r="B708" s="175">
        <v>46066</v>
      </c>
      <c r="C708" s="171" t="s">
        <v>127</v>
      </c>
      <c r="D708" s="171" t="s">
        <v>130</v>
      </c>
      <c r="E708" s="171" t="s">
        <v>38</v>
      </c>
      <c r="F708" s="171" t="s">
        <v>111</v>
      </c>
      <c r="G708" s="171" t="s">
        <v>112</v>
      </c>
      <c r="H708" s="176">
        <v>1</v>
      </c>
      <c r="I708" s="177">
        <v>2400</v>
      </c>
      <c r="J708" s="175">
        <v>46061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1212.05</v>
      </c>
    </row>
    <row r="709" spans="1:16" ht="19.5" hidden="1" customHeight="1">
      <c r="A709" s="171" t="s">
        <v>1405</v>
      </c>
      <c r="B709" s="175">
        <v>46066</v>
      </c>
      <c r="C709" s="171" t="s">
        <v>131</v>
      </c>
      <c r="D709" s="171" t="s">
        <v>132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2400</v>
      </c>
      <c r="J709" s="175">
        <v>46061</v>
      </c>
      <c r="K709" s="171" t="s">
        <v>113</v>
      </c>
      <c r="L709" s="171" t="s">
        <v>114</v>
      </c>
      <c r="M709" s="178">
        <v>0.43</v>
      </c>
      <c r="N709" s="176"/>
      <c r="O709" s="176"/>
      <c r="P709" s="179">
        <v>-1032</v>
      </c>
    </row>
    <row r="710" spans="1:16" ht="19.5" hidden="1" customHeight="1">
      <c r="A710" s="171" t="s">
        <v>1405</v>
      </c>
      <c r="B710" s="175">
        <v>46066</v>
      </c>
      <c r="C710" s="171" t="s">
        <v>115</v>
      </c>
      <c r="D710" s="171" t="s">
        <v>116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2400</v>
      </c>
      <c r="J710" s="175">
        <v>46061</v>
      </c>
      <c r="K710" s="171" t="s">
        <v>113</v>
      </c>
      <c r="L710" s="171" t="s">
        <v>114</v>
      </c>
      <c r="M710" s="178">
        <v>0.43</v>
      </c>
      <c r="N710" s="176"/>
      <c r="O710" s="176"/>
      <c r="P710" s="179">
        <v>-20.57</v>
      </c>
    </row>
    <row r="711" spans="1:16" ht="19.5" hidden="1" customHeight="1">
      <c r="A711" s="171" t="s">
        <v>1406</v>
      </c>
      <c r="B711" s="175">
        <v>46066</v>
      </c>
      <c r="C711" s="171" t="s">
        <v>110</v>
      </c>
      <c r="D711" s="171" t="s">
        <v>24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2400</v>
      </c>
      <c r="J711" s="175">
        <v>46063</v>
      </c>
      <c r="K711" s="171" t="s">
        <v>113</v>
      </c>
      <c r="L711" s="171" t="s">
        <v>114</v>
      </c>
      <c r="M711" s="178">
        <v>0.43</v>
      </c>
      <c r="N711" s="176"/>
      <c r="O711" s="176">
        <v>44</v>
      </c>
      <c r="P711" s="179">
        <v>-151.84</v>
      </c>
    </row>
    <row r="712" spans="1:16" ht="19.5" hidden="1" customHeight="1">
      <c r="A712" s="171" t="s">
        <v>1406</v>
      </c>
      <c r="B712" s="175">
        <v>46066</v>
      </c>
      <c r="C712" s="171" t="s">
        <v>127</v>
      </c>
      <c r="D712" s="171" t="s">
        <v>128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2400</v>
      </c>
      <c r="J712" s="175">
        <v>46063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1169.2</v>
      </c>
    </row>
    <row r="713" spans="1:16" ht="19.5" hidden="1" customHeight="1">
      <c r="A713" s="171" t="s">
        <v>1406</v>
      </c>
      <c r="B713" s="175">
        <v>46066</v>
      </c>
      <c r="C713" s="171" t="s">
        <v>127</v>
      </c>
      <c r="D713" s="171" t="s">
        <v>129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2400</v>
      </c>
      <c r="J713" s="175">
        <v>46063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11.69</v>
      </c>
    </row>
    <row r="714" spans="1:16" ht="19.5" hidden="1" customHeight="1">
      <c r="A714" s="171" t="s">
        <v>1406</v>
      </c>
      <c r="B714" s="175">
        <v>46066</v>
      </c>
      <c r="C714" s="171" t="s">
        <v>127</v>
      </c>
      <c r="D714" s="171" t="s">
        <v>130</v>
      </c>
      <c r="E714" s="171" t="s">
        <v>44</v>
      </c>
      <c r="F714" s="171" t="s">
        <v>213</v>
      </c>
      <c r="G714" s="171" t="s">
        <v>214</v>
      </c>
      <c r="H714" s="176">
        <v>1</v>
      </c>
      <c r="I714" s="177">
        <v>2400</v>
      </c>
      <c r="J714" s="175">
        <v>46063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1219.1099999999999</v>
      </c>
    </row>
    <row r="715" spans="1:16" ht="19.5" hidden="1" customHeight="1">
      <c r="A715" s="171" t="s">
        <v>1406</v>
      </c>
      <c r="B715" s="175">
        <v>46066</v>
      </c>
      <c r="C715" s="171" t="s">
        <v>131</v>
      </c>
      <c r="D715" s="171" t="s">
        <v>132</v>
      </c>
      <c r="E715" s="171" t="s">
        <v>44</v>
      </c>
      <c r="F715" s="171" t="s">
        <v>213</v>
      </c>
      <c r="G715" s="171" t="s">
        <v>214</v>
      </c>
      <c r="H715" s="176">
        <v>1</v>
      </c>
      <c r="I715" s="177">
        <v>2400</v>
      </c>
      <c r="J715" s="175">
        <v>46063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-1032</v>
      </c>
    </row>
    <row r="716" spans="1:16" ht="19.5" hidden="1" customHeight="1">
      <c r="A716" s="171" t="s">
        <v>1406</v>
      </c>
      <c r="B716" s="175">
        <v>46066</v>
      </c>
      <c r="C716" s="171" t="s">
        <v>115</v>
      </c>
      <c r="D716" s="171" t="s">
        <v>116</v>
      </c>
      <c r="E716" s="171" t="s">
        <v>44</v>
      </c>
      <c r="F716" s="171" t="s">
        <v>213</v>
      </c>
      <c r="G716" s="171" t="s">
        <v>214</v>
      </c>
      <c r="H716" s="176">
        <v>1</v>
      </c>
      <c r="I716" s="177">
        <v>2400</v>
      </c>
      <c r="J716" s="175">
        <v>46063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-11.83</v>
      </c>
    </row>
    <row r="717" spans="1:16" ht="19.5" hidden="1" customHeight="1">
      <c r="A717" s="171" t="s">
        <v>1405</v>
      </c>
      <c r="B717" s="175">
        <v>46066</v>
      </c>
      <c r="C717" s="171" t="s">
        <v>115</v>
      </c>
      <c r="D717" s="171" t="s">
        <v>135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0</v>
      </c>
      <c r="J717" s="175">
        <v>46061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-22.35</v>
      </c>
    </row>
    <row r="718" spans="1:16" ht="19.5" hidden="1" customHeight="1">
      <c r="A718" s="171" t="s">
        <v>1406</v>
      </c>
      <c r="B718" s="175">
        <v>46066</v>
      </c>
      <c r="C718" s="171" t="s">
        <v>115</v>
      </c>
      <c r="D718" s="171" t="s">
        <v>135</v>
      </c>
      <c r="E718" s="171" t="s">
        <v>44</v>
      </c>
      <c r="F718" s="171" t="s">
        <v>213</v>
      </c>
      <c r="G718" s="171" t="s">
        <v>214</v>
      </c>
      <c r="H718" s="176">
        <v>1</v>
      </c>
      <c r="I718" s="177">
        <v>0</v>
      </c>
      <c r="J718" s="175">
        <v>46063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-22.21</v>
      </c>
    </row>
    <row r="719" spans="1:16" ht="19.5" hidden="1" customHeight="1">
      <c r="A719" s="171" t="s">
        <v>1407</v>
      </c>
      <c r="B719" s="175">
        <v>46066</v>
      </c>
      <c r="C719" s="171" t="s">
        <v>110</v>
      </c>
      <c r="D719" s="171" t="s">
        <v>24</v>
      </c>
      <c r="E719" s="171" t="s">
        <v>44</v>
      </c>
      <c r="F719" s="171" t="s">
        <v>213</v>
      </c>
      <c r="G719" s="171" t="s">
        <v>214</v>
      </c>
      <c r="H719" s="176">
        <v>1</v>
      </c>
      <c r="I719" s="177">
        <v>1760</v>
      </c>
      <c r="J719" s="175">
        <v>46064</v>
      </c>
      <c r="K719" s="171" t="s">
        <v>113</v>
      </c>
      <c r="L719" s="171" t="s">
        <v>114</v>
      </c>
      <c r="M719" s="178">
        <v>0.43</v>
      </c>
      <c r="N719" s="176"/>
      <c r="O719" s="176">
        <v>45</v>
      </c>
      <c r="P719" s="179">
        <v>-135.72</v>
      </c>
    </row>
    <row r="720" spans="1:16" ht="19.5" hidden="1" customHeight="1">
      <c r="A720" s="171" t="s">
        <v>1407</v>
      </c>
      <c r="B720" s="175">
        <v>46066</v>
      </c>
      <c r="C720" s="171" t="s">
        <v>127</v>
      </c>
      <c r="D720" s="171" t="s">
        <v>128</v>
      </c>
      <c r="E720" s="171" t="s">
        <v>44</v>
      </c>
      <c r="F720" s="171" t="s">
        <v>213</v>
      </c>
      <c r="G720" s="171" t="s">
        <v>214</v>
      </c>
      <c r="H720" s="176">
        <v>1</v>
      </c>
      <c r="I720" s="177">
        <v>1760</v>
      </c>
      <c r="J720" s="175">
        <v>46064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979.09</v>
      </c>
    </row>
    <row r="721" spans="1:16" ht="19.5" hidden="1" customHeight="1">
      <c r="A721" s="171" t="s">
        <v>1407</v>
      </c>
      <c r="B721" s="175">
        <v>46066</v>
      </c>
      <c r="C721" s="171" t="s">
        <v>127</v>
      </c>
      <c r="D721" s="171" t="s">
        <v>129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1760</v>
      </c>
      <c r="J721" s="175">
        <v>46064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hidden="1" customHeight="1">
      <c r="A722" s="171" t="s">
        <v>1407</v>
      </c>
      <c r="B722" s="175">
        <v>46066</v>
      </c>
      <c r="C722" s="171" t="s">
        <v>127</v>
      </c>
      <c r="D722" s="171" t="s">
        <v>130</v>
      </c>
      <c r="E722" s="171" t="s">
        <v>44</v>
      </c>
      <c r="F722" s="171" t="s">
        <v>213</v>
      </c>
      <c r="G722" s="171" t="s">
        <v>214</v>
      </c>
      <c r="H722" s="176">
        <v>1</v>
      </c>
      <c r="I722" s="177">
        <v>1760</v>
      </c>
      <c r="J722" s="175">
        <v>46064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780.91</v>
      </c>
    </row>
    <row r="723" spans="1:16" ht="19.5" hidden="1" customHeight="1">
      <c r="A723" s="171" t="s">
        <v>1407</v>
      </c>
      <c r="B723" s="175">
        <v>46066</v>
      </c>
      <c r="C723" s="171" t="s">
        <v>131</v>
      </c>
      <c r="D723" s="171" t="s">
        <v>132</v>
      </c>
      <c r="E723" s="171" t="s">
        <v>44</v>
      </c>
      <c r="F723" s="171" t="s">
        <v>213</v>
      </c>
      <c r="G723" s="171" t="s">
        <v>214</v>
      </c>
      <c r="H723" s="176">
        <v>1</v>
      </c>
      <c r="I723" s="177">
        <v>1760</v>
      </c>
      <c r="J723" s="175">
        <v>46064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-756.8</v>
      </c>
    </row>
    <row r="724" spans="1:16" ht="19.5" hidden="1" customHeight="1">
      <c r="A724" s="171" t="s">
        <v>1407</v>
      </c>
      <c r="B724" s="175">
        <v>46066</v>
      </c>
      <c r="C724" s="171" t="s">
        <v>115</v>
      </c>
      <c r="D724" s="171" t="s">
        <v>116</v>
      </c>
      <c r="E724" s="171" t="s">
        <v>44</v>
      </c>
      <c r="F724" s="171" t="s">
        <v>213</v>
      </c>
      <c r="G724" s="171" t="s">
        <v>214</v>
      </c>
      <c r="H724" s="176">
        <v>1</v>
      </c>
      <c r="I724" s="177">
        <v>1760</v>
      </c>
      <c r="J724" s="175">
        <v>46064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-14.06</v>
      </c>
    </row>
    <row r="725" spans="1:16" ht="19.5" hidden="1" customHeight="1">
      <c r="A725" s="171" t="s">
        <v>1408</v>
      </c>
      <c r="B725" s="175">
        <v>46066</v>
      </c>
      <c r="C725" s="171" t="s">
        <v>110</v>
      </c>
      <c r="D725" s="171" t="s">
        <v>24</v>
      </c>
      <c r="E725" s="171" t="s">
        <v>42</v>
      </c>
      <c r="F725" s="171" t="s">
        <v>248</v>
      </c>
      <c r="G725" s="171" t="s">
        <v>112</v>
      </c>
      <c r="H725" s="176">
        <v>1</v>
      </c>
      <c r="I725" s="177">
        <v>2400</v>
      </c>
      <c r="J725" s="175">
        <v>46063</v>
      </c>
      <c r="K725" s="171" t="s">
        <v>113</v>
      </c>
      <c r="L725" s="171" t="s">
        <v>114</v>
      </c>
      <c r="M725" s="178">
        <v>0.43</v>
      </c>
      <c r="N725" s="176"/>
      <c r="O725" s="176">
        <v>44</v>
      </c>
      <c r="P725" s="179">
        <v>-151.84</v>
      </c>
    </row>
    <row r="726" spans="1:16" ht="19.5" hidden="1" customHeight="1">
      <c r="A726" s="171" t="s">
        <v>1408</v>
      </c>
      <c r="B726" s="175">
        <v>46066</v>
      </c>
      <c r="C726" s="171" t="s">
        <v>127</v>
      </c>
      <c r="D726" s="171" t="s">
        <v>128</v>
      </c>
      <c r="E726" s="171" t="s">
        <v>42</v>
      </c>
      <c r="F726" s="171" t="s">
        <v>248</v>
      </c>
      <c r="G726" s="171" t="s">
        <v>112</v>
      </c>
      <c r="H726" s="176">
        <v>1</v>
      </c>
      <c r="I726" s="177">
        <v>2400</v>
      </c>
      <c r="J726" s="175">
        <v>46063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1224.6400000000001</v>
      </c>
    </row>
    <row r="727" spans="1:16" ht="19.5" hidden="1" customHeight="1">
      <c r="A727" s="171" t="s">
        <v>1408</v>
      </c>
      <c r="B727" s="175">
        <v>46066</v>
      </c>
      <c r="C727" s="171" t="s">
        <v>127</v>
      </c>
      <c r="D727" s="171" t="s">
        <v>129</v>
      </c>
      <c r="E727" s="171" t="s">
        <v>42</v>
      </c>
      <c r="F727" s="171" t="s">
        <v>248</v>
      </c>
      <c r="G727" s="171" t="s">
        <v>112</v>
      </c>
      <c r="H727" s="176">
        <v>1</v>
      </c>
      <c r="I727" s="177">
        <v>2400</v>
      </c>
      <c r="J727" s="175">
        <v>46063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12.25</v>
      </c>
    </row>
    <row r="728" spans="1:16" ht="19.5" hidden="1" customHeight="1">
      <c r="A728" s="171" t="s">
        <v>1408</v>
      </c>
      <c r="B728" s="175">
        <v>46066</v>
      </c>
      <c r="C728" s="171" t="s">
        <v>127</v>
      </c>
      <c r="D728" s="171" t="s">
        <v>130</v>
      </c>
      <c r="E728" s="171" t="s">
        <v>42</v>
      </c>
      <c r="F728" s="171" t="s">
        <v>248</v>
      </c>
      <c r="G728" s="171" t="s">
        <v>112</v>
      </c>
      <c r="H728" s="176">
        <v>1</v>
      </c>
      <c r="I728" s="177">
        <v>2400</v>
      </c>
      <c r="J728" s="175">
        <v>46063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1163.1099999999999</v>
      </c>
    </row>
    <row r="729" spans="1:16" ht="19.5" hidden="1" customHeight="1">
      <c r="A729" s="171" t="s">
        <v>1408</v>
      </c>
      <c r="B729" s="175">
        <v>46066</v>
      </c>
      <c r="C729" s="171" t="s">
        <v>131</v>
      </c>
      <c r="D729" s="171" t="s">
        <v>132</v>
      </c>
      <c r="E729" s="171" t="s">
        <v>42</v>
      </c>
      <c r="F729" s="171" t="s">
        <v>248</v>
      </c>
      <c r="G729" s="171" t="s">
        <v>112</v>
      </c>
      <c r="H729" s="176">
        <v>1</v>
      </c>
      <c r="I729" s="177">
        <v>2400</v>
      </c>
      <c r="J729" s="175">
        <v>46063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-1032</v>
      </c>
    </row>
    <row r="730" spans="1:16" ht="19.5" hidden="1" customHeight="1">
      <c r="A730" s="171" t="s">
        <v>1408</v>
      </c>
      <c r="B730" s="175">
        <v>46066</v>
      </c>
      <c r="C730" s="171" t="s">
        <v>115</v>
      </c>
      <c r="D730" s="171" t="s">
        <v>116</v>
      </c>
      <c r="E730" s="171" t="s">
        <v>42</v>
      </c>
      <c r="F730" s="171" t="s">
        <v>248</v>
      </c>
      <c r="G730" s="171" t="s">
        <v>112</v>
      </c>
      <c r="H730" s="176">
        <v>1</v>
      </c>
      <c r="I730" s="177">
        <v>2400</v>
      </c>
      <c r="J730" s="175">
        <v>46063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-14.6</v>
      </c>
    </row>
    <row r="731" spans="1:16" ht="19.5" hidden="1" customHeight="1">
      <c r="A731" s="171" t="s">
        <v>1408</v>
      </c>
      <c r="B731" s="175">
        <v>46066</v>
      </c>
      <c r="C731" s="171" t="s">
        <v>115</v>
      </c>
      <c r="D731" s="171" t="s">
        <v>135</v>
      </c>
      <c r="E731" s="171" t="s">
        <v>42</v>
      </c>
      <c r="F731" s="171" t="s">
        <v>248</v>
      </c>
      <c r="G731" s="171" t="s">
        <v>112</v>
      </c>
      <c r="H731" s="176">
        <v>1</v>
      </c>
      <c r="I731" s="177">
        <v>0</v>
      </c>
      <c r="J731" s="175">
        <v>46063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-23.27</v>
      </c>
    </row>
    <row r="732" spans="1:16" ht="19.5" hidden="1" customHeight="1">
      <c r="A732" s="171" t="s">
        <v>1370</v>
      </c>
      <c r="B732" s="175">
        <v>46066</v>
      </c>
      <c r="C732" s="171" t="s">
        <v>110</v>
      </c>
      <c r="D732" s="171" t="s">
        <v>24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46057</v>
      </c>
      <c r="K732" s="171" t="s">
        <v>113</v>
      </c>
      <c r="L732" s="171" t="s">
        <v>114</v>
      </c>
      <c r="M732" s="178">
        <v>0</v>
      </c>
      <c r="N732" s="176"/>
      <c r="O732" s="176">
        <v>42</v>
      </c>
      <c r="P732" s="179">
        <v>-46.77</v>
      </c>
    </row>
    <row r="733" spans="1:16" ht="19.5" hidden="1" customHeight="1">
      <c r="A733" s="171" t="s">
        <v>1370</v>
      </c>
      <c r="B733" s="175">
        <v>46066</v>
      </c>
      <c r="C733" s="171" t="s">
        <v>115</v>
      </c>
      <c r="D733" s="171" t="s">
        <v>116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46057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-11.46</v>
      </c>
    </row>
    <row r="734" spans="1:16" ht="19.5" hidden="1" customHeight="1">
      <c r="A734" s="171" t="s">
        <v>1370</v>
      </c>
      <c r="B734" s="175">
        <v>46066</v>
      </c>
      <c r="C734" s="171" t="s">
        <v>110</v>
      </c>
      <c r="D734" s="171" t="s">
        <v>117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46057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hidden="1" customHeight="1">
      <c r="A735" s="171" t="s">
        <v>1370</v>
      </c>
      <c r="B735" s="175">
        <v>46066</v>
      </c>
      <c r="C735" s="171" t="s">
        <v>110</v>
      </c>
      <c r="D735" s="171" t="s">
        <v>118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46057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-46.77</v>
      </c>
    </row>
    <row r="736" spans="1:16" ht="19.5" hidden="1" customHeight="1">
      <c r="A736" s="171" t="s">
        <v>1370</v>
      </c>
      <c r="B736" s="175">
        <v>46066</v>
      </c>
      <c r="C736" s="171" t="s">
        <v>115</v>
      </c>
      <c r="D736" s="171" t="s">
        <v>119</v>
      </c>
      <c r="E736" s="171" t="s">
        <v>38</v>
      </c>
      <c r="F736" s="171" t="s">
        <v>111</v>
      </c>
      <c r="G736" s="171" t="s">
        <v>112</v>
      </c>
      <c r="H736" s="176">
        <v>1</v>
      </c>
      <c r="I736" s="177">
        <v>0</v>
      </c>
      <c r="J736" s="175">
        <v>46057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hidden="1" customHeight="1">
      <c r="A737" s="171" t="s">
        <v>1102</v>
      </c>
      <c r="B737" s="175">
        <v>46066</v>
      </c>
      <c r="C737" s="171" t="s">
        <v>110</v>
      </c>
      <c r="D737" s="171" t="s">
        <v>121</v>
      </c>
      <c r="E737" s="171" t="s">
        <v>55</v>
      </c>
      <c r="F737" s="171" t="s">
        <v>356</v>
      </c>
      <c r="G737" s="171" t="s">
        <v>357</v>
      </c>
      <c r="H737" s="176">
        <v>1</v>
      </c>
      <c r="I737" s="177">
        <v>0</v>
      </c>
      <c r="J737" s="175">
        <v>46046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hidden="1" customHeight="1">
      <c r="A738" s="171" t="s">
        <v>1102</v>
      </c>
      <c r="B738" s="175">
        <v>46066</v>
      </c>
      <c r="C738" s="171" t="s">
        <v>110</v>
      </c>
      <c r="D738" s="171" t="s">
        <v>118</v>
      </c>
      <c r="E738" s="171" t="s">
        <v>55</v>
      </c>
      <c r="F738" s="171" t="s">
        <v>356</v>
      </c>
      <c r="G738" s="171" t="s">
        <v>357</v>
      </c>
      <c r="H738" s="176">
        <v>1</v>
      </c>
      <c r="I738" s="177">
        <v>0</v>
      </c>
      <c r="J738" s="175">
        <v>46046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hidden="1" customHeight="1">
      <c r="A739" s="171" t="s">
        <v>1102</v>
      </c>
      <c r="B739" s="175">
        <v>46066</v>
      </c>
      <c r="C739" s="171" t="s">
        <v>115</v>
      </c>
      <c r="D739" s="171" t="s">
        <v>119</v>
      </c>
      <c r="E739" s="171" t="s">
        <v>55</v>
      </c>
      <c r="F739" s="171" t="s">
        <v>356</v>
      </c>
      <c r="G739" s="171" t="s">
        <v>357</v>
      </c>
      <c r="H739" s="176">
        <v>1</v>
      </c>
      <c r="I739" s="177">
        <v>0</v>
      </c>
      <c r="J739" s="175">
        <v>46046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hidden="1" customHeight="1">
      <c r="A740" s="171" t="s">
        <v>1409</v>
      </c>
      <c r="B740" s="175">
        <v>46066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0</v>
      </c>
      <c r="J740" s="175">
        <v>46048</v>
      </c>
      <c r="K740" s="171" t="s">
        <v>113</v>
      </c>
      <c r="L740" s="171" t="s">
        <v>114</v>
      </c>
      <c r="M740" s="178">
        <v>0</v>
      </c>
      <c r="N740" s="176"/>
      <c r="O740" s="176">
        <v>51</v>
      </c>
      <c r="P740" s="179">
        <v>-46.77</v>
      </c>
    </row>
    <row r="741" spans="1:16" ht="19.5" hidden="1" customHeight="1">
      <c r="A741" s="171" t="s">
        <v>1409</v>
      </c>
      <c r="B741" s="175">
        <v>46066</v>
      </c>
      <c r="C741" s="171" t="s">
        <v>115</v>
      </c>
      <c r="D741" s="171" t="s">
        <v>116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0</v>
      </c>
      <c r="J741" s="175">
        <v>46048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-22.04</v>
      </c>
    </row>
    <row r="742" spans="1:16" ht="19.5" hidden="1" customHeight="1">
      <c r="A742" s="171" t="s">
        <v>1409</v>
      </c>
      <c r="B742" s="175">
        <v>46066</v>
      </c>
      <c r="C742" s="171" t="s">
        <v>110</v>
      </c>
      <c r="D742" s="171" t="s">
        <v>117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0</v>
      </c>
      <c r="J742" s="175">
        <v>46048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0</v>
      </c>
    </row>
    <row r="743" spans="1:16" ht="19.5" hidden="1" customHeight="1">
      <c r="A743" s="171" t="s">
        <v>1409</v>
      </c>
      <c r="B743" s="175">
        <v>46066</v>
      </c>
      <c r="C743" s="171" t="s">
        <v>110</v>
      </c>
      <c r="D743" s="171" t="s">
        <v>118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0</v>
      </c>
      <c r="J743" s="175">
        <v>46048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-46.77</v>
      </c>
    </row>
    <row r="744" spans="1:16" ht="19.5" customHeight="1">
      <c r="A744" s="171" t="s">
        <v>1410</v>
      </c>
      <c r="B744" s="175">
        <v>46066</v>
      </c>
      <c r="C744" s="171" t="s">
        <v>1317</v>
      </c>
      <c r="D744" s="171" t="s">
        <v>508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46061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-5</v>
      </c>
    </row>
    <row r="745" spans="1:16" ht="19.5" hidden="1" customHeight="1">
      <c r="A745" s="171" t="s">
        <v>1410</v>
      </c>
      <c r="B745" s="175">
        <v>46066</v>
      </c>
      <c r="C745" s="171" t="s">
        <v>115</v>
      </c>
      <c r="D745" s="171" t="s">
        <v>510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46061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-10</v>
      </c>
    </row>
    <row r="746" spans="1:16" ht="19.5" hidden="1" customHeight="1">
      <c r="A746" s="171" t="s">
        <v>1411</v>
      </c>
      <c r="B746" s="175">
        <v>46066</v>
      </c>
      <c r="C746" s="171" t="s">
        <v>110</v>
      </c>
      <c r="D746" s="171" t="s">
        <v>24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5588</v>
      </c>
      <c r="J746" s="175">
        <v>46059</v>
      </c>
      <c r="K746" s="171" t="s">
        <v>113</v>
      </c>
      <c r="L746" s="171" t="s">
        <v>114</v>
      </c>
      <c r="M746" s="178">
        <v>0.43</v>
      </c>
      <c r="N746" s="176"/>
      <c r="O746" s="176">
        <v>42</v>
      </c>
      <c r="P746" s="179">
        <v>-248.66</v>
      </c>
    </row>
    <row r="747" spans="1:16" ht="19.5" hidden="1" customHeight="1">
      <c r="A747" s="171" t="s">
        <v>1411</v>
      </c>
      <c r="B747" s="175">
        <v>46066</v>
      </c>
      <c r="C747" s="171" t="s">
        <v>127</v>
      </c>
      <c r="D747" s="171" t="s">
        <v>128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5588</v>
      </c>
      <c r="J747" s="175">
        <v>46059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2128.5700000000002</v>
      </c>
    </row>
    <row r="748" spans="1:16" ht="19.5" hidden="1" customHeight="1">
      <c r="A748" s="171" t="s">
        <v>1411</v>
      </c>
      <c r="B748" s="175">
        <v>46066</v>
      </c>
      <c r="C748" s="171" t="s">
        <v>127</v>
      </c>
      <c r="D748" s="171" t="s">
        <v>129</v>
      </c>
      <c r="E748" s="171" t="s">
        <v>77</v>
      </c>
      <c r="F748" s="171" t="s">
        <v>194</v>
      </c>
      <c r="G748" s="171" t="s">
        <v>177</v>
      </c>
      <c r="H748" s="176">
        <v>1</v>
      </c>
      <c r="I748" s="177">
        <v>5588</v>
      </c>
      <c r="J748" s="175">
        <v>46059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0</v>
      </c>
    </row>
    <row r="749" spans="1:16" ht="19.5" hidden="1" customHeight="1">
      <c r="A749" s="171" t="s">
        <v>1411</v>
      </c>
      <c r="B749" s="175">
        <v>46066</v>
      </c>
      <c r="C749" s="171" t="s">
        <v>127</v>
      </c>
      <c r="D749" s="171" t="s">
        <v>130</v>
      </c>
      <c r="E749" s="171" t="s">
        <v>77</v>
      </c>
      <c r="F749" s="171" t="s">
        <v>194</v>
      </c>
      <c r="G749" s="171" t="s">
        <v>177</v>
      </c>
      <c r="H749" s="176">
        <v>1</v>
      </c>
      <c r="I749" s="177">
        <v>5588</v>
      </c>
      <c r="J749" s="175">
        <v>46059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3459.43</v>
      </c>
    </row>
    <row r="750" spans="1:16" ht="19.5" hidden="1" customHeight="1">
      <c r="A750" s="171" t="s">
        <v>1411</v>
      </c>
      <c r="B750" s="175">
        <v>46066</v>
      </c>
      <c r="C750" s="171" t="s">
        <v>131</v>
      </c>
      <c r="D750" s="171" t="s">
        <v>132</v>
      </c>
      <c r="E750" s="171" t="s">
        <v>77</v>
      </c>
      <c r="F750" s="171" t="s">
        <v>194</v>
      </c>
      <c r="G750" s="171" t="s">
        <v>177</v>
      </c>
      <c r="H750" s="176">
        <v>1</v>
      </c>
      <c r="I750" s="177">
        <v>5588</v>
      </c>
      <c r="J750" s="175">
        <v>46059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-2402.84</v>
      </c>
    </row>
    <row r="751" spans="1:16" ht="19.5" hidden="1" customHeight="1">
      <c r="A751" s="171" t="s">
        <v>1411</v>
      </c>
      <c r="B751" s="175">
        <v>46066</v>
      </c>
      <c r="C751" s="171" t="s">
        <v>115</v>
      </c>
      <c r="D751" s="171" t="s">
        <v>116</v>
      </c>
      <c r="E751" s="171" t="s">
        <v>77</v>
      </c>
      <c r="F751" s="171" t="s">
        <v>194</v>
      </c>
      <c r="G751" s="171" t="s">
        <v>177</v>
      </c>
      <c r="H751" s="176">
        <v>1</v>
      </c>
      <c r="I751" s="177">
        <v>5588</v>
      </c>
      <c r="J751" s="175">
        <v>46059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-12.27</v>
      </c>
    </row>
    <row r="752" spans="1:16" ht="19.5" hidden="1" customHeight="1">
      <c r="A752" s="171" t="s">
        <v>1412</v>
      </c>
      <c r="B752" s="175">
        <v>46066</v>
      </c>
      <c r="C752" s="171" t="s">
        <v>110</v>
      </c>
      <c r="D752" s="171" t="s">
        <v>24</v>
      </c>
      <c r="E752" s="171" t="s">
        <v>40</v>
      </c>
      <c r="F752" s="171" t="s">
        <v>149</v>
      </c>
      <c r="G752" s="171" t="s">
        <v>112</v>
      </c>
      <c r="H752" s="176">
        <v>1</v>
      </c>
      <c r="I752" s="177">
        <v>2000</v>
      </c>
      <c r="J752" s="175">
        <v>46062</v>
      </c>
      <c r="K752" s="171" t="s">
        <v>113</v>
      </c>
      <c r="L752" s="171" t="s">
        <v>114</v>
      </c>
      <c r="M752" s="178">
        <v>0.43</v>
      </c>
      <c r="N752" s="176"/>
      <c r="O752" s="176">
        <v>45</v>
      </c>
      <c r="P752" s="179">
        <v>-143.63999999999999</v>
      </c>
    </row>
    <row r="753" spans="1:16" ht="19.5" hidden="1" customHeight="1">
      <c r="A753" s="171" t="s">
        <v>1412</v>
      </c>
      <c r="B753" s="175">
        <v>46066</v>
      </c>
      <c r="C753" s="171" t="s">
        <v>127</v>
      </c>
      <c r="D753" s="171" t="s">
        <v>128</v>
      </c>
      <c r="E753" s="171" t="s">
        <v>40</v>
      </c>
      <c r="F753" s="171" t="s">
        <v>149</v>
      </c>
      <c r="G753" s="171" t="s">
        <v>112</v>
      </c>
      <c r="H753" s="176">
        <v>1</v>
      </c>
      <c r="I753" s="177">
        <v>2000</v>
      </c>
      <c r="J753" s="175">
        <v>46062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845.71</v>
      </c>
    </row>
    <row r="754" spans="1:16" ht="19.5" hidden="1" customHeight="1">
      <c r="A754" s="171" t="s">
        <v>1412</v>
      </c>
      <c r="B754" s="175">
        <v>46066</v>
      </c>
      <c r="C754" s="171" t="s">
        <v>127</v>
      </c>
      <c r="D754" s="171" t="s">
        <v>129</v>
      </c>
      <c r="E754" s="171" t="s">
        <v>40</v>
      </c>
      <c r="F754" s="171" t="s">
        <v>149</v>
      </c>
      <c r="G754" s="171" t="s">
        <v>112</v>
      </c>
      <c r="H754" s="176">
        <v>1</v>
      </c>
      <c r="I754" s="177">
        <v>2000</v>
      </c>
      <c r="J754" s="175">
        <v>46062</v>
      </c>
      <c r="K754" s="171" t="s">
        <v>113</v>
      </c>
      <c r="L754" s="171" t="s">
        <v>114</v>
      </c>
      <c r="M754" s="178">
        <v>0</v>
      </c>
      <c r="N754" s="176"/>
      <c r="O754" s="176"/>
      <c r="P754" s="179">
        <v>8.4600000000000009</v>
      </c>
    </row>
    <row r="755" spans="1:16" ht="19.5" hidden="1" customHeight="1">
      <c r="A755" s="171" t="s">
        <v>1412</v>
      </c>
      <c r="B755" s="175">
        <v>46066</v>
      </c>
      <c r="C755" s="171" t="s">
        <v>127</v>
      </c>
      <c r="D755" s="171" t="s">
        <v>130</v>
      </c>
      <c r="E755" s="171" t="s">
        <v>40</v>
      </c>
      <c r="F755" s="171" t="s">
        <v>149</v>
      </c>
      <c r="G755" s="171" t="s">
        <v>112</v>
      </c>
      <c r="H755" s="176">
        <v>1</v>
      </c>
      <c r="I755" s="177">
        <v>2000</v>
      </c>
      <c r="J755" s="175">
        <v>46062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1145.83</v>
      </c>
    </row>
    <row r="756" spans="1:16" ht="19.5" hidden="1" customHeight="1">
      <c r="A756" s="171" t="s">
        <v>1412</v>
      </c>
      <c r="B756" s="175">
        <v>46066</v>
      </c>
      <c r="C756" s="171" t="s">
        <v>131</v>
      </c>
      <c r="D756" s="171" t="s">
        <v>132</v>
      </c>
      <c r="E756" s="171" t="s">
        <v>40</v>
      </c>
      <c r="F756" s="171" t="s">
        <v>149</v>
      </c>
      <c r="G756" s="171" t="s">
        <v>112</v>
      </c>
      <c r="H756" s="176">
        <v>1</v>
      </c>
      <c r="I756" s="177">
        <v>2000</v>
      </c>
      <c r="J756" s="175">
        <v>46062</v>
      </c>
      <c r="K756" s="171" t="s">
        <v>113</v>
      </c>
      <c r="L756" s="171" t="s">
        <v>114</v>
      </c>
      <c r="M756" s="178">
        <v>0.43</v>
      </c>
      <c r="N756" s="176"/>
      <c r="O756" s="176"/>
      <c r="P756" s="179">
        <v>-860</v>
      </c>
    </row>
    <row r="757" spans="1:16" ht="19.5" hidden="1" customHeight="1">
      <c r="A757" s="171" t="s">
        <v>1411</v>
      </c>
      <c r="B757" s="175">
        <v>46066</v>
      </c>
      <c r="C757" s="171" t="s">
        <v>115</v>
      </c>
      <c r="D757" s="171" t="s">
        <v>135</v>
      </c>
      <c r="E757" s="171" t="s">
        <v>77</v>
      </c>
      <c r="F757" s="171" t="s">
        <v>194</v>
      </c>
      <c r="G757" s="171" t="s">
        <v>177</v>
      </c>
      <c r="H757" s="176">
        <v>1</v>
      </c>
      <c r="I757" s="177">
        <v>0</v>
      </c>
      <c r="J757" s="175">
        <v>46059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-14.26</v>
      </c>
    </row>
    <row r="758" spans="1:16" ht="19.5" hidden="1" customHeight="1">
      <c r="A758" s="171" t="s">
        <v>1412</v>
      </c>
      <c r="B758" s="175">
        <v>46066</v>
      </c>
      <c r="C758" s="171" t="s">
        <v>115</v>
      </c>
      <c r="D758" s="171" t="s">
        <v>135</v>
      </c>
      <c r="E758" s="171" t="s">
        <v>40</v>
      </c>
      <c r="F758" s="171" t="s">
        <v>149</v>
      </c>
      <c r="G758" s="171" t="s">
        <v>112</v>
      </c>
      <c r="H758" s="176">
        <v>1</v>
      </c>
      <c r="I758" s="177">
        <v>0</v>
      </c>
      <c r="J758" s="175">
        <v>46062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-16.07</v>
      </c>
    </row>
    <row r="759" spans="1:16" ht="19.5" hidden="1" customHeight="1">
      <c r="A759" s="171" t="s">
        <v>1413</v>
      </c>
      <c r="B759" s="175">
        <v>46066</v>
      </c>
      <c r="C759" s="171" t="s">
        <v>110</v>
      </c>
      <c r="D759" s="171" t="s">
        <v>117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0</v>
      </c>
      <c r="J759" s="175">
        <v>46060</v>
      </c>
      <c r="K759" s="171" t="s">
        <v>113</v>
      </c>
      <c r="L759" s="171" t="s">
        <v>114</v>
      </c>
      <c r="M759" s="178">
        <v>0</v>
      </c>
      <c r="N759" s="176"/>
      <c r="O759" s="176"/>
      <c r="P759" s="179">
        <v>0</v>
      </c>
    </row>
    <row r="760" spans="1:16" ht="19.5" hidden="1" customHeight="1">
      <c r="A760" s="171" t="s">
        <v>1413</v>
      </c>
      <c r="B760" s="175">
        <v>46066</v>
      </c>
      <c r="C760" s="171" t="s">
        <v>110</v>
      </c>
      <c r="D760" s="171" t="s">
        <v>118</v>
      </c>
      <c r="E760" s="171" t="s">
        <v>38</v>
      </c>
      <c r="F760" s="171" t="s">
        <v>111</v>
      </c>
      <c r="G760" s="171" t="s">
        <v>112</v>
      </c>
      <c r="H760" s="176">
        <v>1</v>
      </c>
      <c r="I760" s="177">
        <v>0</v>
      </c>
      <c r="J760" s="175">
        <v>46060</v>
      </c>
      <c r="K760" s="171" t="s">
        <v>113</v>
      </c>
      <c r="L760" s="171" t="s">
        <v>114</v>
      </c>
      <c r="M760" s="178">
        <v>0</v>
      </c>
      <c r="N760" s="176"/>
      <c r="O760" s="176"/>
      <c r="P760" s="179">
        <v>-46.77</v>
      </c>
    </row>
    <row r="761" spans="1:16" ht="19.5" hidden="1" customHeight="1">
      <c r="A761" s="171" t="s">
        <v>1413</v>
      </c>
      <c r="B761" s="175">
        <v>46066</v>
      </c>
      <c r="C761" s="171" t="s">
        <v>115</v>
      </c>
      <c r="D761" s="171" t="s">
        <v>119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0</v>
      </c>
      <c r="J761" s="175">
        <v>46060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-15</v>
      </c>
    </row>
    <row r="762" spans="1:16" ht="19.5" hidden="1" customHeight="1">
      <c r="A762" s="171" t="s">
        <v>1413</v>
      </c>
      <c r="B762" s="175">
        <v>46066</v>
      </c>
      <c r="C762" s="171" t="s">
        <v>110</v>
      </c>
      <c r="D762" s="171" t="s">
        <v>24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0</v>
      </c>
      <c r="J762" s="175">
        <v>46060</v>
      </c>
      <c r="K762" s="171" t="s">
        <v>113</v>
      </c>
      <c r="L762" s="171" t="s">
        <v>114</v>
      </c>
      <c r="M762" s="178">
        <v>0</v>
      </c>
      <c r="N762" s="176"/>
      <c r="O762" s="176">
        <v>43</v>
      </c>
      <c r="P762" s="179">
        <v>-46.77</v>
      </c>
    </row>
    <row r="763" spans="1:16" ht="19.5" hidden="1" customHeight="1">
      <c r="A763" s="171" t="s">
        <v>1413</v>
      </c>
      <c r="B763" s="175">
        <v>46066</v>
      </c>
      <c r="C763" s="171" t="s">
        <v>115</v>
      </c>
      <c r="D763" s="171" t="s">
        <v>116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46060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-22.05</v>
      </c>
    </row>
    <row r="764" spans="1:16" ht="19.5" hidden="1" customHeight="1">
      <c r="A764" s="171" t="s">
        <v>1414</v>
      </c>
      <c r="B764" s="175">
        <v>46066</v>
      </c>
      <c r="C764" s="171" t="s">
        <v>115</v>
      </c>
      <c r="D764" s="171" t="s">
        <v>135</v>
      </c>
      <c r="E764" s="171" t="s">
        <v>77</v>
      </c>
      <c r="F764" s="171" t="s">
        <v>194</v>
      </c>
      <c r="G764" s="171" t="s">
        <v>177</v>
      </c>
      <c r="H764" s="176">
        <v>1</v>
      </c>
      <c r="I764" s="177">
        <v>0</v>
      </c>
      <c r="J764" s="175">
        <v>46066</v>
      </c>
      <c r="K764" s="171" t="s">
        <v>125</v>
      </c>
      <c r="L764" s="171" t="s">
        <v>125</v>
      </c>
      <c r="M764" s="178">
        <v>0</v>
      </c>
      <c r="N764" s="176"/>
      <c r="O764" s="176"/>
      <c r="P764" s="179">
        <v>-48.2</v>
      </c>
    </row>
    <row r="765" spans="1:16" ht="19.5" hidden="1" customHeight="1">
      <c r="A765" s="171" t="s">
        <v>1415</v>
      </c>
      <c r="B765" s="175">
        <v>46066</v>
      </c>
      <c r="C765" s="171" t="s">
        <v>110</v>
      </c>
      <c r="D765" s="171" t="s">
        <v>24</v>
      </c>
      <c r="E765" s="171" t="s">
        <v>77</v>
      </c>
      <c r="F765" s="171" t="s">
        <v>194</v>
      </c>
      <c r="G765" s="171" t="s">
        <v>177</v>
      </c>
      <c r="H765" s="176">
        <v>1</v>
      </c>
      <c r="I765" s="177">
        <v>0</v>
      </c>
      <c r="J765" s="175">
        <v>46051</v>
      </c>
      <c r="K765" s="171" t="s">
        <v>113</v>
      </c>
      <c r="L765" s="171" t="s">
        <v>114</v>
      </c>
      <c r="M765" s="178">
        <v>0</v>
      </c>
      <c r="N765" s="176"/>
      <c r="O765" s="176">
        <v>48</v>
      </c>
      <c r="P765" s="179">
        <v>-56.94</v>
      </c>
    </row>
    <row r="766" spans="1:16" ht="19.5" hidden="1" customHeight="1">
      <c r="A766" s="171" t="s">
        <v>1415</v>
      </c>
      <c r="B766" s="175">
        <v>46066</v>
      </c>
      <c r="C766" s="171" t="s">
        <v>115</v>
      </c>
      <c r="D766" s="171" t="s">
        <v>116</v>
      </c>
      <c r="E766" s="171" t="s">
        <v>77</v>
      </c>
      <c r="F766" s="171" t="s">
        <v>194</v>
      </c>
      <c r="G766" s="171" t="s">
        <v>177</v>
      </c>
      <c r="H766" s="176">
        <v>1</v>
      </c>
      <c r="I766" s="177">
        <v>0</v>
      </c>
      <c r="J766" s="175">
        <v>46051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-13.2</v>
      </c>
    </row>
    <row r="767" spans="1:16" ht="19.5" hidden="1" customHeight="1">
      <c r="A767" s="171" t="s">
        <v>1415</v>
      </c>
      <c r="B767" s="175">
        <v>46066</v>
      </c>
      <c r="C767" s="171" t="s">
        <v>110</v>
      </c>
      <c r="D767" s="171" t="s">
        <v>117</v>
      </c>
      <c r="E767" s="171" t="s">
        <v>77</v>
      </c>
      <c r="F767" s="171" t="s">
        <v>194</v>
      </c>
      <c r="G767" s="171" t="s">
        <v>177</v>
      </c>
      <c r="H767" s="176">
        <v>1</v>
      </c>
      <c r="I767" s="177">
        <v>0</v>
      </c>
      <c r="J767" s="175">
        <v>46051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0</v>
      </c>
    </row>
    <row r="768" spans="1:16" ht="19.5" hidden="1" customHeight="1">
      <c r="A768" s="171" t="s">
        <v>1415</v>
      </c>
      <c r="B768" s="175">
        <v>46066</v>
      </c>
      <c r="C768" s="171" t="s">
        <v>110</v>
      </c>
      <c r="D768" s="171" t="s">
        <v>118</v>
      </c>
      <c r="E768" s="171" t="s">
        <v>77</v>
      </c>
      <c r="F768" s="171" t="s">
        <v>194</v>
      </c>
      <c r="G768" s="171" t="s">
        <v>177</v>
      </c>
      <c r="H768" s="176">
        <v>1</v>
      </c>
      <c r="I768" s="177">
        <v>0</v>
      </c>
      <c r="J768" s="175">
        <v>46051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-56.94</v>
      </c>
    </row>
    <row r="769" spans="1:16" ht="19.5" hidden="1" customHeight="1">
      <c r="A769" s="171" t="s">
        <v>1415</v>
      </c>
      <c r="B769" s="175">
        <v>46066</v>
      </c>
      <c r="C769" s="171" t="s">
        <v>115</v>
      </c>
      <c r="D769" s="171" t="s">
        <v>119</v>
      </c>
      <c r="E769" s="171" t="s">
        <v>77</v>
      </c>
      <c r="F769" s="171" t="s">
        <v>194</v>
      </c>
      <c r="G769" s="171" t="s">
        <v>177</v>
      </c>
      <c r="H769" s="176">
        <v>1</v>
      </c>
      <c r="I769" s="177">
        <v>0</v>
      </c>
      <c r="J769" s="175">
        <v>46051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-15</v>
      </c>
    </row>
    <row r="770" spans="1:16" ht="19.5" hidden="1" customHeight="1">
      <c r="A770" s="171" t="s">
        <v>1388</v>
      </c>
      <c r="B770" s="175">
        <v>46066</v>
      </c>
      <c r="C770" s="171" t="s">
        <v>151</v>
      </c>
      <c r="D770" s="171" t="s">
        <v>152</v>
      </c>
      <c r="E770" s="171" t="s">
        <v>125</v>
      </c>
      <c r="F770" s="171" t="s">
        <v>125</v>
      </c>
      <c r="G770" s="171" t="s">
        <v>125</v>
      </c>
      <c r="H770" s="176">
        <v>0</v>
      </c>
      <c r="I770" s="177">
        <v>0</v>
      </c>
      <c r="J770" s="175">
        <v>46066</v>
      </c>
      <c r="K770" s="171" t="s">
        <v>125</v>
      </c>
      <c r="L770" s="171" t="s">
        <v>125</v>
      </c>
      <c r="M770" s="178">
        <v>0</v>
      </c>
      <c r="N770" s="176"/>
      <c r="O770" s="176"/>
      <c r="P770" s="179">
        <v>-298.83</v>
      </c>
    </row>
    <row r="771" spans="1:16" ht="19.5" hidden="1" customHeight="1">
      <c r="A771" s="171" t="s">
        <v>1389</v>
      </c>
      <c r="B771" s="175">
        <v>46066</v>
      </c>
      <c r="C771" s="171" t="s">
        <v>151</v>
      </c>
      <c r="D771" s="171" t="s">
        <v>152</v>
      </c>
      <c r="E771" s="171" t="s">
        <v>125</v>
      </c>
      <c r="F771" s="171" t="s">
        <v>125</v>
      </c>
      <c r="G771" s="171" t="s">
        <v>125</v>
      </c>
      <c r="H771" s="176">
        <v>0</v>
      </c>
      <c r="I771" s="177">
        <v>0</v>
      </c>
      <c r="J771" s="175">
        <v>46066</v>
      </c>
      <c r="K771" s="171" t="s">
        <v>125</v>
      </c>
      <c r="L771" s="171" t="s">
        <v>125</v>
      </c>
      <c r="M771" s="178">
        <v>0</v>
      </c>
      <c r="N771" s="176"/>
      <c r="O771" s="176"/>
      <c r="P771" s="179">
        <v>-284.36</v>
      </c>
    </row>
    <row r="772" spans="1:16" ht="19.5" hidden="1" customHeight="1">
      <c r="A772" s="171" t="s">
        <v>1390</v>
      </c>
      <c r="B772" s="175">
        <v>46066</v>
      </c>
      <c r="C772" s="171" t="s">
        <v>151</v>
      </c>
      <c r="D772" s="171" t="s">
        <v>152</v>
      </c>
      <c r="E772" s="171" t="s">
        <v>125</v>
      </c>
      <c r="F772" s="171" t="s">
        <v>125</v>
      </c>
      <c r="G772" s="171" t="s">
        <v>125</v>
      </c>
      <c r="H772" s="176">
        <v>0</v>
      </c>
      <c r="I772" s="177">
        <v>0</v>
      </c>
      <c r="J772" s="175">
        <v>46066</v>
      </c>
      <c r="K772" s="171" t="s">
        <v>125</v>
      </c>
      <c r="L772" s="171" t="s">
        <v>125</v>
      </c>
      <c r="M772" s="178">
        <v>0</v>
      </c>
      <c r="N772" s="176"/>
      <c r="O772" s="176"/>
      <c r="P772" s="179">
        <v>-278.55</v>
      </c>
    </row>
    <row r="773" spans="1:16" ht="19.5" hidden="1" customHeight="1">
      <c r="A773" s="171" t="s">
        <v>1356</v>
      </c>
      <c r="B773" s="175">
        <v>46066</v>
      </c>
      <c r="C773" s="171" t="s">
        <v>151</v>
      </c>
      <c r="D773" s="171" t="s">
        <v>152</v>
      </c>
      <c r="E773" s="171" t="s">
        <v>125</v>
      </c>
      <c r="F773" s="171" t="s">
        <v>125</v>
      </c>
      <c r="G773" s="171" t="s">
        <v>125</v>
      </c>
      <c r="H773" s="176">
        <v>0</v>
      </c>
      <c r="I773" s="177">
        <v>0</v>
      </c>
      <c r="J773" s="175">
        <v>46066</v>
      </c>
      <c r="K773" s="171" t="s">
        <v>125</v>
      </c>
      <c r="L773" s="171" t="s">
        <v>125</v>
      </c>
      <c r="M773" s="178">
        <v>0</v>
      </c>
      <c r="N773" s="176"/>
      <c r="O773" s="176"/>
      <c r="P773" s="179">
        <v>-294.95999999999998</v>
      </c>
    </row>
    <row r="774" spans="1:16" ht="19.5" hidden="1" customHeight="1">
      <c r="A774" s="171" t="s">
        <v>150</v>
      </c>
      <c r="B774" s="175">
        <v>46066</v>
      </c>
      <c r="C774" s="171" t="s">
        <v>151</v>
      </c>
      <c r="D774" s="171" t="s">
        <v>152</v>
      </c>
      <c r="E774" s="171" t="s">
        <v>125</v>
      </c>
      <c r="F774" s="171" t="s">
        <v>125</v>
      </c>
      <c r="G774" s="171" t="s">
        <v>125</v>
      </c>
      <c r="H774" s="176">
        <v>0</v>
      </c>
      <c r="I774" s="177">
        <v>0</v>
      </c>
      <c r="J774" s="175">
        <v>46066</v>
      </c>
      <c r="K774" s="171" t="s">
        <v>125</v>
      </c>
      <c r="L774" s="171" t="s">
        <v>125</v>
      </c>
      <c r="M774" s="178">
        <v>0</v>
      </c>
      <c r="N774" s="176"/>
      <c r="O774" s="176"/>
      <c r="P774" s="179">
        <v>-844.66</v>
      </c>
    </row>
    <row r="775" spans="1:16" ht="19.5" hidden="1" customHeight="1">
      <c r="A775" s="171" t="s">
        <v>155</v>
      </c>
      <c r="B775" s="175">
        <v>46066</v>
      </c>
      <c r="C775" s="171" t="s">
        <v>151</v>
      </c>
      <c r="D775" s="171" t="s">
        <v>156</v>
      </c>
      <c r="E775" s="171" t="s">
        <v>125</v>
      </c>
      <c r="F775" s="171" t="s">
        <v>125</v>
      </c>
      <c r="G775" s="171" t="s">
        <v>125</v>
      </c>
      <c r="H775" s="176">
        <v>0</v>
      </c>
      <c r="I775" s="177">
        <v>0</v>
      </c>
      <c r="J775" s="175">
        <v>46066</v>
      </c>
      <c r="K775" s="171" t="s">
        <v>125</v>
      </c>
      <c r="L775" s="171" t="s">
        <v>125</v>
      </c>
      <c r="M775" s="178">
        <v>0</v>
      </c>
      <c r="N775" s="176"/>
      <c r="O775" s="176"/>
      <c r="P775" s="179">
        <v>-5109.38</v>
      </c>
    </row>
    <row r="776" spans="1:16" ht="19.5" hidden="1" customHeight="1">
      <c r="A776" s="171" t="s">
        <v>1416</v>
      </c>
      <c r="B776" s="175">
        <v>46067</v>
      </c>
      <c r="C776" s="171" t="s">
        <v>110</v>
      </c>
      <c r="D776" s="171" t="s">
        <v>24</v>
      </c>
      <c r="E776" s="171" t="s">
        <v>63</v>
      </c>
      <c r="F776" s="171" t="s">
        <v>898</v>
      </c>
      <c r="G776" s="171" t="s">
        <v>177</v>
      </c>
      <c r="H776" s="176">
        <v>1</v>
      </c>
      <c r="I776" s="177">
        <v>0</v>
      </c>
      <c r="J776" s="175">
        <v>46061</v>
      </c>
      <c r="K776" s="171" t="s">
        <v>113</v>
      </c>
      <c r="L776" s="171" t="s">
        <v>114</v>
      </c>
      <c r="M776" s="178">
        <v>0</v>
      </c>
      <c r="N776" s="176"/>
      <c r="O776" s="176">
        <v>45</v>
      </c>
      <c r="P776" s="179">
        <v>-56.94</v>
      </c>
    </row>
    <row r="777" spans="1:16" ht="19.5" hidden="1" customHeight="1">
      <c r="A777" s="171" t="s">
        <v>1416</v>
      </c>
      <c r="B777" s="175">
        <v>46067</v>
      </c>
      <c r="C777" s="171" t="s">
        <v>115</v>
      </c>
      <c r="D777" s="171" t="s">
        <v>116</v>
      </c>
      <c r="E777" s="171" t="s">
        <v>63</v>
      </c>
      <c r="F777" s="171" t="s">
        <v>898</v>
      </c>
      <c r="G777" s="171" t="s">
        <v>177</v>
      </c>
      <c r="H777" s="176">
        <v>1</v>
      </c>
      <c r="I777" s="177">
        <v>0</v>
      </c>
      <c r="J777" s="175">
        <v>46061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-14.33</v>
      </c>
    </row>
    <row r="778" spans="1:16" ht="19.5" hidden="1" customHeight="1">
      <c r="A778" s="171" t="s">
        <v>1416</v>
      </c>
      <c r="B778" s="175">
        <v>46067</v>
      </c>
      <c r="C778" s="171" t="s">
        <v>110</v>
      </c>
      <c r="D778" s="171" t="s">
        <v>117</v>
      </c>
      <c r="E778" s="171" t="s">
        <v>63</v>
      </c>
      <c r="F778" s="171" t="s">
        <v>898</v>
      </c>
      <c r="G778" s="171" t="s">
        <v>177</v>
      </c>
      <c r="H778" s="176">
        <v>1</v>
      </c>
      <c r="I778" s="177">
        <v>0</v>
      </c>
      <c r="J778" s="175">
        <v>46061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0</v>
      </c>
    </row>
    <row r="779" spans="1:16" ht="19.5" hidden="1" customHeight="1">
      <c r="A779" s="171" t="s">
        <v>1416</v>
      </c>
      <c r="B779" s="175">
        <v>46067</v>
      </c>
      <c r="C779" s="171" t="s">
        <v>110</v>
      </c>
      <c r="D779" s="171" t="s">
        <v>118</v>
      </c>
      <c r="E779" s="171" t="s">
        <v>63</v>
      </c>
      <c r="F779" s="171" t="s">
        <v>898</v>
      </c>
      <c r="G779" s="171" t="s">
        <v>177</v>
      </c>
      <c r="H779" s="176">
        <v>1</v>
      </c>
      <c r="I779" s="177">
        <v>0</v>
      </c>
      <c r="J779" s="175">
        <v>46061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-56.94</v>
      </c>
    </row>
    <row r="780" spans="1:16" ht="19.5" hidden="1" customHeight="1">
      <c r="A780" s="171" t="s">
        <v>1416</v>
      </c>
      <c r="B780" s="175">
        <v>46067</v>
      </c>
      <c r="C780" s="171" t="s">
        <v>115</v>
      </c>
      <c r="D780" s="171" t="s">
        <v>119</v>
      </c>
      <c r="E780" s="171" t="s">
        <v>63</v>
      </c>
      <c r="F780" s="171" t="s">
        <v>898</v>
      </c>
      <c r="G780" s="171" t="s">
        <v>177</v>
      </c>
      <c r="H780" s="176">
        <v>1</v>
      </c>
      <c r="I780" s="177">
        <v>0</v>
      </c>
      <c r="J780" s="175">
        <v>46061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-15</v>
      </c>
    </row>
    <row r="781" spans="1:16" ht="19.5" hidden="1" customHeight="1">
      <c r="A781" s="171" t="s">
        <v>1316</v>
      </c>
      <c r="B781" s="175">
        <v>46067</v>
      </c>
      <c r="C781" s="171" t="s">
        <v>110</v>
      </c>
      <c r="D781" s="171" t="s">
        <v>24</v>
      </c>
      <c r="E781" s="171" t="s">
        <v>77</v>
      </c>
      <c r="F781" s="171" t="s">
        <v>194</v>
      </c>
      <c r="G781" s="171" t="s">
        <v>177</v>
      </c>
      <c r="H781" s="176">
        <v>1</v>
      </c>
      <c r="I781" s="177">
        <v>0</v>
      </c>
      <c r="J781" s="175">
        <v>46051</v>
      </c>
      <c r="K781" s="171" t="s">
        <v>113</v>
      </c>
      <c r="L781" s="171" t="s">
        <v>114</v>
      </c>
      <c r="M781" s="178">
        <v>0</v>
      </c>
      <c r="N781" s="176"/>
      <c r="O781" s="176">
        <v>48</v>
      </c>
      <c r="P781" s="179">
        <v>-56.94</v>
      </c>
    </row>
    <row r="782" spans="1:16" ht="19.5" hidden="1" customHeight="1">
      <c r="A782" s="171" t="s">
        <v>1316</v>
      </c>
      <c r="B782" s="175">
        <v>46067</v>
      </c>
      <c r="C782" s="171" t="s">
        <v>115</v>
      </c>
      <c r="D782" s="171" t="s">
        <v>116</v>
      </c>
      <c r="E782" s="171" t="s">
        <v>77</v>
      </c>
      <c r="F782" s="171" t="s">
        <v>194</v>
      </c>
      <c r="G782" s="171" t="s">
        <v>177</v>
      </c>
      <c r="H782" s="176">
        <v>1</v>
      </c>
      <c r="I782" s="177">
        <v>0</v>
      </c>
      <c r="J782" s="175">
        <v>46051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-12.28</v>
      </c>
    </row>
    <row r="783" spans="1:16" ht="19.5" hidden="1" customHeight="1">
      <c r="A783" s="171" t="s">
        <v>1316</v>
      </c>
      <c r="B783" s="175">
        <v>46067</v>
      </c>
      <c r="C783" s="171" t="s">
        <v>110</v>
      </c>
      <c r="D783" s="171" t="s">
        <v>117</v>
      </c>
      <c r="E783" s="171" t="s">
        <v>77</v>
      </c>
      <c r="F783" s="171" t="s">
        <v>194</v>
      </c>
      <c r="G783" s="171" t="s">
        <v>177</v>
      </c>
      <c r="H783" s="176">
        <v>1</v>
      </c>
      <c r="I783" s="177">
        <v>0</v>
      </c>
      <c r="J783" s="175">
        <v>46051</v>
      </c>
      <c r="K783" s="171" t="s">
        <v>113</v>
      </c>
      <c r="L783" s="171" t="s">
        <v>114</v>
      </c>
      <c r="M783" s="178">
        <v>0</v>
      </c>
      <c r="N783" s="176"/>
      <c r="O783" s="176"/>
      <c r="P783" s="179">
        <v>0</v>
      </c>
    </row>
    <row r="784" spans="1:16" ht="19.5" hidden="1" customHeight="1">
      <c r="A784" s="171" t="s">
        <v>1316</v>
      </c>
      <c r="B784" s="175">
        <v>46067</v>
      </c>
      <c r="C784" s="171" t="s">
        <v>110</v>
      </c>
      <c r="D784" s="171" t="s">
        <v>118</v>
      </c>
      <c r="E784" s="171" t="s">
        <v>77</v>
      </c>
      <c r="F784" s="171" t="s">
        <v>194</v>
      </c>
      <c r="G784" s="171" t="s">
        <v>177</v>
      </c>
      <c r="H784" s="176">
        <v>1</v>
      </c>
      <c r="I784" s="177">
        <v>0</v>
      </c>
      <c r="J784" s="175">
        <v>46051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-56.94</v>
      </c>
    </row>
    <row r="785" spans="1:16" ht="19.5" hidden="1" customHeight="1">
      <c r="A785" s="171" t="s">
        <v>1316</v>
      </c>
      <c r="B785" s="175">
        <v>46067</v>
      </c>
      <c r="C785" s="171" t="s">
        <v>115</v>
      </c>
      <c r="D785" s="171" t="s">
        <v>119</v>
      </c>
      <c r="E785" s="171" t="s">
        <v>77</v>
      </c>
      <c r="F785" s="171" t="s">
        <v>194</v>
      </c>
      <c r="G785" s="171" t="s">
        <v>177</v>
      </c>
      <c r="H785" s="176">
        <v>1</v>
      </c>
      <c r="I785" s="177">
        <v>0</v>
      </c>
      <c r="J785" s="175">
        <v>46051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-15</v>
      </c>
    </row>
    <row r="786" spans="1:16" ht="19.5" hidden="1" customHeight="1">
      <c r="A786" s="171" t="s">
        <v>1417</v>
      </c>
      <c r="B786" s="175">
        <v>46067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46067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-12.37</v>
      </c>
    </row>
    <row r="787" spans="1:16" ht="19.5" hidden="1" customHeight="1">
      <c r="A787" s="171" t="s">
        <v>1418</v>
      </c>
      <c r="B787" s="175">
        <v>46067</v>
      </c>
      <c r="C787" s="171" t="s">
        <v>110</v>
      </c>
      <c r="D787" s="171" t="s">
        <v>24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0</v>
      </c>
      <c r="J787" s="175">
        <v>46060</v>
      </c>
      <c r="K787" s="171" t="s">
        <v>113</v>
      </c>
      <c r="L787" s="171" t="s">
        <v>114</v>
      </c>
      <c r="M787" s="178">
        <v>0</v>
      </c>
      <c r="N787" s="176"/>
      <c r="O787" s="176">
        <v>43</v>
      </c>
      <c r="P787" s="179">
        <v>-46.77</v>
      </c>
    </row>
    <row r="788" spans="1:16" ht="19.5" hidden="1" customHeight="1">
      <c r="A788" s="171" t="s">
        <v>1418</v>
      </c>
      <c r="B788" s="175">
        <v>46067</v>
      </c>
      <c r="C788" s="171" t="s">
        <v>115</v>
      </c>
      <c r="D788" s="171" t="s">
        <v>116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0</v>
      </c>
      <c r="J788" s="175">
        <v>46060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-17.93</v>
      </c>
    </row>
    <row r="789" spans="1:16" ht="19.5" hidden="1" customHeight="1">
      <c r="A789" s="171" t="s">
        <v>1418</v>
      </c>
      <c r="B789" s="175">
        <v>46067</v>
      </c>
      <c r="C789" s="171" t="s">
        <v>110</v>
      </c>
      <c r="D789" s="171" t="s">
        <v>117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0</v>
      </c>
      <c r="J789" s="175">
        <v>46060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0</v>
      </c>
    </row>
    <row r="790" spans="1:16" ht="19.5" hidden="1" customHeight="1">
      <c r="A790" s="171" t="s">
        <v>1418</v>
      </c>
      <c r="B790" s="175">
        <v>46067</v>
      </c>
      <c r="C790" s="171" t="s">
        <v>110</v>
      </c>
      <c r="D790" s="171" t="s">
        <v>118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0</v>
      </c>
      <c r="J790" s="175">
        <v>46060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-46.77</v>
      </c>
    </row>
    <row r="791" spans="1:16" ht="19.5" hidden="1" customHeight="1">
      <c r="A791" s="171" t="s">
        <v>1418</v>
      </c>
      <c r="B791" s="175">
        <v>46067</v>
      </c>
      <c r="C791" s="171" t="s">
        <v>115</v>
      </c>
      <c r="D791" s="171" t="s">
        <v>119</v>
      </c>
      <c r="E791" s="171" t="s">
        <v>38</v>
      </c>
      <c r="F791" s="171" t="s">
        <v>111</v>
      </c>
      <c r="G791" s="171" t="s">
        <v>112</v>
      </c>
      <c r="H791" s="176">
        <v>1</v>
      </c>
      <c r="I791" s="177">
        <v>0</v>
      </c>
      <c r="J791" s="175">
        <v>46060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-15</v>
      </c>
    </row>
    <row r="792" spans="1:16" ht="19.5" hidden="1" customHeight="1">
      <c r="A792" s="171" t="s">
        <v>1419</v>
      </c>
      <c r="B792" s="175">
        <v>46067</v>
      </c>
      <c r="C792" s="171" t="s">
        <v>115</v>
      </c>
      <c r="D792" s="171" t="s">
        <v>135</v>
      </c>
      <c r="E792" s="171" t="s">
        <v>42</v>
      </c>
      <c r="F792" s="171" t="s">
        <v>248</v>
      </c>
      <c r="G792" s="171" t="s">
        <v>112</v>
      </c>
      <c r="H792" s="176">
        <v>1</v>
      </c>
      <c r="I792" s="177">
        <v>0</v>
      </c>
      <c r="J792" s="175">
        <v>46067</v>
      </c>
      <c r="K792" s="171" t="s">
        <v>125</v>
      </c>
      <c r="L792" s="171" t="s">
        <v>125</v>
      </c>
      <c r="M792" s="178">
        <v>0</v>
      </c>
      <c r="N792" s="176"/>
      <c r="O792" s="176"/>
      <c r="P792" s="179">
        <v>-23.39</v>
      </c>
    </row>
    <row r="793" spans="1:16" ht="19.5" hidden="1" customHeight="1">
      <c r="A793" s="171" t="s">
        <v>1420</v>
      </c>
      <c r="B793" s="175">
        <v>46067</v>
      </c>
      <c r="C793" s="171" t="s">
        <v>110</v>
      </c>
      <c r="D793" s="171" t="s">
        <v>24</v>
      </c>
      <c r="E793" s="171" t="s">
        <v>45</v>
      </c>
      <c r="F793" s="171" t="s">
        <v>162</v>
      </c>
      <c r="G793" s="171" t="s">
        <v>163</v>
      </c>
      <c r="H793" s="176">
        <v>1</v>
      </c>
      <c r="I793" s="177">
        <v>0</v>
      </c>
      <c r="J793" s="175">
        <v>46060</v>
      </c>
      <c r="K793" s="171" t="s">
        <v>113</v>
      </c>
      <c r="L793" s="171" t="s">
        <v>114</v>
      </c>
      <c r="M793" s="178">
        <v>0</v>
      </c>
      <c r="N793" s="176"/>
      <c r="O793" s="176">
        <v>43</v>
      </c>
      <c r="P793" s="179">
        <v>-46.77</v>
      </c>
    </row>
    <row r="794" spans="1:16" ht="19.5" hidden="1" customHeight="1">
      <c r="A794" s="171" t="s">
        <v>1420</v>
      </c>
      <c r="B794" s="175">
        <v>46067</v>
      </c>
      <c r="C794" s="171" t="s">
        <v>115</v>
      </c>
      <c r="D794" s="171" t="s">
        <v>116</v>
      </c>
      <c r="E794" s="171" t="s">
        <v>45</v>
      </c>
      <c r="F794" s="171" t="s">
        <v>162</v>
      </c>
      <c r="G794" s="171" t="s">
        <v>163</v>
      </c>
      <c r="H794" s="176">
        <v>1</v>
      </c>
      <c r="I794" s="177">
        <v>0</v>
      </c>
      <c r="J794" s="175">
        <v>46060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-19.489999999999998</v>
      </c>
    </row>
    <row r="795" spans="1:16" ht="19.5" hidden="1" customHeight="1">
      <c r="A795" s="171" t="s">
        <v>1420</v>
      </c>
      <c r="B795" s="175">
        <v>46067</v>
      </c>
      <c r="C795" s="171" t="s">
        <v>110</v>
      </c>
      <c r="D795" s="171" t="s">
        <v>117</v>
      </c>
      <c r="E795" s="171" t="s">
        <v>45</v>
      </c>
      <c r="F795" s="171" t="s">
        <v>162</v>
      </c>
      <c r="G795" s="171" t="s">
        <v>163</v>
      </c>
      <c r="H795" s="176">
        <v>1</v>
      </c>
      <c r="I795" s="177">
        <v>0</v>
      </c>
      <c r="J795" s="175">
        <v>46060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hidden="1" customHeight="1">
      <c r="A796" s="171" t="s">
        <v>1420</v>
      </c>
      <c r="B796" s="175">
        <v>46067</v>
      </c>
      <c r="C796" s="171" t="s">
        <v>110</v>
      </c>
      <c r="D796" s="171" t="s">
        <v>118</v>
      </c>
      <c r="E796" s="171" t="s">
        <v>45</v>
      </c>
      <c r="F796" s="171" t="s">
        <v>162</v>
      </c>
      <c r="G796" s="171" t="s">
        <v>163</v>
      </c>
      <c r="H796" s="176">
        <v>1</v>
      </c>
      <c r="I796" s="177">
        <v>0</v>
      </c>
      <c r="J796" s="175">
        <v>46060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hidden="1" customHeight="1">
      <c r="A797" s="171" t="s">
        <v>1420</v>
      </c>
      <c r="B797" s="175">
        <v>46067</v>
      </c>
      <c r="C797" s="171" t="s">
        <v>115</v>
      </c>
      <c r="D797" s="171" t="s">
        <v>119</v>
      </c>
      <c r="E797" s="171" t="s">
        <v>45</v>
      </c>
      <c r="F797" s="171" t="s">
        <v>162</v>
      </c>
      <c r="G797" s="171" t="s">
        <v>163</v>
      </c>
      <c r="H797" s="176">
        <v>1</v>
      </c>
      <c r="I797" s="177">
        <v>0</v>
      </c>
      <c r="J797" s="175">
        <v>46060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hidden="1" customHeight="1">
      <c r="A798" s="171" t="s">
        <v>1421</v>
      </c>
      <c r="B798" s="175">
        <v>46067</v>
      </c>
      <c r="C798" s="171" t="s">
        <v>110</v>
      </c>
      <c r="D798" s="171" t="s">
        <v>117</v>
      </c>
      <c r="E798" s="171" t="s">
        <v>38</v>
      </c>
      <c r="F798" s="171" t="s">
        <v>111</v>
      </c>
      <c r="G798" s="171" t="s">
        <v>112</v>
      </c>
      <c r="H798" s="176">
        <v>1</v>
      </c>
      <c r="I798" s="177">
        <v>0</v>
      </c>
      <c r="J798" s="175">
        <v>46059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hidden="1" customHeight="1">
      <c r="A799" s="171" t="s">
        <v>1421</v>
      </c>
      <c r="B799" s="175">
        <v>46067</v>
      </c>
      <c r="C799" s="171" t="s">
        <v>110</v>
      </c>
      <c r="D799" s="171" t="s">
        <v>118</v>
      </c>
      <c r="E799" s="171" t="s">
        <v>38</v>
      </c>
      <c r="F799" s="171" t="s">
        <v>111</v>
      </c>
      <c r="G799" s="171" t="s">
        <v>112</v>
      </c>
      <c r="H799" s="176">
        <v>1</v>
      </c>
      <c r="I799" s="177">
        <v>0</v>
      </c>
      <c r="J799" s="175">
        <v>46059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-46.77</v>
      </c>
    </row>
    <row r="800" spans="1:16" ht="19.5" hidden="1" customHeight="1">
      <c r="A800" s="171" t="s">
        <v>1421</v>
      </c>
      <c r="B800" s="175">
        <v>46067</v>
      </c>
      <c r="C800" s="171" t="s">
        <v>115</v>
      </c>
      <c r="D800" s="171" t="s">
        <v>119</v>
      </c>
      <c r="E800" s="171" t="s">
        <v>38</v>
      </c>
      <c r="F800" s="171" t="s">
        <v>111</v>
      </c>
      <c r="G800" s="171" t="s">
        <v>112</v>
      </c>
      <c r="H800" s="176">
        <v>1</v>
      </c>
      <c r="I800" s="177">
        <v>0</v>
      </c>
      <c r="J800" s="175">
        <v>46059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hidden="1" customHeight="1">
      <c r="A801" s="171" t="s">
        <v>1421</v>
      </c>
      <c r="B801" s="175">
        <v>46067</v>
      </c>
      <c r="C801" s="171" t="s">
        <v>110</v>
      </c>
      <c r="D801" s="171" t="s">
        <v>24</v>
      </c>
      <c r="E801" s="171" t="s">
        <v>38</v>
      </c>
      <c r="F801" s="171" t="s">
        <v>111</v>
      </c>
      <c r="G801" s="171" t="s">
        <v>112</v>
      </c>
      <c r="H801" s="176">
        <v>1</v>
      </c>
      <c r="I801" s="177">
        <v>0</v>
      </c>
      <c r="J801" s="175">
        <v>46059</v>
      </c>
      <c r="K801" s="171" t="s">
        <v>113</v>
      </c>
      <c r="L801" s="171" t="s">
        <v>114</v>
      </c>
      <c r="M801" s="178">
        <v>0</v>
      </c>
      <c r="N801" s="176"/>
      <c r="O801" s="176">
        <v>42</v>
      </c>
      <c r="P801" s="179">
        <v>-46.77</v>
      </c>
    </row>
    <row r="802" spans="1:16" ht="19.5" hidden="1" customHeight="1">
      <c r="A802" s="171" t="s">
        <v>1421</v>
      </c>
      <c r="B802" s="175">
        <v>46067</v>
      </c>
      <c r="C802" s="171" t="s">
        <v>115</v>
      </c>
      <c r="D802" s="171" t="s">
        <v>116</v>
      </c>
      <c r="E802" s="171" t="s">
        <v>38</v>
      </c>
      <c r="F802" s="171" t="s">
        <v>111</v>
      </c>
      <c r="G802" s="171" t="s">
        <v>112</v>
      </c>
      <c r="H802" s="176">
        <v>1</v>
      </c>
      <c r="I802" s="177">
        <v>0</v>
      </c>
      <c r="J802" s="175">
        <v>46059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-14.88</v>
      </c>
    </row>
    <row r="803" spans="1:16" ht="19.5" hidden="1" customHeight="1">
      <c r="A803" s="171" t="s">
        <v>1422</v>
      </c>
      <c r="B803" s="175">
        <v>46067</v>
      </c>
      <c r="C803" s="171" t="s">
        <v>110</v>
      </c>
      <c r="D803" s="171" t="s">
        <v>24</v>
      </c>
      <c r="E803" s="171" t="s">
        <v>46</v>
      </c>
      <c r="F803" s="171" t="s">
        <v>681</v>
      </c>
      <c r="G803" s="171" t="s">
        <v>112</v>
      </c>
      <c r="H803" s="176">
        <v>1</v>
      </c>
      <c r="I803" s="177">
        <v>0</v>
      </c>
      <c r="J803" s="175">
        <v>46061</v>
      </c>
      <c r="K803" s="171" t="s">
        <v>113</v>
      </c>
      <c r="L803" s="171" t="s">
        <v>114</v>
      </c>
      <c r="M803" s="178">
        <v>0</v>
      </c>
      <c r="N803" s="176"/>
      <c r="O803" s="176">
        <v>45</v>
      </c>
      <c r="P803" s="179">
        <v>-46.77</v>
      </c>
    </row>
    <row r="804" spans="1:16" ht="19.5" hidden="1" customHeight="1">
      <c r="A804" s="171" t="s">
        <v>1422</v>
      </c>
      <c r="B804" s="175">
        <v>46067</v>
      </c>
      <c r="C804" s="171" t="s">
        <v>115</v>
      </c>
      <c r="D804" s="171" t="s">
        <v>116</v>
      </c>
      <c r="E804" s="171" t="s">
        <v>46</v>
      </c>
      <c r="F804" s="171" t="s">
        <v>681</v>
      </c>
      <c r="G804" s="171" t="s">
        <v>112</v>
      </c>
      <c r="H804" s="176">
        <v>1</v>
      </c>
      <c r="I804" s="177">
        <v>0</v>
      </c>
      <c r="J804" s="175">
        <v>46061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-16.739999999999998</v>
      </c>
    </row>
    <row r="805" spans="1:16" ht="19.5" hidden="1" customHeight="1">
      <c r="A805" s="171" t="s">
        <v>1422</v>
      </c>
      <c r="B805" s="175">
        <v>46067</v>
      </c>
      <c r="C805" s="171" t="s">
        <v>110</v>
      </c>
      <c r="D805" s="171" t="s">
        <v>117</v>
      </c>
      <c r="E805" s="171" t="s">
        <v>46</v>
      </c>
      <c r="F805" s="171" t="s">
        <v>681</v>
      </c>
      <c r="G805" s="171" t="s">
        <v>112</v>
      </c>
      <c r="H805" s="176">
        <v>1</v>
      </c>
      <c r="I805" s="177">
        <v>0</v>
      </c>
      <c r="J805" s="175">
        <v>46061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0</v>
      </c>
    </row>
    <row r="806" spans="1:16" ht="19.5" hidden="1" customHeight="1">
      <c r="A806" s="171" t="s">
        <v>1422</v>
      </c>
      <c r="B806" s="175">
        <v>46067</v>
      </c>
      <c r="C806" s="171" t="s">
        <v>110</v>
      </c>
      <c r="D806" s="171" t="s">
        <v>118</v>
      </c>
      <c r="E806" s="171" t="s">
        <v>46</v>
      </c>
      <c r="F806" s="171" t="s">
        <v>681</v>
      </c>
      <c r="G806" s="171" t="s">
        <v>112</v>
      </c>
      <c r="H806" s="176">
        <v>1</v>
      </c>
      <c r="I806" s="177">
        <v>0</v>
      </c>
      <c r="J806" s="175">
        <v>46061</v>
      </c>
      <c r="K806" s="171" t="s">
        <v>113</v>
      </c>
      <c r="L806" s="171" t="s">
        <v>114</v>
      </c>
      <c r="M806" s="178">
        <v>0</v>
      </c>
      <c r="N806" s="176"/>
      <c r="O806" s="176"/>
      <c r="P806" s="179">
        <v>-46.77</v>
      </c>
    </row>
    <row r="807" spans="1:16" ht="19.5" hidden="1" customHeight="1">
      <c r="A807" s="171" t="s">
        <v>1422</v>
      </c>
      <c r="B807" s="175">
        <v>46067</v>
      </c>
      <c r="C807" s="171" t="s">
        <v>115</v>
      </c>
      <c r="D807" s="171" t="s">
        <v>119</v>
      </c>
      <c r="E807" s="171" t="s">
        <v>46</v>
      </c>
      <c r="F807" s="171" t="s">
        <v>681</v>
      </c>
      <c r="G807" s="171" t="s">
        <v>112</v>
      </c>
      <c r="H807" s="176">
        <v>1</v>
      </c>
      <c r="I807" s="177">
        <v>0</v>
      </c>
      <c r="J807" s="175">
        <v>46061</v>
      </c>
      <c r="K807" s="171" t="s">
        <v>113</v>
      </c>
      <c r="L807" s="171" t="s">
        <v>114</v>
      </c>
      <c r="M807" s="178">
        <v>0</v>
      </c>
      <c r="N807" s="176"/>
      <c r="O807" s="176"/>
      <c r="P807" s="179">
        <v>-15</v>
      </c>
    </row>
    <row r="808" spans="1:16" ht="19.5" hidden="1" customHeight="1">
      <c r="A808" s="171" t="s">
        <v>1423</v>
      </c>
      <c r="B808" s="175">
        <v>46067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46050</v>
      </c>
      <c r="K808" s="171" t="s">
        <v>113</v>
      </c>
      <c r="L808" s="171" t="s">
        <v>114</v>
      </c>
      <c r="M808" s="178">
        <v>0</v>
      </c>
      <c r="N808" s="176"/>
      <c r="O808" s="176">
        <v>50</v>
      </c>
      <c r="P808" s="179">
        <v>-46.77</v>
      </c>
    </row>
    <row r="809" spans="1:16" ht="19.5" hidden="1" customHeight="1">
      <c r="A809" s="171" t="s">
        <v>1423</v>
      </c>
      <c r="B809" s="175">
        <v>46067</v>
      </c>
      <c r="C809" s="171" t="s">
        <v>115</v>
      </c>
      <c r="D809" s="171" t="s">
        <v>116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46050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-13.16</v>
      </c>
    </row>
    <row r="810" spans="1:16" ht="19.5" hidden="1" customHeight="1">
      <c r="A810" s="171" t="s">
        <v>1423</v>
      </c>
      <c r="B810" s="175">
        <v>46067</v>
      </c>
      <c r="C810" s="171" t="s">
        <v>110</v>
      </c>
      <c r="D810" s="171" t="s">
        <v>117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46050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0</v>
      </c>
    </row>
    <row r="811" spans="1:16" ht="19.5" hidden="1" customHeight="1">
      <c r="A811" s="171" t="s">
        <v>1423</v>
      </c>
      <c r="B811" s="175">
        <v>46067</v>
      </c>
      <c r="C811" s="171" t="s">
        <v>110</v>
      </c>
      <c r="D811" s="171" t="s">
        <v>118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0</v>
      </c>
      <c r="J811" s="175">
        <v>46050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-46.77</v>
      </c>
    </row>
    <row r="812" spans="1:16" ht="19.5" hidden="1" customHeight="1">
      <c r="A812" s="171" t="s">
        <v>1423</v>
      </c>
      <c r="B812" s="175">
        <v>46067</v>
      </c>
      <c r="C812" s="171" t="s">
        <v>115</v>
      </c>
      <c r="D812" s="171" t="s">
        <v>119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0</v>
      </c>
      <c r="J812" s="175">
        <v>46050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-15</v>
      </c>
    </row>
    <row r="813" spans="1:16" ht="19.5" hidden="1" customHeight="1">
      <c r="A813" s="171" t="s">
        <v>1424</v>
      </c>
      <c r="B813" s="175">
        <v>46067</v>
      </c>
      <c r="C813" s="171" t="s">
        <v>110</v>
      </c>
      <c r="D813" s="171" t="s">
        <v>24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1800</v>
      </c>
      <c r="J813" s="175">
        <v>46054</v>
      </c>
      <c r="K813" s="171" t="s">
        <v>113</v>
      </c>
      <c r="L813" s="171" t="s">
        <v>114</v>
      </c>
      <c r="M813" s="178">
        <v>0.43</v>
      </c>
      <c r="N813" s="176"/>
      <c r="O813" s="176">
        <v>42</v>
      </c>
      <c r="P813" s="179">
        <v>-124.73</v>
      </c>
    </row>
    <row r="814" spans="1:16" ht="19.5" hidden="1" customHeight="1">
      <c r="A814" s="171" t="s">
        <v>1424</v>
      </c>
      <c r="B814" s="175">
        <v>46067</v>
      </c>
      <c r="C814" s="171" t="s">
        <v>127</v>
      </c>
      <c r="D814" s="171" t="s">
        <v>128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1800</v>
      </c>
      <c r="J814" s="175">
        <v>46054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785.92</v>
      </c>
    </row>
    <row r="815" spans="1:16" ht="19.5" hidden="1" customHeight="1">
      <c r="A815" s="171" t="s">
        <v>1424</v>
      </c>
      <c r="B815" s="175">
        <v>46067</v>
      </c>
      <c r="C815" s="171" t="s">
        <v>127</v>
      </c>
      <c r="D815" s="171" t="s">
        <v>129</v>
      </c>
      <c r="E815" s="171" t="s">
        <v>38</v>
      </c>
      <c r="F815" s="171" t="s">
        <v>111</v>
      </c>
      <c r="G815" s="171" t="s">
        <v>112</v>
      </c>
      <c r="H815" s="176">
        <v>1</v>
      </c>
      <c r="I815" s="177">
        <v>1800</v>
      </c>
      <c r="J815" s="175">
        <v>46054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7.86</v>
      </c>
    </row>
    <row r="816" spans="1:16" ht="19.5" hidden="1" customHeight="1">
      <c r="A816" s="171" t="s">
        <v>1424</v>
      </c>
      <c r="B816" s="175">
        <v>46067</v>
      </c>
      <c r="C816" s="171" t="s">
        <v>127</v>
      </c>
      <c r="D816" s="171" t="s">
        <v>130</v>
      </c>
      <c r="E816" s="171" t="s">
        <v>38</v>
      </c>
      <c r="F816" s="171" t="s">
        <v>111</v>
      </c>
      <c r="G816" s="171" t="s">
        <v>112</v>
      </c>
      <c r="H816" s="176">
        <v>1</v>
      </c>
      <c r="I816" s="177">
        <v>1800</v>
      </c>
      <c r="J816" s="175">
        <v>46054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1006.22</v>
      </c>
    </row>
    <row r="817" spans="1:16" ht="19.5" hidden="1" customHeight="1">
      <c r="A817" s="171" t="s">
        <v>1424</v>
      </c>
      <c r="B817" s="175">
        <v>46067</v>
      </c>
      <c r="C817" s="171" t="s">
        <v>131</v>
      </c>
      <c r="D817" s="171" t="s">
        <v>132</v>
      </c>
      <c r="E817" s="171" t="s">
        <v>38</v>
      </c>
      <c r="F817" s="171" t="s">
        <v>111</v>
      </c>
      <c r="G817" s="171" t="s">
        <v>112</v>
      </c>
      <c r="H817" s="176">
        <v>1</v>
      </c>
      <c r="I817" s="177">
        <v>1800</v>
      </c>
      <c r="J817" s="175">
        <v>46054</v>
      </c>
      <c r="K817" s="171" t="s">
        <v>113</v>
      </c>
      <c r="L817" s="171" t="s">
        <v>114</v>
      </c>
      <c r="M817" s="178">
        <v>0.43</v>
      </c>
      <c r="N817" s="176"/>
      <c r="O817" s="176"/>
      <c r="P817" s="179">
        <v>-774</v>
      </c>
    </row>
    <row r="818" spans="1:16" ht="19.5" hidden="1" customHeight="1">
      <c r="A818" s="171" t="s">
        <v>1424</v>
      </c>
      <c r="B818" s="175">
        <v>46067</v>
      </c>
      <c r="C818" s="171" t="s">
        <v>115</v>
      </c>
      <c r="D818" s="171" t="s">
        <v>116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1800</v>
      </c>
      <c r="J818" s="175">
        <v>46054</v>
      </c>
      <c r="K818" s="171" t="s">
        <v>113</v>
      </c>
      <c r="L818" s="171" t="s">
        <v>114</v>
      </c>
      <c r="M818" s="178">
        <v>0.43</v>
      </c>
      <c r="N818" s="176"/>
      <c r="O818" s="176"/>
      <c r="P818" s="179">
        <v>-25</v>
      </c>
    </row>
    <row r="819" spans="1:16" ht="19.5" hidden="1" customHeight="1">
      <c r="A819" s="171" t="s">
        <v>1424</v>
      </c>
      <c r="B819" s="175">
        <v>46067</v>
      </c>
      <c r="C819" s="171" t="s">
        <v>115</v>
      </c>
      <c r="D819" s="171" t="s">
        <v>135</v>
      </c>
      <c r="E819" s="171" t="s">
        <v>38</v>
      </c>
      <c r="F819" s="171" t="s">
        <v>111</v>
      </c>
      <c r="G819" s="171" t="s">
        <v>112</v>
      </c>
      <c r="H819" s="176">
        <v>1</v>
      </c>
      <c r="I819" s="177">
        <v>0</v>
      </c>
      <c r="J819" s="175">
        <v>46054</v>
      </c>
      <c r="K819" s="171" t="s">
        <v>125</v>
      </c>
      <c r="L819" s="171" t="s">
        <v>125</v>
      </c>
      <c r="M819" s="178">
        <v>0</v>
      </c>
      <c r="N819" s="176"/>
      <c r="O819" s="176"/>
      <c r="P819" s="179">
        <v>-14.93</v>
      </c>
    </row>
    <row r="820" spans="1:16" ht="19.5" hidden="1" customHeight="1">
      <c r="A820" s="171" t="s">
        <v>1425</v>
      </c>
      <c r="B820" s="175">
        <v>46067</v>
      </c>
      <c r="C820" s="171" t="s">
        <v>110</v>
      </c>
      <c r="D820" s="171" t="s">
        <v>24</v>
      </c>
      <c r="E820" s="171" t="s">
        <v>38</v>
      </c>
      <c r="F820" s="171" t="s">
        <v>111</v>
      </c>
      <c r="G820" s="171" t="s">
        <v>112</v>
      </c>
      <c r="H820" s="176">
        <v>1</v>
      </c>
      <c r="I820" s="177">
        <v>2400</v>
      </c>
      <c r="J820" s="175">
        <v>46061</v>
      </c>
      <c r="K820" s="171" t="s">
        <v>113</v>
      </c>
      <c r="L820" s="171" t="s">
        <v>114</v>
      </c>
      <c r="M820" s="178">
        <v>0.43</v>
      </c>
      <c r="N820" s="176"/>
      <c r="O820" s="176">
        <v>45</v>
      </c>
      <c r="P820" s="179">
        <v>-156.84</v>
      </c>
    </row>
    <row r="821" spans="1:16" ht="19.5" hidden="1" customHeight="1">
      <c r="A821" s="171" t="s">
        <v>1425</v>
      </c>
      <c r="B821" s="175">
        <v>46067</v>
      </c>
      <c r="C821" s="171" t="s">
        <v>127</v>
      </c>
      <c r="D821" s="171" t="s">
        <v>128</v>
      </c>
      <c r="E821" s="171" t="s">
        <v>38</v>
      </c>
      <c r="F821" s="171" t="s">
        <v>111</v>
      </c>
      <c r="G821" s="171" t="s">
        <v>112</v>
      </c>
      <c r="H821" s="176">
        <v>1</v>
      </c>
      <c r="I821" s="177">
        <v>2400</v>
      </c>
      <c r="J821" s="175">
        <v>46061</v>
      </c>
      <c r="K821" s="171" t="s">
        <v>113</v>
      </c>
      <c r="L821" s="171" t="s">
        <v>114</v>
      </c>
      <c r="M821" s="178">
        <v>0</v>
      </c>
      <c r="N821" s="176"/>
      <c r="O821" s="176"/>
      <c r="P821" s="179">
        <v>1228.57</v>
      </c>
    </row>
    <row r="822" spans="1:16" ht="19.5" hidden="1" customHeight="1">
      <c r="A822" s="171" t="s">
        <v>1425</v>
      </c>
      <c r="B822" s="175">
        <v>46067</v>
      </c>
      <c r="C822" s="171" t="s">
        <v>127</v>
      </c>
      <c r="D822" s="171" t="s">
        <v>129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2400</v>
      </c>
      <c r="J822" s="175">
        <v>46061</v>
      </c>
      <c r="K822" s="171" t="s">
        <v>113</v>
      </c>
      <c r="L822" s="171" t="s">
        <v>114</v>
      </c>
      <c r="M822" s="178">
        <v>0</v>
      </c>
      <c r="N822" s="176"/>
      <c r="O822" s="176"/>
      <c r="P822" s="179">
        <v>0</v>
      </c>
    </row>
    <row r="823" spans="1:16" ht="19.5" hidden="1" customHeight="1">
      <c r="A823" s="171" t="s">
        <v>1425</v>
      </c>
      <c r="B823" s="175">
        <v>46067</v>
      </c>
      <c r="C823" s="171" t="s">
        <v>127</v>
      </c>
      <c r="D823" s="171" t="s">
        <v>130</v>
      </c>
      <c r="E823" s="171" t="s">
        <v>38</v>
      </c>
      <c r="F823" s="171" t="s">
        <v>111</v>
      </c>
      <c r="G823" s="171" t="s">
        <v>112</v>
      </c>
      <c r="H823" s="176">
        <v>1</v>
      </c>
      <c r="I823" s="177">
        <v>2400</v>
      </c>
      <c r="J823" s="175">
        <v>46061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1171.43</v>
      </c>
    </row>
    <row r="824" spans="1:16" ht="19.5" hidden="1" customHeight="1">
      <c r="A824" s="171" t="s">
        <v>1425</v>
      </c>
      <c r="B824" s="175">
        <v>46067</v>
      </c>
      <c r="C824" s="171" t="s">
        <v>131</v>
      </c>
      <c r="D824" s="171" t="s">
        <v>132</v>
      </c>
      <c r="E824" s="171" t="s">
        <v>38</v>
      </c>
      <c r="F824" s="171" t="s">
        <v>111</v>
      </c>
      <c r="G824" s="171" t="s">
        <v>112</v>
      </c>
      <c r="H824" s="176">
        <v>1</v>
      </c>
      <c r="I824" s="177">
        <v>2400</v>
      </c>
      <c r="J824" s="175">
        <v>46061</v>
      </c>
      <c r="K824" s="171" t="s">
        <v>113</v>
      </c>
      <c r="L824" s="171" t="s">
        <v>114</v>
      </c>
      <c r="M824" s="178">
        <v>0.43</v>
      </c>
      <c r="N824" s="176"/>
      <c r="O824" s="176"/>
      <c r="P824" s="179">
        <v>-1032</v>
      </c>
    </row>
    <row r="825" spans="1:16" ht="19.5" hidden="1" customHeight="1">
      <c r="A825" s="171" t="s">
        <v>1425</v>
      </c>
      <c r="B825" s="175">
        <v>46067</v>
      </c>
      <c r="C825" s="171" t="s">
        <v>115</v>
      </c>
      <c r="D825" s="171" t="s">
        <v>116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2400</v>
      </c>
      <c r="J825" s="175">
        <v>46061</v>
      </c>
      <c r="K825" s="171" t="s">
        <v>113</v>
      </c>
      <c r="L825" s="171" t="s">
        <v>114</v>
      </c>
      <c r="M825" s="178">
        <v>0.43</v>
      </c>
      <c r="N825" s="176"/>
      <c r="O825" s="176"/>
      <c r="P825" s="179">
        <v>-14.37</v>
      </c>
    </row>
    <row r="826" spans="1:16" ht="19.5" hidden="1" customHeight="1">
      <c r="A826" s="171" t="s">
        <v>1425</v>
      </c>
      <c r="B826" s="175">
        <v>46067</v>
      </c>
      <c r="C826" s="171" t="s">
        <v>115</v>
      </c>
      <c r="D826" s="171" t="s">
        <v>135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0</v>
      </c>
      <c r="J826" s="175">
        <v>46061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-6.76</v>
      </c>
    </row>
    <row r="827" spans="1:16" ht="19.5" hidden="1" customHeight="1">
      <c r="A827" s="171" t="s">
        <v>1426</v>
      </c>
      <c r="B827" s="175">
        <v>46067</v>
      </c>
      <c r="C827" s="171" t="s">
        <v>110</v>
      </c>
      <c r="D827" s="171" t="s">
        <v>24</v>
      </c>
      <c r="E827" s="171" t="s">
        <v>44</v>
      </c>
      <c r="F827" s="171" t="s">
        <v>213</v>
      </c>
      <c r="G827" s="171" t="s">
        <v>214</v>
      </c>
      <c r="H827" s="176">
        <v>1</v>
      </c>
      <c r="I827" s="177">
        <v>0</v>
      </c>
      <c r="J827" s="175">
        <v>46063</v>
      </c>
      <c r="K827" s="171" t="s">
        <v>113</v>
      </c>
      <c r="L827" s="171" t="s">
        <v>114</v>
      </c>
      <c r="M827" s="178">
        <v>0</v>
      </c>
      <c r="N827" s="176"/>
      <c r="O827" s="176">
        <v>44</v>
      </c>
      <c r="P827" s="179">
        <v>-46.77</v>
      </c>
    </row>
    <row r="828" spans="1:16" ht="19.5" hidden="1" customHeight="1">
      <c r="A828" s="171" t="s">
        <v>1426</v>
      </c>
      <c r="B828" s="175">
        <v>46067</v>
      </c>
      <c r="C828" s="171" t="s">
        <v>115</v>
      </c>
      <c r="D828" s="171" t="s">
        <v>116</v>
      </c>
      <c r="E828" s="171" t="s">
        <v>44</v>
      </c>
      <c r="F828" s="171" t="s">
        <v>213</v>
      </c>
      <c r="G828" s="171" t="s">
        <v>214</v>
      </c>
      <c r="H828" s="176">
        <v>1</v>
      </c>
      <c r="I828" s="177">
        <v>0</v>
      </c>
      <c r="J828" s="175">
        <v>46063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-15.04</v>
      </c>
    </row>
    <row r="829" spans="1:16" ht="19.5" hidden="1" customHeight="1">
      <c r="A829" s="171" t="s">
        <v>1426</v>
      </c>
      <c r="B829" s="175">
        <v>46067</v>
      </c>
      <c r="C829" s="171" t="s">
        <v>110</v>
      </c>
      <c r="D829" s="171" t="s">
        <v>117</v>
      </c>
      <c r="E829" s="171" t="s">
        <v>44</v>
      </c>
      <c r="F829" s="171" t="s">
        <v>213</v>
      </c>
      <c r="G829" s="171" t="s">
        <v>214</v>
      </c>
      <c r="H829" s="176">
        <v>1</v>
      </c>
      <c r="I829" s="177">
        <v>0</v>
      </c>
      <c r="J829" s="175">
        <v>46063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0</v>
      </c>
    </row>
    <row r="830" spans="1:16" ht="19.5" hidden="1" customHeight="1">
      <c r="A830" s="171" t="s">
        <v>1426</v>
      </c>
      <c r="B830" s="175">
        <v>46067</v>
      </c>
      <c r="C830" s="171" t="s">
        <v>110</v>
      </c>
      <c r="D830" s="171" t="s">
        <v>118</v>
      </c>
      <c r="E830" s="171" t="s">
        <v>44</v>
      </c>
      <c r="F830" s="171" t="s">
        <v>213</v>
      </c>
      <c r="G830" s="171" t="s">
        <v>214</v>
      </c>
      <c r="H830" s="176">
        <v>1</v>
      </c>
      <c r="I830" s="177">
        <v>0</v>
      </c>
      <c r="J830" s="175">
        <v>46063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-46.77</v>
      </c>
    </row>
    <row r="831" spans="1:16" ht="19.5" hidden="1" customHeight="1">
      <c r="A831" s="171" t="s">
        <v>1426</v>
      </c>
      <c r="B831" s="175">
        <v>46067</v>
      </c>
      <c r="C831" s="171" t="s">
        <v>115</v>
      </c>
      <c r="D831" s="171" t="s">
        <v>119</v>
      </c>
      <c r="E831" s="171" t="s">
        <v>44</v>
      </c>
      <c r="F831" s="171" t="s">
        <v>213</v>
      </c>
      <c r="G831" s="171" t="s">
        <v>214</v>
      </c>
      <c r="H831" s="176">
        <v>1</v>
      </c>
      <c r="I831" s="177">
        <v>0</v>
      </c>
      <c r="J831" s="175">
        <v>46063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-15</v>
      </c>
    </row>
    <row r="832" spans="1:16" ht="19.5" hidden="1" customHeight="1">
      <c r="A832" s="171" t="s">
        <v>1427</v>
      </c>
      <c r="B832" s="175">
        <v>46067</v>
      </c>
      <c r="C832" s="171" t="s">
        <v>110</v>
      </c>
      <c r="D832" s="171" t="s">
        <v>24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2400</v>
      </c>
      <c r="J832" s="175">
        <v>46064</v>
      </c>
      <c r="K832" s="171" t="s">
        <v>113</v>
      </c>
      <c r="L832" s="171" t="s">
        <v>114</v>
      </c>
      <c r="M832" s="178">
        <v>0.43</v>
      </c>
      <c r="N832" s="176"/>
      <c r="O832" s="176">
        <v>45</v>
      </c>
      <c r="P832" s="179">
        <v>-156.84</v>
      </c>
    </row>
    <row r="833" spans="1:16" ht="19.5" hidden="1" customHeight="1">
      <c r="A833" s="171" t="s">
        <v>1427</v>
      </c>
      <c r="B833" s="175">
        <v>46067</v>
      </c>
      <c r="C833" s="171" t="s">
        <v>127</v>
      </c>
      <c r="D833" s="171" t="s">
        <v>128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2400</v>
      </c>
      <c r="J833" s="175">
        <v>46064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1283.27</v>
      </c>
    </row>
    <row r="834" spans="1:16" ht="19.5" hidden="1" customHeight="1">
      <c r="A834" s="171" t="s">
        <v>1427</v>
      </c>
      <c r="B834" s="175">
        <v>46067</v>
      </c>
      <c r="C834" s="171" t="s">
        <v>127</v>
      </c>
      <c r="D834" s="171" t="s">
        <v>129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2400</v>
      </c>
      <c r="J834" s="175">
        <v>46064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0</v>
      </c>
    </row>
    <row r="835" spans="1:16" ht="19.5" hidden="1" customHeight="1">
      <c r="A835" s="171" t="s">
        <v>1427</v>
      </c>
      <c r="B835" s="175">
        <v>46067</v>
      </c>
      <c r="C835" s="171" t="s">
        <v>127</v>
      </c>
      <c r="D835" s="171" t="s">
        <v>130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2400</v>
      </c>
      <c r="J835" s="175">
        <v>46064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1116.73</v>
      </c>
    </row>
    <row r="836" spans="1:16" ht="19.5" hidden="1" customHeight="1">
      <c r="A836" s="171" t="s">
        <v>1427</v>
      </c>
      <c r="B836" s="175">
        <v>46067</v>
      </c>
      <c r="C836" s="171" t="s">
        <v>131</v>
      </c>
      <c r="D836" s="171" t="s">
        <v>132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2400</v>
      </c>
      <c r="J836" s="175">
        <v>46064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-1032</v>
      </c>
    </row>
    <row r="837" spans="1:16" ht="19.5" hidden="1" customHeight="1">
      <c r="A837" s="171" t="s">
        <v>1427</v>
      </c>
      <c r="B837" s="175">
        <v>46067</v>
      </c>
      <c r="C837" s="171" t="s">
        <v>115</v>
      </c>
      <c r="D837" s="171" t="s">
        <v>116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2400</v>
      </c>
      <c r="J837" s="175">
        <v>46064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-10.6</v>
      </c>
    </row>
    <row r="838" spans="1:16" ht="19.5" hidden="1" customHeight="1">
      <c r="A838" s="171" t="s">
        <v>1428</v>
      </c>
      <c r="B838" s="175">
        <v>46067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46067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-24.14</v>
      </c>
    </row>
    <row r="839" spans="1:16" ht="19.5" hidden="1" customHeight="1">
      <c r="A839" s="171" t="s">
        <v>1429</v>
      </c>
      <c r="B839" s="175">
        <v>46067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46062</v>
      </c>
      <c r="K839" s="171" t="s">
        <v>113</v>
      </c>
      <c r="L839" s="171" t="s">
        <v>114</v>
      </c>
      <c r="M839" s="178">
        <v>0</v>
      </c>
      <c r="N839" s="176"/>
      <c r="O839" s="176">
        <v>45</v>
      </c>
      <c r="P839" s="179">
        <v>-46.77</v>
      </c>
    </row>
    <row r="840" spans="1:16" ht="19.5" hidden="1" customHeight="1">
      <c r="A840" s="171" t="s">
        <v>1429</v>
      </c>
      <c r="B840" s="175">
        <v>46067</v>
      </c>
      <c r="C840" s="171" t="s">
        <v>115</v>
      </c>
      <c r="D840" s="171" t="s">
        <v>116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46062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-11.91</v>
      </c>
    </row>
    <row r="841" spans="1:16" ht="19.5" hidden="1" customHeight="1">
      <c r="A841" s="171" t="s">
        <v>1430</v>
      </c>
      <c r="B841" s="175">
        <v>46067</v>
      </c>
      <c r="C841" s="171" t="s">
        <v>115</v>
      </c>
      <c r="D841" s="171" t="s">
        <v>135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46067</v>
      </c>
      <c r="K841" s="171" t="s">
        <v>125</v>
      </c>
      <c r="L841" s="171" t="s">
        <v>125</v>
      </c>
      <c r="M841" s="178">
        <v>0</v>
      </c>
      <c r="N841" s="176"/>
      <c r="O841" s="176"/>
      <c r="P841" s="179">
        <v>-23.16</v>
      </c>
    </row>
    <row r="842" spans="1:16" ht="19.5" hidden="1" customHeight="1">
      <c r="A842" s="171" t="s">
        <v>1429</v>
      </c>
      <c r="B842" s="175">
        <v>46067</v>
      </c>
      <c r="C842" s="171" t="s">
        <v>110</v>
      </c>
      <c r="D842" s="171" t="s">
        <v>117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46062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hidden="1" customHeight="1">
      <c r="A843" s="171" t="s">
        <v>1429</v>
      </c>
      <c r="B843" s="175">
        <v>46067</v>
      </c>
      <c r="C843" s="171" t="s">
        <v>110</v>
      </c>
      <c r="D843" s="171" t="s">
        <v>118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0</v>
      </c>
      <c r="J843" s="175">
        <v>46062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-46.77</v>
      </c>
    </row>
    <row r="844" spans="1:16" ht="19.5" hidden="1" customHeight="1">
      <c r="A844" s="171" t="s">
        <v>1429</v>
      </c>
      <c r="B844" s="175">
        <v>46067</v>
      </c>
      <c r="C844" s="171" t="s">
        <v>115</v>
      </c>
      <c r="D844" s="171" t="s">
        <v>119</v>
      </c>
      <c r="E844" s="171" t="s">
        <v>38</v>
      </c>
      <c r="F844" s="171" t="s">
        <v>111</v>
      </c>
      <c r="G844" s="171" t="s">
        <v>112</v>
      </c>
      <c r="H844" s="176">
        <v>1</v>
      </c>
      <c r="I844" s="177">
        <v>0</v>
      </c>
      <c r="J844" s="175">
        <v>46062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hidden="1" customHeight="1">
      <c r="A845" s="171" t="s">
        <v>1431</v>
      </c>
      <c r="B845" s="175">
        <v>46067</v>
      </c>
      <c r="C845" s="171" t="s">
        <v>110</v>
      </c>
      <c r="D845" s="171" t="s">
        <v>24</v>
      </c>
      <c r="E845" s="171" t="s">
        <v>80</v>
      </c>
      <c r="F845" s="171" t="s">
        <v>1104</v>
      </c>
      <c r="G845" s="171" t="s">
        <v>177</v>
      </c>
      <c r="H845" s="176">
        <v>1</v>
      </c>
      <c r="I845" s="177">
        <v>0</v>
      </c>
      <c r="J845" s="175">
        <v>46063</v>
      </c>
      <c r="K845" s="171" t="s">
        <v>113</v>
      </c>
      <c r="L845" s="171" t="s">
        <v>114</v>
      </c>
      <c r="M845" s="178">
        <v>0</v>
      </c>
      <c r="N845" s="176"/>
      <c r="O845" s="176">
        <v>44</v>
      </c>
      <c r="P845" s="179">
        <v>-56.94</v>
      </c>
    </row>
    <row r="846" spans="1:16" ht="19.5" hidden="1" customHeight="1">
      <c r="A846" s="171" t="s">
        <v>1431</v>
      </c>
      <c r="B846" s="175">
        <v>46067</v>
      </c>
      <c r="C846" s="171" t="s">
        <v>115</v>
      </c>
      <c r="D846" s="171" t="s">
        <v>116</v>
      </c>
      <c r="E846" s="171" t="s">
        <v>80</v>
      </c>
      <c r="F846" s="171" t="s">
        <v>1104</v>
      </c>
      <c r="G846" s="171" t="s">
        <v>177</v>
      </c>
      <c r="H846" s="176">
        <v>1</v>
      </c>
      <c r="I846" s="177">
        <v>0</v>
      </c>
      <c r="J846" s="175">
        <v>46063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hidden="1" customHeight="1">
      <c r="A847" s="171" t="s">
        <v>1432</v>
      </c>
      <c r="B847" s="175">
        <v>46067</v>
      </c>
      <c r="C847" s="171" t="s">
        <v>115</v>
      </c>
      <c r="D847" s="171" t="s">
        <v>135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46067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-22.15</v>
      </c>
    </row>
    <row r="848" spans="1:16" ht="19.5" hidden="1" customHeight="1">
      <c r="A848" s="171" t="s">
        <v>1433</v>
      </c>
      <c r="B848" s="175">
        <v>46067</v>
      </c>
      <c r="C848" s="171" t="s">
        <v>110</v>
      </c>
      <c r="D848" s="171" t="s">
        <v>24</v>
      </c>
      <c r="E848" s="171" t="s">
        <v>79</v>
      </c>
      <c r="F848" s="171" t="s">
        <v>441</v>
      </c>
      <c r="G848" s="171" t="s">
        <v>177</v>
      </c>
      <c r="H848" s="176">
        <v>1</v>
      </c>
      <c r="I848" s="177">
        <v>0</v>
      </c>
      <c r="J848" s="175">
        <v>46063</v>
      </c>
      <c r="K848" s="171" t="s">
        <v>113</v>
      </c>
      <c r="L848" s="171" t="s">
        <v>114</v>
      </c>
      <c r="M848" s="178">
        <v>0</v>
      </c>
      <c r="N848" s="176"/>
      <c r="O848" s="176">
        <v>44</v>
      </c>
      <c r="P848" s="179">
        <v>-56.94</v>
      </c>
    </row>
    <row r="849" spans="1:16" ht="19.5" hidden="1" customHeight="1">
      <c r="A849" s="171" t="s">
        <v>1433</v>
      </c>
      <c r="B849" s="175">
        <v>46067</v>
      </c>
      <c r="C849" s="171" t="s">
        <v>115</v>
      </c>
      <c r="D849" s="171" t="s">
        <v>116</v>
      </c>
      <c r="E849" s="171" t="s">
        <v>79</v>
      </c>
      <c r="F849" s="171" t="s">
        <v>441</v>
      </c>
      <c r="G849" s="171" t="s">
        <v>177</v>
      </c>
      <c r="H849" s="176">
        <v>1</v>
      </c>
      <c r="I849" s="177">
        <v>0</v>
      </c>
      <c r="J849" s="175">
        <v>46063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-11.61</v>
      </c>
    </row>
    <row r="850" spans="1:16" ht="19.5" hidden="1" customHeight="1">
      <c r="A850" s="171" t="s">
        <v>1433</v>
      </c>
      <c r="B850" s="175">
        <v>46067</v>
      </c>
      <c r="C850" s="171" t="s">
        <v>110</v>
      </c>
      <c r="D850" s="171" t="s">
        <v>117</v>
      </c>
      <c r="E850" s="171" t="s">
        <v>79</v>
      </c>
      <c r="F850" s="171" t="s">
        <v>441</v>
      </c>
      <c r="G850" s="171" t="s">
        <v>177</v>
      </c>
      <c r="H850" s="176">
        <v>1</v>
      </c>
      <c r="I850" s="177">
        <v>0</v>
      </c>
      <c r="J850" s="175">
        <v>46063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0</v>
      </c>
    </row>
    <row r="851" spans="1:16" ht="19.5" hidden="1" customHeight="1">
      <c r="A851" s="171" t="s">
        <v>1433</v>
      </c>
      <c r="B851" s="175">
        <v>46067</v>
      </c>
      <c r="C851" s="171" t="s">
        <v>110</v>
      </c>
      <c r="D851" s="171" t="s">
        <v>118</v>
      </c>
      <c r="E851" s="171" t="s">
        <v>79</v>
      </c>
      <c r="F851" s="171" t="s">
        <v>441</v>
      </c>
      <c r="G851" s="171" t="s">
        <v>177</v>
      </c>
      <c r="H851" s="176">
        <v>1</v>
      </c>
      <c r="I851" s="177">
        <v>0</v>
      </c>
      <c r="J851" s="175">
        <v>46063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-56.94</v>
      </c>
    </row>
    <row r="852" spans="1:16" ht="19.5" hidden="1" customHeight="1">
      <c r="A852" s="171" t="s">
        <v>1431</v>
      </c>
      <c r="B852" s="175">
        <v>46067</v>
      </c>
      <c r="C852" s="171" t="s">
        <v>110</v>
      </c>
      <c r="D852" s="171" t="s">
        <v>117</v>
      </c>
      <c r="E852" s="171" t="s">
        <v>80</v>
      </c>
      <c r="F852" s="171" t="s">
        <v>1104</v>
      </c>
      <c r="G852" s="171" t="s">
        <v>177</v>
      </c>
      <c r="H852" s="176">
        <v>1</v>
      </c>
      <c r="I852" s="177">
        <v>0</v>
      </c>
      <c r="J852" s="175">
        <v>46063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hidden="1" customHeight="1">
      <c r="A853" s="171" t="s">
        <v>1431</v>
      </c>
      <c r="B853" s="175">
        <v>46067</v>
      </c>
      <c r="C853" s="171" t="s">
        <v>110</v>
      </c>
      <c r="D853" s="171" t="s">
        <v>118</v>
      </c>
      <c r="E853" s="171" t="s">
        <v>80</v>
      </c>
      <c r="F853" s="171" t="s">
        <v>1104</v>
      </c>
      <c r="G853" s="171" t="s">
        <v>177</v>
      </c>
      <c r="H853" s="176">
        <v>1</v>
      </c>
      <c r="I853" s="177">
        <v>0</v>
      </c>
      <c r="J853" s="175">
        <v>46063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-56.94</v>
      </c>
    </row>
    <row r="854" spans="1:16" ht="19.5" hidden="1" customHeight="1">
      <c r="A854" s="171" t="s">
        <v>1434</v>
      </c>
      <c r="B854" s="175">
        <v>46067</v>
      </c>
      <c r="C854" s="171" t="s">
        <v>110</v>
      </c>
      <c r="D854" s="171" t="s">
        <v>24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46061</v>
      </c>
      <c r="K854" s="171" t="s">
        <v>113</v>
      </c>
      <c r="L854" s="171" t="s">
        <v>114</v>
      </c>
      <c r="M854" s="178">
        <v>0</v>
      </c>
      <c r="N854" s="176"/>
      <c r="O854" s="176">
        <v>45</v>
      </c>
      <c r="P854" s="179">
        <v>-46.77</v>
      </c>
    </row>
    <row r="855" spans="1:16" ht="19.5" hidden="1" customHeight="1">
      <c r="A855" s="171" t="s">
        <v>1434</v>
      </c>
      <c r="B855" s="175">
        <v>46067</v>
      </c>
      <c r="C855" s="171" t="s">
        <v>115</v>
      </c>
      <c r="D855" s="171" t="s">
        <v>116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46061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-14.4</v>
      </c>
    </row>
    <row r="856" spans="1:16" ht="19.5" hidden="1" customHeight="1">
      <c r="A856" s="171" t="s">
        <v>1434</v>
      </c>
      <c r="B856" s="175">
        <v>46067</v>
      </c>
      <c r="C856" s="171" t="s">
        <v>110</v>
      </c>
      <c r="D856" s="171" t="s">
        <v>117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46061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0</v>
      </c>
    </row>
    <row r="857" spans="1:16" ht="19.5" hidden="1" customHeight="1">
      <c r="A857" s="171" t="s">
        <v>1434</v>
      </c>
      <c r="B857" s="175">
        <v>46067</v>
      </c>
      <c r="C857" s="171" t="s">
        <v>110</v>
      </c>
      <c r="D857" s="171" t="s">
        <v>118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46061</v>
      </c>
      <c r="K857" s="171" t="s">
        <v>113</v>
      </c>
      <c r="L857" s="171" t="s">
        <v>114</v>
      </c>
      <c r="M857" s="178">
        <v>0</v>
      </c>
      <c r="N857" s="176"/>
      <c r="O857" s="176"/>
      <c r="P857" s="179">
        <v>-46.77</v>
      </c>
    </row>
    <row r="858" spans="1:16" ht="19.5" hidden="1" customHeight="1">
      <c r="A858" s="171" t="s">
        <v>1434</v>
      </c>
      <c r="B858" s="175">
        <v>46067</v>
      </c>
      <c r="C858" s="171" t="s">
        <v>115</v>
      </c>
      <c r="D858" s="171" t="s">
        <v>119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46061</v>
      </c>
      <c r="K858" s="171" t="s">
        <v>113</v>
      </c>
      <c r="L858" s="171" t="s">
        <v>114</v>
      </c>
      <c r="M858" s="178">
        <v>0</v>
      </c>
      <c r="N858" s="176"/>
      <c r="O858" s="176"/>
      <c r="P858" s="179">
        <v>-15</v>
      </c>
    </row>
    <row r="859" spans="1:16" ht="19.5" hidden="1" customHeight="1">
      <c r="A859" s="171" t="s">
        <v>1435</v>
      </c>
      <c r="B859" s="175">
        <v>46067</v>
      </c>
      <c r="C859" s="171" t="s">
        <v>115</v>
      </c>
      <c r="D859" s="171" t="s">
        <v>135</v>
      </c>
      <c r="E859" s="171" t="s">
        <v>41</v>
      </c>
      <c r="F859" s="171" t="s">
        <v>138</v>
      </c>
      <c r="G859" s="171" t="s">
        <v>112</v>
      </c>
      <c r="H859" s="176">
        <v>1</v>
      </c>
      <c r="I859" s="177">
        <v>0</v>
      </c>
      <c r="J859" s="175">
        <v>46067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-23.55</v>
      </c>
    </row>
    <row r="860" spans="1:16" ht="19.5" hidden="1" customHeight="1">
      <c r="A860" s="171" t="s">
        <v>1436</v>
      </c>
      <c r="B860" s="175">
        <v>46067</v>
      </c>
      <c r="C860" s="171" t="s">
        <v>110</v>
      </c>
      <c r="D860" s="171" t="s">
        <v>24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2400</v>
      </c>
      <c r="J860" s="175">
        <v>46065</v>
      </c>
      <c r="K860" s="171" t="s">
        <v>113</v>
      </c>
      <c r="L860" s="171" t="s">
        <v>114</v>
      </c>
      <c r="M860" s="178">
        <v>0.43</v>
      </c>
      <c r="N860" s="176"/>
      <c r="O860" s="176">
        <v>45</v>
      </c>
      <c r="P860" s="179">
        <v>-156.84</v>
      </c>
    </row>
    <row r="861" spans="1:16" ht="19.5" hidden="1" customHeight="1">
      <c r="A861" s="171" t="s">
        <v>1436</v>
      </c>
      <c r="B861" s="175">
        <v>46067</v>
      </c>
      <c r="C861" s="171" t="s">
        <v>127</v>
      </c>
      <c r="D861" s="171" t="s">
        <v>128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2400</v>
      </c>
      <c r="J861" s="175">
        <v>46065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1173.95</v>
      </c>
    </row>
    <row r="862" spans="1:16" ht="19.5" hidden="1" customHeight="1">
      <c r="A862" s="171" t="s">
        <v>1436</v>
      </c>
      <c r="B862" s="175">
        <v>46067</v>
      </c>
      <c r="C862" s="171" t="s">
        <v>127</v>
      </c>
      <c r="D862" s="171" t="s">
        <v>129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2400</v>
      </c>
      <c r="J862" s="175">
        <v>46065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11.74</v>
      </c>
    </row>
    <row r="863" spans="1:16" ht="19.5" hidden="1" customHeight="1">
      <c r="A863" s="171" t="s">
        <v>1436</v>
      </c>
      <c r="B863" s="175">
        <v>46067</v>
      </c>
      <c r="C863" s="171" t="s">
        <v>127</v>
      </c>
      <c r="D863" s="171" t="s">
        <v>130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2400</v>
      </c>
      <c r="J863" s="175">
        <v>46065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1214.31</v>
      </c>
    </row>
    <row r="864" spans="1:16" ht="19.5" hidden="1" customHeight="1">
      <c r="A864" s="171" t="s">
        <v>1436</v>
      </c>
      <c r="B864" s="175">
        <v>46067</v>
      </c>
      <c r="C864" s="171" t="s">
        <v>131</v>
      </c>
      <c r="D864" s="171" t="s">
        <v>132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2400</v>
      </c>
      <c r="J864" s="175">
        <v>46065</v>
      </c>
      <c r="K864" s="171" t="s">
        <v>113</v>
      </c>
      <c r="L864" s="171" t="s">
        <v>114</v>
      </c>
      <c r="M864" s="178">
        <v>0.43</v>
      </c>
      <c r="N864" s="176"/>
      <c r="O864" s="176"/>
      <c r="P864" s="179">
        <v>-1032</v>
      </c>
    </row>
    <row r="865" spans="1:16" ht="19.5" hidden="1" customHeight="1">
      <c r="A865" s="171" t="s">
        <v>1436</v>
      </c>
      <c r="B865" s="175">
        <v>46067</v>
      </c>
      <c r="C865" s="171" t="s">
        <v>115</v>
      </c>
      <c r="D865" s="171" t="s">
        <v>116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2400</v>
      </c>
      <c r="J865" s="175">
        <v>46065</v>
      </c>
      <c r="K865" s="171" t="s">
        <v>113</v>
      </c>
      <c r="L865" s="171" t="s">
        <v>114</v>
      </c>
      <c r="M865" s="178">
        <v>0.43</v>
      </c>
      <c r="N865" s="176"/>
      <c r="O865" s="176"/>
      <c r="P865" s="179">
        <v>-19.510000000000002</v>
      </c>
    </row>
    <row r="866" spans="1:16" ht="19.5" hidden="1" customHeight="1">
      <c r="A866" s="171" t="s">
        <v>1437</v>
      </c>
      <c r="B866" s="175">
        <v>46067</v>
      </c>
      <c r="C866" s="171" t="s">
        <v>110</v>
      </c>
      <c r="D866" s="171" t="s">
        <v>24</v>
      </c>
      <c r="E866" s="171" t="s">
        <v>45</v>
      </c>
      <c r="F866" s="171" t="s">
        <v>162</v>
      </c>
      <c r="G866" s="171" t="s">
        <v>163</v>
      </c>
      <c r="H866" s="176">
        <v>1</v>
      </c>
      <c r="I866" s="177">
        <v>0</v>
      </c>
      <c r="J866" s="175">
        <v>46063</v>
      </c>
      <c r="K866" s="171" t="s">
        <v>113</v>
      </c>
      <c r="L866" s="171" t="s">
        <v>114</v>
      </c>
      <c r="M866" s="178">
        <v>0</v>
      </c>
      <c r="N866" s="176"/>
      <c r="O866" s="176">
        <v>44</v>
      </c>
      <c r="P866" s="179">
        <v>-46.77</v>
      </c>
    </row>
    <row r="867" spans="1:16" ht="19.5" hidden="1" customHeight="1">
      <c r="A867" s="171" t="s">
        <v>1437</v>
      </c>
      <c r="B867" s="175">
        <v>46067</v>
      </c>
      <c r="C867" s="171" t="s">
        <v>115</v>
      </c>
      <c r="D867" s="171" t="s">
        <v>116</v>
      </c>
      <c r="E867" s="171" t="s">
        <v>45</v>
      </c>
      <c r="F867" s="171" t="s">
        <v>162</v>
      </c>
      <c r="G867" s="171" t="s">
        <v>163</v>
      </c>
      <c r="H867" s="176">
        <v>1</v>
      </c>
      <c r="I867" s="177">
        <v>0</v>
      </c>
      <c r="J867" s="175">
        <v>46063</v>
      </c>
      <c r="K867" s="171" t="s">
        <v>113</v>
      </c>
      <c r="L867" s="171" t="s">
        <v>114</v>
      </c>
      <c r="M867" s="178">
        <v>0</v>
      </c>
      <c r="N867" s="176"/>
      <c r="O867" s="176"/>
      <c r="P867" s="179">
        <v>-10.33</v>
      </c>
    </row>
    <row r="868" spans="1:16" ht="19.5" hidden="1" customHeight="1">
      <c r="A868" s="171" t="s">
        <v>1437</v>
      </c>
      <c r="B868" s="175">
        <v>46067</v>
      </c>
      <c r="C868" s="171" t="s">
        <v>110</v>
      </c>
      <c r="D868" s="171" t="s">
        <v>117</v>
      </c>
      <c r="E868" s="171" t="s">
        <v>45</v>
      </c>
      <c r="F868" s="171" t="s">
        <v>162</v>
      </c>
      <c r="G868" s="171" t="s">
        <v>163</v>
      </c>
      <c r="H868" s="176">
        <v>1</v>
      </c>
      <c r="I868" s="177">
        <v>0</v>
      </c>
      <c r="J868" s="175">
        <v>46063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0</v>
      </c>
    </row>
    <row r="869" spans="1:16" ht="19.5" hidden="1" customHeight="1">
      <c r="A869" s="171" t="s">
        <v>1437</v>
      </c>
      <c r="B869" s="175">
        <v>46067</v>
      </c>
      <c r="C869" s="171" t="s">
        <v>110</v>
      </c>
      <c r="D869" s="171" t="s">
        <v>118</v>
      </c>
      <c r="E869" s="171" t="s">
        <v>45</v>
      </c>
      <c r="F869" s="171" t="s">
        <v>162</v>
      </c>
      <c r="G869" s="171" t="s">
        <v>163</v>
      </c>
      <c r="H869" s="176">
        <v>1</v>
      </c>
      <c r="I869" s="177">
        <v>0</v>
      </c>
      <c r="J869" s="175">
        <v>46063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-46.77</v>
      </c>
    </row>
    <row r="870" spans="1:16" ht="19.5" hidden="1" customHeight="1">
      <c r="A870" s="171" t="s">
        <v>1437</v>
      </c>
      <c r="B870" s="175">
        <v>46067</v>
      </c>
      <c r="C870" s="171" t="s">
        <v>115</v>
      </c>
      <c r="D870" s="171" t="s">
        <v>119</v>
      </c>
      <c r="E870" s="171" t="s">
        <v>45</v>
      </c>
      <c r="F870" s="171" t="s">
        <v>162</v>
      </c>
      <c r="G870" s="171" t="s">
        <v>163</v>
      </c>
      <c r="H870" s="176">
        <v>1</v>
      </c>
      <c r="I870" s="177">
        <v>0</v>
      </c>
      <c r="J870" s="175">
        <v>46063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-15</v>
      </c>
    </row>
    <row r="871" spans="1:16" ht="19.5" hidden="1" customHeight="1">
      <c r="A871" s="171" t="s">
        <v>1438</v>
      </c>
      <c r="B871" s="175">
        <v>46067</v>
      </c>
      <c r="C871" s="171" t="s">
        <v>110</v>
      </c>
      <c r="D871" s="171" t="s">
        <v>24</v>
      </c>
      <c r="E871" s="171" t="s">
        <v>42</v>
      </c>
      <c r="F871" s="171" t="s">
        <v>248</v>
      </c>
      <c r="G871" s="171" t="s">
        <v>112</v>
      </c>
      <c r="H871" s="176">
        <v>1</v>
      </c>
      <c r="I871" s="177">
        <v>0</v>
      </c>
      <c r="J871" s="175">
        <v>46064</v>
      </c>
      <c r="K871" s="171" t="s">
        <v>113</v>
      </c>
      <c r="L871" s="171" t="s">
        <v>114</v>
      </c>
      <c r="M871" s="178">
        <v>0</v>
      </c>
      <c r="N871" s="176"/>
      <c r="O871" s="176">
        <v>45</v>
      </c>
      <c r="P871" s="179">
        <v>-46.77</v>
      </c>
    </row>
    <row r="872" spans="1:16" ht="19.5" hidden="1" customHeight="1">
      <c r="A872" s="171" t="s">
        <v>1438</v>
      </c>
      <c r="B872" s="175">
        <v>46067</v>
      </c>
      <c r="C872" s="171" t="s">
        <v>115</v>
      </c>
      <c r="D872" s="171" t="s">
        <v>116</v>
      </c>
      <c r="E872" s="171" t="s">
        <v>42</v>
      </c>
      <c r="F872" s="171" t="s">
        <v>248</v>
      </c>
      <c r="G872" s="171" t="s">
        <v>112</v>
      </c>
      <c r="H872" s="176">
        <v>1</v>
      </c>
      <c r="I872" s="177">
        <v>0</v>
      </c>
      <c r="J872" s="175">
        <v>46064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-16.13</v>
      </c>
    </row>
    <row r="873" spans="1:16" ht="19.5" hidden="1" customHeight="1">
      <c r="A873" s="171" t="s">
        <v>1438</v>
      </c>
      <c r="B873" s="175">
        <v>46067</v>
      </c>
      <c r="C873" s="171" t="s">
        <v>110</v>
      </c>
      <c r="D873" s="171" t="s">
        <v>117</v>
      </c>
      <c r="E873" s="171" t="s">
        <v>42</v>
      </c>
      <c r="F873" s="171" t="s">
        <v>248</v>
      </c>
      <c r="G873" s="171" t="s">
        <v>112</v>
      </c>
      <c r="H873" s="176">
        <v>1</v>
      </c>
      <c r="I873" s="177">
        <v>0</v>
      </c>
      <c r="J873" s="175">
        <v>46064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hidden="1" customHeight="1">
      <c r="A874" s="171" t="s">
        <v>1438</v>
      </c>
      <c r="B874" s="175">
        <v>46067</v>
      </c>
      <c r="C874" s="171" t="s">
        <v>110</v>
      </c>
      <c r="D874" s="171" t="s">
        <v>118</v>
      </c>
      <c r="E874" s="171" t="s">
        <v>42</v>
      </c>
      <c r="F874" s="171" t="s">
        <v>248</v>
      </c>
      <c r="G874" s="171" t="s">
        <v>112</v>
      </c>
      <c r="H874" s="176">
        <v>1</v>
      </c>
      <c r="I874" s="177">
        <v>0</v>
      </c>
      <c r="J874" s="175">
        <v>46064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-46.77</v>
      </c>
    </row>
    <row r="875" spans="1:16" ht="19.5" hidden="1" customHeight="1">
      <c r="A875" s="171" t="s">
        <v>1438</v>
      </c>
      <c r="B875" s="175">
        <v>46067</v>
      </c>
      <c r="C875" s="171" t="s">
        <v>115</v>
      </c>
      <c r="D875" s="171" t="s">
        <v>119</v>
      </c>
      <c r="E875" s="171" t="s">
        <v>42</v>
      </c>
      <c r="F875" s="171" t="s">
        <v>248</v>
      </c>
      <c r="G875" s="171" t="s">
        <v>112</v>
      </c>
      <c r="H875" s="176">
        <v>1</v>
      </c>
      <c r="I875" s="177">
        <v>0</v>
      </c>
      <c r="J875" s="175">
        <v>46064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hidden="1" customHeight="1">
      <c r="A876" s="171" t="s">
        <v>1439</v>
      </c>
      <c r="B876" s="175">
        <v>46067</v>
      </c>
      <c r="C876" s="171" t="s">
        <v>110</v>
      </c>
      <c r="D876" s="171" t="s">
        <v>24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2400</v>
      </c>
      <c r="J876" s="175">
        <v>46066</v>
      </c>
      <c r="K876" s="171" t="s">
        <v>113</v>
      </c>
      <c r="L876" s="171" t="s">
        <v>114</v>
      </c>
      <c r="M876" s="178">
        <v>0.43</v>
      </c>
      <c r="N876" s="176"/>
      <c r="O876" s="176">
        <v>44</v>
      </c>
      <c r="P876" s="179">
        <v>-151.84</v>
      </c>
    </row>
    <row r="877" spans="1:16" ht="19.5" hidden="1" customHeight="1">
      <c r="A877" s="171" t="s">
        <v>1439</v>
      </c>
      <c r="B877" s="175">
        <v>46067</v>
      </c>
      <c r="C877" s="171" t="s">
        <v>127</v>
      </c>
      <c r="D877" s="171" t="s">
        <v>128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2400</v>
      </c>
      <c r="J877" s="175">
        <v>46066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1299.53</v>
      </c>
    </row>
    <row r="878" spans="1:16" ht="19.5" hidden="1" customHeight="1">
      <c r="A878" s="171" t="s">
        <v>1439</v>
      </c>
      <c r="B878" s="175">
        <v>46067</v>
      </c>
      <c r="C878" s="171" t="s">
        <v>127</v>
      </c>
      <c r="D878" s="171" t="s">
        <v>129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2400</v>
      </c>
      <c r="J878" s="175">
        <v>46066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13</v>
      </c>
    </row>
    <row r="879" spans="1:16" ht="19.5" hidden="1" customHeight="1">
      <c r="A879" s="171" t="s">
        <v>1439</v>
      </c>
      <c r="B879" s="175">
        <v>46067</v>
      </c>
      <c r="C879" s="171" t="s">
        <v>127</v>
      </c>
      <c r="D879" s="171" t="s">
        <v>130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2400</v>
      </c>
      <c r="J879" s="175">
        <v>46066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1087.47</v>
      </c>
    </row>
    <row r="880" spans="1:16" ht="19.5" hidden="1" customHeight="1">
      <c r="A880" s="171" t="s">
        <v>1439</v>
      </c>
      <c r="B880" s="175">
        <v>46067</v>
      </c>
      <c r="C880" s="171" t="s">
        <v>131</v>
      </c>
      <c r="D880" s="171" t="s">
        <v>132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2400</v>
      </c>
      <c r="J880" s="175">
        <v>46066</v>
      </c>
      <c r="K880" s="171" t="s">
        <v>113</v>
      </c>
      <c r="L880" s="171" t="s">
        <v>114</v>
      </c>
      <c r="M880" s="178">
        <v>0.43</v>
      </c>
      <c r="N880" s="176"/>
      <c r="O880" s="176"/>
      <c r="P880" s="179">
        <v>-1032</v>
      </c>
    </row>
    <row r="881" spans="1:16" ht="19.5" hidden="1" customHeight="1">
      <c r="A881" s="171" t="s">
        <v>1439</v>
      </c>
      <c r="B881" s="175">
        <v>46067</v>
      </c>
      <c r="C881" s="171" t="s">
        <v>115</v>
      </c>
      <c r="D881" s="171" t="s">
        <v>116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2400</v>
      </c>
      <c r="J881" s="175">
        <v>46066</v>
      </c>
      <c r="K881" s="171" t="s">
        <v>113</v>
      </c>
      <c r="L881" s="171" t="s">
        <v>114</v>
      </c>
      <c r="M881" s="178">
        <v>0.43</v>
      </c>
      <c r="N881" s="176"/>
      <c r="O881" s="176"/>
      <c r="P881" s="179">
        <v>-16.510000000000002</v>
      </c>
    </row>
    <row r="882" spans="1:16" ht="19.5" hidden="1" customHeight="1">
      <c r="A882" s="171" t="s">
        <v>1440</v>
      </c>
      <c r="B882" s="175">
        <v>46067</v>
      </c>
      <c r="C882" s="171" t="s">
        <v>110</v>
      </c>
      <c r="D882" s="171" t="s">
        <v>24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2400</v>
      </c>
      <c r="J882" s="175">
        <v>46066</v>
      </c>
      <c r="K882" s="171" t="s">
        <v>113</v>
      </c>
      <c r="L882" s="171" t="s">
        <v>114</v>
      </c>
      <c r="M882" s="178">
        <v>0.43</v>
      </c>
      <c r="N882" s="176"/>
      <c r="O882" s="176">
        <v>44</v>
      </c>
      <c r="P882" s="179">
        <v>-151.84</v>
      </c>
    </row>
    <row r="883" spans="1:16" ht="19.5" hidden="1" customHeight="1">
      <c r="A883" s="171" t="s">
        <v>1440</v>
      </c>
      <c r="B883" s="175">
        <v>46067</v>
      </c>
      <c r="C883" s="171" t="s">
        <v>127</v>
      </c>
      <c r="D883" s="171" t="s">
        <v>128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2400</v>
      </c>
      <c r="J883" s="175">
        <v>46066</v>
      </c>
      <c r="K883" s="171" t="s">
        <v>113</v>
      </c>
      <c r="L883" s="171" t="s">
        <v>114</v>
      </c>
      <c r="M883" s="178">
        <v>0</v>
      </c>
      <c r="N883" s="176"/>
      <c r="O883" s="176"/>
      <c r="P883" s="179">
        <v>1253.33</v>
      </c>
    </row>
    <row r="884" spans="1:16" ht="19.5" hidden="1" customHeight="1">
      <c r="A884" s="171" t="s">
        <v>1440</v>
      </c>
      <c r="B884" s="175">
        <v>46067</v>
      </c>
      <c r="C884" s="171" t="s">
        <v>127</v>
      </c>
      <c r="D884" s="171" t="s">
        <v>129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2400</v>
      </c>
      <c r="J884" s="175">
        <v>46066</v>
      </c>
      <c r="K884" s="171" t="s">
        <v>113</v>
      </c>
      <c r="L884" s="171" t="s">
        <v>114</v>
      </c>
      <c r="M884" s="178">
        <v>0</v>
      </c>
      <c r="N884" s="176"/>
      <c r="O884" s="176"/>
      <c r="P884" s="179">
        <v>12.53</v>
      </c>
    </row>
    <row r="885" spans="1:16" ht="19.5" hidden="1" customHeight="1">
      <c r="A885" s="171" t="s">
        <v>1440</v>
      </c>
      <c r="B885" s="175">
        <v>46067</v>
      </c>
      <c r="C885" s="171" t="s">
        <v>127</v>
      </c>
      <c r="D885" s="171" t="s">
        <v>130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2400</v>
      </c>
      <c r="J885" s="175">
        <v>46066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1134.1400000000001</v>
      </c>
    </row>
    <row r="886" spans="1:16" ht="19.5" hidden="1" customHeight="1">
      <c r="A886" s="171" t="s">
        <v>1440</v>
      </c>
      <c r="B886" s="175">
        <v>46067</v>
      </c>
      <c r="C886" s="171" t="s">
        <v>131</v>
      </c>
      <c r="D886" s="171" t="s">
        <v>132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2400</v>
      </c>
      <c r="J886" s="175">
        <v>46066</v>
      </c>
      <c r="K886" s="171" t="s">
        <v>113</v>
      </c>
      <c r="L886" s="171" t="s">
        <v>114</v>
      </c>
      <c r="M886" s="178">
        <v>0.43</v>
      </c>
      <c r="N886" s="176"/>
      <c r="O886" s="176"/>
      <c r="P886" s="179">
        <v>-1032</v>
      </c>
    </row>
    <row r="887" spans="1:16" ht="19.5" hidden="1" customHeight="1">
      <c r="A887" s="171" t="s">
        <v>1440</v>
      </c>
      <c r="B887" s="175">
        <v>46067</v>
      </c>
      <c r="C887" s="171" t="s">
        <v>115</v>
      </c>
      <c r="D887" s="171" t="s">
        <v>116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2400</v>
      </c>
      <c r="J887" s="175">
        <v>46066</v>
      </c>
      <c r="K887" s="171" t="s">
        <v>113</v>
      </c>
      <c r="L887" s="171" t="s">
        <v>114</v>
      </c>
      <c r="M887" s="178">
        <v>0.43</v>
      </c>
      <c r="N887" s="176"/>
      <c r="O887" s="176"/>
      <c r="P887" s="179">
        <v>-25</v>
      </c>
    </row>
    <row r="888" spans="1:16" ht="19.5" hidden="1" customHeight="1">
      <c r="A888" s="171" t="s">
        <v>1441</v>
      </c>
      <c r="B888" s="175">
        <v>46067</v>
      </c>
      <c r="C888" s="171" t="s">
        <v>110</v>
      </c>
      <c r="D888" s="171" t="s">
        <v>24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2400</v>
      </c>
      <c r="J888" s="175">
        <v>46066</v>
      </c>
      <c r="K888" s="171" t="s">
        <v>113</v>
      </c>
      <c r="L888" s="171" t="s">
        <v>114</v>
      </c>
      <c r="M888" s="178">
        <v>0.43</v>
      </c>
      <c r="N888" s="176"/>
      <c r="O888" s="176">
        <v>44</v>
      </c>
      <c r="P888" s="179">
        <v>-151.84</v>
      </c>
    </row>
    <row r="889" spans="1:16" ht="19.5" hidden="1" customHeight="1">
      <c r="A889" s="171" t="s">
        <v>1441</v>
      </c>
      <c r="B889" s="175">
        <v>46067</v>
      </c>
      <c r="C889" s="171" t="s">
        <v>127</v>
      </c>
      <c r="D889" s="171" t="s">
        <v>128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2400</v>
      </c>
      <c r="J889" s="175">
        <v>46066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1299.53</v>
      </c>
    </row>
    <row r="890" spans="1:16" ht="19.5" hidden="1" customHeight="1">
      <c r="A890" s="171" t="s">
        <v>1441</v>
      </c>
      <c r="B890" s="175">
        <v>46067</v>
      </c>
      <c r="C890" s="171" t="s">
        <v>127</v>
      </c>
      <c r="D890" s="171" t="s">
        <v>129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2400</v>
      </c>
      <c r="J890" s="175">
        <v>46066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13</v>
      </c>
    </row>
    <row r="891" spans="1:16" ht="19.5" hidden="1" customHeight="1">
      <c r="A891" s="171" t="s">
        <v>1441</v>
      </c>
      <c r="B891" s="175">
        <v>46067</v>
      </c>
      <c r="C891" s="171" t="s">
        <v>127</v>
      </c>
      <c r="D891" s="171" t="s">
        <v>130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2400</v>
      </c>
      <c r="J891" s="175">
        <v>46066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1087.47</v>
      </c>
    </row>
    <row r="892" spans="1:16" ht="19.5" hidden="1" customHeight="1">
      <c r="A892" s="171" t="s">
        <v>1441</v>
      </c>
      <c r="B892" s="175">
        <v>46067</v>
      </c>
      <c r="C892" s="171" t="s">
        <v>131</v>
      </c>
      <c r="D892" s="171" t="s">
        <v>132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2400</v>
      </c>
      <c r="J892" s="175">
        <v>46066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-1032</v>
      </c>
    </row>
    <row r="893" spans="1:16" ht="19.5" hidden="1" customHeight="1">
      <c r="A893" s="171" t="s">
        <v>1441</v>
      </c>
      <c r="B893" s="175">
        <v>46067</v>
      </c>
      <c r="C893" s="171" t="s">
        <v>115</v>
      </c>
      <c r="D893" s="171" t="s">
        <v>116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2400</v>
      </c>
      <c r="J893" s="175">
        <v>46066</v>
      </c>
      <c r="K893" s="171" t="s">
        <v>113</v>
      </c>
      <c r="L893" s="171" t="s">
        <v>114</v>
      </c>
      <c r="M893" s="178">
        <v>0.43</v>
      </c>
      <c r="N893" s="176"/>
      <c r="O893" s="176"/>
      <c r="P893" s="179">
        <v>-11.7</v>
      </c>
    </row>
    <row r="894" spans="1:16" ht="19.5" hidden="1" customHeight="1">
      <c r="A894" s="171" t="s">
        <v>1442</v>
      </c>
      <c r="B894" s="175">
        <v>46067</v>
      </c>
      <c r="C894" s="171" t="s">
        <v>110</v>
      </c>
      <c r="D894" s="171" t="s">
        <v>24</v>
      </c>
      <c r="E894" s="171" t="s">
        <v>38</v>
      </c>
      <c r="F894" s="171" t="s">
        <v>111</v>
      </c>
      <c r="G894" s="171" t="s">
        <v>112</v>
      </c>
      <c r="H894" s="176">
        <v>1</v>
      </c>
      <c r="I894" s="177">
        <v>1800</v>
      </c>
      <c r="J894" s="175">
        <v>46053</v>
      </c>
      <c r="K894" s="171" t="s">
        <v>113</v>
      </c>
      <c r="L894" s="171" t="s">
        <v>114</v>
      </c>
      <c r="M894" s="178">
        <v>0.43</v>
      </c>
      <c r="N894" s="176"/>
      <c r="O894" s="176">
        <v>48</v>
      </c>
      <c r="P894" s="179">
        <v>-146.61000000000001</v>
      </c>
    </row>
    <row r="895" spans="1:16" ht="19.5" hidden="1" customHeight="1">
      <c r="A895" s="171" t="s">
        <v>1442</v>
      </c>
      <c r="B895" s="175">
        <v>46067</v>
      </c>
      <c r="C895" s="171" t="s">
        <v>127</v>
      </c>
      <c r="D895" s="171" t="s">
        <v>128</v>
      </c>
      <c r="E895" s="171" t="s">
        <v>38</v>
      </c>
      <c r="F895" s="171" t="s">
        <v>111</v>
      </c>
      <c r="G895" s="171" t="s">
        <v>112</v>
      </c>
      <c r="H895" s="176">
        <v>1</v>
      </c>
      <c r="I895" s="177">
        <v>1800</v>
      </c>
      <c r="J895" s="175">
        <v>46053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825.71</v>
      </c>
    </row>
    <row r="896" spans="1:16" ht="19.5" hidden="1" customHeight="1">
      <c r="A896" s="171" t="s">
        <v>1442</v>
      </c>
      <c r="B896" s="175">
        <v>46067</v>
      </c>
      <c r="C896" s="171" t="s">
        <v>127</v>
      </c>
      <c r="D896" s="171" t="s">
        <v>129</v>
      </c>
      <c r="E896" s="171" t="s">
        <v>38</v>
      </c>
      <c r="F896" s="171" t="s">
        <v>111</v>
      </c>
      <c r="G896" s="171" t="s">
        <v>112</v>
      </c>
      <c r="H896" s="176">
        <v>1</v>
      </c>
      <c r="I896" s="177">
        <v>1800</v>
      </c>
      <c r="J896" s="175">
        <v>46053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8.26</v>
      </c>
    </row>
    <row r="897" spans="1:16" ht="19.5" hidden="1" customHeight="1">
      <c r="A897" s="171" t="s">
        <v>1442</v>
      </c>
      <c r="B897" s="175">
        <v>46067</v>
      </c>
      <c r="C897" s="171" t="s">
        <v>127</v>
      </c>
      <c r="D897" s="171" t="s">
        <v>130</v>
      </c>
      <c r="E897" s="171" t="s">
        <v>38</v>
      </c>
      <c r="F897" s="171" t="s">
        <v>111</v>
      </c>
      <c r="G897" s="171" t="s">
        <v>112</v>
      </c>
      <c r="H897" s="176">
        <v>1</v>
      </c>
      <c r="I897" s="177">
        <v>1800</v>
      </c>
      <c r="J897" s="175">
        <v>46053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966.03</v>
      </c>
    </row>
    <row r="898" spans="1:16" ht="19.5" hidden="1" customHeight="1">
      <c r="A898" s="171" t="s">
        <v>1442</v>
      </c>
      <c r="B898" s="175">
        <v>46067</v>
      </c>
      <c r="C898" s="171" t="s">
        <v>131</v>
      </c>
      <c r="D898" s="171" t="s">
        <v>132</v>
      </c>
      <c r="E898" s="171" t="s">
        <v>38</v>
      </c>
      <c r="F898" s="171" t="s">
        <v>111</v>
      </c>
      <c r="G898" s="171" t="s">
        <v>112</v>
      </c>
      <c r="H898" s="176">
        <v>1</v>
      </c>
      <c r="I898" s="177">
        <v>1800</v>
      </c>
      <c r="J898" s="175">
        <v>46053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-774</v>
      </c>
    </row>
    <row r="899" spans="1:16" ht="19.5" hidden="1" customHeight="1">
      <c r="A899" s="171" t="s">
        <v>1442</v>
      </c>
      <c r="B899" s="175">
        <v>46067</v>
      </c>
      <c r="C899" s="171" t="s">
        <v>115</v>
      </c>
      <c r="D899" s="171" t="s">
        <v>116</v>
      </c>
      <c r="E899" s="171" t="s">
        <v>38</v>
      </c>
      <c r="F899" s="171" t="s">
        <v>111</v>
      </c>
      <c r="G899" s="171" t="s">
        <v>112</v>
      </c>
      <c r="H899" s="176">
        <v>1</v>
      </c>
      <c r="I899" s="177">
        <v>1800</v>
      </c>
      <c r="J899" s="175">
        <v>46053</v>
      </c>
      <c r="K899" s="171" t="s">
        <v>113</v>
      </c>
      <c r="L899" s="171" t="s">
        <v>114</v>
      </c>
      <c r="M899" s="178">
        <v>0.43</v>
      </c>
      <c r="N899" s="176"/>
      <c r="O899" s="176"/>
      <c r="P899" s="179">
        <v>-11.26</v>
      </c>
    </row>
    <row r="900" spans="1:16" ht="19.5" hidden="1" customHeight="1">
      <c r="A900" s="171" t="s">
        <v>1439</v>
      </c>
      <c r="B900" s="175">
        <v>46067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46066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-24.69</v>
      </c>
    </row>
    <row r="901" spans="1:16" ht="19.5" hidden="1" customHeight="1">
      <c r="A901" s="171" t="s">
        <v>1440</v>
      </c>
      <c r="B901" s="175">
        <v>46067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46066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-23.81</v>
      </c>
    </row>
    <row r="902" spans="1:16" ht="19.5" hidden="1" customHeight="1">
      <c r="A902" s="171" t="s">
        <v>1443</v>
      </c>
      <c r="B902" s="175">
        <v>46067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2400</v>
      </c>
      <c r="J902" s="175">
        <v>46065</v>
      </c>
      <c r="K902" s="171" t="s">
        <v>113</v>
      </c>
      <c r="L902" s="171" t="s">
        <v>114</v>
      </c>
      <c r="M902" s="178">
        <v>0.43</v>
      </c>
      <c r="N902" s="176"/>
      <c r="O902" s="176">
        <v>45</v>
      </c>
      <c r="P902" s="179">
        <v>-156.84</v>
      </c>
    </row>
    <row r="903" spans="1:16" ht="19.5" hidden="1" customHeight="1">
      <c r="A903" s="171" t="s">
        <v>1443</v>
      </c>
      <c r="B903" s="175">
        <v>46067</v>
      </c>
      <c r="C903" s="171" t="s">
        <v>127</v>
      </c>
      <c r="D903" s="171" t="s">
        <v>128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2400</v>
      </c>
      <c r="J903" s="175">
        <v>46065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1246.21</v>
      </c>
    </row>
    <row r="904" spans="1:16" ht="19.5" hidden="1" customHeight="1">
      <c r="A904" s="171" t="s">
        <v>1443</v>
      </c>
      <c r="B904" s="175">
        <v>46067</v>
      </c>
      <c r="C904" s="171" t="s">
        <v>127</v>
      </c>
      <c r="D904" s="171" t="s">
        <v>129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2400</v>
      </c>
      <c r="J904" s="175">
        <v>46065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12.46</v>
      </c>
    </row>
    <row r="905" spans="1:16" ht="19.5" hidden="1" customHeight="1">
      <c r="A905" s="171" t="s">
        <v>1443</v>
      </c>
      <c r="B905" s="175">
        <v>46067</v>
      </c>
      <c r="C905" s="171" t="s">
        <v>127</v>
      </c>
      <c r="D905" s="171" t="s">
        <v>130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2400</v>
      </c>
      <c r="J905" s="175">
        <v>46065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1141.33</v>
      </c>
    </row>
    <row r="906" spans="1:16" ht="19.5" hidden="1" customHeight="1">
      <c r="A906" s="171" t="s">
        <v>1443</v>
      </c>
      <c r="B906" s="175">
        <v>46067</v>
      </c>
      <c r="C906" s="171" t="s">
        <v>131</v>
      </c>
      <c r="D906" s="171" t="s">
        <v>132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2400</v>
      </c>
      <c r="J906" s="175">
        <v>46065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-1032</v>
      </c>
    </row>
    <row r="907" spans="1:16" ht="19.5" hidden="1" customHeight="1">
      <c r="A907" s="171" t="s">
        <v>1443</v>
      </c>
      <c r="B907" s="175">
        <v>46067</v>
      </c>
      <c r="C907" s="171" t="s">
        <v>115</v>
      </c>
      <c r="D907" s="171" t="s">
        <v>116</v>
      </c>
      <c r="E907" s="171" t="s">
        <v>38</v>
      </c>
      <c r="F907" s="171" t="s">
        <v>111</v>
      </c>
      <c r="G907" s="171" t="s">
        <v>112</v>
      </c>
      <c r="H907" s="176">
        <v>1</v>
      </c>
      <c r="I907" s="177">
        <v>2400</v>
      </c>
      <c r="J907" s="175">
        <v>46065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-13.9</v>
      </c>
    </row>
    <row r="908" spans="1:16" ht="19.5" hidden="1" customHeight="1">
      <c r="A908" s="171" t="s">
        <v>1444</v>
      </c>
      <c r="B908" s="175">
        <v>46067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2400</v>
      </c>
      <c r="J908" s="175">
        <v>46066</v>
      </c>
      <c r="K908" s="171" t="s">
        <v>113</v>
      </c>
      <c r="L908" s="171" t="s">
        <v>114</v>
      </c>
      <c r="M908" s="178">
        <v>0.43</v>
      </c>
      <c r="N908" s="176"/>
      <c r="O908" s="176">
        <v>44</v>
      </c>
      <c r="P908" s="179">
        <v>-151.84</v>
      </c>
    </row>
    <row r="909" spans="1:16" ht="19.5" hidden="1" customHeight="1">
      <c r="A909" s="171" t="s">
        <v>1444</v>
      </c>
      <c r="B909" s="175">
        <v>46067</v>
      </c>
      <c r="C909" s="171" t="s">
        <v>127</v>
      </c>
      <c r="D909" s="171" t="s">
        <v>128</v>
      </c>
      <c r="E909" s="171" t="s">
        <v>38</v>
      </c>
      <c r="F909" s="171" t="s">
        <v>111</v>
      </c>
      <c r="G909" s="171" t="s">
        <v>112</v>
      </c>
      <c r="H909" s="176">
        <v>1</v>
      </c>
      <c r="I909" s="177">
        <v>2400</v>
      </c>
      <c r="J909" s="175">
        <v>46066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1130.3499999999999</v>
      </c>
    </row>
    <row r="910" spans="1:16" ht="19.5" hidden="1" customHeight="1">
      <c r="A910" s="171" t="s">
        <v>1444</v>
      </c>
      <c r="B910" s="175">
        <v>46067</v>
      </c>
      <c r="C910" s="171" t="s">
        <v>127</v>
      </c>
      <c r="D910" s="171" t="s">
        <v>129</v>
      </c>
      <c r="E910" s="171" t="s">
        <v>38</v>
      </c>
      <c r="F910" s="171" t="s">
        <v>111</v>
      </c>
      <c r="G910" s="171" t="s">
        <v>112</v>
      </c>
      <c r="H910" s="176">
        <v>1</v>
      </c>
      <c r="I910" s="177">
        <v>2400</v>
      </c>
      <c r="J910" s="175">
        <v>46066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11.3</v>
      </c>
    </row>
    <row r="911" spans="1:16" ht="19.5" hidden="1" customHeight="1">
      <c r="A911" s="171" t="s">
        <v>1444</v>
      </c>
      <c r="B911" s="175">
        <v>46067</v>
      </c>
      <c r="C911" s="171" t="s">
        <v>127</v>
      </c>
      <c r="D911" s="171" t="s">
        <v>130</v>
      </c>
      <c r="E911" s="171" t="s">
        <v>38</v>
      </c>
      <c r="F911" s="171" t="s">
        <v>111</v>
      </c>
      <c r="G911" s="171" t="s">
        <v>112</v>
      </c>
      <c r="H911" s="176">
        <v>1</v>
      </c>
      <c r="I911" s="177">
        <v>2400</v>
      </c>
      <c r="J911" s="175">
        <v>46066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1258.3499999999999</v>
      </c>
    </row>
    <row r="912" spans="1:16" ht="19.5" hidden="1" customHeight="1">
      <c r="A912" s="171" t="s">
        <v>1444</v>
      </c>
      <c r="B912" s="175">
        <v>46067</v>
      </c>
      <c r="C912" s="171" t="s">
        <v>131</v>
      </c>
      <c r="D912" s="171" t="s">
        <v>132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2400</v>
      </c>
      <c r="J912" s="175">
        <v>46066</v>
      </c>
      <c r="K912" s="171" t="s">
        <v>113</v>
      </c>
      <c r="L912" s="171" t="s">
        <v>114</v>
      </c>
      <c r="M912" s="178">
        <v>0.43</v>
      </c>
      <c r="N912" s="176"/>
      <c r="O912" s="176"/>
      <c r="P912" s="179">
        <v>-1032</v>
      </c>
    </row>
    <row r="913" spans="1:16" ht="19.5" hidden="1" customHeight="1">
      <c r="A913" s="171" t="s">
        <v>1444</v>
      </c>
      <c r="B913" s="175">
        <v>46067</v>
      </c>
      <c r="C913" s="171" t="s">
        <v>115</v>
      </c>
      <c r="D913" s="171" t="s">
        <v>116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2400</v>
      </c>
      <c r="J913" s="175">
        <v>46066</v>
      </c>
      <c r="K913" s="171" t="s">
        <v>113</v>
      </c>
      <c r="L913" s="171" t="s">
        <v>114</v>
      </c>
      <c r="M913" s="178">
        <v>0.43</v>
      </c>
      <c r="N913" s="176"/>
      <c r="O913" s="176"/>
      <c r="P913" s="179">
        <v>-20.23</v>
      </c>
    </row>
    <row r="914" spans="1:16" ht="19.5" hidden="1" customHeight="1">
      <c r="A914" s="171" t="s">
        <v>1441</v>
      </c>
      <c r="B914" s="175">
        <v>46067</v>
      </c>
      <c r="C914" s="171" t="s">
        <v>115</v>
      </c>
      <c r="D914" s="171" t="s">
        <v>135</v>
      </c>
      <c r="E914" s="171" t="s">
        <v>38</v>
      </c>
      <c r="F914" s="171" t="s">
        <v>111</v>
      </c>
      <c r="G914" s="171" t="s">
        <v>112</v>
      </c>
      <c r="H914" s="176">
        <v>1</v>
      </c>
      <c r="I914" s="177">
        <v>0</v>
      </c>
      <c r="J914" s="175">
        <v>46066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-24.69</v>
      </c>
    </row>
    <row r="915" spans="1:16" ht="19.5" hidden="1" customHeight="1">
      <c r="A915" s="171" t="s">
        <v>1442</v>
      </c>
      <c r="B915" s="175">
        <v>46067</v>
      </c>
      <c r="C915" s="171" t="s">
        <v>115</v>
      </c>
      <c r="D915" s="171" t="s">
        <v>135</v>
      </c>
      <c r="E915" s="171" t="s">
        <v>38</v>
      </c>
      <c r="F915" s="171" t="s">
        <v>111</v>
      </c>
      <c r="G915" s="171" t="s">
        <v>112</v>
      </c>
      <c r="H915" s="176">
        <v>1</v>
      </c>
      <c r="I915" s="177">
        <v>0</v>
      </c>
      <c r="J915" s="175">
        <v>46053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-15.69</v>
      </c>
    </row>
    <row r="916" spans="1:16" ht="19.5" hidden="1" customHeight="1">
      <c r="A916" s="171" t="s">
        <v>1444</v>
      </c>
      <c r="B916" s="175">
        <v>46067</v>
      </c>
      <c r="C916" s="171" t="s">
        <v>115</v>
      </c>
      <c r="D916" s="171" t="s">
        <v>135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46066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-21.48</v>
      </c>
    </row>
    <row r="917" spans="1:16" ht="19.5" hidden="1" customHeight="1">
      <c r="A917" s="171" t="s">
        <v>1335</v>
      </c>
      <c r="B917" s="175">
        <v>46067</v>
      </c>
      <c r="C917" s="171" t="s">
        <v>115</v>
      </c>
      <c r="D917" s="171" t="s">
        <v>135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46064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21.24</v>
      </c>
    </row>
    <row r="918" spans="1:16" ht="19.5" hidden="1" customHeight="1">
      <c r="A918" s="171" t="s">
        <v>1386</v>
      </c>
      <c r="B918" s="175">
        <v>46067</v>
      </c>
      <c r="C918" s="171" t="s">
        <v>110</v>
      </c>
      <c r="D918" s="171" t="s">
        <v>24</v>
      </c>
      <c r="E918" s="171" t="s">
        <v>66</v>
      </c>
      <c r="F918" s="171" t="s">
        <v>602</v>
      </c>
      <c r="G918" s="171" t="s">
        <v>177</v>
      </c>
      <c r="H918" s="176">
        <v>1</v>
      </c>
      <c r="I918" s="177">
        <v>0</v>
      </c>
      <c r="J918" s="175">
        <v>46056</v>
      </c>
      <c r="K918" s="171" t="s">
        <v>113</v>
      </c>
      <c r="L918" s="171" t="s">
        <v>114</v>
      </c>
      <c r="M918" s="178">
        <v>0</v>
      </c>
      <c r="N918" s="176"/>
      <c r="O918" s="176">
        <v>43</v>
      </c>
      <c r="P918" s="179">
        <v>-56.94</v>
      </c>
    </row>
    <row r="919" spans="1:16" ht="19.5" hidden="1" customHeight="1">
      <c r="A919" s="171" t="s">
        <v>1386</v>
      </c>
      <c r="B919" s="175">
        <v>46067</v>
      </c>
      <c r="C919" s="171" t="s">
        <v>115</v>
      </c>
      <c r="D919" s="171" t="s">
        <v>116</v>
      </c>
      <c r="E919" s="171" t="s">
        <v>66</v>
      </c>
      <c r="F919" s="171" t="s">
        <v>602</v>
      </c>
      <c r="G919" s="171" t="s">
        <v>177</v>
      </c>
      <c r="H919" s="176">
        <v>1</v>
      </c>
      <c r="I919" s="177">
        <v>0</v>
      </c>
      <c r="J919" s="175">
        <v>46056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-15.51</v>
      </c>
    </row>
    <row r="920" spans="1:16" ht="19.5" hidden="1" customHeight="1">
      <c r="A920" s="171" t="s">
        <v>1386</v>
      </c>
      <c r="B920" s="175">
        <v>46067</v>
      </c>
      <c r="C920" s="171" t="s">
        <v>110</v>
      </c>
      <c r="D920" s="171" t="s">
        <v>117</v>
      </c>
      <c r="E920" s="171" t="s">
        <v>66</v>
      </c>
      <c r="F920" s="171" t="s">
        <v>602</v>
      </c>
      <c r="G920" s="171" t="s">
        <v>177</v>
      </c>
      <c r="H920" s="176">
        <v>1</v>
      </c>
      <c r="I920" s="177">
        <v>0</v>
      </c>
      <c r="J920" s="175">
        <v>46056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0</v>
      </c>
    </row>
    <row r="921" spans="1:16" ht="19.5" hidden="1" customHeight="1">
      <c r="A921" s="171" t="s">
        <v>1386</v>
      </c>
      <c r="B921" s="175">
        <v>46067</v>
      </c>
      <c r="C921" s="171" t="s">
        <v>110</v>
      </c>
      <c r="D921" s="171" t="s">
        <v>118</v>
      </c>
      <c r="E921" s="171" t="s">
        <v>66</v>
      </c>
      <c r="F921" s="171" t="s">
        <v>602</v>
      </c>
      <c r="G921" s="171" t="s">
        <v>177</v>
      </c>
      <c r="H921" s="176">
        <v>1</v>
      </c>
      <c r="I921" s="177">
        <v>0</v>
      </c>
      <c r="J921" s="175">
        <v>46056</v>
      </c>
      <c r="K921" s="171" t="s">
        <v>113</v>
      </c>
      <c r="L921" s="171" t="s">
        <v>114</v>
      </c>
      <c r="M921" s="178">
        <v>0</v>
      </c>
      <c r="N921" s="176"/>
      <c r="O921" s="176"/>
      <c r="P921" s="179">
        <v>-56.94</v>
      </c>
    </row>
    <row r="922" spans="1:16" ht="19.5" hidden="1" customHeight="1">
      <c r="A922" s="171" t="s">
        <v>1386</v>
      </c>
      <c r="B922" s="175">
        <v>46067</v>
      </c>
      <c r="C922" s="171" t="s">
        <v>115</v>
      </c>
      <c r="D922" s="171" t="s">
        <v>119</v>
      </c>
      <c r="E922" s="171" t="s">
        <v>66</v>
      </c>
      <c r="F922" s="171" t="s">
        <v>602</v>
      </c>
      <c r="G922" s="171" t="s">
        <v>177</v>
      </c>
      <c r="H922" s="176">
        <v>1</v>
      </c>
      <c r="I922" s="177">
        <v>0</v>
      </c>
      <c r="J922" s="175">
        <v>46056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-15</v>
      </c>
    </row>
    <row r="923" spans="1:16" ht="19.5" hidden="1" customHeight="1">
      <c r="A923" s="171" t="s">
        <v>1445</v>
      </c>
      <c r="B923" s="175">
        <v>46067</v>
      </c>
      <c r="C923" s="171" t="s">
        <v>110</v>
      </c>
      <c r="D923" s="171" t="s">
        <v>24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2400</v>
      </c>
      <c r="J923" s="175">
        <v>46066</v>
      </c>
      <c r="K923" s="171" t="s">
        <v>113</v>
      </c>
      <c r="L923" s="171" t="s">
        <v>114</v>
      </c>
      <c r="M923" s="178">
        <v>0.43</v>
      </c>
      <c r="N923" s="176"/>
      <c r="O923" s="176">
        <v>44</v>
      </c>
      <c r="P923" s="179">
        <v>-151.84</v>
      </c>
    </row>
    <row r="924" spans="1:16" ht="19.5" hidden="1" customHeight="1">
      <c r="A924" s="171" t="s">
        <v>1445</v>
      </c>
      <c r="B924" s="175">
        <v>46067</v>
      </c>
      <c r="C924" s="171" t="s">
        <v>127</v>
      </c>
      <c r="D924" s="171" t="s">
        <v>128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2400</v>
      </c>
      <c r="J924" s="175">
        <v>46066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1129.28</v>
      </c>
    </row>
    <row r="925" spans="1:16" ht="19.5" hidden="1" customHeight="1">
      <c r="A925" s="171" t="s">
        <v>1445</v>
      </c>
      <c r="B925" s="175">
        <v>46067</v>
      </c>
      <c r="C925" s="171" t="s">
        <v>127</v>
      </c>
      <c r="D925" s="171" t="s">
        <v>129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2400</v>
      </c>
      <c r="J925" s="175">
        <v>46066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11.29</v>
      </c>
    </row>
    <row r="926" spans="1:16" ht="19.5" hidden="1" customHeight="1">
      <c r="A926" s="171" t="s">
        <v>1445</v>
      </c>
      <c r="B926" s="175">
        <v>46067</v>
      </c>
      <c r="C926" s="171" t="s">
        <v>127</v>
      </c>
      <c r="D926" s="171" t="s">
        <v>130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2400</v>
      </c>
      <c r="J926" s="175">
        <v>46066</v>
      </c>
      <c r="K926" s="171" t="s">
        <v>113</v>
      </c>
      <c r="L926" s="171" t="s">
        <v>114</v>
      </c>
      <c r="M926" s="178">
        <v>0</v>
      </c>
      <c r="N926" s="176"/>
      <c r="O926" s="176"/>
      <c r="P926" s="179">
        <v>1259.43</v>
      </c>
    </row>
    <row r="927" spans="1:16" ht="19.5" hidden="1" customHeight="1">
      <c r="A927" s="171" t="s">
        <v>1445</v>
      </c>
      <c r="B927" s="175">
        <v>46067</v>
      </c>
      <c r="C927" s="171" t="s">
        <v>131</v>
      </c>
      <c r="D927" s="171" t="s">
        <v>132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2400</v>
      </c>
      <c r="J927" s="175">
        <v>46066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-1032</v>
      </c>
    </row>
    <row r="928" spans="1:16" ht="19.5" hidden="1" customHeight="1">
      <c r="A928" s="171" t="s">
        <v>1445</v>
      </c>
      <c r="B928" s="175">
        <v>46067</v>
      </c>
      <c r="C928" s="171" t="s">
        <v>115</v>
      </c>
      <c r="D928" s="171" t="s">
        <v>116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2400</v>
      </c>
      <c r="J928" s="175">
        <v>46066</v>
      </c>
      <c r="K928" s="171" t="s">
        <v>113</v>
      </c>
      <c r="L928" s="171" t="s">
        <v>114</v>
      </c>
      <c r="M928" s="178">
        <v>0.43</v>
      </c>
      <c r="N928" s="176"/>
      <c r="O928" s="176"/>
      <c r="P928" s="179">
        <v>-24.98</v>
      </c>
    </row>
    <row r="929" spans="1:16" ht="19.5" hidden="1" customHeight="1">
      <c r="A929" s="171" t="s">
        <v>1445</v>
      </c>
      <c r="B929" s="175">
        <v>46067</v>
      </c>
      <c r="C929" s="171" t="s">
        <v>115</v>
      </c>
      <c r="D929" s="171" t="s">
        <v>135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0</v>
      </c>
      <c r="J929" s="175">
        <v>46066</v>
      </c>
      <c r="K929" s="171" t="s">
        <v>125</v>
      </c>
      <c r="L929" s="171" t="s">
        <v>125</v>
      </c>
      <c r="M929" s="178">
        <v>0</v>
      </c>
      <c r="N929" s="176"/>
      <c r="O929" s="176"/>
      <c r="P929" s="179">
        <v>-21.46</v>
      </c>
    </row>
    <row r="930" spans="1:16" ht="19.5" hidden="1" customHeight="1">
      <c r="A930" s="171" t="s">
        <v>1446</v>
      </c>
      <c r="B930" s="175">
        <v>46067</v>
      </c>
      <c r="C930" s="171" t="s">
        <v>110</v>
      </c>
      <c r="D930" s="171" t="s">
        <v>24</v>
      </c>
      <c r="E930" s="171" t="s">
        <v>75</v>
      </c>
      <c r="F930" s="171" t="s">
        <v>474</v>
      </c>
      <c r="G930" s="171" t="s">
        <v>177</v>
      </c>
      <c r="H930" s="176">
        <v>1</v>
      </c>
      <c r="I930" s="177">
        <v>4300</v>
      </c>
      <c r="J930" s="175">
        <v>46060</v>
      </c>
      <c r="K930" s="171" t="s">
        <v>113</v>
      </c>
      <c r="L930" s="171" t="s">
        <v>114</v>
      </c>
      <c r="M930" s="178">
        <v>0.43</v>
      </c>
      <c r="N930" s="176"/>
      <c r="O930" s="176">
        <v>43</v>
      </c>
      <c r="P930" s="179">
        <v>-220.1</v>
      </c>
    </row>
    <row r="931" spans="1:16" ht="19.5" hidden="1" customHeight="1">
      <c r="A931" s="171" t="s">
        <v>1446</v>
      </c>
      <c r="B931" s="175">
        <v>46067</v>
      </c>
      <c r="C931" s="171" t="s">
        <v>127</v>
      </c>
      <c r="D931" s="171" t="s">
        <v>128</v>
      </c>
      <c r="E931" s="171" t="s">
        <v>75</v>
      </c>
      <c r="F931" s="171" t="s">
        <v>474</v>
      </c>
      <c r="G931" s="171" t="s">
        <v>177</v>
      </c>
      <c r="H931" s="176">
        <v>1</v>
      </c>
      <c r="I931" s="177">
        <v>4300</v>
      </c>
      <c r="J931" s="175">
        <v>46060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1698.5</v>
      </c>
    </row>
    <row r="932" spans="1:16" ht="19.5" hidden="1" customHeight="1">
      <c r="A932" s="171" t="s">
        <v>1446</v>
      </c>
      <c r="B932" s="175">
        <v>46067</v>
      </c>
      <c r="C932" s="171" t="s">
        <v>127</v>
      </c>
      <c r="D932" s="171" t="s">
        <v>129</v>
      </c>
      <c r="E932" s="171" t="s">
        <v>75</v>
      </c>
      <c r="F932" s="171" t="s">
        <v>474</v>
      </c>
      <c r="G932" s="171" t="s">
        <v>177</v>
      </c>
      <c r="H932" s="176">
        <v>1</v>
      </c>
      <c r="I932" s="177">
        <v>4300</v>
      </c>
      <c r="J932" s="175">
        <v>46060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0</v>
      </c>
    </row>
    <row r="933" spans="1:16" ht="19.5" hidden="1" customHeight="1">
      <c r="A933" s="171" t="s">
        <v>1446</v>
      </c>
      <c r="B933" s="175">
        <v>46067</v>
      </c>
      <c r="C933" s="171" t="s">
        <v>127</v>
      </c>
      <c r="D933" s="171" t="s">
        <v>130</v>
      </c>
      <c r="E933" s="171" t="s">
        <v>75</v>
      </c>
      <c r="F933" s="171" t="s">
        <v>474</v>
      </c>
      <c r="G933" s="171" t="s">
        <v>177</v>
      </c>
      <c r="H933" s="176">
        <v>1</v>
      </c>
      <c r="I933" s="177">
        <v>4300</v>
      </c>
      <c r="J933" s="175">
        <v>46060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2601.5</v>
      </c>
    </row>
    <row r="934" spans="1:16" ht="19.5" hidden="1" customHeight="1">
      <c r="A934" s="171" t="s">
        <v>1446</v>
      </c>
      <c r="B934" s="175">
        <v>46067</v>
      </c>
      <c r="C934" s="171" t="s">
        <v>131</v>
      </c>
      <c r="D934" s="171" t="s">
        <v>132</v>
      </c>
      <c r="E934" s="171" t="s">
        <v>75</v>
      </c>
      <c r="F934" s="171" t="s">
        <v>474</v>
      </c>
      <c r="G934" s="171" t="s">
        <v>177</v>
      </c>
      <c r="H934" s="176">
        <v>1</v>
      </c>
      <c r="I934" s="177">
        <v>4300</v>
      </c>
      <c r="J934" s="175">
        <v>46060</v>
      </c>
      <c r="K934" s="171" t="s">
        <v>113</v>
      </c>
      <c r="L934" s="171" t="s">
        <v>114</v>
      </c>
      <c r="M934" s="178">
        <v>0.43</v>
      </c>
      <c r="N934" s="176"/>
      <c r="O934" s="176"/>
      <c r="P934" s="179">
        <v>-1849</v>
      </c>
    </row>
    <row r="935" spans="1:16" ht="19.5" hidden="1" customHeight="1">
      <c r="A935" s="171" t="s">
        <v>1388</v>
      </c>
      <c r="B935" s="175">
        <v>46067</v>
      </c>
      <c r="C935" s="171" t="s">
        <v>151</v>
      </c>
      <c r="D935" s="171" t="s">
        <v>152</v>
      </c>
      <c r="E935" s="171" t="s">
        <v>125</v>
      </c>
      <c r="F935" s="171" t="s">
        <v>125</v>
      </c>
      <c r="G935" s="171" t="s">
        <v>125</v>
      </c>
      <c r="H935" s="176">
        <v>0</v>
      </c>
      <c r="I935" s="177">
        <v>0</v>
      </c>
      <c r="J935" s="175">
        <v>46067</v>
      </c>
      <c r="K935" s="171" t="s">
        <v>125</v>
      </c>
      <c r="L935" s="171" t="s">
        <v>125</v>
      </c>
      <c r="M935" s="178">
        <v>0</v>
      </c>
      <c r="N935" s="176"/>
      <c r="O935" s="176"/>
      <c r="P935" s="179">
        <v>-301.88</v>
      </c>
    </row>
    <row r="936" spans="1:16" ht="19.5" hidden="1" customHeight="1">
      <c r="A936" s="171" t="s">
        <v>1389</v>
      </c>
      <c r="B936" s="175">
        <v>46067</v>
      </c>
      <c r="C936" s="171" t="s">
        <v>151</v>
      </c>
      <c r="D936" s="171" t="s">
        <v>152</v>
      </c>
      <c r="E936" s="171" t="s">
        <v>125</v>
      </c>
      <c r="F936" s="171" t="s">
        <v>125</v>
      </c>
      <c r="G936" s="171" t="s">
        <v>125</v>
      </c>
      <c r="H936" s="176">
        <v>0</v>
      </c>
      <c r="I936" s="177">
        <v>0</v>
      </c>
      <c r="J936" s="175">
        <v>46067</v>
      </c>
      <c r="K936" s="171" t="s">
        <v>125</v>
      </c>
      <c r="L936" s="171" t="s">
        <v>125</v>
      </c>
      <c r="M936" s="178">
        <v>0</v>
      </c>
      <c r="N936" s="176"/>
      <c r="O936" s="176"/>
      <c r="P936" s="179">
        <v>-286.72000000000003</v>
      </c>
    </row>
    <row r="937" spans="1:16" ht="19.5" hidden="1" customHeight="1">
      <c r="A937" s="171" t="s">
        <v>1390</v>
      </c>
      <c r="B937" s="175">
        <v>46067</v>
      </c>
      <c r="C937" s="171" t="s">
        <v>151</v>
      </c>
      <c r="D937" s="171" t="s">
        <v>152</v>
      </c>
      <c r="E937" s="171" t="s">
        <v>125</v>
      </c>
      <c r="F937" s="171" t="s">
        <v>125</v>
      </c>
      <c r="G937" s="171" t="s">
        <v>125</v>
      </c>
      <c r="H937" s="176">
        <v>0</v>
      </c>
      <c r="I937" s="177">
        <v>0</v>
      </c>
      <c r="J937" s="175">
        <v>46067</v>
      </c>
      <c r="K937" s="171" t="s">
        <v>125</v>
      </c>
      <c r="L937" s="171" t="s">
        <v>125</v>
      </c>
      <c r="M937" s="178">
        <v>0</v>
      </c>
      <c r="N937" s="176"/>
      <c r="O937" s="176"/>
      <c r="P937" s="179">
        <v>-294.43</v>
      </c>
    </row>
    <row r="938" spans="1:16" ht="19.5" hidden="1" customHeight="1">
      <c r="A938" s="171" t="s">
        <v>1356</v>
      </c>
      <c r="B938" s="175">
        <v>46067</v>
      </c>
      <c r="C938" s="171" t="s">
        <v>151</v>
      </c>
      <c r="D938" s="171" t="s">
        <v>152</v>
      </c>
      <c r="E938" s="171" t="s">
        <v>125</v>
      </c>
      <c r="F938" s="171" t="s">
        <v>125</v>
      </c>
      <c r="G938" s="171" t="s">
        <v>125</v>
      </c>
      <c r="H938" s="176">
        <v>0</v>
      </c>
      <c r="I938" s="177">
        <v>0</v>
      </c>
      <c r="J938" s="175">
        <v>46067</v>
      </c>
      <c r="K938" s="171" t="s">
        <v>125</v>
      </c>
      <c r="L938" s="171" t="s">
        <v>125</v>
      </c>
      <c r="M938" s="178">
        <v>0</v>
      </c>
      <c r="N938" s="176"/>
      <c r="O938" s="176"/>
      <c r="P938" s="179">
        <v>-291.70999999999998</v>
      </c>
    </row>
    <row r="939" spans="1:16" ht="19.5" hidden="1" customHeight="1">
      <c r="A939" s="171" t="s">
        <v>150</v>
      </c>
      <c r="B939" s="175">
        <v>46067</v>
      </c>
      <c r="C939" s="171" t="s">
        <v>151</v>
      </c>
      <c r="D939" s="171" t="s">
        <v>152</v>
      </c>
      <c r="E939" s="171" t="s">
        <v>125</v>
      </c>
      <c r="F939" s="171" t="s">
        <v>125</v>
      </c>
      <c r="G939" s="171" t="s">
        <v>125</v>
      </c>
      <c r="H939" s="176">
        <v>0</v>
      </c>
      <c r="I939" s="177">
        <v>0</v>
      </c>
      <c r="J939" s="175">
        <v>46067</v>
      </c>
      <c r="K939" s="171" t="s">
        <v>125</v>
      </c>
      <c r="L939" s="171" t="s">
        <v>125</v>
      </c>
      <c r="M939" s="178">
        <v>0</v>
      </c>
      <c r="N939" s="176"/>
      <c r="O939" s="176"/>
      <c r="P939" s="179">
        <v>-853.61</v>
      </c>
    </row>
    <row r="940" spans="1:16" ht="19.5" hidden="1" customHeight="1">
      <c r="A940" s="171" t="s">
        <v>155</v>
      </c>
      <c r="B940" s="175">
        <v>46067</v>
      </c>
      <c r="C940" s="171" t="s">
        <v>151</v>
      </c>
      <c r="D940" s="171" t="s">
        <v>156</v>
      </c>
      <c r="E940" s="171" t="s">
        <v>125</v>
      </c>
      <c r="F940" s="171" t="s">
        <v>125</v>
      </c>
      <c r="G940" s="171" t="s">
        <v>125</v>
      </c>
      <c r="H940" s="176">
        <v>0</v>
      </c>
      <c r="I940" s="177">
        <v>0</v>
      </c>
      <c r="J940" s="175">
        <v>46067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-4514</v>
      </c>
    </row>
    <row r="941" spans="1:16" ht="19.5" hidden="1" customHeight="1">
      <c r="A941" s="171" t="s">
        <v>1447</v>
      </c>
      <c r="B941" s="175">
        <v>46068</v>
      </c>
      <c r="C941" s="171" t="s">
        <v>115</v>
      </c>
      <c r="D941" s="171" t="s">
        <v>135</v>
      </c>
      <c r="E941" s="171" t="s">
        <v>46</v>
      </c>
      <c r="F941" s="171" t="s">
        <v>681</v>
      </c>
      <c r="G941" s="171" t="s">
        <v>112</v>
      </c>
      <c r="H941" s="176">
        <v>1</v>
      </c>
      <c r="I941" s="177">
        <v>0</v>
      </c>
      <c r="J941" s="175">
        <v>46068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-18.73</v>
      </c>
    </row>
    <row r="942" spans="1:16" ht="19.5" hidden="1" customHeight="1">
      <c r="A942" s="171" t="s">
        <v>1448</v>
      </c>
      <c r="B942" s="175">
        <v>46068</v>
      </c>
      <c r="C942" s="171" t="s">
        <v>110</v>
      </c>
      <c r="D942" s="171" t="s">
        <v>24</v>
      </c>
      <c r="E942" s="171" t="s">
        <v>42</v>
      </c>
      <c r="F942" s="171" t="s">
        <v>248</v>
      </c>
      <c r="G942" s="171" t="s">
        <v>112</v>
      </c>
      <c r="H942" s="176">
        <v>1</v>
      </c>
      <c r="I942" s="177">
        <v>0</v>
      </c>
      <c r="J942" s="175">
        <v>46063</v>
      </c>
      <c r="K942" s="171" t="s">
        <v>113</v>
      </c>
      <c r="L942" s="171" t="s">
        <v>114</v>
      </c>
      <c r="M942" s="178">
        <v>0</v>
      </c>
      <c r="N942" s="176"/>
      <c r="O942" s="176">
        <v>44</v>
      </c>
      <c r="P942" s="179">
        <v>-46.77</v>
      </c>
    </row>
    <row r="943" spans="1:16" ht="19.5" hidden="1" customHeight="1">
      <c r="A943" s="171" t="s">
        <v>1448</v>
      </c>
      <c r="B943" s="175">
        <v>46068</v>
      </c>
      <c r="C943" s="171" t="s">
        <v>115</v>
      </c>
      <c r="D943" s="171" t="s">
        <v>116</v>
      </c>
      <c r="E943" s="171" t="s">
        <v>42</v>
      </c>
      <c r="F943" s="171" t="s">
        <v>248</v>
      </c>
      <c r="G943" s="171" t="s">
        <v>112</v>
      </c>
      <c r="H943" s="176">
        <v>1</v>
      </c>
      <c r="I943" s="177">
        <v>0</v>
      </c>
      <c r="J943" s="175">
        <v>46063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-15.46</v>
      </c>
    </row>
    <row r="944" spans="1:16" ht="19.5" hidden="1" customHeight="1">
      <c r="A944" s="171" t="s">
        <v>1448</v>
      </c>
      <c r="B944" s="175">
        <v>46068</v>
      </c>
      <c r="C944" s="171" t="s">
        <v>110</v>
      </c>
      <c r="D944" s="171" t="s">
        <v>117</v>
      </c>
      <c r="E944" s="171" t="s">
        <v>42</v>
      </c>
      <c r="F944" s="171" t="s">
        <v>248</v>
      </c>
      <c r="G944" s="171" t="s">
        <v>112</v>
      </c>
      <c r="H944" s="176">
        <v>1</v>
      </c>
      <c r="I944" s="177">
        <v>0</v>
      </c>
      <c r="J944" s="175">
        <v>46063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0</v>
      </c>
    </row>
    <row r="945" spans="1:16" ht="19.5" hidden="1" customHeight="1">
      <c r="A945" s="171" t="s">
        <v>1448</v>
      </c>
      <c r="B945" s="175">
        <v>46068</v>
      </c>
      <c r="C945" s="171" t="s">
        <v>110</v>
      </c>
      <c r="D945" s="171" t="s">
        <v>118</v>
      </c>
      <c r="E945" s="171" t="s">
        <v>42</v>
      </c>
      <c r="F945" s="171" t="s">
        <v>248</v>
      </c>
      <c r="G945" s="171" t="s">
        <v>112</v>
      </c>
      <c r="H945" s="176">
        <v>1</v>
      </c>
      <c r="I945" s="177">
        <v>0</v>
      </c>
      <c r="J945" s="175">
        <v>46063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-46.77</v>
      </c>
    </row>
    <row r="946" spans="1:16" ht="19.5" hidden="1" customHeight="1">
      <c r="A946" s="171" t="s">
        <v>1448</v>
      </c>
      <c r="B946" s="175">
        <v>46068</v>
      </c>
      <c r="C946" s="171" t="s">
        <v>115</v>
      </c>
      <c r="D946" s="171" t="s">
        <v>119</v>
      </c>
      <c r="E946" s="171" t="s">
        <v>42</v>
      </c>
      <c r="F946" s="171" t="s">
        <v>248</v>
      </c>
      <c r="G946" s="171" t="s">
        <v>112</v>
      </c>
      <c r="H946" s="176">
        <v>1</v>
      </c>
      <c r="I946" s="177">
        <v>0</v>
      </c>
      <c r="J946" s="175">
        <v>46063</v>
      </c>
      <c r="K946" s="171" t="s">
        <v>113</v>
      </c>
      <c r="L946" s="171" t="s">
        <v>114</v>
      </c>
      <c r="M946" s="178">
        <v>0</v>
      </c>
      <c r="N946" s="176"/>
      <c r="O946" s="176"/>
      <c r="P946" s="179">
        <v>-15</v>
      </c>
    </row>
    <row r="947" spans="1:16" ht="19.5" hidden="1" customHeight="1">
      <c r="A947" s="171" t="s">
        <v>1449</v>
      </c>
      <c r="B947" s="175">
        <v>46068</v>
      </c>
      <c r="C947" s="171" t="s">
        <v>110</v>
      </c>
      <c r="D947" s="171" t="s">
        <v>24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46057</v>
      </c>
      <c r="K947" s="171" t="s">
        <v>113</v>
      </c>
      <c r="L947" s="171" t="s">
        <v>114</v>
      </c>
      <c r="M947" s="178">
        <v>0</v>
      </c>
      <c r="N947" s="176"/>
      <c r="O947" s="176">
        <v>42</v>
      </c>
      <c r="P947" s="179">
        <v>-46.77</v>
      </c>
    </row>
    <row r="948" spans="1:16" ht="19.5" hidden="1" customHeight="1">
      <c r="A948" s="171" t="s">
        <v>1449</v>
      </c>
      <c r="B948" s="175">
        <v>46068</v>
      </c>
      <c r="C948" s="171" t="s">
        <v>115</v>
      </c>
      <c r="D948" s="171" t="s">
        <v>116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46057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-9.59</v>
      </c>
    </row>
    <row r="949" spans="1:16" ht="19.5" hidden="1" customHeight="1">
      <c r="A949" s="171" t="s">
        <v>1449</v>
      </c>
      <c r="B949" s="175">
        <v>46068</v>
      </c>
      <c r="C949" s="171" t="s">
        <v>110</v>
      </c>
      <c r="D949" s="171" t="s">
        <v>117</v>
      </c>
      <c r="E949" s="171" t="s">
        <v>38</v>
      </c>
      <c r="F949" s="171" t="s">
        <v>111</v>
      </c>
      <c r="G949" s="171" t="s">
        <v>112</v>
      </c>
      <c r="H949" s="176">
        <v>1</v>
      </c>
      <c r="I949" s="177">
        <v>0</v>
      </c>
      <c r="J949" s="175">
        <v>46057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0</v>
      </c>
    </row>
    <row r="950" spans="1:16" ht="19.5" hidden="1" customHeight="1">
      <c r="A950" s="171" t="s">
        <v>1449</v>
      </c>
      <c r="B950" s="175">
        <v>46068</v>
      </c>
      <c r="C950" s="171" t="s">
        <v>110</v>
      </c>
      <c r="D950" s="171" t="s">
        <v>118</v>
      </c>
      <c r="E950" s="171" t="s">
        <v>38</v>
      </c>
      <c r="F950" s="171" t="s">
        <v>111</v>
      </c>
      <c r="G950" s="171" t="s">
        <v>112</v>
      </c>
      <c r="H950" s="176">
        <v>1</v>
      </c>
      <c r="I950" s="177">
        <v>0</v>
      </c>
      <c r="J950" s="175">
        <v>46057</v>
      </c>
      <c r="K950" s="171" t="s">
        <v>113</v>
      </c>
      <c r="L950" s="171" t="s">
        <v>114</v>
      </c>
      <c r="M950" s="178">
        <v>0</v>
      </c>
      <c r="N950" s="176"/>
      <c r="O950" s="176"/>
      <c r="P950" s="179">
        <v>-46.77</v>
      </c>
    </row>
    <row r="951" spans="1:16" ht="19.5" hidden="1" customHeight="1">
      <c r="A951" s="171" t="s">
        <v>1449</v>
      </c>
      <c r="B951" s="175">
        <v>46068</v>
      </c>
      <c r="C951" s="171" t="s">
        <v>115</v>
      </c>
      <c r="D951" s="171" t="s">
        <v>119</v>
      </c>
      <c r="E951" s="171" t="s">
        <v>38</v>
      </c>
      <c r="F951" s="171" t="s">
        <v>111</v>
      </c>
      <c r="G951" s="171" t="s">
        <v>112</v>
      </c>
      <c r="H951" s="176">
        <v>1</v>
      </c>
      <c r="I951" s="177">
        <v>0</v>
      </c>
      <c r="J951" s="175">
        <v>46057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-15</v>
      </c>
    </row>
    <row r="952" spans="1:16" ht="19.5" hidden="1" customHeight="1">
      <c r="A952" s="171" t="s">
        <v>1450</v>
      </c>
      <c r="B952" s="175">
        <v>46068</v>
      </c>
      <c r="C952" s="171" t="s">
        <v>110</v>
      </c>
      <c r="D952" s="171" t="s">
        <v>24</v>
      </c>
      <c r="E952" s="171" t="s">
        <v>48</v>
      </c>
      <c r="F952" s="171" t="s">
        <v>198</v>
      </c>
      <c r="G952" s="171" t="s">
        <v>112</v>
      </c>
      <c r="H952" s="176">
        <v>1</v>
      </c>
      <c r="I952" s="177">
        <v>0</v>
      </c>
      <c r="J952" s="175">
        <v>46054</v>
      </c>
      <c r="K952" s="171" t="s">
        <v>113</v>
      </c>
      <c r="L952" s="171" t="s">
        <v>114</v>
      </c>
      <c r="M952" s="178">
        <v>0</v>
      </c>
      <c r="N952" s="176"/>
      <c r="O952" s="176">
        <v>42</v>
      </c>
      <c r="P952" s="179">
        <v>-46.77</v>
      </c>
    </row>
    <row r="953" spans="1:16" ht="19.5" hidden="1" customHeight="1">
      <c r="A953" s="171" t="s">
        <v>1450</v>
      </c>
      <c r="B953" s="175">
        <v>46068</v>
      </c>
      <c r="C953" s="171" t="s">
        <v>115</v>
      </c>
      <c r="D953" s="171" t="s">
        <v>116</v>
      </c>
      <c r="E953" s="171" t="s">
        <v>48</v>
      </c>
      <c r="F953" s="171" t="s">
        <v>198</v>
      </c>
      <c r="G953" s="171" t="s">
        <v>112</v>
      </c>
      <c r="H953" s="176">
        <v>1</v>
      </c>
      <c r="I953" s="177">
        <v>0</v>
      </c>
      <c r="J953" s="175">
        <v>46054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-21.79</v>
      </c>
    </row>
    <row r="954" spans="1:16" ht="19.5" hidden="1" customHeight="1">
      <c r="A954" s="171" t="s">
        <v>1450</v>
      </c>
      <c r="B954" s="175">
        <v>46068</v>
      </c>
      <c r="C954" s="171" t="s">
        <v>110</v>
      </c>
      <c r="D954" s="171" t="s">
        <v>117</v>
      </c>
      <c r="E954" s="171" t="s">
        <v>48</v>
      </c>
      <c r="F954" s="171" t="s">
        <v>198</v>
      </c>
      <c r="G954" s="171" t="s">
        <v>112</v>
      </c>
      <c r="H954" s="176">
        <v>1</v>
      </c>
      <c r="I954" s="177">
        <v>0</v>
      </c>
      <c r="J954" s="175">
        <v>46054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0</v>
      </c>
    </row>
    <row r="955" spans="1:16" ht="19.5" hidden="1" customHeight="1">
      <c r="A955" s="171" t="s">
        <v>1450</v>
      </c>
      <c r="B955" s="175">
        <v>46068</v>
      </c>
      <c r="C955" s="171" t="s">
        <v>110</v>
      </c>
      <c r="D955" s="171" t="s">
        <v>118</v>
      </c>
      <c r="E955" s="171" t="s">
        <v>48</v>
      </c>
      <c r="F955" s="171" t="s">
        <v>198</v>
      </c>
      <c r="G955" s="171" t="s">
        <v>112</v>
      </c>
      <c r="H955" s="176">
        <v>1</v>
      </c>
      <c r="I955" s="177">
        <v>0</v>
      </c>
      <c r="J955" s="175">
        <v>46054</v>
      </c>
      <c r="K955" s="171" t="s">
        <v>113</v>
      </c>
      <c r="L955" s="171" t="s">
        <v>114</v>
      </c>
      <c r="M955" s="178">
        <v>0</v>
      </c>
      <c r="N955" s="176"/>
      <c r="O955" s="176"/>
      <c r="P955" s="179">
        <v>-46.77</v>
      </c>
    </row>
    <row r="956" spans="1:16" ht="19.5" hidden="1" customHeight="1">
      <c r="A956" s="171" t="s">
        <v>1450</v>
      </c>
      <c r="B956" s="175">
        <v>46068</v>
      </c>
      <c r="C956" s="171" t="s">
        <v>115</v>
      </c>
      <c r="D956" s="171" t="s">
        <v>119</v>
      </c>
      <c r="E956" s="171" t="s">
        <v>48</v>
      </c>
      <c r="F956" s="171" t="s">
        <v>198</v>
      </c>
      <c r="G956" s="171" t="s">
        <v>112</v>
      </c>
      <c r="H956" s="176">
        <v>1</v>
      </c>
      <c r="I956" s="177">
        <v>0</v>
      </c>
      <c r="J956" s="175">
        <v>46054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-15</v>
      </c>
    </row>
    <row r="957" spans="1:16" ht="19.5" hidden="1" customHeight="1">
      <c r="A957" s="171" t="s">
        <v>1241</v>
      </c>
      <c r="B957" s="175">
        <v>46068</v>
      </c>
      <c r="C957" s="171" t="s">
        <v>110</v>
      </c>
      <c r="D957" s="171" t="s">
        <v>121</v>
      </c>
      <c r="E957" s="171" t="s">
        <v>71</v>
      </c>
      <c r="F957" s="171" t="s">
        <v>185</v>
      </c>
      <c r="G957" s="171" t="s">
        <v>177</v>
      </c>
      <c r="H957" s="176">
        <v>1</v>
      </c>
      <c r="I957" s="177">
        <v>0</v>
      </c>
      <c r="J957" s="175">
        <v>46059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hidden="1" customHeight="1">
      <c r="A958" s="171" t="s">
        <v>1241</v>
      </c>
      <c r="B958" s="175">
        <v>46068</v>
      </c>
      <c r="C958" s="171" t="s">
        <v>110</v>
      </c>
      <c r="D958" s="171" t="s">
        <v>118</v>
      </c>
      <c r="E958" s="171" t="s">
        <v>71</v>
      </c>
      <c r="F958" s="171" t="s">
        <v>185</v>
      </c>
      <c r="G958" s="171" t="s">
        <v>177</v>
      </c>
      <c r="H958" s="176">
        <v>1</v>
      </c>
      <c r="I958" s="177">
        <v>0</v>
      </c>
      <c r="J958" s="175">
        <v>46059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-56.94</v>
      </c>
    </row>
    <row r="959" spans="1:16" ht="19.5" hidden="1" customHeight="1">
      <c r="A959" s="171" t="s">
        <v>1241</v>
      </c>
      <c r="B959" s="175">
        <v>46068</v>
      </c>
      <c r="C959" s="171" t="s">
        <v>115</v>
      </c>
      <c r="D959" s="171" t="s">
        <v>119</v>
      </c>
      <c r="E959" s="171" t="s">
        <v>71</v>
      </c>
      <c r="F959" s="171" t="s">
        <v>185</v>
      </c>
      <c r="G959" s="171" t="s">
        <v>177</v>
      </c>
      <c r="H959" s="176">
        <v>1</v>
      </c>
      <c r="I959" s="177">
        <v>0</v>
      </c>
      <c r="J959" s="175">
        <v>46059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-15</v>
      </c>
    </row>
    <row r="960" spans="1:16" ht="19.5" hidden="1" customHeight="1">
      <c r="A960" s="171" t="s">
        <v>1451</v>
      </c>
      <c r="B960" s="175">
        <v>46068</v>
      </c>
      <c r="C960" s="171" t="s">
        <v>110</v>
      </c>
      <c r="D960" s="171" t="s">
        <v>117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0</v>
      </c>
      <c r="J960" s="175">
        <v>46059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0</v>
      </c>
    </row>
    <row r="961" spans="1:16" ht="19.5" hidden="1" customHeight="1">
      <c r="A961" s="171" t="s">
        <v>1451</v>
      </c>
      <c r="B961" s="175">
        <v>46068</v>
      </c>
      <c r="C961" s="171" t="s">
        <v>110</v>
      </c>
      <c r="D961" s="171" t="s">
        <v>118</v>
      </c>
      <c r="E961" s="171" t="s">
        <v>38</v>
      </c>
      <c r="F961" s="171" t="s">
        <v>111</v>
      </c>
      <c r="G961" s="171" t="s">
        <v>112</v>
      </c>
      <c r="H961" s="176">
        <v>1</v>
      </c>
      <c r="I961" s="177">
        <v>0</v>
      </c>
      <c r="J961" s="175">
        <v>46059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-46.77</v>
      </c>
    </row>
    <row r="962" spans="1:16" ht="19.5" hidden="1" customHeight="1">
      <c r="A962" s="171" t="s">
        <v>1451</v>
      </c>
      <c r="B962" s="175">
        <v>46068</v>
      </c>
      <c r="C962" s="171" t="s">
        <v>115</v>
      </c>
      <c r="D962" s="171" t="s">
        <v>119</v>
      </c>
      <c r="E962" s="171" t="s">
        <v>38</v>
      </c>
      <c r="F962" s="171" t="s">
        <v>111</v>
      </c>
      <c r="G962" s="171" t="s">
        <v>112</v>
      </c>
      <c r="H962" s="176">
        <v>1</v>
      </c>
      <c r="I962" s="177">
        <v>0</v>
      </c>
      <c r="J962" s="175">
        <v>46059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-15</v>
      </c>
    </row>
    <row r="963" spans="1:16" ht="19.5" hidden="1" customHeight="1">
      <c r="A963" s="171" t="s">
        <v>1451</v>
      </c>
      <c r="B963" s="175">
        <v>46068</v>
      </c>
      <c r="C963" s="171" t="s">
        <v>110</v>
      </c>
      <c r="D963" s="171" t="s">
        <v>24</v>
      </c>
      <c r="E963" s="171" t="s">
        <v>38</v>
      </c>
      <c r="F963" s="171" t="s">
        <v>111</v>
      </c>
      <c r="G963" s="171" t="s">
        <v>112</v>
      </c>
      <c r="H963" s="176">
        <v>1</v>
      </c>
      <c r="I963" s="177">
        <v>0</v>
      </c>
      <c r="J963" s="175">
        <v>46059</v>
      </c>
      <c r="K963" s="171" t="s">
        <v>113</v>
      </c>
      <c r="L963" s="171" t="s">
        <v>114</v>
      </c>
      <c r="M963" s="178">
        <v>0</v>
      </c>
      <c r="N963" s="176"/>
      <c r="O963" s="176">
        <v>42</v>
      </c>
      <c r="P963" s="179">
        <v>-46.77</v>
      </c>
    </row>
    <row r="964" spans="1:16" ht="19.5" hidden="1" customHeight="1">
      <c r="A964" s="171" t="s">
        <v>1451</v>
      </c>
      <c r="B964" s="175">
        <v>46068</v>
      </c>
      <c r="C964" s="171" t="s">
        <v>115</v>
      </c>
      <c r="D964" s="171" t="s">
        <v>116</v>
      </c>
      <c r="E964" s="171" t="s">
        <v>38</v>
      </c>
      <c r="F964" s="171" t="s">
        <v>111</v>
      </c>
      <c r="G964" s="171" t="s">
        <v>112</v>
      </c>
      <c r="H964" s="176">
        <v>1</v>
      </c>
      <c r="I964" s="177">
        <v>0</v>
      </c>
      <c r="J964" s="175">
        <v>46059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-21.06</v>
      </c>
    </row>
    <row r="965" spans="1:16" ht="19.5" hidden="1" customHeight="1">
      <c r="A965" s="171" t="s">
        <v>1452</v>
      </c>
      <c r="B965" s="175">
        <v>46068</v>
      </c>
      <c r="C965" s="171" t="s">
        <v>115</v>
      </c>
      <c r="D965" s="171" t="s">
        <v>135</v>
      </c>
      <c r="E965" s="171" t="s">
        <v>73</v>
      </c>
      <c r="F965" s="171" t="s">
        <v>966</v>
      </c>
      <c r="G965" s="171" t="s">
        <v>177</v>
      </c>
      <c r="H965" s="176">
        <v>1</v>
      </c>
      <c r="I965" s="177">
        <v>0</v>
      </c>
      <c r="J965" s="175">
        <v>46068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-48.44</v>
      </c>
    </row>
    <row r="966" spans="1:16" ht="19.5" hidden="1" customHeight="1">
      <c r="A966" s="171" t="s">
        <v>1453</v>
      </c>
      <c r="B966" s="175">
        <v>46068</v>
      </c>
      <c r="C966" s="171" t="s">
        <v>110</v>
      </c>
      <c r="D966" s="171" t="s">
        <v>24</v>
      </c>
      <c r="E966" s="171" t="s">
        <v>78</v>
      </c>
      <c r="F966" s="171" t="s">
        <v>176</v>
      </c>
      <c r="G966" s="171" t="s">
        <v>177</v>
      </c>
      <c r="H966" s="176">
        <v>1</v>
      </c>
      <c r="I966" s="177">
        <v>6500</v>
      </c>
      <c r="J966" s="175">
        <v>46066</v>
      </c>
      <c r="K966" s="171" t="s">
        <v>113</v>
      </c>
      <c r="L966" s="171" t="s">
        <v>114</v>
      </c>
      <c r="M966" s="178">
        <v>0.43</v>
      </c>
      <c r="N966" s="176"/>
      <c r="O966" s="176">
        <v>44</v>
      </c>
      <c r="P966" s="179">
        <v>-297.56</v>
      </c>
    </row>
    <row r="967" spans="1:16" ht="19.5" hidden="1" customHeight="1">
      <c r="A967" s="171" t="s">
        <v>1453</v>
      </c>
      <c r="B967" s="175">
        <v>46068</v>
      </c>
      <c r="C967" s="171" t="s">
        <v>127</v>
      </c>
      <c r="D967" s="171" t="s">
        <v>128</v>
      </c>
      <c r="E967" s="171" t="s">
        <v>78</v>
      </c>
      <c r="F967" s="171" t="s">
        <v>176</v>
      </c>
      <c r="G967" s="171" t="s">
        <v>177</v>
      </c>
      <c r="H967" s="176">
        <v>1</v>
      </c>
      <c r="I967" s="177">
        <v>6500</v>
      </c>
      <c r="J967" s="175">
        <v>46066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2900.47</v>
      </c>
    </row>
    <row r="968" spans="1:16" ht="19.5" hidden="1" customHeight="1">
      <c r="A968" s="171" t="s">
        <v>1453</v>
      </c>
      <c r="B968" s="175">
        <v>46068</v>
      </c>
      <c r="C968" s="171" t="s">
        <v>127</v>
      </c>
      <c r="D968" s="171" t="s">
        <v>129</v>
      </c>
      <c r="E968" s="171" t="s">
        <v>78</v>
      </c>
      <c r="F968" s="171" t="s">
        <v>176</v>
      </c>
      <c r="G968" s="171" t="s">
        <v>177</v>
      </c>
      <c r="H968" s="176">
        <v>1</v>
      </c>
      <c r="I968" s="177">
        <v>6500</v>
      </c>
      <c r="J968" s="175">
        <v>46066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hidden="1" customHeight="1">
      <c r="A969" s="171" t="s">
        <v>1453</v>
      </c>
      <c r="B969" s="175">
        <v>46068</v>
      </c>
      <c r="C969" s="171" t="s">
        <v>127</v>
      </c>
      <c r="D969" s="171" t="s">
        <v>130</v>
      </c>
      <c r="E969" s="171" t="s">
        <v>78</v>
      </c>
      <c r="F969" s="171" t="s">
        <v>176</v>
      </c>
      <c r="G969" s="171" t="s">
        <v>177</v>
      </c>
      <c r="H969" s="176">
        <v>1</v>
      </c>
      <c r="I969" s="177">
        <v>6500</v>
      </c>
      <c r="J969" s="175">
        <v>46066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3599.53</v>
      </c>
    </row>
    <row r="970" spans="1:16" ht="19.5" hidden="1" customHeight="1">
      <c r="A970" s="171" t="s">
        <v>1453</v>
      </c>
      <c r="B970" s="175">
        <v>46068</v>
      </c>
      <c r="C970" s="171" t="s">
        <v>131</v>
      </c>
      <c r="D970" s="171" t="s">
        <v>132</v>
      </c>
      <c r="E970" s="171" t="s">
        <v>78</v>
      </c>
      <c r="F970" s="171" t="s">
        <v>176</v>
      </c>
      <c r="G970" s="171" t="s">
        <v>177</v>
      </c>
      <c r="H970" s="176">
        <v>1</v>
      </c>
      <c r="I970" s="177">
        <v>6500</v>
      </c>
      <c r="J970" s="175">
        <v>46066</v>
      </c>
      <c r="K970" s="171" t="s">
        <v>113</v>
      </c>
      <c r="L970" s="171" t="s">
        <v>114</v>
      </c>
      <c r="M970" s="178">
        <v>0.43</v>
      </c>
      <c r="N970" s="176"/>
      <c r="O970" s="176"/>
      <c r="P970" s="179">
        <v>-2795</v>
      </c>
    </row>
    <row r="971" spans="1:16" ht="19.5" hidden="1" customHeight="1">
      <c r="A971" s="171" t="s">
        <v>1453</v>
      </c>
      <c r="B971" s="175">
        <v>46068</v>
      </c>
      <c r="C971" s="171" t="s">
        <v>115</v>
      </c>
      <c r="D971" s="171" t="s">
        <v>116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6500</v>
      </c>
      <c r="J971" s="175">
        <v>46066</v>
      </c>
      <c r="K971" s="171" t="s">
        <v>113</v>
      </c>
      <c r="L971" s="171" t="s">
        <v>114</v>
      </c>
      <c r="M971" s="178">
        <v>0.43</v>
      </c>
      <c r="N971" s="176"/>
      <c r="O971" s="176"/>
      <c r="P971" s="179">
        <v>-12.72</v>
      </c>
    </row>
    <row r="972" spans="1:16" ht="19.5" hidden="1" customHeight="1">
      <c r="A972" s="171" t="s">
        <v>1453</v>
      </c>
      <c r="B972" s="175">
        <v>46068</v>
      </c>
      <c r="C972" s="171" t="s">
        <v>115</v>
      </c>
      <c r="D972" s="171" t="s">
        <v>135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46066</v>
      </c>
      <c r="K972" s="171" t="s">
        <v>125</v>
      </c>
      <c r="L972" s="171" t="s">
        <v>125</v>
      </c>
      <c r="M972" s="178">
        <v>0</v>
      </c>
      <c r="N972" s="176"/>
      <c r="O972" s="176"/>
      <c r="P972" s="179">
        <v>-29.87</v>
      </c>
    </row>
    <row r="973" spans="1:16" ht="19.5" hidden="1" customHeight="1">
      <c r="A973" s="171" t="s">
        <v>1454</v>
      </c>
      <c r="B973" s="175">
        <v>46068</v>
      </c>
      <c r="C973" s="171" t="s">
        <v>110</v>
      </c>
      <c r="D973" s="171" t="s">
        <v>24</v>
      </c>
      <c r="E973" s="171" t="s">
        <v>38</v>
      </c>
      <c r="F973" s="171" t="s">
        <v>111</v>
      </c>
      <c r="G973" s="171" t="s">
        <v>112</v>
      </c>
      <c r="H973" s="176">
        <v>1</v>
      </c>
      <c r="I973" s="177">
        <v>0</v>
      </c>
      <c r="J973" s="175">
        <v>46063</v>
      </c>
      <c r="K973" s="171" t="s">
        <v>113</v>
      </c>
      <c r="L973" s="171" t="s">
        <v>114</v>
      </c>
      <c r="M973" s="178">
        <v>0</v>
      </c>
      <c r="N973" s="176"/>
      <c r="O973" s="176">
        <v>44</v>
      </c>
      <c r="P973" s="179">
        <v>-46.77</v>
      </c>
    </row>
    <row r="974" spans="1:16" ht="19.5" hidden="1" customHeight="1">
      <c r="A974" s="171" t="s">
        <v>1454</v>
      </c>
      <c r="B974" s="175">
        <v>46068</v>
      </c>
      <c r="C974" s="171" t="s">
        <v>115</v>
      </c>
      <c r="D974" s="171" t="s">
        <v>116</v>
      </c>
      <c r="E974" s="171" t="s">
        <v>38</v>
      </c>
      <c r="F974" s="171" t="s">
        <v>111</v>
      </c>
      <c r="G974" s="171" t="s">
        <v>112</v>
      </c>
      <c r="H974" s="176">
        <v>1</v>
      </c>
      <c r="I974" s="177">
        <v>0</v>
      </c>
      <c r="J974" s="175">
        <v>46063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-12.12</v>
      </c>
    </row>
    <row r="975" spans="1:16" ht="19.5" hidden="1" customHeight="1">
      <c r="A975" s="171" t="s">
        <v>1455</v>
      </c>
      <c r="B975" s="175">
        <v>46068</v>
      </c>
      <c r="C975" s="171" t="s">
        <v>110</v>
      </c>
      <c r="D975" s="171" t="s">
        <v>24</v>
      </c>
      <c r="E975" s="171" t="s">
        <v>38</v>
      </c>
      <c r="F975" s="171" t="s">
        <v>111</v>
      </c>
      <c r="G975" s="171" t="s">
        <v>112</v>
      </c>
      <c r="H975" s="176">
        <v>1</v>
      </c>
      <c r="I975" s="177">
        <v>2400</v>
      </c>
      <c r="J975" s="175">
        <v>46061</v>
      </c>
      <c r="K975" s="171" t="s">
        <v>113</v>
      </c>
      <c r="L975" s="171" t="s">
        <v>114</v>
      </c>
      <c r="M975" s="178">
        <v>0.43</v>
      </c>
      <c r="N975" s="176"/>
      <c r="O975" s="176">
        <v>45</v>
      </c>
      <c r="P975" s="179">
        <v>-156.84</v>
      </c>
    </row>
    <row r="976" spans="1:16" ht="19.5" hidden="1" customHeight="1">
      <c r="A976" s="171" t="s">
        <v>1455</v>
      </c>
      <c r="B976" s="175">
        <v>46068</v>
      </c>
      <c r="C976" s="171" t="s">
        <v>127</v>
      </c>
      <c r="D976" s="171" t="s">
        <v>128</v>
      </c>
      <c r="E976" s="171" t="s">
        <v>38</v>
      </c>
      <c r="F976" s="171" t="s">
        <v>111</v>
      </c>
      <c r="G976" s="171" t="s">
        <v>112</v>
      </c>
      <c r="H976" s="176">
        <v>1</v>
      </c>
      <c r="I976" s="177">
        <v>2400</v>
      </c>
      <c r="J976" s="175">
        <v>46061</v>
      </c>
      <c r="K976" s="171" t="s">
        <v>113</v>
      </c>
      <c r="L976" s="171" t="s">
        <v>114</v>
      </c>
      <c r="M976" s="178">
        <v>0</v>
      </c>
      <c r="N976" s="176"/>
      <c r="O976" s="176"/>
      <c r="P976" s="179">
        <v>1189.52</v>
      </c>
    </row>
    <row r="977" spans="1:16" ht="19.5" hidden="1" customHeight="1">
      <c r="A977" s="171" t="s">
        <v>1455</v>
      </c>
      <c r="B977" s="175">
        <v>46068</v>
      </c>
      <c r="C977" s="171" t="s">
        <v>127</v>
      </c>
      <c r="D977" s="171" t="s">
        <v>129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2400</v>
      </c>
      <c r="J977" s="175">
        <v>46061</v>
      </c>
      <c r="K977" s="171" t="s">
        <v>113</v>
      </c>
      <c r="L977" s="171" t="s">
        <v>114</v>
      </c>
      <c r="M977" s="178">
        <v>0</v>
      </c>
      <c r="N977" s="176"/>
      <c r="O977" s="176"/>
      <c r="P977" s="179">
        <v>11.9</v>
      </c>
    </row>
    <row r="978" spans="1:16" ht="19.5" hidden="1" customHeight="1">
      <c r="A978" s="171" t="s">
        <v>1455</v>
      </c>
      <c r="B978" s="175">
        <v>46068</v>
      </c>
      <c r="C978" s="171" t="s">
        <v>127</v>
      </c>
      <c r="D978" s="171" t="s">
        <v>130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2400</v>
      </c>
      <c r="J978" s="175">
        <v>46061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1198.58</v>
      </c>
    </row>
    <row r="979" spans="1:16" ht="19.5" hidden="1" customHeight="1">
      <c r="A979" s="171" t="s">
        <v>1455</v>
      </c>
      <c r="B979" s="175">
        <v>46068</v>
      </c>
      <c r="C979" s="171" t="s">
        <v>131</v>
      </c>
      <c r="D979" s="171" t="s">
        <v>132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2400</v>
      </c>
      <c r="J979" s="175">
        <v>46061</v>
      </c>
      <c r="K979" s="171" t="s">
        <v>113</v>
      </c>
      <c r="L979" s="171" t="s">
        <v>114</v>
      </c>
      <c r="M979" s="178">
        <v>0.43</v>
      </c>
      <c r="N979" s="176"/>
      <c r="O979" s="176"/>
      <c r="P979" s="179">
        <v>-1032</v>
      </c>
    </row>
    <row r="980" spans="1:16" ht="19.5" hidden="1" customHeight="1">
      <c r="A980" s="171" t="s">
        <v>1455</v>
      </c>
      <c r="B980" s="175">
        <v>46068</v>
      </c>
      <c r="C980" s="171" t="s">
        <v>115</v>
      </c>
      <c r="D980" s="171" t="s">
        <v>116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2400</v>
      </c>
      <c r="J980" s="175">
        <v>46061</v>
      </c>
      <c r="K980" s="171" t="s">
        <v>113</v>
      </c>
      <c r="L980" s="171" t="s">
        <v>114</v>
      </c>
      <c r="M980" s="178">
        <v>0.43</v>
      </c>
      <c r="N980" s="176"/>
      <c r="O980" s="176"/>
      <c r="P980" s="179">
        <v>-15.04</v>
      </c>
    </row>
    <row r="981" spans="1:16" ht="19.5" hidden="1" customHeight="1">
      <c r="A981" s="171" t="s">
        <v>1454</v>
      </c>
      <c r="B981" s="175">
        <v>46068</v>
      </c>
      <c r="C981" s="171" t="s">
        <v>110</v>
      </c>
      <c r="D981" s="171" t="s">
        <v>117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0</v>
      </c>
      <c r="J981" s="175">
        <v>46063</v>
      </c>
      <c r="K981" s="171" t="s">
        <v>113</v>
      </c>
      <c r="L981" s="171" t="s">
        <v>114</v>
      </c>
      <c r="M981" s="178">
        <v>0</v>
      </c>
      <c r="N981" s="176"/>
      <c r="O981" s="176"/>
      <c r="P981" s="179">
        <v>0</v>
      </c>
    </row>
    <row r="982" spans="1:16" ht="19.5" hidden="1" customHeight="1">
      <c r="A982" s="171" t="s">
        <v>1454</v>
      </c>
      <c r="B982" s="175">
        <v>46068</v>
      </c>
      <c r="C982" s="171" t="s">
        <v>110</v>
      </c>
      <c r="D982" s="171" t="s">
        <v>118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0</v>
      </c>
      <c r="J982" s="175">
        <v>46063</v>
      </c>
      <c r="K982" s="171" t="s">
        <v>113</v>
      </c>
      <c r="L982" s="171" t="s">
        <v>114</v>
      </c>
      <c r="M982" s="178">
        <v>0</v>
      </c>
      <c r="N982" s="176"/>
      <c r="O982" s="176"/>
      <c r="P982" s="179">
        <v>-46.77</v>
      </c>
    </row>
    <row r="983" spans="1:16" ht="19.5" hidden="1" customHeight="1">
      <c r="A983" s="171" t="s">
        <v>1454</v>
      </c>
      <c r="B983" s="175">
        <v>46068</v>
      </c>
      <c r="C983" s="171" t="s">
        <v>115</v>
      </c>
      <c r="D983" s="171" t="s">
        <v>119</v>
      </c>
      <c r="E983" s="171" t="s">
        <v>38</v>
      </c>
      <c r="F983" s="171" t="s">
        <v>111</v>
      </c>
      <c r="G983" s="171" t="s">
        <v>112</v>
      </c>
      <c r="H983" s="176">
        <v>1</v>
      </c>
      <c r="I983" s="177">
        <v>0</v>
      </c>
      <c r="J983" s="175">
        <v>46063</v>
      </c>
      <c r="K983" s="171" t="s">
        <v>113</v>
      </c>
      <c r="L983" s="171" t="s">
        <v>114</v>
      </c>
      <c r="M983" s="178">
        <v>0</v>
      </c>
      <c r="N983" s="176"/>
      <c r="O983" s="176"/>
      <c r="P983" s="179">
        <v>-15</v>
      </c>
    </row>
    <row r="984" spans="1:16" ht="19.5" hidden="1" customHeight="1">
      <c r="A984" s="171" t="s">
        <v>1456</v>
      </c>
      <c r="B984" s="175">
        <v>46068</v>
      </c>
      <c r="C984" s="171" t="s">
        <v>115</v>
      </c>
      <c r="D984" s="171" t="s">
        <v>135</v>
      </c>
      <c r="E984" s="171" t="s">
        <v>38</v>
      </c>
      <c r="F984" s="171" t="s">
        <v>111</v>
      </c>
      <c r="G984" s="171" t="s">
        <v>112</v>
      </c>
      <c r="H984" s="176">
        <v>1</v>
      </c>
      <c r="I984" s="177">
        <v>0</v>
      </c>
      <c r="J984" s="175">
        <v>46068</v>
      </c>
      <c r="K984" s="171" t="s">
        <v>125</v>
      </c>
      <c r="L984" s="171" t="s">
        <v>125</v>
      </c>
      <c r="M984" s="178">
        <v>0</v>
      </c>
      <c r="N984" s="176"/>
      <c r="O984" s="176"/>
      <c r="P984" s="179">
        <v>-6.04</v>
      </c>
    </row>
    <row r="985" spans="1:16" ht="19.5" hidden="1" customHeight="1">
      <c r="A985" s="171" t="s">
        <v>1457</v>
      </c>
      <c r="B985" s="175">
        <v>46068</v>
      </c>
      <c r="C985" s="171" t="s">
        <v>110</v>
      </c>
      <c r="D985" s="171" t="s">
        <v>24</v>
      </c>
      <c r="E985" s="171" t="s">
        <v>78</v>
      </c>
      <c r="F985" s="171" t="s">
        <v>176</v>
      </c>
      <c r="G985" s="171" t="s">
        <v>177</v>
      </c>
      <c r="H985" s="176">
        <v>1</v>
      </c>
      <c r="I985" s="177">
        <v>6500</v>
      </c>
      <c r="J985" s="175">
        <v>46067</v>
      </c>
      <c r="K985" s="171" t="s">
        <v>113</v>
      </c>
      <c r="L985" s="171" t="s">
        <v>114</v>
      </c>
      <c r="M985" s="178">
        <v>0.43</v>
      </c>
      <c r="N985" s="176"/>
      <c r="O985" s="176">
        <v>41</v>
      </c>
      <c r="P985" s="179">
        <v>-263.19</v>
      </c>
    </row>
    <row r="986" spans="1:16" ht="19.5" hidden="1" customHeight="1">
      <c r="A986" s="171" t="s">
        <v>1457</v>
      </c>
      <c r="B986" s="175">
        <v>46068</v>
      </c>
      <c r="C986" s="171" t="s">
        <v>127</v>
      </c>
      <c r="D986" s="171" t="s">
        <v>128</v>
      </c>
      <c r="E986" s="171" t="s">
        <v>78</v>
      </c>
      <c r="F986" s="171" t="s">
        <v>176</v>
      </c>
      <c r="G986" s="171" t="s">
        <v>177</v>
      </c>
      <c r="H986" s="176">
        <v>1</v>
      </c>
      <c r="I986" s="177">
        <v>6500</v>
      </c>
      <c r="J986" s="175">
        <v>46067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2693.84</v>
      </c>
    </row>
    <row r="987" spans="1:16" ht="19.5" hidden="1" customHeight="1">
      <c r="A987" s="171" t="s">
        <v>1457</v>
      </c>
      <c r="B987" s="175">
        <v>46068</v>
      </c>
      <c r="C987" s="171" t="s">
        <v>127</v>
      </c>
      <c r="D987" s="171" t="s">
        <v>129</v>
      </c>
      <c r="E987" s="171" t="s">
        <v>78</v>
      </c>
      <c r="F987" s="171" t="s">
        <v>176</v>
      </c>
      <c r="G987" s="171" t="s">
        <v>177</v>
      </c>
      <c r="H987" s="176">
        <v>1</v>
      </c>
      <c r="I987" s="177">
        <v>6500</v>
      </c>
      <c r="J987" s="175">
        <v>46067</v>
      </c>
      <c r="K987" s="171" t="s">
        <v>113</v>
      </c>
      <c r="L987" s="171" t="s">
        <v>114</v>
      </c>
      <c r="M987" s="178">
        <v>0</v>
      </c>
      <c r="N987" s="176"/>
      <c r="O987" s="176"/>
      <c r="P987" s="179">
        <v>0</v>
      </c>
    </row>
    <row r="988" spans="1:16" ht="19.5" hidden="1" customHeight="1">
      <c r="A988" s="171" t="s">
        <v>1457</v>
      </c>
      <c r="B988" s="175">
        <v>46068</v>
      </c>
      <c r="C988" s="171" t="s">
        <v>127</v>
      </c>
      <c r="D988" s="171" t="s">
        <v>130</v>
      </c>
      <c r="E988" s="171" t="s">
        <v>78</v>
      </c>
      <c r="F988" s="171" t="s">
        <v>176</v>
      </c>
      <c r="G988" s="171" t="s">
        <v>177</v>
      </c>
      <c r="H988" s="176">
        <v>1</v>
      </c>
      <c r="I988" s="177">
        <v>6500</v>
      </c>
      <c r="J988" s="175">
        <v>46067</v>
      </c>
      <c r="K988" s="171" t="s">
        <v>113</v>
      </c>
      <c r="L988" s="171" t="s">
        <v>114</v>
      </c>
      <c r="M988" s="178">
        <v>0</v>
      </c>
      <c r="N988" s="176"/>
      <c r="O988" s="176"/>
      <c r="P988" s="179">
        <v>3806.16</v>
      </c>
    </row>
    <row r="989" spans="1:16" ht="19.5" hidden="1" customHeight="1">
      <c r="A989" s="171" t="s">
        <v>1457</v>
      </c>
      <c r="B989" s="175">
        <v>46068</v>
      </c>
      <c r="C989" s="171" t="s">
        <v>131</v>
      </c>
      <c r="D989" s="171" t="s">
        <v>132</v>
      </c>
      <c r="E989" s="171" t="s">
        <v>78</v>
      </c>
      <c r="F989" s="171" t="s">
        <v>176</v>
      </c>
      <c r="G989" s="171" t="s">
        <v>177</v>
      </c>
      <c r="H989" s="176">
        <v>1</v>
      </c>
      <c r="I989" s="177">
        <v>6500</v>
      </c>
      <c r="J989" s="175">
        <v>46067</v>
      </c>
      <c r="K989" s="171" t="s">
        <v>113</v>
      </c>
      <c r="L989" s="171" t="s">
        <v>114</v>
      </c>
      <c r="M989" s="178">
        <v>0.43</v>
      </c>
      <c r="N989" s="176"/>
      <c r="O989" s="176"/>
      <c r="P989" s="179">
        <v>-2795</v>
      </c>
    </row>
    <row r="990" spans="1:16" ht="19.5" hidden="1" customHeight="1">
      <c r="A990" s="171" t="s">
        <v>1457</v>
      </c>
      <c r="B990" s="175">
        <v>46068</v>
      </c>
      <c r="C990" s="171" t="s">
        <v>115</v>
      </c>
      <c r="D990" s="171" t="s">
        <v>116</v>
      </c>
      <c r="E990" s="171" t="s">
        <v>78</v>
      </c>
      <c r="F990" s="171" t="s">
        <v>176</v>
      </c>
      <c r="G990" s="171" t="s">
        <v>177</v>
      </c>
      <c r="H990" s="176">
        <v>1</v>
      </c>
      <c r="I990" s="177">
        <v>6500</v>
      </c>
      <c r="J990" s="175">
        <v>46067</v>
      </c>
      <c r="K990" s="171" t="s">
        <v>113</v>
      </c>
      <c r="L990" s="171" t="s">
        <v>114</v>
      </c>
      <c r="M990" s="178">
        <v>0.43</v>
      </c>
      <c r="N990" s="176"/>
      <c r="O990" s="176"/>
      <c r="P990" s="179">
        <v>-13.22</v>
      </c>
    </row>
    <row r="991" spans="1:16" ht="19.5" hidden="1" customHeight="1">
      <c r="A991" s="171" t="s">
        <v>1457</v>
      </c>
      <c r="B991" s="175">
        <v>46068</v>
      </c>
      <c r="C991" s="171" t="s">
        <v>115</v>
      </c>
      <c r="D991" s="171" t="s">
        <v>135</v>
      </c>
      <c r="E991" s="171" t="s">
        <v>78</v>
      </c>
      <c r="F991" s="171" t="s">
        <v>176</v>
      </c>
      <c r="G991" s="171" t="s">
        <v>177</v>
      </c>
      <c r="H991" s="176">
        <v>1</v>
      </c>
      <c r="I991" s="177">
        <v>0</v>
      </c>
      <c r="J991" s="175">
        <v>46067</v>
      </c>
      <c r="K991" s="171" t="s">
        <v>125</v>
      </c>
      <c r="L991" s="171" t="s">
        <v>125</v>
      </c>
      <c r="M991" s="178">
        <v>0</v>
      </c>
      <c r="N991" s="176"/>
      <c r="O991" s="176"/>
      <c r="P991" s="179">
        <v>-14.82</v>
      </c>
    </row>
    <row r="992" spans="1:16" ht="19.5" hidden="1" customHeight="1">
      <c r="A992" s="171" t="s">
        <v>1458</v>
      </c>
      <c r="B992" s="175">
        <v>46068</v>
      </c>
      <c r="C992" s="171" t="s">
        <v>110</v>
      </c>
      <c r="D992" s="171" t="s">
        <v>24</v>
      </c>
      <c r="E992" s="171" t="s">
        <v>62</v>
      </c>
      <c r="F992" s="171" t="s">
        <v>896</v>
      </c>
      <c r="G992" s="171" t="s">
        <v>177</v>
      </c>
      <c r="H992" s="176">
        <v>1</v>
      </c>
      <c r="I992" s="177">
        <v>5000</v>
      </c>
      <c r="J992" s="175">
        <v>46063</v>
      </c>
      <c r="K992" s="171" t="s">
        <v>113</v>
      </c>
      <c r="L992" s="171" t="s">
        <v>114</v>
      </c>
      <c r="M992" s="178">
        <v>0.43</v>
      </c>
      <c r="N992" s="176"/>
      <c r="O992" s="176">
        <v>44</v>
      </c>
      <c r="P992" s="179">
        <v>-250.31</v>
      </c>
    </row>
    <row r="993" spans="1:16" ht="19.5" hidden="1" customHeight="1">
      <c r="A993" s="171" t="s">
        <v>1458</v>
      </c>
      <c r="B993" s="175">
        <v>46068</v>
      </c>
      <c r="C993" s="171" t="s">
        <v>127</v>
      </c>
      <c r="D993" s="171" t="s">
        <v>128</v>
      </c>
      <c r="E993" s="171" t="s">
        <v>62</v>
      </c>
      <c r="F993" s="171" t="s">
        <v>896</v>
      </c>
      <c r="G993" s="171" t="s">
        <v>177</v>
      </c>
      <c r="H993" s="176">
        <v>1</v>
      </c>
      <c r="I993" s="177">
        <v>5000</v>
      </c>
      <c r="J993" s="175">
        <v>46063</v>
      </c>
      <c r="K993" s="171" t="s">
        <v>113</v>
      </c>
      <c r="L993" s="171" t="s">
        <v>114</v>
      </c>
      <c r="M993" s="178">
        <v>0</v>
      </c>
      <c r="N993" s="176"/>
      <c r="O993" s="176"/>
      <c r="P993" s="179">
        <v>2614.0700000000002</v>
      </c>
    </row>
    <row r="994" spans="1:16" ht="19.5" hidden="1" customHeight="1">
      <c r="A994" s="171" t="s">
        <v>1458</v>
      </c>
      <c r="B994" s="175">
        <v>46068</v>
      </c>
      <c r="C994" s="171" t="s">
        <v>127</v>
      </c>
      <c r="D994" s="171" t="s">
        <v>129</v>
      </c>
      <c r="E994" s="171" t="s">
        <v>62</v>
      </c>
      <c r="F994" s="171" t="s">
        <v>896</v>
      </c>
      <c r="G994" s="171" t="s">
        <v>177</v>
      </c>
      <c r="H994" s="176">
        <v>1</v>
      </c>
      <c r="I994" s="177">
        <v>5000</v>
      </c>
      <c r="J994" s="175">
        <v>46063</v>
      </c>
      <c r="K994" s="171" t="s">
        <v>113</v>
      </c>
      <c r="L994" s="171" t="s">
        <v>114</v>
      </c>
      <c r="M994" s="178">
        <v>0</v>
      </c>
      <c r="N994" s="176"/>
      <c r="O994" s="176"/>
      <c r="P994" s="179">
        <v>26.14</v>
      </c>
    </row>
    <row r="995" spans="1:16" ht="19.5" hidden="1" customHeight="1">
      <c r="A995" s="171" t="s">
        <v>1458</v>
      </c>
      <c r="B995" s="175">
        <v>46068</v>
      </c>
      <c r="C995" s="171" t="s">
        <v>127</v>
      </c>
      <c r="D995" s="171" t="s">
        <v>130</v>
      </c>
      <c r="E995" s="171" t="s">
        <v>62</v>
      </c>
      <c r="F995" s="171" t="s">
        <v>896</v>
      </c>
      <c r="G995" s="171" t="s">
        <v>177</v>
      </c>
      <c r="H995" s="176">
        <v>1</v>
      </c>
      <c r="I995" s="177">
        <v>5000</v>
      </c>
      <c r="J995" s="175">
        <v>46063</v>
      </c>
      <c r="K995" s="171" t="s">
        <v>113</v>
      </c>
      <c r="L995" s="171" t="s">
        <v>114</v>
      </c>
      <c r="M995" s="178">
        <v>0</v>
      </c>
      <c r="N995" s="176"/>
      <c r="O995" s="176"/>
      <c r="P995" s="179">
        <v>2359.79</v>
      </c>
    </row>
    <row r="996" spans="1:16" ht="19.5" hidden="1" customHeight="1">
      <c r="A996" s="171" t="s">
        <v>1458</v>
      </c>
      <c r="B996" s="175">
        <v>46068</v>
      </c>
      <c r="C996" s="171" t="s">
        <v>131</v>
      </c>
      <c r="D996" s="171" t="s">
        <v>132</v>
      </c>
      <c r="E996" s="171" t="s">
        <v>62</v>
      </c>
      <c r="F996" s="171" t="s">
        <v>896</v>
      </c>
      <c r="G996" s="171" t="s">
        <v>177</v>
      </c>
      <c r="H996" s="176">
        <v>1</v>
      </c>
      <c r="I996" s="177">
        <v>5000</v>
      </c>
      <c r="J996" s="175">
        <v>46063</v>
      </c>
      <c r="K996" s="171" t="s">
        <v>113</v>
      </c>
      <c r="L996" s="171" t="s">
        <v>114</v>
      </c>
      <c r="M996" s="178">
        <v>0.43</v>
      </c>
      <c r="N996" s="176"/>
      <c r="O996" s="176"/>
      <c r="P996" s="179">
        <v>-2150</v>
      </c>
    </row>
    <row r="997" spans="1:16" ht="19.5" hidden="1" customHeight="1">
      <c r="A997" s="171" t="s">
        <v>1458</v>
      </c>
      <c r="B997" s="175">
        <v>46068</v>
      </c>
      <c r="C997" s="171" t="s">
        <v>115</v>
      </c>
      <c r="D997" s="171" t="s">
        <v>116</v>
      </c>
      <c r="E997" s="171" t="s">
        <v>62</v>
      </c>
      <c r="F997" s="171" t="s">
        <v>896</v>
      </c>
      <c r="G997" s="171" t="s">
        <v>177</v>
      </c>
      <c r="H997" s="176">
        <v>1</v>
      </c>
      <c r="I997" s="177">
        <v>5000</v>
      </c>
      <c r="J997" s="175">
        <v>46063</v>
      </c>
      <c r="K997" s="171" t="s">
        <v>113</v>
      </c>
      <c r="L997" s="171" t="s">
        <v>114</v>
      </c>
      <c r="M997" s="178">
        <v>0.43</v>
      </c>
      <c r="N997" s="176"/>
      <c r="O997" s="176"/>
      <c r="P997" s="179">
        <v>-14.1</v>
      </c>
    </row>
    <row r="998" spans="1:16" ht="19.5" hidden="1" customHeight="1">
      <c r="A998" s="171" t="s">
        <v>1458</v>
      </c>
      <c r="B998" s="175">
        <v>46068</v>
      </c>
      <c r="C998" s="171" t="s">
        <v>115</v>
      </c>
      <c r="D998" s="171" t="s">
        <v>135</v>
      </c>
      <c r="E998" s="171" t="s">
        <v>62</v>
      </c>
      <c r="F998" s="171" t="s">
        <v>896</v>
      </c>
      <c r="G998" s="171" t="s">
        <v>177</v>
      </c>
      <c r="H998" s="176">
        <v>1</v>
      </c>
      <c r="I998" s="177">
        <v>0</v>
      </c>
      <c r="J998" s="175">
        <v>46063</v>
      </c>
      <c r="K998" s="171" t="s">
        <v>125</v>
      </c>
      <c r="L998" s="171" t="s">
        <v>125</v>
      </c>
      <c r="M998" s="178">
        <v>0</v>
      </c>
      <c r="N998" s="176"/>
      <c r="O998" s="176"/>
      <c r="P998" s="179">
        <v>-49.67</v>
      </c>
    </row>
    <row r="999" spans="1:16" ht="19.5" hidden="1" customHeight="1">
      <c r="A999" s="171" t="s">
        <v>1033</v>
      </c>
      <c r="B999" s="175">
        <v>46068</v>
      </c>
      <c r="C999" s="171" t="s">
        <v>115</v>
      </c>
      <c r="D999" s="171" t="s">
        <v>135</v>
      </c>
      <c r="E999" s="171" t="s">
        <v>78</v>
      </c>
      <c r="F999" s="171" t="s">
        <v>176</v>
      </c>
      <c r="G999" s="171" t="s">
        <v>177</v>
      </c>
      <c r="H999" s="176">
        <v>1</v>
      </c>
      <c r="I999" s="177">
        <v>0</v>
      </c>
      <c r="J999" s="175">
        <v>46055</v>
      </c>
      <c r="K999" s="171" t="s">
        <v>125</v>
      </c>
      <c r="L999" s="171" t="s">
        <v>125</v>
      </c>
      <c r="M999" s="178">
        <v>0</v>
      </c>
      <c r="N999" s="176"/>
      <c r="O999" s="176"/>
      <c r="P999" s="179">
        <v>35.94</v>
      </c>
    </row>
    <row r="1000" spans="1:16" ht="19.5" hidden="1" customHeight="1">
      <c r="A1000" s="171" t="s">
        <v>1459</v>
      </c>
      <c r="B1000" s="175">
        <v>46068</v>
      </c>
      <c r="C1000" s="171" t="s">
        <v>110</v>
      </c>
      <c r="D1000" s="171" t="s">
        <v>24</v>
      </c>
      <c r="E1000" s="171" t="s">
        <v>64</v>
      </c>
      <c r="F1000" s="171" t="s">
        <v>722</v>
      </c>
      <c r="G1000" s="171" t="s">
        <v>177</v>
      </c>
      <c r="H1000" s="176">
        <v>1</v>
      </c>
      <c r="I1000" s="177">
        <v>4300</v>
      </c>
      <c r="J1000" s="175">
        <v>46064</v>
      </c>
      <c r="K1000" s="171" t="s">
        <v>113</v>
      </c>
      <c r="L1000" s="171" t="s">
        <v>114</v>
      </c>
      <c r="M1000" s="178">
        <v>0.43</v>
      </c>
      <c r="N1000" s="176"/>
      <c r="O1000" s="176">
        <v>45</v>
      </c>
      <c r="P1000" s="179">
        <v>-236.42</v>
      </c>
    </row>
    <row r="1001" spans="1:16" ht="19.5" hidden="1" customHeight="1">
      <c r="A1001" s="171" t="s">
        <v>1459</v>
      </c>
      <c r="B1001" s="175">
        <v>46068</v>
      </c>
      <c r="C1001" s="171" t="s">
        <v>127</v>
      </c>
      <c r="D1001" s="171" t="s">
        <v>128</v>
      </c>
      <c r="E1001" s="171" t="s">
        <v>64</v>
      </c>
      <c r="F1001" s="171" t="s">
        <v>722</v>
      </c>
      <c r="G1001" s="171" t="s">
        <v>177</v>
      </c>
      <c r="H1001" s="176">
        <v>1</v>
      </c>
      <c r="I1001" s="177">
        <v>4300</v>
      </c>
      <c r="J1001" s="175">
        <v>46064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2335.5500000000002</v>
      </c>
    </row>
    <row r="1002" spans="1:16" ht="19.5" hidden="1" customHeight="1">
      <c r="A1002" s="171" t="s">
        <v>1459</v>
      </c>
      <c r="B1002" s="175">
        <v>46068</v>
      </c>
      <c r="C1002" s="171" t="s">
        <v>127</v>
      </c>
      <c r="D1002" s="171" t="s">
        <v>129</v>
      </c>
      <c r="E1002" s="171" t="s">
        <v>64</v>
      </c>
      <c r="F1002" s="171" t="s">
        <v>722</v>
      </c>
      <c r="G1002" s="171" t="s">
        <v>177</v>
      </c>
      <c r="H1002" s="176">
        <v>1</v>
      </c>
      <c r="I1002" s="177">
        <v>4300</v>
      </c>
      <c r="J1002" s="175">
        <v>46064</v>
      </c>
      <c r="K1002" s="171" t="s">
        <v>113</v>
      </c>
      <c r="L1002" s="171" t="s">
        <v>114</v>
      </c>
      <c r="M1002" s="178">
        <v>0</v>
      </c>
      <c r="N1002" s="176"/>
      <c r="O1002" s="176"/>
      <c r="P1002" s="179">
        <v>23.36</v>
      </c>
    </row>
    <row r="1003" spans="1:16" ht="19.5" hidden="1" customHeight="1">
      <c r="A1003" s="171" t="s">
        <v>1459</v>
      </c>
      <c r="B1003" s="175">
        <v>46068</v>
      </c>
      <c r="C1003" s="171" t="s">
        <v>127</v>
      </c>
      <c r="D1003" s="171" t="s">
        <v>130</v>
      </c>
      <c r="E1003" s="171" t="s">
        <v>64</v>
      </c>
      <c r="F1003" s="171" t="s">
        <v>722</v>
      </c>
      <c r="G1003" s="171" t="s">
        <v>177</v>
      </c>
      <c r="H1003" s="176">
        <v>1</v>
      </c>
      <c r="I1003" s="177">
        <v>4300</v>
      </c>
      <c r="J1003" s="175">
        <v>46064</v>
      </c>
      <c r="K1003" s="171" t="s">
        <v>113</v>
      </c>
      <c r="L1003" s="171" t="s">
        <v>114</v>
      </c>
      <c r="M1003" s="178">
        <v>0</v>
      </c>
      <c r="N1003" s="176"/>
      <c r="O1003" s="176"/>
      <c r="P1003" s="179">
        <v>1941.09</v>
      </c>
    </row>
    <row r="1004" spans="1:16" ht="19.5" hidden="1" customHeight="1">
      <c r="A1004" s="171" t="s">
        <v>1459</v>
      </c>
      <c r="B1004" s="175">
        <v>46068</v>
      </c>
      <c r="C1004" s="171" t="s">
        <v>131</v>
      </c>
      <c r="D1004" s="171" t="s">
        <v>132</v>
      </c>
      <c r="E1004" s="171" t="s">
        <v>64</v>
      </c>
      <c r="F1004" s="171" t="s">
        <v>722</v>
      </c>
      <c r="G1004" s="171" t="s">
        <v>177</v>
      </c>
      <c r="H1004" s="176">
        <v>1</v>
      </c>
      <c r="I1004" s="177">
        <v>4300</v>
      </c>
      <c r="J1004" s="175">
        <v>46064</v>
      </c>
      <c r="K1004" s="171" t="s">
        <v>113</v>
      </c>
      <c r="L1004" s="171" t="s">
        <v>114</v>
      </c>
      <c r="M1004" s="178">
        <v>0.43</v>
      </c>
      <c r="N1004" s="176"/>
      <c r="O1004" s="176"/>
      <c r="P1004" s="179">
        <v>-1849</v>
      </c>
    </row>
    <row r="1005" spans="1:16" ht="19.5" hidden="1" customHeight="1">
      <c r="A1005" s="171" t="s">
        <v>1459</v>
      </c>
      <c r="B1005" s="175">
        <v>46068</v>
      </c>
      <c r="C1005" s="171" t="s">
        <v>115</v>
      </c>
      <c r="D1005" s="171" t="s">
        <v>116</v>
      </c>
      <c r="E1005" s="171" t="s">
        <v>64</v>
      </c>
      <c r="F1005" s="171" t="s">
        <v>722</v>
      </c>
      <c r="G1005" s="171" t="s">
        <v>177</v>
      </c>
      <c r="H1005" s="176">
        <v>1</v>
      </c>
      <c r="I1005" s="177">
        <v>4300</v>
      </c>
      <c r="J1005" s="175">
        <v>46064</v>
      </c>
      <c r="K1005" s="171" t="s">
        <v>113</v>
      </c>
      <c r="L1005" s="171" t="s">
        <v>114</v>
      </c>
      <c r="M1005" s="178">
        <v>0.43</v>
      </c>
      <c r="N1005" s="176"/>
      <c r="O1005" s="176"/>
      <c r="P1005" s="179">
        <v>-16.420000000000002</v>
      </c>
    </row>
    <row r="1006" spans="1:16" ht="19.5" hidden="1" customHeight="1">
      <c r="A1006" s="171" t="s">
        <v>1460</v>
      </c>
      <c r="B1006" s="175">
        <v>46068</v>
      </c>
      <c r="C1006" s="171" t="s">
        <v>115</v>
      </c>
      <c r="D1006" s="171" t="s">
        <v>135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46068</v>
      </c>
      <c r="K1006" s="171" t="s">
        <v>125</v>
      </c>
      <c r="L1006" s="171" t="s">
        <v>125</v>
      </c>
      <c r="M1006" s="178">
        <v>0</v>
      </c>
      <c r="N1006" s="176"/>
      <c r="O1006" s="176"/>
      <c r="P1006" s="179">
        <v>-18.73</v>
      </c>
    </row>
    <row r="1007" spans="1:16" ht="19.5" hidden="1" customHeight="1">
      <c r="A1007" s="171" t="s">
        <v>1459</v>
      </c>
      <c r="B1007" s="175">
        <v>46068</v>
      </c>
      <c r="C1007" s="171" t="s">
        <v>115</v>
      </c>
      <c r="D1007" s="171" t="s">
        <v>135</v>
      </c>
      <c r="E1007" s="171" t="s">
        <v>64</v>
      </c>
      <c r="F1007" s="171" t="s">
        <v>722</v>
      </c>
      <c r="G1007" s="171" t="s">
        <v>177</v>
      </c>
      <c r="H1007" s="176">
        <v>1</v>
      </c>
      <c r="I1007" s="177">
        <v>0</v>
      </c>
      <c r="J1007" s="175">
        <v>46064</v>
      </c>
      <c r="K1007" s="171" t="s">
        <v>125</v>
      </c>
      <c r="L1007" s="171" t="s">
        <v>125</v>
      </c>
      <c r="M1007" s="178">
        <v>0</v>
      </c>
      <c r="N1007" s="176"/>
      <c r="O1007" s="176"/>
      <c r="P1007" s="179">
        <v>-44.38</v>
      </c>
    </row>
    <row r="1008" spans="1:16" ht="19.5" hidden="1" customHeight="1">
      <c r="A1008" s="171" t="s">
        <v>1461</v>
      </c>
      <c r="B1008" s="175">
        <v>46068</v>
      </c>
      <c r="C1008" s="171" t="s">
        <v>110</v>
      </c>
      <c r="D1008" s="171" t="s">
        <v>24</v>
      </c>
      <c r="E1008" s="171" t="s">
        <v>44</v>
      </c>
      <c r="F1008" s="171" t="s">
        <v>213</v>
      </c>
      <c r="G1008" s="171" t="s">
        <v>214</v>
      </c>
      <c r="H1008" s="176">
        <v>1</v>
      </c>
      <c r="I1008" s="177">
        <v>0</v>
      </c>
      <c r="J1008" s="175">
        <v>46064</v>
      </c>
      <c r="K1008" s="171" t="s">
        <v>113</v>
      </c>
      <c r="L1008" s="171" t="s">
        <v>114</v>
      </c>
      <c r="M1008" s="178">
        <v>0</v>
      </c>
      <c r="N1008" s="176"/>
      <c r="O1008" s="176">
        <v>45</v>
      </c>
      <c r="P1008" s="179">
        <v>-46.77</v>
      </c>
    </row>
    <row r="1009" spans="1:16" ht="19.5" hidden="1" customHeight="1">
      <c r="A1009" s="171" t="s">
        <v>1461</v>
      </c>
      <c r="B1009" s="175">
        <v>46068</v>
      </c>
      <c r="C1009" s="171" t="s">
        <v>115</v>
      </c>
      <c r="D1009" s="171" t="s">
        <v>116</v>
      </c>
      <c r="E1009" s="171" t="s">
        <v>44</v>
      </c>
      <c r="F1009" s="171" t="s">
        <v>213</v>
      </c>
      <c r="G1009" s="171" t="s">
        <v>214</v>
      </c>
      <c r="H1009" s="176">
        <v>1</v>
      </c>
      <c r="I1009" s="177">
        <v>0</v>
      </c>
      <c r="J1009" s="175">
        <v>46064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-8.17</v>
      </c>
    </row>
    <row r="1010" spans="1:16" ht="19.5" hidden="1" customHeight="1">
      <c r="A1010" s="171" t="s">
        <v>1461</v>
      </c>
      <c r="B1010" s="175">
        <v>46068</v>
      </c>
      <c r="C1010" s="171" t="s">
        <v>110</v>
      </c>
      <c r="D1010" s="171" t="s">
        <v>117</v>
      </c>
      <c r="E1010" s="171" t="s">
        <v>44</v>
      </c>
      <c r="F1010" s="171" t="s">
        <v>213</v>
      </c>
      <c r="G1010" s="171" t="s">
        <v>214</v>
      </c>
      <c r="H1010" s="176">
        <v>1</v>
      </c>
      <c r="I1010" s="177">
        <v>0</v>
      </c>
      <c r="J1010" s="175">
        <v>46064</v>
      </c>
      <c r="K1010" s="171" t="s">
        <v>113</v>
      </c>
      <c r="L1010" s="171" t="s">
        <v>114</v>
      </c>
      <c r="M1010" s="178">
        <v>0</v>
      </c>
      <c r="N1010" s="176"/>
      <c r="O1010" s="176"/>
      <c r="P1010" s="179">
        <v>0</v>
      </c>
    </row>
    <row r="1011" spans="1:16" ht="19.5" hidden="1" customHeight="1">
      <c r="A1011" s="171" t="s">
        <v>1461</v>
      </c>
      <c r="B1011" s="175">
        <v>46068</v>
      </c>
      <c r="C1011" s="171" t="s">
        <v>110</v>
      </c>
      <c r="D1011" s="171" t="s">
        <v>118</v>
      </c>
      <c r="E1011" s="171" t="s">
        <v>44</v>
      </c>
      <c r="F1011" s="171" t="s">
        <v>213</v>
      </c>
      <c r="G1011" s="171" t="s">
        <v>214</v>
      </c>
      <c r="H1011" s="176">
        <v>1</v>
      </c>
      <c r="I1011" s="177">
        <v>0</v>
      </c>
      <c r="J1011" s="175">
        <v>46064</v>
      </c>
      <c r="K1011" s="171" t="s">
        <v>113</v>
      </c>
      <c r="L1011" s="171" t="s">
        <v>114</v>
      </c>
      <c r="M1011" s="178">
        <v>0</v>
      </c>
      <c r="N1011" s="176"/>
      <c r="O1011" s="176"/>
      <c r="P1011" s="179">
        <v>-46.77</v>
      </c>
    </row>
    <row r="1012" spans="1:16" ht="19.5" hidden="1" customHeight="1">
      <c r="A1012" s="171" t="s">
        <v>1461</v>
      </c>
      <c r="B1012" s="175">
        <v>46068</v>
      </c>
      <c r="C1012" s="171" t="s">
        <v>115</v>
      </c>
      <c r="D1012" s="171" t="s">
        <v>119</v>
      </c>
      <c r="E1012" s="171" t="s">
        <v>44</v>
      </c>
      <c r="F1012" s="171" t="s">
        <v>213</v>
      </c>
      <c r="G1012" s="171" t="s">
        <v>214</v>
      </c>
      <c r="H1012" s="176">
        <v>1</v>
      </c>
      <c r="I1012" s="177">
        <v>0</v>
      </c>
      <c r="J1012" s="175">
        <v>46064</v>
      </c>
      <c r="K1012" s="171" t="s">
        <v>113</v>
      </c>
      <c r="L1012" s="171" t="s">
        <v>114</v>
      </c>
      <c r="M1012" s="178">
        <v>0</v>
      </c>
      <c r="N1012" s="176"/>
      <c r="O1012" s="176"/>
      <c r="P1012" s="179">
        <v>-15</v>
      </c>
    </row>
    <row r="1013" spans="1:16" ht="19.5" hidden="1" customHeight="1">
      <c r="A1013" s="171" t="s">
        <v>1462</v>
      </c>
      <c r="B1013" s="175">
        <v>46068</v>
      </c>
      <c r="C1013" s="171" t="s">
        <v>110</v>
      </c>
      <c r="D1013" s="171" t="s">
        <v>24</v>
      </c>
      <c r="E1013" s="171" t="s">
        <v>69</v>
      </c>
      <c r="F1013" s="171" t="s">
        <v>675</v>
      </c>
      <c r="G1013" s="171" t="s">
        <v>177</v>
      </c>
      <c r="H1013" s="176">
        <v>1</v>
      </c>
      <c r="I1013" s="177">
        <v>0</v>
      </c>
      <c r="J1013" s="175">
        <v>46062</v>
      </c>
      <c r="K1013" s="171" t="s">
        <v>113</v>
      </c>
      <c r="L1013" s="171" t="s">
        <v>114</v>
      </c>
      <c r="M1013" s="178">
        <v>0</v>
      </c>
      <c r="N1013" s="176"/>
      <c r="O1013" s="176">
        <v>45</v>
      </c>
      <c r="P1013" s="179">
        <v>-56.94</v>
      </c>
    </row>
    <row r="1014" spans="1:16" ht="19.5" hidden="1" customHeight="1">
      <c r="A1014" s="171" t="s">
        <v>1462</v>
      </c>
      <c r="B1014" s="175">
        <v>46068</v>
      </c>
      <c r="C1014" s="171" t="s">
        <v>115</v>
      </c>
      <c r="D1014" s="171" t="s">
        <v>116</v>
      </c>
      <c r="E1014" s="171" t="s">
        <v>69</v>
      </c>
      <c r="F1014" s="171" t="s">
        <v>675</v>
      </c>
      <c r="G1014" s="171" t="s">
        <v>177</v>
      </c>
      <c r="H1014" s="176">
        <v>1</v>
      </c>
      <c r="I1014" s="177">
        <v>0</v>
      </c>
      <c r="J1014" s="175">
        <v>46062</v>
      </c>
      <c r="K1014" s="171" t="s">
        <v>113</v>
      </c>
      <c r="L1014" s="171" t="s">
        <v>114</v>
      </c>
      <c r="M1014" s="178">
        <v>0</v>
      </c>
      <c r="N1014" s="176"/>
      <c r="O1014" s="176"/>
      <c r="P1014" s="179">
        <v>-15.94</v>
      </c>
    </row>
    <row r="1015" spans="1:16" ht="19.5" hidden="1" customHeight="1">
      <c r="A1015" s="171" t="s">
        <v>1462</v>
      </c>
      <c r="B1015" s="175">
        <v>46068</v>
      </c>
      <c r="C1015" s="171" t="s">
        <v>110</v>
      </c>
      <c r="D1015" s="171" t="s">
        <v>117</v>
      </c>
      <c r="E1015" s="171" t="s">
        <v>69</v>
      </c>
      <c r="F1015" s="171" t="s">
        <v>675</v>
      </c>
      <c r="G1015" s="171" t="s">
        <v>177</v>
      </c>
      <c r="H1015" s="176">
        <v>1</v>
      </c>
      <c r="I1015" s="177">
        <v>0</v>
      </c>
      <c r="J1015" s="175">
        <v>46062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0</v>
      </c>
    </row>
    <row r="1016" spans="1:16" ht="19.5" hidden="1" customHeight="1">
      <c r="A1016" s="171" t="s">
        <v>1462</v>
      </c>
      <c r="B1016" s="175">
        <v>46068</v>
      </c>
      <c r="C1016" s="171" t="s">
        <v>110</v>
      </c>
      <c r="D1016" s="171" t="s">
        <v>118</v>
      </c>
      <c r="E1016" s="171" t="s">
        <v>69</v>
      </c>
      <c r="F1016" s="171" t="s">
        <v>675</v>
      </c>
      <c r="G1016" s="171" t="s">
        <v>177</v>
      </c>
      <c r="H1016" s="176">
        <v>1</v>
      </c>
      <c r="I1016" s="177">
        <v>0</v>
      </c>
      <c r="J1016" s="175">
        <v>46062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-56.94</v>
      </c>
    </row>
    <row r="1017" spans="1:16" ht="19.5" hidden="1" customHeight="1">
      <c r="A1017" s="171" t="s">
        <v>1462</v>
      </c>
      <c r="B1017" s="175">
        <v>46068</v>
      </c>
      <c r="C1017" s="171" t="s">
        <v>115</v>
      </c>
      <c r="D1017" s="171" t="s">
        <v>119</v>
      </c>
      <c r="E1017" s="171" t="s">
        <v>69</v>
      </c>
      <c r="F1017" s="171" t="s">
        <v>675</v>
      </c>
      <c r="G1017" s="171" t="s">
        <v>177</v>
      </c>
      <c r="H1017" s="176">
        <v>1</v>
      </c>
      <c r="I1017" s="177">
        <v>0</v>
      </c>
      <c r="J1017" s="175">
        <v>46062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-15</v>
      </c>
    </row>
    <row r="1018" spans="1:16" ht="19.5" hidden="1" customHeight="1">
      <c r="A1018" s="171" t="s">
        <v>1463</v>
      </c>
      <c r="B1018" s="175">
        <v>46068</v>
      </c>
      <c r="C1018" s="171" t="s">
        <v>110</v>
      </c>
      <c r="D1018" s="171" t="s">
        <v>24</v>
      </c>
      <c r="E1018" s="171" t="s">
        <v>44</v>
      </c>
      <c r="F1018" s="171" t="s">
        <v>213</v>
      </c>
      <c r="G1018" s="171" t="s">
        <v>214</v>
      </c>
      <c r="H1018" s="176">
        <v>1</v>
      </c>
      <c r="I1018" s="177">
        <v>0</v>
      </c>
      <c r="J1018" s="175">
        <v>46063</v>
      </c>
      <c r="K1018" s="171" t="s">
        <v>113</v>
      </c>
      <c r="L1018" s="171" t="s">
        <v>114</v>
      </c>
      <c r="M1018" s="178">
        <v>0</v>
      </c>
      <c r="N1018" s="176"/>
      <c r="O1018" s="176">
        <v>44</v>
      </c>
      <c r="P1018" s="179">
        <v>-46.77</v>
      </c>
    </row>
    <row r="1019" spans="1:16" ht="19.5" hidden="1" customHeight="1">
      <c r="A1019" s="171" t="s">
        <v>1463</v>
      </c>
      <c r="B1019" s="175">
        <v>46068</v>
      </c>
      <c r="C1019" s="171" t="s">
        <v>110</v>
      </c>
      <c r="D1019" s="171" t="s">
        <v>117</v>
      </c>
      <c r="E1019" s="171" t="s">
        <v>44</v>
      </c>
      <c r="F1019" s="171" t="s">
        <v>213</v>
      </c>
      <c r="G1019" s="171" t="s">
        <v>214</v>
      </c>
      <c r="H1019" s="176">
        <v>1</v>
      </c>
      <c r="I1019" s="177">
        <v>0</v>
      </c>
      <c r="J1019" s="175">
        <v>46063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hidden="1" customHeight="1">
      <c r="A1020" s="171" t="s">
        <v>1463</v>
      </c>
      <c r="B1020" s="175">
        <v>46068</v>
      </c>
      <c r="C1020" s="171" t="s">
        <v>110</v>
      </c>
      <c r="D1020" s="171" t="s">
        <v>118</v>
      </c>
      <c r="E1020" s="171" t="s">
        <v>44</v>
      </c>
      <c r="F1020" s="171" t="s">
        <v>213</v>
      </c>
      <c r="G1020" s="171" t="s">
        <v>214</v>
      </c>
      <c r="H1020" s="176">
        <v>1</v>
      </c>
      <c r="I1020" s="177">
        <v>0</v>
      </c>
      <c r="J1020" s="175">
        <v>46063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hidden="1" customHeight="1">
      <c r="A1021" s="171" t="s">
        <v>1463</v>
      </c>
      <c r="B1021" s="175">
        <v>46068</v>
      </c>
      <c r="C1021" s="171" t="s">
        <v>115</v>
      </c>
      <c r="D1021" s="171" t="s">
        <v>119</v>
      </c>
      <c r="E1021" s="171" t="s">
        <v>44</v>
      </c>
      <c r="F1021" s="171" t="s">
        <v>213</v>
      </c>
      <c r="G1021" s="171" t="s">
        <v>214</v>
      </c>
      <c r="H1021" s="176">
        <v>1</v>
      </c>
      <c r="I1021" s="177">
        <v>0</v>
      </c>
      <c r="J1021" s="175">
        <v>46063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hidden="1" customHeight="1">
      <c r="A1022" s="171" t="s">
        <v>1464</v>
      </c>
      <c r="B1022" s="175">
        <v>46068</v>
      </c>
      <c r="C1022" s="171" t="s">
        <v>115</v>
      </c>
      <c r="D1022" s="171" t="s">
        <v>135</v>
      </c>
      <c r="E1022" s="171" t="s">
        <v>43</v>
      </c>
      <c r="F1022" s="171" t="s">
        <v>481</v>
      </c>
      <c r="G1022" s="171" t="s">
        <v>214</v>
      </c>
      <c r="H1022" s="176">
        <v>1</v>
      </c>
      <c r="I1022" s="177">
        <v>0</v>
      </c>
      <c r="J1022" s="175">
        <v>46068</v>
      </c>
      <c r="K1022" s="171" t="s">
        <v>125</v>
      </c>
      <c r="L1022" s="171" t="s">
        <v>125</v>
      </c>
      <c r="M1022" s="178">
        <v>0</v>
      </c>
      <c r="N1022" s="176"/>
      <c r="O1022" s="176"/>
      <c r="P1022" s="179">
        <v>-21.33</v>
      </c>
    </row>
    <row r="1023" spans="1:16" ht="19.5" hidden="1" customHeight="1">
      <c r="A1023" s="171" t="s">
        <v>1465</v>
      </c>
      <c r="B1023" s="175">
        <v>46068</v>
      </c>
      <c r="C1023" s="171" t="s">
        <v>115</v>
      </c>
      <c r="D1023" s="171" t="s">
        <v>135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46068</v>
      </c>
      <c r="K1023" s="171" t="s">
        <v>125</v>
      </c>
      <c r="L1023" s="171" t="s">
        <v>125</v>
      </c>
      <c r="M1023" s="178">
        <v>0</v>
      </c>
      <c r="N1023" s="176"/>
      <c r="O1023" s="176"/>
      <c r="P1023" s="179">
        <v>-19.04</v>
      </c>
    </row>
    <row r="1024" spans="1:16" ht="19.5" hidden="1" customHeight="1">
      <c r="A1024" s="171" t="s">
        <v>1466</v>
      </c>
      <c r="B1024" s="175">
        <v>46068</v>
      </c>
      <c r="C1024" s="171" t="s">
        <v>110</v>
      </c>
      <c r="D1024" s="171" t="s">
        <v>24</v>
      </c>
      <c r="E1024" s="171" t="s">
        <v>42</v>
      </c>
      <c r="F1024" s="171" t="s">
        <v>248</v>
      </c>
      <c r="G1024" s="171" t="s">
        <v>112</v>
      </c>
      <c r="H1024" s="176">
        <v>1</v>
      </c>
      <c r="I1024" s="177">
        <v>2400</v>
      </c>
      <c r="J1024" s="175">
        <v>46067</v>
      </c>
      <c r="K1024" s="171" t="s">
        <v>113</v>
      </c>
      <c r="L1024" s="171" t="s">
        <v>114</v>
      </c>
      <c r="M1024" s="178">
        <v>0.43</v>
      </c>
      <c r="N1024" s="176"/>
      <c r="O1024" s="176">
        <v>41</v>
      </c>
      <c r="P1024" s="179">
        <v>-136.83000000000001</v>
      </c>
    </row>
    <row r="1025" spans="1:16" ht="19.5" hidden="1" customHeight="1">
      <c r="A1025" s="171" t="s">
        <v>1466</v>
      </c>
      <c r="B1025" s="175">
        <v>46068</v>
      </c>
      <c r="C1025" s="171" t="s">
        <v>127</v>
      </c>
      <c r="D1025" s="171" t="s">
        <v>128</v>
      </c>
      <c r="E1025" s="171" t="s">
        <v>42</v>
      </c>
      <c r="F1025" s="171" t="s">
        <v>248</v>
      </c>
      <c r="G1025" s="171" t="s">
        <v>112</v>
      </c>
      <c r="H1025" s="176">
        <v>1</v>
      </c>
      <c r="I1025" s="177">
        <v>2400</v>
      </c>
      <c r="J1025" s="175">
        <v>46067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1230.99</v>
      </c>
    </row>
    <row r="1026" spans="1:16" ht="19.5" hidden="1" customHeight="1">
      <c r="A1026" s="171" t="s">
        <v>1466</v>
      </c>
      <c r="B1026" s="175">
        <v>46068</v>
      </c>
      <c r="C1026" s="171" t="s">
        <v>127</v>
      </c>
      <c r="D1026" s="171" t="s">
        <v>129</v>
      </c>
      <c r="E1026" s="171" t="s">
        <v>42</v>
      </c>
      <c r="F1026" s="171" t="s">
        <v>248</v>
      </c>
      <c r="G1026" s="171" t="s">
        <v>112</v>
      </c>
      <c r="H1026" s="176">
        <v>1</v>
      </c>
      <c r="I1026" s="177">
        <v>2400</v>
      </c>
      <c r="J1026" s="175">
        <v>46067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12.31</v>
      </c>
    </row>
    <row r="1027" spans="1:16" ht="19.5" hidden="1" customHeight="1">
      <c r="A1027" s="171" t="s">
        <v>1466</v>
      </c>
      <c r="B1027" s="175">
        <v>46068</v>
      </c>
      <c r="C1027" s="171" t="s">
        <v>127</v>
      </c>
      <c r="D1027" s="171" t="s">
        <v>130</v>
      </c>
      <c r="E1027" s="171" t="s">
        <v>42</v>
      </c>
      <c r="F1027" s="171" t="s">
        <v>248</v>
      </c>
      <c r="G1027" s="171" t="s">
        <v>112</v>
      </c>
      <c r="H1027" s="176">
        <v>1</v>
      </c>
      <c r="I1027" s="177">
        <v>2400</v>
      </c>
      <c r="J1027" s="175">
        <v>46067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1156.7</v>
      </c>
    </row>
    <row r="1028" spans="1:16" ht="19.5" hidden="1" customHeight="1">
      <c r="A1028" s="171" t="s">
        <v>1466</v>
      </c>
      <c r="B1028" s="175">
        <v>46068</v>
      </c>
      <c r="C1028" s="171" t="s">
        <v>131</v>
      </c>
      <c r="D1028" s="171" t="s">
        <v>132</v>
      </c>
      <c r="E1028" s="171" t="s">
        <v>42</v>
      </c>
      <c r="F1028" s="171" t="s">
        <v>248</v>
      </c>
      <c r="G1028" s="171" t="s">
        <v>112</v>
      </c>
      <c r="H1028" s="176">
        <v>1</v>
      </c>
      <c r="I1028" s="177">
        <v>2400</v>
      </c>
      <c r="J1028" s="175">
        <v>46067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-1032</v>
      </c>
    </row>
    <row r="1029" spans="1:16" ht="19.5" hidden="1" customHeight="1">
      <c r="A1029" s="171" t="s">
        <v>1466</v>
      </c>
      <c r="B1029" s="175">
        <v>46068</v>
      </c>
      <c r="C1029" s="171" t="s">
        <v>115</v>
      </c>
      <c r="D1029" s="171" t="s">
        <v>116</v>
      </c>
      <c r="E1029" s="171" t="s">
        <v>42</v>
      </c>
      <c r="F1029" s="171" t="s">
        <v>248</v>
      </c>
      <c r="G1029" s="171" t="s">
        <v>112</v>
      </c>
      <c r="H1029" s="176">
        <v>1</v>
      </c>
      <c r="I1029" s="177">
        <v>2400</v>
      </c>
      <c r="J1029" s="175">
        <v>46067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-11.26</v>
      </c>
    </row>
    <row r="1030" spans="1:16" ht="19.5" hidden="1" customHeight="1">
      <c r="A1030" s="171" t="s">
        <v>1467</v>
      </c>
      <c r="B1030" s="175">
        <v>46068</v>
      </c>
      <c r="C1030" s="171" t="s">
        <v>110</v>
      </c>
      <c r="D1030" s="171" t="s">
        <v>24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5000</v>
      </c>
      <c r="J1030" s="175">
        <v>46062</v>
      </c>
      <c r="K1030" s="171" t="s">
        <v>113</v>
      </c>
      <c r="L1030" s="171" t="s">
        <v>114</v>
      </c>
      <c r="M1030" s="178">
        <v>0.43</v>
      </c>
      <c r="N1030" s="176"/>
      <c r="O1030" s="176">
        <v>45</v>
      </c>
      <c r="P1030" s="179">
        <v>-259.52</v>
      </c>
    </row>
    <row r="1031" spans="1:16" ht="19.5" hidden="1" customHeight="1">
      <c r="A1031" s="171" t="s">
        <v>1467</v>
      </c>
      <c r="B1031" s="175">
        <v>46068</v>
      </c>
      <c r="C1031" s="171" t="s">
        <v>127</v>
      </c>
      <c r="D1031" s="171" t="s">
        <v>128</v>
      </c>
      <c r="E1031" s="171" t="s">
        <v>79</v>
      </c>
      <c r="F1031" s="171" t="s">
        <v>441</v>
      </c>
      <c r="G1031" s="171" t="s">
        <v>177</v>
      </c>
      <c r="H1031" s="176">
        <v>1</v>
      </c>
      <c r="I1031" s="177">
        <v>5000</v>
      </c>
      <c r="J1031" s="175">
        <v>46062</v>
      </c>
      <c r="K1031" s="171" t="s">
        <v>113</v>
      </c>
      <c r="L1031" s="171" t="s">
        <v>114</v>
      </c>
      <c r="M1031" s="178">
        <v>0</v>
      </c>
      <c r="N1031" s="176"/>
      <c r="O1031" s="176"/>
      <c r="P1031" s="179">
        <v>2552.61</v>
      </c>
    </row>
    <row r="1032" spans="1:16" ht="19.5" hidden="1" customHeight="1">
      <c r="A1032" s="171" t="s">
        <v>1467</v>
      </c>
      <c r="B1032" s="175">
        <v>46068</v>
      </c>
      <c r="C1032" s="171" t="s">
        <v>127</v>
      </c>
      <c r="D1032" s="171" t="s">
        <v>129</v>
      </c>
      <c r="E1032" s="171" t="s">
        <v>79</v>
      </c>
      <c r="F1032" s="171" t="s">
        <v>441</v>
      </c>
      <c r="G1032" s="171" t="s">
        <v>177</v>
      </c>
      <c r="H1032" s="176">
        <v>1</v>
      </c>
      <c r="I1032" s="177">
        <v>5000</v>
      </c>
      <c r="J1032" s="175">
        <v>46062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25.53</v>
      </c>
    </row>
    <row r="1033" spans="1:16" ht="19.5" hidden="1" customHeight="1">
      <c r="A1033" s="171" t="s">
        <v>1467</v>
      </c>
      <c r="B1033" s="175">
        <v>46068</v>
      </c>
      <c r="C1033" s="171" t="s">
        <v>127</v>
      </c>
      <c r="D1033" s="171" t="s">
        <v>130</v>
      </c>
      <c r="E1033" s="171" t="s">
        <v>79</v>
      </c>
      <c r="F1033" s="171" t="s">
        <v>441</v>
      </c>
      <c r="G1033" s="171" t="s">
        <v>177</v>
      </c>
      <c r="H1033" s="176">
        <v>1</v>
      </c>
      <c r="I1033" s="177">
        <v>5000</v>
      </c>
      <c r="J1033" s="175">
        <v>46062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2421.86</v>
      </c>
    </row>
    <row r="1034" spans="1:16" ht="19.5" hidden="1" customHeight="1">
      <c r="A1034" s="171" t="s">
        <v>1467</v>
      </c>
      <c r="B1034" s="175">
        <v>46068</v>
      </c>
      <c r="C1034" s="171" t="s">
        <v>131</v>
      </c>
      <c r="D1034" s="171" t="s">
        <v>132</v>
      </c>
      <c r="E1034" s="171" t="s">
        <v>79</v>
      </c>
      <c r="F1034" s="171" t="s">
        <v>441</v>
      </c>
      <c r="G1034" s="171" t="s">
        <v>177</v>
      </c>
      <c r="H1034" s="176">
        <v>1</v>
      </c>
      <c r="I1034" s="177">
        <v>5000</v>
      </c>
      <c r="J1034" s="175">
        <v>46062</v>
      </c>
      <c r="K1034" s="171" t="s">
        <v>113</v>
      </c>
      <c r="L1034" s="171" t="s">
        <v>114</v>
      </c>
      <c r="M1034" s="178">
        <v>0.43</v>
      </c>
      <c r="N1034" s="176"/>
      <c r="O1034" s="176"/>
      <c r="P1034" s="179">
        <v>-2150</v>
      </c>
    </row>
    <row r="1035" spans="1:16" ht="19.5" hidden="1" customHeight="1">
      <c r="A1035" s="171" t="s">
        <v>1467</v>
      </c>
      <c r="B1035" s="175">
        <v>46068</v>
      </c>
      <c r="C1035" s="171" t="s">
        <v>115</v>
      </c>
      <c r="D1035" s="171" t="s">
        <v>116</v>
      </c>
      <c r="E1035" s="171" t="s">
        <v>79</v>
      </c>
      <c r="F1035" s="171" t="s">
        <v>441</v>
      </c>
      <c r="G1035" s="171" t="s">
        <v>177</v>
      </c>
      <c r="H1035" s="176">
        <v>1</v>
      </c>
      <c r="I1035" s="177">
        <v>5000</v>
      </c>
      <c r="J1035" s="175">
        <v>46062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-15.9</v>
      </c>
    </row>
    <row r="1036" spans="1:16" ht="19.5" hidden="1" customHeight="1">
      <c r="A1036" s="171" t="s">
        <v>1468</v>
      </c>
      <c r="B1036" s="175">
        <v>46068</v>
      </c>
      <c r="C1036" s="171" t="s">
        <v>110</v>
      </c>
      <c r="D1036" s="171" t="s">
        <v>24</v>
      </c>
      <c r="E1036" s="171" t="s">
        <v>77</v>
      </c>
      <c r="F1036" s="171" t="s">
        <v>194</v>
      </c>
      <c r="G1036" s="171" t="s">
        <v>177</v>
      </c>
      <c r="H1036" s="176">
        <v>1</v>
      </c>
      <c r="I1036" s="177">
        <v>5700</v>
      </c>
      <c r="J1036" s="175">
        <v>46062</v>
      </c>
      <c r="K1036" s="171" t="s">
        <v>113</v>
      </c>
      <c r="L1036" s="171" t="s">
        <v>114</v>
      </c>
      <c r="M1036" s="178">
        <v>0.43</v>
      </c>
      <c r="N1036" s="176"/>
      <c r="O1036" s="176">
        <v>45</v>
      </c>
      <c r="P1036" s="179">
        <v>-282.62</v>
      </c>
    </row>
    <row r="1037" spans="1:16" ht="19.5" hidden="1" customHeight="1">
      <c r="A1037" s="171" t="s">
        <v>1468</v>
      </c>
      <c r="B1037" s="175">
        <v>46068</v>
      </c>
      <c r="C1037" s="171" t="s">
        <v>127</v>
      </c>
      <c r="D1037" s="171" t="s">
        <v>128</v>
      </c>
      <c r="E1037" s="171" t="s">
        <v>77</v>
      </c>
      <c r="F1037" s="171" t="s">
        <v>194</v>
      </c>
      <c r="G1037" s="171" t="s">
        <v>177</v>
      </c>
      <c r="H1037" s="176">
        <v>1</v>
      </c>
      <c r="I1037" s="177">
        <v>5700</v>
      </c>
      <c r="J1037" s="175">
        <v>46062</v>
      </c>
      <c r="K1037" s="171" t="s">
        <v>113</v>
      </c>
      <c r="L1037" s="171" t="s">
        <v>114</v>
      </c>
      <c r="M1037" s="178">
        <v>0</v>
      </c>
      <c r="N1037" s="176"/>
      <c r="O1037" s="176"/>
      <c r="P1037" s="179">
        <v>2072.04</v>
      </c>
    </row>
    <row r="1038" spans="1:16" ht="19.5" hidden="1" customHeight="1">
      <c r="A1038" s="171" t="s">
        <v>1468</v>
      </c>
      <c r="B1038" s="175">
        <v>46068</v>
      </c>
      <c r="C1038" s="171" t="s">
        <v>127</v>
      </c>
      <c r="D1038" s="171" t="s">
        <v>129</v>
      </c>
      <c r="E1038" s="171" t="s">
        <v>77</v>
      </c>
      <c r="F1038" s="171" t="s">
        <v>194</v>
      </c>
      <c r="G1038" s="171" t="s">
        <v>177</v>
      </c>
      <c r="H1038" s="176">
        <v>1</v>
      </c>
      <c r="I1038" s="177">
        <v>5700</v>
      </c>
      <c r="J1038" s="175">
        <v>46062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20.72</v>
      </c>
    </row>
    <row r="1039" spans="1:16" ht="19.5" hidden="1" customHeight="1">
      <c r="A1039" s="171" t="s">
        <v>1468</v>
      </c>
      <c r="B1039" s="175">
        <v>46068</v>
      </c>
      <c r="C1039" s="171" t="s">
        <v>127</v>
      </c>
      <c r="D1039" s="171" t="s">
        <v>130</v>
      </c>
      <c r="E1039" s="171" t="s">
        <v>77</v>
      </c>
      <c r="F1039" s="171" t="s">
        <v>194</v>
      </c>
      <c r="G1039" s="171" t="s">
        <v>177</v>
      </c>
      <c r="H1039" s="176">
        <v>1</v>
      </c>
      <c r="I1039" s="177">
        <v>5700</v>
      </c>
      <c r="J1039" s="175">
        <v>46062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3607.24</v>
      </c>
    </row>
    <row r="1040" spans="1:16" ht="19.5" hidden="1" customHeight="1">
      <c r="A1040" s="171" t="s">
        <v>1468</v>
      </c>
      <c r="B1040" s="175">
        <v>46068</v>
      </c>
      <c r="C1040" s="171" t="s">
        <v>131</v>
      </c>
      <c r="D1040" s="171" t="s">
        <v>132</v>
      </c>
      <c r="E1040" s="171" t="s">
        <v>77</v>
      </c>
      <c r="F1040" s="171" t="s">
        <v>194</v>
      </c>
      <c r="G1040" s="171" t="s">
        <v>177</v>
      </c>
      <c r="H1040" s="176">
        <v>1</v>
      </c>
      <c r="I1040" s="177">
        <v>5700</v>
      </c>
      <c r="J1040" s="175">
        <v>46062</v>
      </c>
      <c r="K1040" s="171" t="s">
        <v>113</v>
      </c>
      <c r="L1040" s="171" t="s">
        <v>114</v>
      </c>
      <c r="M1040" s="178">
        <v>0.43</v>
      </c>
      <c r="N1040" s="176"/>
      <c r="O1040" s="176"/>
      <c r="P1040" s="179">
        <v>-2451</v>
      </c>
    </row>
    <row r="1041" spans="1:16" ht="19.5" hidden="1" customHeight="1">
      <c r="A1041" s="171" t="s">
        <v>1468</v>
      </c>
      <c r="B1041" s="175">
        <v>46068</v>
      </c>
      <c r="C1041" s="171" t="s">
        <v>115</v>
      </c>
      <c r="D1041" s="171" t="s">
        <v>116</v>
      </c>
      <c r="E1041" s="171" t="s">
        <v>77</v>
      </c>
      <c r="F1041" s="171" t="s">
        <v>194</v>
      </c>
      <c r="G1041" s="171" t="s">
        <v>177</v>
      </c>
      <c r="H1041" s="176">
        <v>1</v>
      </c>
      <c r="I1041" s="177">
        <v>5700</v>
      </c>
      <c r="J1041" s="175">
        <v>46062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-14.55</v>
      </c>
    </row>
    <row r="1042" spans="1:16" ht="19.5" hidden="1" customHeight="1">
      <c r="A1042" s="171" t="s">
        <v>1469</v>
      </c>
      <c r="B1042" s="175">
        <v>46068</v>
      </c>
      <c r="C1042" s="171" t="s">
        <v>110</v>
      </c>
      <c r="D1042" s="171" t="s">
        <v>24</v>
      </c>
      <c r="E1042" s="171" t="s">
        <v>42</v>
      </c>
      <c r="F1042" s="171" t="s">
        <v>248</v>
      </c>
      <c r="G1042" s="171" t="s">
        <v>112</v>
      </c>
      <c r="H1042" s="176">
        <v>1</v>
      </c>
      <c r="I1042" s="177">
        <v>0</v>
      </c>
      <c r="J1042" s="175">
        <v>46062</v>
      </c>
      <c r="K1042" s="171" t="s">
        <v>113</v>
      </c>
      <c r="L1042" s="171" t="s">
        <v>114</v>
      </c>
      <c r="M1042" s="178">
        <v>0</v>
      </c>
      <c r="N1042" s="176"/>
      <c r="O1042" s="176">
        <v>45</v>
      </c>
      <c r="P1042" s="179">
        <v>-46.77</v>
      </c>
    </row>
    <row r="1043" spans="1:16" ht="19.5" hidden="1" customHeight="1">
      <c r="A1043" s="171" t="s">
        <v>1469</v>
      </c>
      <c r="B1043" s="175">
        <v>46068</v>
      </c>
      <c r="C1043" s="171" t="s">
        <v>115</v>
      </c>
      <c r="D1043" s="171" t="s">
        <v>116</v>
      </c>
      <c r="E1043" s="171" t="s">
        <v>42</v>
      </c>
      <c r="F1043" s="171" t="s">
        <v>248</v>
      </c>
      <c r="G1043" s="171" t="s">
        <v>112</v>
      </c>
      <c r="H1043" s="176">
        <v>1</v>
      </c>
      <c r="I1043" s="177">
        <v>0</v>
      </c>
      <c r="J1043" s="175">
        <v>46062</v>
      </c>
      <c r="K1043" s="171" t="s">
        <v>113</v>
      </c>
      <c r="L1043" s="171" t="s">
        <v>114</v>
      </c>
      <c r="M1043" s="178">
        <v>0</v>
      </c>
      <c r="N1043" s="176"/>
      <c r="O1043" s="176"/>
      <c r="P1043" s="179">
        <v>-20.43</v>
      </c>
    </row>
    <row r="1044" spans="1:16" ht="19.5" hidden="1" customHeight="1">
      <c r="A1044" s="171" t="s">
        <v>1469</v>
      </c>
      <c r="B1044" s="175">
        <v>46068</v>
      </c>
      <c r="C1044" s="171" t="s">
        <v>110</v>
      </c>
      <c r="D1044" s="171" t="s">
        <v>117</v>
      </c>
      <c r="E1044" s="171" t="s">
        <v>42</v>
      </c>
      <c r="F1044" s="171" t="s">
        <v>248</v>
      </c>
      <c r="G1044" s="171" t="s">
        <v>112</v>
      </c>
      <c r="H1044" s="176">
        <v>1</v>
      </c>
      <c r="I1044" s="177">
        <v>0</v>
      </c>
      <c r="J1044" s="175">
        <v>46062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0</v>
      </c>
    </row>
    <row r="1045" spans="1:16" ht="19.5" hidden="1" customHeight="1">
      <c r="A1045" s="171" t="s">
        <v>1469</v>
      </c>
      <c r="B1045" s="175">
        <v>46068</v>
      </c>
      <c r="C1045" s="171" t="s">
        <v>110</v>
      </c>
      <c r="D1045" s="171" t="s">
        <v>118</v>
      </c>
      <c r="E1045" s="171" t="s">
        <v>42</v>
      </c>
      <c r="F1045" s="171" t="s">
        <v>248</v>
      </c>
      <c r="G1045" s="171" t="s">
        <v>112</v>
      </c>
      <c r="H1045" s="176">
        <v>1</v>
      </c>
      <c r="I1045" s="177">
        <v>0</v>
      </c>
      <c r="J1045" s="175">
        <v>46062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-46.77</v>
      </c>
    </row>
    <row r="1046" spans="1:16" ht="19.5" hidden="1" customHeight="1">
      <c r="A1046" s="171" t="s">
        <v>1469</v>
      </c>
      <c r="B1046" s="175">
        <v>46068</v>
      </c>
      <c r="C1046" s="171" t="s">
        <v>115</v>
      </c>
      <c r="D1046" s="171" t="s">
        <v>119</v>
      </c>
      <c r="E1046" s="171" t="s">
        <v>42</v>
      </c>
      <c r="F1046" s="171" t="s">
        <v>248</v>
      </c>
      <c r="G1046" s="171" t="s">
        <v>112</v>
      </c>
      <c r="H1046" s="176">
        <v>1</v>
      </c>
      <c r="I1046" s="177">
        <v>0</v>
      </c>
      <c r="J1046" s="175">
        <v>46062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-15</v>
      </c>
    </row>
    <row r="1047" spans="1:16" ht="19.5" hidden="1" customHeight="1">
      <c r="A1047" s="171" t="s">
        <v>1349</v>
      </c>
      <c r="B1047" s="175">
        <v>46068</v>
      </c>
      <c r="C1047" s="171" t="s">
        <v>115</v>
      </c>
      <c r="D1047" s="171" t="s">
        <v>135</v>
      </c>
      <c r="E1047" s="171" t="s">
        <v>77</v>
      </c>
      <c r="F1047" s="171" t="s">
        <v>194</v>
      </c>
      <c r="G1047" s="171" t="s">
        <v>177</v>
      </c>
      <c r="H1047" s="176">
        <v>1</v>
      </c>
      <c r="I1047" s="177">
        <v>0</v>
      </c>
      <c r="J1047" s="175">
        <v>46064</v>
      </c>
      <c r="K1047" s="171" t="s">
        <v>125</v>
      </c>
      <c r="L1047" s="171" t="s">
        <v>125</v>
      </c>
      <c r="M1047" s="178">
        <v>0</v>
      </c>
      <c r="N1047" s="176"/>
      <c r="O1047" s="176"/>
      <c r="P1047" s="179">
        <v>48.4</v>
      </c>
    </row>
    <row r="1048" spans="1:16" ht="19.5" hidden="1" customHeight="1">
      <c r="A1048" s="171" t="s">
        <v>1470</v>
      </c>
      <c r="B1048" s="175">
        <v>46068</v>
      </c>
      <c r="C1048" s="171" t="s">
        <v>110</v>
      </c>
      <c r="D1048" s="171" t="s">
        <v>24</v>
      </c>
      <c r="E1048" s="171" t="s">
        <v>78</v>
      </c>
      <c r="F1048" s="171" t="s">
        <v>176</v>
      </c>
      <c r="G1048" s="171" t="s">
        <v>177</v>
      </c>
      <c r="H1048" s="176">
        <v>1</v>
      </c>
      <c r="I1048" s="177">
        <v>0</v>
      </c>
      <c r="J1048" s="175">
        <v>46063</v>
      </c>
      <c r="K1048" s="171" t="s">
        <v>113</v>
      </c>
      <c r="L1048" s="171" t="s">
        <v>114</v>
      </c>
      <c r="M1048" s="178">
        <v>0</v>
      </c>
      <c r="N1048" s="176"/>
      <c r="O1048" s="176">
        <v>44</v>
      </c>
      <c r="P1048" s="179">
        <v>-56.94</v>
      </c>
    </row>
    <row r="1049" spans="1:16" ht="19.5" hidden="1" customHeight="1">
      <c r="A1049" s="171" t="s">
        <v>1470</v>
      </c>
      <c r="B1049" s="175">
        <v>46068</v>
      </c>
      <c r="C1049" s="171" t="s">
        <v>115</v>
      </c>
      <c r="D1049" s="171" t="s">
        <v>116</v>
      </c>
      <c r="E1049" s="171" t="s">
        <v>78</v>
      </c>
      <c r="F1049" s="171" t="s">
        <v>176</v>
      </c>
      <c r="G1049" s="171" t="s">
        <v>177</v>
      </c>
      <c r="H1049" s="176">
        <v>1</v>
      </c>
      <c r="I1049" s="177">
        <v>0</v>
      </c>
      <c r="J1049" s="175">
        <v>46063</v>
      </c>
      <c r="K1049" s="171" t="s">
        <v>113</v>
      </c>
      <c r="L1049" s="171" t="s">
        <v>114</v>
      </c>
      <c r="M1049" s="178">
        <v>0</v>
      </c>
      <c r="N1049" s="176"/>
      <c r="O1049" s="176"/>
      <c r="P1049" s="179">
        <v>-12.95</v>
      </c>
    </row>
    <row r="1050" spans="1:16" ht="19.5" hidden="1" customHeight="1">
      <c r="A1050" s="171" t="s">
        <v>1470</v>
      </c>
      <c r="B1050" s="175">
        <v>46068</v>
      </c>
      <c r="C1050" s="171" t="s">
        <v>110</v>
      </c>
      <c r="D1050" s="171" t="s">
        <v>117</v>
      </c>
      <c r="E1050" s="171" t="s">
        <v>78</v>
      </c>
      <c r="F1050" s="171" t="s">
        <v>176</v>
      </c>
      <c r="G1050" s="171" t="s">
        <v>177</v>
      </c>
      <c r="H1050" s="176">
        <v>1</v>
      </c>
      <c r="I1050" s="177">
        <v>0</v>
      </c>
      <c r="J1050" s="175">
        <v>46063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0</v>
      </c>
    </row>
    <row r="1051" spans="1:16" ht="19.5" hidden="1" customHeight="1">
      <c r="A1051" s="171" t="s">
        <v>1470</v>
      </c>
      <c r="B1051" s="175">
        <v>46068</v>
      </c>
      <c r="C1051" s="171" t="s">
        <v>110</v>
      </c>
      <c r="D1051" s="171" t="s">
        <v>118</v>
      </c>
      <c r="E1051" s="171" t="s">
        <v>78</v>
      </c>
      <c r="F1051" s="171" t="s">
        <v>176</v>
      </c>
      <c r="G1051" s="171" t="s">
        <v>177</v>
      </c>
      <c r="H1051" s="176">
        <v>1</v>
      </c>
      <c r="I1051" s="177">
        <v>0</v>
      </c>
      <c r="J1051" s="175">
        <v>46063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-56.94</v>
      </c>
    </row>
    <row r="1052" spans="1:16" ht="19.5" hidden="1" customHeight="1">
      <c r="A1052" s="171" t="s">
        <v>1470</v>
      </c>
      <c r="B1052" s="175">
        <v>46068</v>
      </c>
      <c r="C1052" s="171" t="s">
        <v>115</v>
      </c>
      <c r="D1052" s="171" t="s">
        <v>119</v>
      </c>
      <c r="E1052" s="171" t="s">
        <v>78</v>
      </c>
      <c r="F1052" s="171" t="s">
        <v>176</v>
      </c>
      <c r="G1052" s="171" t="s">
        <v>177</v>
      </c>
      <c r="H1052" s="176">
        <v>1</v>
      </c>
      <c r="I1052" s="177">
        <v>0</v>
      </c>
      <c r="J1052" s="175">
        <v>46063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-15</v>
      </c>
    </row>
    <row r="1053" spans="1:16" ht="19.5" hidden="1" customHeight="1">
      <c r="A1053" s="171" t="s">
        <v>1471</v>
      </c>
      <c r="B1053" s="175">
        <v>46068</v>
      </c>
      <c r="C1053" s="171" t="s">
        <v>115</v>
      </c>
      <c r="D1053" s="171" t="s">
        <v>135</v>
      </c>
      <c r="E1053" s="171" t="s">
        <v>68</v>
      </c>
      <c r="F1053" s="171" t="s">
        <v>698</v>
      </c>
      <c r="G1053" s="171" t="s">
        <v>699</v>
      </c>
      <c r="H1053" s="176">
        <v>1</v>
      </c>
      <c r="I1053" s="177">
        <v>0</v>
      </c>
      <c r="J1053" s="175">
        <v>46068</v>
      </c>
      <c r="K1053" s="171" t="s">
        <v>125</v>
      </c>
      <c r="L1053" s="171" t="s">
        <v>125</v>
      </c>
      <c r="M1053" s="178">
        <v>0</v>
      </c>
      <c r="N1053" s="176"/>
      <c r="O1053" s="176"/>
      <c r="P1053" s="179">
        <v>-20.93</v>
      </c>
    </row>
    <row r="1054" spans="1:16" ht="19.5" hidden="1" customHeight="1">
      <c r="A1054" s="171" t="s">
        <v>1472</v>
      </c>
      <c r="B1054" s="175">
        <v>46068</v>
      </c>
      <c r="C1054" s="171" t="s">
        <v>115</v>
      </c>
      <c r="D1054" s="171" t="s">
        <v>135</v>
      </c>
      <c r="E1054" s="171" t="s">
        <v>79</v>
      </c>
      <c r="F1054" s="171" t="s">
        <v>441</v>
      </c>
      <c r="G1054" s="171" t="s">
        <v>177</v>
      </c>
      <c r="H1054" s="176">
        <v>1</v>
      </c>
      <c r="I1054" s="177">
        <v>0</v>
      </c>
      <c r="J1054" s="175">
        <v>46068</v>
      </c>
      <c r="K1054" s="171" t="s">
        <v>125</v>
      </c>
      <c r="L1054" s="171" t="s">
        <v>125</v>
      </c>
      <c r="M1054" s="178">
        <v>0</v>
      </c>
      <c r="N1054" s="176"/>
      <c r="O1054" s="176"/>
      <c r="P1054" s="179">
        <v>-39.9</v>
      </c>
    </row>
    <row r="1055" spans="1:16" ht="19.5" hidden="1" customHeight="1">
      <c r="A1055" s="171" t="s">
        <v>1473</v>
      </c>
      <c r="B1055" s="175">
        <v>46068</v>
      </c>
      <c r="C1055" s="171" t="s">
        <v>110</v>
      </c>
      <c r="D1055" s="171" t="s">
        <v>24</v>
      </c>
      <c r="E1055" s="171" t="s">
        <v>50</v>
      </c>
      <c r="F1055" s="171" t="s">
        <v>413</v>
      </c>
      <c r="G1055" s="171" t="s">
        <v>112</v>
      </c>
      <c r="H1055" s="176">
        <v>1</v>
      </c>
      <c r="I1055" s="177">
        <v>0</v>
      </c>
      <c r="J1055" s="175">
        <v>46019</v>
      </c>
      <c r="K1055" s="171" t="s">
        <v>113</v>
      </c>
      <c r="L1055" s="171" t="s">
        <v>114</v>
      </c>
      <c r="M1055" s="178">
        <v>0</v>
      </c>
      <c r="N1055" s="176"/>
      <c r="O1055" s="176">
        <v>39</v>
      </c>
      <c r="P1055" s="179">
        <v>-46.77</v>
      </c>
    </row>
    <row r="1056" spans="1:16" ht="19.5" hidden="1" customHeight="1">
      <c r="A1056" s="171" t="s">
        <v>1473</v>
      </c>
      <c r="B1056" s="175">
        <v>46068</v>
      </c>
      <c r="C1056" s="171" t="s">
        <v>110</v>
      </c>
      <c r="D1056" s="171" t="s">
        <v>117</v>
      </c>
      <c r="E1056" s="171" t="s">
        <v>50</v>
      </c>
      <c r="F1056" s="171" t="s">
        <v>413</v>
      </c>
      <c r="G1056" s="171" t="s">
        <v>112</v>
      </c>
      <c r="H1056" s="176">
        <v>1</v>
      </c>
      <c r="I1056" s="177">
        <v>0</v>
      </c>
      <c r="J1056" s="175">
        <v>46019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hidden="1" customHeight="1">
      <c r="A1057" s="171" t="s">
        <v>1473</v>
      </c>
      <c r="B1057" s="175">
        <v>46068</v>
      </c>
      <c r="C1057" s="171" t="s">
        <v>110</v>
      </c>
      <c r="D1057" s="171" t="s">
        <v>118</v>
      </c>
      <c r="E1057" s="171" t="s">
        <v>50</v>
      </c>
      <c r="F1057" s="171" t="s">
        <v>413</v>
      </c>
      <c r="G1057" s="171" t="s">
        <v>112</v>
      </c>
      <c r="H1057" s="176">
        <v>1</v>
      </c>
      <c r="I1057" s="177">
        <v>0</v>
      </c>
      <c r="J1057" s="175">
        <v>46019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hidden="1" customHeight="1">
      <c r="A1058" s="171" t="s">
        <v>1474</v>
      </c>
      <c r="B1058" s="175">
        <v>46068</v>
      </c>
      <c r="C1058" s="171" t="s">
        <v>115</v>
      </c>
      <c r="D1058" s="171" t="s">
        <v>135</v>
      </c>
      <c r="E1058" s="171" t="s">
        <v>78</v>
      </c>
      <c r="F1058" s="171" t="s">
        <v>176</v>
      </c>
      <c r="G1058" s="171" t="s">
        <v>177</v>
      </c>
      <c r="H1058" s="176">
        <v>1</v>
      </c>
      <c r="I1058" s="177">
        <v>0</v>
      </c>
      <c r="J1058" s="175">
        <v>46068</v>
      </c>
      <c r="K1058" s="171" t="s">
        <v>125</v>
      </c>
      <c r="L1058" s="171" t="s">
        <v>125</v>
      </c>
      <c r="M1058" s="178">
        <v>0</v>
      </c>
      <c r="N1058" s="176"/>
      <c r="O1058" s="176"/>
      <c r="P1058" s="179">
        <v>-43.22</v>
      </c>
    </row>
    <row r="1059" spans="1:16" ht="19.5" hidden="1" customHeight="1">
      <c r="A1059" s="171" t="s">
        <v>1475</v>
      </c>
      <c r="B1059" s="175">
        <v>46068</v>
      </c>
      <c r="C1059" s="171" t="s">
        <v>115</v>
      </c>
      <c r="D1059" s="171" t="s">
        <v>135</v>
      </c>
      <c r="E1059" s="171" t="s">
        <v>79</v>
      </c>
      <c r="F1059" s="171" t="s">
        <v>441</v>
      </c>
      <c r="G1059" s="171" t="s">
        <v>177</v>
      </c>
      <c r="H1059" s="176">
        <v>1</v>
      </c>
      <c r="I1059" s="177">
        <v>0</v>
      </c>
      <c r="J1059" s="175">
        <v>46068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-12.09</v>
      </c>
    </row>
    <row r="1060" spans="1:16" ht="19.5" hidden="1" customHeight="1">
      <c r="A1060" s="171" t="s">
        <v>1476</v>
      </c>
      <c r="B1060" s="175">
        <v>46068</v>
      </c>
      <c r="C1060" s="171" t="s">
        <v>110</v>
      </c>
      <c r="D1060" s="171" t="s">
        <v>24</v>
      </c>
      <c r="E1060" s="171" t="s">
        <v>45</v>
      </c>
      <c r="F1060" s="171" t="s">
        <v>162</v>
      </c>
      <c r="G1060" s="171" t="s">
        <v>163</v>
      </c>
      <c r="H1060" s="176">
        <v>1</v>
      </c>
      <c r="I1060" s="177">
        <v>0</v>
      </c>
      <c r="J1060" s="175">
        <v>46060</v>
      </c>
      <c r="K1060" s="171" t="s">
        <v>113</v>
      </c>
      <c r="L1060" s="171" t="s">
        <v>114</v>
      </c>
      <c r="M1060" s="178">
        <v>0</v>
      </c>
      <c r="N1060" s="176"/>
      <c r="O1060" s="176">
        <v>43</v>
      </c>
      <c r="P1060" s="179">
        <v>-46.77</v>
      </c>
    </row>
    <row r="1061" spans="1:16" ht="19.5" hidden="1" customHeight="1">
      <c r="A1061" s="171" t="s">
        <v>1476</v>
      </c>
      <c r="B1061" s="175">
        <v>46068</v>
      </c>
      <c r="C1061" s="171" t="s">
        <v>115</v>
      </c>
      <c r="D1061" s="171" t="s">
        <v>116</v>
      </c>
      <c r="E1061" s="171" t="s">
        <v>45</v>
      </c>
      <c r="F1061" s="171" t="s">
        <v>162</v>
      </c>
      <c r="G1061" s="171" t="s">
        <v>163</v>
      </c>
      <c r="H1061" s="176">
        <v>1</v>
      </c>
      <c r="I1061" s="177">
        <v>0</v>
      </c>
      <c r="J1061" s="175">
        <v>46060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-14.07</v>
      </c>
    </row>
    <row r="1062" spans="1:16" ht="19.5" hidden="1" customHeight="1">
      <c r="A1062" s="171" t="s">
        <v>1476</v>
      </c>
      <c r="B1062" s="175">
        <v>46068</v>
      </c>
      <c r="C1062" s="171" t="s">
        <v>110</v>
      </c>
      <c r="D1062" s="171" t="s">
        <v>117</v>
      </c>
      <c r="E1062" s="171" t="s">
        <v>45</v>
      </c>
      <c r="F1062" s="171" t="s">
        <v>162</v>
      </c>
      <c r="G1062" s="171" t="s">
        <v>163</v>
      </c>
      <c r="H1062" s="176">
        <v>1</v>
      </c>
      <c r="I1062" s="177">
        <v>0</v>
      </c>
      <c r="J1062" s="175">
        <v>46060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hidden="1" customHeight="1">
      <c r="A1063" s="171" t="s">
        <v>1476</v>
      </c>
      <c r="B1063" s="175">
        <v>46068</v>
      </c>
      <c r="C1063" s="171" t="s">
        <v>110</v>
      </c>
      <c r="D1063" s="171" t="s">
        <v>118</v>
      </c>
      <c r="E1063" s="171" t="s">
        <v>45</v>
      </c>
      <c r="F1063" s="171" t="s">
        <v>162</v>
      </c>
      <c r="G1063" s="171" t="s">
        <v>163</v>
      </c>
      <c r="H1063" s="176">
        <v>1</v>
      </c>
      <c r="I1063" s="177">
        <v>0</v>
      </c>
      <c r="J1063" s="175">
        <v>46060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-46.77</v>
      </c>
    </row>
    <row r="1064" spans="1:16" ht="19.5" hidden="1" customHeight="1">
      <c r="A1064" s="171" t="s">
        <v>1476</v>
      </c>
      <c r="B1064" s="175">
        <v>46068</v>
      </c>
      <c r="C1064" s="171" t="s">
        <v>115</v>
      </c>
      <c r="D1064" s="171" t="s">
        <v>119</v>
      </c>
      <c r="E1064" s="171" t="s">
        <v>45</v>
      </c>
      <c r="F1064" s="171" t="s">
        <v>162</v>
      </c>
      <c r="G1064" s="171" t="s">
        <v>163</v>
      </c>
      <c r="H1064" s="176">
        <v>1</v>
      </c>
      <c r="I1064" s="177">
        <v>0</v>
      </c>
      <c r="J1064" s="175">
        <v>46060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hidden="1" customHeight="1">
      <c r="A1065" s="171" t="s">
        <v>1388</v>
      </c>
      <c r="B1065" s="175">
        <v>46068</v>
      </c>
      <c r="C1065" s="171" t="s">
        <v>151</v>
      </c>
      <c r="D1065" s="171" t="s">
        <v>152</v>
      </c>
      <c r="E1065" s="171" t="s">
        <v>125</v>
      </c>
      <c r="F1065" s="171" t="s">
        <v>125</v>
      </c>
      <c r="G1065" s="171" t="s">
        <v>125</v>
      </c>
      <c r="H1065" s="176">
        <v>0</v>
      </c>
      <c r="I1065" s="177">
        <v>0</v>
      </c>
      <c r="J1065" s="175">
        <v>46068</v>
      </c>
      <c r="K1065" s="171" t="s">
        <v>125</v>
      </c>
      <c r="L1065" s="171" t="s">
        <v>125</v>
      </c>
      <c r="M1065" s="178">
        <v>0</v>
      </c>
      <c r="N1065" s="176"/>
      <c r="O1065" s="176"/>
      <c r="P1065" s="179">
        <v>-305.26</v>
      </c>
    </row>
    <row r="1066" spans="1:16" ht="19.5" hidden="1" customHeight="1">
      <c r="A1066" s="171" t="s">
        <v>1389</v>
      </c>
      <c r="B1066" s="175">
        <v>46068</v>
      </c>
      <c r="C1066" s="171" t="s">
        <v>151</v>
      </c>
      <c r="D1066" s="171" t="s">
        <v>152</v>
      </c>
      <c r="E1066" s="171" t="s">
        <v>125</v>
      </c>
      <c r="F1066" s="171" t="s">
        <v>125</v>
      </c>
      <c r="G1066" s="171" t="s">
        <v>125</v>
      </c>
      <c r="H1066" s="176">
        <v>0</v>
      </c>
      <c r="I1066" s="177">
        <v>0</v>
      </c>
      <c r="J1066" s="175">
        <v>46068</v>
      </c>
      <c r="K1066" s="171" t="s">
        <v>125</v>
      </c>
      <c r="L1066" s="171" t="s">
        <v>125</v>
      </c>
      <c r="M1066" s="178">
        <v>0</v>
      </c>
      <c r="N1066" s="176"/>
      <c r="O1066" s="176"/>
      <c r="P1066" s="179">
        <v>-290.73</v>
      </c>
    </row>
    <row r="1067" spans="1:16" ht="19.5" hidden="1" customHeight="1">
      <c r="A1067" s="171" t="s">
        <v>1390</v>
      </c>
      <c r="B1067" s="175">
        <v>46068</v>
      </c>
      <c r="C1067" s="171" t="s">
        <v>151</v>
      </c>
      <c r="D1067" s="171" t="s">
        <v>152</v>
      </c>
      <c r="E1067" s="171" t="s">
        <v>125</v>
      </c>
      <c r="F1067" s="171" t="s">
        <v>125</v>
      </c>
      <c r="G1067" s="171" t="s">
        <v>125</v>
      </c>
      <c r="H1067" s="176">
        <v>0</v>
      </c>
      <c r="I1067" s="177">
        <v>0</v>
      </c>
      <c r="J1067" s="175">
        <v>46068</v>
      </c>
      <c r="K1067" s="171" t="s">
        <v>125</v>
      </c>
      <c r="L1067" s="171" t="s">
        <v>125</v>
      </c>
      <c r="M1067" s="178">
        <v>0</v>
      </c>
      <c r="N1067" s="176"/>
      <c r="O1067" s="176"/>
      <c r="P1067" s="179">
        <v>-290.22000000000003</v>
      </c>
    </row>
    <row r="1068" spans="1:16" ht="19.5" hidden="1" customHeight="1">
      <c r="A1068" s="171" t="s">
        <v>1356</v>
      </c>
      <c r="B1068" s="175">
        <v>46068</v>
      </c>
      <c r="C1068" s="171" t="s">
        <v>151</v>
      </c>
      <c r="D1068" s="171" t="s">
        <v>152</v>
      </c>
      <c r="E1068" s="171" t="s">
        <v>125</v>
      </c>
      <c r="F1068" s="171" t="s">
        <v>125</v>
      </c>
      <c r="G1068" s="171" t="s">
        <v>125</v>
      </c>
      <c r="H1068" s="176">
        <v>0</v>
      </c>
      <c r="I1068" s="177">
        <v>0</v>
      </c>
      <c r="J1068" s="175">
        <v>46068</v>
      </c>
      <c r="K1068" s="171" t="s">
        <v>125</v>
      </c>
      <c r="L1068" s="171" t="s">
        <v>125</v>
      </c>
      <c r="M1068" s="178">
        <v>0</v>
      </c>
      <c r="N1068" s="176"/>
      <c r="O1068" s="176"/>
      <c r="P1068" s="179">
        <v>-285.89</v>
      </c>
    </row>
    <row r="1069" spans="1:16" ht="19.5" hidden="1" customHeight="1">
      <c r="A1069" s="171" t="s">
        <v>150</v>
      </c>
      <c r="B1069" s="175">
        <v>46068</v>
      </c>
      <c r="C1069" s="171" t="s">
        <v>151</v>
      </c>
      <c r="D1069" s="171" t="s">
        <v>152</v>
      </c>
      <c r="E1069" s="171" t="s">
        <v>125</v>
      </c>
      <c r="F1069" s="171" t="s">
        <v>125</v>
      </c>
      <c r="G1069" s="171" t="s">
        <v>125</v>
      </c>
      <c r="H1069" s="176">
        <v>0</v>
      </c>
      <c r="I1069" s="177">
        <v>0</v>
      </c>
      <c r="J1069" s="175">
        <v>46068</v>
      </c>
      <c r="K1069" s="171" t="s">
        <v>125</v>
      </c>
      <c r="L1069" s="171" t="s">
        <v>125</v>
      </c>
      <c r="M1069" s="178">
        <v>0</v>
      </c>
      <c r="N1069" s="176"/>
      <c r="O1069" s="176"/>
      <c r="P1069" s="179">
        <v>-858.66</v>
      </c>
    </row>
    <row r="1070" spans="1:16" ht="19.5" hidden="1" customHeight="1">
      <c r="A1070" s="171" t="s">
        <v>155</v>
      </c>
      <c r="B1070" s="175">
        <v>46068</v>
      </c>
      <c r="C1070" s="171" t="s">
        <v>151</v>
      </c>
      <c r="D1070" s="171" t="s">
        <v>156</v>
      </c>
      <c r="E1070" s="171" t="s">
        <v>125</v>
      </c>
      <c r="F1070" s="171" t="s">
        <v>125</v>
      </c>
      <c r="G1070" s="171" t="s">
        <v>125</v>
      </c>
      <c r="H1070" s="176">
        <v>0</v>
      </c>
      <c r="I1070" s="177">
        <v>0</v>
      </c>
      <c r="J1070" s="175">
        <v>46068</v>
      </c>
      <c r="K1070" s="171" t="s">
        <v>125</v>
      </c>
      <c r="L1070" s="171" t="s">
        <v>125</v>
      </c>
      <c r="M1070" s="178">
        <v>0</v>
      </c>
      <c r="N1070" s="176"/>
      <c r="O1070" s="176"/>
      <c r="P1070" s="179">
        <v>-6452.77</v>
      </c>
    </row>
  </sheetData>
  <autoFilter ref="A1:P1070" xr:uid="{47E0C241-421D-4F7C-866F-8648F44A13F4}">
    <filterColumn colId="2">
      <filters>
        <filter val="Другие услуги и штрафы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91A-B281-4A0C-8B8D-77D96F6DF0FD}">
  <dimension ref="A1:P1199"/>
  <sheetViews>
    <sheetView workbookViewId="0">
      <selection activeCell="C6" sqref="C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1013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1014</v>
      </c>
      <c r="B3" s="175">
        <v>46055</v>
      </c>
      <c r="C3" s="171" t="s">
        <v>110</v>
      </c>
      <c r="D3" s="171" t="s">
        <v>24</v>
      </c>
      <c r="E3" s="171" t="s">
        <v>77</v>
      </c>
      <c r="F3" s="171" t="s">
        <v>194</v>
      </c>
      <c r="G3" s="171" t="s">
        <v>177</v>
      </c>
      <c r="H3" s="176">
        <v>1</v>
      </c>
      <c r="I3" s="177">
        <v>0</v>
      </c>
      <c r="J3" s="175">
        <v>46047</v>
      </c>
      <c r="K3" s="171" t="s">
        <v>113</v>
      </c>
      <c r="L3" s="171" t="s">
        <v>114</v>
      </c>
      <c r="M3" s="178">
        <v>0</v>
      </c>
      <c r="N3" s="176"/>
      <c r="O3" s="176">
        <v>52</v>
      </c>
      <c r="P3" s="179">
        <v>-56.94</v>
      </c>
    </row>
    <row r="4" spans="1:16" ht="19.5" customHeight="1">
      <c r="A4" s="171" t="s">
        <v>1014</v>
      </c>
      <c r="B4" s="175">
        <v>46055</v>
      </c>
      <c r="C4" s="171" t="s">
        <v>115</v>
      </c>
      <c r="D4" s="171" t="s">
        <v>116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46047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-13.57</v>
      </c>
    </row>
    <row r="5" spans="1:16" ht="19.5" customHeight="1">
      <c r="A5" s="171" t="s">
        <v>1014</v>
      </c>
      <c r="B5" s="175">
        <v>46055</v>
      </c>
      <c r="C5" s="171" t="s">
        <v>110</v>
      </c>
      <c r="D5" s="171" t="s">
        <v>117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46047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1014</v>
      </c>
      <c r="B6" s="175">
        <v>46055</v>
      </c>
      <c r="C6" s="171" t="s">
        <v>110</v>
      </c>
      <c r="D6" s="171" t="s">
        <v>118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46047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-56.94</v>
      </c>
    </row>
    <row r="7" spans="1:16" ht="19.5" customHeight="1">
      <c r="A7" s="171" t="s">
        <v>1014</v>
      </c>
      <c r="B7" s="175">
        <v>46055</v>
      </c>
      <c r="C7" s="171" t="s">
        <v>115</v>
      </c>
      <c r="D7" s="171" t="s">
        <v>119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46047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1015</v>
      </c>
      <c r="B8" s="175">
        <v>46055</v>
      </c>
      <c r="C8" s="171" t="s">
        <v>110</v>
      </c>
      <c r="D8" s="171" t="s">
        <v>24</v>
      </c>
      <c r="E8" s="171" t="s">
        <v>54</v>
      </c>
      <c r="F8" s="171" t="s">
        <v>686</v>
      </c>
      <c r="G8" s="171" t="s">
        <v>687</v>
      </c>
      <c r="H8" s="176">
        <v>1</v>
      </c>
      <c r="I8" s="177">
        <v>0</v>
      </c>
      <c r="J8" s="175">
        <v>46044</v>
      </c>
      <c r="K8" s="171" t="s">
        <v>113</v>
      </c>
      <c r="L8" s="171" t="s">
        <v>114</v>
      </c>
      <c r="M8" s="178">
        <v>0</v>
      </c>
      <c r="N8" s="176"/>
      <c r="O8" s="176">
        <v>54</v>
      </c>
      <c r="P8" s="179">
        <v>-56.94</v>
      </c>
    </row>
    <row r="9" spans="1:16" ht="19.5" customHeight="1">
      <c r="A9" s="171" t="s">
        <v>1015</v>
      </c>
      <c r="B9" s="175">
        <v>46055</v>
      </c>
      <c r="C9" s="171" t="s">
        <v>115</v>
      </c>
      <c r="D9" s="171" t="s">
        <v>116</v>
      </c>
      <c r="E9" s="171" t="s">
        <v>54</v>
      </c>
      <c r="F9" s="171" t="s">
        <v>686</v>
      </c>
      <c r="G9" s="171" t="s">
        <v>687</v>
      </c>
      <c r="H9" s="176">
        <v>1</v>
      </c>
      <c r="I9" s="177">
        <v>0</v>
      </c>
      <c r="J9" s="175">
        <v>46044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-9.93</v>
      </c>
    </row>
    <row r="10" spans="1:16" ht="19.5" customHeight="1">
      <c r="A10" s="171" t="s">
        <v>1015</v>
      </c>
      <c r="B10" s="175">
        <v>46055</v>
      </c>
      <c r="C10" s="171" t="s">
        <v>110</v>
      </c>
      <c r="D10" s="171" t="s">
        <v>117</v>
      </c>
      <c r="E10" s="171" t="s">
        <v>54</v>
      </c>
      <c r="F10" s="171" t="s">
        <v>686</v>
      </c>
      <c r="G10" s="171" t="s">
        <v>687</v>
      </c>
      <c r="H10" s="176">
        <v>1</v>
      </c>
      <c r="I10" s="177">
        <v>0</v>
      </c>
      <c r="J10" s="175">
        <v>46044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1015</v>
      </c>
      <c r="B11" s="175">
        <v>46055</v>
      </c>
      <c r="C11" s="171" t="s">
        <v>110</v>
      </c>
      <c r="D11" s="171" t="s">
        <v>118</v>
      </c>
      <c r="E11" s="171" t="s">
        <v>54</v>
      </c>
      <c r="F11" s="171" t="s">
        <v>686</v>
      </c>
      <c r="G11" s="171" t="s">
        <v>687</v>
      </c>
      <c r="H11" s="176">
        <v>1</v>
      </c>
      <c r="I11" s="177">
        <v>0</v>
      </c>
      <c r="J11" s="175">
        <v>46044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1015</v>
      </c>
      <c r="B12" s="175">
        <v>46055</v>
      </c>
      <c r="C12" s="171" t="s">
        <v>115</v>
      </c>
      <c r="D12" s="171" t="s">
        <v>119</v>
      </c>
      <c r="E12" s="171" t="s">
        <v>54</v>
      </c>
      <c r="F12" s="171" t="s">
        <v>686</v>
      </c>
      <c r="G12" s="171" t="s">
        <v>687</v>
      </c>
      <c r="H12" s="176">
        <v>1</v>
      </c>
      <c r="I12" s="177">
        <v>0</v>
      </c>
      <c r="J12" s="175">
        <v>46044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1016</v>
      </c>
      <c r="B13" s="175">
        <v>46055</v>
      </c>
      <c r="C13" s="171" t="s">
        <v>110</v>
      </c>
      <c r="D13" s="171" t="s">
        <v>24</v>
      </c>
      <c r="E13" s="171" t="s">
        <v>62</v>
      </c>
      <c r="F13" s="171" t="s">
        <v>896</v>
      </c>
      <c r="G13" s="171" t="s">
        <v>177</v>
      </c>
      <c r="H13" s="176">
        <v>1</v>
      </c>
      <c r="I13" s="177">
        <v>0</v>
      </c>
      <c r="J13" s="175">
        <v>46046</v>
      </c>
      <c r="K13" s="171" t="s">
        <v>113</v>
      </c>
      <c r="L13" s="171" t="s">
        <v>114</v>
      </c>
      <c r="M13" s="178">
        <v>0</v>
      </c>
      <c r="N13" s="176"/>
      <c r="O13" s="176">
        <v>50</v>
      </c>
      <c r="P13" s="179">
        <v>-56.94</v>
      </c>
    </row>
    <row r="14" spans="1:16" ht="19.5" customHeight="1">
      <c r="A14" s="171" t="s">
        <v>1016</v>
      </c>
      <c r="B14" s="175">
        <v>46055</v>
      </c>
      <c r="C14" s="171" t="s">
        <v>115</v>
      </c>
      <c r="D14" s="171" t="s">
        <v>116</v>
      </c>
      <c r="E14" s="171" t="s">
        <v>62</v>
      </c>
      <c r="F14" s="171" t="s">
        <v>896</v>
      </c>
      <c r="G14" s="171" t="s">
        <v>177</v>
      </c>
      <c r="H14" s="176">
        <v>1</v>
      </c>
      <c r="I14" s="177">
        <v>0</v>
      </c>
      <c r="J14" s="175">
        <v>46046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-13.08</v>
      </c>
    </row>
    <row r="15" spans="1:16" ht="19.5" customHeight="1">
      <c r="A15" s="171" t="s">
        <v>1016</v>
      </c>
      <c r="B15" s="175">
        <v>46055</v>
      </c>
      <c r="C15" s="171" t="s">
        <v>110</v>
      </c>
      <c r="D15" s="171" t="s">
        <v>117</v>
      </c>
      <c r="E15" s="171" t="s">
        <v>62</v>
      </c>
      <c r="F15" s="171" t="s">
        <v>896</v>
      </c>
      <c r="G15" s="171" t="s">
        <v>177</v>
      </c>
      <c r="H15" s="176">
        <v>1</v>
      </c>
      <c r="I15" s="177">
        <v>0</v>
      </c>
      <c r="J15" s="175">
        <v>46046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1016</v>
      </c>
      <c r="B16" s="175">
        <v>46055</v>
      </c>
      <c r="C16" s="171" t="s">
        <v>110</v>
      </c>
      <c r="D16" s="171" t="s">
        <v>118</v>
      </c>
      <c r="E16" s="171" t="s">
        <v>62</v>
      </c>
      <c r="F16" s="171" t="s">
        <v>896</v>
      </c>
      <c r="G16" s="171" t="s">
        <v>177</v>
      </c>
      <c r="H16" s="176">
        <v>1</v>
      </c>
      <c r="I16" s="177">
        <v>0</v>
      </c>
      <c r="J16" s="175">
        <v>46046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1016</v>
      </c>
      <c r="B17" s="175">
        <v>46055</v>
      </c>
      <c r="C17" s="171" t="s">
        <v>115</v>
      </c>
      <c r="D17" s="171" t="s">
        <v>119</v>
      </c>
      <c r="E17" s="171" t="s">
        <v>62</v>
      </c>
      <c r="F17" s="171" t="s">
        <v>896</v>
      </c>
      <c r="G17" s="171" t="s">
        <v>177</v>
      </c>
      <c r="H17" s="176">
        <v>1</v>
      </c>
      <c r="I17" s="177">
        <v>0</v>
      </c>
      <c r="J17" s="175">
        <v>46046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1017</v>
      </c>
      <c r="B18" s="175">
        <v>46055</v>
      </c>
      <c r="C18" s="171" t="s">
        <v>115</v>
      </c>
      <c r="D18" s="171" t="s">
        <v>135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46055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-14.44</v>
      </c>
    </row>
    <row r="19" spans="1:16" ht="19.5" customHeight="1">
      <c r="A19" s="171" t="s">
        <v>1018</v>
      </c>
      <c r="B19" s="175">
        <v>46055</v>
      </c>
      <c r="C19" s="171" t="s">
        <v>110</v>
      </c>
      <c r="D19" s="171" t="s">
        <v>24</v>
      </c>
      <c r="E19" s="171" t="s">
        <v>78</v>
      </c>
      <c r="F19" s="171" t="s">
        <v>176</v>
      </c>
      <c r="G19" s="171" t="s">
        <v>177</v>
      </c>
      <c r="H19" s="176">
        <v>1</v>
      </c>
      <c r="I19" s="177">
        <v>0</v>
      </c>
      <c r="J19" s="175">
        <v>46052</v>
      </c>
      <c r="K19" s="171" t="s">
        <v>113</v>
      </c>
      <c r="L19" s="171" t="s">
        <v>114</v>
      </c>
      <c r="M19" s="178">
        <v>0</v>
      </c>
      <c r="N19" s="176"/>
      <c r="O19" s="176">
        <v>49</v>
      </c>
      <c r="P19" s="179">
        <v>-56.94</v>
      </c>
    </row>
    <row r="20" spans="1:16" ht="19.5" customHeight="1">
      <c r="A20" s="171" t="s">
        <v>1019</v>
      </c>
      <c r="B20" s="175">
        <v>46055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46040</v>
      </c>
      <c r="K20" s="171" t="s">
        <v>113</v>
      </c>
      <c r="L20" s="171" t="s">
        <v>114</v>
      </c>
      <c r="M20" s="178">
        <v>0</v>
      </c>
      <c r="N20" s="176"/>
      <c r="O20" s="176">
        <v>51</v>
      </c>
      <c r="P20" s="179">
        <v>-46.77</v>
      </c>
    </row>
    <row r="21" spans="1:16" ht="19.5" customHeight="1">
      <c r="A21" s="171" t="s">
        <v>1019</v>
      </c>
      <c r="B21" s="175">
        <v>46055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-8.7100000000000009</v>
      </c>
    </row>
    <row r="22" spans="1:16" ht="19.5" customHeight="1">
      <c r="A22" s="171" t="s">
        <v>1020</v>
      </c>
      <c r="B22" s="175">
        <v>46055</v>
      </c>
      <c r="C22" s="171" t="s">
        <v>110</v>
      </c>
      <c r="D22" s="171" t="s">
        <v>24</v>
      </c>
      <c r="E22" s="171" t="s">
        <v>78</v>
      </c>
      <c r="F22" s="171" t="s">
        <v>176</v>
      </c>
      <c r="G22" s="171" t="s">
        <v>177</v>
      </c>
      <c r="H22" s="176">
        <v>1</v>
      </c>
      <c r="I22" s="177">
        <v>5400</v>
      </c>
      <c r="J22" s="175">
        <v>46053</v>
      </c>
      <c r="K22" s="171" t="s">
        <v>113</v>
      </c>
      <c r="L22" s="171" t="s">
        <v>114</v>
      </c>
      <c r="M22" s="178">
        <v>0.43</v>
      </c>
      <c r="N22" s="176"/>
      <c r="O22" s="176">
        <v>48</v>
      </c>
      <c r="P22" s="179">
        <v>-295.61</v>
      </c>
    </row>
    <row r="23" spans="1:16" ht="19.5" customHeight="1">
      <c r="A23" s="171" t="s">
        <v>1020</v>
      </c>
      <c r="B23" s="175">
        <v>46055</v>
      </c>
      <c r="C23" s="171" t="s">
        <v>127</v>
      </c>
      <c r="D23" s="171" t="s">
        <v>128</v>
      </c>
      <c r="E23" s="171" t="s">
        <v>78</v>
      </c>
      <c r="F23" s="171" t="s">
        <v>176</v>
      </c>
      <c r="G23" s="171" t="s">
        <v>177</v>
      </c>
      <c r="H23" s="176">
        <v>1</v>
      </c>
      <c r="I23" s="177">
        <v>5400</v>
      </c>
      <c r="J23" s="175">
        <v>46053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2777.14</v>
      </c>
    </row>
    <row r="24" spans="1:16" ht="19.5" customHeight="1">
      <c r="A24" s="171" t="s">
        <v>1020</v>
      </c>
      <c r="B24" s="175">
        <v>46055</v>
      </c>
      <c r="C24" s="171" t="s">
        <v>127</v>
      </c>
      <c r="D24" s="171" t="s">
        <v>129</v>
      </c>
      <c r="E24" s="171" t="s">
        <v>78</v>
      </c>
      <c r="F24" s="171" t="s">
        <v>176</v>
      </c>
      <c r="G24" s="171" t="s">
        <v>177</v>
      </c>
      <c r="H24" s="176">
        <v>1</v>
      </c>
      <c r="I24" s="177">
        <v>5400</v>
      </c>
      <c r="J24" s="175">
        <v>46053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27.77</v>
      </c>
    </row>
    <row r="25" spans="1:16" ht="19.5" customHeight="1">
      <c r="A25" s="171" t="s">
        <v>1020</v>
      </c>
      <c r="B25" s="175">
        <v>46055</v>
      </c>
      <c r="C25" s="171" t="s">
        <v>127</v>
      </c>
      <c r="D25" s="171" t="s">
        <v>130</v>
      </c>
      <c r="E25" s="171" t="s">
        <v>78</v>
      </c>
      <c r="F25" s="171" t="s">
        <v>176</v>
      </c>
      <c r="G25" s="171" t="s">
        <v>177</v>
      </c>
      <c r="H25" s="176">
        <v>1</v>
      </c>
      <c r="I25" s="177">
        <v>5400</v>
      </c>
      <c r="J25" s="175">
        <v>46053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2595.09</v>
      </c>
    </row>
    <row r="26" spans="1:16" ht="19.5" customHeight="1">
      <c r="A26" s="171" t="s">
        <v>1020</v>
      </c>
      <c r="B26" s="175">
        <v>46055</v>
      </c>
      <c r="C26" s="171" t="s">
        <v>131</v>
      </c>
      <c r="D26" s="171" t="s">
        <v>132</v>
      </c>
      <c r="E26" s="171" t="s">
        <v>78</v>
      </c>
      <c r="F26" s="171" t="s">
        <v>176</v>
      </c>
      <c r="G26" s="171" t="s">
        <v>177</v>
      </c>
      <c r="H26" s="176">
        <v>1</v>
      </c>
      <c r="I26" s="177">
        <v>5400</v>
      </c>
      <c r="J26" s="175">
        <v>46053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-2322</v>
      </c>
    </row>
    <row r="27" spans="1:16" ht="19.5" customHeight="1">
      <c r="A27" s="171" t="s">
        <v>1020</v>
      </c>
      <c r="B27" s="175">
        <v>46055</v>
      </c>
      <c r="C27" s="171" t="s">
        <v>115</v>
      </c>
      <c r="D27" s="171" t="s">
        <v>116</v>
      </c>
      <c r="E27" s="171" t="s">
        <v>78</v>
      </c>
      <c r="F27" s="171" t="s">
        <v>176</v>
      </c>
      <c r="G27" s="171" t="s">
        <v>177</v>
      </c>
      <c r="H27" s="176">
        <v>1</v>
      </c>
      <c r="I27" s="177">
        <v>5400</v>
      </c>
      <c r="J27" s="175">
        <v>46053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-14.07</v>
      </c>
    </row>
    <row r="28" spans="1:16" ht="19.5" customHeight="1">
      <c r="A28" s="171" t="s">
        <v>1019</v>
      </c>
      <c r="B28" s="175">
        <v>46055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1019</v>
      </c>
      <c r="B29" s="175">
        <v>46055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1019</v>
      </c>
      <c r="B30" s="175">
        <v>46055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1018</v>
      </c>
      <c r="B31" s="175">
        <v>46055</v>
      </c>
      <c r="C31" s="171" t="s">
        <v>110</v>
      </c>
      <c r="D31" s="171" t="s">
        <v>117</v>
      </c>
      <c r="E31" s="171" t="s">
        <v>78</v>
      </c>
      <c r="F31" s="171" t="s">
        <v>176</v>
      </c>
      <c r="G31" s="171" t="s">
        <v>177</v>
      </c>
      <c r="H31" s="176">
        <v>1</v>
      </c>
      <c r="I31" s="177">
        <v>0</v>
      </c>
      <c r="J31" s="175">
        <v>46052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1018</v>
      </c>
      <c r="B32" s="175">
        <v>46055</v>
      </c>
      <c r="C32" s="171" t="s">
        <v>110</v>
      </c>
      <c r="D32" s="171" t="s">
        <v>118</v>
      </c>
      <c r="E32" s="171" t="s">
        <v>78</v>
      </c>
      <c r="F32" s="171" t="s">
        <v>176</v>
      </c>
      <c r="G32" s="171" t="s">
        <v>177</v>
      </c>
      <c r="H32" s="176">
        <v>1</v>
      </c>
      <c r="I32" s="177">
        <v>0</v>
      </c>
      <c r="J32" s="175">
        <v>46052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1020</v>
      </c>
      <c r="B33" s="175">
        <v>46055</v>
      </c>
      <c r="C33" s="171" t="s">
        <v>115</v>
      </c>
      <c r="D33" s="171" t="s">
        <v>135</v>
      </c>
      <c r="E33" s="171" t="s">
        <v>78</v>
      </c>
      <c r="F33" s="171" t="s">
        <v>176</v>
      </c>
      <c r="G33" s="171" t="s">
        <v>177</v>
      </c>
      <c r="H33" s="176">
        <v>1</v>
      </c>
      <c r="I33" s="177">
        <v>0</v>
      </c>
      <c r="J33" s="175">
        <v>46053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-52.77</v>
      </c>
    </row>
    <row r="34" spans="1:16" ht="19.5" customHeight="1">
      <c r="A34" s="171" t="s">
        <v>761</v>
      </c>
      <c r="B34" s="175">
        <v>46055</v>
      </c>
      <c r="C34" s="171" t="s">
        <v>110</v>
      </c>
      <c r="D34" s="171" t="s">
        <v>121</v>
      </c>
      <c r="E34" s="171" t="s">
        <v>48</v>
      </c>
      <c r="F34" s="171" t="s">
        <v>198</v>
      </c>
      <c r="G34" s="171" t="s">
        <v>112</v>
      </c>
      <c r="H34" s="176">
        <v>1</v>
      </c>
      <c r="I34" s="177">
        <v>0</v>
      </c>
      <c r="J34" s="175">
        <v>46044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761</v>
      </c>
      <c r="B35" s="175">
        <v>46055</v>
      </c>
      <c r="C35" s="171" t="s">
        <v>110</v>
      </c>
      <c r="D35" s="171" t="s">
        <v>118</v>
      </c>
      <c r="E35" s="171" t="s">
        <v>48</v>
      </c>
      <c r="F35" s="171" t="s">
        <v>198</v>
      </c>
      <c r="G35" s="171" t="s">
        <v>112</v>
      </c>
      <c r="H35" s="176">
        <v>1</v>
      </c>
      <c r="I35" s="177">
        <v>0</v>
      </c>
      <c r="J35" s="175">
        <v>46044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-46.77</v>
      </c>
    </row>
    <row r="36" spans="1:16" ht="19.5" customHeight="1">
      <c r="A36" s="171" t="s">
        <v>761</v>
      </c>
      <c r="B36" s="175">
        <v>46055</v>
      </c>
      <c r="C36" s="171" t="s">
        <v>115</v>
      </c>
      <c r="D36" s="171" t="s">
        <v>119</v>
      </c>
      <c r="E36" s="171" t="s">
        <v>48</v>
      </c>
      <c r="F36" s="171" t="s">
        <v>198</v>
      </c>
      <c r="G36" s="171" t="s">
        <v>112</v>
      </c>
      <c r="H36" s="176">
        <v>1</v>
      </c>
      <c r="I36" s="177">
        <v>0</v>
      </c>
      <c r="J36" s="175">
        <v>46044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1021</v>
      </c>
      <c r="B37" s="175">
        <v>46055</v>
      </c>
      <c r="C37" s="171" t="s">
        <v>110</v>
      </c>
      <c r="D37" s="171" t="s">
        <v>24</v>
      </c>
      <c r="E37" s="171" t="s">
        <v>78</v>
      </c>
      <c r="F37" s="171" t="s">
        <v>176</v>
      </c>
      <c r="G37" s="171" t="s">
        <v>177</v>
      </c>
      <c r="H37" s="176">
        <v>1</v>
      </c>
      <c r="I37" s="177">
        <v>4940</v>
      </c>
      <c r="J37" s="175">
        <v>46048</v>
      </c>
      <c r="K37" s="171" t="s">
        <v>113</v>
      </c>
      <c r="L37" s="171" t="s">
        <v>114</v>
      </c>
      <c r="M37" s="178">
        <v>0.43</v>
      </c>
      <c r="N37" s="176"/>
      <c r="O37" s="176">
        <v>51</v>
      </c>
      <c r="P37" s="179">
        <v>-290.97000000000003</v>
      </c>
    </row>
    <row r="38" spans="1:16" ht="19.5" customHeight="1">
      <c r="A38" s="171" t="s">
        <v>1021</v>
      </c>
      <c r="B38" s="175">
        <v>46055</v>
      </c>
      <c r="C38" s="171" t="s">
        <v>127</v>
      </c>
      <c r="D38" s="171" t="s">
        <v>128</v>
      </c>
      <c r="E38" s="171" t="s">
        <v>78</v>
      </c>
      <c r="F38" s="171" t="s">
        <v>176</v>
      </c>
      <c r="G38" s="171" t="s">
        <v>177</v>
      </c>
      <c r="H38" s="176">
        <v>1</v>
      </c>
      <c r="I38" s="177">
        <v>4940</v>
      </c>
      <c r="J38" s="175">
        <v>46048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1999.05</v>
      </c>
    </row>
    <row r="39" spans="1:16" ht="19.5" customHeight="1">
      <c r="A39" s="171" t="s">
        <v>1021</v>
      </c>
      <c r="B39" s="175">
        <v>46055</v>
      </c>
      <c r="C39" s="171" t="s">
        <v>127</v>
      </c>
      <c r="D39" s="171" t="s">
        <v>129</v>
      </c>
      <c r="E39" s="171" t="s">
        <v>78</v>
      </c>
      <c r="F39" s="171" t="s">
        <v>176</v>
      </c>
      <c r="G39" s="171" t="s">
        <v>177</v>
      </c>
      <c r="H39" s="176">
        <v>1</v>
      </c>
      <c r="I39" s="177">
        <v>4940</v>
      </c>
      <c r="J39" s="175">
        <v>46048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19.989999999999998</v>
      </c>
    </row>
    <row r="40" spans="1:16" ht="19.5" customHeight="1">
      <c r="A40" s="171" t="s">
        <v>1021</v>
      </c>
      <c r="B40" s="175">
        <v>46055</v>
      </c>
      <c r="C40" s="171" t="s">
        <v>127</v>
      </c>
      <c r="D40" s="171" t="s">
        <v>130</v>
      </c>
      <c r="E40" s="171" t="s">
        <v>78</v>
      </c>
      <c r="F40" s="171" t="s">
        <v>176</v>
      </c>
      <c r="G40" s="171" t="s">
        <v>177</v>
      </c>
      <c r="H40" s="176">
        <v>1</v>
      </c>
      <c r="I40" s="177">
        <v>4940</v>
      </c>
      <c r="J40" s="175">
        <v>46048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2920.96</v>
      </c>
    </row>
    <row r="41" spans="1:16" ht="19.5" customHeight="1">
      <c r="A41" s="171" t="s">
        <v>1021</v>
      </c>
      <c r="B41" s="175">
        <v>46055</v>
      </c>
      <c r="C41" s="171" t="s">
        <v>131</v>
      </c>
      <c r="D41" s="171" t="s">
        <v>132</v>
      </c>
      <c r="E41" s="171" t="s">
        <v>78</v>
      </c>
      <c r="F41" s="171" t="s">
        <v>176</v>
      </c>
      <c r="G41" s="171" t="s">
        <v>177</v>
      </c>
      <c r="H41" s="176">
        <v>1</v>
      </c>
      <c r="I41" s="177">
        <v>4940</v>
      </c>
      <c r="J41" s="175">
        <v>46048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-2124.1999999999998</v>
      </c>
    </row>
    <row r="42" spans="1:16" ht="19.5" customHeight="1">
      <c r="A42" s="171" t="s">
        <v>1021</v>
      </c>
      <c r="B42" s="175">
        <v>46055</v>
      </c>
      <c r="C42" s="171" t="s">
        <v>115</v>
      </c>
      <c r="D42" s="171" t="s">
        <v>116</v>
      </c>
      <c r="E42" s="171" t="s">
        <v>78</v>
      </c>
      <c r="F42" s="171" t="s">
        <v>176</v>
      </c>
      <c r="G42" s="171" t="s">
        <v>177</v>
      </c>
      <c r="H42" s="176">
        <v>1</v>
      </c>
      <c r="I42" s="177">
        <v>4940</v>
      </c>
      <c r="J42" s="175">
        <v>46048</v>
      </c>
      <c r="K42" s="171" t="s">
        <v>113</v>
      </c>
      <c r="L42" s="171" t="s">
        <v>114</v>
      </c>
      <c r="M42" s="178">
        <v>0.43</v>
      </c>
      <c r="N42" s="176"/>
      <c r="O42" s="176"/>
      <c r="P42" s="179">
        <v>-12.68</v>
      </c>
    </row>
    <row r="43" spans="1:16" ht="19.5" customHeight="1">
      <c r="A43" s="171" t="s">
        <v>1022</v>
      </c>
      <c r="B43" s="175">
        <v>46055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0</v>
      </c>
      <c r="J43" s="175">
        <v>46038</v>
      </c>
      <c r="K43" s="171" t="s">
        <v>113</v>
      </c>
      <c r="L43" s="171" t="s">
        <v>114</v>
      </c>
      <c r="M43" s="178">
        <v>0</v>
      </c>
      <c r="N43" s="176"/>
      <c r="O43" s="176">
        <v>48</v>
      </c>
      <c r="P43" s="179">
        <v>-46.77</v>
      </c>
    </row>
    <row r="44" spans="1:16" ht="19.5" customHeight="1">
      <c r="A44" s="171" t="s">
        <v>1022</v>
      </c>
      <c r="B44" s="175">
        <v>46055</v>
      </c>
      <c r="C44" s="171" t="s">
        <v>115</v>
      </c>
      <c r="D44" s="171" t="s">
        <v>116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0</v>
      </c>
      <c r="J44" s="175">
        <v>46038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-10.33</v>
      </c>
    </row>
    <row r="45" spans="1:16" ht="19.5" customHeight="1">
      <c r="A45" s="171" t="s">
        <v>1023</v>
      </c>
      <c r="B45" s="175">
        <v>46055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46047</v>
      </c>
      <c r="K45" s="171" t="s">
        <v>113</v>
      </c>
      <c r="L45" s="171" t="s">
        <v>114</v>
      </c>
      <c r="M45" s="178">
        <v>0.43</v>
      </c>
      <c r="N45" s="176"/>
      <c r="O45" s="176">
        <v>52</v>
      </c>
      <c r="P45" s="179">
        <v>-147.6</v>
      </c>
    </row>
    <row r="46" spans="1:16" ht="19.5" customHeight="1">
      <c r="A46" s="171" t="s">
        <v>1023</v>
      </c>
      <c r="B46" s="175">
        <v>46055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835.24</v>
      </c>
    </row>
    <row r="47" spans="1:16" ht="19.5" customHeight="1">
      <c r="A47" s="171" t="s">
        <v>1023</v>
      </c>
      <c r="B47" s="175">
        <v>46055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0</v>
      </c>
    </row>
    <row r="48" spans="1:16" ht="19.5" customHeight="1">
      <c r="A48" s="171" t="s">
        <v>1023</v>
      </c>
      <c r="B48" s="175">
        <v>46055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1670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834.76</v>
      </c>
    </row>
    <row r="49" spans="1:16" ht="19.5" customHeight="1">
      <c r="A49" s="171" t="s">
        <v>1023</v>
      </c>
      <c r="B49" s="175">
        <v>46055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1670</v>
      </c>
      <c r="J49" s="175">
        <v>46047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-718.1</v>
      </c>
    </row>
    <row r="50" spans="1:16" ht="19.5" customHeight="1">
      <c r="A50" s="171" t="s">
        <v>1022</v>
      </c>
      <c r="B50" s="175">
        <v>46055</v>
      </c>
      <c r="C50" s="171" t="s">
        <v>110</v>
      </c>
      <c r="D50" s="171" t="s">
        <v>117</v>
      </c>
      <c r="E50" s="171" t="s">
        <v>39</v>
      </c>
      <c r="F50" s="171" t="s">
        <v>141</v>
      </c>
      <c r="G50" s="171" t="s">
        <v>112</v>
      </c>
      <c r="H50" s="176">
        <v>1</v>
      </c>
      <c r="I50" s="177">
        <v>0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0</v>
      </c>
    </row>
    <row r="51" spans="1:16" ht="19.5" customHeight="1">
      <c r="A51" s="171" t="s">
        <v>1022</v>
      </c>
      <c r="B51" s="175">
        <v>46055</v>
      </c>
      <c r="C51" s="171" t="s">
        <v>110</v>
      </c>
      <c r="D51" s="171" t="s">
        <v>118</v>
      </c>
      <c r="E51" s="171" t="s">
        <v>39</v>
      </c>
      <c r="F51" s="171" t="s">
        <v>141</v>
      </c>
      <c r="G51" s="171" t="s">
        <v>112</v>
      </c>
      <c r="H51" s="176">
        <v>1</v>
      </c>
      <c r="I51" s="177">
        <v>0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-46.77</v>
      </c>
    </row>
    <row r="52" spans="1:16" ht="19.5" customHeight="1">
      <c r="A52" s="171" t="s">
        <v>1022</v>
      </c>
      <c r="B52" s="175">
        <v>46055</v>
      </c>
      <c r="C52" s="171" t="s">
        <v>115</v>
      </c>
      <c r="D52" s="171" t="s">
        <v>119</v>
      </c>
      <c r="E52" s="171" t="s">
        <v>39</v>
      </c>
      <c r="F52" s="171" t="s">
        <v>141</v>
      </c>
      <c r="G52" s="171" t="s">
        <v>112</v>
      </c>
      <c r="H52" s="176">
        <v>1</v>
      </c>
      <c r="I52" s="177">
        <v>0</v>
      </c>
      <c r="J52" s="175">
        <v>46038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-15</v>
      </c>
    </row>
    <row r="53" spans="1:16" ht="19.5" customHeight="1">
      <c r="A53" s="171" t="s">
        <v>1021</v>
      </c>
      <c r="B53" s="175">
        <v>46055</v>
      </c>
      <c r="C53" s="171" t="s">
        <v>115</v>
      </c>
      <c r="D53" s="171" t="s">
        <v>135</v>
      </c>
      <c r="E53" s="171" t="s">
        <v>78</v>
      </c>
      <c r="F53" s="171" t="s">
        <v>176</v>
      </c>
      <c r="G53" s="171" t="s">
        <v>177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-37.979999999999997</v>
      </c>
    </row>
    <row r="54" spans="1:16" ht="19.5" customHeight="1">
      <c r="A54" s="171" t="s">
        <v>845</v>
      </c>
      <c r="B54" s="175">
        <v>46055</v>
      </c>
      <c r="C54" s="171" t="s">
        <v>110</v>
      </c>
      <c r="D54" s="171" t="s">
        <v>121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46049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845</v>
      </c>
      <c r="B55" s="175">
        <v>46055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46049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845</v>
      </c>
      <c r="B56" s="175">
        <v>46055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46049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1024</v>
      </c>
      <c r="B57" s="175">
        <v>46055</v>
      </c>
      <c r="C57" s="171" t="s">
        <v>110</v>
      </c>
      <c r="D57" s="171" t="s">
        <v>24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0</v>
      </c>
      <c r="J57" s="175">
        <v>46049</v>
      </c>
      <c r="K57" s="171" t="s">
        <v>113</v>
      </c>
      <c r="L57" s="171" t="s">
        <v>114</v>
      </c>
      <c r="M57" s="178">
        <v>0</v>
      </c>
      <c r="N57" s="176"/>
      <c r="O57" s="176">
        <v>51</v>
      </c>
      <c r="P57" s="179">
        <v>-56.94</v>
      </c>
    </row>
    <row r="58" spans="1:16" ht="19.5" customHeight="1">
      <c r="A58" s="171" t="s">
        <v>1024</v>
      </c>
      <c r="B58" s="175">
        <v>46055</v>
      </c>
      <c r="C58" s="171" t="s">
        <v>115</v>
      </c>
      <c r="D58" s="171" t="s">
        <v>116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0</v>
      </c>
      <c r="J58" s="175">
        <v>46049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-12.72</v>
      </c>
    </row>
    <row r="59" spans="1:16" ht="19.5" customHeight="1">
      <c r="A59" s="171" t="s">
        <v>1024</v>
      </c>
      <c r="B59" s="175">
        <v>46055</v>
      </c>
      <c r="C59" s="171" t="s">
        <v>110</v>
      </c>
      <c r="D59" s="171" t="s">
        <v>117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0</v>
      </c>
      <c r="J59" s="175">
        <v>46049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0</v>
      </c>
    </row>
    <row r="60" spans="1:16" ht="19.5" customHeight="1">
      <c r="A60" s="171" t="s">
        <v>1024</v>
      </c>
      <c r="B60" s="175">
        <v>46055</v>
      </c>
      <c r="C60" s="171" t="s">
        <v>110</v>
      </c>
      <c r="D60" s="171" t="s">
        <v>118</v>
      </c>
      <c r="E60" s="171" t="s">
        <v>78</v>
      </c>
      <c r="F60" s="171" t="s">
        <v>176</v>
      </c>
      <c r="G60" s="171" t="s">
        <v>177</v>
      </c>
      <c r="H60" s="176">
        <v>1</v>
      </c>
      <c r="I60" s="177">
        <v>0</v>
      </c>
      <c r="J60" s="175">
        <v>46049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-56.94</v>
      </c>
    </row>
    <row r="61" spans="1:16" ht="19.5" customHeight="1">
      <c r="A61" s="171" t="s">
        <v>1024</v>
      </c>
      <c r="B61" s="175">
        <v>46055</v>
      </c>
      <c r="C61" s="171" t="s">
        <v>115</v>
      </c>
      <c r="D61" s="171" t="s">
        <v>119</v>
      </c>
      <c r="E61" s="171" t="s">
        <v>78</v>
      </c>
      <c r="F61" s="171" t="s">
        <v>176</v>
      </c>
      <c r="G61" s="171" t="s">
        <v>177</v>
      </c>
      <c r="H61" s="176">
        <v>1</v>
      </c>
      <c r="I61" s="177">
        <v>0</v>
      </c>
      <c r="J61" s="175">
        <v>46049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-15</v>
      </c>
    </row>
    <row r="62" spans="1:16" ht="19.5" customHeight="1">
      <c r="A62" s="171" t="s">
        <v>1025</v>
      </c>
      <c r="B62" s="175">
        <v>46055</v>
      </c>
      <c r="C62" s="171" t="s">
        <v>110</v>
      </c>
      <c r="D62" s="171" t="s">
        <v>24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1800</v>
      </c>
      <c r="J62" s="175">
        <v>46050</v>
      </c>
      <c r="K62" s="171" t="s">
        <v>113</v>
      </c>
      <c r="L62" s="171" t="s">
        <v>114</v>
      </c>
      <c r="M62" s="178">
        <v>0.43</v>
      </c>
      <c r="N62" s="176"/>
      <c r="O62" s="176">
        <v>50</v>
      </c>
      <c r="P62" s="179">
        <v>-150.72</v>
      </c>
    </row>
    <row r="63" spans="1:16" ht="19.5" customHeight="1">
      <c r="A63" s="171" t="s">
        <v>1025</v>
      </c>
      <c r="B63" s="175">
        <v>46055</v>
      </c>
      <c r="C63" s="171" t="s">
        <v>127</v>
      </c>
      <c r="D63" s="171" t="s">
        <v>128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1800</v>
      </c>
      <c r="J63" s="175">
        <v>46050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748.1</v>
      </c>
    </row>
    <row r="64" spans="1:16" ht="19.5" customHeight="1">
      <c r="A64" s="171" t="s">
        <v>1025</v>
      </c>
      <c r="B64" s="175">
        <v>46055</v>
      </c>
      <c r="C64" s="171" t="s">
        <v>127</v>
      </c>
      <c r="D64" s="171" t="s">
        <v>129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1800</v>
      </c>
      <c r="J64" s="175">
        <v>46050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7.48</v>
      </c>
    </row>
    <row r="65" spans="1:16" ht="19.5" customHeight="1">
      <c r="A65" s="171" t="s">
        <v>1025</v>
      </c>
      <c r="B65" s="175">
        <v>46055</v>
      </c>
      <c r="C65" s="171" t="s">
        <v>127</v>
      </c>
      <c r="D65" s="171" t="s">
        <v>130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1800</v>
      </c>
      <c r="J65" s="175">
        <v>46050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1044.42</v>
      </c>
    </row>
    <row r="66" spans="1:16" ht="19.5" customHeight="1">
      <c r="A66" s="171" t="s">
        <v>1025</v>
      </c>
      <c r="B66" s="175">
        <v>46055</v>
      </c>
      <c r="C66" s="171" t="s">
        <v>131</v>
      </c>
      <c r="D66" s="171" t="s">
        <v>132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1800</v>
      </c>
      <c r="J66" s="175">
        <v>46050</v>
      </c>
      <c r="K66" s="171" t="s">
        <v>113</v>
      </c>
      <c r="L66" s="171" t="s">
        <v>114</v>
      </c>
      <c r="M66" s="178">
        <v>0.43</v>
      </c>
      <c r="N66" s="176"/>
      <c r="O66" s="176"/>
      <c r="P66" s="179">
        <v>-774</v>
      </c>
    </row>
    <row r="67" spans="1:16" ht="19.5" customHeight="1">
      <c r="A67" s="171" t="s">
        <v>1025</v>
      </c>
      <c r="B67" s="175">
        <v>46055</v>
      </c>
      <c r="C67" s="171" t="s">
        <v>115</v>
      </c>
      <c r="D67" s="171" t="s">
        <v>116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1800</v>
      </c>
      <c r="J67" s="175">
        <v>46050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-9.66</v>
      </c>
    </row>
    <row r="68" spans="1:16" ht="19.5" customHeight="1">
      <c r="A68" s="171" t="s">
        <v>1025</v>
      </c>
      <c r="B68" s="175">
        <v>46055</v>
      </c>
      <c r="C68" s="171" t="s">
        <v>115</v>
      </c>
      <c r="D68" s="171" t="s">
        <v>135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0</v>
      </c>
      <c r="J68" s="175">
        <v>46050</v>
      </c>
      <c r="K68" s="171" t="s">
        <v>125</v>
      </c>
      <c r="L68" s="171" t="s">
        <v>125</v>
      </c>
      <c r="M68" s="178">
        <v>0</v>
      </c>
      <c r="N68" s="176"/>
      <c r="O68" s="176"/>
      <c r="P68" s="179">
        <v>-14.21</v>
      </c>
    </row>
    <row r="69" spans="1:16" ht="19.5" customHeight="1">
      <c r="A69" s="171" t="s">
        <v>1026</v>
      </c>
      <c r="B69" s="175">
        <v>46055</v>
      </c>
      <c r="C69" s="171" t="s">
        <v>110</v>
      </c>
      <c r="D69" s="171" t="s">
        <v>24</v>
      </c>
      <c r="E69" s="171" t="s">
        <v>77</v>
      </c>
      <c r="F69" s="171" t="s">
        <v>194</v>
      </c>
      <c r="G69" s="171" t="s">
        <v>177</v>
      </c>
      <c r="H69" s="176">
        <v>1</v>
      </c>
      <c r="I69" s="177">
        <v>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>
        <v>50</v>
      </c>
      <c r="P69" s="179">
        <v>-56.94</v>
      </c>
    </row>
    <row r="70" spans="1:16" ht="19.5" customHeight="1">
      <c r="A70" s="171" t="s">
        <v>1026</v>
      </c>
      <c r="B70" s="175">
        <v>46055</v>
      </c>
      <c r="C70" s="171" t="s">
        <v>115</v>
      </c>
      <c r="D70" s="171" t="s">
        <v>116</v>
      </c>
      <c r="E70" s="171" t="s">
        <v>77</v>
      </c>
      <c r="F70" s="171" t="s">
        <v>194</v>
      </c>
      <c r="G70" s="171" t="s">
        <v>177</v>
      </c>
      <c r="H70" s="176">
        <v>1</v>
      </c>
      <c r="I70" s="177">
        <v>0</v>
      </c>
      <c r="J70" s="175">
        <v>46046</v>
      </c>
      <c r="K70" s="171" t="s">
        <v>113</v>
      </c>
      <c r="L70" s="171" t="s">
        <v>114</v>
      </c>
      <c r="M70" s="178">
        <v>0</v>
      </c>
      <c r="N70" s="176"/>
      <c r="O70" s="176"/>
      <c r="P70" s="179">
        <v>-11.5</v>
      </c>
    </row>
    <row r="71" spans="1:16" ht="19.5" customHeight="1">
      <c r="A71" s="171" t="s">
        <v>1027</v>
      </c>
      <c r="B71" s="175">
        <v>46055</v>
      </c>
      <c r="C71" s="171" t="s">
        <v>110</v>
      </c>
      <c r="D71" s="171" t="s">
        <v>24</v>
      </c>
      <c r="E71" s="171" t="s">
        <v>77</v>
      </c>
      <c r="F71" s="171" t="s">
        <v>194</v>
      </c>
      <c r="G71" s="171" t="s">
        <v>177</v>
      </c>
      <c r="H71" s="176">
        <v>1</v>
      </c>
      <c r="I71" s="177">
        <v>0</v>
      </c>
      <c r="J71" s="175">
        <v>46046</v>
      </c>
      <c r="K71" s="171" t="s">
        <v>113</v>
      </c>
      <c r="L71" s="171" t="s">
        <v>114</v>
      </c>
      <c r="M71" s="178">
        <v>0</v>
      </c>
      <c r="N71" s="176"/>
      <c r="O71" s="176">
        <v>50</v>
      </c>
      <c r="P71" s="179">
        <v>-56.94</v>
      </c>
    </row>
    <row r="72" spans="1:16" ht="19.5" customHeight="1">
      <c r="A72" s="171" t="s">
        <v>1027</v>
      </c>
      <c r="B72" s="175">
        <v>46055</v>
      </c>
      <c r="C72" s="171" t="s">
        <v>115</v>
      </c>
      <c r="D72" s="171" t="s">
        <v>116</v>
      </c>
      <c r="E72" s="171" t="s">
        <v>77</v>
      </c>
      <c r="F72" s="171" t="s">
        <v>194</v>
      </c>
      <c r="G72" s="171" t="s">
        <v>177</v>
      </c>
      <c r="H72" s="176">
        <v>1</v>
      </c>
      <c r="I72" s="177">
        <v>0</v>
      </c>
      <c r="J72" s="175">
        <v>46046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-16.940000000000001</v>
      </c>
    </row>
    <row r="73" spans="1:16" ht="19.5" customHeight="1">
      <c r="A73" s="171" t="s">
        <v>1026</v>
      </c>
      <c r="B73" s="175">
        <v>46055</v>
      </c>
      <c r="C73" s="171" t="s">
        <v>110</v>
      </c>
      <c r="D73" s="171" t="s">
        <v>117</v>
      </c>
      <c r="E73" s="171" t="s">
        <v>77</v>
      </c>
      <c r="F73" s="171" t="s">
        <v>194</v>
      </c>
      <c r="G73" s="171" t="s">
        <v>177</v>
      </c>
      <c r="H73" s="176">
        <v>1</v>
      </c>
      <c r="I73" s="177">
        <v>0</v>
      </c>
      <c r="J73" s="175">
        <v>46046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1026</v>
      </c>
      <c r="B74" s="175">
        <v>46055</v>
      </c>
      <c r="C74" s="171" t="s">
        <v>110</v>
      </c>
      <c r="D74" s="171" t="s">
        <v>118</v>
      </c>
      <c r="E74" s="171" t="s">
        <v>77</v>
      </c>
      <c r="F74" s="171" t="s">
        <v>194</v>
      </c>
      <c r="G74" s="171" t="s">
        <v>177</v>
      </c>
      <c r="H74" s="176">
        <v>1</v>
      </c>
      <c r="I74" s="177">
        <v>0</v>
      </c>
      <c r="J74" s="175">
        <v>46046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-56.94</v>
      </c>
    </row>
    <row r="75" spans="1:16" ht="19.5" customHeight="1">
      <c r="A75" s="171" t="s">
        <v>1026</v>
      </c>
      <c r="B75" s="175">
        <v>46055</v>
      </c>
      <c r="C75" s="171" t="s">
        <v>115</v>
      </c>
      <c r="D75" s="171" t="s">
        <v>119</v>
      </c>
      <c r="E75" s="171" t="s">
        <v>77</v>
      </c>
      <c r="F75" s="171" t="s">
        <v>194</v>
      </c>
      <c r="G75" s="171" t="s">
        <v>177</v>
      </c>
      <c r="H75" s="176">
        <v>1</v>
      </c>
      <c r="I75" s="177">
        <v>0</v>
      </c>
      <c r="J75" s="175">
        <v>46046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1027</v>
      </c>
      <c r="B76" s="175">
        <v>46055</v>
      </c>
      <c r="C76" s="171" t="s">
        <v>110</v>
      </c>
      <c r="D76" s="171" t="s">
        <v>117</v>
      </c>
      <c r="E76" s="171" t="s">
        <v>77</v>
      </c>
      <c r="F76" s="171" t="s">
        <v>194</v>
      </c>
      <c r="G76" s="171" t="s">
        <v>177</v>
      </c>
      <c r="H76" s="176">
        <v>1</v>
      </c>
      <c r="I76" s="177">
        <v>0</v>
      </c>
      <c r="J76" s="175">
        <v>46046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0</v>
      </c>
    </row>
    <row r="77" spans="1:16" ht="19.5" customHeight="1">
      <c r="A77" s="171" t="s">
        <v>1027</v>
      </c>
      <c r="B77" s="175">
        <v>46055</v>
      </c>
      <c r="C77" s="171" t="s">
        <v>110</v>
      </c>
      <c r="D77" s="171" t="s">
        <v>118</v>
      </c>
      <c r="E77" s="171" t="s">
        <v>77</v>
      </c>
      <c r="F77" s="171" t="s">
        <v>194</v>
      </c>
      <c r="G77" s="171" t="s">
        <v>177</v>
      </c>
      <c r="H77" s="176">
        <v>1</v>
      </c>
      <c r="I77" s="177">
        <v>0</v>
      </c>
      <c r="J77" s="175">
        <v>46046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-56.94</v>
      </c>
    </row>
    <row r="78" spans="1:16" ht="19.5" customHeight="1">
      <c r="A78" s="171" t="s">
        <v>1027</v>
      </c>
      <c r="B78" s="175">
        <v>46055</v>
      </c>
      <c r="C78" s="171" t="s">
        <v>115</v>
      </c>
      <c r="D78" s="171" t="s">
        <v>119</v>
      </c>
      <c r="E78" s="171" t="s">
        <v>77</v>
      </c>
      <c r="F78" s="171" t="s">
        <v>194</v>
      </c>
      <c r="G78" s="171" t="s">
        <v>177</v>
      </c>
      <c r="H78" s="176">
        <v>1</v>
      </c>
      <c r="I78" s="177">
        <v>0</v>
      </c>
      <c r="J78" s="175">
        <v>46046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-15</v>
      </c>
    </row>
    <row r="79" spans="1:16" ht="19.5" customHeight="1">
      <c r="A79" s="171" t="s">
        <v>1028</v>
      </c>
      <c r="B79" s="175">
        <v>46055</v>
      </c>
      <c r="C79" s="171" t="s">
        <v>110</v>
      </c>
      <c r="D79" s="171" t="s">
        <v>24</v>
      </c>
      <c r="E79" s="171" t="s">
        <v>77</v>
      </c>
      <c r="F79" s="171" t="s">
        <v>194</v>
      </c>
      <c r="G79" s="171" t="s">
        <v>177</v>
      </c>
      <c r="H79" s="176">
        <v>1</v>
      </c>
      <c r="I79" s="177">
        <v>0</v>
      </c>
      <c r="J79" s="175">
        <v>46049</v>
      </c>
      <c r="K79" s="171" t="s">
        <v>113</v>
      </c>
      <c r="L79" s="171" t="s">
        <v>114</v>
      </c>
      <c r="M79" s="178">
        <v>0</v>
      </c>
      <c r="N79" s="176"/>
      <c r="O79" s="176">
        <v>51</v>
      </c>
      <c r="P79" s="179">
        <v>-56.94</v>
      </c>
    </row>
    <row r="80" spans="1:16" ht="19.5" customHeight="1">
      <c r="A80" s="171" t="s">
        <v>1028</v>
      </c>
      <c r="B80" s="175">
        <v>46055</v>
      </c>
      <c r="C80" s="171" t="s">
        <v>115</v>
      </c>
      <c r="D80" s="171" t="s">
        <v>116</v>
      </c>
      <c r="E80" s="171" t="s">
        <v>77</v>
      </c>
      <c r="F80" s="171" t="s">
        <v>194</v>
      </c>
      <c r="G80" s="171" t="s">
        <v>177</v>
      </c>
      <c r="H80" s="176">
        <v>1</v>
      </c>
      <c r="I80" s="177">
        <v>0</v>
      </c>
      <c r="J80" s="175">
        <v>46049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-10.84</v>
      </c>
    </row>
    <row r="81" spans="1:16" ht="19.5" customHeight="1">
      <c r="A81" s="171" t="s">
        <v>1028</v>
      </c>
      <c r="B81" s="175">
        <v>46055</v>
      </c>
      <c r="C81" s="171" t="s">
        <v>110</v>
      </c>
      <c r="D81" s="171" t="s">
        <v>117</v>
      </c>
      <c r="E81" s="171" t="s">
        <v>77</v>
      </c>
      <c r="F81" s="171" t="s">
        <v>194</v>
      </c>
      <c r="G81" s="171" t="s">
        <v>177</v>
      </c>
      <c r="H81" s="176">
        <v>1</v>
      </c>
      <c r="I81" s="177">
        <v>0</v>
      </c>
      <c r="J81" s="175">
        <v>46049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0</v>
      </c>
    </row>
    <row r="82" spans="1:16" ht="19.5" customHeight="1">
      <c r="A82" s="171" t="s">
        <v>1028</v>
      </c>
      <c r="B82" s="175">
        <v>46055</v>
      </c>
      <c r="C82" s="171" t="s">
        <v>110</v>
      </c>
      <c r="D82" s="171" t="s">
        <v>118</v>
      </c>
      <c r="E82" s="171" t="s">
        <v>77</v>
      </c>
      <c r="F82" s="171" t="s">
        <v>194</v>
      </c>
      <c r="G82" s="171" t="s">
        <v>177</v>
      </c>
      <c r="H82" s="176">
        <v>1</v>
      </c>
      <c r="I82" s="177">
        <v>0</v>
      </c>
      <c r="J82" s="175">
        <v>46049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-56.94</v>
      </c>
    </row>
    <row r="83" spans="1:16" ht="19.5" customHeight="1">
      <c r="A83" s="171" t="s">
        <v>1028</v>
      </c>
      <c r="B83" s="175">
        <v>46055</v>
      </c>
      <c r="C83" s="171" t="s">
        <v>115</v>
      </c>
      <c r="D83" s="171" t="s">
        <v>119</v>
      </c>
      <c r="E83" s="171" t="s">
        <v>77</v>
      </c>
      <c r="F83" s="171" t="s">
        <v>194</v>
      </c>
      <c r="G83" s="171" t="s">
        <v>177</v>
      </c>
      <c r="H83" s="176">
        <v>1</v>
      </c>
      <c r="I83" s="177">
        <v>0</v>
      </c>
      <c r="J83" s="175">
        <v>46049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-15</v>
      </c>
    </row>
    <row r="84" spans="1:16" ht="19.5" customHeight="1">
      <c r="A84" s="171" t="s">
        <v>1029</v>
      </c>
      <c r="B84" s="175">
        <v>46055</v>
      </c>
      <c r="C84" s="171" t="s">
        <v>110</v>
      </c>
      <c r="D84" s="171" t="s">
        <v>24</v>
      </c>
      <c r="E84" s="171" t="s">
        <v>79</v>
      </c>
      <c r="F84" s="171" t="s">
        <v>441</v>
      </c>
      <c r="G84" s="171" t="s">
        <v>177</v>
      </c>
      <c r="H84" s="176">
        <v>1</v>
      </c>
      <c r="I84" s="177">
        <v>5000</v>
      </c>
      <c r="J84" s="175">
        <v>46054</v>
      </c>
      <c r="K84" s="171" t="s">
        <v>113</v>
      </c>
      <c r="L84" s="171" t="s">
        <v>114</v>
      </c>
      <c r="M84" s="178">
        <v>0.43</v>
      </c>
      <c r="N84" s="176"/>
      <c r="O84" s="176">
        <v>42</v>
      </c>
      <c r="P84" s="179">
        <v>-231.9</v>
      </c>
    </row>
    <row r="85" spans="1:16" ht="19.5" customHeight="1">
      <c r="A85" s="171" t="s">
        <v>1029</v>
      </c>
      <c r="B85" s="175">
        <v>46055</v>
      </c>
      <c r="C85" s="171" t="s">
        <v>127</v>
      </c>
      <c r="D85" s="171" t="s">
        <v>128</v>
      </c>
      <c r="E85" s="171" t="s">
        <v>79</v>
      </c>
      <c r="F85" s="171" t="s">
        <v>441</v>
      </c>
      <c r="G85" s="171" t="s">
        <v>177</v>
      </c>
      <c r="H85" s="176">
        <v>1</v>
      </c>
      <c r="I85" s="177">
        <v>5000</v>
      </c>
      <c r="J85" s="175">
        <v>46054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1957.77</v>
      </c>
    </row>
    <row r="86" spans="1:16" ht="19.5" customHeight="1">
      <c r="A86" s="171" t="s">
        <v>1029</v>
      </c>
      <c r="B86" s="175">
        <v>46055</v>
      </c>
      <c r="C86" s="171" t="s">
        <v>127</v>
      </c>
      <c r="D86" s="171" t="s">
        <v>129</v>
      </c>
      <c r="E86" s="171" t="s">
        <v>79</v>
      </c>
      <c r="F86" s="171" t="s">
        <v>441</v>
      </c>
      <c r="G86" s="171" t="s">
        <v>177</v>
      </c>
      <c r="H86" s="176">
        <v>1</v>
      </c>
      <c r="I86" s="177">
        <v>5000</v>
      </c>
      <c r="J86" s="175">
        <v>46054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0</v>
      </c>
    </row>
    <row r="87" spans="1:16" ht="19.5" customHeight="1">
      <c r="A87" s="171" t="s">
        <v>1029</v>
      </c>
      <c r="B87" s="175">
        <v>46055</v>
      </c>
      <c r="C87" s="171" t="s">
        <v>127</v>
      </c>
      <c r="D87" s="171" t="s">
        <v>130</v>
      </c>
      <c r="E87" s="171" t="s">
        <v>79</v>
      </c>
      <c r="F87" s="171" t="s">
        <v>441</v>
      </c>
      <c r="G87" s="171" t="s">
        <v>177</v>
      </c>
      <c r="H87" s="176">
        <v>1</v>
      </c>
      <c r="I87" s="177">
        <v>5000</v>
      </c>
      <c r="J87" s="175">
        <v>46054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3042.23</v>
      </c>
    </row>
    <row r="88" spans="1:16" ht="19.5" customHeight="1">
      <c r="A88" s="171" t="s">
        <v>1029</v>
      </c>
      <c r="B88" s="175">
        <v>46055</v>
      </c>
      <c r="C88" s="171" t="s">
        <v>131</v>
      </c>
      <c r="D88" s="171" t="s">
        <v>132</v>
      </c>
      <c r="E88" s="171" t="s">
        <v>79</v>
      </c>
      <c r="F88" s="171" t="s">
        <v>441</v>
      </c>
      <c r="G88" s="171" t="s">
        <v>177</v>
      </c>
      <c r="H88" s="176">
        <v>1</v>
      </c>
      <c r="I88" s="177">
        <v>5000</v>
      </c>
      <c r="J88" s="175">
        <v>46054</v>
      </c>
      <c r="K88" s="171" t="s">
        <v>113</v>
      </c>
      <c r="L88" s="171" t="s">
        <v>114</v>
      </c>
      <c r="M88" s="178">
        <v>0.43</v>
      </c>
      <c r="N88" s="176"/>
      <c r="O88" s="176"/>
      <c r="P88" s="179">
        <v>-2150</v>
      </c>
    </row>
    <row r="89" spans="1:16" ht="19.5" customHeight="1">
      <c r="A89" s="171" t="s">
        <v>1030</v>
      </c>
      <c r="B89" s="175">
        <v>46055</v>
      </c>
      <c r="C89" s="171" t="s">
        <v>110</v>
      </c>
      <c r="D89" s="171" t="s">
        <v>24</v>
      </c>
      <c r="E89" s="171" t="s">
        <v>42</v>
      </c>
      <c r="F89" s="171" t="s">
        <v>248</v>
      </c>
      <c r="G89" s="171" t="s">
        <v>112</v>
      </c>
      <c r="H89" s="176">
        <v>1</v>
      </c>
      <c r="I89" s="177">
        <v>1800</v>
      </c>
      <c r="J89" s="175">
        <v>46053</v>
      </c>
      <c r="K89" s="171" t="s">
        <v>113</v>
      </c>
      <c r="L89" s="171" t="s">
        <v>114</v>
      </c>
      <c r="M89" s="178">
        <v>0.43</v>
      </c>
      <c r="N89" s="176"/>
      <c r="O89" s="176">
        <v>48</v>
      </c>
      <c r="P89" s="179">
        <v>-146.61000000000001</v>
      </c>
    </row>
    <row r="90" spans="1:16" ht="19.5" customHeight="1">
      <c r="A90" s="171" t="s">
        <v>1030</v>
      </c>
      <c r="B90" s="175">
        <v>46055</v>
      </c>
      <c r="C90" s="171" t="s">
        <v>127</v>
      </c>
      <c r="D90" s="171" t="s">
        <v>128</v>
      </c>
      <c r="E90" s="171" t="s">
        <v>42</v>
      </c>
      <c r="F90" s="171" t="s">
        <v>248</v>
      </c>
      <c r="G90" s="171" t="s">
        <v>112</v>
      </c>
      <c r="H90" s="176">
        <v>1</v>
      </c>
      <c r="I90" s="177">
        <v>1800</v>
      </c>
      <c r="J90" s="175">
        <v>46053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993.34</v>
      </c>
    </row>
    <row r="91" spans="1:16" ht="19.5" customHeight="1">
      <c r="A91" s="171" t="s">
        <v>1030</v>
      </c>
      <c r="B91" s="175">
        <v>46055</v>
      </c>
      <c r="C91" s="171" t="s">
        <v>127</v>
      </c>
      <c r="D91" s="171" t="s">
        <v>129</v>
      </c>
      <c r="E91" s="171" t="s">
        <v>42</v>
      </c>
      <c r="F91" s="171" t="s">
        <v>248</v>
      </c>
      <c r="G91" s="171" t="s">
        <v>112</v>
      </c>
      <c r="H91" s="176">
        <v>1</v>
      </c>
      <c r="I91" s="177">
        <v>1800</v>
      </c>
      <c r="J91" s="175">
        <v>46053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0</v>
      </c>
    </row>
    <row r="92" spans="1:16" ht="19.5" customHeight="1">
      <c r="A92" s="171" t="s">
        <v>1030</v>
      </c>
      <c r="B92" s="175">
        <v>46055</v>
      </c>
      <c r="C92" s="171" t="s">
        <v>127</v>
      </c>
      <c r="D92" s="171" t="s">
        <v>130</v>
      </c>
      <c r="E92" s="171" t="s">
        <v>42</v>
      </c>
      <c r="F92" s="171" t="s">
        <v>248</v>
      </c>
      <c r="G92" s="171" t="s">
        <v>112</v>
      </c>
      <c r="H92" s="176">
        <v>1</v>
      </c>
      <c r="I92" s="177">
        <v>1800</v>
      </c>
      <c r="J92" s="175">
        <v>46053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806.66</v>
      </c>
    </row>
    <row r="93" spans="1:16" ht="19.5" customHeight="1">
      <c r="A93" s="171" t="s">
        <v>1030</v>
      </c>
      <c r="B93" s="175">
        <v>46055</v>
      </c>
      <c r="C93" s="171" t="s">
        <v>131</v>
      </c>
      <c r="D93" s="171" t="s">
        <v>132</v>
      </c>
      <c r="E93" s="171" t="s">
        <v>42</v>
      </c>
      <c r="F93" s="171" t="s">
        <v>248</v>
      </c>
      <c r="G93" s="171" t="s">
        <v>112</v>
      </c>
      <c r="H93" s="176">
        <v>1</v>
      </c>
      <c r="I93" s="177">
        <v>1800</v>
      </c>
      <c r="J93" s="175">
        <v>46053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-774</v>
      </c>
    </row>
    <row r="94" spans="1:16" ht="19.5" customHeight="1">
      <c r="A94" s="171" t="s">
        <v>1030</v>
      </c>
      <c r="B94" s="175">
        <v>46055</v>
      </c>
      <c r="C94" s="171" t="s">
        <v>115</v>
      </c>
      <c r="D94" s="171" t="s">
        <v>116</v>
      </c>
      <c r="E94" s="171" t="s">
        <v>42</v>
      </c>
      <c r="F94" s="171" t="s">
        <v>248</v>
      </c>
      <c r="G94" s="171" t="s">
        <v>112</v>
      </c>
      <c r="H94" s="176">
        <v>1</v>
      </c>
      <c r="I94" s="177">
        <v>1800</v>
      </c>
      <c r="J94" s="175">
        <v>46053</v>
      </c>
      <c r="K94" s="171" t="s">
        <v>113</v>
      </c>
      <c r="L94" s="171" t="s">
        <v>114</v>
      </c>
      <c r="M94" s="178">
        <v>0.43</v>
      </c>
      <c r="N94" s="176"/>
      <c r="O94" s="176"/>
      <c r="P94" s="179">
        <v>-10.01</v>
      </c>
    </row>
    <row r="95" spans="1:16" ht="19.5" customHeight="1">
      <c r="A95" s="171" t="s">
        <v>1031</v>
      </c>
      <c r="B95" s="175">
        <v>46055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1800</v>
      </c>
      <c r="J95" s="175">
        <v>46053</v>
      </c>
      <c r="K95" s="171" t="s">
        <v>113</v>
      </c>
      <c r="L95" s="171" t="s">
        <v>114</v>
      </c>
      <c r="M95" s="178">
        <v>0.43</v>
      </c>
      <c r="N95" s="176"/>
      <c r="O95" s="176">
        <v>48</v>
      </c>
      <c r="P95" s="179">
        <v>-146.61000000000001</v>
      </c>
    </row>
    <row r="96" spans="1:16" ht="19.5" customHeight="1">
      <c r="A96" s="171" t="s">
        <v>1031</v>
      </c>
      <c r="B96" s="175">
        <v>46055</v>
      </c>
      <c r="C96" s="171" t="s">
        <v>127</v>
      </c>
      <c r="D96" s="171" t="s">
        <v>128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1800</v>
      </c>
      <c r="J96" s="175">
        <v>46053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786.67</v>
      </c>
    </row>
    <row r="97" spans="1:16" ht="19.5" customHeight="1">
      <c r="A97" s="171" t="s">
        <v>1031</v>
      </c>
      <c r="B97" s="175">
        <v>46055</v>
      </c>
      <c r="C97" s="171" t="s">
        <v>127</v>
      </c>
      <c r="D97" s="171" t="s">
        <v>129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1800</v>
      </c>
      <c r="J97" s="175">
        <v>46053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7.87</v>
      </c>
    </row>
    <row r="98" spans="1:16" ht="19.5" customHeight="1">
      <c r="A98" s="171" t="s">
        <v>1031</v>
      </c>
      <c r="B98" s="175">
        <v>46055</v>
      </c>
      <c r="C98" s="171" t="s">
        <v>127</v>
      </c>
      <c r="D98" s="171" t="s">
        <v>130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1800</v>
      </c>
      <c r="J98" s="175">
        <v>46053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1005.46</v>
      </c>
    </row>
    <row r="99" spans="1:16" ht="19.5" customHeight="1">
      <c r="A99" s="171" t="s">
        <v>1031</v>
      </c>
      <c r="B99" s="175">
        <v>46055</v>
      </c>
      <c r="C99" s="171" t="s">
        <v>131</v>
      </c>
      <c r="D99" s="171" t="s">
        <v>132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1800</v>
      </c>
      <c r="J99" s="175">
        <v>46053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-774</v>
      </c>
    </row>
    <row r="100" spans="1:16" ht="19.5" customHeight="1">
      <c r="A100" s="171" t="s">
        <v>1031</v>
      </c>
      <c r="B100" s="175">
        <v>46055</v>
      </c>
      <c r="C100" s="171" t="s">
        <v>115</v>
      </c>
      <c r="D100" s="171" t="s">
        <v>116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1800</v>
      </c>
      <c r="J100" s="175">
        <v>46053</v>
      </c>
      <c r="K100" s="171" t="s">
        <v>113</v>
      </c>
      <c r="L100" s="171" t="s">
        <v>114</v>
      </c>
      <c r="M100" s="178">
        <v>0.43</v>
      </c>
      <c r="N100" s="176"/>
      <c r="O100" s="176"/>
      <c r="P100" s="179">
        <v>-22.52</v>
      </c>
    </row>
    <row r="101" spans="1:16" ht="19.5" customHeight="1">
      <c r="A101" s="171" t="s">
        <v>1030</v>
      </c>
      <c r="B101" s="175">
        <v>46055</v>
      </c>
      <c r="C101" s="171" t="s">
        <v>115</v>
      </c>
      <c r="D101" s="171" t="s">
        <v>135</v>
      </c>
      <c r="E101" s="171" t="s">
        <v>42</v>
      </c>
      <c r="F101" s="171" t="s">
        <v>248</v>
      </c>
      <c r="G101" s="171" t="s">
        <v>112</v>
      </c>
      <c r="H101" s="176">
        <v>1</v>
      </c>
      <c r="I101" s="177">
        <v>0</v>
      </c>
      <c r="J101" s="175">
        <v>46053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-6.26</v>
      </c>
    </row>
    <row r="102" spans="1:16" ht="19.5" customHeight="1">
      <c r="A102" s="171" t="s">
        <v>1031</v>
      </c>
      <c r="B102" s="175">
        <v>46055</v>
      </c>
      <c r="C102" s="171" t="s">
        <v>115</v>
      </c>
      <c r="D102" s="171" t="s">
        <v>135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0</v>
      </c>
      <c r="J102" s="175">
        <v>46053</v>
      </c>
      <c r="K102" s="171" t="s">
        <v>125</v>
      </c>
      <c r="L102" s="171" t="s">
        <v>125</v>
      </c>
      <c r="M102" s="178">
        <v>0</v>
      </c>
      <c r="N102" s="176"/>
      <c r="O102" s="176"/>
      <c r="P102" s="179">
        <v>-14.95</v>
      </c>
    </row>
    <row r="103" spans="1:16" ht="19.5" customHeight="1">
      <c r="A103" s="171" t="s">
        <v>1032</v>
      </c>
      <c r="B103" s="175">
        <v>46055</v>
      </c>
      <c r="C103" s="171" t="s">
        <v>110</v>
      </c>
      <c r="D103" s="171" t="s">
        <v>24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0</v>
      </c>
      <c r="J103" s="175">
        <v>46035</v>
      </c>
      <c r="K103" s="171" t="s">
        <v>113</v>
      </c>
      <c r="L103" s="171" t="s">
        <v>114</v>
      </c>
      <c r="M103" s="178">
        <v>0</v>
      </c>
      <c r="N103" s="176"/>
      <c r="O103" s="176">
        <v>46</v>
      </c>
      <c r="P103" s="179">
        <v>-46</v>
      </c>
    </row>
    <row r="104" spans="1:16" ht="19.5" customHeight="1">
      <c r="A104" s="171" t="s">
        <v>1032</v>
      </c>
      <c r="B104" s="175">
        <v>46055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0</v>
      </c>
      <c r="J104" s="175">
        <v>46035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-10.210000000000001</v>
      </c>
    </row>
    <row r="105" spans="1:16" ht="19.5" customHeight="1">
      <c r="A105" s="171" t="s">
        <v>1032</v>
      </c>
      <c r="B105" s="175">
        <v>46055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46035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1032</v>
      </c>
      <c r="B106" s="175">
        <v>46055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46035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</v>
      </c>
    </row>
    <row r="107" spans="1:16" ht="19.5" customHeight="1">
      <c r="A107" s="171" t="s">
        <v>1033</v>
      </c>
      <c r="B107" s="175">
        <v>46055</v>
      </c>
      <c r="C107" s="171" t="s">
        <v>115</v>
      </c>
      <c r="D107" s="171" t="s">
        <v>135</v>
      </c>
      <c r="E107" s="171" t="s">
        <v>78</v>
      </c>
      <c r="F107" s="171" t="s">
        <v>176</v>
      </c>
      <c r="G107" s="171" t="s">
        <v>177</v>
      </c>
      <c r="H107" s="176">
        <v>1</v>
      </c>
      <c r="I107" s="177">
        <v>0</v>
      </c>
      <c r="J107" s="175">
        <v>46055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-35.94</v>
      </c>
    </row>
    <row r="108" spans="1:16" ht="19.5" customHeight="1">
      <c r="A108" s="171" t="s">
        <v>1034</v>
      </c>
      <c r="B108" s="175">
        <v>46055</v>
      </c>
      <c r="C108" s="171" t="s">
        <v>507</v>
      </c>
      <c r="D108" s="171" t="s">
        <v>508</v>
      </c>
      <c r="E108" s="171" t="s">
        <v>78</v>
      </c>
      <c r="F108" s="171" t="s">
        <v>176</v>
      </c>
      <c r="G108" s="171" t="s">
        <v>177</v>
      </c>
      <c r="H108" s="176">
        <v>1</v>
      </c>
      <c r="I108" s="177">
        <v>0</v>
      </c>
      <c r="J108" s="175">
        <v>46051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-5</v>
      </c>
    </row>
    <row r="109" spans="1:16" ht="19.5" customHeight="1">
      <c r="A109" s="171" t="s">
        <v>1034</v>
      </c>
      <c r="B109" s="175">
        <v>46055</v>
      </c>
      <c r="C109" s="171" t="s">
        <v>115</v>
      </c>
      <c r="D109" s="171" t="s">
        <v>510</v>
      </c>
      <c r="E109" s="171" t="s">
        <v>78</v>
      </c>
      <c r="F109" s="171" t="s">
        <v>176</v>
      </c>
      <c r="G109" s="171" t="s">
        <v>177</v>
      </c>
      <c r="H109" s="176">
        <v>1</v>
      </c>
      <c r="I109" s="177">
        <v>0</v>
      </c>
      <c r="J109" s="175">
        <v>46051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-10</v>
      </c>
    </row>
    <row r="110" spans="1:16" ht="19.5" customHeight="1">
      <c r="A110" s="171" t="s">
        <v>1035</v>
      </c>
      <c r="B110" s="175">
        <v>46055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1800</v>
      </c>
      <c r="J110" s="175">
        <v>46053</v>
      </c>
      <c r="K110" s="171" t="s">
        <v>113</v>
      </c>
      <c r="L110" s="171" t="s">
        <v>114</v>
      </c>
      <c r="M110" s="178">
        <v>0.43</v>
      </c>
      <c r="N110" s="176"/>
      <c r="O110" s="176">
        <v>48</v>
      </c>
      <c r="P110" s="179">
        <v>-146.61000000000001</v>
      </c>
    </row>
    <row r="111" spans="1:16" ht="19.5" customHeight="1">
      <c r="A111" s="171" t="s">
        <v>1035</v>
      </c>
      <c r="B111" s="175">
        <v>46055</v>
      </c>
      <c r="C111" s="171" t="s">
        <v>127</v>
      </c>
      <c r="D111" s="171" t="s">
        <v>128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1800</v>
      </c>
      <c r="J111" s="175">
        <v>46053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825.71</v>
      </c>
    </row>
    <row r="112" spans="1:16" ht="19.5" customHeight="1">
      <c r="A112" s="171" t="s">
        <v>1035</v>
      </c>
      <c r="B112" s="175">
        <v>46055</v>
      </c>
      <c r="C112" s="171" t="s">
        <v>127</v>
      </c>
      <c r="D112" s="171" t="s">
        <v>129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1800</v>
      </c>
      <c r="J112" s="175">
        <v>46053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8.26</v>
      </c>
    </row>
    <row r="113" spans="1:16" ht="19.5" customHeight="1">
      <c r="A113" s="171" t="s">
        <v>1035</v>
      </c>
      <c r="B113" s="175">
        <v>46055</v>
      </c>
      <c r="C113" s="171" t="s">
        <v>127</v>
      </c>
      <c r="D113" s="171" t="s">
        <v>130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1800</v>
      </c>
      <c r="J113" s="175">
        <v>46053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966.03</v>
      </c>
    </row>
    <row r="114" spans="1:16" ht="19.5" customHeight="1">
      <c r="A114" s="171" t="s">
        <v>1035</v>
      </c>
      <c r="B114" s="175">
        <v>46055</v>
      </c>
      <c r="C114" s="171" t="s">
        <v>131</v>
      </c>
      <c r="D114" s="171" t="s">
        <v>132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1800</v>
      </c>
      <c r="J114" s="175">
        <v>46053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-774</v>
      </c>
    </row>
    <row r="115" spans="1:16" ht="19.5" customHeight="1">
      <c r="A115" s="171" t="s">
        <v>1035</v>
      </c>
      <c r="B115" s="175">
        <v>46055</v>
      </c>
      <c r="C115" s="171" t="s">
        <v>115</v>
      </c>
      <c r="D115" s="171" t="s">
        <v>116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1800</v>
      </c>
      <c r="J115" s="175">
        <v>46053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-18.8</v>
      </c>
    </row>
    <row r="116" spans="1:16" ht="19.5" customHeight="1">
      <c r="A116" s="171" t="s">
        <v>1036</v>
      </c>
      <c r="B116" s="175">
        <v>46055</v>
      </c>
      <c r="C116" s="171" t="s">
        <v>110</v>
      </c>
      <c r="D116" s="171" t="s">
        <v>24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1800</v>
      </c>
      <c r="J116" s="175">
        <v>46052</v>
      </c>
      <c r="K116" s="171" t="s">
        <v>113</v>
      </c>
      <c r="L116" s="171" t="s">
        <v>114</v>
      </c>
      <c r="M116" s="178">
        <v>0.43</v>
      </c>
      <c r="N116" s="176"/>
      <c r="O116" s="176">
        <v>49</v>
      </c>
      <c r="P116" s="179">
        <v>-149.35</v>
      </c>
    </row>
    <row r="117" spans="1:16" ht="19.5" customHeight="1">
      <c r="A117" s="171" t="s">
        <v>1036</v>
      </c>
      <c r="B117" s="175">
        <v>46055</v>
      </c>
      <c r="C117" s="171" t="s">
        <v>127</v>
      </c>
      <c r="D117" s="171" t="s">
        <v>128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1800</v>
      </c>
      <c r="J117" s="175">
        <v>46052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821.8</v>
      </c>
    </row>
    <row r="118" spans="1:16" ht="19.5" customHeight="1">
      <c r="A118" s="171" t="s">
        <v>1036</v>
      </c>
      <c r="B118" s="175">
        <v>46055</v>
      </c>
      <c r="C118" s="171" t="s">
        <v>127</v>
      </c>
      <c r="D118" s="171" t="s">
        <v>129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1800</v>
      </c>
      <c r="J118" s="175">
        <v>46052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8.2200000000000006</v>
      </c>
    </row>
    <row r="119" spans="1:16" ht="19.5" customHeight="1">
      <c r="A119" s="171" t="s">
        <v>1036</v>
      </c>
      <c r="B119" s="175">
        <v>46055</v>
      </c>
      <c r="C119" s="171" t="s">
        <v>127</v>
      </c>
      <c r="D119" s="171" t="s">
        <v>130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1800</v>
      </c>
      <c r="J119" s="175">
        <v>46052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969.98</v>
      </c>
    </row>
    <row r="120" spans="1:16" ht="19.5" customHeight="1">
      <c r="A120" s="171" t="s">
        <v>1036</v>
      </c>
      <c r="B120" s="175">
        <v>46055</v>
      </c>
      <c r="C120" s="171" t="s">
        <v>131</v>
      </c>
      <c r="D120" s="171" t="s">
        <v>132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1800</v>
      </c>
      <c r="J120" s="175">
        <v>46052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-774</v>
      </c>
    </row>
    <row r="121" spans="1:16" ht="19.5" customHeight="1">
      <c r="A121" s="171" t="s">
        <v>1036</v>
      </c>
      <c r="B121" s="175">
        <v>46055</v>
      </c>
      <c r="C121" s="171" t="s">
        <v>115</v>
      </c>
      <c r="D121" s="171" t="s">
        <v>116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1800</v>
      </c>
      <c r="J121" s="175">
        <v>46052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-10.93</v>
      </c>
    </row>
    <row r="122" spans="1:16" ht="19.5" customHeight="1">
      <c r="A122" s="171" t="s">
        <v>1035</v>
      </c>
      <c r="B122" s="175">
        <v>46055</v>
      </c>
      <c r="C122" s="171" t="s">
        <v>115</v>
      </c>
      <c r="D122" s="171" t="s">
        <v>135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0</v>
      </c>
      <c r="J122" s="175">
        <v>46053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-15.69</v>
      </c>
    </row>
    <row r="123" spans="1:16" ht="19.5" customHeight="1">
      <c r="A123" s="171" t="s">
        <v>1037</v>
      </c>
      <c r="B123" s="175">
        <v>46055</v>
      </c>
      <c r="C123" s="171" t="s">
        <v>507</v>
      </c>
      <c r="D123" s="171" t="s">
        <v>508</v>
      </c>
      <c r="E123" s="171" t="s">
        <v>77</v>
      </c>
      <c r="F123" s="171" t="s">
        <v>194</v>
      </c>
      <c r="G123" s="171" t="s">
        <v>177</v>
      </c>
      <c r="H123" s="176">
        <v>1</v>
      </c>
      <c r="I123" s="177">
        <v>0</v>
      </c>
      <c r="J123" s="175">
        <v>46052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</v>
      </c>
    </row>
    <row r="124" spans="1:16" ht="19.5" customHeight="1">
      <c r="A124" s="171" t="s">
        <v>1037</v>
      </c>
      <c r="B124" s="175">
        <v>46055</v>
      </c>
      <c r="C124" s="171" t="s">
        <v>115</v>
      </c>
      <c r="D124" s="171" t="s">
        <v>510</v>
      </c>
      <c r="E124" s="171" t="s">
        <v>77</v>
      </c>
      <c r="F124" s="171" t="s">
        <v>194</v>
      </c>
      <c r="G124" s="171" t="s">
        <v>177</v>
      </c>
      <c r="H124" s="176">
        <v>1</v>
      </c>
      <c r="I124" s="177">
        <v>0</v>
      </c>
      <c r="J124" s="175">
        <v>46052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-10</v>
      </c>
    </row>
    <row r="125" spans="1:16" ht="19.5" customHeight="1">
      <c r="A125" s="171" t="s">
        <v>740</v>
      </c>
      <c r="B125" s="175">
        <v>46055</v>
      </c>
      <c r="C125" s="171" t="s">
        <v>308</v>
      </c>
      <c r="D125" s="171" t="s">
        <v>419</v>
      </c>
      <c r="E125" s="171" t="s">
        <v>77</v>
      </c>
      <c r="F125" s="171" t="s">
        <v>194</v>
      </c>
      <c r="G125" s="171" t="s">
        <v>177</v>
      </c>
      <c r="H125" s="176">
        <v>1</v>
      </c>
      <c r="I125" s="177">
        <v>-4178</v>
      </c>
      <c r="J125" s="175">
        <v>46044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-1620.62</v>
      </c>
    </row>
    <row r="126" spans="1:16" ht="19.5" customHeight="1">
      <c r="A126" s="171" t="s">
        <v>740</v>
      </c>
      <c r="B126" s="175">
        <v>46055</v>
      </c>
      <c r="C126" s="171" t="s">
        <v>308</v>
      </c>
      <c r="D126" s="171" t="s">
        <v>129</v>
      </c>
      <c r="E126" s="171" t="s">
        <v>77</v>
      </c>
      <c r="F126" s="171" t="s">
        <v>194</v>
      </c>
      <c r="G126" s="171" t="s">
        <v>177</v>
      </c>
      <c r="H126" s="176">
        <v>1</v>
      </c>
      <c r="I126" s="177">
        <v>-4178</v>
      </c>
      <c r="J126" s="175">
        <v>46044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-16.21</v>
      </c>
    </row>
    <row r="127" spans="1:16" ht="19.5" customHeight="1">
      <c r="A127" s="171" t="s">
        <v>740</v>
      </c>
      <c r="B127" s="175">
        <v>46055</v>
      </c>
      <c r="C127" s="171" t="s">
        <v>308</v>
      </c>
      <c r="D127" s="171" t="s">
        <v>130</v>
      </c>
      <c r="E127" s="171" t="s">
        <v>77</v>
      </c>
      <c r="F127" s="171" t="s">
        <v>194</v>
      </c>
      <c r="G127" s="171" t="s">
        <v>177</v>
      </c>
      <c r="H127" s="176">
        <v>1</v>
      </c>
      <c r="I127" s="177">
        <v>-4178</v>
      </c>
      <c r="J127" s="175">
        <v>46044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-2541.17</v>
      </c>
    </row>
    <row r="128" spans="1:16" ht="19.5" customHeight="1">
      <c r="A128" s="171" t="s">
        <v>740</v>
      </c>
      <c r="B128" s="175">
        <v>46055</v>
      </c>
      <c r="C128" s="171" t="s">
        <v>131</v>
      </c>
      <c r="D128" s="171" t="s">
        <v>420</v>
      </c>
      <c r="E128" s="171" t="s">
        <v>77</v>
      </c>
      <c r="F128" s="171" t="s">
        <v>194</v>
      </c>
      <c r="G128" s="171" t="s">
        <v>177</v>
      </c>
      <c r="H128" s="176">
        <v>1</v>
      </c>
      <c r="I128" s="177">
        <v>-4178</v>
      </c>
      <c r="J128" s="175">
        <v>46044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1796.54</v>
      </c>
    </row>
    <row r="129" spans="1:16" ht="19.5" customHeight="1">
      <c r="A129" s="171" t="s">
        <v>1038</v>
      </c>
      <c r="B129" s="175">
        <v>46055</v>
      </c>
      <c r="C129" s="171" t="s">
        <v>110</v>
      </c>
      <c r="D129" s="171" t="s">
        <v>24</v>
      </c>
      <c r="E129" s="171" t="s">
        <v>79</v>
      </c>
      <c r="F129" s="171" t="s">
        <v>441</v>
      </c>
      <c r="G129" s="171" t="s">
        <v>177</v>
      </c>
      <c r="H129" s="176">
        <v>1</v>
      </c>
      <c r="I129" s="177">
        <v>0</v>
      </c>
      <c r="J129" s="175">
        <v>46049</v>
      </c>
      <c r="K129" s="171" t="s">
        <v>113</v>
      </c>
      <c r="L129" s="171" t="s">
        <v>114</v>
      </c>
      <c r="M129" s="178">
        <v>0</v>
      </c>
      <c r="N129" s="176"/>
      <c r="O129" s="176">
        <v>51</v>
      </c>
      <c r="P129" s="179">
        <v>-56.94</v>
      </c>
    </row>
    <row r="130" spans="1:16" ht="19.5" customHeight="1">
      <c r="A130" s="171" t="s">
        <v>1038</v>
      </c>
      <c r="B130" s="175">
        <v>46055</v>
      </c>
      <c r="C130" s="171" t="s">
        <v>115</v>
      </c>
      <c r="D130" s="171" t="s">
        <v>116</v>
      </c>
      <c r="E130" s="171" t="s">
        <v>79</v>
      </c>
      <c r="F130" s="171" t="s">
        <v>441</v>
      </c>
      <c r="G130" s="171" t="s">
        <v>177</v>
      </c>
      <c r="H130" s="176">
        <v>1</v>
      </c>
      <c r="I130" s="177">
        <v>0</v>
      </c>
      <c r="J130" s="175">
        <v>46049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-14.31</v>
      </c>
    </row>
    <row r="131" spans="1:16" ht="19.5" customHeight="1">
      <c r="A131" s="171" t="s">
        <v>1039</v>
      </c>
      <c r="B131" s="175">
        <v>46055</v>
      </c>
      <c r="C131" s="171" t="s">
        <v>110</v>
      </c>
      <c r="D131" s="171" t="s">
        <v>24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46049</v>
      </c>
      <c r="K131" s="171" t="s">
        <v>113</v>
      </c>
      <c r="L131" s="171" t="s">
        <v>114</v>
      </c>
      <c r="M131" s="178">
        <v>0</v>
      </c>
      <c r="N131" s="176"/>
      <c r="O131" s="176">
        <v>51</v>
      </c>
      <c r="P131" s="179">
        <v>-46.77</v>
      </c>
    </row>
    <row r="132" spans="1:16" ht="19.5" customHeight="1">
      <c r="A132" s="171" t="s">
        <v>1039</v>
      </c>
      <c r="B132" s="175">
        <v>46055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0</v>
      </c>
      <c r="J132" s="175">
        <v>46049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-10.42</v>
      </c>
    </row>
    <row r="133" spans="1:16" ht="19.5" customHeight="1">
      <c r="A133" s="171" t="s">
        <v>1038</v>
      </c>
      <c r="B133" s="175">
        <v>46055</v>
      </c>
      <c r="C133" s="171" t="s">
        <v>110</v>
      </c>
      <c r="D133" s="171" t="s">
        <v>117</v>
      </c>
      <c r="E133" s="171" t="s">
        <v>79</v>
      </c>
      <c r="F133" s="171" t="s">
        <v>441</v>
      </c>
      <c r="G133" s="171" t="s">
        <v>177</v>
      </c>
      <c r="H133" s="176">
        <v>1</v>
      </c>
      <c r="I133" s="177">
        <v>0</v>
      </c>
      <c r="J133" s="175">
        <v>46049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0</v>
      </c>
    </row>
    <row r="134" spans="1:16" ht="19.5" customHeight="1">
      <c r="A134" s="171" t="s">
        <v>1038</v>
      </c>
      <c r="B134" s="175">
        <v>46055</v>
      </c>
      <c r="C134" s="171" t="s">
        <v>110</v>
      </c>
      <c r="D134" s="171" t="s">
        <v>118</v>
      </c>
      <c r="E134" s="171" t="s">
        <v>79</v>
      </c>
      <c r="F134" s="171" t="s">
        <v>441</v>
      </c>
      <c r="G134" s="171" t="s">
        <v>177</v>
      </c>
      <c r="H134" s="176">
        <v>1</v>
      </c>
      <c r="I134" s="177">
        <v>0</v>
      </c>
      <c r="J134" s="175">
        <v>46049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-56.94</v>
      </c>
    </row>
    <row r="135" spans="1:16" ht="19.5" customHeight="1">
      <c r="A135" s="171" t="s">
        <v>1038</v>
      </c>
      <c r="B135" s="175">
        <v>46055</v>
      </c>
      <c r="C135" s="171" t="s">
        <v>115</v>
      </c>
      <c r="D135" s="171" t="s">
        <v>119</v>
      </c>
      <c r="E135" s="171" t="s">
        <v>79</v>
      </c>
      <c r="F135" s="171" t="s">
        <v>441</v>
      </c>
      <c r="G135" s="171" t="s">
        <v>177</v>
      </c>
      <c r="H135" s="176">
        <v>1</v>
      </c>
      <c r="I135" s="177">
        <v>0</v>
      </c>
      <c r="J135" s="175">
        <v>46049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-15</v>
      </c>
    </row>
    <row r="136" spans="1:16" ht="19.5" customHeight="1">
      <c r="A136" s="171" t="s">
        <v>1039</v>
      </c>
      <c r="B136" s="175">
        <v>46055</v>
      </c>
      <c r="C136" s="171" t="s">
        <v>110</v>
      </c>
      <c r="D136" s="171" t="s">
        <v>117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46049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1039</v>
      </c>
      <c r="B137" s="175">
        <v>46055</v>
      </c>
      <c r="C137" s="171" t="s">
        <v>110</v>
      </c>
      <c r="D137" s="171" t="s">
        <v>118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46049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-46.77</v>
      </c>
    </row>
    <row r="138" spans="1:16" ht="19.5" customHeight="1">
      <c r="A138" s="171" t="s">
        <v>1039</v>
      </c>
      <c r="B138" s="175">
        <v>46055</v>
      </c>
      <c r="C138" s="171" t="s">
        <v>115</v>
      </c>
      <c r="D138" s="171" t="s">
        <v>119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0</v>
      </c>
      <c r="J138" s="175">
        <v>46049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-15</v>
      </c>
    </row>
    <row r="139" spans="1:16" ht="19.5" customHeight="1">
      <c r="A139" s="171" t="s">
        <v>740</v>
      </c>
      <c r="B139" s="175">
        <v>46055</v>
      </c>
      <c r="C139" s="171" t="s">
        <v>115</v>
      </c>
      <c r="D139" s="171" t="s">
        <v>135</v>
      </c>
      <c r="E139" s="171" t="s">
        <v>77</v>
      </c>
      <c r="F139" s="171" t="s">
        <v>194</v>
      </c>
      <c r="G139" s="171" t="s">
        <v>177</v>
      </c>
      <c r="H139" s="176">
        <v>1</v>
      </c>
      <c r="I139" s="177">
        <v>0</v>
      </c>
      <c r="J139" s="175">
        <v>46044</v>
      </c>
      <c r="K139" s="171" t="s">
        <v>125</v>
      </c>
      <c r="L139" s="171" t="s">
        <v>125</v>
      </c>
      <c r="M139" s="178">
        <v>0</v>
      </c>
      <c r="N139" s="176"/>
      <c r="O139" s="176"/>
      <c r="P139" s="179">
        <v>30.79</v>
      </c>
    </row>
    <row r="140" spans="1:16" ht="19.5" customHeight="1">
      <c r="A140" s="171" t="s">
        <v>1040</v>
      </c>
      <c r="B140" s="175">
        <v>46055</v>
      </c>
      <c r="C140" s="171" t="s">
        <v>110</v>
      </c>
      <c r="D140" s="171" t="s">
        <v>24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46054</v>
      </c>
      <c r="K140" s="171" t="s">
        <v>113</v>
      </c>
      <c r="L140" s="171" t="s">
        <v>114</v>
      </c>
      <c r="M140" s="178">
        <v>0.43</v>
      </c>
      <c r="N140" s="176"/>
      <c r="O140" s="176">
        <v>42</v>
      </c>
      <c r="P140" s="179">
        <v>-125.16</v>
      </c>
    </row>
    <row r="141" spans="1:16" ht="19.5" customHeight="1">
      <c r="A141" s="171" t="s">
        <v>1040</v>
      </c>
      <c r="B141" s="175">
        <v>46055</v>
      </c>
      <c r="C141" s="171" t="s">
        <v>127</v>
      </c>
      <c r="D141" s="171" t="s">
        <v>128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46054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762.86</v>
      </c>
    </row>
    <row r="142" spans="1:16" ht="19.5" customHeight="1">
      <c r="A142" s="171" t="s">
        <v>1040</v>
      </c>
      <c r="B142" s="175">
        <v>46055</v>
      </c>
      <c r="C142" s="171" t="s">
        <v>127</v>
      </c>
      <c r="D142" s="171" t="s">
        <v>129</v>
      </c>
      <c r="E142" s="171" t="s">
        <v>44</v>
      </c>
      <c r="F142" s="171" t="s">
        <v>213</v>
      </c>
      <c r="G142" s="171" t="s">
        <v>214</v>
      </c>
      <c r="H142" s="176">
        <v>1</v>
      </c>
      <c r="I142" s="177">
        <v>1815</v>
      </c>
      <c r="J142" s="175">
        <v>46054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7.63</v>
      </c>
    </row>
    <row r="143" spans="1:16" ht="19.5" customHeight="1">
      <c r="A143" s="171" t="s">
        <v>1040</v>
      </c>
      <c r="B143" s="175">
        <v>46055</v>
      </c>
      <c r="C143" s="171" t="s">
        <v>127</v>
      </c>
      <c r="D143" s="171" t="s">
        <v>130</v>
      </c>
      <c r="E143" s="171" t="s">
        <v>44</v>
      </c>
      <c r="F143" s="171" t="s">
        <v>213</v>
      </c>
      <c r="G143" s="171" t="s">
        <v>214</v>
      </c>
      <c r="H143" s="176">
        <v>1</v>
      </c>
      <c r="I143" s="177">
        <v>1815</v>
      </c>
      <c r="J143" s="175">
        <v>46054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1044.51</v>
      </c>
    </row>
    <row r="144" spans="1:16" ht="19.5" customHeight="1">
      <c r="A144" s="171" t="s">
        <v>1040</v>
      </c>
      <c r="B144" s="175">
        <v>46055</v>
      </c>
      <c r="C144" s="171" t="s">
        <v>131</v>
      </c>
      <c r="D144" s="171" t="s">
        <v>132</v>
      </c>
      <c r="E144" s="171" t="s">
        <v>44</v>
      </c>
      <c r="F144" s="171" t="s">
        <v>213</v>
      </c>
      <c r="G144" s="171" t="s">
        <v>214</v>
      </c>
      <c r="H144" s="176">
        <v>1</v>
      </c>
      <c r="I144" s="177">
        <v>1815</v>
      </c>
      <c r="J144" s="175">
        <v>46054</v>
      </c>
      <c r="K144" s="171" t="s">
        <v>113</v>
      </c>
      <c r="L144" s="171" t="s">
        <v>114</v>
      </c>
      <c r="M144" s="178">
        <v>0.43</v>
      </c>
      <c r="N144" s="176"/>
      <c r="O144" s="176"/>
      <c r="P144" s="179">
        <v>-780.45</v>
      </c>
    </row>
    <row r="145" spans="1:16" ht="19.5" customHeight="1">
      <c r="A145" s="171" t="s">
        <v>1040</v>
      </c>
      <c r="B145" s="175">
        <v>46055</v>
      </c>
      <c r="C145" s="171" t="s">
        <v>115</v>
      </c>
      <c r="D145" s="171" t="s">
        <v>116</v>
      </c>
      <c r="E145" s="171" t="s">
        <v>44</v>
      </c>
      <c r="F145" s="171" t="s">
        <v>213</v>
      </c>
      <c r="G145" s="171" t="s">
        <v>214</v>
      </c>
      <c r="H145" s="176">
        <v>1</v>
      </c>
      <c r="I145" s="177">
        <v>1815</v>
      </c>
      <c r="J145" s="175">
        <v>46054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-10.45</v>
      </c>
    </row>
    <row r="146" spans="1:16" ht="19.5" customHeight="1">
      <c r="A146" s="171" t="s">
        <v>989</v>
      </c>
      <c r="B146" s="175">
        <v>46055</v>
      </c>
      <c r="C146" s="171" t="s">
        <v>308</v>
      </c>
      <c r="D146" s="171" t="s">
        <v>419</v>
      </c>
      <c r="E146" s="171" t="s">
        <v>48</v>
      </c>
      <c r="F146" s="171" t="s">
        <v>198</v>
      </c>
      <c r="G146" s="171" t="s">
        <v>112</v>
      </c>
      <c r="H146" s="176">
        <v>1</v>
      </c>
      <c r="I146" s="177">
        <v>-1387</v>
      </c>
      <c r="J146" s="175">
        <v>46052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-728.57</v>
      </c>
    </row>
    <row r="147" spans="1:16" ht="19.5" customHeight="1">
      <c r="A147" s="171" t="s">
        <v>989</v>
      </c>
      <c r="B147" s="175">
        <v>46055</v>
      </c>
      <c r="C147" s="171" t="s">
        <v>308</v>
      </c>
      <c r="D147" s="171" t="s">
        <v>129</v>
      </c>
      <c r="E147" s="171" t="s">
        <v>48</v>
      </c>
      <c r="F147" s="171" t="s">
        <v>198</v>
      </c>
      <c r="G147" s="171" t="s">
        <v>112</v>
      </c>
      <c r="H147" s="176">
        <v>1</v>
      </c>
      <c r="I147" s="177">
        <v>-1387</v>
      </c>
      <c r="J147" s="175">
        <v>46052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-7.29</v>
      </c>
    </row>
    <row r="148" spans="1:16" ht="19.5" customHeight="1">
      <c r="A148" s="171" t="s">
        <v>989</v>
      </c>
      <c r="B148" s="175">
        <v>46055</v>
      </c>
      <c r="C148" s="171" t="s">
        <v>308</v>
      </c>
      <c r="D148" s="171" t="s">
        <v>130</v>
      </c>
      <c r="E148" s="171" t="s">
        <v>48</v>
      </c>
      <c r="F148" s="171" t="s">
        <v>198</v>
      </c>
      <c r="G148" s="171" t="s">
        <v>112</v>
      </c>
      <c r="H148" s="176">
        <v>1</v>
      </c>
      <c r="I148" s="177">
        <v>-1387</v>
      </c>
      <c r="J148" s="175">
        <v>46052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-651.14</v>
      </c>
    </row>
    <row r="149" spans="1:16" ht="19.5" customHeight="1">
      <c r="A149" s="171" t="s">
        <v>989</v>
      </c>
      <c r="B149" s="175">
        <v>46055</v>
      </c>
      <c r="C149" s="171" t="s">
        <v>131</v>
      </c>
      <c r="D149" s="171" t="s">
        <v>420</v>
      </c>
      <c r="E149" s="171" t="s">
        <v>48</v>
      </c>
      <c r="F149" s="171" t="s">
        <v>198</v>
      </c>
      <c r="G149" s="171" t="s">
        <v>112</v>
      </c>
      <c r="H149" s="176">
        <v>1</v>
      </c>
      <c r="I149" s="177">
        <v>-1387</v>
      </c>
      <c r="J149" s="175">
        <v>46052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596.41</v>
      </c>
    </row>
    <row r="150" spans="1:16" ht="19.5" customHeight="1">
      <c r="A150" s="171" t="s">
        <v>989</v>
      </c>
      <c r="B150" s="175">
        <v>46055</v>
      </c>
      <c r="C150" s="171" t="s">
        <v>115</v>
      </c>
      <c r="D150" s="171" t="s">
        <v>135</v>
      </c>
      <c r="E150" s="171" t="s">
        <v>48</v>
      </c>
      <c r="F150" s="171" t="s">
        <v>198</v>
      </c>
      <c r="G150" s="171" t="s">
        <v>112</v>
      </c>
      <c r="H150" s="176">
        <v>1</v>
      </c>
      <c r="I150" s="177">
        <v>0</v>
      </c>
      <c r="J150" s="175">
        <v>46052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13.84</v>
      </c>
    </row>
    <row r="151" spans="1:16" ht="19.5" customHeight="1">
      <c r="A151" s="171" t="s">
        <v>1041</v>
      </c>
      <c r="B151" s="175">
        <v>46055</v>
      </c>
      <c r="C151" s="171" t="s">
        <v>115</v>
      </c>
      <c r="D151" s="171" t="s">
        <v>135</v>
      </c>
      <c r="E151" s="171" t="s">
        <v>42</v>
      </c>
      <c r="F151" s="171" t="s">
        <v>248</v>
      </c>
      <c r="G151" s="171" t="s">
        <v>112</v>
      </c>
      <c r="H151" s="176">
        <v>1</v>
      </c>
      <c r="I151" s="177">
        <v>0</v>
      </c>
      <c r="J151" s="175">
        <v>46055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-12.26</v>
      </c>
    </row>
    <row r="152" spans="1:16" ht="19.5" customHeight="1">
      <c r="A152" s="171" t="s">
        <v>937</v>
      </c>
      <c r="B152" s="175">
        <v>46055</v>
      </c>
      <c r="C152" s="171" t="s">
        <v>110</v>
      </c>
      <c r="D152" s="171" t="s">
        <v>24</v>
      </c>
      <c r="E152" s="171" t="s">
        <v>77</v>
      </c>
      <c r="F152" s="171" t="s">
        <v>194</v>
      </c>
      <c r="G152" s="171" t="s">
        <v>177</v>
      </c>
      <c r="H152" s="176">
        <v>1</v>
      </c>
      <c r="I152" s="177">
        <v>0</v>
      </c>
      <c r="J152" s="175">
        <v>46050</v>
      </c>
      <c r="K152" s="171" t="s">
        <v>113</v>
      </c>
      <c r="L152" s="171" t="s">
        <v>114</v>
      </c>
      <c r="M152" s="178">
        <v>0</v>
      </c>
      <c r="N152" s="176"/>
      <c r="O152" s="176">
        <v>50</v>
      </c>
      <c r="P152" s="179">
        <v>-56.94</v>
      </c>
    </row>
    <row r="153" spans="1:16" ht="19.5" customHeight="1">
      <c r="A153" s="171" t="s">
        <v>937</v>
      </c>
      <c r="B153" s="175">
        <v>46055</v>
      </c>
      <c r="C153" s="171" t="s">
        <v>115</v>
      </c>
      <c r="D153" s="171" t="s">
        <v>116</v>
      </c>
      <c r="E153" s="171" t="s">
        <v>77</v>
      </c>
      <c r="F153" s="171" t="s">
        <v>194</v>
      </c>
      <c r="G153" s="171" t="s">
        <v>177</v>
      </c>
      <c r="H153" s="176">
        <v>1</v>
      </c>
      <c r="I153" s="177">
        <v>0</v>
      </c>
      <c r="J153" s="175">
        <v>46050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-12.87</v>
      </c>
    </row>
    <row r="154" spans="1:16" ht="19.5" customHeight="1">
      <c r="A154" s="171" t="s">
        <v>937</v>
      </c>
      <c r="B154" s="175">
        <v>46055</v>
      </c>
      <c r="C154" s="171" t="s">
        <v>110</v>
      </c>
      <c r="D154" s="171" t="s">
        <v>117</v>
      </c>
      <c r="E154" s="171" t="s">
        <v>77</v>
      </c>
      <c r="F154" s="171" t="s">
        <v>194</v>
      </c>
      <c r="G154" s="171" t="s">
        <v>177</v>
      </c>
      <c r="H154" s="176">
        <v>1</v>
      </c>
      <c r="I154" s="177">
        <v>0</v>
      </c>
      <c r="J154" s="175">
        <v>46050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0</v>
      </c>
    </row>
    <row r="155" spans="1:16" ht="19.5" customHeight="1">
      <c r="A155" s="171" t="s">
        <v>937</v>
      </c>
      <c r="B155" s="175">
        <v>46055</v>
      </c>
      <c r="C155" s="171" t="s">
        <v>110</v>
      </c>
      <c r="D155" s="171" t="s">
        <v>118</v>
      </c>
      <c r="E155" s="171" t="s">
        <v>77</v>
      </c>
      <c r="F155" s="171" t="s">
        <v>194</v>
      </c>
      <c r="G155" s="171" t="s">
        <v>177</v>
      </c>
      <c r="H155" s="176">
        <v>1</v>
      </c>
      <c r="I155" s="177">
        <v>0</v>
      </c>
      <c r="J155" s="175">
        <v>46050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-56.94</v>
      </c>
    </row>
    <row r="156" spans="1:16" ht="19.5" customHeight="1">
      <c r="A156" s="171" t="s">
        <v>937</v>
      </c>
      <c r="B156" s="175">
        <v>46055</v>
      </c>
      <c r="C156" s="171" t="s">
        <v>115</v>
      </c>
      <c r="D156" s="171" t="s">
        <v>119</v>
      </c>
      <c r="E156" s="171" t="s">
        <v>77</v>
      </c>
      <c r="F156" s="171" t="s">
        <v>194</v>
      </c>
      <c r="G156" s="171" t="s">
        <v>177</v>
      </c>
      <c r="H156" s="176">
        <v>1</v>
      </c>
      <c r="I156" s="177">
        <v>0</v>
      </c>
      <c r="J156" s="175">
        <v>46050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-15</v>
      </c>
    </row>
    <row r="157" spans="1:16" ht="19.5" customHeight="1">
      <c r="A157" s="171" t="s">
        <v>671</v>
      </c>
      <c r="B157" s="175">
        <v>46055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-205.04</v>
      </c>
    </row>
    <row r="158" spans="1:16" ht="19.5" customHeight="1">
      <c r="A158" s="171" t="s">
        <v>565</v>
      </c>
      <c r="B158" s="175">
        <v>46055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46055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-264.52</v>
      </c>
    </row>
    <row r="159" spans="1:16" ht="19.5" customHeight="1">
      <c r="A159" s="171" t="s">
        <v>180</v>
      </c>
      <c r="B159" s="175">
        <v>46055</v>
      </c>
      <c r="C159" s="171" t="s">
        <v>151</v>
      </c>
      <c r="D159" s="171" t="s">
        <v>152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46055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-486.13</v>
      </c>
    </row>
    <row r="160" spans="1:16" ht="19.5" customHeight="1">
      <c r="A160" s="171" t="s">
        <v>150</v>
      </c>
      <c r="B160" s="175">
        <v>46055</v>
      </c>
      <c r="C160" s="171" t="s">
        <v>151</v>
      </c>
      <c r="D160" s="171" t="s">
        <v>152</v>
      </c>
      <c r="E160" s="171" t="s">
        <v>125</v>
      </c>
      <c r="F160" s="171" t="s">
        <v>125</v>
      </c>
      <c r="G160" s="171" t="s">
        <v>125</v>
      </c>
      <c r="H160" s="176">
        <v>0</v>
      </c>
      <c r="I160" s="177">
        <v>0</v>
      </c>
      <c r="J160" s="175">
        <v>46055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-1248.3699999999999</v>
      </c>
    </row>
    <row r="161" spans="1:16" ht="19.5" customHeight="1">
      <c r="A161" s="171" t="s">
        <v>155</v>
      </c>
      <c r="B161" s="175">
        <v>46055</v>
      </c>
      <c r="C161" s="171" t="s">
        <v>151</v>
      </c>
      <c r="D161" s="171" t="s">
        <v>156</v>
      </c>
      <c r="E161" s="171" t="s">
        <v>125</v>
      </c>
      <c r="F161" s="171" t="s">
        <v>125</v>
      </c>
      <c r="G161" s="171" t="s">
        <v>125</v>
      </c>
      <c r="H161" s="176">
        <v>0</v>
      </c>
      <c r="I161" s="177">
        <v>0</v>
      </c>
      <c r="J161" s="175">
        <v>46055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-4738.21</v>
      </c>
    </row>
    <row r="162" spans="1:16" ht="19.5" customHeight="1">
      <c r="A162" s="171" t="s">
        <v>1042</v>
      </c>
      <c r="B162" s="175">
        <v>46056</v>
      </c>
      <c r="C162" s="171" t="s">
        <v>110</v>
      </c>
      <c r="D162" s="171" t="s">
        <v>24</v>
      </c>
      <c r="E162" s="171" t="s">
        <v>44</v>
      </c>
      <c r="F162" s="171" t="s">
        <v>213</v>
      </c>
      <c r="G162" s="171" t="s">
        <v>214</v>
      </c>
      <c r="H162" s="176">
        <v>1</v>
      </c>
      <c r="I162" s="177">
        <v>0</v>
      </c>
      <c r="J162" s="175">
        <v>46047</v>
      </c>
      <c r="K162" s="171" t="s">
        <v>113</v>
      </c>
      <c r="L162" s="171" t="s">
        <v>114</v>
      </c>
      <c r="M162" s="178">
        <v>0</v>
      </c>
      <c r="N162" s="176"/>
      <c r="O162" s="176">
        <v>52</v>
      </c>
      <c r="P162" s="179">
        <v>-46.77</v>
      </c>
    </row>
    <row r="163" spans="1:16" ht="19.5" customHeight="1">
      <c r="A163" s="171" t="s">
        <v>1042</v>
      </c>
      <c r="B163" s="175">
        <v>46056</v>
      </c>
      <c r="C163" s="171" t="s">
        <v>115</v>
      </c>
      <c r="D163" s="171" t="s">
        <v>116</v>
      </c>
      <c r="E163" s="171" t="s">
        <v>44</v>
      </c>
      <c r="F163" s="171" t="s">
        <v>213</v>
      </c>
      <c r="G163" s="171" t="s">
        <v>214</v>
      </c>
      <c r="H163" s="176">
        <v>1</v>
      </c>
      <c r="I163" s="177">
        <v>0</v>
      </c>
      <c r="J163" s="175">
        <v>46047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-10.32</v>
      </c>
    </row>
    <row r="164" spans="1:16" ht="19.5" customHeight="1">
      <c r="A164" s="171" t="s">
        <v>1042</v>
      </c>
      <c r="B164" s="175">
        <v>46056</v>
      </c>
      <c r="C164" s="171" t="s">
        <v>110</v>
      </c>
      <c r="D164" s="171" t="s">
        <v>117</v>
      </c>
      <c r="E164" s="171" t="s">
        <v>44</v>
      </c>
      <c r="F164" s="171" t="s">
        <v>213</v>
      </c>
      <c r="G164" s="171" t="s">
        <v>214</v>
      </c>
      <c r="H164" s="176">
        <v>1</v>
      </c>
      <c r="I164" s="177">
        <v>0</v>
      </c>
      <c r="J164" s="175">
        <v>46047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0</v>
      </c>
    </row>
    <row r="165" spans="1:16" ht="19.5" customHeight="1">
      <c r="A165" s="171" t="s">
        <v>1042</v>
      </c>
      <c r="B165" s="175">
        <v>46056</v>
      </c>
      <c r="C165" s="171" t="s">
        <v>110</v>
      </c>
      <c r="D165" s="171" t="s">
        <v>118</v>
      </c>
      <c r="E165" s="171" t="s">
        <v>44</v>
      </c>
      <c r="F165" s="171" t="s">
        <v>213</v>
      </c>
      <c r="G165" s="171" t="s">
        <v>214</v>
      </c>
      <c r="H165" s="176">
        <v>1</v>
      </c>
      <c r="I165" s="177">
        <v>0</v>
      </c>
      <c r="J165" s="175">
        <v>46047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-46.77</v>
      </c>
    </row>
    <row r="166" spans="1:16" ht="19.5" customHeight="1">
      <c r="A166" s="171" t="s">
        <v>1042</v>
      </c>
      <c r="B166" s="175">
        <v>46056</v>
      </c>
      <c r="C166" s="171" t="s">
        <v>115</v>
      </c>
      <c r="D166" s="171" t="s">
        <v>119</v>
      </c>
      <c r="E166" s="171" t="s">
        <v>44</v>
      </c>
      <c r="F166" s="171" t="s">
        <v>213</v>
      </c>
      <c r="G166" s="171" t="s">
        <v>214</v>
      </c>
      <c r="H166" s="176">
        <v>1</v>
      </c>
      <c r="I166" s="177">
        <v>0</v>
      </c>
      <c r="J166" s="175">
        <v>46047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-15</v>
      </c>
    </row>
    <row r="167" spans="1:16" ht="19.5" customHeight="1">
      <c r="A167" s="171" t="s">
        <v>1043</v>
      </c>
      <c r="B167" s="175">
        <v>46056</v>
      </c>
      <c r="C167" s="171" t="s">
        <v>115</v>
      </c>
      <c r="D167" s="171" t="s">
        <v>135</v>
      </c>
      <c r="E167" s="171" t="s">
        <v>77</v>
      </c>
      <c r="F167" s="171" t="s">
        <v>194</v>
      </c>
      <c r="G167" s="171" t="s">
        <v>177</v>
      </c>
      <c r="H167" s="176">
        <v>1</v>
      </c>
      <c r="I167" s="177">
        <v>0</v>
      </c>
      <c r="J167" s="175">
        <v>46056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-35.86</v>
      </c>
    </row>
    <row r="168" spans="1:16" ht="19.5" customHeight="1">
      <c r="A168" s="171" t="s">
        <v>1044</v>
      </c>
      <c r="B168" s="175">
        <v>46056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1800</v>
      </c>
      <c r="J168" s="175">
        <v>46053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-146.61000000000001</v>
      </c>
    </row>
    <row r="169" spans="1:16" ht="19.5" customHeight="1">
      <c r="A169" s="171" t="s">
        <v>1044</v>
      </c>
      <c r="B169" s="175">
        <v>46056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1800</v>
      </c>
      <c r="J169" s="175">
        <v>46053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785.17</v>
      </c>
    </row>
    <row r="170" spans="1:16" ht="19.5" customHeight="1">
      <c r="A170" s="171" t="s">
        <v>1044</v>
      </c>
      <c r="B170" s="175">
        <v>46056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1800</v>
      </c>
      <c r="J170" s="175">
        <v>46053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7.85</v>
      </c>
    </row>
    <row r="171" spans="1:16" ht="19.5" customHeight="1">
      <c r="A171" s="171" t="s">
        <v>1044</v>
      </c>
      <c r="B171" s="175">
        <v>46056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1800</v>
      </c>
      <c r="J171" s="175">
        <v>46053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1006.98</v>
      </c>
    </row>
    <row r="172" spans="1:16" ht="19.5" customHeight="1">
      <c r="A172" s="171" t="s">
        <v>1044</v>
      </c>
      <c r="B172" s="175">
        <v>46056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1800</v>
      </c>
      <c r="J172" s="175">
        <v>46053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-774</v>
      </c>
    </row>
    <row r="173" spans="1:16" ht="19.5" customHeight="1">
      <c r="A173" s="171" t="s">
        <v>1044</v>
      </c>
      <c r="B173" s="175">
        <v>46056</v>
      </c>
      <c r="C173" s="171" t="s">
        <v>115</v>
      </c>
      <c r="D173" s="171" t="s">
        <v>116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1800</v>
      </c>
      <c r="J173" s="175">
        <v>46053</v>
      </c>
      <c r="K173" s="171" t="s">
        <v>113</v>
      </c>
      <c r="L173" s="171" t="s">
        <v>114</v>
      </c>
      <c r="M173" s="178">
        <v>0.43</v>
      </c>
      <c r="N173" s="176"/>
      <c r="O173" s="176"/>
      <c r="P173" s="179">
        <v>-9.9</v>
      </c>
    </row>
    <row r="174" spans="1:16" ht="19.5" customHeight="1">
      <c r="A174" s="171" t="s">
        <v>1044</v>
      </c>
      <c r="B174" s="175">
        <v>46056</v>
      </c>
      <c r="C174" s="171" t="s">
        <v>115</v>
      </c>
      <c r="D174" s="171" t="s">
        <v>135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46053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-14.92</v>
      </c>
    </row>
    <row r="175" spans="1:16" ht="19.5" customHeight="1">
      <c r="A175" s="171" t="s">
        <v>1045</v>
      </c>
      <c r="B175" s="175">
        <v>46056</v>
      </c>
      <c r="C175" s="171" t="s">
        <v>110</v>
      </c>
      <c r="D175" s="171" t="s">
        <v>24</v>
      </c>
      <c r="E175" s="171" t="s">
        <v>42</v>
      </c>
      <c r="F175" s="171" t="s">
        <v>248</v>
      </c>
      <c r="G175" s="171" t="s">
        <v>112</v>
      </c>
      <c r="H175" s="176">
        <v>1</v>
      </c>
      <c r="I175" s="177">
        <v>0</v>
      </c>
      <c r="J175" s="175">
        <v>46053</v>
      </c>
      <c r="K175" s="171" t="s">
        <v>113</v>
      </c>
      <c r="L175" s="171" t="s">
        <v>114</v>
      </c>
      <c r="M175" s="178">
        <v>0</v>
      </c>
      <c r="N175" s="176"/>
      <c r="O175" s="176">
        <v>48</v>
      </c>
      <c r="P175" s="179">
        <v>-46.77</v>
      </c>
    </row>
    <row r="176" spans="1:16" ht="19.5" customHeight="1">
      <c r="A176" s="171" t="s">
        <v>1045</v>
      </c>
      <c r="B176" s="175">
        <v>46056</v>
      </c>
      <c r="C176" s="171" t="s">
        <v>115</v>
      </c>
      <c r="D176" s="171" t="s">
        <v>116</v>
      </c>
      <c r="E176" s="171" t="s">
        <v>42</v>
      </c>
      <c r="F176" s="171" t="s">
        <v>248</v>
      </c>
      <c r="G176" s="171" t="s">
        <v>112</v>
      </c>
      <c r="H176" s="176">
        <v>1</v>
      </c>
      <c r="I176" s="177">
        <v>0</v>
      </c>
      <c r="J176" s="175">
        <v>46053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-8.9499999999999993</v>
      </c>
    </row>
    <row r="177" spans="1:16" ht="19.5" customHeight="1">
      <c r="A177" s="171" t="s">
        <v>1045</v>
      </c>
      <c r="B177" s="175">
        <v>46056</v>
      </c>
      <c r="C177" s="171" t="s">
        <v>110</v>
      </c>
      <c r="D177" s="171" t="s">
        <v>117</v>
      </c>
      <c r="E177" s="171" t="s">
        <v>42</v>
      </c>
      <c r="F177" s="171" t="s">
        <v>248</v>
      </c>
      <c r="G177" s="171" t="s">
        <v>112</v>
      </c>
      <c r="H177" s="176">
        <v>1</v>
      </c>
      <c r="I177" s="177">
        <v>0</v>
      </c>
      <c r="J177" s="175">
        <v>46053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0</v>
      </c>
    </row>
    <row r="178" spans="1:16" ht="19.5" customHeight="1">
      <c r="A178" s="171" t="s">
        <v>1045</v>
      </c>
      <c r="B178" s="175">
        <v>46056</v>
      </c>
      <c r="C178" s="171" t="s">
        <v>110</v>
      </c>
      <c r="D178" s="171" t="s">
        <v>118</v>
      </c>
      <c r="E178" s="171" t="s">
        <v>42</v>
      </c>
      <c r="F178" s="171" t="s">
        <v>248</v>
      </c>
      <c r="G178" s="171" t="s">
        <v>112</v>
      </c>
      <c r="H178" s="176">
        <v>1</v>
      </c>
      <c r="I178" s="177">
        <v>0</v>
      </c>
      <c r="J178" s="175">
        <v>46053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-46.77</v>
      </c>
    </row>
    <row r="179" spans="1:16" ht="19.5" customHeight="1">
      <c r="A179" s="171" t="s">
        <v>1045</v>
      </c>
      <c r="B179" s="175">
        <v>46056</v>
      </c>
      <c r="C179" s="171" t="s">
        <v>115</v>
      </c>
      <c r="D179" s="171" t="s">
        <v>119</v>
      </c>
      <c r="E179" s="171" t="s">
        <v>42</v>
      </c>
      <c r="F179" s="171" t="s">
        <v>248</v>
      </c>
      <c r="G179" s="171" t="s">
        <v>112</v>
      </c>
      <c r="H179" s="176">
        <v>1</v>
      </c>
      <c r="I179" s="177">
        <v>0</v>
      </c>
      <c r="J179" s="175">
        <v>46053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-15</v>
      </c>
    </row>
    <row r="180" spans="1:16" ht="19.5" customHeight="1">
      <c r="A180" s="171" t="s">
        <v>1046</v>
      </c>
      <c r="B180" s="175">
        <v>46056</v>
      </c>
      <c r="C180" s="171" t="s">
        <v>110</v>
      </c>
      <c r="D180" s="171" t="s">
        <v>24</v>
      </c>
      <c r="E180" s="171" t="s">
        <v>77</v>
      </c>
      <c r="F180" s="171" t="s">
        <v>194</v>
      </c>
      <c r="G180" s="171" t="s">
        <v>177</v>
      </c>
      <c r="H180" s="176">
        <v>1</v>
      </c>
      <c r="I180" s="177">
        <v>0</v>
      </c>
      <c r="J180" s="175">
        <v>46046</v>
      </c>
      <c r="K180" s="171" t="s">
        <v>113</v>
      </c>
      <c r="L180" s="171" t="s">
        <v>114</v>
      </c>
      <c r="M180" s="178">
        <v>0</v>
      </c>
      <c r="N180" s="176"/>
      <c r="O180" s="176">
        <v>50</v>
      </c>
      <c r="P180" s="179">
        <v>-56.94</v>
      </c>
    </row>
    <row r="181" spans="1:16" ht="19.5" customHeight="1">
      <c r="A181" s="171" t="s">
        <v>1046</v>
      </c>
      <c r="B181" s="175">
        <v>46056</v>
      </c>
      <c r="C181" s="171" t="s">
        <v>115</v>
      </c>
      <c r="D181" s="171" t="s">
        <v>116</v>
      </c>
      <c r="E181" s="171" t="s">
        <v>77</v>
      </c>
      <c r="F181" s="171" t="s">
        <v>194</v>
      </c>
      <c r="G181" s="171" t="s">
        <v>177</v>
      </c>
      <c r="H181" s="176">
        <v>1</v>
      </c>
      <c r="I181" s="177">
        <v>0</v>
      </c>
      <c r="J181" s="175">
        <v>46046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-13.43</v>
      </c>
    </row>
    <row r="182" spans="1:16" ht="19.5" customHeight="1">
      <c r="A182" s="171" t="s">
        <v>1046</v>
      </c>
      <c r="B182" s="175">
        <v>46056</v>
      </c>
      <c r="C182" s="171" t="s">
        <v>110</v>
      </c>
      <c r="D182" s="171" t="s">
        <v>117</v>
      </c>
      <c r="E182" s="171" t="s">
        <v>77</v>
      </c>
      <c r="F182" s="171" t="s">
        <v>194</v>
      </c>
      <c r="G182" s="171" t="s">
        <v>177</v>
      </c>
      <c r="H182" s="176">
        <v>1</v>
      </c>
      <c r="I182" s="177">
        <v>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0</v>
      </c>
    </row>
    <row r="183" spans="1:16" ht="19.5" customHeight="1">
      <c r="A183" s="171" t="s">
        <v>1046</v>
      </c>
      <c r="B183" s="175">
        <v>46056</v>
      </c>
      <c r="C183" s="171" t="s">
        <v>110</v>
      </c>
      <c r="D183" s="171" t="s">
        <v>118</v>
      </c>
      <c r="E183" s="171" t="s">
        <v>77</v>
      </c>
      <c r="F183" s="171" t="s">
        <v>194</v>
      </c>
      <c r="G183" s="171" t="s">
        <v>177</v>
      </c>
      <c r="H183" s="176">
        <v>1</v>
      </c>
      <c r="I183" s="177">
        <v>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-56.94</v>
      </c>
    </row>
    <row r="184" spans="1:16" ht="19.5" customHeight="1">
      <c r="A184" s="171" t="s">
        <v>1046</v>
      </c>
      <c r="B184" s="175">
        <v>46056</v>
      </c>
      <c r="C184" s="171" t="s">
        <v>115</v>
      </c>
      <c r="D184" s="171" t="s">
        <v>119</v>
      </c>
      <c r="E184" s="171" t="s">
        <v>77</v>
      </c>
      <c r="F184" s="171" t="s">
        <v>194</v>
      </c>
      <c r="G184" s="171" t="s">
        <v>177</v>
      </c>
      <c r="H184" s="176">
        <v>1</v>
      </c>
      <c r="I184" s="177">
        <v>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-15</v>
      </c>
    </row>
    <row r="185" spans="1:16" ht="19.5" customHeight="1">
      <c r="A185" s="171" t="s">
        <v>1047</v>
      </c>
      <c r="B185" s="175">
        <v>46056</v>
      </c>
      <c r="C185" s="171" t="s">
        <v>110</v>
      </c>
      <c r="D185" s="171" t="s">
        <v>24</v>
      </c>
      <c r="E185" s="171" t="s">
        <v>42</v>
      </c>
      <c r="F185" s="171" t="s">
        <v>248</v>
      </c>
      <c r="G185" s="171" t="s">
        <v>112</v>
      </c>
      <c r="H185" s="176">
        <v>1</v>
      </c>
      <c r="I185" s="177">
        <v>0</v>
      </c>
      <c r="J185" s="175">
        <v>46052</v>
      </c>
      <c r="K185" s="171" t="s">
        <v>113</v>
      </c>
      <c r="L185" s="171" t="s">
        <v>114</v>
      </c>
      <c r="M185" s="178">
        <v>0</v>
      </c>
      <c r="N185" s="176"/>
      <c r="O185" s="176">
        <v>49</v>
      </c>
      <c r="P185" s="179">
        <v>-46.77</v>
      </c>
    </row>
    <row r="186" spans="1:16" ht="19.5" customHeight="1">
      <c r="A186" s="171" t="s">
        <v>1047</v>
      </c>
      <c r="B186" s="175">
        <v>46056</v>
      </c>
      <c r="C186" s="171" t="s">
        <v>115</v>
      </c>
      <c r="D186" s="171" t="s">
        <v>116</v>
      </c>
      <c r="E186" s="171" t="s">
        <v>42</v>
      </c>
      <c r="F186" s="171" t="s">
        <v>248</v>
      </c>
      <c r="G186" s="171" t="s">
        <v>112</v>
      </c>
      <c r="H186" s="176">
        <v>1</v>
      </c>
      <c r="I186" s="177">
        <v>0</v>
      </c>
      <c r="J186" s="175">
        <v>46052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-12.86</v>
      </c>
    </row>
    <row r="187" spans="1:16" ht="19.5" customHeight="1">
      <c r="A187" s="171" t="s">
        <v>1047</v>
      </c>
      <c r="B187" s="175">
        <v>46056</v>
      </c>
      <c r="C187" s="171" t="s">
        <v>110</v>
      </c>
      <c r="D187" s="171" t="s">
        <v>117</v>
      </c>
      <c r="E187" s="171" t="s">
        <v>42</v>
      </c>
      <c r="F187" s="171" t="s">
        <v>248</v>
      </c>
      <c r="G187" s="171" t="s">
        <v>112</v>
      </c>
      <c r="H187" s="176">
        <v>1</v>
      </c>
      <c r="I187" s="177">
        <v>0</v>
      </c>
      <c r="J187" s="175">
        <v>46052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0</v>
      </c>
    </row>
    <row r="188" spans="1:16" ht="19.5" customHeight="1">
      <c r="A188" s="171" t="s">
        <v>1047</v>
      </c>
      <c r="B188" s="175">
        <v>46056</v>
      </c>
      <c r="C188" s="171" t="s">
        <v>110</v>
      </c>
      <c r="D188" s="171" t="s">
        <v>118</v>
      </c>
      <c r="E188" s="171" t="s">
        <v>42</v>
      </c>
      <c r="F188" s="171" t="s">
        <v>248</v>
      </c>
      <c r="G188" s="171" t="s">
        <v>112</v>
      </c>
      <c r="H188" s="176">
        <v>1</v>
      </c>
      <c r="I188" s="177">
        <v>0</v>
      </c>
      <c r="J188" s="175">
        <v>46052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-46.77</v>
      </c>
    </row>
    <row r="189" spans="1:16" ht="19.5" customHeight="1">
      <c r="A189" s="171" t="s">
        <v>1047</v>
      </c>
      <c r="B189" s="175">
        <v>46056</v>
      </c>
      <c r="C189" s="171" t="s">
        <v>115</v>
      </c>
      <c r="D189" s="171" t="s">
        <v>119</v>
      </c>
      <c r="E189" s="171" t="s">
        <v>42</v>
      </c>
      <c r="F189" s="171" t="s">
        <v>248</v>
      </c>
      <c r="G189" s="171" t="s">
        <v>112</v>
      </c>
      <c r="H189" s="176">
        <v>1</v>
      </c>
      <c r="I189" s="177">
        <v>0</v>
      </c>
      <c r="J189" s="175">
        <v>46052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-15</v>
      </c>
    </row>
    <row r="190" spans="1:16" ht="19.5" customHeight="1">
      <c r="A190" s="171" t="s">
        <v>1048</v>
      </c>
      <c r="B190" s="175">
        <v>46056</v>
      </c>
      <c r="C190" s="171" t="s">
        <v>110</v>
      </c>
      <c r="D190" s="171" t="s">
        <v>24</v>
      </c>
      <c r="E190" s="171" t="s">
        <v>79</v>
      </c>
      <c r="F190" s="171" t="s">
        <v>441</v>
      </c>
      <c r="G190" s="171" t="s">
        <v>177</v>
      </c>
      <c r="H190" s="176">
        <v>1</v>
      </c>
      <c r="I190" s="177">
        <v>0</v>
      </c>
      <c r="J190" s="175">
        <v>46049</v>
      </c>
      <c r="K190" s="171" t="s">
        <v>113</v>
      </c>
      <c r="L190" s="171" t="s">
        <v>114</v>
      </c>
      <c r="M190" s="178">
        <v>0</v>
      </c>
      <c r="N190" s="176"/>
      <c r="O190" s="176">
        <v>51</v>
      </c>
      <c r="P190" s="179">
        <v>-56.94</v>
      </c>
    </row>
    <row r="191" spans="1:16" ht="19.5" customHeight="1">
      <c r="A191" s="171" t="s">
        <v>1048</v>
      </c>
      <c r="B191" s="175">
        <v>46056</v>
      </c>
      <c r="C191" s="171" t="s">
        <v>115</v>
      </c>
      <c r="D191" s="171" t="s">
        <v>116</v>
      </c>
      <c r="E191" s="171" t="s">
        <v>79</v>
      </c>
      <c r="F191" s="171" t="s">
        <v>441</v>
      </c>
      <c r="G191" s="171" t="s">
        <v>177</v>
      </c>
      <c r="H191" s="176">
        <v>1</v>
      </c>
      <c r="I191" s="177">
        <v>0</v>
      </c>
      <c r="J191" s="175">
        <v>46049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-12.57</v>
      </c>
    </row>
    <row r="192" spans="1:16" ht="19.5" customHeight="1">
      <c r="A192" s="171" t="s">
        <v>1048</v>
      </c>
      <c r="B192" s="175">
        <v>46056</v>
      </c>
      <c r="C192" s="171" t="s">
        <v>110</v>
      </c>
      <c r="D192" s="171" t="s">
        <v>117</v>
      </c>
      <c r="E192" s="171" t="s">
        <v>79</v>
      </c>
      <c r="F192" s="171" t="s">
        <v>441</v>
      </c>
      <c r="G192" s="171" t="s">
        <v>177</v>
      </c>
      <c r="H192" s="176">
        <v>1</v>
      </c>
      <c r="I192" s="177">
        <v>0</v>
      </c>
      <c r="J192" s="175">
        <v>46049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0</v>
      </c>
    </row>
    <row r="193" spans="1:16" ht="19.5" customHeight="1">
      <c r="A193" s="171" t="s">
        <v>1048</v>
      </c>
      <c r="B193" s="175">
        <v>46056</v>
      </c>
      <c r="C193" s="171" t="s">
        <v>110</v>
      </c>
      <c r="D193" s="171" t="s">
        <v>118</v>
      </c>
      <c r="E193" s="171" t="s">
        <v>79</v>
      </c>
      <c r="F193" s="171" t="s">
        <v>441</v>
      </c>
      <c r="G193" s="171" t="s">
        <v>177</v>
      </c>
      <c r="H193" s="176">
        <v>1</v>
      </c>
      <c r="I193" s="177">
        <v>0</v>
      </c>
      <c r="J193" s="175">
        <v>46049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-56.94</v>
      </c>
    </row>
    <row r="194" spans="1:16" ht="19.5" customHeight="1">
      <c r="A194" s="171" t="s">
        <v>1048</v>
      </c>
      <c r="B194" s="175">
        <v>46056</v>
      </c>
      <c r="C194" s="171" t="s">
        <v>115</v>
      </c>
      <c r="D194" s="171" t="s">
        <v>119</v>
      </c>
      <c r="E194" s="171" t="s">
        <v>79</v>
      </c>
      <c r="F194" s="171" t="s">
        <v>441</v>
      </c>
      <c r="G194" s="171" t="s">
        <v>177</v>
      </c>
      <c r="H194" s="176">
        <v>1</v>
      </c>
      <c r="I194" s="177">
        <v>0</v>
      </c>
      <c r="J194" s="175">
        <v>46049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-15</v>
      </c>
    </row>
    <row r="195" spans="1:16" ht="19.5" customHeight="1">
      <c r="A195" s="171" t="s">
        <v>864</v>
      </c>
      <c r="B195" s="175">
        <v>46056</v>
      </c>
      <c r="C195" s="171" t="s">
        <v>110</v>
      </c>
      <c r="D195" s="171" t="s">
        <v>121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46048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0</v>
      </c>
    </row>
    <row r="196" spans="1:16" ht="19.5" customHeight="1">
      <c r="A196" s="171" t="s">
        <v>864</v>
      </c>
      <c r="B196" s="175">
        <v>46056</v>
      </c>
      <c r="C196" s="171" t="s">
        <v>110</v>
      </c>
      <c r="D196" s="171" t="s">
        <v>118</v>
      </c>
      <c r="E196" s="171" t="s">
        <v>44</v>
      </c>
      <c r="F196" s="171" t="s">
        <v>213</v>
      </c>
      <c r="G196" s="171" t="s">
        <v>214</v>
      </c>
      <c r="H196" s="176">
        <v>1</v>
      </c>
      <c r="I196" s="177">
        <v>0</v>
      </c>
      <c r="J196" s="175">
        <v>46048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-46.77</v>
      </c>
    </row>
    <row r="197" spans="1:16" ht="19.5" customHeight="1">
      <c r="A197" s="171" t="s">
        <v>864</v>
      </c>
      <c r="B197" s="175">
        <v>46056</v>
      </c>
      <c r="C197" s="171" t="s">
        <v>115</v>
      </c>
      <c r="D197" s="171" t="s">
        <v>119</v>
      </c>
      <c r="E197" s="171" t="s">
        <v>44</v>
      </c>
      <c r="F197" s="171" t="s">
        <v>213</v>
      </c>
      <c r="G197" s="171" t="s">
        <v>214</v>
      </c>
      <c r="H197" s="176">
        <v>1</v>
      </c>
      <c r="I197" s="177">
        <v>0</v>
      </c>
      <c r="J197" s="175">
        <v>46048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-15</v>
      </c>
    </row>
    <row r="198" spans="1:16" ht="19.5" customHeight="1">
      <c r="A198" s="171" t="s">
        <v>1049</v>
      </c>
      <c r="B198" s="175">
        <v>46056</v>
      </c>
      <c r="C198" s="171" t="s">
        <v>110</v>
      </c>
      <c r="D198" s="171" t="s">
        <v>24</v>
      </c>
      <c r="E198" s="171" t="s">
        <v>40</v>
      </c>
      <c r="F198" s="171" t="s">
        <v>149</v>
      </c>
      <c r="G198" s="171" t="s">
        <v>112</v>
      </c>
      <c r="H198" s="176">
        <v>1</v>
      </c>
      <c r="I198" s="177">
        <v>1655</v>
      </c>
      <c r="J198" s="175">
        <v>46052</v>
      </c>
      <c r="K198" s="171" t="s">
        <v>113</v>
      </c>
      <c r="L198" s="171" t="s">
        <v>114</v>
      </c>
      <c r="M198" s="178">
        <v>0.43</v>
      </c>
      <c r="N198" s="176"/>
      <c r="O198" s="176">
        <v>49</v>
      </c>
      <c r="P198" s="179">
        <v>-143.91</v>
      </c>
    </row>
    <row r="199" spans="1:16" ht="19.5" customHeight="1">
      <c r="A199" s="171" t="s">
        <v>1049</v>
      </c>
      <c r="B199" s="175">
        <v>46056</v>
      </c>
      <c r="C199" s="171" t="s">
        <v>127</v>
      </c>
      <c r="D199" s="171" t="s">
        <v>128</v>
      </c>
      <c r="E199" s="171" t="s">
        <v>40</v>
      </c>
      <c r="F199" s="171" t="s">
        <v>149</v>
      </c>
      <c r="G199" s="171" t="s">
        <v>112</v>
      </c>
      <c r="H199" s="176">
        <v>1</v>
      </c>
      <c r="I199" s="177">
        <v>1655</v>
      </c>
      <c r="J199" s="175">
        <v>46052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969.55</v>
      </c>
    </row>
    <row r="200" spans="1:16" ht="19.5" customHeight="1">
      <c r="A200" s="171" t="s">
        <v>1049</v>
      </c>
      <c r="B200" s="175">
        <v>46056</v>
      </c>
      <c r="C200" s="171" t="s">
        <v>127</v>
      </c>
      <c r="D200" s="171" t="s">
        <v>129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1655</v>
      </c>
      <c r="J200" s="175">
        <v>46052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9.6999999999999993</v>
      </c>
    </row>
    <row r="201" spans="1:16" ht="19.5" customHeight="1">
      <c r="A201" s="171" t="s">
        <v>1049</v>
      </c>
      <c r="B201" s="175">
        <v>46056</v>
      </c>
      <c r="C201" s="171" t="s">
        <v>127</v>
      </c>
      <c r="D201" s="171" t="s">
        <v>130</v>
      </c>
      <c r="E201" s="171" t="s">
        <v>40</v>
      </c>
      <c r="F201" s="171" t="s">
        <v>149</v>
      </c>
      <c r="G201" s="171" t="s">
        <v>112</v>
      </c>
      <c r="H201" s="176">
        <v>1</v>
      </c>
      <c r="I201" s="177">
        <v>1655</v>
      </c>
      <c r="J201" s="175">
        <v>46052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675.75</v>
      </c>
    </row>
    <row r="202" spans="1:16" ht="19.5" customHeight="1">
      <c r="A202" s="171" t="s">
        <v>1049</v>
      </c>
      <c r="B202" s="175">
        <v>46056</v>
      </c>
      <c r="C202" s="171" t="s">
        <v>131</v>
      </c>
      <c r="D202" s="171" t="s">
        <v>132</v>
      </c>
      <c r="E202" s="171" t="s">
        <v>40</v>
      </c>
      <c r="F202" s="171" t="s">
        <v>149</v>
      </c>
      <c r="G202" s="171" t="s">
        <v>112</v>
      </c>
      <c r="H202" s="176">
        <v>1</v>
      </c>
      <c r="I202" s="177">
        <v>1655</v>
      </c>
      <c r="J202" s="175">
        <v>46052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-711.65</v>
      </c>
    </row>
    <row r="203" spans="1:16" ht="19.5" customHeight="1">
      <c r="A203" s="171" t="s">
        <v>1049</v>
      </c>
      <c r="B203" s="175">
        <v>46056</v>
      </c>
      <c r="C203" s="171" t="s">
        <v>115</v>
      </c>
      <c r="D203" s="171" t="s">
        <v>116</v>
      </c>
      <c r="E203" s="171" t="s">
        <v>40</v>
      </c>
      <c r="F203" s="171" t="s">
        <v>149</v>
      </c>
      <c r="G203" s="171" t="s">
        <v>112</v>
      </c>
      <c r="H203" s="176">
        <v>1</v>
      </c>
      <c r="I203" s="177">
        <v>1655</v>
      </c>
      <c r="J203" s="175">
        <v>46052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-14.52</v>
      </c>
    </row>
    <row r="204" spans="1:16" ht="19.5" customHeight="1">
      <c r="A204" s="171" t="s">
        <v>1050</v>
      </c>
      <c r="B204" s="175">
        <v>46056</v>
      </c>
      <c r="C204" s="171" t="s">
        <v>110</v>
      </c>
      <c r="D204" s="171" t="s">
        <v>24</v>
      </c>
      <c r="E204" s="171" t="s">
        <v>77</v>
      </c>
      <c r="F204" s="171" t="s">
        <v>194</v>
      </c>
      <c r="G204" s="171" t="s">
        <v>177</v>
      </c>
      <c r="H204" s="176">
        <v>1</v>
      </c>
      <c r="I204" s="177">
        <v>0</v>
      </c>
      <c r="J204" s="175">
        <v>46050</v>
      </c>
      <c r="K204" s="171" t="s">
        <v>113</v>
      </c>
      <c r="L204" s="171" t="s">
        <v>114</v>
      </c>
      <c r="M204" s="178">
        <v>0</v>
      </c>
      <c r="N204" s="176"/>
      <c r="O204" s="176">
        <v>50</v>
      </c>
      <c r="P204" s="179">
        <v>-56.94</v>
      </c>
    </row>
    <row r="205" spans="1:16" ht="19.5" customHeight="1">
      <c r="A205" s="171" t="s">
        <v>1050</v>
      </c>
      <c r="B205" s="175">
        <v>46056</v>
      </c>
      <c r="C205" s="171" t="s">
        <v>115</v>
      </c>
      <c r="D205" s="171" t="s">
        <v>116</v>
      </c>
      <c r="E205" s="171" t="s">
        <v>77</v>
      </c>
      <c r="F205" s="171" t="s">
        <v>194</v>
      </c>
      <c r="G205" s="171" t="s">
        <v>177</v>
      </c>
      <c r="H205" s="176">
        <v>1</v>
      </c>
      <c r="I205" s="177">
        <v>0</v>
      </c>
      <c r="J205" s="175">
        <v>46050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-13.66</v>
      </c>
    </row>
    <row r="206" spans="1:16" ht="19.5" customHeight="1">
      <c r="A206" s="171" t="s">
        <v>1050</v>
      </c>
      <c r="B206" s="175">
        <v>46056</v>
      </c>
      <c r="C206" s="171" t="s">
        <v>110</v>
      </c>
      <c r="D206" s="171" t="s">
        <v>117</v>
      </c>
      <c r="E206" s="171" t="s">
        <v>77</v>
      </c>
      <c r="F206" s="171" t="s">
        <v>194</v>
      </c>
      <c r="G206" s="171" t="s">
        <v>177</v>
      </c>
      <c r="H206" s="176">
        <v>1</v>
      </c>
      <c r="I206" s="177">
        <v>0</v>
      </c>
      <c r="J206" s="175">
        <v>46050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1050</v>
      </c>
      <c r="B207" s="175">
        <v>46056</v>
      </c>
      <c r="C207" s="171" t="s">
        <v>110</v>
      </c>
      <c r="D207" s="171" t="s">
        <v>118</v>
      </c>
      <c r="E207" s="171" t="s">
        <v>77</v>
      </c>
      <c r="F207" s="171" t="s">
        <v>194</v>
      </c>
      <c r="G207" s="171" t="s">
        <v>177</v>
      </c>
      <c r="H207" s="176">
        <v>1</v>
      </c>
      <c r="I207" s="177">
        <v>0</v>
      </c>
      <c r="J207" s="175">
        <v>46050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-56.94</v>
      </c>
    </row>
    <row r="208" spans="1:16" ht="19.5" customHeight="1">
      <c r="A208" s="171" t="s">
        <v>1050</v>
      </c>
      <c r="B208" s="175">
        <v>46056</v>
      </c>
      <c r="C208" s="171" t="s">
        <v>115</v>
      </c>
      <c r="D208" s="171" t="s">
        <v>119</v>
      </c>
      <c r="E208" s="171" t="s">
        <v>77</v>
      </c>
      <c r="F208" s="171" t="s">
        <v>194</v>
      </c>
      <c r="G208" s="171" t="s">
        <v>177</v>
      </c>
      <c r="H208" s="176">
        <v>1</v>
      </c>
      <c r="I208" s="177">
        <v>0</v>
      </c>
      <c r="J208" s="175">
        <v>46050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1051</v>
      </c>
      <c r="B209" s="175">
        <v>46056</v>
      </c>
      <c r="C209" s="171" t="s">
        <v>110</v>
      </c>
      <c r="D209" s="171" t="s">
        <v>24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1800</v>
      </c>
      <c r="J209" s="175">
        <v>46054</v>
      </c>
      <c r="K209" s="171" t="s">
        <v>113</v>
      </c>
      <c r="L209" s="171" t="s">
        <v>114</v>
      </c>
      <c r="M209" s="178">
        <v>0.43</v>
      </c>
      <c r="N209" s="176"/>
      <c r="O209" s="176">
        <v>42</v>
      </c>
      <c r="P209" s="179">
        <v>-124.73</v>
      </c>
    </row>
    <row r="210" spans="1:16" ht="19.5" customHeight="1">
      <c r="A210" s="171" t="s">
        <v>1051</v>
      </c>
      <c r="B210" s="175">
        <v>46056</v>
      </c>
      <c r="C210" s="171" t="s">
        <v>127</v>
      </c>
      <c r="D210" s="171" t="s">
        <v>128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1800</v>
      </c>
      <c r="J210" s="175">
        <v>46054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902.86</v>
      </c>
    </row>
    <row r="211" spans="1:16" ht="19.5" customHeight="1">
      <c r="A211" s="171" t="s">
        <v>1051</v>
      </c>
      <c r="B211" s="175">
        <v>46056</v>
      </c>
      <c r="C211" s="171" t="s">
        <v>127</v>
      </c>
      <c r="D211" s="171" t="s">
        <v>129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1800</v>
      </c>
      <c r="J211" s="175">
        <v>46054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0</v>
      </c>
    </row>
    <row r="212" spans="1:16" ht="19.5" customHeight="1">
      <c r="A212" s="171" t="s">
        <v>1051</v>
      </c>
      <c r="B212" s="175">
        <v>46056</v>
      </c>
      <c r="C212" s="171" t="s">
        <v>127</v>
      </c>
      <c r="D212" s="171" t="s">
        <v>130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1800</v>
      </c>
      <c r="J212" s="175">
        <v>46054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897.14</v>
      </c>
    </row>
    <row r="213" spans="1:16" ht="19.5" customHeight="1">
      <c r="A213" s="171" t="s">
        <v>1051</v>
      </c>
      <c r="B213" s="175">
        <v>46056</v>
      </c>
      <c r="C213" s="171" t="s">
        <v>131</v>
      </c>
      <c r="D213" s="171" t="s">
        <v>132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1800</v>
      </c>
      <c r="J213" s="175">
        <v>46054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-774</v>
      </c>
    </row>
    <row r="214" spans="1:16" ht="19.5" customHeight="1">
      <c r="A214" s="171" t="s">
        <v>1051</v>
      </c>
      <c r="B214" s="175">
        <v>46056</v>
      </c>
      <c r="C214" s="171" t="s">
        <v>115</v>
      </c>
      <c r="D214" s="171" t="s">
        <v>116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1800</v>
      </c>
      <c r="J214" s="175">
        <v>46054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-17.190000000000001</v>
      </c>
    </row>
    <row r="215" spans="1:16" ht="19.5" customHeight="1">
      <c r="A215" s="171" t="s">
        <v>1052</v>
      </c>
      <c r="B215" s="175">
        <v>46056</v>
      </c>
      <c r="C215" s="171" t="s">
        <v>110</v>
      </c>
      <c r="D215" s="171" t="s">
        <v>24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4136</v>
      </c>
      <c r="J215" s="175">
        <v>46050</v>
      </c>
      <c r="K215" s="171" t="s">
        <v>113</v>
      </c>
      <c r="L215" s="171" t="s">
        <v>114</v>
      </c>
      <c r="M215" s="178">
        <v>0.43</v>
      </c>
      <c r="N215" s="176"/>
      <c r="O215" s="176">
        <v>50</v>
      </c>
      <c r="P215" s="179">
        <v>-257.38</v>
      </c>
    </row>
    <row r="216" spans="1:16" ht="19.5" customHeight="1">
      <c r="A216" s="171" t="s">
        <v>1052</v>
      </c>
      <c r="B216" s="175">
        <v>46056</v>
      </c>
      <c r="C216" s="171" t="s">
        <v>127</v>
      </c>
      <c r="D216" s="171" t="s">
        <v>128</v>
      </c>
      <c r="E216" s="171" t="s">
        <v>77</v>
      </c>
      <c r="F216" s="171" t="s">
        <v>194</v>
      </c>
      <c r="G216" s="171" t="s">
        <v>177</v>
      </c>
      <c r="H216" s="176">
        <v>1</v>
      </c>
      <c r="I216" s="177">
        <v>4136</v>
      </c>
      <c r="J216" s="175">
        <v>46050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1448.14</v>
      </c>
    </row>
    <row r="217" spans="1:16" ht="19.5" customHeight="1">
      <c r="A217" s="171" t="s">
        <v>1052</v>
      </c>
      <c r="B217" s="175">
        <v>46056</v>
      </c>
      <c r="C217" s="171" t="s">
        <v>127</v>
      </c>
      <c r="D217" s="171" t="s">
        <v>129</v>
      </c>
      <c r="E217" s="171" t="s">
        <v>77</v>
      </c>
      <c r="F217" s="171" t="s">
        <v>194</v>
      </c>
      <c r="G217" s="171" t="s">
        <v>177</v>
      </c>
      <c r="H217" s="176">
        <v>1</v>
      </c>
      <c r="I217" s="177">
        <v>4136</v>
      </c>
      <c r="J217" s="175">
        <v>46050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14.48</v>
      </c>
    </row>
    <row r="218" spans="1:16" ht="19.5" customHeight="1">
      <c r="A218" s="171" t="s">
        <v>1052</v>
      </c>
      <c r="B218" s="175">
        <v>46056</v>
      </c>
      <c r="C218" s="171" t="s">
        <v>127</v>
      </c>
      <c r="D218" s="171" t="s">
        <v>130</v>
      </c>
      <c r="E218" s="171" t="s">
        <v>77</v>
      </c>
      <c r="F218" s="171" t="s">
        <v>194</v>
      </c>
      <c r="G218" s="171" t="s">
        <v>177</v>
      </c>
      <c r="H218" s="176">
        <v>1</v>
      </c>
      <c r="I218" s="177">
        <v>4136</v>
      </c>
      <c r="J218" s="175">
        <v>46050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2673.38</v>
      </c>
    </row>
    <row r="219" spans="1:16" ht="19.5" customHeight="1">
      <c r="A219" s="171" t="s">
        <v>1052</v>
      </c>
      <c r="B219" s="175">
        <v>46056</v>
      </c>
      <c r="C219" s="171" t="s">
        <v>131</v>
      </c>
      <c r="D219" s="171" t="s">
        <v>132</v>
      </c>
      <c r="E219" s="171" t="s">
        <v>77</v>
      </c>
      <c r="F219" s="171" t="s">
        <v>194</v>
      </c>
      <c r="G219" s="171" t="s">
        <v>177</v>
      </c>
      <c r="H219" s="176">
        <v>1</v>
      </c>
      <c r="I219" s="177">
        <v>4136</v>
      </c>
      <c r="J219" s="175">
        <v>46050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-1778.48</v>
      </c>
    </row>
    <row r="220" spans="1:16" ht="19.5" customHeight="1">
      <c r="A220" s="171" t="s">
        <v>1052</v>
      </c>
      <c r="B220" s="175">
        <v>46056</v>
      </c>
      <c r="C220" s="171" t="s">
        <v>115</v>
      </c>
      <c r="D220" s="171" t="s">
        <v>116</v>
      </c>
      <c r="E220" s="171" t="s">
        <v>77</v>
      </c>
      <c r="F220" s="171" t="s">
        <v>194</v>
      </c>
      <c r="G220" s="171" t="s">
        <v>177</v>
      </c>
      <c r="H220" s="176">
        <v>1</v>
      </c>
      <c r="I220" s="177">
        <v>4136</v>
      </c>
      <c r="J220" s="175">
        <v>46050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-15.01</v>
      </c>
    </row>
    <row r="221" spans="1:16" ht="19.5" customHeight="1">
      <c r="A221" s="171" t="s">
        <v>1052</v>
      </c>
      <c r="B221" s="175">
        <v>46056</v>
      </c>
      <c r="C221" s="171" t="s">
        <v>115</v>
      </c>
      <c r="D221" s="171" t="s">
        <v>135</v>
      </c>
      <c r="E221" s="171" t="s">
        <v>77</v>
      </c>
      <c r="F221" s="171" t="s">
        <v>194</v>
      </c>
      <c r="G221" s="171" t="s">
        <v>177</v>
      </c>
      <c r="H221" s="176">
        <v>1</v>
      </c>
      <c r="I221" s="177">
        <v>0</v>
      </c>
      <c r="J221" s="175">
        <v>46050</v>
      </c>
      <c r="K221" s="171" t="s">
        <v>125</v>
      </c>
      <c r="L221" s="171" t="s">
        <v>125</v>
      </c>
      <c r="M221" s="178">
        <v>0</v>
      </c>
      <c r="N221" s="176"/>
      <c r="O221" s="176"/>
      <c r="P221" s="179">
        <v>-27.51</v>
      </c>
    </row>
    <row r="222" spans="1:16" ht="19.5" customHeight="1">
      <c r="A222" s="171" t="s">
        <v>1053</v>
      </c>
      <c r="B222" s="175">
        <v>46056</v>
      </c>
      <c r="C222" s="171" t="s">
        <v>115</v>
      </c>
      <c r="D222" s="171" t="s">
        <v>135</v>
      </c>
      <c r="E222" s="171" t="s">
        <v>42</v>
      </c>
      <c r="F222" s="171" t="s">
        <v>248</v>
      </c>
      <c r="G222" s="171" t="s">
        <v>112</v>
      </c>
      <c r="H222" s="176">
        <v>1</v>
      </c>
      <c r="I222" s="177">
        <v>0</v>
      </c>
      <c r="J222" s="175">
        <v>46056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-16.71</v>
      </c>
    </row>
    <row r="223" spans="1:16" ht="19.5" customHeight="1">
      <c r="A223" s="171" t="s">
        <v>1054</v>
      </c>
      <c r="B223" s="175">
        <v>46056</v>
      </c>
      <c r="C223" s="171" t="s">
        <v>115</v>
      </c>
      <c r="D223" s="171" t="s">
        <v>135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0</v>
      </c>
      <c r="J223" s="175">
        <v>46056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-15.06</v>
      </c>
    </row>
    <row r="224" spans="1:16" ht="19.5" customHeight="1">
      <c r="A224" s="171" t="s">
        <v>1055</v>
      </c>
      <c r="B224" s="175">
        <v>46056</v>
      </c>
      <c r="C224" s="171" t="s">
        <v>110</v>
      </c>
      <c r="D224" s="171" t="s">
        <v>24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1800</v>
      </c>
      <c r="J224" s="175">
        <v>46049</v>
      </c>
      <c r="K224" s="171" t="s">
        <v>113</v>
      </c>
      <c r="L224" s="171" t="s">
        <v>114</v>
      </c>
      <c r="M224" s="178">
        <v>0.43</v>
      </c>
      <c r="N224" s="176"/>
      <c r="O224" s="176">
        <v>51</v>
      </c>
      <c r="P224" s="179">
        <v>-152.08000000000001</v>
      </c>
    </row>
    <row r="225" spans="1:16" ht="19.5" customHeight="1">
      <c r="A225" s="171" t="s">
        <v>1055</v>
      </c>
      <c r="B225" s="175">
        <v>46056</v>
      </c>
      <c r="C225" s="171" t="s">
        <v>127</v>
      </c>
      <c r="D225" s="171" t="s">
        <v>128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1800</v>
      </c>
      <c r="J225" s="175">
        <v>46049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725.02</v>
      </c>
    </row>
    <row r="226" spans="1:16" ht="19.5" customHeight="1">
      <c r="A226" s="171" t="s">
        <v>1055</v>
      </c>
      <c r="B226" s="175">
        <v>46056</v>
      </c>
      <c r="C226" s="171" t="s">
        <v>127</v>
      </c>
      <c r="D226" s="171" t="s">
        <v>129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1800</v>
      </c>
      <c r="J226" s="175">
        <v>46049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7.25</v>
      </c>
    </row>
    <row r="227" spans="1:16" ht="19.5" customHeight="1">
      <c r="A227" s="171" t="s">
        <v>1055</v>
      </c>
      <c r="B227" s="175">
        <v>46056</v>
      </c>
      <c r="C227" s="171" t="s">
        <v>127</v>
      </c>
      <c r="D227" s="171" t="s">
        <v>130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1800</v>
      </c>
      <c r="J227" s="175">
        <v>46049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1067.73</v>
      </c>
    </row>
    <row r="228" spans="1:16" ht="19.5" customHeight="1">
      <c r="A228" s="171" t="s">
        <v>1055</v>
      </c>
      <c r="B228" s="175">
        <v>46056</v>
      </c>
      <c r="C228" s="171" t="s">
        <v>131</v>
      </c>
      <c r="D228" s="171" t="s">
        <v>132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1800</v>
      </c>
      <c r="J228" s="175">
        <v>46049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-774</v>
      </c>
    </row>
    <row r="229" spans="1:16" ht="19.5" customHeight="1">
      <c r="A229" s="171" t="s">
        <v>1055</v>
      </c>
      <c r="B229" s="175">
        <v>46056</v>
      </c>
      <c r="C229" s="171" t="s">
        <v>115</v>
      </c>
      <c r="D229" s="171" t="s">
        <v>116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1800</v>
      </c>
      <c r="J229" s="175">
        <v>46049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-18.04</v>
      </c>
    </row>
    <row r="230" spans="1:16" ht="19.5" customHeight="1">
      <c r="A230" s="171" t="s">
        <v>1056</v>
      </c>
      <c r="B230" s="175">
        <v>46056</v>
      </c>
      <c r="C230" s="171" t="s">
        <v>110</v>
      </c>
      <c r="D230" s="171" t="s">
        <v>24</v>
      </c>
      <c r="E230" s="171" t="s">
        <v>44</v>
      </c>
      <c r="F230" s="171" t="s">
        <v>213</v>
      </c>
      <c r="G230" s="171" t="s">
        <v>214</v>
      </c>
      <c r="H230" s="176">
        <v>1</v>
      </c>
      <c r="I230" s="177">
        <v>1815</v>
      </c>
      <c r="J230" s="175">
        <v>46054</v>
      </c>
      <c r="K230" s="171" t="s">
        <v>113</v>
      </c>
      <c r="L230" s="171" t="s">
        <v>114</v>
      </c>
      <c r="M230" s="178">
        <v>0.43</v>
      </c>
      <c r="N230" s="176"/>
      <c r="O230" s="176">
        <v>42</v>
      </c>
      <c r="P230" s="179">
        <v>-125.16</v>
      </c>
    </row>
    <row r="231" spans="1:16" ht="19.5" customHeight="1">
      <c r="A231" s="171" t="s">
        <v>1056</v>
      </c>
      <c r="B231" s="175">
        <v>46056</v>
      </c>
      <c r="C231" s="171" t="s">
        <v>127</v>
      </c>
      <c r="D231" s="171" t="s">
        <v>128</v>
      </c>
      <c r="E231" s="171" t="s">
        <v>44</v>
      </c>
      <c r="F231" s="171" t="s">
        <v>213</v>
      </c>
      <c r="G231" s="171" t="s">
        <v>214</v>
      </c>
      <c r="H231" s="176">
        <v>1</v>
      </c>
      <c r="I231" s="177">
        <v>1815</v>
      </c>
      <c r="J231" s="175">
        <v>46054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722.86</v>
      </c>
    </row>
    <row r="232" spans="1:16" ht="19.5" customHeight="1">
      <c r="A232" s="171" t="s">
        <v>1056</v>
      </c>
      <c r="B232" s="175">
        <v>46056</v>
      </c>
      <c r="C232" s="171" t="s">
        <v>127</v>
      </c>
      <c r="D232" s="171" t="s">
        <v>129</v>
      </c>
      <c r="E232" s="171" t="s">
        <v>44</v>
      </c>
      <c r="F232" s="171" t="s">
        <v>213</v>
      </c>
      <c r="G232" s="171" t="s">
        <v>214</v>
      </c>
      <c r="H232" s="176">
        <v>1</v>
      </c>
      <c r="I232" s="177">
        <v>1815</v>
      </c>
      <c r="J232" s="175">
        <v>46054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7.23</v>
      </c>
    </row>
    <row r="233" spans="1:16" ht="19.5" customHeight="1">
      <c r="A233" s="171" t="s">
        <v>1056</v>
      </c>
      <c r="B233" s="175">
        <v>46056</v>
      </c>
      <c r="C233" s="171" t="s">
        <v>127</v>
      </c>
      <c r="D233" s="171" t="s">
        <v>130</v>
      </c>
      <c r="E233" s="171" t="s">
        <v>44</v>
      </c>
      <c r="F233" s="171" t="s">
        <v>213</v>
      </c>
      <c r="G233" s="171" t="s">
        <v>214</v>
      </c>
      <c r="H233" s="176">
        <v>1</v>
      </c>
      <c r="I233" s="177">
        <v>1815</v>
      </c>
      <c r="J233" s="175">
        <v>46054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1084.9100000000001</v>
      </c>
    </row>
    <row r="234" spans="1:16" ht="19.5" customHeight="1">
      <c r="A234" s="171" t="s">
        <v>1056</v>
      </c>
      <c r="B234" s="175">
        <v>46056</v>
      </c>
      <c r="C234" s="171" t="s">
        <v>131</v>
      </c>
      <c r="D234" s="171" t="s">
        <v>132</v>
      </c>
      <c r="E234" s="171" t="s">
        <v>44</v>
      </c>
      <c r="F234" s="171" t="s">
        <v>213</v>
      </c>
      <c r="G234" s="171" t="s">
        <v>214</v>
      </c>
      <c r="H234" s="176">
        <v>1</v>
      </c>
      <c r="I234" s="177">
        <v>1815</v>
      </c>
      <c r="J234" s="175">
        <v>46054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-780.45</v>
      </c>
    </row>
    <row r="235" spans="1:16" ht="19.5" customHeight="1">
      <c r="A235" s="171" t="s">
        <v>1056</v>
      </c>
      <c r="B235" s="175">
        <v>46056</v>
      </c>
      <c r="C235" s="171" t="s">
        <v>115</v>
      </c>
      <c r="D235" s="171" t="s">
        <v>116</v>
      </c>
      <c r="E235" s="171" t="s">
        <v>44</v>
      </c>
      <c r="F235" s="171" t="s">
        <v>213</v>
      </c>
      <c r="G235" s="171" t="s">
        <v>214</v>
      </c>
      <c r="H235" s="176">
        <v>1</v>
      </c>
      <c r="I235" s="177">
        <v>1815</v>
      </c>
      <c r="J235" s="175">
        <v>46054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-13.16</v>
      </c>
    </row>
    <row r="236" spans="1:16" ht="19.5" customHeight="1">
      <c r="A236" s="171" t="s">
        <v>1057</v>
      </c>
      <c r="B236" s="175">
        <v>46056</v>
      </c>
      <c r="C236" s="171" t="s">
        <v>110</v>
      </c>
      <c r="D236" s="171" t="s">
        <v>24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1800</v>
      </c>
      <c r="J236" s="175">
        <v>46053</v>
      </c>
      <c r="K236" s="171" t="s">
        <v>113</v>
      </c>
      <c r="L236" s="171" t="s">
        <v>114</v>
      </c>
      <c r="M236" s="178">
        <v>0.43</v>
      </c>
      <c r="N236" s="176"/>
      <c r="O236" s="176">
        <v>48</v>
      </c>
      <c r="P236" s="179">
        <v>-146.61000000000001</v>
      </c>
    </row>
    <row r="237" spans="1:16" ht="19.5" customHeight="1">
      <c r="A237" s="171" t="s">
        <v>1057</v>
      </c>
      <c r="B237" s="175">
        <v>46056</v>
      </c>
      <c r="C237" s="171" t="s">
        <v>127</v>
      </c>
      <c r="D237" s="171" t="s">
        <v>128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1800</v>
      </c>
      <c r="J237" s="175">
        <v>46053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817.14</v>
      </c>
    </row>
    <row r="238" spans="1:16" ht="19.5" customHeight="1">
      <c r="A238" s="171" t="s">
        <v>1057</v>
      </c>
      <c r="B238" s="175">
        <v>46056</v>
      </c>
      <c r="C238" s="171" t="s">
        <v>127</v>
      </c>
      <c r="D238" s="171" t="s">
        <v>129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1800</v>
      </c>
      <c r="J238" s="175">
        <v>46053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0</v>
      </c>
    </row>
    <row r="239" spans="1:16" ht="19.5" customHeight="1">
      <c r="A239" s="171" t="s">
        <v>1057</v>
      </c>
      <c r="B239" s="175">
        <v>46056</v>
      </c>
      <c r="C239" s="171" t="s">
        <v>127</v>
      </c>
      <c r="D239" s="171" t="s">
        <v>130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1800</v>
      </c>
      <c r="J239" s="175">
        <v>46053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982.86</v>
      </c>
    </row>
    <row r="240" spans="1:16" ht="19.5" customHeight="1">
      <c r="A240" s="171" t="s">
        <v>1057</v>
      </c>
      <c r="B240" s="175">
        <v>46056</v>
      </c>
      <c r="C240" s="171" t="s">
        <v>131</v>
      </c>
      <c r="D240" s="171" t="s">
        <v>132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1800</v>
      </c>
      <c r="J240" s="175">
        <v>46053</v>
      </c>
      <c r="K240" s="171" t="s">
        <v>113</v>
      </c>
      <c r="L240" s="171" t="s">
        <v>114</v>
      </c>
      <c r="M240" s="178">
        <v>0.43</v>
      </c>
      <c r="N240" s="176"/>
      <c r="O240" s="176"/>
      <c r="P240" s="179">
        <v>-774</v>
      </c>
    </row>
    <row r="241" spans="1:16" ht="19.5" customHeight="1">
      <c r="A241" s="171" t="s">
        <v>1057</v>
      </c>
      <c r="B241" s="175">
        <v>46056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1800</v>
      </c>
      <c r="J241" s="175">
        <v>46053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-12.65</v>
      </c>
    </row>
    <row r="242" spans="1:16" ht="19.5" customHeight="1">
      <c r="A242" s="171" t="s">
        <v>1055</v>
      </c>
      <c r="B242" s="175">
        <v>46056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46049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-13.78</v>
      </c>
    </row>
    <row r="243" spans="1:16" ht="19.5" customHeight="1">
      <c r="A243" s="171" t="s">
        <v>1056</v>
      </c>
      <c r="B243" s="175">
        <v>46056</v>
      </c>
      <c r="C243" s="171" t="s">
        <v>115</v>
      </c>
      <c r="D243" s="171" t="s">
        <v>135</v>
      </c>
      <c r="E243" s="171" t="s">
        <v>44</v>
      </c>
      <c r="F243" s="171" t="s">
        <v>213</v>
      </c>
      <c r="G243" s="171" t="s">
        <v>214</v>
      </c>
      <c r="H243" s="176">
        <v>1</v>
      </c>
      <c r="I243" s="177">
        <v>0</v>
      </c>
      <c r="J243" s="175">
        <v>46054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-13.73</v>
      </c>
    </row>
    <row r="244" spans="1:16" ht="19.5" customHeight="1">
      <c r="A244" s="171" t="s">
        <v>1058</v>
      </c>
      <c r="B244" s="175">
        <v>46056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46044</v>
      </c>
      <c r="K244" s="171" t="s">
        <v>113</v>
      </c>
      <c r="L244" s="171" t="s">
        <v>114</v>
      </c>
      <c r="M244" s="178">
        <v>0</v>
      </c>
      <c r="N244" s="176"/>
      <c r="O244" s="176">
        <v>54</v>
      </c>
      <c r="P244" s="179">
        <v>-46.77</v>
      </c>
    </row>
    <row r="245" spans="1:16" ht="19.5" customHeight="1">
      <c r="A245" s="171" t="s">
        <v>1059</v>
      </c>
      <c r="B245" s="175">
        <v>46056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1800</v>
      </c>
      <c r="J245" s="175">
        <v>46055</v>
      </c>
      <c r="K245" s="171" t="s">
        <v>113</v>
      </c>
      <c r="L245" s="171" t="s">
        <v>114</v>
      </c>
      <c r="M245" s="178">
        <v>0.43</v>
      </c>
      <c r="N245" s="176"/>
      <c r="O245" s="176">
        <v>42</v>
      </c>
      <c r="P245" s="179">
        <v>-124.73</v>
      </c>
    </row>
    <row r="246" spans="1:16" ht="19.5" customHeight="1">
      <c r="A246" s="171" t="s">
        <v>1059</v>
      </c>
      <c r="B246" s="175">
        <v>46056</v>
      </c>
      <c r="C246" s="171" t="s">
        <v>127</v>
      </c>
      <c r="D246" s="171" t="s">
        <v>128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1800</v>
      </c>
      <c r="J246" s="175">
        <v>46055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789.03</v>
      </c>
    </row>
    <row r="247" spans="1:16" ht="19.5" customHeight="1">
      <c r="A247" s="171" t="s">
        <v>1059</v>
      </c>
      <c r="B247" s="175">
        <v>46056</v>
      </c>
      <c r="C247" s="171" t="s">
        <v>127</v>
      </c>
      <c r="D247" s="171" t="s">
        <v>129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1800</v>
      </c>
      <c r="J247" s="175">
        <v>46055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7.89</v>
      </c>
    </row>
    <row r="248" spans="1:16" ht="19.5" customHeight="1">
      <c r="A248" s="171" t="s">
        <v>1059</v>
      </c>
      <c r="B248" s="175">
        <v>46056</v>
      </c>
      <c r="C248" s="171" t="s">
        <v>127</v>
      </c>
      <c r="D248" s="171" t="s">
        <v>130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1800</v>
      </c>
      <c r="J248" s="175">
        <v>46055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1003.08</v>
      </c>
    </row>
    <row r="249" spans="1:16" ht="19.5" customHeight="1">
      <c r="A249" s="171" t="s">
        <v>1059</v>
      </c>
      <c r="B249" s="175">
        <v>46056</v>
      </c>
      <c r="C249" s="171" t="s">
        <v>131</v>
      </c>
      <c r="D249" s="171" t="s">
        <v>132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1800</v>
      </c>
      <c r="J249" s="175">
        <v>46055</v>
      </c>
      <c r="K249" s="171" t="s">
        <v>113</v>
      </c>
      <c r="L249" s="171" t="s">
        <v>114</v>
      </c>
      <c r="M249" s="178">
        <v>0.43</v>
      </c>
      <c r="N249" s="176"/>
      <c r="O249" s="176"/>
      <c r="P249" s="179">
        <v>-774</v>
      </c>
    </row>
    <row r="250" spans="1:16" ht="19.5" customHeight="1">
      <c r="A250" s="171" t="s">
        <v>1059</v>
      </c>
      <c r="B250" s="175">
        <v>46056</v>
      </c>
      <c r="C250" s="171" t="s">
        <v>115</v>
      </c>
      <c r="D250" s="171" t="s">
        <v>116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1800</v>
      </c>
      <c r="J250" s="175">
        <v>46055</v>
      </c>
      <c r="K250" s="171" t="s">
        <v>113</v>
      </c>
      <c r="L250" s="171" t="s">
        <v>114</v>
      </c>
      <c r="M250" s="178">
        <v>0.43</v>
      </c>
      <c r="N250" s="176"/>
      <c r="O250" s="176"/>
      <c r="P250" s="179">
        <v>-10.26</v>
      </c>
    </row>
    <row r="251" spans="1:16" ht="19.5" customHeight="1">
      <c r="A251" s="171" t="s">
        <v>1058</v>
      </c>
      <c r="B251" s="175">
        <v>46056</v>
      </c>
      <c r="C251" s="171" t="s">
        <v>110</v>
      </c>
      <c r="D251" s="171" t="s">
        <v>117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46044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0</v>
      </c>
    </row>
    <row r="252" spans="1:16" ht="19.5" customHeight="1">
      <c r="A252" s="171" t="s">
        <v>1058</v>
      </c>
      <c r="B252" s="175">
        <v>46056</v>
      </c>
      <c r="C252" s="171" t="s">
        <v>110</v>
      </c>
      <c r="D252" s="171" t="s">
        <v>118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46044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-46.77</v>
      </c>
    </row>
    <row r="253" spans="1:16" ht="19.5" customHeight="1">
      <c r="A253" s="171" t="s">
        <v>1058</v>
      </c>
      <c r="B253" s="175">
        <v>46056</v>
      </c>
      <c r="C253" s="171" t="s">
        <v>115</v>
      </c>
      <c r="D253" s="171" t="s">
        <v>119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0</v>
      </c>
      <c r="J253" s="175">
        <v>46044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-15</v>
      </c>
    </row>
    <row r="254" spans="1:16" ht="19.5" customHeight="1">
      <c r="A254" s="171" t="s">
        <v>1060</v>
      </c>
      <c r="B254" s="175">
        <v>46056</v>
      </c>
      <c r="C254" s="171" t="s">
        <v>110</v>
      </c>
      <c r="D254" s="171" t="s">
        <v>24</v>
      </c>
      <c r="E254" s="171" t="s">
        <v>39</v>
      </c>
      <c r="F254" s="171" t="s">
        <v>141</v>
      </c>
      <c r="G254" s="171" t="s">
        <v>112</v>
      </c>
      <c r="H254" s="176">
        <v>1</v>
      </c>
      <c r="I254" s="177">
        <v>1700</v>
      </c>
      <c r="J254" s="175">
        <v>46051</v>
      </c>
      <c r="K254" s="171" t="s">
        <v>113</v>
      </c>
      <c r="L254" s="171" t="s">
        <v>114</v>
      </c>
      <c r="M254" s="178">
        <v>0.43</v>
      </c>
      <c r="N254" s="176"/>
      <c r="O254" s="176">
        <v>48</v>
      </c>
      <c r="P254" s="179">
        <v>-142.96</v>
      </c>
    </row>
    <row r="255" spans="1:16" ht="19.5" customHeight="1">
      <c r="A255" s="171" t="s">
        <v>1060</v>
      </c>
      <c r="B255" s="175">
        <v>46056</v>
      </c>
      <c r="C255" s="171" t="s">
        <v>127</v>
      </c>
      <c r="D255" s="171" t="s">
        <v>128</v>
      </c>
      <c r="E255" s="171" t="s">
        <v>39</v>
      </c>
      <c r="F255" s="171" t="s">
        <v>141</v>
      </c>
      <c r="G255" s="171" t="s">
        <v>112</v>
      </c>
      <c r="H255" s="176">
        <v>1</v>
      </c>
      <c r="I255" s="177">
        <v>1700</v>
      </c>
      <c r="J255" s="175">
        <v>46051</v>
      </c>
      <c r="K255" s="171" t="s">
        <v>113</v>
      </c>
      <c r="L255" s="171" t="s">
        <v>114</v>
      </c>
      <c r="M255" s="178">
        <v>0</v>
      </c>
      <c r="N255" s="176"/>
      <c r="O255" s="176"/>
      <c r="P255" s="179">
        <v>860.27</v>
      </c>
    </row>
    <row r="256" spans="1:16" ht="19.5" customHeight="1">
      <c r="A256" s="171" t="s">
        <v>1060</v>
      </c>
      <c r="B256" s="175">
        <v>46056</v>
      </c>
      <c r="C256" s="171" t="s">
        <v>127</v>
      </c>
      <c r="D256" s="171" t="s">
        <v>129</v>
      </c>
      <c r="E256" s="171" t="s">
        <v>39</v>
      </c>
      <c r="F256" s="171" t="s">
        <v>141</v>
      </c>
      <c r="G256" s="171" t="s">
        <v>112</v>
      </c>
      <c r="H256" s="176">
        <v>1</v>
      </c>
      <c r="I256" s="177">
        <v>1700</v>
      </c>
      <c r="J256" s="175">
        <v>46051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8.6</v>
      </c>
    </row>
    <row r="257" spans="1:16" ht="19.5" customHeight="1">
      <c r="A257" s="171" t="s">
        <v>1060</v>
      </c>
      <c r="B257" s="175">
        <v>46056</v>
      </c>
      <c r="C257" s="171" t="s">
        <v>127</v>
      </c>
      <c r="D257" s="171" t="s">
        <v>130</v>
      </c>
      <c r="E257" s="171" t="s">
        <v>39</v>
      </c>
      <c r="F257" s="171" t="s">
        <v>141</v>
      </c>
      <c r="G257" s="171" t="s">
        <v>112</v>
      </c>
      <c r="H257" s="176">
        <v>1</v>
      </c>
      <c r="I257" s="177">
        <v>1700</v>
      </c>
      <c r="J257" s="175">
        <v>46051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831.13</v>
      </c>
    </row>
    <row r="258" spans="1:16" ht="19.5" customHeight="1">
      <c r="A258" s="171" t="s">
        <v>1060</v>
      </c>
      <c r="B258" s="175">
        <v>46056</v>
      </c>
      <c r="C258" s="171" t="s">
        <v>131</v>
      </c>
      <c r="D258" s="171" t="s">
        <v>132</v>
      </c>
      <c r="E258" s="171" t="s">
        <v>39</v>
      </c>
      <c r="F258" s="171" t="s">
        <v>141</v>
      </c>
      <c r="G258" s="171" t="s">
        <v>112</v>
      </c>
      <c r="H258" s="176">
        <v>1</v>
      </c>
      <c r="I258" s="177">
        <v>1700</v>
      </c>
      <c r="J258" s="175">
        <v>46051</v>
      </c>
      <c r="K258" s="171" t="s">
        <v>113</v>
      </c>
      <c r="L258" s="171" t="s">
        <v>114</v>
      </c>
      <c r="M258" s="178">
        <v>0.43</v>
      </c>
      <c r="N258" s="176"/>
      <c r="O258" s="176"/>
      <c r="P258" s="179">
        <v>-731</v>
      </c>
    </row>
    <row r="259" spans="1:16" ht="19.5" customHeight="1">
      <c r="A259" s="171" t="s">
        <v>1060</v>
      </c>
      <c r="B259" s="175">
        <v>46056</v>
      </c>
      <c r="C259" s="171" t="s">
        <v>115</v>
      </c>
      <c r="D259" s="171" t="s">
        <v>116</v>
      </c>
      <c r="E259" s="171" t="s">
        <v>39</v>
      </c>
      <c r="F259" s="171" t="s">
        <v>141</v>
      </c>
      <c r="G259" s="171" t="s">
        <v>112</v>
      </c>
      <c r="H259" s="176">
        <v>1</v>
      </c>
      <c r="I259" s="177">
        <v>1700</v>
      </c>
      <c r="J259" s="175">
        <v>46051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-25</v>
      </c>
    </row>
    <row r="260" spans="1:16" ht="19.5" customHeight="1">
      <c r="A260" s="171" t="s">
        <v>1061</v>
      </c>
      <c r="B260" s="175">
        <v>46056</v>
      </c>
      <c r="C260" s="171" t="s">
        <v>110</v>
      </c>
      <c r="D260" s="171" t="s">
        <v>24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46049</v>
      </c>
      <c r="K260" s="171" t="s">
        <v>113</v>
      </c>
      <c r="L260" s="171" t="s">
        <v>114</v>
      </c>
      <c r="M260" s="178">
        <v>0.43</v>
      </c>
      <c r="N260" s="176"/>
      <c r="O260" s="176">
        <v>51</v>
      </c>
      <c r="P260" s="179">
        <v>-274.26</v>
      </c>
    </row>
    <row r="261" spans="1:16" ht="19.5" customHeight="1">
      <c r="A261" s="171" t="s">
        <v>1061</v>
      </c>
      <c r="B261" s="175">
        <v>46056</v>
      </c>
      <c r="C261" s="171" t="s">
        <v>127</v>
      </c>
      <c r="D261" s="171" t="s">
        <v>128</v>
      </c>
      <c r="E261" s="171" t="s">
        <v>70</v>
      </c>
      <c r="F261" s="171" t="s">
        <v>509</v>
      </c>
      <c r="G261" s="171" t="s">
        <v>177</v>
      </c>
      <c r="H261" s="176">
        <v>1</v>
      </c>
      <c r="I261" s="177">
        <v>4506</v>
      </c>
      <c r="J261" s="175">
        <v>46049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2442.7600000000002</v>
      </c>
    </row>
    <row r="262" spans="1:16" ht="19.5" customHeight="1">
      <c r="A262" s="171" t="s">
        <v>1061</v>
      </c>
      <c r="B262" s="175">
        <v>46056</v>
      </c>
      <c r="C262" s="171" t="s">
        <v>127</v>
      </c>
      <c r="D262" s="171" t="s">
        <v>129</v>
      </c>
      <c r="E262" s="171" t="s">
        <v>70</v>
      </c>
      <c r="F262" s="171" t="s">
        <v>509</v>
      </c>
      <c r="G262" s="171" t="s">
        <v>177</v>
      </c>
      <c r="H262" s="176">
        <v>1</v>
      </c>
      <c r="I262" s="177">
        <v>4506</v>
      </c>
      <c r="J262" s="175">
        <v>46049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24.43</v>
      </c>
    </row>
    <row r="263" spans="1:16" ht="19.5" customHeight="1">
      <c r="A263" s="171" t="s">
        <v>1061</v>
      </c>
      <c r="B263" s="175">
        <v>46056</v>
      </c>
      <c r="C263" s="171" t="s">
        <v>127</v>
      </c>
      <c r="D263" s="171" t="s">
        <v>130</v>
      </c>
      <c r="E263" s="171" t="s">
        <v>70</v>
      </c>
      <c r="F263" s="171" t="s">
        <v>509</v>
      </c>
      <c r="G263" s="171" t="s">
        <v>177</v>
      </c>
      <c r="H263" s="176">
        <v>1</v>
      </c>
      <c r="I263" s="177">
        <v>4506</v>
      </c>
      <c r="J263" s="175">
        <v>46049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2038.81</v>
      </c>
    </row>
    <row r="264" spans="1:16" ht="19.5" customHeight="1">
      <c r="A264" s="171" t="s">
        <v>1061</v>
      </c>
      <c r="B264" s="175">
        <v>46056</v>
      </c>
      <c r="C264" s="171" t="s">
        <v>131</v>
      </c>
      <c r="D264" s="171" t="s">
        <v>132</v>
      </c>
      <c r="E264" s="171" t="s">
        <v>70</v>
      </c>
      <c r="F264" s="171" t="s">
        <v>509</v>
      </c>
      <c r="G264" s="171" t="s">
        <v>177</v>
      </c>
      <c r="H264" s="176">
        <v>1</v>
      </c>
      <c r="I264" s="177">
        <v>4506</v>
      </c>
      <c r="J264" s="175">
        <v>46049</v>
      </c>
      <c r="K264" s="171" t="s">
        <v>113</v>
      </c>
      <c r="L264" s="171" t="s">
        <v>114</v>
      </c>
      <c r="M264" s="178">
        <v>0.43</v>
      </c>
      <c r="N264" s="176"/>
      <c r="O264" s="176"/>
      <c r="P264" s="179">
        <v>-1937.58</v>
      </c>
    </row>
    <row r="265" spans="1:16" ht="19.5" customHeight="1">
      <c r="A265" s="171" t="s">
        <v>1061</v>
      </c>
      <c r="B265" s="175">
        <v>46056</v>
      </c>
      <c r="C265" s="171" t="s">
        <v>115</v>
      </c>
      <c r="D265" s="171" t="s">
        <v>116</v>
      </c>
      <c r="E265" s="171" t="s">
        <v>70</v>
      </c>
      <c r="F265" s="171" t="s">
        <v>509</v>
      </c>
      <c r="G265" s="171" t="s">
        <v>177</v>
      </c>
      <c r="H265" s="176">
        <v>1</v>
      </c>
      <c r="I265" s="177">
        <v>4506</v>
      </c>
      <c r="J265" s="175">
        <v>46049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-11.7</v>
      </c>
    </row>
    <row r="266" spans="1:16" ht="19.5" customHeight="1">
      <c r="A266" s="171" t="s">
        <v>1062</v>
      </c>
      <c r="B266" s="175">
        <v>46056</v>
      </c>
      <c r="C266" s="171" t="s">
        <v>115</v>
      </c>
      <c r="D266" s="171" t="s">
        <v>135</v>
      </c>
      <c r="E266" s="171" t="s">
        <v>40</v>
      </c>
      <c r="F266" s="171" t="s">
        <v>149</v>
      </c>
      <c r="G266" s="171" t="s">
        <v>112</v>
      </c>
      <c r="H266" s="176">
        <v>1</v>
      </c>
      <c r="I266" s="177">
        <v>0</v>
      </c>
      <c r="J266" s="175">
        <v>46056</v>
      </c>
      <c r="K266" s="171" t="s">
        <v>125</v>
      </c>
      <c r="L266" s="171" t="s">
        <v>125</v>
      </c>
      <c r="M266" s="178">
        <v>0</v>
      </c>
      <c r="N266" s="176"/>
      <c r="O266" s="176"/>
      <c r="P266" s="179">
        <v>-7.2</v>
      </c>
    </row>
    <row r="267" spans="1:16" ht="19.5" customHeight="1">
      <c r="A267" s="171" t="s">
        <v>1059</v>
      </c>
      <c r="B267" s="175">
        <v>46056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46055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-14.99</v>
      </c>
    </row>
    <row r="268" spans="1:16" ht="19.5" customHeight="1">
      <c r="A268" s="171" t="s">
        <v>1060</v>
      </c>
      <c r="B268" s="175">
        <v>46056</v>
      </c>
      <c r="C268" s="171" t="s">
        <v>115</v>
      </c>
      <c r="D268" s="171" t="s">
        <v>135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0</v>
      </c>
      <c r="J268" s="175">
        <v>46051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-16.350000000000001</v>
      </c>
    </row>
    <row r="269" spans="1:16" ht="19.5" customHeight="1">
      <c r="A269" s="171" t="s">
        <v>1063</v>
      </c>
      <c r="B269" s="175">
        <v>46056</v>
      </c>
      <c r="C269" s="171" t="s">
        <v>110</v>
      </c>
      <c r="D269" s="171" t="s">
        <v>24</v>
      </c>
      <c r="E269" s="171" t="s">
        <v>47</v>
      </c>
      <c r="F269" s="171" t="s">
        <v>430</v>
      </c>
      <c r="G269" s="171" t="s">
        <v>112</v>
      </c>
      <c r="H269" s="176">
        <v>1</v>
      </c>
      <c r="I269" s="177">
        <v>0</v>
      </c>
      <c r="J269" s="175">
        <v>46052</v>
      </c>
      <c r="K269" s="171" t="s">
        <v>113</v>
      </c>
      <c r="L269" s="171" t="s">
        <v>114</v>
      </c>
      <c r="M269" s="178">
        <v>0</v>
      </c>
      <c r="N269" s="176"/>
      <c r="O269" s="176">
        <v>49</v>
      </c>
      <c r="P269" s="179">
        <v>-46.77</v>
      </c>
    </row>
    <row r="270" spans="1:16" ht="19.5" customHeight="1">
      <c r="A270" s="171" t="s">
        <v>1063</v>
      </c>
      <c r="B270" s="175">
        <v>46056</v>
      </c>
      <c r="C270" s="171" t="s">
        <v>115</v>
      </c>
      <c r="D270" s="171" t="s">
        <v>116</v>
      </c>
      <c r="E270" s="171" t="s">
        <v>47</v>
      </c>
      <c r="F270" s="171" t="s">
        <v>430</v>
      </c>
      <c r="G270" s="171" t="s">
        <v>112</v>
      </c>
      <c r="H270" s="176">
        <v>1</v>
      </c>
      <c r="I270" s="177">
        <v>0</v>
      </c>
      <c r="J270" s="175">
        <v>46052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-5.8</v>
      </c>
    </row>
    <row r="271" spans="1:16" ht="19.5" customHeight="1">
      <c r="A271" s="171" t="s">
        <v>1061</v>
      </c>
      <c r="B271" s="175">
        <v>46056</v>
      </c>
      <c r="C271" s="171" t="s">
        <v>115</v>
      </c>
      <c r="D271" s="171" t="s">
        <v>135</v>
      </c>
      <c r="E271" s="171" t="s">
        <v>70</v>
      </c>
      <c r="F271" s="171" t="s">
        <v>509</v>
      </c>
      <c r="G271" s="171" t="s">
        <v>177</v>
      </c>
      <c r="H271" s="176">
        <v>1</v>
      </c>
      <c r="I271" s="177">
        <v>0</v>
      </c>
      <c r="J271" s="175">
        <v>46049</v>
      </c>
      <c r="K271" s="171" t="s">
        <v>125</v>
      </c>
      <c r="L271" s="171" t="s">
        <v>125</v>
      </c>
      <c r="M271" s="178">
        <v>0</v>
      </c>
      <c r="N271" s="176"/>
      <c r="O271" s="176"/>
      <c r="P271" s="179">
        <v>-46.41</v>
      </c>
    </row>
    <row r="272" spans="1:16" ht="19.5" customHeight="1">
      <c r="A272" s="171" t="s">
        <v>1063</v>
      </c>
      <c r="B272" s="175">
        <v>46056</v>
      </c>
      <c r="C272" s="171" t="s">
        <v>110</v>
      </c>
      <c r="D272" s="171" t="s">
        <v>117</v>
      </c>
      <c r="E272" s="171" t="s">
        <v>47</v>
      </c>
      <c r="F272" s="171" t="s">
        <v>430</v>
      </c>
      <c r="G272" s="171" t="s">
        <v>112</v>
      </c>
      <c r="H272" s="176">
        <v>1</v>
      </c>
      <c r="I272" s="177">
        <v>0</v>
      </c>
      <c r="J272" s="175">
        <v>46052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0</v>
      </c>
    </row>
    <row r="273" spans="1:16" ht="19.5" customHeight="1">
      <c r="A273" s="171" t="s">
        <v>1063</v>
      </c>
      <c r="B273" s="175">
        <v>46056</v>
      </c>
      <c r="C273" s="171" t="s">
        <v>110</v>
      </c>
      <c r="D273" s="171" t="s">
        <v>118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0</v>
      </c>
      <c r="J273" s="175">
        <v>46052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-46.77</v>
      </c>
    </row>
    <row r="274" spans="1:16" ht="19.5" customHeight="1">
      <c r="A274" s="171" t="s">
        <v>1064</v>
      </c>
      <c r="B274" s="175">
        <v>46056</v>
      </c>
      <c r="C274" s="171" t="s">
        <v>115</v>
      </c>
      <c r="D274" s="171" t="s">
        <v>135</v>
      </c>
      <c r="E274" s="171" t="s">
        <v>76</v>
      </c>
      <c r="F274" s="171" t="s">
        <v>821</v>
      </c>
      <c r="G274" s="171" t="s">
        <v>177</v>
      </c>
      <c r="H274" s="176">
        <v>1</v>
      </c>
      <c r="I274" s="177">
        <v>0</v>
      </c>
      <c r="J274" s="175">
        <v>46056</v>
      </c>
      <c r="K274" s="171" t="s">
        <v>125</v>
      </c>
      <c r="L274" s="171" t="s">
        <v>125</v>
      </c>
      <c r="M274" s="178">
        <v>0</v>
      </c>
      <c r="N274" s="176"/>
      <c r="O274" s="176"/>
      <c r="P274" s="179">
        <v>-42.41</v>
      </c>
    </row>
    <row r="275" spans="1:16" ht="19.5" customHeight="1">
      <c r="A275" s="171" t="s">
        <v>1065</v>
      </c>
      <c r="B275" s="175">
        <v>46056</v>
      </c>
      <c r="C275" s="171" t="s">
        <v>115</v>
      </c>
      <c r="D275" s="171" t="s">
        <v>135</v>
      </c>
      <c r="E275" s="171" t="s">
        <v>42</v>
      </c>
      <c r="F275" s="171" t="s">
        <v>248</v>
      </c>
      <c r="G275" s="171" t="s">
        <v>112</v>
      </c>
      <c r="H275" s="176">
        <v>1</v>
      </c>
      <c r="I275" s="177">
        <v>0</v>
      </c>
      <c r="J275" s="175">
        <v>46056</v>
      </c>
      <c r="K275" s="171" t="s">
        <v>125</v>
      </c>
      <c r="L275" s="171" t="s">
        <v>125</v>
      </c>
      <c r="M275" s="178">
        <v>0</v>
      </c>
      <c r="N275" s="176"/>
      <c r="O275" s="176"/>
      <c r="P275" s="179">
        <v>-6.3</v>
      </c>
    </row>
    <row r="276" spans="1:16" ht="19.5" customHeight="1">
      <c r="A276" s="171" t="s">
        <v>1066</v>
      </c>
      <c r="B276" s="175">
        <v>46056</v>
      </c>
      <c r="C276" s="171" t="s">
        <v>110</v>
      </c>
      <c r="D276" s="171" t="s">
        <v>24</v>
      </c>
      <c r="E276" s="171" t="s">
        <v>77</v>
      </c>
      <c r="F276" s="171" t="s">
        <v>194</v>
      </c>
      <c r="G276" s="171" t="s">
        <v>177</v>
      </c>
      <c r="H276" s="176">
        <v>1</v>
      </c>
      <c r="I276" s="177">
        <v>0</v>
      </c>
      <c r="J276" s="175">
        <v>46045</v>
      </c>
      <c r="K276" s="171" t="s">
        <v>113</v>
      </c>
      <c r="L276" s="171" t="s">
        <v>114</v>
      </c>
      <c r="M276" s="178">
        <v>0</v>
      </c>
      <c r="N276" s="176"/>
      <c r="O276" s="176">
        <v>51</v>
      </c>
      <c r="P276" s="179">
        <v>-56.94</v>
      </c>
    </row>
    <row r="277" spans="1:16" ht="19.5" customHeight="1">
      <c r="A277" s="171" t="s">
        <v>1066</v>
      </c>
      <c r="B277" s="175">
        <v>46056</v>
      </c>
      <c r="C277" s="171" t="s">
        <v>115</v>
      </c>
      <c r="D277" s="171" t="s">
        <v>116</v>
      </c>
      <c r="E277" s="171" t="s">
        <v>77</v>
      </c>
      <c r="F277" s="171" t="s">
        <v>194</v>
      </c>
      <c r="G277" s="171" t="s">
        <v>177</v>
      </c>
      <c r="H277" s="176">
        <v>1</v>
      </c>
      <c r="I277" s="177">
        <v>0</v>
      </c>
      <c r="J277" s="175">
        <v>46045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-11.8</v>
      </c>
    </row>
    <row r="278" spans="1:16" ht="19.5" customHeight="1">
      <c r="A278" s="171" t="s">
        <v>1066</v>
      </c>
      <c r="B278" s="175">
        <v>46056</v>
      </c>
      <c r="C278" s="171" t="s">
        <v>110</v>
      </c>
      <c r="D278" s="171" t="s">
        <v>117</v>
      </c>
      <c r="E278" s="171" t="s">
        <v>77</v>
      </c>
      <c r="F278" s="171" t="s">
        <v>194</v>
      </c>
      <c r="G278" s="171" t="s">
        <v>177</v>
      </c>
      <c r="H278" s="176">
        <v>1</v>
      </c>
      <c r="I278" s="177">
        <v>0</v>
      </c>
      <c r="J278" s="175">
        <v>46045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0</v>
      </c>
    </row>
    <row r="279" spans="1:16" ht="19.5" customHeight="1">
      <c r="A279" s="171" t="s">
        <v>1066</v>
      </c>
      <c r="B279" s="175">
        <v>46056</v>
      </c>
      <c r="C279" s="171" t="s">
        <v>110</v>
      </c>
      <c r="D279" s="171" t="s">
        <v>118</v>
      </c>
      <c r="E279" s="171" t="s">
        <v>77</v>
      </c>
      <c r="F279" s="171" t="s">
        <v>194</v>
      </c>
      <c r="G279" s="171" t="s">
        <v>177</v>
      </c>
      <c r="H279" s="176">
        <v>1</v>
      </c>
      <c r="I279" s="177">
        <v>0</v>
      </c>
      <c r="J279" s="175">
        <v>46045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-56.94</v>
      </c>
    </row>
    <row r="280" spans="1:16" ht="19.5" customHeight="1">
      <c r="A280" s="171" t="s">
        <v>1066</v>
      </c>
      <c r="B280" s="175">
        <v>46056</v>
      </c>
      <c r="C280" s="171" t="s">
        <v>115</v>
      </c>
      <c r="D280" s="171" t="s">
        <v>119</v>
      </c>
      <c r="E280" s="171" t="s">
        <v>77</v>
      </c>
      <c r="F280" s="171" t="s">
        <v>194</v>
      </c>
      <c r="G280" s="171" t="s">
        <v>177</v>
      </c>
      <c r="H280" s="176">
        <v>1</v>
      </c>
      <c r="I280" s="177">
        <v>0</v>
      </c>
      <c r="J280" s="175">
        <v>46045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-15</v>
      </c>
    </row>
    <row r="281" spans="1:16" ht="19.5" customHeight="1">
      <c r="A281" s="171" t="s">
        <v>1067</v>
      </c>
      <c r="B281" s="175">
        <v>46056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46050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1067</v>
      </c>
      <c r="B282" s="175">
        <v>46056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46050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-14.43</v>
      </c>
    </row>
    <row r="283" spans="1:16" ht="19.5" customHeight="1">
      <c r="A283" s="171" t="s">
        <v>1068</v>
      </c>
      <c r="B283" s="175">
        <v>46056</v>
      </c>
      <c r="C283" s="171" t="s">
        <v>110</v>
      </c>
      <c r="D283" s="171" t="s">
        <v>24</v>
      </c>
      <c r="E283" s="171" t="s">
        <v>71</v>
      </c>
      <c r="F283" s="171" t="s">
        <v>185</v>
      </c>
      <c r="G283" s="171" t="s">
        <v>177</v>
      </c>
      <c r="H283" s="176">
        <v>1</v>
      </c>
      <c r="I283" s="177">
        <v>0</v>
      </c>
      <c r="J283" s="175">
        <v>46045</v>
      </c>
      <c r="K283" s="171" t="s">
        <v>113</v>
      </c>
      <c r="L283" s="171" t="s">
        <v>114</v>
      </c>
      <c r="M283" s="178">
        <v>0</v>
      </c>
      <c r="N283" s="176"/>
      <c r="O283" s="176">
        <v>51</v>
      </c>
      <c r="P283" s="179">
        <v>-56.94</v>
      </c>
    </row>
    <row r="284" spans="1:16" ht="19.5" customHeight="1">
      <c r="A284" s="171" t="s">
        <v>1068</v>
      </c>
      <c r="B284" s="175">
        <v>46056</v>
      </c>
      <c r="C284" s="171" t="s">
        <v>115</v>
      </c>
      <c r="D284" s="171" t="s">
        <v>116</v>
      </c>
      <c r="E284" s="171" t="s">
        <v>71</v>
      </c>
      <c r="F284" s="171" t="s">
        <v>185</v>
      </c>
      <c r="G284" s="171" t="s">
        <v>177</v>
      </c>
      <c r="H284" s="176">
        <v>1</v>
      </c>
      <c r="I284" s="177">
        <v>0</v>
      </c>
      <c r="J284" s="175">
        <v>46045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-12.26</v>
      </c>
    </row>
    <row r="285" spans="1:16" ht="19.5" customHeight="1">
      <c r="A285" s="171" t="s">
        <v>1067</v>
      </c>
      <c r="B285" s="175">
        <v>46056</v>
      </c>
      <c r="C285" s="171" t="s">
        <v>110</v>
      </c>
      <c r="D285" s="171" t="s">
        <v>117</v>
      </c>
      <c r="E285" s="171" t="s">
        <v>77</v>
      </c>
      <c r="F285" s="171" t="s">
        <v>194</v>
      </c>
      <c r="G285" s="171" t="s">
        <v>177</v>
      </c>
      <c r="H285" s="176">
        <v>1</v>
      </c>
      <c r="I285" s="177">
        <v>0</v>
      </c>
      <c r="J285" s="175">
        <v>46050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0</v>
      </c>
    </row>
    <row r="286" spans="1:16" ht="19.5" customHeight="1">
      <c r="A286" s="171" t="s">
        <v>1067</v>
      </c>
      <c r="B286" s="175">
        <v>46056</v>
      </c>
      <c r="C286" s="171" t="s">
        <v>110</v>
      </c>
      <c r="D286" s="171" t="s">
        <v>118</v>
      </c>
      <c r="E286" s="171" t="s">
        <v>77</v>
      </c>
      <c r="F286" s="171" t="s">
        <v>194</v>
      </c>
      <c r="G286" s="171" t="s">
        <v>177</v>
      </c>
      <c r="H286" s="176">
        <v>1</v>
      </c>
      <c r="I286" s="177">
        <v>0</v>
      </c>
      <c r="J286" s="175">
        <v>46050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-56.94</v>
      </c>
    </row>
    <row r="287" spans="1:16" ht="19.5" customHeight="1">
      <c r="A287" s="171" t="s">
        <v>1067</v>
      </c>
      <c r="B287" s="175">
        <v>46056</v>
      </c>
      <c r="C287" s="171" t="s">
        <v>115</v>
      </c>
      <c r="D287" s="171" t="s">
        <v>119</v>
      </c>
      <c r="E287" s="171" t="s">
        <v>77</v>
      </c>
      <c r="F287" s="171" t="s">
        <v>194</v>
      </c>
      <c r="G287" s="171" t="s">
        <v>177</v>
      </c>
      <c r="H287" s="176">
        <v>1</v>
      </c>
      <c r="I287" s="177">
        <v>0</v>
      </c>
      <c r="J287" s="175">
        <v>46050</v>
      </c>
      <c r="K287" s="171" t="s">
        <v>113</v>
      </c>
      <c r="L287" s="171" t="s">
        <v>114</v>
      </c>
      <c r="M287" s="178">
        <v>0</v>
      </c>
      <c r="N287" s="176"/>
      <c r="O287" s="176"/>
      <c r="P287" s="179">
        <v>-15</v>
      </c>
    </row>
    <row r="288" spans="1:16" ht="19.5" customHeight="1">
      <c r="A288" s="171" t="s">
        <v>1068</v>
      </c>
      <c r="B288" s="175">
        <v>46056</v>
      </c>
      <c r="C288" s="171" t="s">
        <v>110</v>
      </c>
      <c r="D288" s="171" t="s">
        <v>117</v>
      </c>
      <c r="E288" s="171" t="s">
        <v>71</v>
      </c>
      <c r="F288" s="171" t="s">
        <v>185</v>
      </c>
      <c r="G288" s="171" t="s">
        <v>177</v>
      </c>
      <c r="H288" s="176">
        <v>1</v>
      </c>
      <c r="I288" s="177">
        <v>0</v>
      </c>
      <c r="J288" s="175">
        <v>46045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0</v>
      </c>
    </row>
    <row r="289" spans="1:16" ht="19.5" customHeight="1">
      <c r="A289" s="171" t="s">
        <v>1068</v>
      </c>
      <c r="B289" s="175">
        <v>46056</v>
      </c>
      <c r="C289" s="171" t="s">
        <v>110</v>
      </c>
      <c r="D289" s="171" t="s">
        <v>118</v>
      </c>
      <c r="E289" s="171" t="s">
        <v>71</v>
      </c>
      <c r="F289" s="171" t="s">
        <v>185</v>
      </c>
      <c r="G289" s="171" t="s">
        <v>177</v>
      </c>
      <c r="H289" s="176">
        <v>1</v>
      </c>
      <c r="I289" s="177">
        <v>0</v>
      </c>
      <c r="J289" s="175">
        <v>46045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-56.94</v>
      </c>
    </row>
    <row r="290" spans="1:16" ht="19.5" customHeight="1">
      <c r="A290" s="171" t="s">
        <v>1068</v>
      </c>
      <c r="B290" s="175">
        <v>46056</v>
      </c>
      <c r="C290" s="171" t="s">
        <v>115</v>
      </c>
      <c r="D290" s="171" t="s">
        <v>119</v>
      </c>
      <c r="E290" s="171" t="s">
        <v>71</v>
      </c>
      <c r="F290" s="171" t="s">
        <v>185</v>
      </c>
      <c r="G290" s="171" t="s">
        <v>177</v>
      </c>
      <c r="H290" s="176">
        <v>1</v>
      </c>
      <c r="I290" s="177">
        <v>0</v>
      </c>
      <c r="J290" s="175">
        <v>46045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-15</v>
      </c>
    </row>
    <row r="291" spans="1:16" ht="19.5" customHeight="1">
      <c r="A291" s="171" t="s">
        <v>1069</v>
      </c>
      <c r="B291" s="175">
        <v>46056</v>
      </c>
      <c r="C291" s="171" t="s">
        <v>115</v>
      </c>
      <c r="D291" s="171" t="s">
        <v>135</v>
      </c>
      <c r="E291" s="171" t="s">
        <v>70</v>
      </c>
      <c r="F291" s="171" t="s">
        <v>509</v>
      </c>
      <c r="G291" s="171" t="s">
        <v>177</v>
      </c>
      <c r="H291" s="176">
        <v>1</v>
      </c>
      <c r="I291" s="177">
        <v>0</v>
      </c>
      <c r="J291" s="175">
        <v>46056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-31.21</v>
      </c>
    </row>
    <row r="292" spans="1:16" ht="19.5" customHeight="1">
      <c r="A292" s="171" t="s">
        <v>1070</v>
      </c>
      <c r="B292" s="175">
        <v>46056</v>
      </c>
      <c r="C292" s="171" t="s">
        <v>110</v>
      </c>
      <c r="D292" s="171" t="s">
        <v>24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0</v>
      </c>
      <c r="J292" s="175">
        <v>46043</v>
      </c>
      <c r="K292" s="171" t="s">
        <v>113</v>
      </c>
      <c r="L292" s="171" t="s">
        <v>114</v>
      </c>
      <c r="M292" s="178">
        <v>0</v>
      </c>
      <c r="N292" s="176"/>
      <c r="O292" s="176">
        <v>52</v>
      </c>
      <c r="P292" s="179">
        <v>-56.94</v>
      </c>
    </row>
    <row r="293" spans="1:16" ht="19.5" customHeight="1">
      <c r="A293" s="171" t="s">
        <v>1070</v>
      </c>
      <c r="B293" s="175">
        <v>46056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0</v>
      </c>
      <c r="J293" s="175">
        <v>46043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-25</v>
      </c>
    </row>
    <row r="294" spans="1:16" ht="19.5" customHeight="1">
      <c r="A294" s="171" t="s">
        <v>1069</v>
      </c>
      <c r="B294" s="175">
        <v>46056</v>
      </c>
      <c r="C294" s="171" t="s">
        <v>115</v>
      </c>
      <c r="D294" s="171" t="s">
        <v>135</v>
      </c>
      <c r="E294" s="171" t="s">
        <v>70</v>
      </c>
      <c r="F294" s="171" t="s">
        <v>509</v>
      </c>
      <c r="G294" s="171" t="s">
        <v>177</v>
      </c>
      <c r="H294" s="176">
        <v>1</v>
      </c>
      <c r="I294" s="177">
        <v>0</v>
      </c>
      <c r="J294" s="175">
        <v>46056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31.21</v>
      </c>
    </row>
    <row r="295" spans="1:16" ht="19.5" customHeight="1">
      <c r="A295" s="171" t="s">
        <v>1070</v>
      </c>
      <c r="B295" s="175">
        <v>46056</v>
      </c>
      <c r="C295" s="171" t="s">
        <v>110</v>
      </c>
      <c r="D295" s="171" t="s">
        <v>117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46043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1070</v>
      </c>
      <c r="B296" s="175">
        <v>46056</v>
      </c>
      <c r="C296" s="171" t="s">
        <v>110</v>
      </c>
      <c r="D296" s="171" t="s">
        <v>118</v>
      </c>
      <c r="E296" s="171" t="s">
        <v>78</v>
      </c>
      <c r="F296" s="171" t="s">
        <v>176</v>
      </c>
      <c r="G296" s="171" t="s">
        <v>177</v>
      </c>
      <c r="H296" s="176">
        <v>1</v>
      </c>
      <c r="I296" s="177">
        <v>0</v>
      </c>
      <c r="J296" s="175">
        <v>46043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-56.94</v>
      </c>
    </row>
    <row r="297" spans="1:16" ht="19.5" customHeight="1">
      <c r="A297" s="171" t="s">
        <v>1070</v>
      </c>
      <c r="B297" s="175">
        <v>46056</v>
      </c>
      <c r="C297" s="171" t="s">
        <v>115</v>
      </c>
      <c r="D297" s="171" t="s">
        <v>119</v>
      </c>
      <c r="E297" s="171" t="s">
        <v>78</v>
      </c>
      <c r="F297" s="171" t="s">
        <v>176</v>
      </c>
      <c r="G297" s="171" t="s">
        <v>177</v>
      </c>
      <c r="H297" s="176">
        <v>1</v>
      </c>
      <c r="I297" s="177">
        <v>0</v>
      </c>
      <c r="J297" s="175">
        <v>46043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1071</v>
      </c>
      <c r="B298" s="175">
        <v>46056</v>
      </c>
      <c r="C298" s="171" t="s">
        <v>110</v>
      </c>
      <c r="D298" s="171" t="s">
        <v>117</v>
      </c>
      <c r="E298" s="171" t="s">
        <v>79</v>
      </c>
      <c r="F298" s="171" t="s">
        <v>441</v>
      </c>
      <c r="G298" s="171" t="s">
        <v>177</v>
      </c>
      <c r="H298" s="176">
        <v>1</v>
      </c>
      <c r="I298" s="177">
        <v>0</v>
      </c>
      <c r="J298" s="175">
        <v>46046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0</v>
      </c>
    </row>
    <row r="299" spans="1:16" ht="19.5" customHeight="1">
      <c r="A299" s="171" t="s">
        <v>1071</v>
      </c>
      <c r="B299" s="175">
        <v>46056</v>
      </c>
      <c r="C299" s="171" t="s">
        <v>110</v>
      </c>
      <c r="D299" s="171" t="s">
        <v>118</v>
      </c>
      <c r="E299" s="171" t="s">
        <v>79</v>
      </c>
      <c r="F299" s="171" t="s">
        <v>441</v>
      </c>
      <c r="G299" s="171" t="s">
        <v>177</v>
      </c>
      <c r="H299" s="176">
        <v>1</v>
      </c>
      <c r="I299" s="177">
        <v>0</v>
      </c>
      <c r="J299" s="175">
        <v>46046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-56.94</v>
      </c>
    </row>
    <row r="300" spans="1:16" ht="19.5" customHeight="1">
      <c r="A300" s="171" t="s">
        <v>1071</v>
      </c>
      <c r="B300" s="175">
        <v>46056</v>
      </c>
      <c r="C300" s="171" t="s">
        <v>115</v>
      </c>
      <c r="D300" s="171" t="s">
        <v>119</v>
      </c>
      <c r="E300" s="171" t="s">
        <v>79</v>
      </c>
      <c r="F300" s="171" t="s">
        <v>441</v>
      </c>
      <c r="G300" s="171" t="s">
        <v>177</v>
      </c>
      <c r="H300" s="176">
        <v>1</v>
      </c>
      <c r="I300" s="177">
        <v>0</v>
      </c>
      <c r="J300" s="175">
        <v>46046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-15</v>
      </c>
    </row>
    <row r="301" spans="1:16" ht="19.5" customHeight="1">
      <c r="A301" s="171" t="s">
        <v>1071</v>
      </c>
      <c r="B301" s="175">
        <v>46056</v>
      </c>
      <c r="C301" s="171" t="s">
        <v>110</v>
      </c>
      <c r="D301" s="171" t="s">
        <v>24</v>
      </c>
      <c r="E301" s="171" t="s">
        <v>79</v>
      </c>
      <c r="F301" s="171" t="s">
        <v>441</v>
      </c>
      <c r="G301" s="171" t="s">
        <v>177</v>
      </c>
      <c r="H301" s="176">
        <v>1</v>
      </c>
      <c r="I301" s="177">
        <v>0</v>
      </c>
      <c r="J301" s="175">
        <v>46046</v>
      </c>
      <c r="K301" s="171" t="s">
        <v>113</v>
      </c>
      <c r="L301" s="171" t="s">
        <v>114</v>
      </c>
      <c r="M301" s="178">
        <v>0</v>
      </c>
      <c r="N301" s="176"/>
      <c r="O301" s="176">
        <v>50</v>
      </c>
      <c r="P301" s="179">
        <v>-56.94</v>
      </c>
    </row>
    <row r="302" spans="1:16" ht="19.5" customHeight="1">
      <c r="A302" s="171" t="s">
        <v>1071</v>
      </c>
      <c r="B302" s="175">
        <v>46056</v>
      </c>
      <c r="C302" s="171" t="s">
        <v>115</v>
      </c>
      <c r="D302" s="171" t="s">
        <v>116</v>
      </c>
      <c r="E302" s="171" t="s">
        <v>79</v>
      </c>
      <c r="F302" s="171" t="s">
        <v>441</v>
      </c>
      <c r="G302" s="171" t="s">
        <v>177</v>
      </c>
      <c r="H302" s="176">
        <v>1</v>
      </c>
      <c r="I302" s="177">
        <v>0</v>
      </c>
      <c r="J302" s="175">
        <v>46046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-19.53</v>
      </c>
    </row>
    <row r="303" spans="1:16" ht="19.5" customHeight="1">
      <c r="A303" s="171" t="s">
        <v>1072</v>
      </c>
      <c r="B303" s="175">
        <v>46056</v>
      </c>
      <c r="C303" s="171" t="s">
        <v>110</v>
      </c>
      <c r="D303" s="171" t="s">
        <v>24</v>
      </c>
      <c r="E303" s="171" t="s">
        <v>48</v>
      </c>
      <c r="F303" s="171" t="s">
        <v>198</v>
      </c>
      <c r="G303" s="171" t="s">
        <v>112</v>
      </c>
      <c r="H303" s="176">
        <v>1</v>
      </c>
      <c r="I303" s="177">
        <v>1359</v>
      </c>
      <c r="J303" s="175">
        <v>46050</v>
      </c>
      <c r="K303" s="171" t="s">
        <v>113</v>
      </c>
      <c r="L303" s="171" t="s">
        <v>114</v>
      </c>
      <c r="M303" s="178">
        <v>0.43</v>
      </c>
      <c r="N303" s="176"/>
      <c r="O303" s="176">
        <v>50</v>
      </c>
      <c r="P303" s="179">
        <v>-133.96</v>
      </c>
    </row>
    <row r="304" spans="1:16" ht="19.5" customHeight="1">
      <c r="A304" s="171" t="s">
        <v>1072</v>
      </c>
      <c r="B304" s="175">
        <v>46056</v>
      </c>
      <c r="C304" s="171" t="s">
        <v>127</v>
      </c>
      <c r="D304" s="171" t="s">
        <v>128</v>
      </c>
      <c r="E304" s="171" t="s">
        <v>48</v>
      </c>
      <c r="F304" s="171" t="s">
        <v>198</v>
      </c>
      <c r="G304" s="171" t="s">
        <v>112</v>
      </c>
      <c r="H304" s="176">
        <v>1</v>
      </c>
      <c r="I304" s="177">
        <v>1359</v>
      </c>
      <c r="J304" s="175">
        <v>46050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793.33</v>
      </c>
    </row>
    <row r="305" spans="1:16" ht="19.5" customHeight="1">
      <c r="A305" s="171" t="s">
        <v>1072</v>
      </c>
      <c r="B305" s="175">
        <v>46056</v>
      </c>
      <c r="C305" s="171" t="s">
        <v>127</v>
      </c>
      <c r="D305" s="171" t="s">
        <v>129</v>
      </c>
      <c r="E305" s="171" t="s">
        <v>48</v>
      </c>
      <c r="F305" s="171" t="s">
        <v>198</v>
      </c>
      <c r="G305" s="171" t="s">
        <v>112</v>
      </c>
      <c r="H305" s="176">
        <v>1</v>
      </c>
      <c r="I305" s="177">
        <v>1359</v>
      </c>
      <c r="J305" s="175">
        <v>46050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7.93</v>
      </c>
    </row>
    <row r="306" spans="1:16" ht="19.5" customHeight="1">
      <c r="A306" s="171" t="s">
        <v>1072</v>
      </c>
      <c r="B306" s="175">
        <v>46056</v>
      </c>
      <c r="C306" s="171" t="s">
        <v>127</v>
      </c>
      <c r="D306" s="171" t="s">
        <v>130</v>
      </c>
      <c r="E306" s="171" t="s">
        <v>48</v>
      </c>
      <c r="F306" s="171" t="s">
        <v>198</v>
      </c>
      <c r="G306" s="171" t="s">
        <v>112</v>
      </c>
      <c r="H306" s="176">
        <v>1</v>
      </c>
      <c r="I306" s="177">
        <v>1359</v>
      </c>
      <c r="J306" s="175">
        <v>46050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557.74</v>
      </c>
    </row>
    <row r="307" spans="1:16" ht="19.5" customHeight="1">
      <c r="A307" s="171" t="s">
        <v>1072</v>
      </c>
      <c r="B307" s="175">
        <v>46056</v>
      </c>
      <c r="C307" s="171" t="s">
        <v>131</v>
      </c>
      <c r="D307" s="171" t="s">
        <v>132</v>
      </c>
      <c r="E307" s="171" t="s">
        <v>48</v>
      </c>
      <c r="F307" s="171" t="s">
        <v>198</v>
      </c>
      <c r="G307" s="171" t="s">
        <v>112</v>
      </c>
      <c r="H307" s="176">
        <v>1</v>
      </c>
      <c r="I307" s="177">
        <v>1359</v>
      </c>
      <c r="J307" s="175">
        <v>46050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-584.37</v>
      </c>
    </row>
    <row r="308" spans="1:16" ht="19.5" customHeight="1">
      <c r="A308" s="171" t="s">
        <v>1072</v>
      </c>
      <c r="B308" s="175">
        <v>46056</v>
      </c>
      <c r="C308" s="171" t="s">
        <v>115</v>
      </c>
      <c r="D308" s="171" t="s">
        <v>116</v>
      </c>
      <c r="E308" s="171" t="s">
        <v>48</v>
      </c>
      <c r="F308" s="171" t="s">
        <v>198</v>
      </c>
      <c r="G308" s="171" t="s">
        <v>112</v>
      </c>
      <c r="H308" s="176">
        <v>1</v>
      </c>
      <c r="I308" s="177">
        <v>1359</v>
      </c>
      <c r="J308" s="175">
        <v>46050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-7.28</v>
      </c>
    </row>
    <row r="309" spans="1:16" ht="19.5" customHeight="1">
      <c r="A309" s="171" t="s">
        <v>1073</v>
      </c>
      <c r="B309" s="175">
        <v>46056</v>
      </c>
      <c r="C309" s="171" t="s">
        <v>110</v>
      </c>
      <c r="D309" s="171" t="s">
        <v>24</v>
      </c>
      <c r="E309" s="171" t="s">
        <v>79</v>
      </c>
      <c r="F309" s="171" t="s">
        <v>441</v>
      </c>
      <c r="G309" s="171" t="s">
        <v>177</v>
      </c>
      <c r="H309" s="176">
        <v>1</v>
      </c>
      <c r="I309" s="177">
        <v>5000</v>
      </c>
      <c r="J309" s="175">
        <v>46054</v>
      </c>
      <c r="K309" s="171" t="s">
        <v>113</v>
      </c>
      <c r="L309" s="171" t="s">
        <v>114</v>
      </c>
      <c r="M309" s="178">
        <v>0.43</v>
      </c>
      <c r="N309" s="176"/>
      <c r="O309" s="176">
        <v>42</v>
      </c>
      <c r="P309" s="179">
        <v>-231.9</v>
      </c>
    </row>
    <row r="310" spans="1:16" ht="19.5" customHeight="1">
      <c r="A310" s="171" t="s">
        <v>1073</v>
      </c>
      <c r="B310" s="175">
        <v>46056</v>
      </c>
      <c r="C310" s="171" t="s">
        <v>127</v>
      </c>
      <c r="D310" s="171" t="s">
        <v>128</v>
      </c>
      <c r="E310" s="171" t="s">
        <v>79</v>
      </c>
      <c r="F310" s="171" t="s">
        <v>441</v>
      </c>
      <c r="G310" s="171" t="s">
        <v>177</v>
      </c>
      <c r="H310" s="176">
        <v>1</v>
      </c>
      <c r="I310" s="177">
        <v>5000</v>
      </c>
      <c r="J310" s="175">
        <v>46054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1751.43</v>
      </c>
    </row>
    <row r="311" spans="1:16" ht="19.5" customHeight="1">
      <c r="A311" s="171" t="s">
        <v>1073</v>
      </c>
      <c r="B311" s="175">
        <v>46056</v>
      </c>
      <c r="C311" s="171" t="s">
        <v>127</v>
      </c>
      <c r="D311" s="171" t="s">
        <v>129</v>
      </c>
      <c r="E311" s="171" t="s">
        <v>79</v>
      </c>
      <c r="F311" s="171" t="s">
        <v>441</v>
      </c>
      <c r="G311" s="171" t="s">
        <v>177</v>
      </c>
      <c r="H311" s="176">
        <v>1</v>
      </c>
      <c r="I311" s="177">
        <v>5000</v>
      </c>
      <c r="J311" s="175">
        <v>46054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17.510000000000002</v>
      </c>
    </row>
    <row r="312" spans="1:16" ht="19.5" customHeight="1">
      <c r="A312" s="171" t="s">
        <v>1073</v>
      </c>
      <c r="B312" s="175">
        <v>46056</v>
      </c>
      <c r="C312" s="171" t="s">
        <v>127</v>
      </c>
      <c r="D312" s="171" t="s">
        <v>130</v>
      </c>
      <c r="E312" s="171" t="s">
        <v>79</v>
      </c>
      <c r="F312" s="171" t="s">
        <v>441</v>
      </c>
      <c r="G312" s="171" t="s">
        <v>177</v>
      </c>
      <c r="H312" s="176">
        <v>1</v>
      </c>
      <c r="I312" s="177">
        <v>5000</v>
      </c>
      <c r="J312" s="175">
        <v>46054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3231.06</v>
      </c>
    </row>
    <row r="313" spans="1:16" ht="19.5" customHeight="1">
      <c r="A313" s="171" t="s">
        <v>1073</v>
      </c>
      <c r="B313" s="175">
        <v>46056</v>
      </c>
      <c r="C313" s="171" t="s">
        <v>131</v>
      </c>
      <c r="D313" s="171" t="s">
        <v>132</v>
      </c>
      <c r="E313" s="171" t="s">
        <v>79</v>
      </c>
      <c r="F313" s="171" t="s">
        <v>441</v>
      </c>
      <c r="G313" s="171" t="s">
        <v>177</v>
      </c>
      <c r="H313" s="176">
        <v>1</v>
      </c>
      <c r="I313" s="177">
        <v>5000</v>
      </c>
      <c r="J313" s="175">
        <v>46054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-2150</v>
      </c>
    </row>
    <row r="314" spans="1:16" ht="19.5" customHeight="1">
      <c r="A314" s="171" t="s">
        <v>1073</v>
      </c>
      <c r="B314" s="175">
        <v>46056</v>
      </c>
      <c r="C314" s="171" t="s">
        <v>115</v>
      </c>
      <c r="D314" s="171" t="s">
        <v>116</v>
      </c>
      <c r="E314" s="171" t="s">
        <v>79</v>
      </c>
      <c r="F314" s="171" t="s">
        <v>441</v>
      </c>
      <c r="G314" s="171" t="s">
        <v>177</v>
      </c>
      <c r="H314" s="176">
        <v>1</v>
      </c>
      <c r="I314" s="177">
        <v>5000</v>
      </c>
      <c r="J314" s="175">
        <v>46054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-14.1</v>
      </c>
    </row>
    <row r="315" spans="1:16" ht="19.5" customHeight="1">
      <c r="A315" s="171" t="s">
        <v>1072</v>
      </c>
      <c r="B315" s="175">
        <v>46056</v>
      </c>
      <c r="C315" s="171" t="s">
        <v>115</v>
      </c>
      <c r="D315" s="171" t="s">
        <v>135</v>
      </c>
      <c r="E315" s="171" t="s">
        <v>48</v>
      </c>
      <c r="F315" s="171" t="s">
        <v>198</v>
      </c>
      <c r="G315" s="171" t="s">
        <v>112</v>
      </c>
      <c r="H315" s="176">
        <v>1</v>
      </c>
      <c r="I315" s="177">
        <v>0</v>
      </c>
      <c r="J315" s="175">
        <v>46050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-15.07</v>
      </c>
    </row>
    <row r="316" spans="1:16" ht="19.5" customHeight="1">
      <c r="A316" s="171" t="s">
        <v>1074</v>
      </c>
      <c r="B316" s="175">
        <v>46056</v>
      </c>
      <c r="C316" s="171" t="s">
        <v>115</v>
      </c>
      <c r="D316" s="171" t="s">
        <v>135</v>
      </c>
      <c r="E316" s="171" t="s">
        <v>43</v>
      </c>
      <c r="F316" s="171" t="s">
        <v>481</v>
      </c>
      <c r="G316" s="171" t="s">
        <v>214</v>
      </c>
      <c r="H316" s="176">
        <v>1</v>
      </c>
      <c r="I316" s="177">
        <v>0</v>
      </c>
      <c r="J316" s="175">
        <v>46056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-7.34</v>
      </c>
    </row>
    <row r="317" spans="1:16" ht="19.5" customHeight="1">
      <c r="A317" s="171" t="s">
        <v>1073</v>
      </c>
      <c r="B317" s="175">
        <v>46056</v>
      </c>
      <c r="C317" s="171" t="s">
        <v>115</v>
      </c>
      <c r="D317" s="171" t="s">
        <v>135</v>
      </c>
      <c r="E317" s="171" t="s">
        <v>79</v>
      </c>
      <c r="F317" s="171" t="s">
        <v>441</v>
      </c>
      <c r="G317" s="171" t="s">
        <v>177</v>
      </c>
      <c r="H317" s="176">
        <v>1</v>
      </c>
      <c r="I317" s="177">
        <v>0</v>
      </c>
      <c r="J317" s="175">
        <v>46054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-33.28</v>
      </c>
    </row>
    <row r="318" spans="1:16" ht="19.5" customHeight="1">
      <c r="A318" s="171" t="s">
        <v>1075</v>
      </c>
      <c r="B318" s="175">
        <v>46056</v>
      </c>
      <c r="C318" s="171" t="s">
        <v>110</v>
      </c>
      <c r="D318" s="171" t="s">
        <v>24</v>
      </c>
      <c r="E318" s="171" t="s">
        <v>66</v>
      </c>
      <c r="F318" s="171" t="s">
        <v>602</v>
      </c>
      <c r="G318" s="171" t="s">
        <v>177</v>
      </c>
      <c r="H318" s="176">
        <v>1</v>
      </c>
      <c r="I318" s="177">
        <v>0</v>
      </c>
      <c r="J318" s="175">
        <v>46052</v>
      </c>
      <c r="K318" s="171" t="s">
        <v>113</v>
      </c>
      <c r="L318" s="171" t="s">
        <v>114</v>
      </c>
      <c r="M318" s="178">
        <v>0</v>
      </c>
      <c r="N318" s="176"/>
      <c r="O318" s="176">
        <v>49</v>
      </c>
      <c r="P318" s="179">
        <v>-56.94</v>
      </c>
    </row>
    <row r="319" spans="1:16" ht="19.5" customHeight="1">
      <c r="A319" s="171" t="s">
        <v>818</v>
      </c>
      <c r="B319" s="175">
        <v>46056</v>
      </c>
      <c r="C319" s="171" t="s">
        <v>115</v>
      </c>
      <c r="D319" s="171" t="s">
        <v>135</v>
      </c>
      <c r="E319" s="171" t="s">
        <v>48</v>
      </c>
      <c r="F319" s="171" t="s">
        <v>198</v>
      </c>
      <c r="G319" s="171" t="s">
        <v>112</v>
      </c>
      <c r="H319" s="176">
        <v>1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11.24</v>
      </c>
    </row>
    <row r="320" spans="1:16" ht="19.5" customHeight="1">
      <c r="A320" s="171" t="s">
        <v>818</v>
      </c>
      <c r="B320" s="175">
        <v>46056</v>
      </c>
      <c r="C320" s="171" t="s">
        <v>115</v>
      </c>
      <c r="D320" s="171" t="s">
        <v>135</v>
      </c>
      <c r="E320" s="171" t="s">
        <v>50</v>
      </c>
      <c r="F320" s="171" t="s">
        <v>413</v>
      </c>
      <c r="G320" s="171" t="s">
        <v>112</v>
      </c>
      <c r="H320" s="176">
        <v>1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13.14</v>
      </c>
    </row>
    <row r="321" spans="1:16" ht="19.5" customHeight="1">
      <c r="A321" s="171" t="s">
        <v>1075</v>
      </c>
      <c r="B321" s="175">
        <v>46056</v>
      </c>
      <c r="C321" s="171" t="s">
        <v>110</v>
      </c>
      <c r="D321" s="171" t="s">
        <v>117</v>
      </c>
      <c r="E321" s="171" t="s">
        <v>66</v>
      </c>
      <c r="F321" s="171" t="s">
        <v>602</v>
      </c>
      <c r="G321" s="171" t="s">
        <v>177</v>
      </c>
      <c r="H321" s="176">
        <v>1</v>
      </c>
      <c r="I321" s="177">
        <v>0</v>
      </c>
      <c r="J321" s="175">
        <v>46052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0</v>
      </c>
    </row>
    <row r="322" spans="1:16" ht="19.5" customHeight="1">
      <c r="A322" s="171" t="s">
        <v>1075</v>
      </c>
      <c r="B322" s="175">
        <v>46056</v>
      </c>
      <c r="C322" s="171" t="s">
        <v>110</v>
      </c>
      <c r="D322" s="171" t="s">
        <v>118</v>
      </c>
      <c r="E322" s="171" t="s">
        <v>66</v>
      </c>
      <c r="F322" s="171" t="s">
        <v>602</v>
      </c>
      <c r="G322" s="171" t="s">
        <v>177</v>
      </c>
      <c r="H322" s="176">
        <v>1</v>
      </c>
      <c r="I322" s="177">
        <v>0</v>
      </c>
      <c r="J322" s="175">
        <v>46052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-56.94</v>
      </c>
    </row>
    <row r="323" spans="1:16" ht="19.5" customHeight="1">
      <c r="A323" s="171" t="s">
        <v>1076</v>
      </c>
      <c r="B323" s="175">
        <v>46056</v>
      </c>
      <c r="C323" s="171" t="s">
        <v>110</v>
      </c>
      <c r="D323" s="171" t="s">
        <v>24</v>
      </c>
      <c r="E323" s="171" t="s">
        <v>76</v>
      </c>
      <c r="F323" s="171" t="s">
        <v>821</v>
      </c>
      <c r="G323" s="171" t="s">
        <v>177</v>
      </c>
      <c r="H323" s="176">
        <v>1</v>
      </c>
      <c r="I323" s="177">
        <v>0</v>
      </c>
      <c r="J323" s="175">
        <v>46047</v>
      </c>
      <c r="K323" s="171" t="s">
        <v>113</v>
      </c>
      <c r="L323" s="171" t="s">
        <v>114</v>
      </c>
      <c r="M323" s="178">
        <v>0</v>
      </c>
      <c r="N323" s="176"/>
      <c r="O323" s="176">
        <v>52</v>
      </c>
      <c r="P323" s="179">
        <v>-56.94</v>
      </c>
    </row>
    <row r="324" spans="1:16" ht="19.5" customHeight="1">
      <c r="A324" s="171" t="s">
        <v>1076</v>
      </c>
      <c r="B324" s="175">
        <v>46056</v>
      </c>
      <c r="C324" s="171" t="s">
        <v>115</v>
      </c>
      <c r="D324" s="171" t="s">
        <v>116</v>
      </c>
      <c r="E324" s="171" t="s">
        <v>76</v>
      </c>
      <c r="F324" s="171" t="s">
        <v>821</v>
      </c>
      <c r="G324" s="171" t="s">
        <v>177</v>
      </c>
      <c r="H324" s="176">
        <v>1</v>
      </c>
      <c r="I324" s="177">
        <v>0</v>
      </c>
      <c r="J324" s="175">
        <v>46047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-12.64</v>
      </c>
    </row>
    <row r="325" spans="1:16" ht="19.5" customHeight="1">
      <c r="A325" s="171" t="s">
        <v>1076</v>
      </c>
      <c r="B325" s="175">
        <v>46056</v>
      </c>
      <c r="C325" s="171" t="s">
        <v>110</v>
      </c>
      <c r="D325" s="171" t="s">
        <v>117</v>
      </c>
      <c r="E325" s="171" t="s">
        <v>76</v>
      </c>
      <c r="F325" s="171" t="s">
        <v>821</v>
      </c>
      <c r="G325" s="171" t="s">
        <v>177</v>
      </c>
      <c r="H325" s="176">
        <v>1</v>
      </c>
      <c r="I325" s="177">
        <v>0</v>
      </c>
      <c r="J325" s="175">
        <v>46047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0</v>
      </c>
    </row>
    <row r="326" spans="1:16" ht="19.5" customHeight="1">
      <c r="A326" s="171" t="s">
        <v>1076</v>
      </c>
      <c r="B326" s="175">
        <v>46056</v>
      </c>
      <c r="C326" s="171" t="s">
        <v>110</v>
      </c>
      <c r="D326" s="171" t="s">
        <v>118</v>
      </c>
      <c r="E326" s="171" t="s">
        <v>76</v>
      </c>
      <c r="F326" s="171" t="s">
        <v>821</v>
      </c>
      <c r="G326" s="171" t="s">
        <v>177</v>
      </c>
      <c r="H326" s="176">
        <v>1</v>
      </c>
      <c r="I326" s="177">
        <v>0</v>
      </c>
      <c r="J326" s="175">
        <v>46047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-56.94</v>
      </c>
    </row>
    <row r="327" spans="1:16" ht="19.5" customHeight="1">
      <c r="A327" s="171" t="s">
        <v>1076</v>
      </c>
      <c r="B327" s="175">
        <v>46056</v>
      </c>
      <c r="C327" s="171" t="s">
        <v>115</v>
      </c>
      <c r="D327" s="171" t="s">
        <v>119</v>
      </c>
      <c r="E327" s="171" t="s">
        <v>76</v>
      </c>
      <c r="F327" s="171" t="s">
        <v>821</v>
      </c>
      <c r="G327" s="171" t="s">
        <v>177</v>
      </c>
      <c r="H327" s="176">
        <v>1</v>
      </c>
      <c r="I327" s="177">
        <v>0</v>
      </c>
      <c r="J327" s="175">
        <v>46047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-15</v>
      </c>
    </row>
    <row r="328" spans="1:16" ht="19.5" customHeight="1">
      <c r="A328" s="171" t="s">
        <v>1077</v>
      </c>
      <c r="B328" s="175">
        <v>46056</v>
      </c>
      <c r="C328" s="171" t="s">
        <v>115</v>
      </c>
      <c r="D328" s="171" t="s">
        <v>135</v>
      </c>
      <c r="E328" s="171" t="s">
        <v>43</v>
      </c>
      <c r="F328" s="171" t="s">
        <v>481</v>
      </c>
      <c r="G328" s="171" t="s">
        <v>214</v>
      </c>
      <c r="H328" s="176">
        <v>1</v>
      </c>
      <c r="I328" s="177">
        <v>0</v>
      </c>
      <c r="J328" s="175">
        <v>46056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-6.68</v>
      </c>
    </row>
    <row r="329" spans="1:16" ht="19.5" customHeight="1">
      <c r="A329" s="171" t="s">
        <v>1078</v>
      </c>
      <c r="B329" s="175">
        <v>46056</v>
      </c>
      <c r="C329" s="171" t="s">
        <v>110</v>
      </c>
      <c r="D329" s="171" t="s">
        <v>24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1800</v>
      </c>
      <c r="J329" s="175">
        <v>46055</v>
      </c>
      <c r="K329" s="171" t="s">
        <v>113</v>
      </c>
      <c r="L329" s="171" t="s">
        <v>114</v>
      </c>
      <c r="M329" s="178">
        <v>0.43</v>
      </c>
      <c r="N329" s="176"/>
      <c r="O329" s="176">
        <v>42</v>
      </c>
      <c r="P329" s="179">
        <v>-124.73</v>
      </c>
    </row>
    <row r="330" spans="1:16" ht="19.5" customHeight="1">
      <c r="A330" s="171" t="s">
        <v>1078</v>
      </c>
      <c r="B330" s="175">
        <v>46056</v>
      </c>
      <c r="C330" s="171" t="s">
        <v>127</v>
      </c>
      <c r="D330" s="171" t="s">
        <v>128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1800</v>
      </c>
      <c r="J330" s="175">
        <v>46055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645.5</v>
      </c>
    </row>
    <row r="331" spans="1:16" ht="19.5" customHeight="1">
      <c r="A331" s="171" t="s">
        <v>1078</v>
      </c>
      <c r="B331" s="175">
        <v>46056</v>
      </c>
      <c r="C331" s="171" t="s">
        <v>127</v>
      </c>
      <c r="D331" s="171" t="s">
        <v>129</v>
      </c>
      <c r="E331" s="171" t="s">
        <v>42</v>
      </c>
      <c r="F331" s="171" t="s">
        <v>248</v>
      </c>
      <c r="G331" s="171" t="s">
        <v>112</v>
      </c>
      <c r="H331" s="176">
        <v>1</v>
      </c>
      <c r="I331" s="177">
        <v>1800</v>
      </c>
      <c r="J331" s="175">
        <v>46055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6.46</v>
      </c>
    </row>
    <row r="332" spans="1:16" ht="19.5" customHeight="1">
      <c r="A332" s="171" t="s">
        <v>1078</v>
      </c>
      <c r="B332" s="175">
        <v>46056</v>
      </c>
      <c r="C332" s="171" t="s">
        <v>127</v>
      </c>
      <c r="D332" s="171" t="s">
        <v>130</v>
      </c>
      <c r="E332" s="171" t="s">
        <v>42</v>
      </c>
      <c r="F332" s="171" t="s">
        <v>248</v>
      </c>
      <c r="G332" s="171" t="s">
        <v>112</v>
      </c>
      <c r="H332" s="176">
        <v>1</v>
      </c>
      <c r="I332" s="177">
        <v>1800</v>
      </c>
      <c r="J332" s="175">
        <v>46055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1148.04</v>
      </c>
    </row>
    <row r="333" spans="1:16" ht="19.5" customHeight="1">
      <c r="A333" s="171" t="s">
        <v>1078</v>
      </c>
      <c r="B333" s="175">
        <v>46056</v>
      </c>
      <c r="C333" s="171" t="s">
        <v>131</v>
      </c>
      <c r="D333" s="171" t="s">
        <v>132</v>
      </c>
      <c r="E333" s="171" t="s">
        <v>42</v>
      </c>
      <c r="F333" s="171" t="s">
        <v>248</v>
      </c>
      <c r="G333" s="171" t="s">
        <v>112</v>
      </c>
      <c r="H333" s="176">
        <v>1</v>
      </c>
      <c r="I333" s="177">
        <v>1800</v>
      </c>
      <c r="J333" s="175">
        <v>46055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-774</v>
      </c>
    </row>
    <row r="334" spans="1:16" ht="19.5" customHeight="1">
      <c r="A334" s="171" t="s">
        <v>1078</v>
      </c>
      <c r="B334" s="175">
        <v>46056</v>
      </c>
      <c r="C334" s="171" t="s">
        <v>115</v>
      </c>
      <c r="D334" s="171" t="s">
        <v>116</v>
      </c>
      <c r="E334" s="171" t="s">
        <v>42</v>
      </c>
      <c r="F334" s="171" t="s">
        <v>248</v>
      </c>
      <c r="G334" s="171" t="s">
        <v>112</v>
      </c>
      <c r="H334" s="176">
        <v>1</v>
      </c>
      <c r="I334" s="177">
        <v>1800</v>
      </c>
      <c r="J334" s="175">
        <v>46055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-10.78</v>
      </c>
    </row>
    <row r="335" spans="1:16" ht="19.5" customHeight="1">
      <c r="A335" s="171" t="s">
        <v>1079</v>
      </c>
      <c r="B335" s="175">
        <v>46056</v>
      </c>
      <c r="C335" s="171" t="s">
        <v>115</v>
      </c>
      <c r="D335" s="171" t="s">
        <v>135</v>
      </c>
      <c r="E335" s="171" t="s">
        <v>42</v>
      </c>
      <c r="F335" s="171" t="s">
        <v>248</v>
      </c>
      <c r="G335" s="171" t="s">
        <v>112</v>
      </c>
      <c r="H335" s="176">
        <v>1</v>
      </c>
      <c r="I335" s="177">
        <v>0</v>
      </c>
      <c r="J335" s="175">
        <v>46056</v>
      </c>
      <c r="K335" s="171" t="s">
        <v>125</v>
      </c>
      <c r="L335" s="171" t="s">
        <v>125</v>
      </c>
      <c r="M335" s="178">
        <v>0</v>
      </c>
      <c r="N335" s="176"/>
      <c r="O335" s="176"/>
      <c r="P335" s="179">
        <v>-16.59</v>
      </c>
    </row>
    <row r="336" spans="1:16" ht="19.5" customHeight="1">
      <c r="A336" s="171" t="s">
        <v>1080</v>
      </c>
      <c r="B336" s="175">
        <v>46056</v>
      </c>
      <c r="C336" s="171" t="s">
        <v>110</v>
      </c>
      <c r="D336" s="171" t="s">
        <v>24</v>
      </c>
      <c r="E336" s="171" t="s">
        <v>67</v>
      </c>
      <c r="F336" s="171" t="s">
        <v>359</v>
      </c>
      <c r="G336" s="171" t="s">
        <v>177</v>
      </c>
      <c r="H336" s="176">
        <v>1</v>
      </c>
      <c r="I336" s="177">
        <v>0</v>
      </c>
      <c r="J336" s="175">
        <v>46050</v>
      </c>
      <c r="K336" s="171" t="s">
        <v>113</v>
      </c>
      <c r="L336" s="171" t="s">
        <v>114</v>
      </c>
      <c r="M336" s="178">
        <v>0</v>
      </c>
      <c r="N336" s="176"/>
      <c r="O336" s="176">
        <v>50</v>
      </c>
      <c r="P336" s="179">
        <v>-56.94</v>
      </c>
    </row>
    <row r="337" spans="1:16" ht="19.5" customHeight="1">
      <c r="A337" s="171" t="s">
        <v>1080</v>
      </c>
      <c r="B337" s="175">
        <v>46056</v>
      </c>
      <c r="C337" s="171" t="s">
        <v>115</v>
      </c>
      <c r="D337" s="171" t="s">
        <v>116</v>
      </c>
      <c r="E337" s="171" t="s">
        <v>67</v>
      </c>
      <c r="F337" s="171" t="s">
        <v>359</v>
      </c>
      <c r="G337" s="171" t="s">
        <v>177</v>
      </c>
      <c r="H337" s="176">
        <v>1</v>
      </c>
      <c r="I337" s="177">
        <v>0</v>
      </c>
      <c r="J337" s="175">
        <v>46050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-13.67</v>
      </c>
    </row>
    <row r="338" spans="1:16" ht="19.5" customHeight="1">
      <c r="A338" s="171" t="s">
        <v>1080</v>
      </c>
      <c r="B338" s="175">
        <v>46056</v>
      </c>
      <c r="C338" s="171" t="s">
        <v>110</v>
      </c>
      <c r="D338" s="171" t="s">
        <v>117</v>
      </c>
      <c r="E338" s="171" t="s">
        <v>67</v>
      </c>
      <c r="F338" s="171" t="s">
        <v>359</v>
      </c>
      <c r="G338" s="171" t="s">
        <v>177</v>
      </c>
      <c r="H338" s="176">
        <v>1</v>
      </c>
      <c r="I338" s="177">
        <v>0</v>
      </c>
      <c r="J338" s="175">
        <v>46050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0</v>
      </c>
    </row>
    <row r="339" spans="1:16" ht="19.5" customHeight="1">
      <c r="A339" s="171" t="s">
        <v>1080</v>
      </c>
      <c r="B339" s="175">
        <v>46056</v>
      </c>
      <c r="C339" s="171" t="s">
        <v>110</v>
      </c>
      <c r="D339" s="171" t="s">
        <v>118</v>
      </c>
      <c r="E339" s="171" t="s">
        <v>67</v>
      </c>
      <c r="F339" s="171" t="s">
        <v>359</v>
      </c>
      <c r="G339" s="171" t="s">
        <v>177</v>
      </c>
      <c r="H339" s="176">
        <v>1</v>
      </c>
      <c r="I339" s="177">
        <v>0</v>
      </c>
      <c r="J339" s="175">
        <v>46050</v>
      </c>
      <c r="K339" s="171" t="s">
        <v>113</v>
      </c>
      <c r="L339" s="171" t="s">
        <v>114</v>
      </c>
      <c r="M339" s="178">
        <v>0</v>
      </c>
      <c r="N339" s="176"/>
      <c r="O339" s="176"/>
      <c r="P339" s="179">
        <v>-56.94</v>
      </c>
    </row>
    <row r="340" spans="1:16" ht="19.5" customHeight="1">
      <c r="A340" s="171" t="s">
        <v>1080</v>
      </c>
      <c r="B340" s="175">
        <v>46056</v>
      </c>
      <c r="C340" s="171" t="s">
        <v>115</v>
      </c>
      <c r="D340" s="171" t="s">
        <v>119</v>
      </c>
      <c r="E340" s="171" t="s">
        <v>67</v>
      </c>
      <c r="F340" s="171" t="s">
        <v>359</v>
      </c>
      <c r="G340" s="171" t="s">
        <v>177</v>
      </c>
      <c r="H340" s="176">
        <v>1</v>
      </c>
      <c r="I340" s="177">
        <v>0</v>
      </c>
      <c r="J340" s="175">
        <v>46050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-15</v>
      </c>
    </row>
    <row r="341" spans="1:16" ht="19.5" customHeight="1">
      <c r="A341" s="171" t="s">
        <v>1081</v>
      </c>
      <c r="B341" s="175">
        <v>46056</v>
      </c>
      <c r="C341" s="171" t="s">
        <v>110</v>
      </c>
      <c r="D341" s="171" t="s">
        <v>24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1800</v>
      </c>
      <c r="J341" s="175">
        <v>46053</v>
      </c>
      <c r="K341" s="171" t="s">
        <v>113</v>
      </c>
      <c r="L341" s="171" t="s">
        <v>114</v>
      </c>
      <c r="M341" s="178">
        <v>0.43</v>
      </c>
      <c r="N341" s="176"/>
      <c r="O341" s="176">
        <v>48</v>
      </c>
      <c r="P341" s="179">
        <v>-146.61000000000001</v>
      </c>
    </row>
    <row r="342" spans="1:16" ht="19.5" customHeight="1">
      <c r="A342" s="171" t="s">
        <v>1081</v>
      </c>
      <c r="B342" s="175">
        <v>46056</v>
      </c>
      <c r="C342" s="171" t="s">
        <v>127</v>
      </c>
      <c r="D342" s="171" t="s">
        <v>128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1800</v>
      </c>
      <c r="J342" s="175">
        <v>46053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825.71</v>
      </c>
    </row>
    <row r="343" spans="1:16" ht="19.5" customHeight="1">
      <c r="A343" s="171" t="s">
        <v>1081</v>
      </c>
      <c r="B343" s="175">
        <v>46056</v>
      </c>
      <c r="C343" s="171" t="s">
        <v>127</v>
      </c>
      <c r="D343" s="171" t="s">
        <v>129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1800</v>
      </c>
      <c r="J343" s="175">
        <v>46053</v>
      </c>
      <c r="K343" s="171" t="s">
        <v>113</v>
      </c>
      <c r="L343" s="171" t="s">
        <v>114</v>
      </c>
      <c r="M343" s="178">
        <v>0</v>
      </c>
      <c r="N343" s="176"/>
      <c r="O343" s="176"/>
      <c r="P343" s="179">
        <v>8.26</v>
      </c>
    </row>
    <row r="344" spans="1:16" ht="19.5" customHeight="1">
      <c r="A344" s="171" t="s">
        <v>1081</v>
      </c>
      <c r="B344" s="175">
        <v>46056</v>
      </c>
      <c r="C344" s="171" t="s">
        <v>127</v>
      </c>
      <c r="D344" s="171" t="s">
        <v>130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1800</v>
      </c>
      <c r="J344" s="175">
        <v>46053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966.03</v>
      </c>
    </row>
    <row r="345" spans="1:16" ht="19.5" customHeight="1">
      <c r="A345" s="171" t="s">
        <v>1081</v>
      </c>
      <c r="B345" s="175">
        <v>46056</v>
      </c>
      <c r="C345" s="171" t="s">
        <v>131</v>
      </c>
      <c r="D345" s="171" t="s">
        <v>132</v>
      </c>
      <c r="E345" s="171" t="s">
        <v>38</v>
      </c>
      <c r="F345" s="171" t="s">
        <v>111</v>
      </c>
      <c r="G345" s="171" t="s">
        <v>112</v>
      </c>
      <c r="H345" s="176">
        <v>1</v>
      </c>
      <c r="I345" s="177">
        <v>1800</v>
      </c>
      <c r="J345" s="175">
        <v>46053</v>
      </c>
      <c r="K345" s="171" t="s">
        <v>113</v>
      </c>
      <c r="L345" s="171" t="s">
        <v>114</v>
      </c>
      <c r="M345" s="178">
        <v>0.43</v>
      </c>
      <c r="N345" s="176"/>
      <c r="O345" s="176"/>
      <c r="P345" s="179">
        <v>-774</v>
      </c>
    </row>
    <row r="346" spans="1:16" ht="19.5" customHeight="1">
      <c r="A346" s="171" t="s">
        <v>1081</v>
      </c>
      <c r="B346" s="175">
        <v>46056</v>
      </c>
      <c r="C346" s="171" t="s">
        <v>115</v>
      </c>
      <c r="D346" s="171" t="s">
        <v>116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1800</v>
      </c>
      <c r="J346" s="175">
        <v>46053</v>
      </c>
      <c r="K346" s="171" t="s">
        <v>113</v>
      </c>
      <c r="L346" s="171" t="s">
        <v>114</v>
      </c>
      <c r="M346" s="178">
        <v>0.43</v>
      </c>
      <c r="N346" s="176"/>
      <c r="O346" s="176"/>
      <c r="P346" s="179">
        <v>-10.01</v>
      </c>
    </row>
    <row r="347" spans="1:16" ht="19.5" customHeight="1">
      <c r="A347" s="171" t="s">
        <v>1082</v>
      </c>
      <c r="B347" s="175">
        <v>46056</v>
      </c>
      <c r="C347" s="171" t="s">
        <v>110</v>
      </c>
      <c r="D347" s="171" t="s">
        <v>24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1800</v>
      </c>
      <c r="J347" s="175">
        <v>46054</v>
      </c>
      <c r="K347" s="171" t="s">
        <v>113</v>
      </c>
      <c r="L347" s="171" t="s">
        <v>114</v>
      </c>
      <c r="M347" s="178">
        <v>0.43</v>
      </c>
      <c r="N347" s="176"/>
      <c r="O347" s="176">
        <v>42</v>
      </c>
      <c r="P347" s="179">
        <v>-124.73</v>
      </c>
    </row>
    <row r="348" spans="1:16" ht="19.5" customHeight="1">
      <c r="A348" s="171" t="s">
        <v>1082</v>
      </c>
      <c r="B348" s="175">
        <v>46056</v>
      </c>
      <c r="C348" s="171" t="s">
        <v>127</v>
      </c>
      <c r="D348" s="171" t="s">
        <v>128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1800</v>
      </c>
      <c r="J348" s="175">
        <v>46054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799.05</v>
      </c>
    </row>
    <row r="349" spans="1:16" ht="19.5" customHeight="1">
      <c r="A349" s="171" t="s">
        <v>1082</v>
      </c>
      <c r="B349" s="175">
        <v>46056</v>
      </c>
      <c r="C349" s="171" t="s">
        <v>127</v>
      </c>
      <c r="D349" s="171" t="s">
        <v>129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1800</v>
      </c>
      <c r="J349" s="175">
        <v>46054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7.99</v>
      </c>
    </row>
    <row r="350" spans="1:16" ht="19.5" customHeight="1">
      <c r="A350" s="171" t="s">
        <v>1082</v>
      </c>
      <c r="B350" s="175">
        <v>46056</v>
      </c>
      <c r="C350" s="171" t="s">
        <v>127</v>
      </c>
      <c r="D350" s="171" t="s">
        <v>130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1800</v>
      </c>
      <c r="J350" s="175">
        <v>46054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992.96</v>
      </c>
    </row>
    <row r="351" spans="1:16" ht="19.5" customHeight="1">
      <c r="A351" s="171" t="s">
        <v>1082</v>
      </c>
      <c r="B351" s="175">
        <v>46056</v>
      </c>
      <c r="C351" s="171" t="s">
        <v>131</v>
      </c>
      <c r="D351" s="171" t="s">
        <v>132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1800</v>
      </c>
      <c r="J351" s="175">
        <v>46054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-774</v>
      </c>
    </row>
    <row r="352" spans="1:16" ht="19.5" customHeight="1">
      <c r="A352" s="171" t="s">
        <v>1082</v>
      </c>
      <c r="B352" s="175">
        <v>46056</v>
      </c>
      <c r="C352" s="171" t="s">
        <v>115</v>
      </c>
      <c r="D352" s="171" t="s">
        <v>116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1800</v>
      </c>
      <c r="J352" s="175">
        <v>46054</v>
      </c>
      <c r="K352" s="171" t="s">
        <v>113</v>
      </c>
      <c r="L352" s="171" t="s">
        <v>114</v>
      </c>
      <c r="M352" s="178">
        <v>0.43</v>
      </c>
      <c r="N352" s="176"/>
      <c r="O352" s="176"/>
      <c r="P352" s="179">
        <v>-14.92</v>
      </c>
    </row>
    <row r="353" spans="1:16" ht="19.5" customHeight="1">
      <c r="A353" s="171" t="s">
        <v>1036</v>
      </c>
      <c r="B353" s="175">
        <v>46056</v>
      </c>
      <c r="C353" s="171" t="s">
        <v>308</v>
      </c>
      <c r="D353" s="171" t="s">
        <v>419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-1800</v>
      </c>
      <c r="J353" s="175">
        <v>46052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-821.8</v>
      </c>
    </row>
    <row r="354" spans="1:16" ht="19.5" customHeight="1">
      <c r="A354" s="171" t="s">
        <v>1036</v>
      </c>
      <c r="B354" s="175">
        <v>46056</v>
      </c>
      <c r="C354" s="171" t="s">
        <v>308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-1800</v>
      </c>
      <c r="J354" s="175">
        <v>46052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-8.2200000000000006</v>
      </c>
    </row>
    <row r="355" spans="1:16" ht="19.5" customHeight="1">
      <c r="A355" s="171" t="s">
        <v>1036</v>
      </c>
      <c r="B355" s="175">
        <v>46056</v>
      </c>
      <c r="C355" s="171" t="s">
        <v>308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-1800</v>
      </c>
      <c r="J355" s="175">
        <v>46052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-969.98</v>
      </c>
    </row>
    <row r="356" spans="1:16" ht="19.5" customHeight="1">
      <c r="A356" s="171" t="s">
        <v>1036</v>
      </c>
      <c r="B356" s="175">
        <v>46056</v>
      </c>
      <c r="C356" s="171" t="s">
        <v>131</v>
      </c>
      <c r="D356" s="171" t="s">
        <v>420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-1800</v>
      </c>
      <c r="J356" s="175">
        <v>46052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774</v>
      </c>
    </row>
    <row r="357" spans="1:16" ht="19.5" customHeight="1">
      <c r="A357" s="171" t="s">
        <v>915</v>
      </c>
      <c r="B357" s="175">
        <v>46056</v>
      </c>
      <c r="C357" s="171" t="s">
        <v>115</v>
      </c>
      <c r="D357" s="171" t="s">
        <v>135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46052</v>
      </c>
      <c r="K357" s="171" t="s">
        <v>125</v>
      </c>
      <c r="L357" s="171" t="s">
        <v>125</v>
      </c>
      <c r="M357" s="178">
        <v>0</v>
      </c>
      <c r="N357" s="176"/>
      <c r="O357" s="176"/>
      <c r="P357" s="179">
        <v>15.61</v>
      </c>
    </row>
    <row r="358" spans="1:16" ht="19.5" customHeight="1">
      <c r="A358" s="171" t="s">
        <v>1083</v>
      </c>
      <c r="B358" s="175">
        <v>46056</v>
      </c>
      <c r="C358" s="171" t="s">
        <v>110</v>
      </c>
      <c r="D358" s="171" t="s">
        <v>24</v>
      </c>
      <c r="E358" s="171" t="s">
        <v>42</v>
      </c>
      <c r="F358" s="171" t="s">
        <v>248</v>
      </c>
      <c r="G358" s="171" t="s">
        <v>112</v>
      </c>
      <c r="H358" s="176">
        <v>1</v>
      </c>
      <c r="I358" s="177">
        <v>1800</v>
      </c>
      <c r="J358" s="175">
        <v>46053</v>
      </c>
      <c r="K358" s="171" t="s">
        <v>113</v>
      </c>
      <c r="L358" s="171" t="s">
        <v>114</v>
      </c>
      <c r="M358" s="178">
        <v>0.43</v>
      </c>
      <c r="N358" s="176"/>
      <c r="O358" s="176">
        <v>48</v>
      </c>
      <c r="P358" s="179">
        <v>-146.61000000000001</v>
      </c>
    </row>
    <row r="359" spans="1:16" ht="19.5" customHeight="1">
      <c r="A359" s="171" t="s">
        <v>1083</v>
      </c>
      <c r="B359" s="175">
        <v>46056</v>
      </c>
      <c r="C359" s="171" t="s">
        <v>127</v>
      </c>
      <c r="D359" s="171" t="s">
        <v>128</v>
      </c>
      <c r="E359" s="171" t="s">
        <v>42</v>
      </c>
      <c r="F359" s="171" t="s">
        <v>248</v>
      </c>
      <c r="G359" s="171" t="s">
        <v>112</v>
      </c>
      <c r="H359" s="176">
        <v>1</v>
      </c>
      <c r="I359" s="177">
        <v>1800</v>
      </c>
      <c r="J359" s="175">
        <v>46053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904.36</v>
      </c>
    </row>
    <row r="360" spans="1:16" ht="19.5" customHeight="1">
      <c r="A360" s="171" t="s">
        <v>1083</v>
      </c>
      <c r="B360" s="175">
        <v>46056</v>
      </c>
      <c r="C360" s="171" t="s">
        <v>127</v>
      </c>
      <c r="D360" s="171" t="s">
        <v>129</v>
      </c>
      <c r="E360" s="171" t="s">
        <v>42</v>
      </c>
      <c r="F360" s="171" t="s">
        <v>248</v>
      </c>
      <c r="G360" s="171" t="s">
        <v>112</v>
      </c>
      <c r="H360" s="176">
        <v>1</v>
      </c>
      <c r="I360" s="177">
        <v>1800</v>
      </c>
      <c r="J360" s="175">
        <v>46053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9.0399999999999991</v>
      </c>
    </row>
    <row r="361" spans="1:16" ht="19.5" customHeight="1">
      <c r="A361" s="171" t="s">
        <v>1083</v>
      </c>
      <c r="B361" s="175">
        <v>46056</v>
      </c>
      <c r="C361" s="171" t="s">
        <v>127</v>
      </c>
      <c r="D361" s="171" t="s">
        <v>130</v>
      </c>
      <c r="E361" s="171" t="s">
        <v>42</v>
      </c>
      <c r="F361" s="171" t="s">
        <v>248</v>
      </c>
      <c r="G361" s="171" t="s">
        <v>112</v>
      </c>
      <c r="H361" s="176">
        <v>1</v>
      </c>
      <c r="I361" s="177">
        <v>1800</v>
      </c>
      <c r="J361" s="175">
        <v>46053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886.6</v>
      </c>
    </row>
    <row r="362" spans="1:16" ht="19.5" customHeight="1">
      <c r="A362" s="171" t="s">
        <v>1083</v>
      </c>
      <c r="B362" s="175">
        <v>46056</v>
      </c>
      <c r="C362" s="171" t="s">
        <v>131</v>
      </c>
      <c r="D362" s="171" t="s">
        <v>132</v>
      </c>
      <c r="E362" s="171" t="s">
        <v>42</v>
      </c>
      <c r="F362" s="171" t="s">
        <v>248</v>
      </c>
      <c r="G362" s="171" t="s">
        <v>112</v>
      </c>
      <c r="H362" s="176">
        <v>1</v>
      </c>
      <c r="I362" s="177">
        <v>1800</v>
      </c>
      <c r="J362" s="175">
        <v>46053</v>
      </c>
      <c r="K362" s="171" t="s">
        <v>113</v>
      </c>
      <c r="L362" s="171" t="s">
        <v>114</v>
      </c>
      <c r="M362" s="178">
        <v>0.43</v>
      </c>
      <c r="N362" s="176"/>
      <c r="O362" s="176"/>
      <c r="P362" s="179">
        <v>-774</v>
      </c>
    </row>
    <row r="363" spans="1:16" ht="19.5" customHeight="1">
      <c r="A363" s="171" t="s">
        <v>1083</v>
      </c>
      <c r="B363" s="175">
        <v>46056</v>
      </c>
      <c r="C363" s="171" t="s">
        <v>115</v>
      </c>
      <c r="D363" s="171" t="s">
        <v>116</v>
      </c>
      <c r="E363" s="171" t="s">
        <v>42</v>
      </c>
      <c r="F363" s="171" t="s">
        <v>248</v>
      </c>
      <c r="G363" s="171" t="s">
        <v>112</v>
      </c>
      <c r="H363" s="176">
        <v>1</v>
      </c>
      <c r="I363" s="177">
        <v>1800</v>
      </c>
      <c r="J363" s="175">
        <v>46053</v>
      </c>
      <c r="K363" s="171" t="s">
        <v>113</v>
      </c>
      <c r="L363" s="171" t="s">
        <v>114</v>
      </c>
      <c r="M363" s="178">
        <v>0.43</v>
      </c>
      <c r="N363" s="176"/>
      <c r="O363" s="176"/>
      <c r="P363" s="179">
        <v>-9.41</v>
      </c>
    </row>
    <row r="364" spans="1:16" ht="19.5" customHeight="1">
      <c r="A364" s="171" t="s">
        <v>1084</v>
      </c>
      <c r="B364" s="175">
        <v>46056</v>
      </c>
      <c r="C364" s="171" t="s">
        <v>110</v>
      </c>
      <c r="D364" s="171" t="s">
        <v>24</v>
      </c>
      <c r="E364" s="171" t="s">
        <v>61</v>
      </c>
      <c r="F364" s="171" t="s">
        <v>777</v>
      </c>
      <c r="G364" s="171" t="s">
        <v>177</v>
      </c>
      <c r="H364" s="176">
        <v>1</v>
      </c>
      <c r="I364" s="177">
        <v>0</v>
      </c>
      <c r="J364" s="175">
        <v>46047</v>
      </c>
      <c r="K364" s="171" t="s">
        <v>113</v>
      </c>
      <c r="L364" s="171" t="s">
        <v>114</v>
      </c>
      <c r="M364" s="178">
        <v>0</v>
      </c>
      <c r="N364" s="176"/>
      <c r="O364" s="176">
        <v>52</v>
      </c>
      <c r="P364" s="179">
        <v>-56.94</v>
      </c>
    </row>
    <row r="365" spans="1:16" ht="19.5" customHeight="1">
      <c r="A365" s="171" t="s">
        <v>1084</v>
      </c>
      <c r="B365" s="175">
        <v>46056</v>
      </c>
      <c r="C365" s="171" t="s">
        <v>115</v>
      </c>
      <c r="D365" s="171" t="s">
        <v>116</v>
      </c>
      <c r="E365" s="171" t="s">
        <v>61</v>
      </c>
      <c r="F365" s="171" t="s">
        <v>777</v>
      </c>
      <c r="G365" s="171" t="s">
        <v>177</v>
      </c>
      <c r="H365" s="176">
        <v>1</v>
      </c>
      <c r="I365" s="177">
        <v>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-25</v>
      </c>
    </row>
    <row r="366" spans="1:16" ht="19.5" customHeight="1">
      <c r="A366" s="171" t="s">
        <v>1084</v>
      </c>
      <c r="B366" s="175">
        <v>46056</v>
      </c>
      <c r="C366" s="171" t="s">
        <v>110</v>
      </c>
      <c r="D366" s="171" t="s">
        <v>117</v>
      </c>
      <c r="E366" s="171" t="s">
        <v>61</v>
      </c>
      <c r="F366" s="171" t="s">
        <v>777</v>
      </c>
      <c r="G366" s="171" t="s">
        <v>177</v>
      </c>
      <c r="H366" s="176">
        <v>1</v>
      </c>
      <c r="I366" s="177">
        <v>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1084</v>
      </c>
      <c r="B367" s="175">
        <v>46056</v>
      </c>
      <c r="C367" s="171" t="s">
        <v>110</v>
      </c>
      <c r="D367" s="171" t="s">
        <v>118</v>
      </c>
      <c r="E367" s="171" t="s">
        <v>61</v>
      </c>
      <c r="F367" s="171" t="s">
        <v>777</v>
      </c>
      <c r="G367" s="171" t="s">
        <v>177</v>
      </c>
      <c r="H367" s="176">
        <v>1</v>
      </c>
      <c r="I367" s="177">
        <v>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-56.94</v>
      </c>
    </row>
    <row r="368" spans="1:16" ht="19.5" customHeight="1">
      <c r="A368" s="171" t="s">
        <v>1084</v>
      </c>
      <c r="B368" s="175">
        <v>46056</v>
      </c>
      <c r="C368" s="171" t="s">
        <v>115</v>
      </c>
      <c r="D368" s="171" t="s">
        <v>119</v>
      </c>
      <c r="E368" s="171" t="s">
        <v>61</v>
      </c>
      <c r="F368" s="171" t="s">
        <v>777</v>
      </c>
      <c r="G368" s="171" t="s">
        <v>177</v>
      </c>
      <c r="H368" s="176">
        <v>1</v>
      </c>
      <c r="I368" s="177">
        <v>0</v>
      </c>
      <c r="J368" s="175">
        <v>46047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-15</v>
      </c>
    </row>
    <row r="369" spans="1:16" ht="19.5" customHeight="1">
      <c r="A369" s="171" t="s">
        <v>1083</v>
      </c>
      <c r="B369" s="175">
        <v>46056</v>
      </c>
      <c r="C369" s="171" t="s">
        <v>115</v>
      </c>
      <c r="D369" s="171" t="s">
        <v>135</v>
      </c>
      <c r="E369" s="171" t="s">
        <v>42</v>
      </c>
      <c r="F369" s="171" t="s">
        <v>248</v>
      </c>
      <c r="G369" s="171" t="s">
        <v>112</v>
      </c>
      <c r="H369" s="176">
        <v>1</v>
      </c>
      <c r="I369" s="177">
        <v>0</v>
      </c>
      <c r="J369" s="175">
        <v>46053</v>
      </c>
      <c r="K369" s="171" t="s">
        <v>125</v>
      </c>
      <c r="L369" s="171" t="s">
        <v>125</v>
      </c>
      <c r="M369" s="178">
        <v>0</v>
      </c>
      <c r="N369" s="176"/>
      <c r="O369" s="176"/>
      <c r="P369" s="179">
        <v>-17.18</v>
      </c>
    </row>
    <row r="370" spans="1:16" ht="19.5" customHeight="1">
      <c r="A370" s="171" t="s">
        <v>1085</v>
      </c>
      <c r="B370" s="175">
        <v>46056</v>
      </c>
      <c r="C370" s="171" t="s">
        <v>110</v>
      </c>
      <c r="D370" s="171" t="s">
        <v>24</v>
      </c>
      <c r="E370" s="171" t="s">
        <v>70</v>
      </c>
      <c r="F370" s="171" t="s">
        <v>509</v>
      </c>
      <c r="G370" s="171" t="s">
        <v>177</v>
      </c>
      <c r="H370" s="176">
        <v>1</v>
      </c>
      <c r="I370" s="177">
        <v>4506</v>
      </c>
      <c r="J370" s="175">
        <v>46049</v>
      </c>
      <c r="K370" s="171" t="s">
        <v>113</v>
      </c>
      <c r="L370" s="171" t="s">
        <v>114</v>
      </c>
      <c r="M370" s="178">
        <v>0.43</v>
      </c>
      <c r="N370" s="176"/>
      <c r="O370" s="176">
        <v>51</v>
      </c>
      <c r="P370" s="179">
        <v>-274.26</v>
      </c>
    </row>
    <row r="371" spans="1:16" ht="19.5" customHeight="1">
      <c r="A371" s="171" t="s">
        <v>1085</v>
      </c>
      <c r="B371" s="175">
        <v>46056</v>
      </c>
      <c r="C371" s="171" t="s">
        <v>127</v>
      </c>
      <c r="D371" s="171" t="s">
        <v>128</v>
      </c>
      <c r="E371" s="171" t="s">
        <v>70</v>
      </c>
      <c r="F371" s="171" t="s">
        <v>509</v>
      </c>
      <c r="G371" s="171" t="s">
        <v>177</v>
      </c>
      <c r="H371" s="176">
        <v>1</v>
      </c>
      <c r="I371" s="177">
        <v>4506</v>
      </c>
      <c r="J371" s="175">
        <v>46049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2552.2800000000002</v>
      </c>
    </row>
    <row r="372" spans="1:16" ht="19.5" customHeight="1">
      <c r="A372" s="171" t="s">
        <v>1085</v>
      </c>
      <c r="B372" s="175">
        <v>46056</v>
      </c>
      <c r="C372" s="171" t="s">
        <v>127</v>
      </c>
      <c r="D372" s="171" t="s">
        <v>129</v>
      </c>
      <c r="E372" s="171" t="s">
        <v>70</v>
      </c>
      <c r="F372" s="171" t="s">
        <v>509</v>
      </c>
      <c r="G372" s="171" t="s">
        <v>177</v>
      </c>
      <c r="H372" s="176">
        <v>1</v>
      </c>
      <c r="I372" s="177">
        <v>4506</v>
      </c>
      <c r="J372" s="175">
        <v>46049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25.52</v>
      </c>
    </row>
    <row r="373" spans="1:16" ht="19.5" customHeight="1">
      <c r="A373" s="171" t="s">
        <v>1085</v>
      </c>
      <c r="B373" s="175">
        <v>46056</v>
      </c>
      <c r="C373" s="171" t="s">
        <v>127</v>
      </c>
      <c r="D373" s="171" t="s">
        <v>130</v>
      </c>
      <c r="E373" s="171" t="s">
        <v>70</v>
      </c>
      <c r="F373" s="171" t="s">
        <v>509</v>
      </c>
      <c r="G373" s="171" t="s">
        <v>177</v>
      </c>
      <c r="H373" s="176">
        <v>1</v>
      </c>
      <c r="I373" s="177">
        <v>4506</v>
      </c>
      <c r="J373" s="175">
        <v>46049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1928.2</v>
      </c>
    </row>
    <row r="374" spans="1:16" ht="19.5" customHeight="1">
      <c r="A374" s="171" t="s">
        <v>1085</v>
      </c>
      <c r="B374" s="175">
        <v>46056</v>
      </c>
      <c r="C374" s="171" t="s">
        <v>131</v>
      </c>
      <c r="D374" s="171" t="s">
        <v>132</v>
      </c>
      <c r="E374" s="171" t="s">
        <v>70</v>
      </c>
      <c r="F374" s="171" t="s">
        <v>509</v>
      </c>
      <c r="G374" s="171" t="s">
        <v>177</v>
      </c>
      <c r="H374" s="176">
        <v>1</v>
      </c>
      <c r="I374" s="177">
        <v>4506</v>
      </c>
      <c r="J374" s="175">
        <v>46049</v>
      </c>
      <c r="K374" s="171" t="s">
        <v>113</v>
      </c>
      <c r="L374" s="171" t="s">
        <v>114</v>
      </c>
      <c r="M374" s="178">
        <v>0.43</v>
      </c>
      <c r="N374" s="176"/>
      <c r="O374" s="176"/>
      <c r="P374" s="179">
        <v>-1937.58</v>
      </c>
    </row>
    <row r="375" spans="1:16" ht="19.5" customHeight="1">
      <c r="A375" s="171" t="s">
        <v>1085</v>
      </c>
      <c r="B375" s="175">
        <v>46056</v>
      </c>
      <c r="C375" s="171" t="s">
        <v>115</v>
      </c>
      <c r="D375" s="171" t="s">
        <v>116</v>
      </c>
      <c r="E375" s="171" t="s">
        <v>70</v>
      </c>
      <c r="F375" s="171" t="s">
        <v>509</v>
      </c>
      <c r="G375" s="171" t="s">
        <v>177</v>
      </c>
      <c r="H375" s="176">
        <v>1</v>
      </c>
      <c r="I375" s="177">
        <v>4506</v>
      </c>
      <c r="J375" s="175">
        <v>46049</v>
      </c>
      <c r="K375" s="171" t="s">
        <v>113</v>
      </c>
      <c r="L375" s="171" t="s">
        <v>114</v>
      </c>
      <c r="M375" s="178">
        <v>0.43</v>
      </c>
      <c r="N375" s="176"/>
      <c r="O375" s="176"/>
      <c r="P375" s="179">
        <v>-11.87</v>
      </c>
    </row>
    <row r="376" spans="1:16" ht="19.5" customHeight="1">
      <c r="A376" s="171" t="s">
        <v>1086</v>
      </c>
      <c r="B376" s="175">
        <v>46056</v>
      </c>
      <c r="C376" s="171" t="s">
        <v>115</v>
      </c>
      <c r="D376" s="171" t="s">
        <v>135</v>
      </c>
      <c r="E376" s="171" t="s">
        <v>70</v>
      </c>
      <c r="F376" s="171" t="s">
        <v>509</v>
      </c>
      <c r="G376" s="171" t="s">
        <v>177</v>
      </c>
      <c r="H376" s="176">
        <v>1</v>
      </c>
      <c r="I376" s="177">
        <v>0</v>
      </c>
      <c r="J376" s="175">
        <v>46056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-33.799999999999997</v>
      </c>
    </row>
    <row r="377" spans="1:16" ht="19.5" customHeight="1">
      <c r="A377" s="171" t="s">
        <v>1085</v>
      </c>
      <c r="B377" s="175">
        <v>46056</v>
      </c>
      <c r="C377" s="171" t="s">
        <v>115</v>
      </c>
      <c r="D377" s="171" t="s">
        <v>135</v>
      </c>
      <c r="E377" s="171" t="s">
        <v>70</v>
      </c>
      <c r="F377" s="171" t="s">
        <v>509</v>
      </c>
      <c r="G377" s="171" t="s">
        <v>177</v>
      </c>
      <c r="H377" s="176">
        <v>1</v>
      </c>
      <c r="I377" s="177">
        <v>0</v>
      </c>
      <c r="J377" s="175">
        <v>46049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-48.49</v>
      </c>
    </row>
    <row r="378" spans="1:16" ht="19.5" customHeight="1">
      <c r="A378" s="171" t="s">
        <v>1087</v>
      </c>
      <c r="B378" s="175">
        <v>46056</v>
      </c>
      <c r="C378" s="171" t="s">
        <v>115</v>
      </c>
      <c r="D378" s="171" t="s">
        <v>135</v>
      </c>
      <c r="E378" s="171" t="s">
        <v>77</v>
      </c>
      <c r="F378" s="171" t="s">
        <v>194</v>
      </c>
      <c r="G378" s="171" t="s">
        <v>177</v>
      </c>
      <c r="H378" s="176">
        <v>1</v>
      </c>
      <c r="I378" s="177">
        <v>0</v>
      </c>
      <c r="J378" s="175">
        <v>46056</v>
      </c>
      <c r="K378" s="171" t="s">
        <v>125</v>
      </c>
      <c r="L378" s="171" t="s">
        <v>125</v>
      </c>
      <c r="M378" s="178">
        <v>0</v>
      </c>
      <c r="N378" s="176"/>
      <c r="O378" s="176"/>
      <c r="P378" s="179">
        <v>-35.82</v>
      </c>
    </row>
    <row r="379" spans="1:16" ht="19.5" customHeight="1">
      <c r="A379" s="171" t="s">
        <v>1088</v>
      </c>
      <c r="B379" s="175">
        <v>46056</v>
      </c>
      <c r="C379" s="171" t="s">
        <v>110</v>
      </c>
      <c r="D379" s="171" t="s">
        <v>24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46046</v>
      </c>
      <c r="K379" s="171" t="s">
        <v>113</v>
      </c>
      <c r="L379" s="171" t="s">
        <v>114</v>
      </c>
      <c r="M379" s="178">
        <v>0</v>
      </c>
      <c r="N379" s="176"/>
      <c r="O379" s="176">
        <v>50</v>
      </c>
      <c r="P379" s="179">
        <v>-46.77</v>
      </c>
    </row>
    <row r="380" spans="1:16" ht="19.5" customHeight="1">
      <c r="A380" s="171" t="s">
        <v>1088</v>
      </c>
      <c r="B380" s="175">
        <v>46056</v>
      </c>
      <c r="C380" s="171" t="s">
        <v>115</v>
      </c>
      <c r="D380" s="171" t="s">
        <v>116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46046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-8.9600000000000009</v>
      </c>
    </row>
    <row r="381" spans="1:16" ht="19.5" customHeight="1">
      <c r="A381" s="171" t="s">
        <v>1088</v>
      </c>
      <c r="B381" s="175">
        <v>46056</v>
      </c>
      <c r="C381" s="171" t="s">
        <v>110</v>
      </c>
      <c r="D381" s="171" t="s">
        <v>117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46046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1088</v>
      </c>
      <c r="B382" s="175">
        <v>46056</v>
      </c>
      <c r="C382" s="171" t="s">
        <v>110</v>
      </c>
      <c r="D382" s="171" t="s">
        <v>118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46046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1088</v>
      </c>
      <c r="B383" s="175">
        <v>46056</v>
      </c>
      <c r="C383" s="171" t="s">
        <v>115</v>
      </c>
      <c r="D383" s="171" t="s">
        <v>119</v>
      </c>
      <c r="E383" s="171" t="s">
        <v>38</v>
      </c>
      <c r="F383" s="171" t="s">
        <v>111</v>
      </c>
      <c r="G383" s="171" t="s">
        <v>112</v>
      </c>
      <c r="H383" s="176">
        <v>1</v>
      </c>
      <c r="I383" s="177">
        <v>0</v>
      </c>
      <c r="J383" s="175">
        <v>46046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565</v>
      </c>
      <c r="B384" s="175">
        <v>46056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46056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-296.7</v>
      </c>
    </row>
    <row r="385" spans="1:16" ht="19.5" customHeight="1">
      <c r="A385" s="171" t="s">
        <v>180</v>
      </c>
      <c r="B385" s="175">
        <v>46056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46056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-358.2</v>
      </c>
    </row>
    <row r="386" spans="1:16" ht="19.5" customHeight="1">
      <c r="A386" s="171" t="s">
        <v>150</v>
      </c>
      <c r="B386" s="175">
        <v>46056</v>
      </c>
      <c r="C386" s="171" t="s">
        <v>151</v>
      </c>
      <c r="D386" s="171" t="s">
        <v>152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46056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-1332.28</v>
      </c>
    </row>
    <row r="387" spans="1:16" ht="19.5" customHeight="1">
      <c r="A387" s="171" t="s">
        <v>155</v>
      </c>
      <c r="B387" s="175">
        <v>46056</v>
      </c>
      <c r="C387" s="171" t="s">
        <v>151</v>
      </c>
      <c r="D387" s="171" t="s">
        <v>156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46056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-7923.46</v>
      </c>
    </row>
    <row r="388" spans="1:16" ht="19.5" customHeight="1">
      <c r="A388" s="171" t="s">
        <v>1089</v>
      </c>
      <c r="B388" s="175">
        <v>46057</v>
      </c>
      <c r="C388" s="171" t="s">
        <v>115</v>
      </c>
      <c r="D388" s="171" t="s">
        <v>135</v>
      </c>
      <c r="E388" s="171" t="s">
        <v>70</v>
      </c>
      <c r="F388" s="171" t="s">
        <v>509</v>
      </c>
      <c r="G388" s="171" t="s">
        <v>177</v>
      </c>
      <c r="H388" s="176">
        <v>1</v>
      </c>
      <c r="I388" s="177">
        <v>0</v>
      </c>
      <c r="J388" s="175">
        <v>46056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-33.799999999999997</v>
      </c>
    </row>
    <row r="389" spans="1:16" ht="19.5" customHeight="1">
      <c r="A389" s="171" t="s">
        <v>1090</v>
      </c>
      <c r="B389" s="175">
        <v>46057</v>
      </c>
      <c r="C389" s="171" t="s">
        <v>110</v>
      </c>
      <c r="D389" s="171" t="s">
        <v>24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0</v>
      </c>
      <c r="J389" s="175">
        <v>46038</v>
      </c>
      <c r="K389" s="171" t="s">
        <v>113</v>
      </c>
      <c r="L389" s="171" t="s">
        <v>114</v>
      </c>
      <c r="M389" s="178">
        <v>0</v>
      </c>
      <c r="N389" s="176"/>
      <c r="O389" s="176">
        <v>48</v>
      </c>
      <c r="P389" s="179">
        <v>-56.94</v>
      </c>
    </row>
    <row r="390" spans="1:16" ht="19.5" customHeight="1">
      <c r="A390" s="171" t="s">
        <v>1090</v>
      </c>
      <c r="B390" s="175">
        <v>46057</v>
      </c>
      <c r="C390" s="171" t="s">
        <v>115</v>
      </c>
      <c r="D390" s="171" t="s">
        <v>116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0</v>
      </c>
      <c r="J390" s="175">
        <v>46038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-12.93</v>
      </c>
    </row>
    <row r="391" spans="1:16" ht="19.5" customHeight="1">
      <c r="A391" s="171" t="s">
        <v>1090</v>
      </c>
      <c r="B391" s="175">
        <v>46057</v>
      </c>
      <c r="C391" s="171" t="s">
        <v>110</v>
      </c>
      <c r="D391" s="171" t="s">
        <v>117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0</v>
      </c>
      <c r="J391" s="175">
        <v>46038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1090</v>
      </c>
      <c r="B392" s="175">
        <v>46057</v>
      </c>
      <c r="C392" s="171" t="s">
        <v>110</v>
      </c>
      <c r="D392" s="171" t="s">
        <v>118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46038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-56.94</v>
      </c>
    </row>
    <row r="393" spans="1:16" ht="19.5" customHeight="1">
      <c r="A393" s="171" t="s">
        <v>1089</v>
      </c>
      <c r="B393" s="175">
        <v>46057</v>
      </c>
      <c r="C393" s="171" t="s">
        <v>115</v>
      </c>
      <c r="D393" s="171" t="s">
        <v>135</v>
      </c>
      <c r="E393" s="171" t="s">
        <v>70</v>
      </c>
      <c r="F393" s="171" t="s">
        <v>509</v>
      </c>
      <c r="G393" s="171" t="s">
        <v>177</v>
      </c>
      <c r="H393" s="176">
        <v>1</v>
      </c>
      <c r="I393" s="177">
        <v>0</v>
      </c>
      <c r="J393" s="175">
        <v>46056</v>
      </c>
      <c r="K393" s="171" t="s">
        <v>125</v>
      </c>
      <c r="L393" s="171" t="s">
        <v>125</v>
      </c>
      <c r="M393" s="178">
        <v>0</v>
      </c>
      <c r="N393" s="176"/>
      <c r="O393" s="176"/>
      <c r="P393" s="179">
        <v>33.799999999999997</v>
      </c>
    </row>
    <row r="394" spans="1:16" ht="19.5" customHeight="1">
      <c r="A394" s="171" t="s">
        <v>1091</v>
      </c>
      <c r="B394" s="175">
        <v>46057</v>
      </c>
      <c r="C394" s="171" t="s">
        <v>115</v>
      </c>
      <c r="D394" s="171" t="s">
        <v>135</v>
      </c>
      <c r="E394" s="171" t="s">
        <v>70</v>
      </c>
      <c r="F394" s="171" t="s">
        <v>509</v>
      </c>
      <c r="G394" s="171" t="s">
        <v>177</v>
      </c>
      <c r="H394" s="176">
        <v>1</v>
      </c>
      <c r="I394" s="177">
        <v>0</v>
      </c>
      <c r="J394" s="175">
        <v>46057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-32.17</v>
      </c>
    </row>
    <row r="395" spans="1:16" ht="19.5" customHeight="1">
      <c r="A395" s="171" t="s">
        <v>1092</v>
      </c>
      <c r="B395" s="175">
        <v>46057</v>
      </c>
      <c r="C395" s="171" t="s">
        <v>115</v>
      </c>
      <c r="D395" s="171" t="s">
        <v>135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46057</v>
      </c>
      <c r="K395" s="171" t="s">
        <v>125</v>
      </c>
      <c r="L395" s="171" t="s">
        <v>125</v>
      </c>
      <c r="M395" s="178">
        <v>0</v>
      </c>
      <c r="N395" s="176"/>
      <c r="O395" s="176"/>
      <c r="P395" s="179">
        <v>-8.34</v>
      </c>
    </row>
    <row r="396" spans="1:16" ht="19.5" customHeight="1">
      <c r="A396" s="171" t="s">
        <v>1093</v>
      </c>
      <c r="B396" s="175">
        <v>46057</v>
      </c>
      <c r="C396" s="171" t="s">
        <v>115</v>
      </c>
      <c r="D396" s="171" t="s">
        <v>135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46057</v>
      </c>
      <c r="K396" s="171" t="s">
        <v>125</v>
      </c>
      <c r="L396" s="171" t="s">
        <v>125</v>
      </c>
      <c r="M396" s="178">
        <v>0</v>
      </c>
      <c r="N396" s="176"/>
      <c r="O396" s="176"/>
      <c r="P396" s="179">
        <v>-16.489999999999998</v>
      </c>
    </row>
    <row r="397" spans="1:16" ht="19.5" customHeight="1">
      <c r="A397" s="171" t="s">
        <v>1094</v>
      </c>
      <c r="B397" s="175">
        <v>46057</v>
      </c>
      <c r="C397" s="171" t="s">
        <v>110</v>
      </c>
      <c r="D397" s="171" t="s">
        <v>117</v>
      </c>
      <c r="E397" s="171" t="s">
        <v>79</v>
      </c>
      <c r="F397" s="171" t="s">
        <v>441</v>
      </c>
      <c r="G397" s="171" t="s">
        <v>177</v>
      </c>
      <c r="H397" s="176">
        <v>1</v>
      </c>
      <c r="I397" s="177">
        <v>0</v>
      </c>
      <c r="J397" s="175">
        <v>46047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0</v>
      </c>
    </row>
    <row r="398" spans="1:16" ht="19.5" customHeight="1">
      <c r="A398" s="171" t="s">
        <v>1094</v>
      </c>
      <c r="B398" s="175">
        <v>46057</v>
      </c>
      <c r="C398" s="171" t="s">
        <v>110</v>
      </c>
      <c r="D398" s="171" t="s">
        <v>118</v>
      </c>
      <c r="E398" s="171" t="s">
        <v>79</v>
      </c>
      <c r="F398" s="171" t="s">
        <v>441</v>
      </c>
      <c r="G398" s="171" t="s">
        <v>177</v>
      </c>
      <c r="H398" s="176">
        <v>1</v>
      </c>
      <c r="I398" s="177">
        <v>0</v>
      </c>
      <c r="J398" s="175">
        <v>46047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-56.94</v>
      </c>
    </row>
    <row r="399" spans="1:16" ht="19.5" customHeight="1">
      <c r="A399" s="171" t="s">
        <v>1094</v>
      </c>
      <c r="B399" s="175">
        <v>46057</v>
      </c>
      <c r="C399" s="171" t="s">
        <v>115</v>
      </c>
      <c r="D399" s="171" t="s">
        <v>119</v>
      </c>
      <c r="E399" s="171" t="s">
        <v>79</v>
      </c>
      <c r="F399" s="171" t="s">
        <v>441</v>
      </c>
      <c r="G399" s="171" t="s">
        <v>177</v>
      </c>
      <c r="H399" s="176">
        <v>1</v>
      </c>
      <c r="I399" s="177">
        <v>0</v>
      </c>
      <c r="J399" s="175">
        <v>46047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-15</v>
      </c>
    </row>
    <row r="400" spans="1:16" ht="19.5" customHeight="1">
      <c r="A400" s="171" t="s">
        <v>1094</v>
      </c>
      <c r="B400" s="175">
        <v>46057</v>
      </c>
      <c r="C400" s="171" t="s">
        <v>110</v>
      </c>
      <c r="D400" s="171" t="s">
        <v>24</v>
      </c>
      <c r="E400" s="171" t="s">
        <v>79</v>
      </c>
      <c r="F400" s="171" t="s">
        <v>441</v>
      </c>
      <c r="G400" s="171" t="s">
        <v>177</v>
      </c>
      <c r="H400" s="176">
        <v>1</v>
      </c>
      <c r="I400" s="177">
        <v>0</v>
      </c>
      <c r="J400" s="175">
        <v>46047</v>
      </c>
      <c r="K400" s="171" t="s">
        <v>113</v>
      </c>
      <c r="L400" s="171" t="s">
        <v>114</v>
      </c>
      <c r="M400" s="178">
        <v>0</v>
      </c>
      <c r="N400" s="176"/>
      <c r="O400" s="176">
        <v>52</v>
      </c>
      <c r="P400" s="179">
        <v>-56.94</v>
      </c>
    </row>
    <row r="401" spans="1:16" ht="19.5" customHeight="1">
      <c r="A401" s="171" t="s">
        <v>1094</v>
      </c>
      <c r="B401" s="175">
        <v>46057</v>
      </c>
      <c r="C401" s="171" t="s">
        <v>115</v>
      </c>
      <c r="D401" s="171" t="s">
        <v>116</v>
      </c>
      <c r="E401" s="171" t="s">
        <v>79</v>
      </c>
      <c r="F401" s="171" t="s">
        <v>441</v>
      </c>
      <c r="G401" s="171" t="s">
        <v>177</v>
      </c>
      <c r="H401" s="176">
        <v>1</v>
      </c>
      <c r="I401" s="177">
        <v>0</v>
      </c>
      <c r="J401" s="175">
        <v>46047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-13.85</v>
      </c>
    </row>
    <row r="402" spans="1:16" ht="19.5" customHeight="1">
      <c r="A402" s="171" t="s">
        <v>1095</v>
      </c>
      <c r="B402" s="175">
        <v>46057</v>
      </c>
      <c r="C402" s="171" t="s">
        <v>115</v>
      </c>
      <c r="D402" s="171" t="s">
        <v>726</v>
      </c>
      <c r="E402" s="171" t="s">
        <v>44</v>
      </c>
      <c r="F402" s="171" t="s">
        <v>213</v>
      </c>
      <c r="G402" s="171" t="s">
        <v>214</v>
      </c>
      <c r="H402" s="176">
        <v>1</v>
      </c>
      <c r="I402" s="177">
        <v>0</v>
      </c>
      <c r="J402" s="175">
        <v>46057</v>
      </c>
      <c r="K402" s="171" t="s">
        <v>125</v>
      </c>
      <c r="L402" s="171" t="s">
        <v>125</v>
      </c>
      <c r="M402" s="178">
        <v>0</v>
      </c>
      <c r="N402" s="176"/>
      <c r="O402" s="176"/>
      <c r="P402" s="179">
        <v>-72</v>
      </c>
    </row>
    <row r="403" spans="1:16" ht="19.5" customHeight="1">
      <c r="A403" s="171" t="s">
        <v>1096</v>
      </c>
      <c r="B403" s="175">
        <v>46057</v>
      </c>
      <c r="C403" s="171" t="s">
        <v>115</v>
      </c>
      <c r="D403" s="171" t="s">
        <v>726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46057</v>
      </c>
      <c r="K403" s="171" t="s">
        <v>125</v>
      </c>
      <c r="L403" s="171" t="s">
        <v>125</v>
      </c>
      <c r="M403" s="178">
        <v>0</v>
      </c>
      <c r="N403" s="176"/>
      <c r="O403" s="176"/>
      <c r="P403" s="179">
        <v>-24</v>
      </c>
    </row>
    <row r="404" spans="1:16" ht="19.5" customHeight="1">
      <c r="A404" s="171" t="s">
        <v>1097</v>
      </c>
      <c r="B404" s="175">
        <v>46057</v>
      </c>
      <c r="C404" s="171" t="s">
        <v>115</v>
      </c>
      <c r="D404" s="171" t="s">
        <v>135</v>
      </c>
      <c r="E404" s="171" t="s">
        <v>42</v>
      </c>
      <c r="F404" s="171" t="s">
        <v>248</v>
      </c>
      <c r="G404" s="171" t="s">
        <v>112</v>
      </c>
      <c r="H404" s="176">
        <v>1</v>
      </c>
      <c r="I404" s="177">
        <v>0</v>
      </c>
      <c r="J404" s="175">
        <v>46057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-8.81</v>
      </c>
    </row>
    <row r="405" spans="1:16" ht="19.5" customHeight="1">
      <c r="A405" s="171" t="s">
        <v>1098</v>
      </c>
      <c r="B405" s="175">
        <v>46057</v>
      </c>
      <c r="C405" s="171" t="s">
        <v>110</v>
      </c>
      <c r="D405" s="171" t="s">
        <v>24</v>
      </c>
      <c r="E405" s="171" t="s">
        <v>44</v>
      </c>
      <c r="F405" s="171" t="s">
        <v>213</v>
      </c>
      <c r="G405" s="171" t="s">
        <v>214</v>
      </c>
      <c r="H405" s="176">
        <v>1</v>
      </c>
      <c r="I405" s="177">
        <v>1815</v>
      </c>
      <c r="J405" s="175">
        <v>46053</v>
      </c>
      <c r="K405" s="171" t="s">
        <v>113</v>
      </c>
      <c r="L405" s="171" t="s">
        <v>114</v>
      </c>
      <c r="M405" s="178">
        <v>0.43</v>
      </c>
      <c r="N405" s="176"/>
      <c r="O405" s="176">
        <v>48</v>
      </c>
      <c r="P405" s="179">
        <v>-147.16</v>
      </c>
    </row>
    <row r="406" spans="1:16" ht="19.5" customHeight="1">
      <c r="A406" s="171" t="s">
        <v>1098</v>
      </c>
      <c r="B406" s="175">
        <v>46057</v>
      </c>
      <c r="C406" s="171" t="s">
        <v>127</v>
      </c>
      <c r="D406" s="171" t="s">
        <v>128</v>
      </c>
      <c r="E406" s="171" t="s">
        <v>44</v>
      </c>
      <c r="F406" s="171" t="s">
        <v>213</v>
      </c>
      <c r="G406" s="171" t="s">
        <v>214</v>
      </c>
      <c r="H406" s="176">
        <v>1</v>
      </c>
      <c r="I406" s="177">
        <v>1815</v>
      </c>
      <c r="J406" s="175">
        <v>46053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762.86</v>
      </c>
    </row>
    <row r="407" spans="1:16" ht="19.5" customHeight="1">
      <c r="A407" s="171" t="s">
        <v>1098</v>
      </c>
      <c r="B407" s="175">
        <v>46057</v>
      </c>
      <c r="C407" s="171" t="s">
        <v>127</v>
      </c>
      <c r="D407" s="171" t="s">
        <v>129</v>
      </c>
      <c r="E407" s="171" t="s">
        <v>44</v>
      </c>
      <c r="F407" s="171" t="s">
        <v>213</v>
      </c>
      <c r="G407" s="171" t="s">
        <v>214</v>
      </c>
      <c r="H407" s="176">
        <v>1</v>
      </c>
      <c r="I407" s="177">
        <v>1815</v>
      </c>
      <c r="J407" s="175">
        <v>46053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7.63</v>
      </c>
    </row>
    <row r="408" spans="1:16" ht="19.5" customHeight="1">
      <c r="A408" s="171" t="s">
        <v>1098</v>
      </c>
      <c r="B408" s="175">
        <v>46057</v>
      </c>
      <c r="C408" s="171" t="s">
        <v>127</v>
      </c>
      <c r="D408" s="171" t="s">
        <v>130</v>
      </c>
      <c r="E408" s="171" t="s">
        <v>44</v>
      </c>
      <c r="F408" s="171" t="s">
        <v>213</v>
      </c>
      <c r="G408" s="171" t="s">
        <v>214</v>
      </c>
      <c r="H408" s="176">
        <v>1</v>
      </c>
      <c r="I408" s="177">
        <v>1815</v>
      </c>
      <c r="J408" s="175">
        <v>46053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1044.51</v>
      </c>
    </row>
    <row r="409" spans="1:16" ht="19.5" customHeight="1">
      <c r="A409" s="171" t="s">
        <v>1098</v>
      </c>
      <c r="B409" s="175">
        <v>46057</v>
      </c>
      <c r="C409" s="171" t="s">
        <v>131</v>
      </c>
      <c r="D409" s="171" t="s">
        <v>132</v>
      </c>
      <c r="E409" s="171" t="s">
        <v>44</v>
      </c>
      <c r="F409" s="171" t="s">
        <v>213</v>
      </c>
      <c r="G409" s="171" t="s">
        <v>214</v>
      </c>
      <c r="H409" s="176">
        <v>1</v>
      </c>
      <c r="I409" s="177">
        <v>1815</v>
      </c>
      <c r="J409" s="175">
        <v>46053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-780.45</v>
      </c>
    </row>
    <row r="410" spans="1:16" ht="19.5" customHeight="1">
      <c r="A410" s="171" t="s">
        <v>1098</v>
      </c>
      <c r="B410" s="175">
        <v>46057</v>
      </c>
      <c r="C410" s="171" t="s">
        <v>115</v>
      </c>
      <c r="D410" s="171" t="s">
        <v>116</v>
      </c>
      <c r="E410" s="171" t="s">
        <v>44</v>
      </c>
      <c r="F410" s="171" t="s">
        <v>213</v>
      </c>
      <c r="G410" s="171" t="s">
        <v>214</v>
      </c>
      <c r="H410" s="176">
        <v>1</v>
      </c>
      <c r="I410" s="177">
        <v>1815</v>
      </c>
      <c r="J410" s="175">
        <v>46053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-20.97</v>
      </c>
    </row>
    <row r="411" spans="1:16" ht="19.5" customHeight="1">
      <c r="A411" s="171" t="s">
        <v>1099</v>
      </c>
      <c r="B411" s="175">
        <v>46057</v>
      </c>
      <c r="C411" s="171" t="s">
        <v>115</v>
      </c>
      <c r="D411" s="171" t="s">
        <v>135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0</v>
      </c>
      <c r="J411" s="175">
        <v>46057</v>
      </c>
      <c r="K411" s="171" t="s">
        <v>125</v>
      </c>
      <c r="L411" s="171" t="s">
        <v>125</v>
      </c>
      <c r="M411" s="178">
        <v>0</v>
      </c>
      <c r="N411" s="176"/>
      <c r="O411" s="176"/>
      <c r="P411" s="179">
        <v>-16.52</v>
      </c>
    </row>
    <row r="412" spans="1:16" ht="19.5" customHeight="1">
      <c r="A412" s="171" t="s">
        <v>1100</v>
      </c>
      <c r="B412" s="175">
        <v>46057</v>
      </c>
      <c r="C412" s="171" t="s">
        <v>110</v>
      </c>
      <c r="D412" s="171" t="s">
        <v>24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1800</v>
      </c>
      <c r="J412" s="175">
        <v>46055</v>
      </c>
      <c r="K412" s="171" t="s">
        <v>113</v>
      </c>
      <c r="L412" s="171" t="s">
        <v>114</v>
      </c>
      <c r="M412" s="178">
        <v>0.43</v>
      </c>
      <c r="N412" s="176"/>
      <c r="O412" s="176">
        <v>42</v>
      </c>
      <c r="P412" s="179">
        <v>-124.73</v>
      </c>
    </row>
    <row r="413" spans="1:16" ht="19.5" customHeight="1">
      <c r="A413" s="171" t="s">
        <v>1100</v>
      </c>
      <c r="B413" s="175">
        <v>46057</v>
      </c>
      <c r="C413" s="171" t="s">
        <v>127</v>
      </c>
      <c r="D413" s="171" t="s">
        <v>128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1800</v>
      </c>
      <c r="J413" s="175">
        <v>46055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760</v>
      </c>
    </row>
    <row r="414" spans="1:16" ht="19.5" customHeight="1">
      <c r="A414" s="171" t="s">
        <v>1100</v>
      </c>
      <c r="B414" s="175">
        <v>46057</v>
      </c>
      <c r="C414" s="171" t="s">
        <v>127</v>
      </c>
      <c r="D414" s="171" t="s">
        <v>129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1800</v>
      </c>
      <c r="J414" s="175">
        <v>46055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7.6</v>
      </c>
    </row>
    <row r="415" spans="1:16" ht="19.5" customHeight="1">
      <c r="A415" s="171" t="s">
        <v>1100</v>
      </c>
      <c r="B415" s="175">
        <v>46057</v>
      </c>
      <c r="C415" s="171" t="s">
        <v>127</v>
      </c>
      <c r="D415" s="171" t="s">
        <v>130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1800</v>
      </c>
      <c r="J415" s="175">
        <v>46055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1032.4000000000001</v>
      </c>
    </row>
    <row r="416" spans="1:16" ht="19.5" customHeight="1">
      <c r="A416" s="171" t="s">
        <v>1100</v>
      </c>
      <c r="B416" s="175">
        <v>46057</v>
      </c>
      <c r="C416" s="171" t="s">
        <v>131</v>
      </c>
      <c r="D416" s="171" t="s">
        <v>132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1800</v>
      </c>
      <c r="J416" s="175">
        <v>46055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-774</v>
      </c>
    </row>
    <row r="417" spans="1:16" ht="19.5" customHeight="1">
      <c r="A417" s="171" t="s">
        <v>1100</v>
      </c>
      <c r="B417" s="175">
        <v>46057</v>
      </c>
      <c r="C417" s="171" t="s">
        <v>115</v>
      </c>
      <c r="D417" s="171" t="s">
        <v>116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1800</v>
      </c>
      <c r="J417" s="175">
        <v>46055</v>
      </c>
      <c r="K417" s="171" t="s">
        <v>113</v>
      </c>
      <c r="L417" s="171" t="s">
        <v>114</v>
      </c>
      <c r="M417" s="178">
        <v>0.43</v>
      </c>
      <c r="N417" s="176"/>
      <c r="O417" s="176"/>
      <c r="P417" s="179">
        <v>-10.81</v>
      </c>
    </row>
    <row r="418" spans="1:16" ht="19.5" customHeight="1">
      <c r="A418" s="171" t="s">
        <v>1098</v>
      </c>
      <c r="B418" s="175">
        <v>46057</v>
      </c>
      <c r="C418" s="171" t="s">
        <v>115</v>
      </c>
      <c r="D418" s="171" t="s">
        <v>135</v>
      </c>
      <c r="E418" s="171" t="s">
        <v>44</v>
      </c>
      <c r="F418" s="171" t="s">
        <v>213</v>
      </c>
      <c r="G418" s="171" t="s">
        <v>214</v>
      </c>
      <c r="H418" s="176">
        <v>1</v>
      </c>
      <c r="I418" s="177">
        <v>0</v>
      </c>
      <c r="J418" s="175">
        <v>46053</v>
      </c>
      <c r="K418" s="171" t="s">
        <v>125</v>
      </c>
      <c r="L418" s="171" t="s">
        <v>125</v>
      </c>
      <c r="M418" s="178">
        <v>0</v>
      </c>
      <c r="N418" s="176"/>
      <c r="O418" s="176"/>
      <c r="P418" s="179">
        <v>-14.49</v>
      </c>
    </row>
    <row r="419" spans="1:16" ht="19.5" customHeight="1">
      <c r="A419" s="171" t="s">
        <v>1101</v>
      </c>
      <c r="B419" s="175">
        <v>46057</v>
      </c>
      <c r="C419" s="171" t="s">
        <v>110</v>
      </c>
      <c r="D419" s="171" t="s">
        <v>24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0</v>
      </c>
      <c r="J419" s="175">
        <v>46053</v>
      </c>
      <c r="K419" s="171" t="s">
        <v>113</v>
      </c>
      <c r="L419" s="171" t="s">
        <v>114</v>
      </c>
      <c r="M419" s="178">
        <v>0</v>
      </c>
      <c r="N419" s="176"/>
      <c r="O419" s="176">
        <v>48</v>
      </c>
      <c r="P419" s="179">
        <v>-46.77</v>
      </c>
    </row>
    <row r="420" spans="1:16" ht="19.5" customHeight="1">
      <c r="A420" s="171" t="s">
        <v>1101</v>
      </c>
      <c r="B420" s="175">
        <v>46057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0</v>
      </c>
      <c r="J420" s="175">
        <v>46053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-9.17</v>
      </c>
    </row>
    <row r="421" spans="1:16" ht="19.5" customHeight="1">
      <c r="A421" s="171" t="s">
        <v>974</v>
      </c>
      <c r="B421" s="175">
        <v>46057</v>
      </c>
      <c r="C421" s="171" t="s">
        <v>110</v>
      </c>
      <c r="D421" s="171" t="s">
        <v>121</v>
      </c>
      <c r="E421" s="171" t="s">
        <v>40</v>
      </c>
      <c r="F421" s="171" t="s">
        <v>149</v>
      </c>
      <c r="G421" s="171" t="s">
        <v>112</v>
      </c>
      <c r="H421" s="176">
        <v>1</v>
      </c>
      <c r="I421" s="177">
        <v>0</v>
      </c>
      <c r="J421" s="175">
        <v>46053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0</v>
      </c>
    </row>
    <row r="422" spans="1:16" ht="19.5" customHeight="1">
      <c r="A422" s="171" t="s">
        <v>974</v>
      </c>
      <c r="B422" s="175">
        <v>46057</v>
      </c>
      <c r="C422" s="171" t="s">
        <v>110</v>
      </c>
      <c r="D422" s="171" t="s">
        <v>118</v>
      </c>
      <c r="E422" s="171" t="s">
        <v>40</v>
      </c>
      <c r="F422" s="171" t="s">
        <v>149</v>
      </c>
      <c r="G422" s="171" t="s">
        <v>112</v>
      </c>
      <c r="H422" s="176">
        <v>1</v>
      </c>
      <c r="I422" s="177">
        <v>0</v>
      </c>
      <c r="J422" s="175">
        <v>46053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-46.77</v>
      </c>
    </row>
    <row r="423" spans="1:16" ht="19.5" customHeight="1">
      <c r="A423" s="171" t="s">
        <v>974</v>
      </c>
      <c r="B423" s="175">
        <v>46057</v>
      </c>
      <c r="C423" s="171" t="s">
        <v>115</v>
      </c>
      <c r="D423" s="171" t="s">
        <v>119</v>
      </c>
      <c r="E423" s="171" t="s">
        <v>40</v>
      </c>
      <c r="F423" s="171" t="s">
        <v>149</v>
      </c>
      <c r="G423" s="171" t="s">
        <v>112</v>
      </c>
      <c r="H423" s="176">
        <v>1</v>
      </c>
      <c r="I423" s="177">
        <v>0</v>
      </c>
      <c r="J423" s="175">
        <v>46053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-15</v>
      </c>
    </row>
    <row r="424" spans="1:16" ht="19.5" customHeight="1">
      <c r="A424" s="171" t="s">
        <v>1101</v>
      </c>
      <c r="B424" s="175">
        <v>46057</v>
      </c>
      <c r="C424" s="171" t="s">
        <v>110</v>
      </c>
      <c r="D424" s="171" t="s">
        <v>117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0</v>
      </c>
      <c r="J424" s="175">
        <v>46053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0</v>
      </c>
    </row>
    <row r="425" spans="1:16" ht="19.5" customHeight="1">
      <c r="A425" s="171" t="s">
        <v>1101</v>
      </c>
      <c r="B425" s="175">
        <v>46057</v>
      </c>
      <c r="C425" s="171" t="s">
        <v>110</v>
      </c>
      <c r="D425" s="171" t="s">
        <v>118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46053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-46.77</v>
      </c>
    </row>
    <row r="426" spans="1:16" ht="19.5" customHeight="1">
      <c r="A426" s="171" t="s">
        <v>1101</v>
      </c>
      <c r="B426" s="175">
        <v>46057</v>
      </c>
      <c r="C426" s="171" t="s">
        <v>115</v>
      </c>
      <c r="D426" s="171" t="s">
        <v>119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46053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-15</v>
      </c>
    </row>
    <row r="427" spans="1:16" ht="19.5" customHeight="1">
      <c r="A427" s="171" t="s">
        <v>1102</v>
      </c>
      <c r="B427" s="175">
        <v>46057</v>
      </c>
      <c r="C427" s="171" t="s">
        <v>110</v>
      </c>
      <c r="D427" s="171" t="s">
        <v>24</v>
      </c>
      <c r="E427" s="171" t="s">
        <v>55</v>
      </c>
      <c r="F427" s="171" t="s">
        <v>356</v>
      </c>
      <c r="G427" s="171" t="s">
        <v>357</v>
      </c>
      <c r="H427" s="176">
        <v>1</v>
      </c>
      <c r="I427" s="177">
        <v>3185</v>
      </c>
      <c r="J427" s="175">
        <v>46046</v>
      </c>
      <c r="K427" s="171" t="s">
        <v>113</v>
      </c>
      <c r="L427" s="171" t="s">
        <v>114</v>
      </c>
      <c r="M427" s="178">
        <v>0.43</v>
      </c>
      <c r="N427" s="176"/>
      <c r="O427" s="176">
        <v>50</v>
      </c>
      <c r="P427" s="179">
        <v>-221.24</v>
      </c>
    </row>
    <row r="428" spans="1:16" ht="19.5" customHeight="1">
      <c r="A428" s="171" t="s">
        <v>1102</v>
      </c>
      <c r="B428" s="175">
        <v>46057</v>
      </c>
      <c r="C428" s="171" t="s">
        <v>127</v>
      </c>
      <c r="D428" s="171" t="s">
        <v>128</v>
      </c>
      <c r="E428" s="171" t="s">
        <v>55</v>
      </c>
      <c r="F428" s="171" t="s">
        <v>356</v>
      </c>
      <c r="G428" s="171" t="s">
        <v>357</v>
      </c>
      <c r="H428" s="176">
        <v>1</v>
      </c>
      <c r="I428" s="177">
        <v>3185</v>
      </c>
      <c r="J428" s="175">
        <v>46046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1925.71</v>
      </c>
    </row>
    <row r="429" spans="1:16" ht="19.5" customHeight="1">
      <c r="A429" s="171" t="s">
        <v>1102</v>
      </c>
      <c r="B429" s="175">
        <v>46057</v>
      </c>
      <c r="C429" s="171" t="s">
        <v>127</v>
      </c>
      <c r="D429" s="171" t="s">
        <v>129</v>
      </c>
      <c r="E429" s="171" t="s">
        <v>55</v>
      </c>
      <c r="F429" s="171" t="s">
        <v>356</v>
      </c>
      <c r="G429" s="171" t="s">
        <v>357</v>
      </c>
      <c r="H429" s="176">
        <v>1</v>
      </c>
      <c r="I429" s="177">
        <v>3185</v>
      </c>
      <c r="J429" s="175">
        <v>46046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19.260000000000002</v>
      </c>
    </row>
    <row r="430" spans="1:16" ht="19.5" customHeight="1">
      <c r="A430" s="171" t="s">
        <v>1102</v>
      </c>
      <c r="B430" s="175">
        <v>46057</v>
      </c>
      <c r="C430" s="171" t="s">
        <v>127</v>
      </c>
      <c r="D430" s="171" t="s">
        <v>130</v>
      </c>
      <c r="E430" s="171" t="s">
        <v>55</v>
      </c>
      <c r="F430" s="171" t="s">
        <v>356</v>
      </c>
      <c r="G430" s="171" t="s">
        <v>357</v>
      </c>
      <c r="H430" s="176">
        <v>1</v>
      </c>
      <c r="I430" s="177">
        <v>3185</v>
      </c>
      <c r="J430" s="175">
        <v>46046</v>
      </c>
      <c r="K430" s="171" t="s">
        <v>113</v>
      </c>
      <c r="L430" s="171" t="s">
        <v>114</v>
      </c>
      <c r="M430" s="178">
        <v>0</v>
      </c>
      <c r="N430" s="176"/>
      <c r="O430" s="176"/>
      <c r="P430" s="179">
        <v>1240.03</v>
      </c>
    </row>
    <row r="431" spans="1:16" ht="19.5" customHeight="1">
      <c r="A431" s="171" t="s">
        <v>1102</v>
      </c>
      <c r="B431" s="175">
        <v>46057</v>
      </c>
      <c r="C431" s="171" t="s">
        <v>131</v>
      </c>
      <c r="D431" s="171" t="s">
        <v>132</v>
      </c>
      <c r="E431" s="171" t="s">
        <v>55</v>
      </c>
      <c r="F431" s="171" t="s">
        <v>356</v>
      </c>
      <c r="G431" s="171" t="s">
        <v>357</v>
      </c>
      <c r="H431" s="176">
        <v>1</v>
      </c>
      <c r="I431" s="177">
        <v>3185</v>
      </c>
      <c r="J431" s="175">
        <v>46046</v>
      </c>
      <c r="K431" s="171" t="s">
        <v>113</v>
      </c>
      <c r="L431" s="171" t="s">
        <v>114</v>
      </c>
      <c r="M431" s="178">
        <v>0.43</v>
      </c>
      <c r="N431" s="176"/>
      <c r="O431" s="176"/>
      <c r="P431" s="179">
        <v>-1369.55</v>
      </c>
    </row>
    <row r="432" spans="1:16" ht="19.5" customHeight="1">
      <c r="A432" s="171" t="s">
        <v>1102</v>
      </c>
      <c r="B432" s="175">
        <v>46057</v>
      </c>
      <c r="C432" s="171" t="s">
        <v>115</v>
      </c>
      <c r="D432" s="171" t="s">
        <v>116</v>
      </c>
      <c r="E432" s="171" t="s">
        <v>55</v>
      </c>
      <c r="F432" s="171" t="s">
        <v>356</v>
      </c>
      <c r="G432" s="171" t="s">
        <v>357</v>
      </c>
      <c r="H432" s="176">
        <v>1</v>
      </c>
      <c r="I432" s="177">
        <v>3185</v>
      </c>
      <c r="J432" s="175">
        <v>46046</v>
      </c>
      <c r="K432" s="171" t="s">
        <v>113</v>
      </c>
      <c r="L432" s="171" t="s">
        <v>114</v>
      </c>
      <c r="M432" s="178">
        <v>0.43</v>
      </c>
      <c r="N432" s="176"/>
      <c r="O432" s="176"/>
      <c r="P432" s="179">
        <v>-16.02</v>
      </c>
    </row>
    <row r="433" spans="1:16" ht="19.5" customHeight="1">
      <c r="A433" s="171" t="s">
        <v>1102</v>
      </c>
      <c r="B433" s="175">
        <v>46057</v>
      </c>
      <c r="C433" s="171" t="s">
        <v>115</v>
      </c>
      <c r="D433" s="171" t="s">
        <v>135</v>
      </c>
      <c r="E433" s="171" t="s">
        <v>55</v>
      </c>
      <c r="F433" s="171" t="s">
        <v>356</v>
      </c>
      <c r="G433" s="171" t="s">
        <v>357</v>
      </c>
      <c r="H433" s="176">
        <v>1</v>
      </c>
      <c r="I433" s="177">
        <v>0</v>
      </c>
      <c r="J433" s="175">
        <v>46046</v>
      </c>
      <c r="K433" s="171" t="s">
        <v>125</v>
      </c>
      <c r="L433" s="171" t="s">
        <v>125</v>
      </c>
      <c r="M433" s="178">
        <v>0</v>
      </c>
      <c r="N433" s="176"/>
      <c r="O433" s="176"/>
      <c r="P433" s="179">
        <v>-36.590000000000003</v>
      </c>
    </row>
    <row r="434" spans="1:16" ht="19.5" customHeight="1">
      <c r="A434" s="171" t="s">
        <v>1103</v>
      </c>
      <c r="B434" s="175">
        <v>46057</v>
      </c>
      <c r="C434" s="171" t="s">
        <v>110</v>
      </c>
      <c r="D434" s="171" t="s">
        <v>24</v>
      </c>
      <c r="E434" s="171" t="s">
        <v>80</v>
      </c>
      <c r="F434" s="171" t="s">
        <v>1104</v>
      </c>
      <c r="G434" s="171" t="s">
        <v>177</v>
      </c>
      <c r="H434" s="176">
        <v>1</v>
      </c>
      <c r="I434" s="177">
        <v>0</v>
      </c>
      <c r="J434" s="175">
        <v>46051</v>
      </c>
      <c r="K434" s="171" t="s">
        <v>113</v>
      </c>
      <c r="L434" s="171" t="s">
        <v>114</v>
      </c>
      <c r="M434" s="178">
        <v>0</v>
      </c>
      <c r="N434" s="176"/>
      <c r="O434" s="176">
        <v>48</v>
      </c>
      <c r="P434" s="179">
        <v>-56.94</v>
      </c>
    </row>
    <row r="435" spans="1:16" ht="19.5" customHeight="1">
      <c r="A435" s="171" t="s">
        <v>1103</v>
      </c>
      <c r="B435" s="175">
        <v>46057</v>
      </c>
      <c r="C435" s="171" t="s">
        <v>115</v>
      </c>
      <c r="D435" s="171" t="s">
        <v>116</v>
      </c>
      <c r="E435" s="171" t="s">
        <v>80</v>
      </c>
      <c r="F435" s="171" t="s">
        <v>1104</v>
      </c>
      <c r="G435" s="171" t="s">
        <v>177</v>
      </c>
      <c r="H435" s="176">
        <v>1</v>
      </c>
      <c r="I435" s="177">
        <v>0</v>
      </c>
      <c r="J435" s="175">
        <v>46051</v>
      </c>
      <c r="K435" s="171" t="s">
        <v>113</v>
      </c>
      <c r="L435" s="171" t="s">
        <v>114</v>
      </c>
      <c r="M435" s="178">
        <v>0</v>
      </c>
      <c r="N435" s="176"/>
      <c r="O435" s="176"/>
      <c r="P435" s="179">
        <v>-12.49</v>
      </c>
    </row>
    <row r="436" spans="1:16" ht="19.5" customHeight="1">
      <c r="A436" s="171" t="s">
        <v>1103</v>
      </c>
      <c r="B436" s="175">
        <v>46057</v>
      </c>
      <c r="C436" s="171" t="s">
        <v>110</v>
      </c>
      <c r="D436" s="171" t="s">
        <v>117</v>
      </c>
      <c r="E436" s="171" t="s">
        <v>80</v>
      </c>
      <c r="F436" s="171" t="s">
        <v>1104</v>
      </c>
      <c r="G436" s="171" t="s">
        <v>177</v>
      </c>
      <c r="H436" s="176">
        <v>1</v>
      </c>
      <c r="I436" s="177">
        <v>0</v>
      </c>
      <c r="J436" s="175">
        <v>46051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1103</v>
      </c>
      <c r="B437" s="175">
        <v>46057</v>
      </c>
      <c r="C437" s="171" t="s">
        <v>110</v>
      </c>
      <c r="D437" s="171" t="s">
        <v>118</v>
      </c>
      <c r="E437" s="171" t="s">
        <v>80</v>
      </c>
      <c r="F437" s="171" t="s">
        <v>1104</v>
      </c>
      <c r="G437" s="171" t="s">
        <v>177</v>
      </c>
      <c r="H437" s="176">
        <v>1</v>
      </c>
      <c r="I437" s="177">
        <v>0</v>
      </c>
      <c r="J437" s="175">
        <v>46051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-56.94</v>
      </c>
    </row>
    <row r="438" spans="1:16" ht="19.5" customHeight="1">
      <c r="A438" s="171" t="s">
        <v>1103</v>
      </c>
      <c r="B438" s="175">
        <v>46057</v>
      </c>
      <c r="C438" s="171" t="s">
        <v>115</v>
      </c>
      <c r="D438" s="171" t="s">
        <v>119</v>
      </c>
      <c r="E438" s="171" t="s">
        <v>80</v>
      </c>
      <c r="F438" s="171" t="s">
        <v>1104</v>
      </c>
      <c r="G438" s="171" t="s">
        <v>177</v>
      </c>
      <c r="H438" s="176">
        <v>1</v>
      </c>
      <c r="I438" s="177">
        <v>0</v>
      </c>
      <c r="J438" s="175">
        <v>46051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-15</v>
      </c>
    </row>
    <row r="439" spans="1:16" ht="19.5" customHeight="1">
      <c r="A439" s="171" t="s">
        <v>1082</v>
      </c>
      <c r="B439" s="175">
        <v>46057</v>
      </c>
      <c r="C439" s="171" t="s">
        <v>308</v>
      </c>
      <c r="D439" s="171" t="s">
        <v>419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-1800</v>
      </c>
      <c r="J439" s="175">
        <v>46054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-799.05</v>
      </c>
    </row>
    <row r="440" spans="1:16" ht="19.5" customHeight="1">
      <c r="A440" s="171" t="s">
        <v>1082</v>
      </c>
      <c r="B440" s="175">
        <v>46057</v>
      </c>
      <c r="C440" s="171" t="s">
        <v>308</v>
      </c>
      <c r="D440" s="171" t="s">
        <v>129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-1800</v>
      </c>
      <c r="J440" s="175">
        <v>46054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-7.99</v>
      </c>
    </row>
    <row r="441" spans="1:16" ht="19.5" customHeight="1">
      <c r="A441" s="171" t="s">
        <v>1082</v>
      </c>
      <c r="B441" s="175">
        <v>46057</v>
      </c>
      <c r="C441" s="171" t="s">
        <v>308</v>
      </c>
      <c r="D441" s="171" t="s">
        <v>130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-1800</v>
      </c>
      <c r="J441" s="175">
        <v>46054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-992.96</v>
      </c>
    </row>
    <row r="442" spans="1:16" ht="19.5" customHeight="1">
      <c r="A442" s="171" t="s">
        <v>1082</v>
      </c>
      <c r="B442" s="175">
        <v>46057</v>
      </c>
      <c r="C442" s="171" t="s">
        <v>131</v>
      </c>
      <c r="D442" s="171" t="s">
        <v>420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-1800</v>
      </c>
      <c r="J442" s="175">
        <v>46054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774</v>
      </c>
    </row>
    <row r="443" spans="1:16" ht="19.5" customHeight="1">
      <c r="A443" s="171" t="s">
        <v>1105</v>
      </c>
      <c r="B443" s="175">
        <v>46057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1800</v>
      </c>
      <c r="J443" s="175">
        <v>46053</v>
      </c>
      <c r="K443" s="171" t="s">
        <v>113</v>
      </c>
      <c r="L443" s="171" t="s">
        <v>114</v>
      </c>
      <c r="M443" s="178">
        <v>0.43</v>
      </c>
      <c r="N443" s="176"/>
      <c r="O443" s="176">
        <v>48</v>
      </c>
      <c r="P443" s="179">
        <v>-146.61000000000001</v>
      </c>
    </row>
    <row r="444" spans="1:16" ht="19.5" customHeight="1">
      <c r="A444" s="171" t="s">
        <v>1105</v>
      </c>
      <c r="B444" s="175">
        <v>46057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1800</v>
      </c>
      <c r="J444" s="175">
        <v>46053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825.71</v>
      </c>
    </row>
    <row r="445" spans="1:16" ht="19.5" customHeight="1">
      <c r="A445" s="171" t="s">
        <v>1105</v>
      </c>
      <c r="B445" s="175">
        <v>46057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1800</v>
      </c>
      <c r="J445" s="175">
        <v>46053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8.26</v>
      </c>
    </row>
    <row r="446" spans="1:16" ht="19.5" customHeight="1">
      <c r="A446" s="171" t="s">
        <v>1105</v>
      </c>
      <c r="B446" s="175">
        <v>46057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1800</v>
      </c>
      <c r="J446" s="175">
        <v>46053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966.03</v>
      </c>
    </row>
    <row r="447" spans="1:16" ht="19.5" customHeight="1">
      <c r="A447" s="171" t="s">
        <v>1105</v>
      </c>
      <c r="B447" s="175">
        <v>46057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1800</v>
      </c>
      <c r="J447" s="175">
        <v>46053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-774</v>
      </c>
    </row>
    <row r="448" spans="1:16" ht="19.5" customHeight="1">
      <c r="A448" s="171" t="s">
        <v>1105</v>
      </c>
      <c r="B448" s="175">
        <v>46057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1800</v>
      </c>
      <c r="J448" s="175">
        <v>46053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-14.96</v>
      </c>
    </row>
    <row r="449" spans="1:16" ht="19.5" customHeight="1">
      <c r="A449" s="171" t="s">
        <v>992</v>
      </c>
      <c r="B449" s="175">
        <v>46057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46054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15.18</v>
      </c>
    </row>
    <row r="450" spans="1:16" ht="19.5" customHeight="1">
      <c r="A450" s="171" t="s">
        <v>1105</v>
      </c>
      <c r="B450" s="175">
        <v>46057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46053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-15.69</v>
      </c>
    </row>
    <row r="451" spans="1:16" ht="19.5" customHeight="1">
      <c r="A451" s="171" t="s">
        <v>1106</v>
      </c>
      <c r="B451" s="175">
        <v>46057</v>
      </c>
      <c r="C451" s="171" t="s">
        <v>110</v>
      </c>
      <c r="D451" s="171" t="s">
        <v>24</v>
      </c>
      <c r="E451" s="171" t="s">
        <v>77</v>
      </c>
      <c r="F451" s="171" t="s">
        <v>194</v>
      </c>
      <c r="G451" s="171" t="s">
        <v>177</v>
      </c>
      <c r="H451" s="176">
        <v>1</v>
      </c>
      <c r="I451" s="177">
        <v>4136</v>
      </c>
      <c r="J451" s="175">
        <v>46051</v>
      </c>
      <c r="K451" s="171" t="s">
        <v>113</v>
      </c>
      <c r="L451" s="171" t="s">
        <v>114</v>
      </c>
      <c r="M451" s="178">
        <v>0.43</v>
      </c>
      <c r="N451" s="176"/>
      <c r="O451" s="176">
        <v>48</v>
      </c>
      <c r="P451" s="179">
        <v>-249.47</v>
      </c>
    </row>
    <row r="452" spans="1:16" ht="19.5" customHeight="1">
      <c r="A452" s="171" t="s">
        <v>1106</v>
      </c>
      <c r="B452" s="175">
        <v>46057</v>
      </c>
      <c r="C452" s="171" t="s">
        <v>127</v>
      </c>
      <c r="D452" s="171" t="s">
        <v>128</v>
      </c>
      <c r="E452" s="171" t="s">
        <v>77</v>
      </c>
      <c r="F452" s="171" t="s">
        <v>194</v>
      </c>
      <c r="G452" s="171" t="s">
        <v>177</v>
      </c>
      <c r="H452" s="176">
        <v>1</v>
      </c>
      <c r="I452" s="177">
        <v>4136</v>
      </c>
      <c r="J452" s="175">
        <v>46051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1446.77</v>
      </c>
    </row>
    <row r="453" spans="1:16" ht="19.5" customHeight="1">
      <c r="A453" s="171" t="s">
        <v>1106</v>
      </c>
      <c r="B453" s="175">
        <v>46057</v>
      </c>
      <c r="C453" s="171" t="s">
        <v>127</v>
      </c>
      <c r="D453" s="171" t="s">
        <v>129</v>
      </c>
      <c r="E453" s="171" t="s">
        <v>77</v>
      </c>
      <c r="F453" s="171" t="s">
        <v>194</v>
      </c>
      <c r="G453" s="171" t="s">
        <v>177</v>
      </c>
      <c r="H453" s="176">
        <v>1</v>
      </c>
      <c r="I453" s="177">
        <v>4136</v>
      </c>
      <c r="J453" s="175">
        <v>46051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14.47</v>
      </c>
    </row>
    <row r="454" spans="1:16" ht="19.5" customHeight="1">
      <c r="A454" s="171" t="s">
        <v>1106</v>
      </c>
      <c r="B454" s="175">
        <v>46057</v>
      </c>
      <c r="C454" s="171" t="s">
        <v>127</v>
      </c>
      <c r="D454" s="171" t="s">
        <v>130</v>
      </c>
      <c r="E454" s="171" t="s">
        <v>77</v>
      </c>
      <c r="F454" s="171" t="s">
        <v>194</v>
      </c>
      <c r="G454" s="171" t="s">
        <v>177</v>
      </c>
      <c r="H454" s="176">
        <v>1</v>
      </c>
      <c r="I454" s="177">
        <v>4136</v>
      </c>
      <c r="J454" s="175">
        <v>46051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2674.76</v>
      </c>
    </row>
    <row r="455" spans="1:16" ht="19.5" customHeight="1">
      <c r="A455" s="171" t="s">
        <v>1106</v>
      </c>
      <c r="B455" s="175">
        <v>46057</v>
      </c>
      <c r="C455" s="171" t="s">
        <v>131</v>
      </c>
      <c r="D455" s="171" t="s">
        <v>132</v>
      </c>
      <c r="E455" s="171" t="s">
        <v>77</v>
      </c>
      <c r="F455" s="171" t="s">
        <v>194</v>
      </c>
      <c r="G455" s="171" t="s">
        <v>177</v>
      </c>
      <c r="H455" s="176">
        <v>1</v>
      </c>
      <c r="I455" s="177">
        <v>4136</v>
      </c>
      <c r="J455" s="175">
        <v>46051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-1778.48</v>
      </c>
    </row>
    <row r="456" spans="1:16" ht="19.5" customHeight="1">
      <c r="A456" s="171" t="s">
        <v>1106</v>
      </c>
      <c r="B456" s="175">
        <v>46057</v>
      </c>
      <c r="C456" s="171" t="s">
        <v>115</v>
      </c>
      <c r="D456" s="171" t="s">
        <v>116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4136</v>
      </c>
      <c r="J456" s="175">
        <v>46051</v>
      </c>
      <c r="K456" s="171" t="s">
        <v>113</v>
      </c>
      <c r="L456" s="171" t="s">
        <v>114</v>
      </c>
      <c r="M456" s="178">
        <v>0.43</v>
      </c>
      <c r="N456" s="176"/>
      <c r="O456" s="176"/>
      <c r="P456" s="179">
        <v>-10.11</v>
      </c>
    </row>
    <row r="457" spans="1:16" ht="19.5" customHeight="1">
      <c r="A457" s="171" t="s">
        <v>1107</v>
      </c>
      <c r="B457" s="175">
        <v>46057</v>
      </c>
      <c r="C457" s="171" t="s">
        <v>110</v>
      </c>
      <c r="D457" s="171" t="s">
        <v>24</v>
      </c>
      <c r="E457" s="171" t="s">
        <v>43</v>
      </c>
      <c r="F457" s="171" t="s">
        <v>481</v>
      </c>
      <c r="G457" s="171" t="s">
        <v>214</v>
      </c>
      <c r="H457" s="176">
        <v>1</v>
      </c>
      <c r="I457" s="177">
        <v>0</v>
      </c>
      <c r="J457" s="175">
        <v>46054</v>
      </c>
      <c r="K457" s="171" t="s">
        <v>113</v>
      </c>
      <c r="L457" s="171" t="s">
        <v>114</v>
      </c>
      <c r="M457" s="178">
        <v>0</v>
      </c>
      <c r="N457" s="176"/>
      <c r="O457" s="176">
        <v>42</v>
      </c>
      <c r="P457" s="179">
        <v>-46.77</v>
      </c>
    </row>
    <row r="458" spans="1:16" ht="19.5" customHeight="1">
      <c r="A458" s="171" t="s">
        <v>1107</v>
      </c>
      <c r="B458" s="175">
        <v>46057</v>
      </c>
      <c r="C458" s="171" t="s">
        <v>115</v>
      </c>
      <c r="D458" s="171" t="s">
        <v>116</v>
      </c>
      <c r="E458" s="171" t="s">
        <v>43</v>
      </c>
      <c r="F458" s="171" t="s">
        <v>481</v>
      </c>
      <c r="G458" s="171" t="s">
        <v>214</v>
      </c>
      <c r="H458" s="176">
        <v>1</v>
      </c>
      <c r="I458" s="177">
        <v>0</v>
      </c>
      <c r="J458" s="175">
        <v>46054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-9.02</v>
      </c>
    </row>
    <row r="459" spans="1:16" ht="19.5" customHeight="1">
      <c r="A459" s="171" t="s">
        <v>1107</v>
      </c>
      <c r="B459" s="175">
        <v>46057</v>
      </c>
      <c r="C459" s="171" t="s">
        <v>110</v>
      </c>
      <c r="D459" s="171" t="s">
        <v>117</v>
      </c>
      <c r="E459" s="171" t="s">
        <v>43</v>
      </c>
      <c r="F459" s="171" t="s">
        <v>481</v>
      </c>
      <c r="G459" s="171" t="s">
        <v>214</v>
      </c>
      <c r="H459" s="176">
        <v>1</v>
      </c>
      <c r="I459" s="177">
        <v>0</v>
      </c>
      <c r="J459" s="175">
        <v>46054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0</v>
      </c>
    </row>
    <row r="460" spans="1:16" ht="19.5" customHeight="1">
      <c r="A460" s="171" t="s">
        <v>1107</v>
      </c>
      <c r="B460" s="175">
        <v>46057</v>
      </c>
      <c r="C460" s="171" t="s">
        <v>110</v>
      </c>
      <c r="D460" s="171" t="s">
        <v>118</v>
      </c>
      <c r="E460" s="171" t="s">
        <v>43</v>
      </c>
      <c r="F460" s="171" t="s">
        <v>481</v>
      </c>
      <c r="G460" s="171" t="s">
        <v>214</v>
      </c>
      <c r="H460" s="176">
        <v>1</v>
      </c>
      <c r="I460" s="177">
        <v>0</v>
      </c>
      <c r="J460" s="175">
        <v>46054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-46.77</v>
      </c>
    </row>
    <row r="461" spans="1:16" ht="19.5" customHeight="1">
      <c r="A461" s="171" t="s">
        <v>1107</v>
      </c>
      <c r="B461" s="175">
        <v>46057</v>
      </c>
      <c r="C461" s="171" t="s">
        <v>115</v>
      </c>
      <c r="D461" s="171" t="s">
        <v>119</v>
      </c>
      <c r="E461" s="171" t="s">
        <v>43</v>
      </c>
      <c r="F461" s="171" t="s">
        <v>481</v>
      </c>
      <c r="G461" s="171" t="s">
        <v>214</v>
      </c>
      <c r="H461" s="176">
        <v>1</v>
      </c>
      <c r="I461" s="177">
        <v>0</v>
      </c>
      <c r="J461" s="175">
        <v>46054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-15</v>
      </c>
    </row>
    <row r="462" spans="1:16" ht="19.5" customHeight="1">
      <c r="A462" s="171" t="s">
        <v>1108</v>
      </c>
      <c r="B462" s="175">
        <v>46057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46057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-16.47</v>
      </c>
    </row>
    <row r="463" spans="1:16" ht="19.5" customHeight="1">
      <c r="A463" s="171" t="s">
        <v>1037</v>
      </c>
      <c r="B463" s="175">
        <v>46057</v>
      </c>
      <c r="C463" s="171" t="s">
        <v>110</v>
      </c>
      <c r="D463" s="171" t="s">
        <v>24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46052</v>
      </c>
      <c r="K463" s="171" t="s">
        <v>113</v>
      </c>
      <c r="L463" s="171" t="s">
        <v>114</v>
      </c>
      <c r="M463" s="178">
        <v>0</v>
      </c>
      <c r="N463" s="176"/>
      <c r="O463" s="176">
        <v>49</v>
      </c>
      <c r="P463" s="179">
        <v>-56.94</v>
      </c>
    </row>
    <row r="464" spans="1:16" ht="19.5" customHeight="1">
      <c r="A464" s="171" t="s">
        <v>1037</v>
      </c>
      <c r="B464" s="175">
        <v>46057</v>
      </c>
      <c r="C464" s="171" t="s">
        <v>115</v>
      </c>
      <c r="D464" s="171" t="s">
        <v>116</v>
      </c>
      <c r="E464" s="171" t="s">
        <v>77</v>
      </c>
      <c r="F464" s="171" t="s">
        <v>194</v>
      </c>
      <c r="G464" s="171" t="s">
        <v>177</v>
      </c>
      <c r="H464" s="176">
        <v>1</v>
      </c>
      <c r="I464" s="177">
        <v>0</v>
      </c>
      <c r="J464" s="175">
        <v>46052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-16.3</v>
      </c>
    </row>
    <row r="465" spans="1:16" ht="19.5" customHeight="1">
      <c r="A465" s="171" t="s">
        <v>1037</v>
      </c>
      <c r="B465" s="175">
        <v>46057</v>
      </c>
      <c r="C465" s="171" t="s">
        <v>110</v>
      </c>
      <c r="D465" s="171" t="s">
        <v>117</v>
      </c>
      <c r="E465" s="171" t="s">
        <v>77</v>
      </c>
      <c r="F465" s="171" t="s">
        <v>194</v>
      </c>
      <c r="G465" s="171" t="s">
        <v>177</v>
      </c>
      <c r="H465" s="176">
        <v>1</v>
      </c>
      <c r="I465" s="177">
        <v>0</v>
      </c>
      <c r="J465" s="175">
        <v>46052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0</v>
      </c>
    </row>
    <row r="466" spans="1:16" ht="19.5" customHeight="1">
      <c r="A466" s="171" t="s">
        <v>1037</v>
      </c>
      <c r="B466" s="175">
        <v>46057</v>
      </c>
      <c r="C466" s="171" t="s">
        <v>110</v>
      </c>
      <c r="D466" s="171" t="s">
        <v>118</v>
      </c>
      <c r="E466" s="171" t="s">
        <v>77</v>
      </c>
      <c r="F466" s="171" t="s">
        <v>194</v>
      </c>
      <c r="G466" s="171" t="s">
        <v>177</v>
      </c>
      <c r="H466" s="176">
        <v>1</v>
      </c>
      <c r="I466" s="177">
        <v>0</v>
      </c>
      <c r="J466" s="175">
        <v>46052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-56.94</v>
      </c>
    </row>
    <row r="467" spans="1:16" ht="19.5" customHeight="1">
      <c r="A467" s="171" t="s">
        <v>1037</v>
      </c>
      <c r="B467" s="175">
        <v>46057</v>
      </c>
      <c r="C467" s="171" t="s">
        <v>115</v>
      </c>
      <c r="D467" s="171" t="s">
        <v>119</v>
      </c>
      <c r="E467" s="171" t="s">
        <v>77</v>
      </c>
      <c r="F467" s="171" t="s">
        <v>194</v>
      </c>
      <c r="G467" s="171" t="s">
        <v>177</v>
      </c>
      <c r="H467" s="176">
        <v>1</v>
      </c>
      <c r="I467" s="177">
        <v>0</v>
      </c>
      <c r="J467" s="175">
        <v>46052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-15</v>
      </c>
    </row>
    <row r="468" spans="1:16" ht="19.5" customHeight="1">
      <c r="A468" s="171" t="s">
        <v>1109</v>
      </c>
      <c r="B468" s="175">
        <v>46057</v>
      </c>
      <c r="C468" s="171" t="s">
        <v>110</v>
      </c>
      <c r="D468" s="171" t="s">
        <v>24</v>
      </c>
      <c r="E468" s="171" t="s">
        <v>79</v>
      </c>
      <c r="F468" s="171" t="s">
        <v>441</v>
      </c>
      <c r="G468" s="171" t="s">
        <v>177</v>
      </c>
      <c r="H468" s="176">
        <v>1</v>
      </c>
      <c r="I468" s="177">
        <v>5000</v>
      </c>
      <c r="J468" s="175">
        <v>46053</v>
      </c>
      <c r="K468" s="171" t="s">
        <v>113</v>
      </c>
      <c r="L468" s="171" t="s">
        <v>114</v>
      </c>
      <c r="M468" s="178">
        <v>0.43</v>
      </c>
      <c r="N468" s="176"/>
      <c r="O468" s="176">
        <v>48</v>
      </c>
      <c r="P468" s="179">
        <v>-281.01</v>
      </c>
    </row>
    <row r="469" spans="1:16" ht="19.5" customHeight="1">
      <c r="A469" s="171" t="s">
        <v>1109</v>
      </c>
      <c r="B469" s="175">
        <v>46057</v>
      </c>
      <c r="C469" s="171" t="s">
        <v>127</v>
      </c>
      <c r="D469" s="171" t="s">
        <v>128</v>
      </c>
      <c r="E469" s="171" t="s">
        <v>79</v>
      </c>
      <c r="F469" s="171" t="s">
        <v>441</v>
      </c>
      <c r="G469" s="171" t="s">
        <v>177</v>
      </c>
      <c r="H469" s="176">
        <v>1</v>
      </c>
      <c r="I469" s="177">
        <v>5000</v>
      </c>
      <c r="J469" s="175">
        <v>46053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1739.83</v>
      </c>
    </row>
    <row r="470" spans="1:16" ht="19.5" customHeight="1">
      <c r="A470" s="171" t="s">
        <v>1109</v>
      </c>
      <c r="B470" s="175">
        <v>46057</v>
      </c>
      <c r="C470" s="171" t="s">
        <v>127</v>
      </c>
      <c r="D470" s="171" t="s">
        <v>129</v>
      </c>
      <c r="E470" s="171" t="s">
        <v>79</v>
      </c>
      <c r="F470" s="171" t="s">
        <v>441</v>
      </c>
      <c r="G470" s="171" t="s">
        <v>177</v>
      </c>
      <c r="H470" s="176">
        <v>1</v>
      </c>
      <c r="I470" s="177">
        <v>5000</v>
      </c>
      <c r="J470" s="175">
        <v>46053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17.399999999999999</v>
      </c>
    </row>
    <row r="471" spans="1:16" ht="19.5" customHeight="1">
      <c r="A471" s="171" t="s">
        <v>1109</v>
      </c>
      <c r="B471" s="175">
        <v>46057</v>
      </c>
      <c r="C471" s="171" t="s">
        <v>127</v>
      </c>
      <c r="D471" s="171" t="s">
        <v>130</v>
      </c>
      <c r="E471" s="171" t="s">
        <v>79</v>
      </c>
      <c r="F471" s="171" t="s">
        <v>441</v>
      </c>
      <c r="G471" s="171" t="s">
        <v>177</v>
      </c>
      <c r="H471" s="176">
        <v>1</v>
      </c>
      <c r="I471" s="177">
        <v>5000</v>
      </c>
      <c r="J471" s="175">
        <v>46053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3242.77</v>
      </c>
    </row>
    <row r="472" spans="1:16" ht="19.5" customHeight="1">
      <c r="A472" s="171" t="s">
        <v>1109</v>
      </c>
      <c r="B472" s="175">
        <v>46057</v>
      </c>
      <c r="C472" s="171" t="s">
        <v>131</v>
      </c>
      <c r="D472" s="171" t="s">
        <v>132</v>
      </c>
      <c r="E472" s="171" t="s">
        <v>79</v>
      </c>
      <c r="F472" s="171" t="s">
        <v>441</v>
      </c>
      <c r="G472" s="171" t="s">
        <v>177</v>
      </c>
      <c r="H472" s="176">
        <v>1</v>
      </c>
      <c r="I472" s="177">
        <v>5000</v>
      </c>
      <c r="J472" s="175">
        <v>46053</v>
      </c>
      <c r="K472" s="171" t="s">
        <v>113</v>
      </c>
      <c r="L472" s="171" t="s">
        <v>114</v>
      </c>
      <c r="M472" s="178">
        <v>0.43</v>
      </c>
      <c r="N472" s="176"/>
      <c r="O472" s="176"/>
      <c r="P472" s="179">
        <v>-2150</v>
      </c>
    </row>
    <row r="473" spans="1:16" ht="19.5" customHeight="1">
      <c r="A473" s="171" t="s">
        <v>1109</v>
      </c>
      <c r="B473" s="175">
        <v>46057</v>
      </c>
      <c r="C473" s="171" t="s">
        <v>115</v>
      </c>
      <c r="D473" s="171" t="s">
        <v>116</v>
      </c>
      <c r="E473" s="171" t="s">
        <v>79</v>
      </c>
      <c r="F473" s="171" t="s">
        <v>441</v>
      </c>
      <c r="G473" s="171" t="s">
        <v>177</v>
      </c>
      <c r="H473" s="176">
        <v>1</v>
      </c>
      <c r="I473" s="177">
        <v>5000</v>
      </c>
      <c r="J473" s="175">
        <v>46053</v>
      </c>
      <c r="K473" s="171" t="s">
        <v>113</v>
      </c>
      <c r="L473" s="171" t="s">
        <v>114</v>
      </c>
      <c r="M473" s="178">
        <v>0.43</v>
      </c>
      <c r="N473" s="176"/>
      <c r="O473" s="176"/>
      <c r="P473" s="179">
        <v>-15.97</v>
      </c>
    </row>
    <row r="474" spans="1:16" ht="19.5" customHeight="1">
      <c r="A474" s="171" t="s">
        <v>1109</v>
      </c>
      <c r="B474" s="175">
        <v>46057</v>
      </c>
      <c r="C474" s="171" t="s">
        <v>115</v>
      </c>
      <c r="D474" s="171" t="s">
        <v>135</v>
      </c>
      <c r="E474" s="171" t="s">
        <v>79</v>
      </c>
      <c r="F474" s="171" t="s">
        <v>441</v>
      </c>
      <c r="G474" s="171" t="s">
        <v>177</v>
      </c>
      <c r="H474" s="176">
        <v>1</v>
      </c>
      <c r="I474" s="177">
        <v>0</v>
      </c>
      <c r="J474" s="175">
        <v>46053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-33.06</v>
      </c>
    </row>
    <row r="475" spans="1:16" ht="19.5" customHeight="1">
      <c r="A475" s="171" t="s">
        <v>1110</v>
      </c>
      <c r="B475" s="175">
        <v>46057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1800</v>
      </c>
      <c r="J475" s="175">
        <v>46055</v>
      </c>
      <c r="K475" s="171" t="s">
        <v>113</v>
      </c>
      <c r="L475" s="171" t="s">
        <v>114</v>
      </c>
      <c r="M475" s="178">
        <v>0.43</v>
      </c>
      <c r="N475" s="176"/>
      <c r="O475" s="176">
        <v>42</v>
      </c>
      <c r="P475" s="179">
        <v>-124.73</v>
      </c>
    </row>
    <row r="476" spans="1:16" ht="19.5" customHeight="1">
      <c r="A476" s="171" t="s">
        <v>1110</v>
      </c>
      <c r="B476" s="175">
        <v>46057</v>
      </c>
      <c r="C476" s="171" t="s">
        <v>127</v>
      </c>
      <c r="D476" s="171" t="s">
        <v>128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1800</v>
      </c>
      <c r="J476" s="175">
        <v>46055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833.33</v>
      </c>
    </row>
    <row r="477" spans="1:16" ht="19.5" customHeight="1">
      <c r="A477" s="171" t="s">
        <v>1110</v>
      </c>
      <c r="B477" s="175">
        <v>46057</v>
      </c>
      <c r="C477" s="171" t="s">
        <v>127</v>
      </c>
      <c r="D477" s="171" t="s">
        <v>129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1800</v>
      </c>
      <c r="J477" s="175">
        <v>46055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8.33</v>
      </c>
    </row>
    <row r="478" spans="1:16" ht="19.5" customHeight="1">
      <c r="A478" s="171" t="s">
        <v>1110</v>
      </c>
      <c r="B478" s="175">
        <v>46057</v>
      </c>
      <c r="C478" s="171" t="s">
        <v>127</v>
      </c>
      <c r="D478" s="171" t="s">
        <v>130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1800</v>
      </c>
      <c r="J478" s="175">
        <v>46055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958.34</v>
      </c>
    </row>
    <row r="479" spans="1:16" ht="19.5" customHeight="1">
      <c r="A479" s="171" t="s">
        <v>1110</v>
      </c>
      <c r="B479" s="175">
        <v>46057</v>
      </c>
      <c r="C479" s="171" t="s">
        <v>131</v>
      </c>
      <c r="D479" s="171" t="s">
        <v>132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1800</v>
      </c>
      <c r="J479" s="175">
        <v>46055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-774</v>
      </c>
    </row>
    <row r="480" spans="1:16" ht="19.5" customHeight="1">
      <c r="A480" s="171" t="s">
        <v>1110</v>
      </c>
      <c r="B480" s="175">
        <v>46057</v>
      </c>
      <c r="C480" s="171" t="s">
        <v>115</v>
      </c>
      <c r="D480" s="171" t="s">
        <v>116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1800</v>
      </c>
      <c r="J480" s="175">
        <v>46055</v>
      </c>
      <c r="K480" s="171" t="s">
        <v>113</v>
      </c>
      <c r="L480" s="171" t="s">
        <v>114</v>
      </c>
      <c r="M480" s="178">
        <v>0.43</v>
      </c>
      <c r="N480" s="176"/>
      <c r="O480" s="176"/>
      <c r="P480" s="179">
        <v>-17.97</v>
      </c>
    </row>
    <row r="481" spans="1:16" ht="19.5" customHeight="1">
      <c r="A481" s="171" t="s">
        <v>1110</v>
      </c>
      <c r="B481" s="175">
        <v>46057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46055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-15.83</v>
      </c>
    </row>
    <row r="482" spans="1:16" ht="19.5" customHeight="1">
      <c r="A482" s="171" t="s">
        <v>1111</v>
      </c>
      <c r="B482" s="175">
        <v>46057</v>
      </c>
      <c r="C482" s="171" t="s">
        <v>115</v>
      </c>
      <c r="D482" s="171" t="s">
        <v>135</v>
      </c>
      <c r="E482" s="171" t="s">
        <v>42</v>
      </c>
      <c r="F482" s="171" t="s">
        <v>248</v>
      </c>
      <c r="G482" s="171" t="s">
        <v>112</v>
      </c>
      <c r="H482" s="176">
        <v>1</v>
      </c>
      <c r="I482" s="177">
        <v>0</v>
      </c>
      <c r="J482" s="175">
        <v>46057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-16.86</v>
      </c>
    </row>
    <row r="483" spans="1:16" ht="19.5" customHeight="1">
      <c r="A483" s="171" t="s">
        <v>842</v>
      </c>
      <c r="B483" s="175">
        <v>46057</v>
      </c>
      <c r="C483" s="171" t="s">
        <v>115</v>
      </c>
      <c r="D483" s="171" t="s">
        <v>135</v>
      </c>
      <c r="E483" s="171" t="s">
        <v>79</v>
      </c>
      <c r="F483" s="171" t="s">
        <v>441</v>
      </c>
      <c r="G483" s="171" t="s">
        <v>177</v>
      </c>
      <c r="H483" s="176">
        <v>1</v>
      </c>
      <c r="I483" s="177">
        <v>0</v>
      </c>
      <c r="J483" s="175">
        <v>46050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12.76</v>
      </c>
    </row>
    <row r="484" spans="1:16" ht="19.5" customHeight="1">
      <c r="A484" s="171" t="s">
        <v>1053</v>
      </c>
      <c r="B484" s="175">
        <v>46057</v>
      </c>
      <c r="C484" s="171" t="s">
        <v>115</v>
      </c>
      <c r="D484" s="171" t="s">
        <v>135</v>
      </c>
      <c r="E484" s="171" t="s">
        <v>42</v>
      </c>
      <c r="F484" s="171" t="s">
        <v>248</v>
      </c>
      <c r="G484" s="171" t="s">
        <v>112</v>
      </c>
      <c r="H484" s="176">
        <v>1</v>
      </c>
      <c r="I484" s="177">
        <v>0</v>
      </c>
      <c r="J484" s="175">
        <v>46056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16.71</v>
      </c>
    </row>
    <row r="485" spans="1:16" ht="19.5" customHeight="1">
      <c r="A485" s="171" t="s">
        <v>1112</v>
      </c>
      <c r="B485" s="175">
        <v>46057</v>
      </c>
      <c r="C485" s="171" t="s">
        <v>115</v>
      </c>
      <c r="D485" s="171" t="s">
        <v>135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0</v>
      </c>
      <c r="J485" s="175">
        <v>46057</v>
      </c>
      <c r="K485" s="171" t="s">
        <v>125</v>
      </c>
      <c r="L485" s="171" t="s">
        <v>125</v>
      </c>
      <c r="M485" s="178">
        <v>0</v>
      </c>
      <c r="N485" s="176"/>
      <c r="O485" s="176"/>
      <c r="P485" s="179">
        <v>-16.54</v>
      </c>
    </row>
    <row r="486" spans="1:16" ht="19.5" customHeight="1">
      <c r="A486" s="171" t="s">
        <v>1113</v>
      </c>
      <c r="B486" s="175">
        <v>46057</v>
      </c>
      <c r="C486" s="171" t="s">
        <v>110</v>
      </c>
      <c r="D486" s="171" t="s">
        <v>117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0</v>
      </c>
      <c r="J486" s="175">
        <v>46054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0</v>
      </c>
    </row>
    <row r="487" spans="1:16" ht="19.5" customHeight="1">
      <c r="A487" s="171" t="s">
        <v>1113</v>
      </c>
      <c r="B487" s="175">
        <v>46057</v>
      </c>
      <c r="C487" s="171" t="s">
        <v>110</v>
      </c>
      <c r="D487" s="171" t="s">
        <v>118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0</v>
      </c>
      <c r="J487" s="175">
        <v>46054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-46.77</v>
      </c>
    </row>
    <row r="488" spans="1:16" ht="19.5" customHeight="1">
      <c r="A488" s="171" t="s">
        <v>1113</v>
      </c>
      <c r="B488" s="175">
        <v>46057</v>
      </c>
      <c r="C488" s="171" t="s">
        <v>115</v>
      </c>
      <c r="D488" s="171" t="s">
        <v>119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0</v>
      </c>
      <c r="J488" s="175">
        <v>46054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-15</v>
      </c>
    </row>
    <row r="489" spans="1:16" ht="19.5" customHeight="1">
      <c r="A489" s="171" t="s">
        <v>1113</v>
      </c>
      <c r="B489" s="175">
        <v>46057</v>
      </c>
      <c r="C489" s="171" t="s">
        <v>110</v>
      </c>
      <c r="D489" s="171" t="s">
        <v>24</v>
      </c>
      <c r="E489" s="171" t="s">
        <v>38</v>
      </c>
      <c r="F489" s="171" t="s">
        <v>111</v>
      </c>
      <c r="G489" s="171" t="s">
        <v>112</v>
      </c>
      <c r="H489" s="176">
        <v>1</v>
      </c>
      <c r="I489" s="177">
        <v>0</v>
      </c>
      <c r="J489" s="175">
        <v>46054</v>
      </c>
      <c r="K489" s="171" t="s">
        <v>113</v>
      </c>
      <c r="L489" s="171" t="s">
        <v>114</v>
      </c>
      <c r="M489" s="178">
        <v>0</v>
      </c>
      <c r="N489" s="176"/>
      <c r="O489" s="176">
        <v>42</v>
      </c>
      <c r="P489" s="179">
        <v>-46.77</v>
      </c>
    </row>
    <row r="490" spans="1:16" ht="19.5" customHeight="1">
      <c r="A490" s="171" t="s">
        <v>1113</v>
      </c>
      <c r="B490" s="175">
        <v>46057</v>
      </c>
      <c r="C490" s="171" t="s">
        <v>115</v>
      </c>
      <c r="D490" s="171" t="s">
        <v>116</v>
      </c>
      <c r="E490" s="171" t="s">
        <v>38</v>
      </c>
      <c r="F490" s="171" t="s">
        <v>111</v>
      </c>
      <c r="G490" s="171" t="s">
        <v>112</v>
      </c>
      <c r="H490" s="176">
        <v>1</v>
      </c>
      <c r="I490" s="177">
        <v>0</v>
      </c>
      <c r="J490" s="175">
        <v>46054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-8.93</v>
      </c>
    </row>
    <row r="491" spans="1:16" ht="19.5" customHeight="1">
      <c r="A491" s="171" t="s">
        <v>1034</v>
      </c>
      <c r="B491" s="175">
        <v>46057</v>
      </c>
      <c r="C491" s="171" t="s">
        <v>110</v>
      </c>
      <c r="D491" s="171" t="s">
        <v>117</v>
      </c>
      <c r="E491" s="171" t="s">
        <v>78</v>
      </c>
      <c r="F491" s="171" t="s">
        <v>176</v>
      </c>
      <c r="G491" s="171" t="s">
        <v>177</v>
      </c>
      <c r="H491" s="176">
        <v>1</v>
      </c>
      <c r="I491" s="177">
        <v>0</v>
      </c>
      <c r="J491" s="175">
        <v>46051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1034</v>
      </c>
      <c r="B492" s="175">
        <v>46057</v>
      </c>
      <c r="C492" s="171" t="s">
        <v>110</v>
      </c>
      <c r="D492" s="171" t="s">
        <v>118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46051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-56.94</v>
      </c>
    </row>
    <row r="493" spans="1:16" ht="19.5" customHeight="1">
      <c r="A493" s="171" t="s">
        <v>1034</v>
      </c>
      <c r="B493" s="175">
        <v>46057</v>
      </c>
      <c r="C493" s="171" t="s">
        <v>115</v>
      </c>
      <c r="D493" s="171" t="s">
        <v>119</v>
      </c>
      <c r="E493" s="171" t="s">
        <v>78</v>
      </c>
      <c r="F493" s="171" t="s">
        <v>176</v>
      </c>
      <c r="G493" s="171" t="s">
        <v>177</v>
      </c>
      <c r="H493" s="176">
        <v>1</v>
      </c>
      <c r="I493" s="177">
        <v>0</v>
      </c>
      <c r="J493" s="175">
        <v>46051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1114</v>
      </c>
      <c r="B494" s="175">
        <v>46057</v>
      </c>
      <c r="C494" s="171" t="s">
        <v>110</v>
      </c>
      <c r="D494" s="171" t="s">
        <v>117</v>
      </c>
      <c r="E494" s="171" t="s">
        <v>41</v>
      </c>
      <c r="F494" s="171" t="s">
        <v>138</v>
      </c>
      <c r="G494" s="171" t="s">
        <v>112</v>
      </c>
      <c r="H494" s="176">
        <v>1</v>
      </c>
      <c r="I494" s="177">
        <v>0</v>
      </c>
      <c r="J494" s="175">
        <v>46047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1114</v>
      </c>
      <c r="B495" s="175">
        <v>46057</v>
      </c>
      <c r="C495" s="171" t="s">
        <v>110</v>
      </c>
      <c r="D495" s="171" t="s">
        <v>118</v>
      </c>
      <c r="E495" s="171" t="s">
        <v>41</v>
      </c>
      <c r="F495" s="171" t="s">
        <v>138</v>
      </c>
      <c r="G495" s="171" t="s">
        <v>112</v>
      </c>
      <c r="H495" s="176">
        <v>1</v>
      </c>
      <c r="I495" s="177">
        <v>0</v>
      </c>
      <c r="J495" s="175">
        <v>46047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1114</v>
      </c>
      <c r="B496" s="175">
        <v>46057</v>
      </c>
      <c r="C496" s="171" t="s">
        <v>115</v>
      </c>
      <c r="D496" s="171" t="s">
        <v>119</v>
      </c>
      <c r="E496" s="171" t="s">
        <v>41</v>
      </c>
      <c r="F496" s="171" t="s">
        <v>138</v>
      </c>
      <c r="G496" s="171" t="s">
        <v>112</v>
      </c>
      <c r="H496" s="176">
        <v>1</v>
      </c>
      <c r="I496" s="177">
        <v>0</v>
      </c>
      <c r="J496" s="175">
        <v>46047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1114</v>
      </c>
      <c r="B497" s="175">
        <v>46057</v>
      </c>
      <c r="C497" s="171" t="s">
        <v>110</v>
      </c>
      <c r="D497" s="171" t="s">
        <v>24</v>
      </c>
      <c r="E497" s="171" t="s">
        <v>41</v>
      </c>
      <c r="F497" s="171" t="s">
        <v>138</v>
      </c>
      <c r="G497" s="171" t="s">
        <v>112</v>
      </c>
      <c r="H497" s="176">
        <v>1</v>
      </c>
      <c r="I497" s="177">
        <v>0</v>
      </c>
      <c r="J497" s="175">
        <v>46047</v>
      </c>
      <c r="K497" s="171" t="s">
        <v>113</v>
      </c>
      <c r="L497" s="171" t="s">
        <v>114</v>
      </c>
      <c r="M497" s="178">
        <v>0</v>
      </c>
      <c r="N497" s="176"/>
      <c r="O497" s="176">
        <v>52</v>
      </c>
      <c r="P497" s="179">
        <v>-46.77</v>
      </c>
    </row>
    <row r="498" spans="1:16" ht="19.5" customHeight="1">
      <c r="A498" s="171" t="s">
        <v>1114</v>
      </c>
      <c r="B498" s="175">
        <v>46057</v>
      </c>
      <c r="C498" s="171" t="s">
        <v>115</v>
      </c>
      <c r="D498" s="171" t="s">
        <v>116</v>
      </c>
      <c r="E498" s="171" t="s">
        <v>41</v>
      </c>
      <c r="F498" s="171" t="s">
        <v>138</v>
      </c>
      <c r="G498" s="171" t="s">
        <v>112</v>
      </c>
      <c r="H498" s="176">
        <v>1</v>
      </c>
      <c r="I498" s="177">
        <v>0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-10.28</v>
      </c>
    </row>
    <row r="499" spans="1:16" ht="19.5" customHeight="1">
      <c r="A499" s="171" t="s">
        <v>1034</v>
      </c>
      <c r="B499" s="175">
        <v>46057</v>
      </c>
      <c r="C499" s="171" t="s">
        <v>110</v>
      </c>
      <c r="D499" s="171" t="s">
        <v>24</v>
      </c>
      <c r="E499" s="171" t="s">
        <v>78</v>
      </c>
      <c r="F499" s="171" t="s">
        <v>176</v>
      </c>
      <c r="G499" s="171" t="s">
        <v>177</v>
      </c>
      <c r="H499" s="176">
        <v>1</v>
      </c>
      <c r="I499" s="177">
        <v>0</v>
      </c>
      <c r="J499" s="175">
        <v>46051</v>
      </c>
      <c r="K499" s="171" t="s">
        <v>113</v>
      </c>
      <c r="L499" s="171" t="s">
        <v>114</v>
      </c>
      <c r="M499" s="178">
        <v>0</v>
      </c>
      <c r="N499" s="176"/>
      <c r="O499" s="176">
        <v>48</v>
      </c>
      <c r="P499" s="179">
        <v>-56.94</v>
      </c>
    </row>
    <row r="500" spans="1:16" ht="19.5" customHeight="1">
      <c r="A500" s="171" t="s">
        <v>1034</v>
      </c>
      <c r="B500" s="175">
        <v>46057</v>
      </c>
      <c r="C500" s="171" t="s">
        <v>115</v>
      </c>
      <c r="D500" s="171" t="s">
        <v>116</v>
      </c>
      <c r="E500" s="171" t="s">
        <v>78</v>
      </c>
      <c r="F500" s="171" t="s">
        <v>176</v>
      </c>
      <c r="G500" s="171" t="s">
        <v>177</v>
      </c>
      <c r="H500" s="176">
        <v>1</v>
      </c>
      <c r="I500" s="177">
        <v>0</v>
      </c>
      <c r="J500" s="175">
        <v>46051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-12.48</v>
      </c>
    </row>
    <row r="501" spans="1:16" ht="19.5" customHeight="1">
      <c r="A501" s="171" t="s">
        <v>1115</v>
      </c>
      <c r="B501" s="175">
        <v>46057</v>
      </c>
      <c r="C501" s="171" t="s">
        <v>115</v>
      </c>
      <c r="D501" s="171" t="s">
        <v>135</v>
      </c>
      <c r="E501" s="171" t="s">
        <v>75</v>
      </c>
      <c r="F501" s="171" t="s">
        <v>474</v>
      </c>
      <c r="G501" s="171" t="s">
        <v>177</v>
      </c>
      <c r="H501" s="176">
        <v>1</v>
      </c>
      <c r="I501" s="177">
        <v>0</v>
      </c>
      <c r="J501" s="175">
        <v>46057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-17.13</v>
      </c>
    </row>
    <row r="502" spans="1:16" ht="19.5" customHeight="1">
      <c r="A502" s="171" t="s">
        <v>1115</v>
      </c>
      <c r="B502" s="175">
        <v>46057</v>
      </c>
      <c r="C502" s="171" t="s">
        <v>115</v>
      </c>
      <c r="D502" s="171" t="s">
        <v>135</v>
      </c>
      <c r="E502" s="171" t="s">
        <v>76</v>
      </c>
      <c r="F502" s="171" t="s">
        <v>821</v>
      </c>
      <c r="G502" s="171" t="s">
        <v>177</v>
      </c>
      <c r="H502" s="176">
        <v>1</v>
      </c>
      <c r="I502" s="177">
        <v>0</v>
      </c>
      <c r="J502" s="175">
        <v>46057</v>
      </c>
      <c r="K502" s="171" t="s">
        <v>125</v>
      </c>
      <c r="L502" s="171" t="s">
        <v>125</v>
      </c>
      <c r="M502" s="178">
        <v>0</v>
      </c>
      <c r="N502" s="176"/>
      <c r="O502" s="176"/>
      <c r="P502" s="179">
        <v>-17.09</v>
      </c>
    </row>
    <row r="503" spans="1:16" ht="19.5" customHeight="1">
      <c r="A503" s="171" t="s">
        <v>1116</v>
      </c>
      <c r="B503" s="175">
        <v>46057</v>
      </c>
      <c r="C503" s="171" t="s">
        <v>115</v>
      </c>
      <c r="D503" s="171" t="s">
        <v>135</v>
      </c>
      <c r="E503" s="171" t="s">
        <v>48</v>
      </c>
      <c r="F503" s="171" t="s">
        <v>198</v>
      </c>
      <c r="G503" s="171" t="s">
        <v>112</v>
      </c>
      <c r="H503" s="176">
        <v>1</v>
      </c>
      <c r="I503" s="177">
        <v>0</v>
      </c>
      <c r="J503" s="175">
        <v>46057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-16.11</v>
      </c>
    </row>
    <row r="504" spans="1:16" ht="19.5" customHeight="1">
      <c r="A504" s="171" t="s">
        <v>565</v>
      </c>
      <c r="B504" s="175">
        <v>46057</v>
      </c>
      <c r="C504" s="171" t="s">
        <v>151</v>
      </c>
      <c r="D504" s="171" t="s">
        <v>152</v>
      </c>
      <c r="E504" s="171" t="s">
        <v>125</v>
      </c>
      <c r="F504" s="171" t="s">
        <v>125</v>
      </c>
      <c r="G504" s="171" t="s">
        <v>125</v>
      </c>
      <c r="H504" s="176">
        <v>0</v>
      </c>
      <c r="I504" s="177">
        <v>0</v>
      </c>
      <c r="J504" s="175">
        <v>46057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-274.55</v>
      </c>
    </row>
    <row r="505" spans="1:16" ht="19.5" customHeight="1">
      <c r="A505" s="171" t="s">
        <v>180</v>
      </c>
      <c r="B505" s="175">
        <v>46057</v>
      </c>
      <c r="C505" s="171" t="s">
        <v>151</v>
      </c>
      <c r="D505" s="171" t="s">
        <v>152</v>
      </c>
      <c r="E505" s="171" t="s">
        <v>125</v>
      </c>
      <c r="F505" s="171" t="s">
        <v>125</v>
      </c>
      <c r="G505" s="171" t="s">
        <v>125</v>
      </c>
      <c r="H505" s="176">
        <v>0</v>
      </c>
      <c r="I505" s="177">
        <v>0</v>
      </c>
      <c r="J505" s="175">
        <v>46057</v>
      </c>
      <c r="K505" s="171" t="s">
        <v>125</v>
      </c>
      <c r="L505" s="171" t="s">
        <v>125</v>
      </c>
      <c r="M505" s="178">
        <v>0</v>
      </c>
      <c r="N505" s="176"/>
      <c r="O505" s="176"/>
      <c r="P505" s="179">
        <v>-357.48</v>
      </c>
    </row>
    <row r="506" spans="1:16" ht="19.5" customHeight="1">
      <c r="A506" s="171" t="s">
        <v>150</v>
      </c>
      <c r="B506" s="175">
        <v>46057</v>
      </c>
      <c r="C506" s="171" t="s">
        <v>151</v>
      </c>
      <c r="D506" s="171" t="s">
        <v>152</v>
      </c>
      <c r="E506" s="171" t="s">
        <v>125</v>
      </c>
      <c r="F506" s="171" t="s">
        <v>125</v>
      </c>
      <c r="G506" s="171" t="s">
        <v>125</v>
      </c>
      <c r="H506" s="176">
        <v>0</v>
      </c>
      <c r="I506" s="177">
        <v>0</v>
      </c>
      <c r="J506" s="175">
        <v>46057</v>
      </c>
      <c r="K506" s="171" t="s">
        <v>125</v>
      </c>
      <c r="L506" s="171" t="s">
        <v>125</v>
      </c>
      <c r="M506" s="178">
        <v>0</v>
      </c>
      <c r="N506" s="176"/>
      <c r="O506" s="176"/>
      <c r="P506" s="179">
        <v>-855.11</v>
      </c>
    </row>
    <row r="507" spans="1:16" ht="19.5" customHeight="1">
      <c r="A507" s="171" t="s">
        <v>155</v>
      </c>
      <c r="B507" s="175">
        <v>46057</v>
      </c>
      <c r="C507" s="171" t="s">
        <v>151</v>
      </c>
      <c r="D507" s="171" t="s">
        <v>156</v>
      </c>
      <c r="E507" s="171" t="s">
        <v>125</v>
      </c>
      <c r="F507" s="171" t="s">
        <v>125</v>
      </c>
      <c r="G507" s="171" t="s">
        <v>125</v>
      </c>
      <c r="H507" s="176">
        <v>0</v>
      </c>
      <c r="I507" s="177">
        <v>0</v>
      </c>
      <c r="J507" s="175">
        <v>46057</v>
      </c>
      <c r="K507" s="171" t="s">
        <v>125</v>
      </c>
      <c r="L507" s="171" t="s">
        <v>125</v>
      </c>
      <c r="M507" s="178">
        <v>0</v>
      </c>
      <c r="N507" s="176"/>
      <c r="O507" s="176"/>
      <c r="P507" s="179">
        <v>-4626</v>
      </c>
    </row>
    <row r="508" spans="1:16" ht="19.5" customHeight="1">
      <c r="A508" s="171" t="s">
        <v>1117</v>
      </c>
      <c r="B508" s="175">
        <v>46058</v>
      </c>
      <c r="C508" s="171" t="s">
        <v>110</v>
      </c>
      <c r="D508" s="171" t="s">
        <v>24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46051</v>
      </c>
      <c r="K508" s="171" t="s">
        <v>113</v>
      </c>
      <c r="L508" s="171" t="s">
        <v>114</v>
      </c>
      <c r="M508" s="178">
        <v>0</v>
      </c>
      <c r="N508" s="176"/>
      <c r="O508" s="176">
        <v>48</v>
      </c>
      <c r="P508" s="179">
        <v>-46.77</v>
      </c>
    </row>
    <row r="509" spans="1:16" ht="19.5" customHeight="1">
      <c r="A509" s="171" t="s">
        <v>1117</v>
      </c>
      <c r="B509" s="175">
        <v>46058</v>
      </c>
      <c r="C509" s="171" t="s">
        <v>115</v>
      </c>
      <c r="D509" s="171" t="s">
        <v>116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46051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-10.51</v>
      </c>
    </row>
    <row r="510" spans="1:16" ht="19.5" customHeight="1">
      <c r="A510" s="171" t="s">
        <v>1118</v>
      </c>
      <c r="B510" s="175">
        <v>46058</v>
      </c>
      <c r="C510" s="171" t="s">
        <v>110</v>
      </c>
      <c r="D510" s="171" t="s">
        <v>24</v>
      </c>
      <c r="E510" s="171" t="s">
        <v>49</v>
      </c>
      <c r="F510" s="171" t="s">
        <v>490</v>
      </c>
      <c r="G510" s="171" t="s">
        <v>112</v>
      </c>
      <c r="H510" s="176">
        <v>1</v>
      </c>
      <c r="I510" s="177">
        <v>0</v>
      </c>
      <c r="J510" s="175">
        <v>46051</v>
      </c>
      <c r="K510" s="171" t="s">
        <v>113</v>
      </c>
      <c r="L510" s="171" t="s">
        <v>114</v>
      </c>
      <c r="M510" s="178">
        <v>0</v>
      </c>
      <c r="N510" s="176"/>
      <c r="O510" s="176">
        <v>48</v>
      </c>
      <c r="P510" s="179">
        <v>-46.77</v>
      </c>
    </row>
    <row r="511" spans="1:16" ht="19.5" customHeight="1">
      <c r="A511" s="171" t="s">
        <v>1118</v>
      </c>
      <c r="B511" s="175">
        <v>46058</v>
      </c>
      <c r="C511" s="171" t="s">
        <v>115</v>
      </c>
      <c r="D511" s="171" t="s">
        <v>116</v>
      </c>
      <c r="E511" s="171" t="s">
        <v>49</v>
      </c>
      <c r="F511" s="171" t="s">
        <v>490</v>
      </c>
      <c r="G511" s="171" t="s">
        <v>112</v>
      </c>
      <c r="H511" s="176">
        <v>1</v>
      </c>
      <c r="I511" s="177">
        <v>0</v>
      </c>
      <c r="J511" s="175">
        <v>46051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-8.64</v>
      </c>
    </row>
    <row r="512" spans="1:16" ht="19.5" customHeight="1">
      <c r="A512" s="171" t="s">
        <v>1119</v>
      </c>
      <c r="B512" s="175">
        <v>46058</v>
      </c>
      <c r="C512" s="171" t="s">
        <v>110</v>
      </c>
      <c r="D512" s="171" t="s">
        <v>24</v>
      </c>
      <c r="E512" s="171" t="s">
        <v>48</v>
      </c>
      <c r="F512" s="171" t="s">
        <v>198</v>
      </c>
      <c r="G512" s="171" t="s">
        <v>112</v>
      </c>
      <c r="H512" s="176">
        <v>1</v>
      </c>
      <c r="I512" s="177">
        <v>0</v>
      </c>
      <c r="J512" s="175">
        <v>46051</v>
      </c>
      <c r="K512" s="171" t="s">
        <v>113</v>
      </c>
      <c r="L512" s="171" t="s">
        <v>114</v>
      </c>
      <c r="M512" s="178">
        <v>0</v>
      </c>
      <c r="N512" s="176"/>
      <c r="O512" s="176">
        <v>48</v>
      </c>
      <c r="P512" s="179">
        <v>-46.77</v>
      </c>
    </row>
    <row r="513" spans="1:16" ht="19.5" customHeight="1">
      <c r="A513" s="171" t="s">
        <v>1119</v>
      </c>
      <c r="B513" s="175">
        <v>46058</v>
      </c>
      <c r="C513" s="171" t="s">
        <v>115</v>
      </c>
      <c r="D513" s="171" t="s">
        <v>116</v>
      </c>
      <c r="E513" s="171" t="s">
        <v>48</v>
      </c>
      <c r="F513" s="171" t="s">
        <v>198</v>
      </c>
      <c r="G513" s="171" t="s">
        <v>112</v>
      </c>
      <c r="H513" s="176">
        <v>1</v>
      </c>
      <c r="I513" s="177">
        <v>0</v>
      </c>
      <c r="J513" s="175">
        <v>46051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-8.4</v>
      </c>
    </row>
    <row r="514" spans="1:16" ht="19.5" customHeight="1">
      <c r="A514" s="171" t="s">
        <v>1119</v>
      </c>
      <c r="B514" s="175">
        <v>46058</v>
      </c>
      <c r="C514" s="171" t="s">
        <v>110</v>
      </c>
      <c r="D514" s="171" t="s">
        <v>117</v>
      </c>
      <c r="E514" s="171" t="s">
        <v>48</v>
      </c>
      <c r="F514" s="171" t="s">
        <v>198</v>
      </c>
      <c r="G514" s="171" t="s">
        <v>112</v>
      </c>
      <c r="H514" s="176">
        <v>1</v>
      </c>
      <c r="I514" s="177">
        <v>0</v>
      </c>
      <c r="J514" s="175">
        <v>46051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0</v>
      </c>
    </row>
    <row r="515" spans="1:16" ht="19.5" customHeight="1">
      <c r="A515" s="171" t="s">
        <v>1119</v>
      </c>
      <c r="B515" s="175">
        <v>46058</v>
      </c>
      <c r="C515" s="171" t="s">
        <v>110</v>
      </c>
      <c r="D515" s="171" t="s">
        <v>118</v>
      </c>
      <c r="E515" s="171" t="s">
        <v>48</v>
      </c>
      <c r="F515" s="171" t="s">
        <v>198</v>
      </c>
      <c r="G515" s="171" t="s">
        <v>112</v>
      </c>
      <c r="H515" s="176">
        <v>1</v>
      </c>
      <c r="I515" s="177">
        <v>0</v>
      </c>
      <c r="J515" s="175">
        <v>46051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-46.77</v>
      </c>
    </row>
    <row r="516" spans="1:16" ht="19.5" customHeight="1">
      <c r="A516" s="171" t="s">
        <v>1119</v>
      </c>
      <c r="B516" s="175">
        <v>46058</v>
      </c>
      <c r="C516" s="171" t="s">
        <v>115</v>
      </c>
      <c r="D516" s="171" t="s">
        <v>119</v>
      </c>
      <c r="E516" s="171" t="s">
        <v>48</v>
      </c>
      <c r="F516" s="171" t="s">
        <v>198</v>
      </c>
      <c r="G516" s="171" t="s">
        <v>112</v>
      </c>
      <c r="H516" s="176">
        <v>1</v>
      </c>
      <c r="I516" s="177">
        <v>0</v>
      </c>
      <c r="J516" s="175">
        <v>46051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-15</v>
      </c>
    </row>
    <row r="517" spans="1:16" ht="19.5" customHeight="1">
      <c r="A517" s="171" t="s">
        <v>1118</v>
      </c>
      <c r="B517" s="175">
        <v>46058</v>
      </c>
      <c r="C517" s="171" t="s">
        <v>110</v>
      </c>
      <c r="D517" s="171" t="s">
        <v>117</v>
      </c>
      <c r="E517" s="171" t="s">
        <v>49</v>
      </c>
      <c r="F517" s="171" t="s">
        <v>490</v>
      </c>
      <c r="G517" s="171" t="s">
        <v>112</v>
      </c>
      <c r="H517" s="176">
        <v>1</v>
      </c>
      <c r="I517" s="177">
        <v>0</v>
      </c>
      <c r="J517" s="175">
        <v>46051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0</v>
      </c>
    </row>
    <row r="518" spans="1:16" ht="19.5" customHeight="1">
      <c r="A518" s="171" t="s">
        <v>1118</v>
      </c>
      <c r="B518" s="175">
        <v>46058</v>
      </c>
      <c r="C518" s="171" t="s">
        <v>110</v>
      </c>
      <c r="D518" s="171" t="s">
        <v>118</v>
      </c>
      <c r="E518" s="171" t="s">
        <v>49</v>
      </c>
      <c r="F518" s="171" t="s">
        <v>490</v>
      </c>
      <c r="G518" s="171" t="s">
        <v>112</v>
      </c>
      <c r="H518" s="176">
        <v>1</v>
      </c>
      <c r="I518" s="177">
        <v>0</v>
      </c>
      <c r="J518" s="175">
        <v>46051</v>
      </c>
      <c r="K518" s="171" t="s">
        <v>113</v>
      </c>
      <c r="L518" s="171" t="s">
        <v>114</v>
      </c>
      <c r="M518" s="178">
        <v>0</v>
      </c>
      <c r="N518" s="176"/>
      <c r="O518" s="176"/>
      <c r="P518" s="179">
        <v>-46.77</v>
      </c>
    </row>
    <row r="519" spans="1:16" ht="19.5" customHeight="1">
      <c r="A519" s="171" t="s">
        <v>1118</v>
      </c>
      <c r="B519" s="175">
        <v>46058</v>
      </c>
      <c r="C519" s="171" t="s">
        <v>115</v>
      </c>
      <c r="D519" s="171" t="s">
        <v>119</v>
      </c>
      <c r="E519" s="171" t="s">
        <v>49</v>
      </c>
      <c r="F519" s="171" t="s">
        <v>490</v>
      </c>
      <c r="G519" s="171" t="s">
        <v>112</v>
      </c>
      <c r="H519" s="176">
        <v>1</v>
      </c>
      <c r="I519" s="177">
        <v>0</v>
      </c>
      <c r="J519" s="175">
        <v>46051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-15</v>
      </c>
    </row>
    <row r="520" spans="1:16" ht="19.5" customHeight="1">
      <c r="A520" s="171" t="s">
        <v>1117</v>
      </c>
      <c r="B520" s="175">
        <v>46058</v>
      </c>
      <c r="C520" s="171" t="s">
        <v>110</v>
      </c>
      <c r="D520" s="171" t="s">
        <v>117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46051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1117</v>
      </c>
      <c r="B521" s="175">
        <v>46058</v>
      </c>
      <c r="C521" s="171" t="s">
        <v>110</v>
      </c>
      <c r="D521" s="171" t="s">
        <v>118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46051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1117</v>
      </c>
      <c r="B522" s="175">
        <v>46058</v>
      </c>
      <c r="C522" s="171" t="s">
        <v>115</v>
      </c>
      <c r="D522" s="171" t="s">
        <v>119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46051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1120</v>
      </c>
      <c r="B523" s="175">
        <v>46058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46058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-15.74</v>
      </c>
    </row>
    <row r="524" spans="1:16" ht="19.5" customHeight="1">
      <c r="A524" s="171" t="s">
        <v>989</v>
      </c>
      <c r="B524" s="175">
        <v>46058</v>
      </c>
      <c r="C524" s="171" t="s">
        <v>110</v>
      </c>
      <c r="D524" s="171" t="s">
        <v>121</v>
      </c>
      <c r="E524" s="171" t="s">
        <v>48</v>
      </c>
      <c r="F524" s="171" t="s">
        <v>198</v>
      </c>
      <c r="G524" s="171" t="s">
        <v>112</v>
      </c>
      <c r="H524" s="176">
        <v>1</v>
      </c>
      <c r="I524" s="177">
        <v>0</v>
      </c>
      <c r="J524" s="175">
        <v>46052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0</v>
      </c>
    </row>
    <row r="525" spans="1:16" ht="19.5" customHeight="1">
      <c r="A525" s="171" t="s">
        <v>989</v>
      </c>
      <c r="B525" s="175">
        <v>46058</v>
      </c>
      <c r="C525" s="171" t="s">
        <v>110</v>
      </c>
      <c r="D525" s="171" t="s">
        <v>118</v>
      </c>
      <c r="E525" s="171" t="s">
        <v>48</v>
      </c>
      <c r="F525" s="171" t="s">
        <v>198</v>
      </c>
      <c r="G525" s="171" t="s">
        <v>112</v>
      </c>
      <c r="H525" s="176">
        <v>1</v>
      </c>
      <c r="I525" s="177">
        <v>0</v>
      </c>
      <c r="J525" s="175">
        <v>46052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-46.77</v>
      </c>
    </row>
    <row r="526" spans="1:16" ht="19.5" customHeight="1">
      <c r="A526" s="171" t="s">
        <v>989</v>
      </c>
      <c r="B526" s="175">
        <v>46058</v>
      </c>
      <c r="C526" s="171" t="s">
        <v>115</v>
      </c>
      <c r="D526" s="171" t="s">
        <v>119</v>
      </c>
      <c r="E526" s="171" t="s">
        <v>48</v>
      </c>
      <c r="F526" s="171" t="s">
        <v>198</v>
      </c>
      <c r="G526" s="171" t="s">
        <v>112</v>
      </c>
      <c r="H526" s="176">
        <v>1</v>
      </c>
      <c r="I526" s="177">
        <v>0</v>
      </c>
      <c r="J526" s="175">
        <v>46052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-15</v>
      </c>
    </row>
    <row r="527" spans="1:16" ht="19.5" customHeight="1">
      <c r="A527" s="171" t="s">
        <v>1121</v>
      </c>
      <c r="B527" s="175">
        <v>46058</v>
      </c>
      <c r="C527" s="171" t="s">
        <v>110</v>
      </c>
      <c r="D527" s="171" t="s">
        <v>24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1800</v>
      </c>
      <c r="J527" s="175">
        <v>46056</v>
      </c>
      <c r="K527" s="171" t="s">
        <v>113</v>
      </c>
      <c r="L527" s="171" t="s">
        <v>114</v>
      </c>
      <c r="M527" s="178">
        <v>0.43</v>
      </c>
      <c r="N527" s="176"/>
      <c r="O527" s="176">
        <v>43</v>
      </c>
      <c r="P527" s="179">
        <v>-128.83000000000001</v>
      </c>
    </row>
    <row r="528" spans="1:16" ht="19.5" customHeight="1">
      <c r="A528" s="171" t="s">
        <v>1121</v>
      </c>
      <c r="B528" s="175">
        <v>46058</v>
      </c>
      <c r="C528" s="171" t="s">
        <v>127</v>
      </c>
      <c r="D528" s="171" t="s">
        <v>128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1800</v>
      </c>
      <c r="J528" s="175">
        <v>46056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809.52</v>
      </c>
    </row>
    <row r="529" spans="1:16" ht="19.5" customHeight="1">
      <c r="A529" s="171" t="s">
        <v>1121</v>
      </c>
      <c r="B529" s="175">
        <v>46058</v>
      </c>
      <c r="C529" s="171" t="s">
        <v>127</v>
      </c>
      <c r="D529" s="171" t="s">
        <v>129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1800</v>
      </c>
      <c r="J529" s="175">
        <v>46056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0</v>
      </c>
    </row>
    <row r="530" spans="1:16" ht="19.5" customHeight="1">
      <c r="A530" s="171" t="s">
        <v>1121</v>
      </c>
      <c r="B530" s="175">
        <v>46058</v>
      </c>
      <c r="C530" s="171" t="s">
        <v>127</v>
      </c>
      <c r="D530" s="171" t="s">
        <v>130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1800</v>
      </c>
      <c r="J530" s="175">
        <v>46056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990.48</v>
      </c>
    </row>
    <row r="531" spans="1:16" ht="19.5" customHeight="1">
      <c r="A531" s="171" t="s">
        <v>1121</v>
      </c>
      <c r="B531" s="175">
        <v>46058</v>
      </c>
      <c r="C531" s="171" t="s">
        <v>131</v>
      </c>
      <c r="D531" s="171" t="s">
        <v>132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1800</v>
      </c>
      <c r="J531" s="175">
        <v>46056</v>
      </c>
      <c r="K531" s="171" t="s">
        <v>113</v>
      </c>
      <c r="L531" s="171" t="s">
        <v>114</v>
      </c>
      <c r="M531" s="178">
        <v>0.43</v>
      </c>
      <c r="N531" s="176"/>
      <c r="O531" s="176"/>
      <c r="P531" s="179">
        <v>-774</v>
      </c>
    </row>
    <row r="532" spans="1:16" ht="19.5" customHeight="1">
      <c r="A532" s="171" t="s">
        <v>1121</v>
      </c>
      <c r="B532" s="175">
        <v>46058</v>
      </c>
      <c r="C532" s="171" t="s">
        <v>115</v>
      </c>
      <c r="D532" s="171" t="s">
        <v>116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1800</v>
      </c>
      <c r="J532" s="175">
        <v>46056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-9.9700000000000006</v>
      </c>
    </row>
    <row r="533" spans="1:16" ht="19.5" customHeight="1">
      <c r="A533" s="171" t="s">
        <v>1122</v>
      </c>
      <c r="B533" s="175">
        <v>46058</v>
      </c>
      <c r="C533" s="171" t="s">
        <v>115</v>
      </c>
      <c r="D533" s="171" t="s">
        <v>135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0</v>
      </c>
      <c r="J533" s="175">
        <v>46058</v>
      </c>
      <c r="K533" s="171" t="s">
        <v>125</v>
      </c>
      <c r="L533" s="171" t="s">
        <v>125</v>
      </c>
      <c r="M533" s="178">
        <v>0</v>
      </c>
      <c r="N533" s="176"/>
      <c r="O533" s="176"/>
      <c r="P533" s="179">
        <v>-15.71</v>
      </c>
    </row>
    <row r="534" spans="1:16" ht="19.5" customHeight="1">
      <c r="A534" s="171" t="s">
        <v>1123</v>
      </c>
      <c r="B534" s="175">
        <v>46058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1670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>
        <v>52</v>
      </c>
      <c r="P534" s="179">
        <v>-147.6</v>
      </c>
    </row>
    <row r="535" spans="1:16" ht="19.5" customHeight="1">
      <c r="A535" s="171" t="s">
        <v>1123</v>
      </c>
      <c r="B535" s="175">
        <v>46058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1670</v>
      </c>
      <c r="J535" s="175">
        <v>46043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574.29</v>
      </c>
    </row>
    <row r="536" spans="1:16" ht="19.5" customHeight="1">
      <c r="A536" s="171" t="s">
        <v>1123</v>
      </c>
      <c r="B536" s="175">
        <v>46058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1670</v>
      </c>
      <c r="J536" s="175">
        <v>46043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5.74</v>
      </c>
    </row>
    <row r="537" spans="1:16" ht="19.5" customHeight="1">
      <c r="A537" s="171" t="s">
        <v>1123</v>
      </c>
      <c r="B537" s="175">
        <v>46058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1670</v>
      </c>
      <c r="J537" s="175">
        <v>46043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1089.97</v>
      </c>
    </row>
    <row r="538" spans="1:16" ht="19.5" customHeight="1">
      <c r="A538" s="171" t="s">
        <v>1123</v>
      </c>
      <c r="B538" s="175">
        <v>46058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1670</v>
      </c>
      <c r="J538" s="175">
        <v>46043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-718.1</v>
      </c>
    </row>
    <row r="539" spans="1:16" ht="19.5" customHeight="1">
      <c r="A539" s="171" t="s">
        <v>1123</v>
      </c>
      <c r="B539" s="175">
        <v>46058</v>
      </c>
      <c r="C539" s="171" t="s">
        <v>115</v>
      </c>
      <c r="D539" s="171" t="s">
        <v>135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46043</v>
      </c>
      <c r="K539" s="171" t="s">
        <v>125</v>
      </c>
      <c r="L539" s="171" t="s">
        <v>125</v>
      </c>
      <c r="M539" s="178">
        <v>0</v>
      </c>
      <c r="N539" s="176"/>
      <c r="O539" s="176"/>
      <c r="P539" s="179">
        <v>-10.91</v>
      </c>
    </row>
    <row r="540" spans="1:16" ht="19.5" customHeight="1">
      <c r="A540" s="171" t="s">
        <v>1124</v>
      </c>
      <c r="B540" s="175">
        <v>46058</v>
      </c>
      <c r="C540" s="171" t="s">
        <v>110</v>
      </c>
      <c r="D540" s="171" t="s">
        <v>24</v>
      </c>
      <c r="E540" s="171" t="s">
        <v>42</v>
      </c>
      <c r="F540" s="171" t="s">
        <v>248</v>
      </c>
      <c r="G540" s="171" t="s">
        <v>112</v>
      </c>
      <c r="H540" s="176">
        <v>1</v>
      </c>
      <c r="I540" s="177">
        <v>0</v>
      </c>
      <c r="J540" s="175">
        <v>46055</v>
      </c>
      <c r="K540" s="171" t="s">
        <v>113</v>
      </c>
      <c r="L540" s="171" t="s">
        <v>114</v>
      </c>
      <c r="M540" s="178">
        <v>0</v>
      </c>
      <c r="N540" s="176"/>
      <c r="O540" s="176">
        <v>42</v>
      </c>
      <c r="P540" s="179">
        <v>-124.73</v>
      </c>
    </row>
    <row r="541" spans="1:16" ht="19.5" customHeight="1">
      <c r="A541" s="171" t="s">
        <v>1125</v>
      </c>
      <c r="B541" s="175">
        <v>46058</v>
      </c>
      <c r="C541" s="171" t="s">
        <v>110</v>
      </c>
      <c r="D541" s="171" t="s">
        <v>24</v>
      </c>
      <c r="E541" s="171" t="s">
        <v>76</v>
      </c>
      <c r="F541" s="171" t="s">
        <v>821</v>
      </c>
      <c r="G541" s="171" t="s">
        <v>177</v>
      </c>
      <c r="H541" s="176">
        <v>1</v>
      </c>
      <c r="I541" s="177">
        <v>4300</v>
      </c>
      <c r="J541" s="175">
        <v>46056</v>
      </c>
      <c r="K541" s="171" t="s">
        <v>113</v>
      </c>
      <c r="L541" s="171" t="s">
        <v>114</v>
      </c>
      <c r="M541" s="178">
        <v>0.43</v>
      </c>
      <c r="N541" s="176"/>
      <c r="O541" s="176">
        <v>43</v>
      </c>
      <c r="P541" s="179">
        <v>-220.1</v>
      </c>
    </row>
    <row r="542" spans="1:16" ht="19.5" customHeight="1">
      <c r="A542" s="171" t="s">
        <v>1125</v>
      </c>
      <c r="B542" s="175">
        <v>46058</v>
      </c>
      <c r="C542" s="171" t="s">
        <v>127</v>
      </c>
      <c r="D542" s="171" t="s">
        <v>128</v>
      </c>
      <c r="E542" s="171" t="s">
        <v>76</v>
      </c>
      <c r="F542" s="171" t="s">
        <v>821</v>
      </c>
      <c r="G542" s="171" t="s">
        <v>177</v>
      </c>
      <c r="H542" s="176">
        <v>1</v>
      </c>
      <c r="I542" s="177">
        <v>4300</v>
      </c>
      <c r="J542" s="175">
        <v>46056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2231.94</v>
      </c>
    </row>
    <row r="543" spans="1:16" ht="19.5" customHeight="1">
      <c r="A543" s="171" t="s">
        <v>1125</v>
      </c>
      <c r="B543" s="175">
        <v>46058</v>
      </c>
      <c r="C543" s="171" t="s">
        <v>127</v>
      </c>
      <c r="D543" s="171" t="s">
        <v>129</v>
      </c>
      <c r="E543" s="171" t="s">
        <v>76</v>
      </c>
      <c r="F543" s="171" t="s">
        <v>821</v>
      </c>
      <c r="G543" s="171" t="s">
        <v>177</v>
      </c>
      <c r="H543" s="176">
        <v>1</v>
      </c>
      <c r="I543" s="177">
        <v>4300</v>
      </c>
      <c r="J543" s="175">
        <v>46056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22.32</v>
      </c>
    </row>
    <row r="544" spans="1:16" ht="19.5" customHeight="1">
      <c r="A544" s="171" t="s">
        <v>1125</v>
      </c>
      <c r="B544" s="175">
        <v>46058</v>
      </c>
      <c r="C544" s="171" t="s">
        <v>127</v>
      </c>
      <c r="D544" s="171" t="s">
        <v>130</v>
      </c>
      <c r="E544" s="171" t="s">
        <v>76</v>
      </c>
      <c r="F544" s="171" t="s">
        <v>821</v>
      </c>
      <c r="G544" s="171" t="s">
        <v>177</v>
      </c>
      <c r="H544" s="176">
        <v>1</v>
      </c>
      <c r="I544" s="177">
        <v>4300</v>
      </c>
      <c r="J544" s="175">
        <v>46056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2045.74</v>
      </c>
    </row>
    <row r="545" spans="1:16" ht="19.5" customHeight="1">
      <c r="A545" s="171" t="s">
        <v>1125</v>
      </c>
      <c r="B545" s="175">
        <v>46058</v>
      </c>
      <c r="C545" s="171" t="s">
        <v>131</v>
      </c>
      <c r="D545" s="171" t="s">
        <v>132</v>
      </c>
      <c r="E545" s="171" t="s">
        <v>76</v>
      </c>
      <c r="F545" s="171" t="s">
        <v>821</v>
      </c>
      <c r="G545" s="171" t="s">
        <v>177</v>
      </c>
      <c r="H545" s="176">
        <v>1</v>
      </c>
      <c r="I545" s="177">
        <v>4300</v>
      </c>
      <c r="J545" s="175">
        <v>46056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-1849</v>
      </c>
    </row>
    <row r="546" spans="1:16" ht="19.5" customHeight="1">
      <c r="A546" s="171" t="s">
        <v>1125</v>
      </c>
      <c r="B546" s="175">
        <v>46058</v>
      </c>
      <c r="C546" s="171" t="s">
        <v>115</v>
      </c>
      <c r="D546" s="171" t="s">
        <v>116</v>
      </c>
      <c r="E546" s="171" t="s">
        <v>76</v>
      </c>
      <c r="F546" s="171" t="s">
        <v>821</v>
      </c>
      <c r="G546" s="171" t="s">
        <v>177</v>
      </c>
      <c r="H546" s="176">
        <v>1</v>
      </c>
      <c r="I546" s="177">
        <v>4300</v>
      </c>
      <c r="J546" s="175">
        <v>46056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-11.4</v>
      </c>
    </row>
    <row r="547" spans="1:16" ht="19.5" customHeight="1">
      <c r="A547" s="171" t="s">
        <v>740</v>
      </c>
      <c r="B547" s="175">
        <v>46058</v>
      </c>
      <c r="C547" s="171" t="s">
        <v>110</v>
      </c>
      <c r="D547" s="171" t="s">
        <v>121</v>
      </c>
      <c r="E547" s="171" t="s">
        <v>77</v>
      </c>
      <c r="F547" s="171" t="s">
        <v>194</v>
      </c>
      <c r="G547" s="171" t="s">
        <v>177</v>
      </c>
      <c r="H547" s="176">
        <v>1</v>
      </c>
      <c r="I547" s="177">
        <v>0</v>
      </c>
      <c r="J547" s="175">
        <v>46044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0</v>
      </c>
    </row>
    <row r="548" spans="1:16" ht="19.5" customHeight="1">
      <c r="A548" s="171" t="s">
        <v>740</v>
      </c>
      <c r="B548" s="175">
        <v>46058</v>
      </c>
      <c r="C548" s="171" t="s">
        <v>110</v>
      </c>
      <c r="D548" s="171" t="s">
        <v>118</v>
      </c>
      <c r="E548" s="171" t="s">
        <v>77</v>
      </c>
      <c r="F548" s="171" t="s">
        <v>194</v>
      </c>
      <c r="G548" s="171" t="s">
        <v>177</v>
      </c>
      <c r="H548" s="176">
        <v>1</v>
      </c>
      <c r="I548" s="177">
        <v>0</v>
      </c>
      <c r="J548" s="175">
        <v>46044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-56.94</v>
      </c>
    </row>
    <row r="549" spans="1:16" ht="19.5" customHeight="1">
      <c r="A549" s="171" t="s">
        <v>740</v>
      </c>
      <c r="B549" s="175">
        <v>46058</v>
      </c>
      <c r="C549" s="171" t="s">
        <v>115</v>
      </c>
      <c r="D549" s="171" t="s">
        <v>119</v>
      </c>
      <c r="E549" s="171" t="s">
        <v>77</v>
      </c>
      <c r="F549" s="171" t="s">
        <v>194</v>
      </c>
      <c r="G549" s="171" t="s">
        <v>177</v>
      </c>
      <c r="H549" s="176">
        <v>1</v>
      </c>
      <c r="I549" s="177">
        <v>0</v>
      </c>
      <c r="J549" s="175">
        <v>46044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-15</v>
      </c>
    </row>
    <row r="550" spans="1:16" ht="19.5" customHeight="1">
      <c r="A550" s="171" t="s">
        <v>1036</v>
      </c>
      <c r="B550" s="175">
        <v>46058</v>
      </c>
      <c r="C550" s="171" t="s">
        <v>110</v>
      </c>
      <c r="D550" s="171" t="s">
        <v>121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46052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0</v>
      </c>
    </row>
    <row r="551" spans="1:16" ht="19.5" customHeight="1">
      <c r="A551" s="171" t="s">
        <v>1036</v>
      </c>
      <c r="B551" s="175">
        <v>46058</v>
      </c>
      <c r="C551" s="171" t="s">
        <v>110</v>
      </c>
      <c r="D551" s="171" t="s">
        <v>118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0</v>
      </c>
      <c r="J551" s="175">
        <v>46052</v>
      </c>
      <c r="K551" s="171" t="s">
        <v>113</v>
      </c>
      <c r="L551" s="171" t="s">
        <v>114</v>
      </c>
      <c r="M551" s="178">
        <v>0</v>
      </c>
      <c r="N551" s="176"/>
      <c r="O551" s="176"/>
      <c r="P551" s="179">
        <v>-46.77</v>
      </c>
    </row>
    <row r="552" spans="1:16" ht="19.5" customHeight="1">
      <c r="A552" s="171" t="s">
        <v>1036</v>
      </c>
      <c r="B552" s="175">
        <v>46058</v>
      </c>
      <c r="C552" s="171" t="s">
        <v>115</v>
      </c>
      <c r="D552" s="171" t="s">
        <v>119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46052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-15</v>
      </c>
    </row>
    <row r="553" spans="1:16" ht="19.5" customHeight="1">
      <c r="A553" s="171" t="s">
        <v>1126</v>
      </c>
      <c r="B553" s="175">
        <v>46058</v>
      </c>
      <c r="C553" s="171" t="s">
        <v>115</v>
      </c>
      <c r="D553" s="171" t="s">
        <v>135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46058</v>
      </c>
      <c r="K553" s="171" t="s">
        <v>125</v>
      </c>
      <c r="L553" s="171" t="s">
        <v>125</v>
      </c>
      <c r="M553" s="178">
        <v>0</v>
      </c>
      <c r="N553" s="176"/>
      <c r="O553" s="176"/>
      <c r="P553" s="179">
        <v>-5.41</v>
      </c>
    </row>
    <row r="554" spans="1:16" ht="19.5" customHeight="1">
      <c r="A554" s="171" t="s">
        <v>1127</v>
      </c>
      <c r="B554" s="175">
        <v>46058</v>
      </c>
      <c r="C554" s="171" t="s">
        <v>115</v>
      </c>
      <c r="D554" s="171" t="s">
        <v>135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46058</v>
      </c>
      <c r="K554" s="171" t="s">
        <v>125</v>
      </c>
      <c r="L554" s="171" t="s">
        <v>125</v>
      </c>
      <c r="M554" s="178">
        <v>0</v>
      </c>
      <c r="N554" s="176"/>
      <c r="O554" s="176"/>
      <c r="P554" s="179">
        <v>-5.41</v>
      </c>
    </row>
    <row r="555" spans="1:16" ht="19.5" customHeight="1">
      <c r="A555" s="171" t="s">
        <v>1128</v>
      </c>
      <c r="B555" s="175">
        <v>46058</v>
      </c>
      <c r="C555" s="171" t="s">
        <v>110</v>
      </c>
      <c r="D555" s="171" t="s">
        <v>24</v>
      </c>
      <c r="E555" s="171" t="s">
        <v>48</v>
      </c>
      <c r="F555" s="171" t="s">
        <v>198</v>
      </c>
      <c r="G555" s="171" t="s">
        <v>112</v>
      </c>
      <c r="H555" s="176">
        <v>1</v>
      </c>
      <c r="I555" s="177">
        <v>0</v>
      </c>
      <c r="J555" s="175">
        <v>46051</v>
      </c>
      <c r="K555" s="171" t="s">
        <v>113</v>
      </c>
      <c r="L555" s="171" t="s">
        <v>114</v>
      </c>
      <c r="M555" s="178">
        <v>0</v>
      </c>
      <c r="N555" s="176"/>
      <c r="O555" s="176">
        <v>48</v>
      </c>
      <c r="P555" s="179">
        <v>-46.77</v>
      </c>
    </row>
    <row r="556" spans="1:16" ht="19.5" customHeight="1">
      <c r="A556" s="171" t="s">
        <v>1128</v>
      </c>
      <c r="B556" s="175">
        <v>46058</v>
      </c>
      <c r="C556" s="171" t="s">
        <v>110</v>
      </c>
      <c r="D556" s="171" t="s">
        <v>117</v>
      </c>
      <c r="E556" s="171" t="s">
        <v>48</v>
      </c>
      <c r="F556" s="171" t="s">
        <v>198</v>
      </c>
      <c r="G556" s="171" t="s">
        <v>112</v>
      </c>
      <c r="H556" s="176">
        <v>1</v>
      </c>
      <c r="I556" s="177">
        <v>0</v>
      </c>
      <c r="J556" s="175">
        <v>46051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0</v>
      </c>
    </row>
    <row r="557" spans="1:16" ht="19.5" customHeight="1">
      <c r="A557" s="171" t="s">
        <v>1128</v>
      </c>
      <c r="B557" s="175">
        <v>46058</v>
      </c>
      <c r="C557" s="171" t="s">
        <v>110</v>
      </c>
      <c r="D557" s="171" t="s">
        <v>118</v>
      </c>
      <c r="E557" s="171" t="s">
        <v>48</v>
      </c>
      <c r="F557" s="171" t="s">
        <v>198</v>
      </c>
      <c r="G557" s="171" t="s">
        <v>112</v>
      </c>
      <c r="H557" s="176">
        <v>1</v>
      </c>
      <c r="I557" s="177">
        <v>0</v>
      </c>
      <c r="J557" s="175">
        <v>46051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-46.77</v>
      </c>
    </row>
    <row r="558" spans="1:16" ht="19.5" customHeight="1">
      <c r="A558" s="171" t="s">
        <v>1129</v>
      </c>
      <c r="B558" s="175">
        <v>46058</v>
      </c>
      <c r="C558" s="171" t="s">
        <v>115</v>
      </c>
      <c r="D558" s="171" t="s">
        <v>135</v>
      </c>
      <c r="E558" s="171" t="s">
        <v>45</v>
      </c>
      <c r="F558" s="171" t="s">
        <v>162</v>
      </c>
      <c r="G558" s="171" t="s">
        <v>163</v>
      </c>
      <c r="H558" s="176">
        <v>1</v>
      </c>
      <c r="I558" s="177">
        <v>0</v>
      </c>
      <c r="J558" s="175">
        <v>46058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-23.86</v>
      </c>
    </row>
    <row r="559" spans="1:16" ht="19.5" customHeight="1">
      <c r="A559" s="171" t="s">
        <v>1130</v>
      </c>
      <c r="B559" s="175">
        <v>46058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1800</v>
      </c>
      <c r="J559" s="175">
        <v>46056</v>
      </c>
      <c r="K559" s="171" t="s">
        <v>113</v>
      </c>
      <c r="L559" s="171" t="s">
        <v>114</v>
      </c>
      <c r="M559" s="178">
        <v>0.43</v>
      </c>
      <c r="N559" s="176"/>
      <c r="O559" s="176">
        <v>43</v>
      </c>
      <c r="P559" s="179">
        <v>-128.83000000000001</v>
      </c>
    </row>
    <row r="560" spans="1:16" ht="19.5" customHeight="1">
      <c r="A560" s="171" t="s">
        <v>1130</v>
      </c>
      <c r="B560" s="175">
        <v>46058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1800</v>
      </c>
      <c r="J560" s="175">
        <v>46056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792.78</v>
      </c>
    </row>
    <row r="561" spans="1:16" ht="19.5" customHeight="1">
      <c r="A561" s="171" t="s">
        <v>1130</v>
      </c>
      <c r="B561" s="175">
        <v>46058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1800</v>
      </c>
      <c r="J561" s="175">
        <v>46056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7.93</v>
      </c>
    </row>
    <row r="562" spans="1:16" ht="19.5" customHeight="1">
      <c r="A562" s="171" t="s">
        <v>1130</v>
      </c>
      <c r="B562" s="175">
        <v>46058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1800</v>
      </c>
      <c r="J562" s="175">
        <v>46056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999.29</v>
      </c>
    </row>
    <row r="563" spans="1:16" ht="19.5" customHeight="1">
      <c r="A563" s="171" t="s">
        <v>1130</v>
      </c>
      <c r="B563" s="175">
        <v>46058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1800</v>
      </c>
      <c r="J563" s="175">
        <v>46056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-774</v>
      </c>
    </row>
    <row r="564" spans="1:16" ht="19.5" customHeight="1">
      <c r="A564" s="171" t="s">
        <v>1130</v>
      </c>
      <c r="B564" s="175">
        <v>46058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1800</v>
      </c>
      <c r="J564" s="175">
        <v>46056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-8.1</v>
      </c>
    </row>
    <row r="565" spans="1:16" ht="19.5" customHeight="1">
      <c r="A565" s="171" t="s">
        <v>1131</v>
      </c>
      <c r="B565" s="175">
        <v>46058</v>
      </c>
      <c r="C565" s="171" t="s">
        <v>110</v>
      </c>
      <c r="D565" s="171" t="s">
        <v>24</v>
      </c>
      <c r="E565" s="171" t="s">
        <v>67</v>
      </c>
      <c r="F565" s="171" t="s">
        <v>359</v>
      </c>
      <c r="G565" s="171" t="s">
        <v>177</v>
      </c>
      <c r="H565" s="176">
        <v>1</v>
      </c>
      <c r="I565" s="177">
        <v>4276</v>
      </c>
      <c r="J565" s="175">
        <v>46054</v>
      </c>
      <c r="K565" s="171" t="s">
        <v>113</v>
      </c>
      <c r="L565" s="171" t="s">
        <v>114</v>
      </c>
      <c r="M565" s="178">
        <v>0.43</v>
      </c>
      <c r="N565" s="176"/>
      <c r="O565" s="176">
        <v>42</v>
      </c>
      <c r="P565" s="179">
        <v>-211.27</v>
      </c>
    </row>
    <row r="566" spans="1:16" ht="19.5" customHeight="1">
      <c r="A566" s="171" t="s">
        <v>1131</v>
      </c>
      <c r="B566" s="175">
        <v>46058</v>
      </c>
      <c r="C566" s="171" t="s">
        <v>127</v>
      </c>
      <c r="D566" s="171" t="s">
        <v>128</v>
      </c>
      <c r="E566" s="171" t="s">
        <v>67</v>
      </c>
      <c r="F566" s="171" t="s">
        <v>359</v>
      </c>
      <c r="G566" s="171" t="s">
        <v>177</v>
      </c>
      <c r="H566" s="176">
        <v>1</v>
      </c>
      <c r="I566" s="177">
        <v>4276</v>
      </c>
      <c r="J566" s="175">
        <v>46054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2545.8200000000002</v>
      </c>
    </row>
    <row r="567" spans="1:16" ht="19.5" customHeight="1">
      <c r="A567" s="171" t="s">
        <v>1131</v>
      </c>
      <c r="B567" s="175">
        <v>46058</v>
      </c>
      <c r="C567" s="171" t="s">
        <v>127</v>
      </c>
      <c r="D567" s="171" t="s">
        <v>129</v>
      </c>
      <c r="E567" s="171" t="s">
        <v>67</v>
      </c>
      <c r="F567" s="171" t="s">
        <v>359</v>
      </c>
      <c r="G567" s="171" t="s">
        <v>177</v>
      </c>
      <c r="H567" s="176">
        <v>1</v>
      </c>
      <c r="I567" s="177">
        <v>4276</v>
      </c>
      <c r="J567" s="175">
        <v>46054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1131</v>
      </c>
      <c r="B568" s="175">
        <v>46058</v>
      </c>
      <c r="C568" s="171" t="s">
        <v>127</v>
      </c>
      <c r="D568" s="171" t="s">
        <v>130</v>
      </c>
      <c r="E568" s="171" t="s">
        <v>67</v>
      </c>
      <c r="F568" s="171" t="s">
        <v>359</v>
      </c>
      <c r="G568" s="171" t="s">
        <v>177</v>
      </c>
      <c r="H568" s="176">
        <v>1</v>
      </c>
      <c r="I568" s="177">
        <v>4276</v>
      </c>
      <c r="J568" s="175">
        <v>46054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1730.18</v>
      </c>
    </row>
    <row r="569" spans="1:16" ht="19.5" customHeight="1">
      <c r="A569" s="171" t="s">
        <v>1131</v>
      </c>
      <c r="B569" s="175">
        <v>46058</v>
      </c>
      <c r="C569" s="171" t="s">
        <v>131</v>
      </c>
      <c r="D569" s="171" t="s">
        <v>132</v>
      </c>
      <c r="E569" s="171" t="s">
        <v>67</v>
      </c>
      <c r="F569" s="171" t="s">
        <v>359</v>
      </c>
      <c r="G569" s="171" t="s">
        <v>177</v>
      </c>
      <c r="H569" s="176">
        <v>1</v>
      </c>
      <c r="I569" s="177">
        <v>4276</v>
      </c>
      <c r="J569" s="175">
        <v>46054</v>
      </c>
      <c r="K569" s="171" t="s">
        <v>113</v>
      </c>
      <c r="L569" s="171" t="s">
        <v>114</v>
      </c>
      <c r="M569" s="178">
        <v>0.43</v>
      </c>
      <c r="N569" s="176"/>
      <c r="O569" s="176"/>
      <c r="P569" s="179">
        <v>-1838.68</v>
      </c>
    </row>
    <row r="570" spans="1:16" ht="19.5" customHeight="1">
      <c r="A570" s="171" t="s">
        <v>1132</v>
      </c>
      <c r="B570" s="175">
        <v>46058</v>
      </c>
      <c r="C570" s="171" t="s">
        <v>110</v>
      </c>
      <c r="D570" s="171" t="s">
        <v>24</v>
      </c>
      <c r="E570" s="171" t="s">
        <v>67</v>
      </c>
      <c r="F570" s="171" t="s">
        <v>359</v>
      </c>
      <c r="G570" s="171" t="s">
        <v>177</v>
      </c>
      <c r="H570" s="176">
        <v>1</v>
      </c>
      <c r="I570" s="177">
        <v>4600</v>
      </c>
      <c r="J570" s="175">
        <v>46057</v>
      </c>
      <c r="K570" s="171" t="s">
        <v>113</v>
      </c>
      <c r="L570" s="171" t="s">
        <v>114</v>
      </c>
      <c r="M570" s="178">
        <v>0.43</v>
      </c>
      <c r="N570" s="176"/>
      <c r="O570" s="176">
        <v>42</v>
      </c>
      <c r="P570" s="179">
        <v>-220.5</v>
      </c>
    </row>
    <row r="571" spans="1:16" ht="19.5" customHeight="1">
      <c r="A571" s="171" t="s">
        <v>1132</v>
      </c>
      <c r="B571" s="175">
        <v>46058</v>
      </c>
      <c r="C571" s="171" t="s">
        <v>127</v>
      </c>
      <c r="D571" s="171" t="s">
        <v>128</v>
      </c>
      <c r="E571" s="171" t="s">
        <v>67</v>
      </c>
      <c r="F571" s="171" t="s">
        <v>359</v>
      </c>
      <c r="G571" s="171" t="s">
        <v>177</v>
      </c>
      <c r="H571" s="176">
        <v>1</v>
      </c>
      <c r="I571" s="177">
        <v>4600</v>
      </c>
      <c r="J571" s="175">
        <v>46057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2480.5700000000002</v>
      </c>
    </row>
    <row r="572" spans="1:16" ht="19.5" customHeight="1">
      <c r="A572" s="171" t="s">
        <v>1132</v>
      </c>
      <c r="B572" s="175">
        <v>46058</v>
      </c>
      <c r="C572" s="171" t="s">
        <v>127</v>
      </c>
      <c r="D572" s="171" t="s">
        <v>129</v>
      </c>
      <c r="E572" s="171" t="s">
        <v>67</v>
      </c>
      <c r="F572" s="171" t="s">
        <v>359</v>
      </c>
      <c r="G572" s="171" t="s">
        <v>177</v>
      </c>
      <c r="H572" s="176">
        <v>1</v>
      </c>
      <c r="I572" s="177">
        <v>4600</v>
      </c>
      <c r="J572" s="175">
        <v>46057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24.81</v>
      </c>
    </row>
    <row r="573" spans="1:16" ht="19.5" customHeight="1">
      <c r="A573" s="171" t="s">
        <v>1132</v>
      </c>
      <c r="B573" s="175">
        <v>46058</v>
      </c>
      <c r="C573" s="171" t="s">
        <v>127</v>
      </c>
      <c r="D573" s="171" t="s">
        <v>130</v>
      </c>
      <c r="E573" s="171" t="s">
        <v>67</v>
      </c>
      <c r="F573" s="171" t="s">
        <v>359</v>
      </c>
      <c r="G573" s="171" t="s">
        <v>177</v>
      </c>
      <c r="H573" s="176">
        <v>1</v>
      </c>
      <c r="I573" s="177">
        <v>4600</v>
      </c>
      <c r="J573" s="175">
        <v>46057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2094.62</v>
      </c>
    </row>
    <row r="574" spans="1:16" ht="19.5" customHeight="1">
      <c r="A574" s="171" t="s">
        <v>1132</v>
      </c>
      <c r="B574" s="175">
        <v>46058</v>
      </c>
      <c r="C574" s="171" t="s">
        <v>131</v>
      </c>
      <c r="D574" s="171" t="s">
        <v>132</v>
      </c>
      <c r="E574" s="171" t="s">
        <v>67</v>
      </c>
      <c r="F574" s="171" t="s">
        <v>359</v>
      </c>
      <c r="G574" s="171" t="s">
        <v>177</v>
      </c>
      <c r="H574" s="176">
        <v>1</v>
      </c>
      <c r="I574" s="177">
        <v>4600</v>
      </c>
      <c r="J574" s="175">
        <v>46057</v>
      </c>
      <c r="K574" s="171" t="s">
        <v>113</v>
      </c>
      <c r="L574" s="171" t="s">
        <v>114</v>
      </c>
      <c r="M574" s="178">
        <v>0.43</v>
      </c>
      <c r="N574" s="176"/>
      <c r="O574" s="176"/>
      <c r="P574" s="179">
        <v>-1978</v>
      </c>
    </row>
    <row r="575" spans="1:16" ht="19.5" customHeight="1">
      <c r="A575" s="171" t="s">
        <v>1132</v>
      </c>
      <c r="B575" s="175">
        <v>46058</v>
      </c>
      <c r="C575" s="171" t="s">
        <v>115</v>
      </c>
      <c r="D575" s="171" t="s">
        <v>116</v>
      </c>
      <c r="E575" s="171" t="s">
        <v>67</v>
      </c>
      <c r="F575" s="171" t="s">
        <v>359</v>
      </c>
      <c r="G575" s="171" t="s">
        <v>177</v>
      </c>
      <c r="H575" s="176">
        <v>1</v>
      </c>
      <c r="I575" s="177">
        <v>4600</v>
      </c>
      <c r="J575" s="175">
        <v>46057</v>
      </c>
      <c r="K575" s="171" t="s">
        <v>113</v>
      </c>
      <c r="L575" s="171" t="s">
        <v>114</v>
      </c>
      <c r="M575" s="178">
        <v>0.43</v>
      </c>
      <c r="N575" s="176"/>
      <c r="O575" s="176"/>
      <c r="P575" s="179">
        <v>-13.03</v>
      </c>
    </row>
    <row r="576" spans="1:16" ht="19.5" customHeight="1">
      <c r="A576" s="171" t="s">
        <v>1133</v>
      </c>
      <c r="B576" s="175">
        <v>46058</v>
      </c>
      <c r="C576" s="171" t="s">
        <v>110</v>
      </c>
      <c r="D576" s="171" t="s">
        <v>24</v>
      </c>
      <c r="E576" s="171" t="s">
        <v>42</v>
      </c>
      <c r="F576" s="171" t="s">
        <v>248</v>
      </c>
      <c r="G576" s="171" t="s">
        <v>112</v>
      </c>
      <c r="H576" s="176">
        <v>1</v>
      </c>
      <c r="I576" s="177">
        <v>1800</v>
      </c>
      <c r="J576" s="175">
        <v>46056</v>
      </c>
      <c r="K576" s="171" t="s">
        <v>113</v>
      </c>
      <c r="L576" s="171" t="s">
        <v>114</v>
      </c>
      <c r="M576" s="178">
        <v>0.43</v>
      </c>
      <c r="N576" s="176"/>
      <c r="O576" s="176">
        <v>43</v>
      </c>
      <c r="P576" s="179">
        <v>-128.83000000000001</v>
      </c>
    </row>
    <row r="577" spans="1:16" ht="19.5" customHeight="1">
      <c r="A577" s="171" t="s">
        <v>1133</v>
      </c>
      <c r="B577" s="175">
        <v>46058</v>
      </c>
      <c r="C577" s="171" t="s">
        <v>127</v>
      </c>
      <c r="D577" s="171" t="s">
        <v>128</v>
      </c>
      <c r="E577" s="171" t="s">
        <v>42</v>
      </c>
      <c r="F577" s="171" t="s">
        <v>248</v>
      </c>
      <c r="G577" s="171" t="s">
        <v>112</v>
      </c>
      <c r="H577" s="176">
        <v>1</v>
      </c>
      <c r="I577" s="177">
        <v>1800</v>
      </c>
      <c r="J577" s="175">
        <v>46056</v>
      </c>
      <c r="K577" s="171" t="s">
        <v>113</v>
      </c>
      <c r="L577" s="171" t="s">
        <v>114</v>
      </c>
      <c r="M577" s="178">
        <v>0</v>
      </c>
      <c r="N577" s="176"/>
      <c r="O577" s="176"/>
      <c r="P577" s="179">
        <v>940.95</v>
      </c>
    </row>
    <row r="578" spans="1:16" ht="19.5" customHeight="1">
      <c r="A578" s="171" t="s">
        <v>1133</v>
      </c>
      <c r="B578" s="175">
        <v>46058</v>
      </c>
      <c r="C578" s="171" t="s">
        <v>127</v>
      </c>
      <c r="D578" s="171" t="s">
        <v>129</v>
      </c>
      <c r="E578" s="171" t="s">
        <v>42</v>
      </c>
      <c r="F578" s="171" t="s">
        <v>248</v>
      </c>
      <c r="G578" s="171" t="s">
        <v>112</v>
      </c>
      <c r="H578" s="176">
        <v>1</v>
      </c>
      <c r="I578" s="177">
        <v>1800</v>
      </c>
      <c r="J578" s="175">
        <v>46056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0</v>
      </c>
    </row>
    <row r="579" spans="1:16" ht="19.5" customHeight="1">
      <c r="A579" s="171" t="s">
        <v>1133</v>
      </c>
      <c r="B579" s="175">
        <v>46058</v>
      </c>
      <c r="C579" s="171" t="s">
        <v>127</v>
      </c>
      <c r="D579" s="171" t="s">
        <v>130</v>
      </c>
      <c r="E579" s="171" t="s">
        <v>42</v>
      </c>
      <c r="F579" s="171" t="s">
        <v>248</v>
      </c>
      <c r="G579" s="171" t="s">
        <v>112</v>
      </c>
      <c r="H579" s="176">
        <v>1</v>
      </c>
      <c r="I579" s="177">
        <v>1800</v>
      </c>
      <c r="J579" s="175">
        <v>46056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859.05</v>
      </c>
    </row>
    <row r="580" spans="1:16" ht="19.5" customHeight="1">
      <c r="A580" s="171" t="s">
        <v>1133</v>
      </c>
      <c r="B580" s="175">
        <v>46058</v>
      </c>
      <c r="C580" s="171" t="s">
        <v>131</v>
      </c>
      <c r="D580" s="171" t="s">
        <v>132</v>
      </c>
      <c r="E580" s="171" t="s">
        <v>42</v>
      </c>
      <c r="F580" s="171" t="s">
        <v>248</v>
      </c>
      <c r="G580" s="171" t="s">
        <v>112</v>
      </c>
      <c r="H580" s="176">
        <v>1</v>
      </c>
      <c r="I580" s="177">
        <v>1800</v>
      </c>
      <c r="J580" s="175">
        <v>46056</v>
      </c>
      <c r="K580" s="171" t="s">
        <v>113</v>
      </c>
      <c r="L580" s="171" t="s">
        <v>114</v>
      </c>
      <c r="M580" s="178">
        <v>0.43</v>
      </c>
      <c r="N580" s="176"/>
      <c r="O580" s="176"/>
      <c r="P580" s="179">
        <v>-774</v>
      </c>
    </row>
    <row r="581" spans="1:16" ht="19.5" customHeight="1">
      <c r="A581" s="171" t="s">
        <v>1133</v>
      </c>
      <c r="B581" s="175">
        <v>46058</v>
      </c>
      <c r="C581" s="171" t="s">
        <v>115</v>
      </c>
      <c r="D581" s="171" t="s">
        <v>116</v>
      </c>
      <c r="E581" s="171" t="s">
        <v>42</v>
      </c>
      <c r="F581" s="171" t="s">
        <v>248</v>
      </c>
      <c r="G581" s="171" t="s">
        <v>112</v>
      </c>
      <c r="H581" s="176">
        <v>1</v>
      </c>
      <c r="I581" s="177">
        <v>1800</v>
      </c>
      <c r="J581" s="175">
        <v>46056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-8.1999999999999993</v>
      </c>
    </row>
    <row r="582" spans="1:16" ht="19.5" customHeight="1">
      <c r="A582" s="171" t="s">
        <v>1134</v>
      </c>
      <c r="B582" s="175">
        <v>46058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46058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-5.45</v>
      </c>
    </row>
    <row r="583" spans="1:16" ht="19.5" customHeight="1">
      <c r="A583" s="171" t="s">
        <v>1132</v>
      </c>
      <c r="B583" s="175">
        <v>46058</v>
      </c>
      <c r="C583" s="171" t="s">
        <v>115</v>
      </c>
      <c r="D583" s="171" t="s">
        <v>135</v>
      </c>
      <c r="E583" s="171" t="s">
        <v>67</v>
      </c>
      <c r="F583" s="171" t="s">
        <v>359</v>
      </c>
      <c r="G583" s="171" t="s">
        <v>177</v>
      </c>
      <c r="H583" s="176">
        <v>1</v>
      </c>
      <c r="I583" s="177">
        <v>0</v>
      </c>
      <c r="J583" s="175">
        <v>46057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-47.13</v>
      </c>
    </row>
    <row r="584" spans="1:16" ht="19.5" customHeight="1">
      <c r="A584" s="171" t="s">
        <v>1135</v>
      </c>
      <c r="B584" s="175">
        <v>46058</v>
      </c>
      <c r="C584" s="171" t="s">
        <v>115</v>
      </c>
      <c r="D584" s="171" t="s">
        <v>135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0</v>
      </c>
      <c r="J584" s="175">
        <v>46058</v>
      </c>
      <c r="K584" s="171" t="s">
        <v>125</v>
      </c>
      <c r="L584" s="171" t="s">
        <v>125</v>
      </c>
      <c r="M584" s="178">
        <v>0</v>
      </c>
      <c r="N584" s="176"/>
      <c r="O584" s="176"/>
      <c r="P584" s="179">
        <v>-15.01</v>
      </c>
    </row>
    <row r="585" spans="1:16" ht="19.5" customHeight="1">
      <c r="A585" s="171" t="s">
        <v>1136</v>
      </c>
      <c r="B585" s="175">
        <v>46058</v>
      </c>
      <c r="C585" s="171" t="s">
        <v>110</v>
      </c>
      <c r="D585" s="171" t="s">
        <v>24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1800</v>
      </c>
      <c r="J585" s="175">
        <v>46054</v>
      </c>
      <c r="K585" s="171" t="s">
        <v>113</v>
      </c>
      <c r="L585" s="171" t="s">
        <v>114</v>
      </c>
      <c r="M585" s="178">
        <v>0.43</v>
      </c>
      <c r="N585" s="176"/>
      <c r="O585" s="176">
        <v>42</v>
      </c>
      <c r="P585" s="179">
        <v>-124.73</v>
      </c>
    </row>
    <row r="586" spans="1:16" ht="19.5" customHeight="1">
      <c r="A586" s="171" t="s">
        <v>1136</v>
      </c>
      <c r="B586" s="175">
        <v>46058</v>
      </c>
      <c r="C586" s="171" t="s">
        <v>127</v>
      </c>
      <c r="D586" s="171" t="s">
        <v>128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1800</v>
      </c>
      <c r="J586" s="175">
        <v>46054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871.67</v>
      </c>
    </row>
    <row r="587" spans="1:16" ht="19.5" customHeight="1">
      <c r="A587" s="171" t="s">
        <v>1136</v>
      </c>
      <c r="B587" s="175">
        <v>46058</v>
      </c>
      <c r="C587" s="171" t="s">
        <v>127</v>
      </c>
      <c r="D587" s="171" t="s">
        <v>129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1800</v>
      </c>
      <c r="J587" s="175">
        <v>46054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0</v>
      </c>
    </row>
    <row r="588" spans="1:16" ht="19.5" customHeight="1">
      <c r="A588" s="171" t="s">
        <v>1136</v>
      </c>
      <c r="B588" s="175">
        <v>46058</v>
      </c>
      <c r="C588" s="171" t="s">
        <v>127</v>
      </c>
      <c r="D588" s="171" t="s">
        <v>130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1800</v>
      </c>
      <c r="J588" s="175">
        <v>46054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928.33</v>
      </c>
    </row>
    <row r="589" spans="1:16" ht="19.5" customHeight="1">
      <c r="A589" s="171" t="s">
        <v>1136</v>
      </c>
      <c r="B589" s="175">
        <v>46058</v>
      </c>
      <c r="C589" s="171" t="s">
        <v>131</v>
      </c>
      <c r="D589" s="171" t="s">
        <v>132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1800</v>
      </c>
      <c r="J589" s="175">
        <v>46054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-774</v>
      </c>
    </row>
    <row r="590" spans="1:16" ht="19.5" customHeight="1">
      <c r="A590" s="171" t="s">
        <v>1136</v>
      </c>
      <c r="B590" s="175">
        <v>46058</v>
      </c>
      <c r="C590" s="171" t="s">
        <v>115</v>
      </c>
      <c r="D590" s="171" t="s">
        <v>116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1800</v>
      </c>
      <c r="J590" s="175">
        <v>46054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-23.97</v>
      </c>
    </row>
    <row r="591" spans="1:16" ht="19.5" customHeight="1">
      <c r="A591" s="171" t="s">
        <v>1136</v>
      </c>
      <c r="B591" s="175">
        <v>46058</v>
      </c>
      <c r="C591" s="171" t="s">
        <v>115</v>
      </c>
      <c r="D591" s="171" t="s">
        <v>135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0</v>
      </c>
      <c r="J591" s="175">
        <v>46054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-5.49</v>
      </c>
    </row>
    <row r="592" spans="1:16" ht="19.5" customHeight="1">
      <c r="A592" s="171" t="s">
        <v>1137</v>
      </c>
      <c r="B592" s="175">
        <v>46058</v>
      </c>
      <c r="C592" s="171" t="s">
        <v>110</v>
      </c>
      <c r="D592" s="171" t="s">
        <v>24</v>
      </c>
      <c r="E592" s="171" t="s">
        <v>78</v>
      </c>
      <c r="F592" s="171" t="s">
        <v>176</v>
      </c>
      <c r="G592" s="171" t="s">
        <v>177</v>
      </c>
      <c r="H592" s="176">
        <v>1</v>
      </c>
      <c r="I592" s="177">
        <v>0</v>
      </c>
      <c r="J592" s="175">
        <v>46049</v>
      </c>
      <c r="K592" s="171" t="s">
        <v>113</v>
      </c>
      <c r="L592" s="171" t="s">
        <v>114</v>
      </c>
      <c r="M592" s="178">
        <v>0</v>
      </c>
      <c r="N592" s="176"/>
      <c r="O592" s="176">
        <v>51</v>
      </c>
      <c r="P592" s="179">
        <v>-56.94</v>
      </c>
    </row>
    <row r="593" spans="1:16" ht="19.5" customHeight="1">
      <c r="A593" s="171" t="s">
        <v>1137</v>
      </c>
      <c r="B593" s="175">
        <v>46058</v>
      </c>
      <c r="C593" s="171" t="s">
        <v>115</v>
      </c>
      <c r="D593" s="171" t="s">
        <v>116</v>
      </c>
      <c r="E593" s="171" t="s">
        <v>78</v>
      </c>
      <c r="F593" s="171" t="s">
        <v>176</v>
      </c>
      <c r="G593" s="171" t="s">
        <v>177</v>
      </c>
      <c r="H593" s="176">
        <v>1</v>
      </c>
      <c r="I593" s="177">
        <v>0</v>
      </c>
      <c r="J593" s="175">
        <v>46049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-10.9</v>
      </c>
    </row>
    <row r="594" spans="1:16" ht="19.5" customHeight="1">
      <c r="A594" s="171" t="s">
        <v>1137</v>
      </c>
      <c r="B594" s="175">
        <v>46058</v>
      </c>
      <c r="C594" s="171" t="s">
        <v>110</v>
      </c>
      <c r="D594" s="171" t="s">
        <v>117</v>
      </c>
      <c r="E594" s="171" t="s">
        <v>78</v>
      </c>
      <c r="F594" s="171" t="s">
        <v>176</v>
      </c>
      <c r="G594" s="171" t="s">
        <v>177</v>
      </c>
      <c r="H594" s="176">
        <v>1</v>
      </c>
      <c r="I594" s="177">
        <v>0</v>
      </c>
      <c r="J594" s="175">
        <v>46049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0</v>
      </c>
    </row>
    <row r="595" spans="1:16" ht="19.5" customHeight="1">
      <c r="A595" s="171" t="s">
        <v>1137</v>
      </c>
      <c r="B595" s="175">
        <v>46058</v>
      </c>
      <c r="C595" s="171" t="s">
        <v>110</v>
      </c>
      <c r="D595" s="171" t="s">
        <v>118</v>
      </c>
      <c r="E595" s="171" t="s">
        <v>78</v>
      </c>
      <c r="F595" s="171" t="s">
        <v>176</v>
      </c>
      <c r="G595" s="171" t="s">
        <v>177</v>
      </c>
      <c r="H595" s="176">
        <v>1</v>
      </c>
      <c r="I595" s="177">
        <v>0</v>
      </c>
      <c r="J595" s="175">
        <v>46049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-56.94</v>
      </c>
    </row>
    <row r="596" spans="1:16" ht="19.5" customHeight="1">
      <c r="A596" s="171" t="s">
        <v>1137</v>
      </c>
      <c r="B596" s="175">
        <v>46058</v>
      </c>
      <c r="C596" s="171" t="s">
        <v>115</v>
      </c>
      <c r="D596" s="171" t="s">
        <v>119</v>
      </c>
      <c r="E596" s="171" t="s">
        <v>78</v>
      </c>
      <c r="F596" s="171" t="s">
        <v>176</v>
      </c>
      <c r="G596" s="171" t="s">
        <v>177</v>
      </c>
      <c r="H596" s="176">
        <v>1</v>
      </c>
      <c r="I596" s="177">
        <v>0</v>
      </c>
      <c r="J596" s="175">
        <v>46049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-15</v>
      </c>
    </row>
    <row r="597" spans="1:16" ht="19.5" customHeight="1">
      <c r="A597" s="171" t="s">
        <v>1138</v>
      </c>
      <c r="B597" s="175">
        <v>46058</v>
      </c>
      <c r="C597" s="171" t="s">
        <v>110</v>
      </c>
      <c r="D597" s="171" t="s">
        <v>24</v>
      </c>
      <c r="E597" s="171" t="s">
        <v>42</v>
      </c>
      <c r="F597" s="171" t="s">
        <v>248</v>
      </c>
      <c r="G597" s="171" t="s">
        <v>112</v>
      </c>
      <c r="H597" s="176">
        <v>1</v>
      </c>
      <c r="I597" s="177">
        <v>2000</v>
      </c>
      <c r="J597" s="175">
        <v>46057</v>
      </c>
      <c r="K597" s="171" t="s">
        <v>113</v>
      </c>
      <c r="L597" s="171" t="s">
        <v>114</v>
      </c>
      <c r="M597" s="178">
        <v>0.43</v>
      </c>
      <c r="N597" s="176"/>
      <c r="O597" s="176">
        <v>42</v>
      </c>
      <c r="P597" s="179">
        <v>-130.43</v>
      </c>
    </row>
    <row r="598" spans="1:16" ht="19.5" customHeight="1">
      <c r="A598" s="171" t="s">
        <v>1138</v>
      </c>
      <c r="B598" s="175">
        <v>46058</v>
      </c>
      <c r="C598" s="171" t="s">
        <v>127</v>
      </c>
      <c r="D598" s="171" t="s">
        <v>128</v>
      </c>
      <c r="E598" s="171" t="s">
        <v>42</v>
      </c>
      <c r="F598" s="171" t="s">
        <v>248</v>
      </c>
      <c r="G598" s="171" t="s">
        <v>112</v>
      </c>
      <c r="H598" s="176">
        <v>1</v>
      </c>
      <c r="I598" s="177">
        <v>2000</v>
      </c>
      <c r="J598" s="175">
        <v>46057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1012.36</v>
      </c>
    </row>
    <row r="599" spans="1:16" ht="19.5" customHeight="1">
      <c r="A599" s="171" t="s">
        <v>1138</v>
      </c>
      <c r="B599" s="175">
        <v>46058</v>
      </c>
      <c r="C599" s="171" t="s">
        <v>127</v>
      </c>
      <c r="D599" s="171" t="s">
        <v>129</v>
      </c>
      <c r="E599" s="171" t="s">
        <v>42</v>
      </c>
      <c r="F599" s="171" t="s">
        <v>248</v>
      </c>
      <c r="G599" s="171" t="s">
        <v>112</v>
      </c>
      <c r="H599" s="176">
        <v>1</v>
      </c>
      <c r="I599" s="177">
        <v>2000</v>
      </c>
      <c r="J599" s="175">
        <v>46057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0</v>
      </c>
    </row>
    <row r="600" spans="1:16" ht="19.5" customHeight="1">
      <c r="A600" s="171" t="s">
        <v>1138</v>
      </c>
      <c r="B600" s="175">
        <v>46058</v>
      </c>
      <c r="C600" s="171" t="s">
        <v>127</v>
      </c>
      <c r="D600" s="171" t="s">
        <v>130</v>
      </c>
      <c r="E600" s="171" t="s">
        <v>42</v>
      </c>
      <c r="F600" s="171" t="s">
        <v>248</v>
      </c>
      <c r="G600" s="171" t="s">
        <v>112</v>
      </c>
      <c r="H600" s="176">
        <v>1</v>
      </c>
      <c r="I600" s="177">
        <v>2000</v>
      </c>
      <c r="J600" s="175">
        <v>46057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987.64</v>
      </c>
    </row>
    <row r="601" spans="1:16" ht="19.5" customHeight="1">
      <c r="A601" s="171" t="s">
        <v>1138</v>
      </c>
      <c r="B601" s="175">
        <v>46058</v>
      </c>
      <c r="C601" s="171" t="s">
        <v>131</v>
      </c>
      <c r="D601" s="171" t="s">
        <v>132</v>
      </c>
      <c r="E601" s="171" t="s">
        <v>42</v>
      </c>
      <c r="F601" s="171" t="s">
        <v>248</v>
      </c>
      <c r="G601" s="171" t="s">
        <v>112</v>
      </c>
      <c r="H601" s="176">
        <v>1</v>
      </c>
      <c r="I601" s="177">
        <v>2000</v>
      </c>
      <c r="J601" s="175">
        <v>46057</v>
      </c>
      <c r="K601" s="171" t="s">
        <v>113</v>
      </c>
      <c r="L601" s="171" t="s">
        <v>114</v>
      </c>
      <c r="M601" s="178">
        <v>0.43</v>
      </c>
      <c r="N601" s="176"/>
      <c r="O601" s="176"/>
      <c r="P601" s="179">
        <v>-860</v>
      </c>
    </row>
    <row r="602" spans="1:16" ht="19.5" customHeight="1">
      <c r="A602" s="171" t="s">
        <v>1138</v>
      </c>
      <c r="B602" s="175">
        <v>46058</v>
      </c>
      <c r="C602" s="171" t="s">
        <v>115</v>
      </c>
      <c r="D602" s="171" t="s">
        <v>116</v>
      </c>
      <c r="E602" s="171" t="s">
        <v>42</v>
      </c>
      <c r="F602" s="171" t="s">
        <v>248</v>
      </c>
      <c r="G602" s="171" t="s">
        <v>112</v>
      </c>
      <c r="H602" s="176">
        <v>1</v>
      </c>
      <c r="I602" s="177">
        <v>2000</v>
      </c>
      <c r="J602" s="175">
        <v>46057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-10.87</v>
      </c>
    </row>
    <row r="603" spans="1:16" ht="19.5" customHeight="1">
      <c r="A603" s="171" t="s">
        <v>1139</v>
      </c>
      <c r="B603" s="175">
        <v>46058</v>
      </c>
      <c r="C603" s="171" t="s">
        <v>110</v>
      </c>
      <c r="D603" s="171" t="s">
        <v>24</v>
      </c>
      <c r="E603" s="171" t="s">
        <v>77</v>
      </c>
      <c r="F603" s="171" t="s">
        <v>194</v>
      </c>
      <c r="G603" s="171" t="s">
        <v>177</v>
      </c>
      <c r="H603" s="176">
        <v>1</v>
      </c>
      <c r="I603" s="177">
        <v>5412</v>
      </c>
      <c r="J603" s="175">
        <v>46056</v>
      </c>
      <c r="K603" s="171" t="s">
        <v>113</v>
      </c>
      <c r="L603" s="171" t="s">
        <v>114</v>
      </c>
      <c r="M603" s="178">
        <v>0.43</v>
      </c>
      <c r="N603" s="176"/>
      <c r="O603" s="176">
        <v>43</v>
      </c>
      <c r="P603" s="179">
        <v>-253.46</v>
      </c>
    </row>
    <row r="604" spans="1:16" ht="19.5" customHeight="1">
      <c r="A604" s="171" t="s">
        <v>1139</v>
      </c>
      <c r="B604" s="175">
        <v>46058</v>
      </c>
      <c r="C604" s="171" t="s">
        <v>127</v>
      </c>
      <c r="D604" s="171" t="s">
        <v>128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5412</v>
      </c>
      <c r="J604" s="175">
        <v>46056</v>
      </c>
      <c r="K604" s="171" t="s">
        <v>113</v>
      </c>
      <c r="L604" s="171" t="s">
        <v>114</v>
      </c>
      <c r="M604" s="178">
        <v>0</v>
      </c>
      <c r="N604" s="176"/>
      <c r="O604" s="176"/>
      <c r="P604" s="179">
        <v>1887.2</v>
      </c>
    </row>
    <row r="605" spans="1:16" ht="19.5" customHeight="1">
      <c r="A605" s="171" t="s">
        <v>1139</v>
      </c>
      <c r="B605" s="175">
        <v>46058</v>
      </c>
      <c r="C605" s="171" t="s">
        <v>127</v>
      </c>
      <c r="D605" s="171" t="s">
        <v>129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5412</v>
      </c>
      <c r="J605" s="175">
        <v>46056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18.87</v>
      </c>
    </row>
    <row r="606" spans="1:16" ht="19.5" customHeight="1">
      <c r="A606" s="171" t="s">
        <v>1139</v>
      </c>
      <c r="B606" s="175">
        <v>46058</v>
      </c>
      <c r="C606" s="171" t="s">
        <v>127</v>
      </c>
      <c r="D606" s="171" t="s">
        <v>130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5412</v>
      </c>
      <c r="J606" s="175">
        <v>46056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3505.93</v>
      </c>
    </row>
    <row r="607" spans="1:16" ht="19.5" customHeight="1">
      <c r="A607" s="171" t="s">
        <v>1139</v>
      </c>
      <c r="B607" s="175">
        <v>46058</v>
      </c>
      <c r="C607" s="171" t="s">
        <v>131</v>
      </c>
      <c r="D607" s="171" t="s">
        <v>132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5412</v>
      </c>
      <c r="J607" s="175">
        <v>46056</v>
      </c>
      <c r="K607" s="171" t="s">
        <v>113</v>
      </c>
      <c r="L607" s="171" t="s">
        <v>114</v>
      </c>
      <c r="M607" s="178">
        <v>0.43</v>
      </c>
      <c r="N607" s="176"/>
      <c r="O607" s="176"/>
      <c r="P607" s="179">
        <v>-2327.16</v>
      </c>
    </row>
    <row r="608" spans="1:16" ht="19.5" customHeight="1">
      <c r="A608" s="171" t="s">
        <v>1139</v>
      </c>
      <c r="B608" s="175">
        <v>46058</v>
      </c>
      <c r="C608" s="171" t="s">
        <v>115</v>
      </c>
      <c r="D608" s="171" t="s">
        <v>116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5412</v>
      </c>
      <c r="J608" s="175">
        <v>46056</v>
      </c>
      <c r="K608" s="171" t="s">
        <v>113</v>
      </c>
      <c r="L608" s="171" t="s">
        <v>114</v>
      </c>
      <c r="M608" s="178">
        <v>0.43</v>
      </c>
      <c r="N608" s="176"/>
      <c r="O608" s="176"/>
      <c r="P608" s="179">
        <v>-12.33</v>
      </c>
    </row>
    <row r="609" spans="1:16" ht="19.5" customHeight="1">
      <c r="A609" s="171" t="s">
        <v>1140</v>
      </c>
      <c r="B609" s="175">
        <v>46058</v>
      </c>
      <c r="C609" s="171" t="s">
        <v>110</v>
      </c>
      <c r="D609" s="171" t="s">
        <v>24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46053</v>
      </c>
      <c r="K609" s="171" t="s">
        <v>113</v>
      </c>
      <c r="L609" s="171" t="s">
        <v>114</v>
      </c>
      <c r="M609" s="178">
        <v>0</v>
      </c>
      <c r="N609" s="176"/>
      <c r="O609" s="176">
        <v>48</v>
      </c>
      <c r="P609" s="179">
        <v>-46.77</v>
      </c>
    </row>
    <row r="610" spans="1:16" ht="19.5" customHeight="1">
      <c r="A610" s="171" t="s">
        <v>1140</v>
      </c>
      <c r="B610" s="175">
        <v>46058</v>
      </c>
      <c r="C610" s="171" t="s">
        <v>115</v>
      </c>
      <c r="D610" s="171" t="s">
        <v>116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46053</v>
      </c>
      <c r="K610" s="171" t="s">
        <v>113</v>
      </c>
      <c r="L610" s="171" t="s">
        <v>114</v>
      </c>
      <c r="M610" s="178">
        <v>0</v>
      </c>
      <c r="N610" s="176"/>
      <c r="O610" s="176"/>
      <c r="P610" s="179">
        <v>-9.9700000000000006</v>
      </c>
    </row>
    <row r="611" spans="1:16" ht="19.5" customHeight="1">
      <c r="A611" s="171" t="s">
        <v>1141</v>
      </c>
      <c r="B611" s="175">
        <v>46058</v>
      </c>
      <c r="C611" s="171" t="s">
        <v>110</v>
      </c>
      <c r="D611" s="171" t="s">
        <v>24</v>
      </c>
      <c r="E611" s="171" t="s">
        <v>42</v>
      </c>
      <c r="F611" s="171" t="s">
        <v>248</v>
      </c>
      <c r="G611" s="171" t="s">
        <v>112</v>
      </c>
      <c r="H611" s="176">
        <v>1</v>
      </c>
      <c r="I611" s="177">
        <v>1800</v>
      </c>
      <c r="J611" s="175">
        <v>46055</v>
      </c>
      <c r="K611" s="171" t="s">
        <v>113</v>
      </c>
      <c r="L611" s="171" t="s">
        <v>114</v>
      </c>
      <c r="M611" s="178">
        <v>0.43</v>
      </c>
      <c r="N611" s="176"/>
      <c r="O611" s="176">
        <v>42</v>
      </c>
      <c r="P611" s="179">
        <v>-124.73</v>
      </c>
    </row>
    <row r="612" spans="1:16" ht="19.5" customHeight="1">
      <c r="A612" s="171" t="s">
        <v>1141</v>
      </c>
      <c r="B612" s="175">
        <v>46058</v>
      </c>
      <c r="C612" s="171" t="s">
        <v>127</v>
      </c>
      <c r="D612" s="171" t="s">
        <v>128</v>
      </c>
      <c r="E612" s="171" t="s">
        <v>42</v>
      </c>
      <c r="F612" s="171" t="s">
        <v>248</v>
      </c>
      <c r="G612" s="171" t="s">
        <v>112</v>
      </c>
      <c r="H612" s="176">
        <v>1</v>
      </c>
      <c r="I612" s="177">
        <v>1800</v>
      </c>
      <c r="J612" s="175">
        <v>46055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920</v>
      </c>
    </row>
    <row r="613" spans="1:16" ht="19.5" customHeight="1">
      <c r="A613" s="171" t="s">
        <v>1141</v>
      </c>
      <c r="B613" s="175">
        <v>46058</v>
      </c>
      <c r="C613" s="171" t="s">
        <v>127</v>
      </c>
      <c r="D613" s="171" t="s">
        <v>129</v>
      </c>
      <c r="E613" s="171" t="s">
        <v>42</v>
      </c>
      <c r="F613" s="171" t="s">
        <v>248</v>
      </c>
      <c r="G613" s="171" t="s">
        <v>112</v>
      </c>
      <c r="H613" s="176">
        <v>1</v>
      </c>
      <c r="I613" s="177">
        <v>1800</v>
      </c>
      <c r="J613" s="175">
        <v>46055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9.1999999999999993</v>
      </c>
    </row>
    <row r="614" spans="1:16" ht="19.5" customHeight="1">
      <c r="A614" s="171" t="s">
        <v>1141</v>
      </c>
      <c r="B614" s="175">
        <v>46058</v>
      </c>
      <c r="C614" s="171" t="s">
        <v>127</v>
      </c>
      <c r="D614" s="171" t="s">
        <v>130</v>
      </c>
      <c r="E614" s="171" t="s">
        <v>42</v>
      </c>
      <c r="F614" s="171" t="s">
        <v>248</v>
      </c>
      <c r="G614" s="171" t="s">
        <v>112</v>
      </c>
      <c r="H614" s="176">
        <v>1</v>
      </c>
      <c r="I614" s="177">
        <v>1800</v>
      </c>
      <c r="J614" s="175">
        <v>46055</v>
      </c>
      <c r="K614" s="171" t="s">
        <v>113</v>
      </c>
      <c r="L614" s="171" t="s">
        <v>114</v>
      </c>
      <c r="M614" s="178">
        <v>0</v>
      </c>
      <c r="N614" s="176"/>
      <c r="O614" s="176"/>
      <c r="P614" s="179">
        <v>870.8</v>
      </c>
    </row>
    <row r="615" spans="1:16" ht="19.5" customHeight="1">
      <c r="A615" s="171" t="s">
        <v>1141</v>
      </c>
      <c r="B615" s="175">
        <v>46058</v>
      </c>
      <c r="C615" s="171" t="s">
        <v>131</v>
      </c>
      <c r="D615" s="171" t="s">
        <v>132</v>
      </c>
      <c r="E615" s="171" t="s">
        <v>42</v>
      </c>
      <c r="F615" s="171" t="s">
        <v>248</v>
      </c>
      <c r="G615" s="171" t="s">
        <v>112</v>
      </c>
      <c r="H615" s="176">
        <v>1</v>
      </c>
      <c r="I615" s="177">
        <v>1800</v>
      </c>
      <c r="J615" s="175">
        <v>46055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-774</v>
      </c>
    </row>
    <row r="616" spans="1:16" ht="19.5" customHeight="1">
      <c r="A616" s="171" t="s">
        <v>1141</v>
      </c>
      <c r="B616" s="175">
        <v>46058</v>
      </c>
      <c r="C616" s="171" t="s">
        <v>115</v>
      </c>
      <c r="D616" s="171" t="s">
        <v>116</v>
      </c>
      <c r="E616" s="171" t="s">
        <v>42</v>
      </c>
      <c r="F616" s="171" t="s">
        <v>248</v>
      </c>
      <c r="G616" s="171" t="s">
        <v>112</v>
      </c>
      <c r="H616" s="176">
        <v>1</v>
      </c>
      <c r="I616" s="177">
        <v>1800</v>
      </c>
      <c r="J616" s="175">
        <v>46055</v>
      </c>
      <c r="K616" s="171" t="s">
        <v>113</v>
      </c>
      <c r="L616" s="171" t="s">
        <v>114</v>
      </c>
      <c r="M616" s="178">
        <v>0.43</v>
      </c>
      <c r="N616" s="176"/>
      <c r="O616" s="176"/>
      <c r="P616" s="179">
        <v>-9.5299999999999994</v>
      </c>
    </row>
    <row r="617" spans="1:16" ht="19.5" customHeight="1">
      <c r="A617" s="171" t="s">
        <v>1142</v>
      </c>
      <c r="B617" s="175">
        <v>46058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1800</v>
      </c>
      <c r="J617" s="175">
        <v>46056</v>
      </c>
      <c r="K617" s="171" t="s">
        <v>113</v>
      </c>
      <c r="L617" s="171" t="s">
        <v>114</v>
      </c>
      <c r="M617" s="178">
        <v>0.43</v>
      </c>
      <c r="N617" s="176"/>
      <c r="O617" s="176">
        <v>43</v>
      </c>
      <c r="P617" s="179">
        <v>-128.83000000000001</v>
      </c>
    </row>
    <row r="618" spans="1:16" ht="19.5" customHeight="1">
      <c r="A618" s="171" t="s">
        <v>1142</v>
      </c>
      <c r="B618" s="175">
        <v>46058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1800</v>
      </c>
      <c r="J618" s="175">
        <v>46056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701.24</v>
      </c>
    </row>
    <row r="619" spans="1:16" ht="19.5" customHeight="1">
      <c r="A619" s="171" t="s">
        <v>1142</v>
      </c>
      <c r="B619" s="175">
        <v>46058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1800</v>
      </c>
      <c r="J619" s="175">
        <v>46056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7.01</v>
      </c>
    </row>
    <row r="620" spans="1:16" ht="19.5" customHeight="1">
      <c r="A620" s="171" t="s">
        <v>1142</v>
      </c>
      <c r="B620" s="175">
        <v>46058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1800</v>
      </c>
      <c r="J620" s="175">
        <v>46056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1091.75</v>
      </c>
    </row>
    <row r="621" spans="1:16" ht="19.5" customHeight="1">
      <c r="A621" s="171" t="s">
        <v>1142</v>
      </c>
      <c r="B621" s="175">
        <v>46058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1800</v>
      </c>
      <c r="J621" s="175">
        <v>46056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-774</v>
      </c>
    </row>
    <row r="622" spans="1:16" ht="19.5" customHeight="1">
      <c r="A622" s="171" t="s">
        <v>1142</v>
      </c>
      <c r="B622" s="175">
        <v>46058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1800</v>
      </c>
      <c r="J622" s="175">
        <v>46056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-8.5500000000000007</v>
      </c>
    </row>
    <row r="623" spans="1:16" ht="19.5" customHeight="1">
      <c r="A623" s="171" t="s">
        <v>962</v>
      </c>
      <c r="B623" s="175">
        <v>46058</v>
      </c>
      <c r="C623" s="171" t="s">
        <v>115</v>
      </c>
      <c r="D623" s="171" t="s">
        <v>135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46054</v>
      </c>
      <c r="K623" s="171" t="s">
        <v>125</v>
      </c>
      <c r="L623" s="171" t="s">
        <v>125</v>
      </c>
      <c r="M623" s="178">
        <v>0</v>
      </c>
      <c r="N623" s="176"/>
      <c r="O623" s="176"/>
      <c r="P623" s="179">
        <v>53.02</v>
      </c>
    </row>
    <row r="624" spans="1:16" ht="19.5" customHeight="1">
      <c r="A624" s="171" t="s">
        <v>1140</v>
      </c>
      <c r="B624" s="175">
        <v>46058</v>
      </c>
      <c r="C624" s="171" t="s">
        <v>110</v>
      </c>
      <c r="D624" s="171" t="s">
        <v>117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46053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0</v>
      </c>
    </row>
    <row r="625" spans="1:16" ht="19.5" customHeight="1">
      <c r="A625" s="171" t="s">
        <v>1140</v>
      </c>
      <c r="B625" s="175">
        <v>46058</v>
      </c>
      <c r="C625" s="171" t="s">
        <v>110</v>
      </c>
      <c r="D625" s="171" t="s">
        <v>118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46053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-46.77</v>
      </c>
    </row>
    <row r="626" spans="1:16" ht="19.5" customHeight="1">
      <c r="A626" s="171" t="s">
        <v>1140</v>
      </c>
      <c r="B626" s="175">
        <v>46058</v>
      </c>
      <c r="C626" s="171" t="s">
        <v>115</v>
      </c>
      <c r="D626" s="171" t="s">
        <v>119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46053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-15</v>
      </c>
    </row>
    <row r="627" spans="1:16" ht="19.5" customHeight="1">
      <c r="A627" s="171" t="s">
        <v>1143</v>
      </c>
      <c r="B627" s="175">
        <v>46058</v>
      </c>
      <c r="C627" s="171" t="s">
        <v>115</v>
      </c>
      <c r="D627" s="171" t="s">
        <v>135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46058</v>
      </c>
      <c r="K627" s="171" t="s">
        <v>125</v>
      </c>
      <c r="L627" s="171" t="s">
        <v>125</v>
      </c>
      <c r="M627" s="178">
        <v>0</v>
      </c>
      <c r="N627" s="176"/>
      <c r="O627" s="176"/>
      <c r="P627" s="179">
        <v>-15.87</v>
      </c>
    </row>
    <row r="628" spans="1:16" ht="19.5" customHeight="1">
      <c r="A628" s="171" t="s">
        <v>1141</v>
      </c>
      <c r="B628" s="175">
        <v>46058</v>
      </c>
      <c r="C628" s="171" t="s">
        <v>115</v>
      </c>
      <c r="D628" s="171" t="s">
        <v>135</v>
      </c>
      <c r="E628" s="171" t="s">
        <v>42</v>
      </c>
      <c r="F628" s="171" t="s">
        <v>248</v>
      </c>
      <c r="G628" s="171" t="s">
        <v>112</v>
      </c>
      <c r="H628" s="176">
        <v>1</v>
      </c>
      <c r="I628" s="177">
        <v>0</v>
      </c>
      <c r="J628" s="175">
        <v>46055</v>
      </c>
      <c r="K628" s="171" t="s">
        <v>125</v>
      </c>
      <c r="L628" s="171" t="s">
        <v>125</v>
      </c>
      <c r="M628" s="178">
        <v>0</v>
      </c>
      <c r="N628" s="176"/>
      <c r="O628" s="176"/>
      <c r="P628" s="179">
        <v>-17.48</v>
      </c>
    </row>
    <row r="629" spans="1:16" ht="19.5" customHeight="1">
      <c r="A629" s="171" t="s">
        <v>1142</v>
      </c>
      <c r="B629" s="175">
        <v>46058</v>
      </c>
      <c r="C629" s="171" t="s">
        <v>115</v>
      </c>
      <c r="D629" s="171" t="s">
        <v>135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46056</v>
      </c>
      <c r="K629" s="171" t="s">
        <v>125</v>
      </c>
      <c r="L629" s="171" t="s">
        <v>125</v>
      </c>
      <c r="M629" s="178">
        <v>0</v>
      </c>
      <c r="N629" s="176"/>
      <c r="O629" s="176"/>
      <c r="P629" s="179">
        <v>-13.32</v>
      </c>
    </row>
    <row r="630" spans="1:16" ht="19.5" customHeight="1">
      <c r="A630" s="171" t="s">
        <v>1144</v>
      </c>
      <c r="B630" s="175">
        <v>46058</v>
      </c>
      <c r="C630" s="171" t="s">
        <v>110</v>
      </c>
      <c r="D630" s="171" t="s">
        <v>24</v>
      </c>
      <c r="E630" s="171" t="s">
        <v>43</v>
      </c>
      <c r="F630" s="171" t="s">
        <v>481</v>
      </c>
      <c r="G630" s="171" t="s">
        <v>214</v>
      </c>
      <c r="H630" s="176">
        <v>1</v>
      </c>
      <c r="I630" s="177">
        <v>1674</v>
      </c>
      <c r="J630" s="175">
        <v>46056</v>
      </c>
      <c r="K630" s="171" t="s">
        <v>113</v>
      </c>
      <c r="L630" s="171" t="s">
        <v>114</v>
      </c>
      <c r="M630" s="178">
        <v>0.43</v>
      </c>
      <c r="N630" s="176"/>
      <c r="O630" s="176">
        <v>43</v>
      </c>
      <c r="P630" s="179">
        <v>-125.05</v>
      </c>
    </row>
    <row r="631" spans="1:16" ht="19.5" customHeight="1">
      <c r="A631" s="171" t="s">
        <v>1144</v>
      </c>
      <c r="B631" s="175">
        <v>46058</v>
      </c>
      <c r="C631" s="171" t="s">
        <v>127</v>
      </c>
      <c r="D631" s="171" t="s">
        <v>128</v>
      </c>
      <c r="E631" s="171" t="s">
        <v>43</v>
      </c>
      <c r="F631" s="171" t="s">
        <v>481</v>
      </c>
      <c r="G631" s="171" t="s">
        <v>214</v>
      </c>
      <c r="H631" s="176">
        <v>1</v>
      </c>
      <c r="I631" s="177">
        <v>1674</v>
      </c>
      <c r="J631" s="175">
        <v>46056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1094.79</v>
      </c>
    </row>
    <row r="632" spans="1:16" ht="19.5" customHeight="1">
      <c r="A632" s="171" t="s">
        <v>1144</v>
      </c>
      <c r="B632" s="175">
        <v>46058</v>
      </c>
      <c r="C632" s="171" t="s">
        <v>127</v>
      </c>
      <c r="D632" s="171" t="s">
        <v>129</v>
      </c>
      <c r="E632" s="171" t="s">
        <v>43</v>
      </c>
      <c r="F632" s="171" t="s">
        <v>481</v>
      </c>
      <c r="G632" s="171" t="s">
        <v>214</v>
      </c>
      <c r="H632" s="176">
        <v>1</v>
      </c>
      <c r="I632" s="177">
        <v>1674</v>
      </c>
      <c r="J632" s="175">
        <v>46056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0</v>
      </c>
    </row>
    <row r="633" spans="1:16" ht="19.5" customHeight="1">
      <c r="A633" s="171" t="s">
        <v>1144</v>
      </c>
      <c r="B633" s="175">
        <v>46058</v>
      </c>
      <c r="C633" s="171" t="s">
        <v>127</v>
      </c>
      <c r="D633" s="171" t="s">
        <v>130</v>
      </c>
      <c r="E633" s="171" t="s">
        <v>43</v>
      </c>
      <c r="F633" s="171" t="s">
        <v>481</v>
      </c>
      <c r="G633" s="171" t="s">
        <v>214</v>
      </c>
      <c r="H633" s="176">
        <v>1</v>
      </c>
      <c r="I633" s="177">
        <v>1674</v>
      </c>
      <c r="J633" s="175">
        <v>46056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579.21</v>
      </c>
    </row>
    <row r="634" spans="1:16" ht="19.5" customHeight="1">
      <c r="A634" s="171" t="s">
        <v>1144</v>
      </c>
      <c r="B634" s="175">
        <v>46058</v>
      </c>
      <c r="C634" s="171" t="s">
        <v>131</v>
      </c>
      <c r="D634" s="171" t="s">
        <v>132</v>
      </c>
      <c r="E634" s="171" t="s">
        <v>43</v>
      </c>
      <c r="F634" s="171" t="s">
        <v>481</v>
      </c>
      <c r="G634" s="171" t="s">
        <v>214</v>
      </c>
      <c r="H634" s="176">
        <v>1</v>
      </c>
      <c r="I634" s="177">
        <v>1674</v>
      </c>
      <c r="J634" s="175">
        <v>46056</v>
      </c>
      <c r="K634" s="171" t="s">
        <v>113</v>
      </c>
      <c r="L634" s="171" t="s">
        <v>114</v>
      </c>
      <c r="M634" s="178">
        <v>0.43</v>
      </c>
      <c r="N634" s="176"/>
      <c r="O634" s="176"/>
      <c r="P634" s="179">
        <v>-719.82</v>
      </c>
    </row>
    <row r="635" spans="1:16" ht="19.5" customHeight="1">
      <c r="A635" s="171" t="s">
        <v>1144</v>
      </c>
      <c r="B635" s="175">
        <v>46058</v>
      </c>
      <c r="C635" s="171" t="s">
        <v>115</v>
      </c>
      <c r="D635" s="171" t="s">
        <v>116</v>
      </c>
      <c r="E635" s="171" t="s">
        <v>43</v>
      </c>
      <c r="F635" s="171" t="s">
        <v>481</v>
      </c>
      <c r="G635" s="171" t="s">
        <v>214</v>
      </c>
      <c r="H635" s="176">
        <v>1</v>
      </c>
      <c r="I635" s="177">
        <v>1674</v>
      </c>
      <c r="J635" s="175">
        <v>46056</v>
      </c>
      <c r="K635" s="171" t="s">
        <v>113</v>
      </c>
      <c r="L635" s="171" t="s">
        <v>114</v>
      </c>
      <c r="M635" s="178">
        <v>0.43</v>
      </c>
      <c r="N635" s="176"/>
      <c r="O635" s="176"/>
      <c r="P635" s="179">
        <v>-10.23</v>
      </c>
    </row>
    <row r="636" spans="1:16" ht="19.5" customHeight="1">
      <c r="A636" s="171" t="s">
        <v>1145</v>
      </c>
      <c r="B636" s="175">
        <v>46058</v>
      </c>
      <c r="C636" s="171" t="s">
        <v>110</v>
      </c>
      <c r="D636" s="171" t="s">
        <v>24</v>
      </c>
      <c r="E636" s="171" t="s">
        <v>44</v>
      </c>
      <c r="F636" s="171" t="s">
        <v>213</v>
      </c>
      <c r="G636" s="171" t="s">
        <v>214</v>
      </c>
      <c r="H636" s="176">
        <v>1</v>
      </c>
      <c r="I636" s="177">
        <v>1815</v>
      </c>
      <c r="J636" s="175">
        <v>46056</v>
      </c>
      <c r="K636" s="171" t="s">
        <v>113</v>
      </c>
      <c r="L636" s="171" t="s">
        <v>114</v>
      </c>
      <c r="M636" s="178">
        <v>0.43</v>
      </c>
      <c r="N636" s="176"/>
      <c r="O636" s="176">
        <v>43</v>
      </c>
      <c r="P636" s="179">
        <v>-129.28</v>
      </c>
    </row>
    <row r="637" spans="1:16" ht="19.5" customHeight="1">
      <c r="A637" s="171" t="s">
        <v>1145</v>
      </c>
      <c r="B637" s="175">
        <v>46058</v>
      </c>
      <c r="C637" s="171" t="s">
        <v>127</v>
      </c>
      <c r="D637" s="171" t="s">
        <v>128</v>
      </c>
      <c r="E637" s="171" t="s">
        <v>44</v>
      </c>
      <c r="F637" s="171" t="s">
        <v>213</v>
      </c>
      <c r="G637" s="171" t="s">
        <v>214</v>
      </c>
      <c r="H637" s="176">
        <v>1</v>
      </c>
      <c r="I637" s="177">
        <v>1815</v>
      </c>
      <c r="J637" s="175">
        <v>46056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801.9</v>
      </c>
    </row>
    <row r="638" spans="1:16" ht="19.5" customHeight="1">
      <c r="A638" s="171" t="s">
        <v>1145</v>
      </c>
      <c r="B638" s="175">
        <v>46058</v>
      </c>
      <c r="C638" s="171" t="s">
        <v>127</v>
      </c>
      <c r="D638" s="171" t="s">
        <v>129</v>
      </c>
      <c r="E638" s="171" t="s">
        <v>44</v>
      </c>
      <c r="F638" s="171" t="s">
        <v>213</v>
      </c>
      <c r="G638" s="171" t="s">
        <v>214</v>
      </c>
      <c r="H638" s="176">
        <v>1</v>
      </c>
      <c r="I638" s="177">
        <v>1815</v>
      </c>
      <c r="J638" s="175">
        <v>46056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8.02</v>
      </c>
    </row>
    <row r="639" spans="1:16" ht="19.5" customHeight="1">
      <c r="A639" s="171" t="s">
        <v>1145</v>
      </c>
      <c r="B639" s="175">
        <v>46058</v>
      </c>
      <c r="C639" s="171" t="s">
        <v>127</v>
      </c>
      <c r="D639" s="171" t="s">
        <v>130</v>
      </c>
      <c r="E639" s="171" t="s">
        <v>44</v>
      </c>
      <c r="F639" s="171" t="s">
        <v>213</v>
      </c>
      <c r="G639" s="171" t="s">
        <v>214</v>
      </c>
      <c r="H639" s="176">
        <v>1</v>
      </c>
      <c r="I639" s="177">
        <v>1815</v>
      </c>
      <c r="J639" s="175">
        <v>46056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1005.08</v>
      </c>
    </row>
    <row r="640" spans="1:16" ht="19.5" customHeight="1">
      <c r="A640" s="171" t="s">
        <v>1145</v>
      </c>
      <c r="B640" s="175">
        <v>46058</v>
      </c>
      <c r="C640" s="171" t="s">
        <v>131</v>
      </c>
      <c r="D640" s="171" t="s">
        <v>132</v>
      </c>
      <c r="E640" s="171" t="s">
        <v>44</v>
      </c>
      <c r="F640" s="171" t="s">
        <v>213</v>
      </c>
      <c r="G640" s="171" t="s">
        <v>214</v>
      </c>
      <c r="H640" s="176">
        <v>1</v>
      </c>
      <c r="I640" s="177">
        <v>1815</v>
      </c>
      <c r="J640" s="175">
        <v>46056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-780.45</v>
      </c>
    </row>
    <row r="641" spans="1:16" ht="19.5" customHeight="1">
      <c r="A641" s="171" t="s">
        <v>1145</v>
      </c>
      <c r="B641" s="175">
        <v>46058</v>
      </c>
      <c r="C641" s="171" t="s">
        <v>115</v>
      </c>
      <c r="D641" s="171" t="s">
        <v>116</v>
      </c>
      <c r="E641" s="171" t="s">
        <v>44</v>
      </c>
      <c r="F641" s="171" t="s">
        <v>213</v>
      </c>
      <c r="G641" s="171" t="s">
        <v>214</v>
      </c>
      <c r="H641" s="176">
        <v>1</v>
      </c>
      <c r="I641" s="177">
        <v>1815</v>
      </c>
      <c r="J641" s="175">
        <v>46056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-15.76</v>
      </c>
    </row>
    <row r="642" spans="1:16" ht="19.5" customHeight="1">
      <c r="A642" s="171" t="s">
        <v>1146</v>
      </c>
      <c r="B642" s="175">
        <v>46058</v>
      </c>
      <c r="C642" s="171" t="s">
        <v>110</v>
      </c>
      <c r="D642" s="171" t="s">
        <v>24</v>
      </c>
      <c r="E642" s="171" t="s">
        <v>42</v>
      </c>
      <c r="F642" s="171" t="s">
        <v>248</v>
      </c>
      <c r="G642" s="171" t="s">
        <v>112</v>
      </c>
      <c r="H642" s="176">
        <v>1</v>
      </c>
      <c r="I642" s="177">
        <v>2000</v>
      </c>
      <c r="J642" s="175">
        <v>46057</v>
      </c>
      <c r="K642" s="171" t="s">
        <v>113</v>
      </c>
      <c r="L642" s="171" t="s">
        <v>114</v>
      </c>
      <c r="M642" s="178">
        <v>0.43</v>
      </c>
      <c r="N642" s="176"/>
      <c r="O642" s="176">
        <v>42</v>
      </c>
      <c r="P642" s="179">
        <v>-130.43</v>
      </c>
    </row>
    <row r="643" spans="1:16" ht="19.5" customHeight="1">
      <c r="A643" s="171" t="s">
        <v>1146</v>
      </c>
      <c r="B643" s="175">
        <v>46058</v>
      </c>
      <c r="C643" s="171" t="s">
        <v>127</v>
      </c>
      <c r="D643" s="171" t="s">
        <v>128</v>
      </c>
      <c r="E643" s="171" t="s">
        <v>42</v>
      </c>
      <c r="F643" s="171" t="s">
        <v>248</v>
      </c>
      <c r="G643" s="171" t="s">
        <v>112</v>
      </c>
      <c r="H643" s="176">
        <v>1</v>
      </c>
      <c r="I643" s="177">
        <v>2000</v>
      </c>
      <c r="J643" s="175">
        <v>46057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970.48</v>
      </c>
    </row>
    <row r="644" spans="1:16" ht="19.5" customHeight="1">
      <c r="A644" s="171" t="s">
        <v>1146</v>
      </c>
      <c r="B644" s="175">
        <v>46058</v>
      </c>
      <c r="C644" s="171" t="s">
        <v>127</v>
      </c>
      <c r="D644" s="171" t="s">
        <v>129</v>
      </c>
      <c r="E644" s="171" t="s">
        <v>42</v>
      </c>
      <c r="F644" s="171" t="s">
        <v>248</v>
      </c>
      <c r="G644" s="171" t="s">
        <v>112</v>
      </c>
      <c r="H644" s="176">
        <v>1</v>
      </c>
      <c r="I644" s="177">
        <v>2000</v>
      </c>
      <c r="J644" s="175">
        <v>46057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9.6999999999999993</v>
      </c>
    </row>
    <row r="645" spans="1:16" ht="19.5" customHeight="1">
      <c r="A645" s="171" t="s">
        <v>1146</v>
      </c>
      <c r="B645" s="175">
        <v>46058</v>
      </c>
      <c r="C645" s="171" t="s">
        <v>127</v>
      </c>
      <c r="D645" s="171" t="s">
        <v>130</v>
      </c>
      <c r="E645" s="171" t="s">
        <v>42</v>
      </c>
      <c r="F645" s="171" t="s">
        <v>248</v>
      </c>
      <c r="G645" s="171" t="s">
        <v>112</v>
      </c>
      <c r="H645" s="176">
        <v>1</v>
      </c>
      <c r="I645" s="177">
        <v>2000</v>
      </c>
      <c r="J645" s="175">
        <v>46057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1019.82</v>
      </c>
    </row>
    <row r="646" spans="1:16" ht="19.5" customHeight="1">
      <c r="A646" s="171" t="s">
        <v>1146</v>
      </c>
      <c r="B646" s="175">
        <v>46058</v>
      </c>
      <c r="C646" s="171" t="s">
        <v>131</v>
      </c>
      <c r="D646" s="171" t="s">
        <v>132</v>
      </c>
      <c r="E646" s="171" t="s">
        <v>42</v>
      </c>
      <c r="F646" s="171" t="s">
        <v>248</v>
      </c>
      <c r="G646" s="171" t="s">
        <v>112</v>
      </c>
      <c r="H646" s="176">
        <v>1</v>
      </c>
      <c r="I646" s="177">
        <v>2000</v>
      </c>
      <c r="J646" s="175">
        <v>46057</v>
      </c>
      <c r="K646" s="171" t="s">
        <v>113</v>
      </c>
      <c r="L646" s="171" t="s">
        <v>114</v>
      </c>
      <c r="M646" s="178">
        <v>0.43</v>
      </c>
      <c r="N646" s="176"/>
      <c r="O646" s="176"/>
      <c r="P646" s="179">
        <v>-860</v>
      </c>
    </row>
    <row r="647" spans="1:16" ht="19.5" customHeight="1">
      <c r="A647" s="171" t="s">
        <v>1146</v>
      </c>
      <c r="B647" s="175">
        <v>46058</v>
      </c>
      <c r="C647" s="171" t="s">
        <v>115</v>
      </c>
      <c r="D647" s="171" t="s">
        <v>116</v>
      </c>
      <c r="E647" s="171" t="s">
        <v>42</v>
      </c>
      <c r="F647" s="171" t="s">
        <v>248</v>
      </c>
      <c r="G647" s="171" t="s">
        <v>112</v>
      </c>
      <c r="H647" s="176">
        <v>1</v>
      </c>
      <c r="I647" s="177">
        <v>2000</v>
      </c>
      <c r="J647" s="175">
        <v>46057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-8.3000000000000007</v>
      </c>
    </row>
    <row r="648" spans="1:16" ht="19.5" customHeight="1">
      <c r="A648" s="171" t="s">
        <v>1147</v>
      </c>
      <c r="B648" s="175">
        <v>46058</v>
      </c>
      <c r="C648" s="171" t="s">
        <v>110</v>
      </c>
      <c r="D648" s="171" t="s">
        <v>24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0</v>
      </c>
      <c r="J648" s="175">
        <v>46054</v>
      </c>
      <c r="K648" s="171" t="s">
        <v>113</v>
      </c>
      <c r="L648" s="171" t="s">
        <v>114</v>
      </c>
      <c r="M648" s="178">
        <v>0</v>
      </c>
      <c r="N648" s="176"/>
      <c r="O648" s="176">
        <v>42</v>
      </c>
      <c r="P648" s="179">
        <v>-46.77</v>
      </c>
    </row>
    <row r="649" spans="1:16" ht="19.5" customHeight="1">
      <c r="A649" s="171" t="s">
        <v>1147</v>
      </c>
      <c r="B649" s="175">
        <v>46058</v>
      </c>
      <c r="C649" s="171" t="s">
        <v>115</v>
      </c>
      <c r="D649" s="171" t="s">
        <v>116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46054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-9.02</v>
      </c>
    </row>
    <row r="650" spans="1:16" ht="19.5" customHeight="1">
      <c r="A650" s="171" t="s">
        <v>1145</v>
      </c>
      <c r="B650" s="175">
        <v>46058</v>
      </c>
      <c r="C650" s="171" t="s">
        <v>115</v>
      </c>
      <c r="D650" s="171" t="s">
        <v>135</v>
      </c>
      <c r="E650" s="171" t="s">
        <v>44</v>
      </c>
      <c r="F650" s="171" t="s">
        <v>213</v>
      </c>
      <c r="G650" s="171" t="s">
        <v>214</v>
      </c>
      <c r="H650" s="176">
        <v>1</v>
      </c>
      <c r="I650" s="177">
        <v>0</v>
      </c>
      <c r="J650" s="175">
        <v>46056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-15.24</v>
      </c>
    </row>
    <row r="651" spans="1:16" ht="19.5" customHeight="1">
      <c r="A651" s="171" t="s">
        <v>1147</v>
      </c>
      <c r="B651" s="175">
        <v>46058</v>
      </c>
      <c r="C651" s="171" t="s">
        <v>110</v>
      </c>
      <c r="D651" s="171" t="s">
        <v>117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46054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0</v>
      </c>
    </row>
    <row r="652" spans="1:16" ht="19.5" customHeight="1">
      <c r="A652" s="171" t="s">
        <v>1147</v>
      </c>
      <c r="B652" s="175">
        <v>46058</v>
      </c>
      <c r="C652" s="171" t="s">
        <v>110</v>
      </c>
      <c r="D652" s="171" t="s">
        <v>118</v>
      </c>
      <c r="E652" s="171" t="s">
        <v>38</v>
      </c>
      <c r="F652" s="171" t="s">
        <v>111</v>
      </c>
      <c r="G652" s="171" t="s">
        <v>112</v>
      </c>
      <c r="H652" s="176">
        <v>1</v>
      </c>
      <c r="I652" s="177">
        <v>0</v>
      </c>
      <c r="J652" s="175">
        <v>46054</v>
      </c>
      <c r="K652" s="171" t="s">
        <v>113</v>
      </c>
      <c r="L652" s="171" t="s">
        <v>114</v>
      </c>
      <c r="M652" s="178">
        <v>0</v>
      </c>
      <c r="N652" s="176"/>
      <c r="O652" s="176"/>
      <c r="P652" s="179">
        <v>-46.77</v>
      </c>
    </row>
    <row r="653" spans="1:16" ht="19.5" customHeight="1">
      <c r="A653" s="171" t="s">
        <v>1147</v>
      </c>
      <c r="B653" s="175">
        <v>46058</v>
      </c>
      <c r="C653" s="171" t="s">
        <v>115</v>
      </c>
      <c r="D653" s="171" t="s">
        <v>119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0</v>
      </c>
      <c r="J653" s="175">
        <v>46054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-15</v>
      </c>
    </row>
    <row r="654" spans="1:16" ht="19.5" customHeight="1">
      <c r="A654" s="171" t="s">
        <v>1146</v>
      </c>
      <c r="B654" s="175">
        <v>46058</v>
      </c>
      <c r="C654" s="171" t="s">
        <v>115</v>
      </c>
      <c r="D654" s="171" t="s">
        <v>135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0</v>
      </c>
      <c r="J654" s="175">
        <v>46057</v>
      </c>
      <c r="K654" s="171" t="s">
        <v>125</v>
      </c>
      <c r="L654" s="171" t="s">
        <v>125</v>
      </c>
      <c r="M654" s="178">
        <v>0</v>
      </c>
      <c r="N654" s="176"/>
      <c r="O654" s="176"/>
      <c r="P654" s="179">
        <v>-18.440000000000001</v>
      </c>
    </row>
    <row r="655" spans="1:16" ht="19.5" customHeight="1">
      <c r="A655" s="171" t="s">
        <v>1148</v>
      </c>
      <c r="B655" s="175">
        <v>46058</v>
      </c>
      <c r="C655" s="171" t="s">
        <v>110</v>
      </c>
      <c r="D655" s="171" t="s">
        <v>24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2000</v>
      </c>
      <c r="J655" s="175">
        <v>46057</v>
      </c>
      <c r="K655" s="171" t="s">
        <v>113</v>
      </c>
      <c r="L655" s="171" t="s">
        <v>114</v>
      </c>
      <c r="M655" s="178">
        <v>0.43</v>
      </c>
      <c r="N655" s="176"/>
      <c r="O655" s="176">
        <v>42</v>
      </c>
      <c r="P655" s="179">
        <v>-130.43</v>
      </c>
    </row>
    <row r="656" spans="1:16" ht="19.5" customHeight="1">
      <c r="A656" s="171" t="s">
        <v>1148</v>
      </c>
      <c r="B656" s="175">
        <v>46058</v>
      </c>
      <c r="C656" s="171" t="s">
        <v>127</v>
      </c>
      <c r="D656" s="171" t="s">
        <v>128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2000</v>
      </c>
      <c r="J656" s="175">
        <v>46057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866.67</v>
      </c>
    </row>
    <row r="657" spans="1:16" ht="19.5" customHeight="1">
      <c r="A657" s="171" t="s">
        <v>1148</v>
      </c>
      <c r="B657" s="175">
        <v>46058</v>
      </c>
      <c r="C657" s="171" t="s">
        <v>127</v>
      </c>
      <c r="D657" s="171" t="s">
        <v>129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2000</v>
      </c>
      <c r="J657" s="175">
        <v>46057</v>
      </c>
      <c r="K657" s="171" t="s">
        <v>113</v>
      </c>
      <c r="L657" s="171" t="s">
        <v>114</v>
      </c>
      <c r="M657" s="178">
        <v>0</v>
      </c>
      <c r="N657" s="176"/>
      <c r="O657" s="176"/>
      <c r="P657" s="179">
        <v>8.67</v>
      </c>
    </row>
    <row r="658" spans="1:16" ht="19.5" customHeight="1">
      <c r="A658" s="171" t="s">
        <v>1148</v>
      </c>
      <c r="B658" s="175">
        <v>46058</v>
      </c>
      <c r="C658" s="171" t="s">
        <v>127</v>
      </c>
      <c r="D658" s="171" t="s">
        <v>130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2000</v>
      </c>
      <c r="J658" s="175">
        <v>46057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1124.6600000000001</v>
      </c>
    </row>
    <row r="659" spans="1:16" ht="19.5" customHeight="1">
      <c r="A659" s="171" t="s">
        <v>1148</v>
      </c>
      <c r="B659" s="175">
        <v>46058</v>
      </c>
      <c r="C659" s="171" t="s">
        <v>131</v>
      </c>
      <c r="D659" s="171" t="s">
        <v>132</v>
      </c>
      <c r="E659" s="171" t="s">
        <v>38</v>
      </c>
      <c r="F659" s="171" t="s">
        <v>111</v>
      </c>
      <c r="G659" s="171" t="s">
        <v>112</v>
      </c>
      <c r="H659" s="176">
        <v>1</v>
      </c>
      <c r="I659" s="177">
        <v>2000</v>
      </c>
      <c r="J659" s="175">
        <v>46057</v>
      </c>
      <c r="K659" s="171" t="s">
        <v>113</v>
      </c>
      <c r="L659" s="171" t="s">
        <v>114</v>
      </c>
      <c r="M659" s="178">
        <v>0.43</v>
      </c>
      <c r="N659" s="176"/>
      <c r="O659" s="176"/>
      <c r="P659" s="179">
        <v>-860</v>
      </c>
    </row>
    <row r="660" spans="1:16" ht="19.5" customHeight="1">
      <c r="A660" s="171" t="s">
        <v>1148</v>
      </c>
      <c r="B660" s="175">
        <v>46058</v>
      </c>
      <c r="C660" s="171" t="s">
        <v>115</v>
      </c>
      <c r="D660" s="171" t="s">
        <v>116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2000</v>
      </c>
      <c r="J660" s="175">
        <v>46057</v>
      </c>
      <c r="K660" s="171" t="s">
        <v>113</v>
      </c>
      <c r="L660" s="171" t="s">
        <v>114</v>
      </c>
      <c r="M660" s="178">
        <v>0.43</v>
      </c>
      <c r="N660" s="176"/>
      <c r="O660" s="176"/>
      <c r="P660" s="179">
        <v>-15.07</v>
      </c>
    </row>
    <row r="661" spans="1:16" ht="19.5" customHeight="1">
      <c r="A661" s="171" t="s">
        <v>1149</v>
      </c>
      <c r="B661" s="175">
        <v>46058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1800</v>
      </c>
      <c r="J661" s="175">
        <v>46054</v>
      </c>
      <c r="K661" s="171" t="s">
        <v>113</v>
      </c>
      <c r="L661" s="171" t="s">
        <v>114</v>
      </c>
      <c r="M661" s="178">
        <v>0.43</v>
      </c>
      <c r="N661" s="176"/>
      <c r="O661" s="176">
        <v>42</v>
      </c>
      <c r="P661" s="179">
        <v>-124.73</v>
      </c>
    </row>
    <row r="662" spans="1:16" ht="19.5" customHeight="1">
      <c r="A662" s="171" t="s">
        <v>1149</v>
      </c>
      <c r="B662" s="175">
        <v>46058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1800</v>
      </c>
      <c r="J662" s="175">
        <v>46054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781.46</v>
      </c>
    </row>
    <row r="663" spans="1:16" ht="19.5" customHeight="1">
      <c r="A663" s="171" t="s">
        <v>1149</v>
      </c>
      <c r="B663" s="175">
        <v>46058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1800</v>
      </c>
      <c r="J663" s="175">
        <v>46054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7.81</v>
      </c>
    </row>
    <row r="664" spans="1:16" ht="19.5" customHeight="1">
      <c r="A664" s="171" t="s">
        <v>1149</v>
      </c>
      <c r="B664" s="175">
        <v>46058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1800</v>
      </c>
      <c r="J664" s="175">
        <v>46054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1010.73</v>
      </c>
    </row>
    <row r="665" spans="1:16" ht="19.5" customHeight="1">
      <c r="A665" s="171" t="s">
        <v>1149</v>
      </c>
      <c r="B665" s="175">
        <v>46058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1800</v>
      </c>
      <c r="J665" s="175">
        <v>46054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-774</v>
      </c>
    </row>
    <row r="666" spans="1:16" ht="19.5" customHeight="1">
      <c r="A666" s="171" t="s">
        <v>1149</v>
      </c>
      <c r="B666" s="175">
        <v>46058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1800</v>
      </c>
      <c r="J666" s="175">
        <v>46054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-10.98</v>
      </c>
    </row>
    <row r="667" spans="1:16" ht="19.5" customHeight="1">
      <c r="A667" s="171" t="s">
        <v>1150</v>
      </c>
      <c r="B667" s="175">
        <v>46058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46058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-16.62</v>
      </c>
    </row>
    <row r="668" spans="1:16" ht="19.5" customHeight="1">
      <c r="A668" s="171" t="s">
        <v>1151</v>
      </c>
      <c r="B668" s="175">
        <v>46058</v>
      </c>
      <c r="C668" s="171" t="s">
        <v>110</v>
      </c>
      <c r="D668" s="171" t="s">
        <v>24</v>
      </c>
      <c r="E668" s="171" t="s">
        <v>46</v>
      </c>
      <c r="F668" s="171" t="s">
        <v>681</v>
      </c>
      <c r="G668" s="171" t="s">
        <v>112</v>
      </c>
      <c r="H668" s="176">
        <v>1</v>
      </c>
      <c r="I668" s="177">
        <v>0</v>
      </c>
      <c r="J668" s="175">
        <v>46050</v>
      </c>
      <c r="K668" s="171" t="s">
        <v>113</v>
      </c>
      <c r="L668" s="171" t="s">
        <v>114</v>
      </c>
      <c r="M668" s="178">
        <v>0</v>
      </c>
      <c r="N668" s="176"/>
      <c r="O668" s="176">
        <v>50</v>
      </c>
      <c r="P668" s="179">
        <v>-46.77</v>
      </c>
    </row>
    <row r="669" spans="1:16" ht="19.5" customHeight="1">
      <c r="A669" s="171" t="s">
        <v>1151</v>
      </c>
      <c r="B669" s="175">
        <v>46058</v>
      </c>
      <c r="C669" s="171" t="s">
        <v>115</v>
      </c>
      <c r="D669" s="171" t="s">
        <v>116</v>
      </c>
      <c r="E669" s="171" t="s">
        <v>46</v>
      </c>
      <c r="F669" s="171" t="s">
        <v>681</v>
      </c>
      <c r="G669" s="171" t="s">
        <v>112</v>
      </c>
      <c r="H669" s="176">
        <v>1</v>
      </c>
      <c r="I669" s="177">
        <v>0</v>
      </c>
      <c r="J669" s="175">
        <v>46050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-7.5</v>
      </c>
    </row>
    <row r="670" spans="1:16" ht="19.5" customHeight="1">
      <c r="A670" s="171" t="s">
        <v>1151</v>
      </c>
      <c r="B670" s="175">
        <v>46058</v>
      </c>
      <c r="C670" s="171" t="s">
        <v>110</v>
      </c>
      <c r="D670" s="171" t="s">
        <v>117</v>
      </c>
      <c r="E670" s="171" t="s">
        <v>46</v>
      </c>
      <c r="F670" s="171" t="s">
        <v>681</v>
      </c>
      <c r="G670" s="171" t="s">
        <v>112</v>
      </c>
      <c r="H670" s="176">
        <v>1</v>
      </c>
      <c r="I670" s="177">
        <v>0</v>
      </c>
      <c r="J670" s="175">
        <v>46050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0</v>
      </c>
    </row>
    <row r="671" spans="1:16" ht="19.5" customHeight="1">
      <c r="A671" s="171" t="s">
        <v>1151</v>
      </c>
      <c r="B671" s="175">
        <v>46058</v>
      </c>
      <c r="C671" s="171" t="s">
        <v>110</v>
      </c>
      <c r="D671" s="171" t="s">
        <v>118</v>
      </c>
      <c r="E671" s="171" t="s">
        <v>46</v>
      </c>
      <c r="F671" s="171" t="s">
        <v>681</v>
      </c>
      <c r="G671" s="171" t="s">
        <v>112</v>
      </c>
      <c r="H671" s="176">
        <v>1</v>
      </c>
      <c r="I671" s="177">
        <v>0</v>
      </c>
      <c r="J671" s="175">
        <v>46050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-46.77</v>
      </c>
    </row>
    <row r="672" spans="1:16" ht="19.5" customHeight="1">
      <c r="A672" s="171" t="s">
        <v>1151</v>
      </c>
      <c r="B672" s="175">
        <v>46058</v>
      </c>
      <c r="C672" s="171" t="s">
        <v>115</v>
      </c>
      <c r="D672" s="171" t="s">
        <v>119</v>
      </c>
      <c r="E672" s="171" t="s">
        <v>46</v>
      </c>
      <c r="F672" s="171" t="s">
        <v>681</v>
      </c>
      <c r="G672" s="171" t="s">
        <v>112</v>
      </c>
      <c r="H672" s="176">
        <v>1</v>
      </c>
      <c r="I672" s="177">
        <v>0</v>
      </c>
      <c r="J672" s="175">
        <v>46050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-15</v>
      </c>
    </row>
    <row r="673" spans="1:16" ht="19.5" customHeight="1">
      <c r="A673" s="171" t="s">
        <v>1152</v>
      </c>
      <c r="B673" s="175">
        <v>46058</v>
      </c>
      <c r="C673" s="171" t="s">
        <v>507</v>
      </c>
      <c r="D673" s="171" t="s">
        <v>508</v>
      </c>
      <c r="E673" s="171" t="s">
        <v>69</v>
      </c>
      <c r="F673" s="171" t="s">
        <v>675</v>
      </c>
      <c r="G673" s="171" t="s">
        <v>177</v>
      </c>
      <c r="H673" s="176">
        <v>1</v>
      </c>
      <c r="I673" s="177">
        <v>0</v>
      </c>
      <c r="J673" s="175">
        <v>46044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-5</v>
      </c>
    </row>
    <row r="674" spans="1:16" ht="19.5" customHeight="1">
      <c r="A674" s="171" t="s">
        <v>1152</v>
      </c>
      <c r="B674" s="175">
        <v>46058</v>
      </c>
      <c r="C674" s="171" t="s">
        <v>115</v>
      </c>
      <c r="D674" s="171" t="s">
        <v>510</v>
      </c>
      <c r="E674" s="171" t="s">
        <v>69</v>
      </c>
      <c r="F674" s="171" t="s">
        <v>675</v>
      </c>
      <c r="G674" s="171" t="s">
        <v>177</v>
      </c>
      <c r="H674" s="176">
        <v>1</v>
      </c>
      <c r="I674" s="177">
        <v>0</v>
      </c>
      <c r="J674" s="175">
        <v>46044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-10</v>
      </c>
    </row>
    <row r="675" spans="1:16" ht="19.5" customHeight="1">
      <c r="A675" s="171" t="s">
        <v>1115</v>
      </c>
      <c r="B675" s="175">
        <v>46058</v>
      </c>
      <c r="C675" s="171" t="s">
        <v>115</v>
      </c>
      <c r="D675" s="171" t="s">
        <v>135</v>
      </c>
      <c r="E675" s="171" t="s">
        <v>75</v>
      </c>
      <c r="F675" s="171" t="s">
        <v>474</v>
      </c>
      <c r="G675" s="171" t="s">
        <v>177</v>
      </c>
      <c r="H675" s="176">
        <v>1</v>
      </c>
      <c r="I675" s="177">
        <v>0</v>
      </c>
      <c r="J675" s="175">
        <v>46057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17.13</v>
      </c>
    </row>
    <row r="676" spans="1:16" ht="19.5" customHeight="1">
      <c r="A676" s="171" t="s">
        <v>1115</v>
      </c>
      <c r="B676" s="175">
        <v>46058</v>
      </c>
      <c r="C676" s="171" t="s">
        <v>115</v>
      </c>
      <c r="D676" s="171" t="s">
        <v>135</v>
      </c>
      <c r="E676" s="171" t="s">
        <v>76</v>
      </c>
      <c r="F676" s="171" t="s">
        <v>821</v>
      </c>
      <c r="G676" s="171" t="s">
        <v>177</v>
      </c>
      <c r="H676" s="176">
        <v>1</v>
      </c>
      <c r="I676" s="177">
        <v>0</v>
      </c>
      <c r="J676" s="175">
        <v>46057</v>
      </c>
      <c r="K676" s="171" t="s">
        <v>125</v>
      </c>
      <c r="L676" s="171" t="s">
        <v>125</v>
      </c>
      <c r="M676" s="178">
        <v>0</v>
      </c>
      <c r="N676" s="176"/>
      <c r="O676" s="176"/>
      <c r="P676" s="179">
        <v>17.09</v>
      </c>
    </row>
    <row r="677" spans="1:16" ht="19.5" customHeight="1">
      <c r="A677" s="171" t="s">
        <v>1153</v>
      </c>
      <c r="B677" s="175">
        <v>46058</v>
      </c>
      <c r="C677" s="171" t="s">
        <v>115</v>
      </c>
      <c r="D677" s="171" t="s">
        <v>135</v>
      </c>
      <c r="E677" s="171" t="s">
        <v>38</v>
      </c>
      <c r="F677" s="171" t="s">
        <v>111</v>
      </c>
      <c r="G677" s="171" t="s">
        <v>112</v>
      </c>
      <c r="H677" s="176">
        <v>1</v>
      </c>
      <c r="I677" s="177">
        <v>0</v>
      </c>
      <c r="J677" s="175">
        <v>46058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-16.61</v>
      </c>
    </row>
    <row r="678" spans="1:16" ht="19.5" customHeight="1">
      <c r="A678" s="171" t="s">
        <v>1154</v>
      </c>
      <c r="B678" s="175">
        <v>46058</v>
      </c>
      <c r="C678" s="171" t="s">
        <v>115</v>
      </c>
      <c r="D678" s="171" t="s">
        <v>135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0</v>
      </c>
      <c r="J678" s="175">
        <v>46058</v>
      </c>
      <c r="K678" s="171" t="s">
        <v>125</v>
      </c>
      <c r="L678" s="171" t="s">
        <v>125</v>
      </c>
      <c r="M678" s="178">
        <v>0</v>
      </c>
      <c r="N678" s="176"/>
      <c r="O678" s="176"/>
      <c r="P678" s="179">
        <v>-16.7</v>
      </c>
    </row>
    <row r="679" spans="1:16" ht="19.5" customHeight="1">
      <c r="A679" s="171" t="s">
        <v>1155</v>
      </c>
      <c r="B679" s="175">
        <v>46058</v>
      </c>
      <c r="C679" s="171" t="s">
        <v>110</v>
      </c>
      <c r="D679" s="171" t="s">
        <v>24</v>
      </c>
      <c r="E679" s="171" t="s">
        <v>77</v>
      </c>
      <c r="F679" s="171" t="s">
        <v>194</v>
      </c>
      <c r="G679" s="171" t="s">
        <v>177</v>
      </c>
      <c r="H679" s="176">
        <v>1</v>
      </c>
      <c r="I679" s="177">
        <v>0</v>
      </c>
      <c r="J679" s="175">
        <v>46051</v>
      </c>
      <c r="K679" s="171" t="s">
        <v>113</v>
      </c>
      <c r="L679" s="171" t="s">
        <v>114</v>
      </c>
      <c r="M679" s="178">
        <v>0</v>
      </c>
      <c r="N679" s="176"/>
      <c r="O679" s="176">
        <v>48</v>
      </c>
      <c r="P679" s="179">
        <v>-56.94</v>
      </c>
    </row>
    <row r="680" spans="1:16" ht="19.5" customHeight="1">
      <c r="A680" s="171" t="s">
        <v>1155</v>
      </c>
      <c r="B680" s="175">
        <v>46058</v>
      </c>
      <c r="C680" s="171" t="s">
        <v>115</v>
      </c>
      <c r="D680" s="171" t="s">
        <v>116</v>
      </c>
      <c r="E680" s="171" t="s">
        <v>77</v>
      </c>
      <c r="F680" s="171" t="s">
        <v>194</v>
      </c>
      <c r="G680" s="171" t="s">
        <v>177</v>
      </c>
      <c r="H680" s="176">
        <v>1</v>
      </c>
      <c r="I680" s="177">
        <v>0</v>
      </c>
      <c r="J680" s="175">
        <v>46051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-12.76</v>
      </c>
    </row>
    <row r="681" spans="1:16" ht="19.5" customHeight="1">
      <c r="A681" s="171" t="s">
        <v>1155</v>
      </c>
      <c r="B681" s="175">
        <v>46058</v>
      </c>
      <c r="C681" s="171" t="s">
        <v>110</v>
      </c>
      <c r="D681" s="171" t="s">
        <v>117</v>
      </c>
      <c r="E681" s="171" t="s">
        <v>77</v>
      </c>
      <c r="F681" s="171" t="s">
        <v>194</v>
      </c>
      <c r="G681" s="171" t="s">
        <v>177</v>
      </c>
      <c r="H681" s="176">
        <v>1</v>
      </c>
      <c r="I681" s="177">
        <v>0</v>
      </c>
      <c r="J681" s="175">
        <v>46051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0</v>
      </c>
    </row>
    <row r="682" spans="1:16" ht="19.5" customHeight="1">
      <c r="A682" s="171" t="s">
        <v>1155</v>
      </c>
      <c r="B682" s="175">
        <v>46058</v>
      </c>
      <c r="C682" s="171" t="s">
        <v>110</v>
      </c>
      <c r="D682" s="171" t="s">
        <v>118</v>
      </c>
      <c r="E682" s="171" t="s">
        <v>77</v>
      </c>
      <c r="F682" s="171" t="s">
        <v>194</v>
      </c>
      <c r="G682" s="171" t="s">
        <v>177</v>
      </c>
      <c r="H682" s="176">
        <v>1</v>
      </c>
      <c r="I682" s="177">
        <v>0</v>
      </c>
      <c r="J682" s="175">
        <v>46051</v>
      </c>
      <c r="K682" s="171" t="s">
        <v>113</v>
      </c>
      <c r="L682" s="171" t="s">
        <v>114</v>
      </c>
      <c r="M682" s="178">
        <v>0</v>
      </c>
      <c r="N682" s="176"/>
      <c r="O682" s="176"/>
      <c r="P682" s="179">
        <v>-56.94</v>
      </c>
    </row>
    <row r="683" spans="1:16" ht="19.5" customHeight="1">
      <c r="A683" s="171" t="s">
        <v>1155</v>
      </c>
      <c r="B683" s="175">
        <v>46058</v>
      </c>
      <c r="C683" s="171" t="s">
        <v>115</v>
      </c>
      <c r="D683" s="171" t="s">
        <v>119</v>
      </c>
      <c r="E683" s="171" t="s">
        <v>77</v>
      </c>
      <c r="F683" s="171" t="s">
        <v>194</v>
      </c>
      <c r="G683" s="171" t="s">
        <v>177</v>
      </c>
      <c r="H683" s="176">
        <v>1</v>
      </c>
      <c r="I683" s="177">
        <v>0</v>
      </c>
      <c r="J683" s="175">
        <v>46051</v>
      </c>
      <c r="K683" s="171" t="s">
        <v>113</v>
      </c>
      <c r="L683" s="171" t="s">
        <v>114</v>
      </c>
      <c r="M683" s="178">
        <v>0</v>
      </c>
      <c r="N683" s="176"/>
      <c r="O683" s="176"/>
      <c r="P683" s="179">
        <v>-15</v>
      </c>
    </row>
    <row r="684" spans="1:16" ht="19.5" customHeight="1">
      <c r="A684" s="171" t="s">
        <v>565</v>
      </c>
      <c r="B684" s="175">
        <v>46058</v>
      </c>
      <c r="C684" s="171" t="s">
        <v>151</v>
      </c>
      <c r="D684" s="171" t="s">
        <v>152</v>
      </c>
      <c r="E684" s="171" t="s">
        <v>125</v>
      </c>
      <c r="F684" s="171" t="s">
        <v>125</v>
      </c>
      <c r="G684" s="171" t="s">
        <v>125</v>
      </c>
      <c r="H684" s="176">
        <v>0</v>
      </c>
      <c r="I684" s="177">
        <v>0</v>
      </c>
      <c r="J684" s="175">
        <v>46058</v>
      </c>
      <c r="K684" s="171" t="s">
        <v>125</v>
      </c>
      <c r="L684" s="171" t="s">
        <v>125</v>
      </c>
      <c r="M684" s="178">
        <v>0</v>
      </c>
      <c r="N684" s="176"/>
      <c r="O684" s="176"/>
      <c r="P684" s="179">
        <v>-288.22000000000003</v>
      </c>
    </row>
    <row r="685" spans="1:16" ht="19.5" customHeight="1">
      <c r="A685" s="171" t="s">
        <v>180</v>
      </c>
      <c r="B685" s="175">
        <v>46058</v>
      </c>
      <c r="C685" s="171" t="s">
        <v>151</v>
      </c>
      <c r="D685" s="171" t="s">
        <v>152</v>
      </c>
      <c r="E685" s="171" t="s">
        <v>125</v>
      </c>
      <c r="F685" s="171" t="s">
        <v>125</v>
      </c>
      <c r="G685" s="171" t="s">
        <v>125</v>
      </c>
      <c r="H685" s="176">
        <v>0</v>
      </c>
      <c r="I685" s="177">
        <v>0</v>
      </c>
      <c r="J685" s="175">
        <v>46058</v>
      </c>
      <c r="K685" s="171" t="s">
        <v>125</v>
      </c>
      <c r="L685" s="171" t="s">
        <v>125</v>
      </c>
      <c r="M685" s="178">
        <v>0</v>
      </c>
      <c r="N685" s="176"/>
      <c r="O685" s="176"/>
      <c r="P685" s="179">
        <v>-357.95</v>
      </c>
    </row>
    <row r="686" spans="1:16" ht="19.5" customHeight="1">
      <c r="A686" s="171" t="s">
        <v>150</v>
      </c>
      <c r="B686" s="175">
        <v>46058</v>
      </c>
      <c r="C686" s="171" t="s">
        <v>151</v>
      </c>
      <c r="D686" s="171" t="s">
        <v>152</v>
      </c>
      <c r="E686" s="171" t="s">
        <v>125</v>
      </c>
      <c r="F686" s="171" t="s">
        <v>125</v>
      </c>
      <c r="G686" s="171" t="s">
        <v>125</v>
      </c>
      <c r="H686" s="176">
        <v>0</v>
      </c>
      <c r="I686" s="177">
        <v>0</v>
      </c>
      <c r="J686" s="175">
        <v>46058</v>
      </c>
      <c r="K686" s="171" t="s">
        <v>125</v>
      </c>
      <c r="L686" s="171" t="s">
        <v>125</v>
      </c>
      <c r="M686" s="178">
        <v>0</v>
      </c>
      <c r="N686" s="176"/>
      <c r="O686" s="176"/>
      <c r="P686" s="179">
        <v>-847.85</v>
      </c>
    </row>
    <row r="687" spans="1:16" ht="19.5" customHeight="1">
      <c r="A687" s="171" t="s">
        <v>155</v>
      </c>
      <c r="B687" s="175">
        <v>46058</v>
      </c>
      <c r="C687" s="171" t="s">
        <v>151</v>
      </c>
      <c r="D687" s="171" t="s">
        <v>156</v>
      </c>
      <c r="E687" s="171" t="s">
        <v>125</v>
      </c>
      <c r="F687" s="171" t="s">
        <v>125</v>
      </c>
      <c r="G687" s="171" t="s">
        <v>125</v>
      </c>
      <c r="H687" s="176">
        <v>0</v>
      </c>
      <c r="I687" s="177">
        <v>0</v>
      </c>
      <c r="J687" s="175">
        <v>46058</v>
      </c>
      <c r="K687" s="171" t="s">
        <v>125</v>
      </c>
      <c r="L687" s="171" t="s">
        <v>125</v>
      </c>
      <c r="M687" s="178">
        <v>0</v>
      </c>
      <c r="N687" s="176"/>
      <c r="O687" s="176"/>
      <c r="P687" s="179">
        <v>-4243.1499999999996</v>
      </c>
    </row>
    <row r="688" spans="1:16" ht="19.5" customHeight="1">
      <c r="A688" s="171" t="s">
        <v>1156</v>
      </c>
      <c r="B688" s="175">
        <v>46059</v>
      </c>
      <c r="C688" s="171" t="s">
        <v>115</v>
      </c>
      <c r="D688" s="171" t="s">
        <v>135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0</v>
      </c>
      <c r="J688" s="175">
        <v>46059</v>
      </c>
      <c r="K688" s="171" t="s">
        <v>125</v>
      </c>
      <c r="L688" s="171" t="s">
        <v>125</v>
      </c>
      <c r="M688" s="178">
        <v>0</v>
      </c>
      <c r="N688" s="176"/>
      <c r="O688" s="176"/>
      <c r="P688" s="179">
        <v>-16.62</v>
      </c>
    </row>
    <row r="689" spans="1:16" ht="19.5" customHeight="1">
      <c r="A689" s="171" t="s">
        <v>1157</v>
      </c>
      <c r="B689" s="175">
        <v>46059</v>
      </c>
      <c r="C689" s="171" t="s">
        <v>110</v>
      </c>
      <c r="D689" s="171" t="s">
        <v>24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0</v>
      </c>
      <c r="J689" s="175">
        <v>46053</v>
      </c>
      <c r="K689" s="171" t="s">
        <v>113</v>
      </c>
      <c r="L689" s="171" t="s">
        <v>114</v>
      </c>
      <c r="M689" s="178">
        <v>0</v>
      </c>
      <c r="N689" s="176"/>
      <c r="O689" s="176">
        <v>48</v>
      </c>
      <c r="P689" s="179">
        <v>-46.77</v>
      </c>
    </row>
    <row r="690" spans="1:16" ht="19.5" customHeight="1">
      <c r="A690" s="171" t="s">
        <v>1157</v>
      </c>
      <c r="B690" s="175">
        <v>46059</v>
      </c>
      <c r="C690" s="171" t="s">
        <v>115</v>
      </c>
      <c r="D690" s="171" t="s">
        <v>116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46053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-10.45</v>
      </c>
    </row>
    <row r="691" spans="1:16" ht="19.5" customHeight="1">
      <c r="A691" s="171" t="s">
        <v>1157</v>
      </c>
      <c r="B691" s="175">
        <v>46059</v>
      </c>
      <c r="C691" s="171" t="s">
        <v>110</v>
      </c>
      <c r="D691" s="171" t="s">
        <v>117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46053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1157</v>
      </c>
      <c r="B692" s="175">
        <v>46059</v>
      </c>
      <c r="C692" s="171" t="s">
        <v>110</v>
      </c>
      <c r="D692" s="171" t="s">
        <v>118</v>
      </c>
      <c r="E692" s="171" t="s">
        <v>38</v>
      </c>
      <c r="F692" s="171" t="s">
        <v>111</v>
      </c>
      <c r="G692" s="171" t="s">
        <v>112</v>
      </c>
      <c r="H692" s="176">
        <v>1</v>
      </c>
      <c r="I692" s="177">
        <v>0</v>
      </c>
      <c r="J692" s="175">
        <v>46053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-46.77</v>
      </c>
    </row>
    <row r="693" spans="1:16" ht="19.5" customHeight="1">
      <c r="A693" s="171" t="s">
        <v>1157</v>
      </c>
      <c r="B693" s="175">
        <v>46059</v>
      </c>
      <c r="C693" s="171" t="s">
        <v>115</v>
      </c>
      <c r="D693" s="171" t="s">
        <v>119</v>
      </c>
      <c r="E693" s="171" t="s">
        <v>38</v>
      </c>
      <c r="F693" s="171" t="s">
        <v>111</v>
      </c>
      <c r="G693" s="171" t="s">
        <v>112</v>
      </c>
      <c r="H693" s="176">
        <v>1</v>
      </c>
      <c r="I693" s="177">
        <v>0</v>
      </c>
      <c r="J693" s="175">
        <v>46053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-15</v>
      </c>
    </row>
    <row r="694" spans="1:16" ht="19.5" customHeight="1">
      <c r="A694" s="171" t="s">
        <v>797</v>
      </c>
      <c r="B694" s="175">
        <v>46059</v>
      </c>
      <c r="C694" s="171" t="s">
        <v>110</v>
      </c>
      <c r="D694" s="171" t="s">
        <v>117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0</v>
      </c>
      <c r="J694" s="175">
        <v>46041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797</v>
      </c>
      <c r="B695" s="175">
        <v>46059</v>
      </c>
      <c r="C695" s="171" t="s">
        <v>110</v>
      </c>
      <c r="D695" s="171" t="s">
        <v>118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0</v>
      </c>
      <c r="J695" s="175">
        <v>46041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-56.94</v>
      </c>
    </row>
    <row r="696" spans="1:16" ht="19.5" customHeight="1">
      <c r="A696" s="171" t="s">
        <v>797</v>
      </c>
      <c r="B696" s="175">
        <v>46059</v>
      </c>
      <c r="C696" s="171" t="s">
        <v>115</v>
      </c>
      <c r="D696" s="171" t="s">
        <v>119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0</v>
      </c>
      <c r="J696" s="175">
        <v>46041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-15</v>
      </c>
    </row>
    <row r="697" spans="1:16" ht="19.5" customHeight="1">
      <c r="A697" s="171" t="s">
        <v>797</v>
      </c>
      <c r="B697" s="175">
        <v>46059</v>
      </c>
      <c r="C697" s="171" t="s">
        <v>110</v>
      </c>
      <c r="D697" s="171" t="s">
        <v>24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0</v>
      </c>
      <c r="J697" s="175">
        <v>46041</v>
      </c>
      <c r="K697" s="171" t="s">
        <v>113</v>
      </c>
      <c r="L697" s="171" t="s">
        <v>114</v>
      </c>
      <c r="M697" s="178">
        <v>0</v>
      </c>
      <c r="N697" s="176"/>
      <c r="O697" s="176">
        <v>53</v>
      </c>
      <c r="P697" s="179">
        <v>-56.94</v>
      </c>
    </row>
    <row r="698" spans="1:16" ht="19.5" customHeight="1">
      <c r="A698" s="171" t="s">
        <v>797</v>
      </c>
      <c r="B698" s="175">
        <v>46059</v>
      </c>
      <c r="C698" s="171" t="s">
        <v>115</v>
      </c>
      <c r="D698" s="171" t="s">
        <v>116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46041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-21.6</v>
      </c>
    </row>
    <row r="699" spans="1:16" ht="19.5" customHeight="1">
      <c r="A699" s="171" t="s">
        <v>1158</v>
      </c>
      <c r="B699" s="175">
        <v>46059</v>
      </c>
      <c r="C699" s="171" t="s">
        <v>110</v>
      </c>
      <c r="D699" s="171" t="s">
        <v>24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46053</v>
      </c>
      <c r="K699" s="171" t="s">
        <v>113</v>
      </c>
      <c r="L699" s="171" t="s">
        <v>114</v>
      </c>
      <c r="M699" s="178">
        <v>0</v>
      </c>
      <c r="N699" s="176"/>
      <c r="O699" s="176">
        <v>48</v>
      </c>
      <c r="P699" s="179">
        <v>-46.77</v>
      </c>
    </row>
    <row r="700" spans="1:16" ht="19.5" customHeight="1">
      <c r="A700" s="171" t="s">
        <v>1158</v>
      </c>
      <c r="B700" s="175">
        <v>46059</v>
      </c>
      <c r="C700" s="171" t="s">
        <v>115</v>
      </c>
      <c r="D700" s="171" t="s">
        <v>116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46053</v>
      </c>
      <c r="K700" s="171" t="s">
        <v>113</v>
      </c>
      <c r="L700" s="171" t="s">
        <v>114</v>
      </c>
      <c r="M700" s="178">
        <v>0</v>
      </c>
      <c r="N700" s="176"/>
      <c r="O700" s="176"/>
      <c r="P700" s="179">
        <v>-14.07</v>
      </c>
    </row>
    <row r="701" spans="1:16" ht="19.5" customHeight="1">
      <c r="A701" s="171" t="s">
        <v>1158</v>
      </c>
      <c r="B701" s="175">
        <v>46059</v>
      </c>
      <c r="C701" s="171" t="s">
        <v>110</v>
      </c>
      <c r="D701" s="171" t="s">
        <v>117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46053</v>
      </c>
      <c r="K701" s="171" t="s">
        <v>113</v>
      </c>
      <c r="L701" s="171" t="s">
        <v>114</v>
      </c>
      <c r="M701" s="178">
        <v>0</v>
      </c>
      <c r="N701" s="176"/>
      <c r="O701" s="176"/>
      <c r="P701" s="179">
        <v>0</v>
      </c>
    </row>
    <row r="702" spans="1:16" ht="19.5" customHeight="1">
      <c r="A702" s="171" t="s">
        <v>1158</v>
      </c>
      <c r="B702" s="175">
        <v>46059</v>
      </c>
      <c r="C702" s="171" t="s">
        <v>110</v>
      </c>
      <c r="D702" s="171" t="s">
        <v>118</v>
      </c>
      <c r="E702" s="171" t="s">
        <v>38</v>
      </c>
      <c r="F702" s="171" t="s">
        <v>111</v>
      </c>
      <c r="G702" s="171" t="s">
        <v>112</v>
      </c>
      <c r="H702" s="176">
        <v>1</v>
      </c>
      <c r="I702" s="177">
        <v>0</v>
      </c>
      <c r="J702" s="175">
        <v>46053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-46.77</v>
      </c>
    </row>
    <row r="703" spans="1:16" ht="19.5" customHeight="1">
      <c r="A703" s="171" t="s">
        <v>1158</v>
      </c>
      <c r="B703" s="175">
        <v>46059</v>
      </c>
      <c r="C703" s="171" t="s">
        <v>115</v>
      </c>
      <c r="D703" s="171" t="s">
        <v>119</v>
      </c>
      <c r="E703" s="171" t="s">
        <v>38</v>
      </c>
      <c r="F703" s="171" t="s">
        <v>111</v>
      </c>
      <c r="G703" s="171" t="s">
        <v>112</v>
      </c>
      <c r="H703" s="176">
        <v>1</v>
      </c>
      <c r="I703" s="177">
        <v>0</v>
      </c>
      <c r="J703" s="175">
        <v>46053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-15</v>
      </c>
    </row>
    <row r="704" spans="1:16" ht="19.5" customHeight="1">
      <c r="A704" s="171" t="s">
        <v>1159</v>
      </c>
      <c r="B704" s="175">
        <v>46059</v>
      </c>
      <c r="C704" s="171" t="s">
        <v>110</v>
      </c>
      <c r="D704" s="171" t="s">
        <v>24</v>
      </c>
      <c r="E704" s="171" t="s">
        <v>78</v>
      </c>
      <c r="F704" s="171" t="s">
        <v>176</v>
      </c>
      <c r="G704" s="171" t="s">
        <v>177</v>
      </c>
      <c r="H704" s="176">
        <v>1</v>
      </c>
      <c r="I704" s="177">
        <v>0</v>
      </c>
      <c r="J704" s="175">
        <v>46055</v>
      </c>
      <c r="K704" s="171" t="s">
        <v>113</v>
      </c>
      <c r="L704" s="171" t="s">
        <v>114</v>
      </c>
      <c r="M704" s="178">
        <v>0</v>
      </c>
      <c r="N704" s="176"/>
      <c r="O704" s="176">
        <v>42</v>
      </c>
      <c r="P704" s="179">
        <v>-56.94</v>
      </c>
    </row>
    <row r="705" spans="1:16" ht="19.5" customHeight="1">
      <c r="A705" s="171" t="s">
        <v>1159</v>
      </c>
      <c r="B705" s="175">
        <v>46059</v>
      </c>
      <c r="C705" s="171" t="s">
        <v>115</v>
      </c>
      <c r="D705" s="171" t="s">
        <v>116</v>
      </c>
      <c r="E705" s="171" t="s">
        <v>78</v>
      </c>
      <c r="F705" s="171" t="s">
        <v>176</v>
      </c>
      <c r="G705" s="171" t="s">
        <v>177</v>
      </c>
      <c r="H705" s="176">
        <v>1</v>
      </c>
      <c r="I705" s="177">
        <v>0</v>
      </c>
      <c r="J705" s="175">
        <v>46055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-11.75</v>
      </c>
    </row>
    <row r="706" spans="1:16" ht="19.5" customHeight="1">
      <c r="A706" s="171" t="s">
        <v>1159</v>
      </c>
      <c r="B706" s="175">
        <v>46059</v>
      </c>
      <c r="C706" s="171" t="s">
        <v>110</v>
      </c>
      <c r="D706" s="171" t="s">
        <v>117</v>
      </c>
      <c r="E706" s="171" t="s">
        <v>78</v>
      </c>
      <c r="F706" s="171" t="s">
        <v>176</v>
      </c>
      <c r="G706" s="171" t="s">
        <v>177</v>
      </c>
      <c r="H706" s="176">
        <v>1</v>
      </c>
      <c r="I706" s="177">
        <v>0</v>
      </c>
      <c r="J706" s="175">
        <v>46055</v>
      </c>
      <c r="K706" s="171" t="s">
        <v>113</v>
      </c>
      <c r="L706" s="171" t="s">
        <v>114</v>
      </c>
      <c r="M706" s="178">
        <v>0</v>
      </c>
      <c r="N706" s="176"/>
      <c r="O706" s="176"/>
      <c r="P706" s="179">
        <v>0</v>
      </c>
    </row>
    <row r="707" spans="1:16" ht="19.5" customHeight="1">
      <c r="A707" s="171" t="s">
        <v>1159</v>
      </c>
      <c r="B707" s="175">
        <v>46059</v>
      </c>
      <c r="C707" s="171" t="s">
        <v>110</v>
      </c>
      <c r="D707" s="171" t="s">
        <v>118</v>
      </c>
      <c r="E707" s="171" t="s">
        <v>78</v>
      </c>
      <c r="F707" s="171" t="s">
        <v>176</v>
      </c>
      <c r="G707" s="171" t="s">
        <v>177</v>
      </c>
      <c r="H707" s="176">
        <v>1</v>
      </c>
      <c r="I707" s="177">
        <v>0</v>
      </c>
      <c r="J707" s="175">
        <v>46055</v>
      </c>
      <c r="K707" s="171" t="s">
        <v>113</v>
      </c>
      <c r="L707" s="171" t="s">
        <v>114</v>
      </c>
      <c r="M707" s="178">
        <v>0</v>
      </c>
      <c r="N707" s="176"/>
      <c r="O707" s="176"/>
      <c r="P707" s="179">
        <v>-56.94</v>
      </c>
    </row>
    <row r="708" spans="1:16" ht="19.5" customHeight="1">
      <c r="A708" s="171" t="s">
        <v>1159</v>
      </c>
      <c r="B708" s="175">
        <v>46059</v>
      </c>
      <c r="C708" s="171" t="s">
        <v>115</v>
      </c>
      <c r="D708" s="171" t="s">
        <v>119</v>
      </c>
      <c r="E708" s="171" t="s">
        <v>78</v>
      </c>
      <c r="F708" s="171" t="s">
        <v>176</v>
      </c>
      <c r="G708" s="171" t="s">
        <v>177</v>
      </c>
      <c r="H708" s="176">
        <v>1</v>
      </c>
      <c r="I708" s="177">
        <v>0</v>
      </c>
      <c r="J708" s="175">
        <v>46055</v>
      </c>
      <c r="K708" s="171" t="s">
        <v>113</v>
      </c>
      <c r="L708" s="171" t="s">
        <v>114</v>
      </c>
      <c r="M708" s="178">
        <v>0</v>
      </c>
      <c r="N708" s="176"/>
      <c r="O708" s="176"/>
      <c r="P708" s="179">
        <v>-15</v>
      </c>
    </row>
    <row r="709" spans="1:16" ht="19.5" customHeight="1">
      <c r="A709" s="171" t="s">
        <v>1160</v>
      </c>
      <c r="B709" s="175">
        <v>46059</v>
      </c>
      <c r="C709" s="171" t="s">
        <v>115</v>
      </c>
      <c r="D709" s="171" t="s">
        <v>135</v>
      </c>
      <c r="E709" s="171" t="s">
        <v>38</v>
      </c>
      <c r="F709" s="171" t="s">
        <v>111</v>
      </c>
      <c r="G709" s="171" t="s">
        <v>112</v>
      </c>
      <c r="H709" s="176">
        <v>1</v>
      </c>
      <c r="I709" s="177">
        <v>0</v>
      </c>
      <c r="J709" s="175">
        <v>46059</v>
      </c>
      <c r="K709" s="171" t="s">
        <v>125</v>
      </c>
      <c r="L709" s="171" t="s">
        <v>125</v>
      </c>
      <c r="M709" s="178">
        <v>0</v>
      </c>
      <c r="N709" s="176"/>
      <c r="O709" s="176"/>
      <c r="P709" s="179">
        <v>-13.25</v>
      </c>
    </row>
    <row r="710" spans="1:16" ht="19.5" customHeight="1">
      <c r="A710" s="171" t="s">
        <v>1161</v>
      </c>
      <c r="B710" s="175">
        <v>46059</v>
      </c>
      <c r="C710" s="171" t="s">
        <v>115</v>
      </c>
      <c r="D710" s="171" t="s">
        <v>135</v>
      </c>
      <c r="E710" s="171" t="s">
        <v>38</v>
      </c>
      <c r="F710" s="171" t="s">
        <v>111</v>
      </c>
      <c r="G710" s="171" t="s">
        <v>112</v>
      </c>
      <c r="H710" s="176">
        <v>1</v>
      </c>
      <c r="I710" s="177">
        <v>0</v>
      </c>
      <c r="J710" s="175">
        <v>46059</v>
      </c>
      <c r="K710" s="171" t="s">
        <v>125</v>
      </c>
      <c r="L710" s="171" t="s">
        <v>125</v>
      </c>
      <c r="M710" s="178">
        <v>0</v>
      </c>
      <c r="N710" s="176"/>
      <c r="O710" s="176"/>
      <c r="P710" s="179">
        <v>-13.25</v>
      </c>
    </row>
    <row r="711" spans="1:16" ht="19.5" customHeight="1">
      <c r="A711" s="171" t="s">
        <v>1162</v>
      </c>
      <c r="B711" s="175">
        <v>46059</v>
      </c>
      <c r="C711" s="171" t="s">
        <v>110</v>
      </c>
      <c r="D711" s="171" t="s">
        <v>24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1387</v>
      </c>
      <c r="J711" s="175">
        <v>46054</v>
      </c>
      <c r="K711" s="171" t="s">
        <v>113</v>
      </c>
      <c r="L711" s="171" t="s">
        <v>114</v>
      </c>
      <c r="M711" s="178">
        <v>0.43</v>
      </c>
      <c r="N711" s="176"/>
      <c r="O711" s="176">
        <v>42</v>
      </c>
      <c r="P711" s="179">
        <v>-112.96</v>
      </c>
    </row>
    <row r="712" spans="1:16" ht="19.5" customHeight="1">
      <c r="A712" s="171" t="s">
        <v>1162</v>
      </c>
      <c r="B712" s="175">
        <v>46059</v>
      </c>
      <c r="C712" s="171" t="s">
        <v>127</v>
      </c>
      <c r="D712" s="171" t="s">
        <v>128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1387</v>
      </c>
      <c r="J712" s="175">
        <v>46054</v>
      </c>
      <c r="K712" s="171" t="s">
        <v>113</v>
      </c>
      <c r="L712" s="171" t="s">
        <v>114</v>
      </c>
      <c r="M712" s="178">
        <v>0</v>
      </c>
      <c r="N712" s="176"/>
      <c r="O712" s="176"/>
      <c r="P712" s="179">
        <v>785.17</v>
      </c>
    </row>
    <row r="713" spans="1:16" ht="19.5" customHeight="1">
      <c r="A713" s="171" t="s">
        <v>1162</v>
      </c>
      <c r="B713" s="175">
        <v>46059</v>
      </c>
      <c r="C713" s="171" t="s">
        <v>127</v>
      </c>
      <c r="D713" s="171" t="s">
        <v>129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1387</v>
      </c>
      <c r="J713" s="175">
        <v>46054</v>
      </c>
      <c r="K713" s="171" t="s">
        <v>113</v>
      </c>
      <c r="L713" s="171" t="s">
        <v>114</v>
      </c>
      <c r="M713" s="178">
        <v>0</v>
      </c>
      <c r="N713" s="176"/>
      <c r="O713" s="176"/>
      <c r="P713" s="179">
        <v>0</v>
      </c>
    </row>
    <row r="714" spans="1:16" ht="19.5" customHeight="1">
      <c r="A714" s="171" t="s">
        <v>1162</v>
      </c>
      <c r="B714" s="175">
        <v>46059</v>
      </c>
      <c r="C714" s="171" t="s">
        <v>127</v>
      </c>
      <c r="D714" s="171" t="s">
        <v>130</v>
      </c>
      <c r="E714" s="171" t="s">
        <v>48</v>
      </c>
      <c r="F714" s="171" t="s">
        <v>198</v>
      </c>
      <c r="G714" s="171" t="s">
        <v>112</v>
      </c>
      <c r="H714" s="176">
        <v>1</v>
      </c>
      <c r="I714" s="177">
        <v>1387</v>
      </c>
      <c r="J714" s="175">
        <v>46054</v>
      </c>
      <c r="K714" s="171" t="s">
        <v>113</v>
      </c>
      <c r="L714" s="171" t="s">
        <v>114</v>
      </c>
      <c r="M714" s="178">
        <v>0</v>
      </c>
      <c r="N714" s="176"/>
      <c r="O714" s="176"/>
      <c r="P714" s="179">
        <v>601.83000000000004</v>
      </c>
    </row>
    <row r="715" spans="1:16" ht="19.5" customHeight="1">
      <c r="A715" s="171" t="s">
        <v>1162</v>
      </c>
      <c r="B715" s="175">
        <v>46059</v>
      </c>
      <c r="C715" s="171" t="s">
        <v>131</v>
      </c>
      <c r="D715" s="171" t="s">
        <v>132</v>
      </c>
      <c r="E715" s="171" t="s">
        <v>48</v>
      </c>
      <c r="F715" s="171" t="s">
        <v>198</v>
      </c>
      <c r="G715" s="171" t="s">
        <v>112</v>
      </c>
      <c r="H715" s="176">
        <v>1</v>
      </c>
      <c r="I715" s="177">
        <v>1387</v>
      </c>
      <c r="J715" s="175">
        <v>46054</v>
      </c>
      <c r="K715" s="171" t="s">
        <v>113</v>
      </c>
      <c r="L715" s="171" t="s">
        <v>114</v>
      </c>
      <c r="M715" s="178">
        <v>0.43</v>
      </c>
      <c r="N715" s="176"/>
      <c r="O715" s="176"/>
      <c r="P715" s="179">
        <v>-596.41</v>
      </c>
    </row>
    <row r="716" spans="1:16" ht="19.5" customHeight="1">
      <c r="A716" s="171" t="s">
        <v>1162</v>
      </c>
      <c r="B716" s="175">
        <v>46059</v>
      </c>
      <c r="C716" s="171" t="s">
        <v>115</v>
      </c>
      <c r="D716" s="171" t="s">
        <v>116</v>
      </c>
      <c r="E716" s="171" t="s">
        <v>48</v>
      </c>
      <c r="F716" s="171" t="s">
        <v>198</v>
      </c>
      <c r="G716" s="171" t="s">
        <v>112</v>
      </c>
      <c r="H716" s="176">
        <v>1</v>
      </c>
      <c r="I716" s="177">
        <v>1387</v>
      </c>
      <c r="J716" s="175">
        <v>46054</v>
      </c>
      <c r="K716" s="171" t="s">
        <v>113</v>
      </c>
      <c r="L716" s="171" t="s">
        <v>114</v>
      </c>
      <c r="M716" s="178">
        <v>0.43</v>
      </c>
      <c r="N716" s="176"/>
      <c r="O716" s="176"/>
      <c r="P716" s="179">
        <v>-14.97</v>
      </c>
    </row>
    <row r="717" spans="1:16" ht="19.5" customHeight="1">
      <c r="A717" s="171" t="s">
        <v>1162</v>
      </c>
      <c r="B717" s="175">
        <v>46059</v>
      </c>
      <c r="C717" s="171" t="s">
        <v>115</v>
      </c>
      <c r="D717" s="171" t="s">
        <v>135</v>
      </c>
      <c r="E717" s="171" t="s">
        <v>48</v>
      </c>
      <c r="F717" s="171" t="s">
        <v>198</v>
      </c>
      <c r="G717" s="171" t="s">
        <v>112</v>
      </c>
      <c r="H717" s="176">
        <v>1</v>
      </c>
      <c r="I717" s="177">
        <v>0</v>
      </c>
      <c r="J717" s="175">
        <v>46054</v>
      </c>
      <c r="K717" s="171" t="s">
        <v>125</v>
      </c>
      <c r="L717" s="171" t="s">
        <v>125</v>
      </c>
      <c r="M717" s="178">
        <v>0</v>
      </c>
      <c r="N717" s="176"/>
      <c r="O717" s="176"/>
      <c r="P717" s="179">
        <v>-8.09</v>
      </c>
    </row>
    <row r="718" spans="1:16" ht="19.5" customHeight="1">
      <c r="A718" s="171" t="s">
        <v>1163</v>
      </c>
      <c r="B718" s="175">
        <v>46059</v>
      </c>
      <c r="C718" s="171" t="s">
        <v>115</v>
      </c>
      <c r="D718" s="171" t="s">
        <v>135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0</v>
      </c>
      <c r="J718" s="175">
        <v>46059</v>
      </c>
      <c r="K718" s="171" t="s">
        <v>125</v>
      </c>
      <c r="L718" s="171" t="s">
        <v>125</v>
      </c>
      <c r="M718" s="178">
        <v>0</v>
      </c>
      <c r="N718" s="176"/>
      <c r="O718" s="176"/>
      <c r="P718" s="179">
        <v>-13.16</v>
      </c>
    </row>
    <row r="719" spans="1:16" ht="19.5" customHeight="1">
      <c r="A719" s="171" t="s">
        <v>1164</v>
      </c>
      <c r="B719" s="175">
        <v>46059</v>
      </c>
      <c r="C719" s="171" t="s">
        <v>110</v>
      </c>
      <c r="D719" s="171" t="s">
        <v>24</v>
      </c>
      <c r="E719" s="171" t="s">
        <v>40</v>
      </c>
      <c r="F719" s="171" t="s">
        <v>149</v>
      </c>
      <c r="G719" s="171" t="s">
        <v>112</v>
      </c>
      <c r="H719" s="176">
        <v>1</v>
      </c>
      <c r="I719" s="177">
        <v>1655</v>
      </c>
      <c r="J719" s="175">
        <v>46056</v>
      </c>
      <c r="K719" s="171" t="s">
        <v>113</v>
      </c>
      <c r="L719" s="171" t="s">
        <v>114</v>
      </c>
      <c r="M719" s="178">
        <v>0.43</v>
      </c>
      <c r="N719" s="176"/>
      <c r="O719" s="176">
        <v>43</v>
      </c>
      <c r="P719" s="179">
        <v>-124.48</v>
      </c>
    </row>
    <row r="720" spans="1:16" ht="19.5" customHeight="1">
      <c r="A720" s="171" t="s">
        <v>1164</v>
      </c>
      <c r="B720" s="175">
        <v>46059</v>
      </c>
      <c r="C720" s="171" t="s">
        <v>127</v>
      </c>
      <c r="D720" s="171" t="s">
        <v>128</v>
      </c>
      <c r="E720" s="171" t="s">
        <v>40</v>
      </c>
      <c r="F720" s="171" t="s">
        <v>149</v>
      </c>
      <c r="G720" s="171" t="s">
        <v>112</v>
      </c>
      <c r="H720" s="176">
        <v>1</v>
      </c>
      <c r="I720" s="177">
        <v>1655</v>
      </c>
      <c r="J720" s="175">
        <v>46056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1074.29</v>
      </c>
    </row>
    <row r="721" spans="1:16" ht="19.5" customHeight="1">
      <c r="A721" s="171" t="s">
        <v>1164</v>
      </c>
      <c r="B721" s="175">
        <v>46059</v>
      </c>
      <c r="C721" s="171" t="s">
        <v>127</v>
      </c>
      <c r="D721" s="171" t="s">
        <v>129</v>
      </c>
      <c r="E721" s="171" t="s">
        <v>40</v>
      </c>
      <c r="F721" s="171" t="s">
        <v>149</v>
      </c>
      <c r="G721" s="171" t="s">
        <v>112</v>
      </c>
      <c r="H721" s="176">
        <v>1</v>
      </c>
      <c r="I721" s="177">
        <v>1655</v>
      </c>
      <c r="J721" s="175">
        <v>46056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0</v>
      </c>
    </row>
    <row r="722" spans="1:16" ht="19.5" customHeight="1">
      <c r="A722" s="171" t="s">
        <v>1164</v>
      </c>
      <c r="B722" s="175">
        <v>46059</v>
      </c>
      <c r="C722" s="171" t="s">
        <v>127</v>
      </c>
      <c r="D722" s="171" t="s">
        <v>130</v>
      </c>
      <c r="E722" s="171" t="s">
        <v>40</v>
      </c>
      <c r="F722" s="171" t="s">
        <v>149</v>
      </c>
      <c r="G722" s="171" t="s">
        <v>112</v>
      </c>
      <c r="H722" s="176">
        <v>1</v>
      </c>
      <c r="I722" s="177">
        <v>1655</v>
      </c>
      <c r="J722" s="175">
        <v>46056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580.71</v>
      </c>
    </row>
    <row r="723" spans="1:16" ht="19.5" customHeight="1">
      <c r="A723" s="171" t="s">
        <v>1164</v>
      </c>
      <c r="B723" s="175">
        <v>46059</v>
      </c>
      <c r="C723" s="171" t="s">
        <v>131</v>
      </c>
      <c r="D723" s="171" t="s">
        <v>132</v>
      </c>
      <c r="E723" s="171" t="s">
        <v>40</v>
      </c>
      <c r="F723" s="171" t="s">
        <v>149</v>
      </c>
      <c r="G723" s="171" t="s">
        <v>112</v>
      </c>
      <c r="H723" s="176">
        <v>1</v>
      </c>
      <c r="I723" s="177">
        <v>1655</v>
      </c>
      <c r="J723" s="175">
        <v>46056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-711.65</v>
      </c>
    </row>
    <row r="724" spans="1:16" ht="19.5" customHeight="1">
      <c r="A724" s="171" t="s">
        <v>1164</v>
      </c>
      <c r="B724" s="175">
        <v>46059</v>
      </c>
      <c r="C724" s="171" t="s">
        <v>115</v>
      </c>
      <c r="D724" s="171" t="s">
        <v>116</v>
      </c>
      <c r="E724" s="171" t="s">
        <v>40</v>
      </c>
      <c r="F724" s="171" t="s">
        <v>149</v>
      </c>
      <c r="G724" s="171" t="s">
        <v>112</v>
      </c>
      <c r="H724" s="176">
        <v>1</v>
      </c>
      <c r="I724" s="177">
        <v>1655</v>
      </c>
      <c r="J724" s="175">
        <v>46056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-8.75</v>
      </c>
    </row>
    <row r="725" spans="1:16" ht="19.5" customHeight="1">
      <c r="A725" s="171" t="s">
        <v>1165</v>
      </c>
      <c r="B725" s="175">
        <v>46059</v>
      </c>
      <c r="C725" s="171" t="s">
        <v>110</v>
      </c>
      <c r="D725" s="171" t="s">
        <v>24</v>
      </c>
      <c r="E725" s="171" t="s">
        <v>71</v>
      </c>
      <c r="F725" s="171" t="s">
        <v>185</v>
      </c>
      <c r="G725" s="171" t="s">
        <v>177</v>
      </c>
      <c r="H725" s="176">
        <v>1</v>
      </c>
      <c r="I725" s="177">
        <v>0</v>
      </c>
      <c r="J725" s="175">
        <v>46052</v>
      </c>
      <c r="K725" s="171" t="s">
        <v>113</v>
      </c>
      <c r="L725" s="171" t="s">
        <v>114</v>
      </c>
      <c r="M725" s="178">
        <v>0</v>
      </c>
      <c r="N725" s="176"/>
      <c r="O725" s="176">
        <v>49</v>
      </c>
      <c r="P725" s="179">
        <v>-56.94</v>
      </c>
    </row>
    <row r="726" spans="1:16" ht="19.5" customHeight="1">
      <c r="A726" s="171" t="s">
        <v>1165</v>
      </c>
      <c r="B726" s="175">
        <v>46059</v>
      </c>
      <c r="C726" s="171" t="s">
        <v>115</v>
      </c>
      <c r="D726" s="171" t="s">
        <v>116</v>
      </c>
      <c r="E726" s="171" t="s">
        <v>71</v>
      </c>
      <c r="F726" s="171" t="s">
        <v>185</v>
      </c>
      <c r="G726" s="171" t="s">
        <v>177</v>
      </c>
      <c r="H726" s="176">
        <v>1</v>
      </c>
      <c r="I726" s="177">
        <v>0</v>
      </c>
      <c r="J726" s="175">
        <v>46052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-14.4</v>
      </c>
    </row>
    <row r="727" spans="1:16" ht="19.5" customHeight="1">
      <c r="A727" s="171" t="s">
        <v>1165</v>
      </c>
      <c r="B727" s="175">
        <v>46059</v>
      </c>
      <c r="C727" s="171" t="s">
        <v>110</v>
      </c>
      <c r="D727" s="171" t="s">
        <v>117</v>
      </c>
      <c r="E727" s="171" t="s">
        <v>71</v>
      </c>
      <c r="F727" s="171" t="s">
        <v>185</v>
      </c>
      <c r="G727" s="171" t="s">
        <v>177</v>
      </c>
      <c r="H727" s="176">
        <v>1</v>
      </c>
      <c r="I727" s="177">
        <v>0</v>
      </c>
      <c r="J727" s="175">
        <v>46052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0</v>
      </c>
    </row>
    <row r="728" spans="1:16" ht="19.5" customHeight="1">
      <c r="A728" s="171" t="s">
        <v>1165</v>
      </c>
      <c r="B728" s="175">
        <v>46059</v>
      </c>
      <c r="C728" s="171" t="s">
        <v>110</v>
      </c>
      <c r="D728" s="171" t="s">
        <v>118</v>
      </c>
      <c r="E728" s="171" t="s">
        <v>71</v>
      </c>
      <c r="F728" s="171" t="s">
        <v>185</v>
      </c>
      <c r="G728" s="171" t="s">
        <v>177</v>
      </c>
      <c r="H728" s="176">
        <v>1</v>
      </c>
      <c r="I728" s="177">
        <v>0</v>
      </c>
      <c r="J728" s="175">
        <v>46052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-56.94</v>
      </c>
    </row>
    <row r="729" spans="1:16" ht="19.5" customHeight="1">
      <c r="A729" s="171" t="s">
        <v>1165</v>
      </c>
      <c r="B729" s="175">
        <v>46059</v>
      </c>
      <c r="C729" s="171" t="s">
        <v>115</v>
      </c>
      <c r="D729" s="171" t="s">
        <v>119</v>
      </c>
      <c r="E729" s="171" t="s">
        <v>71</v>
      </c>
      <c r="F729" s="171" t="s">
        <v>185</v>
      </c>
      <c r="G729" s="171" t="s">
        <v>177</v>
      </c>
      <c r="H729" s="176">
        <v>1</v>
      </c>
      <c r="I729" s="177">
        <v>0</v>
      </c>
      <c r="J729" s="175">
        <v>46052</v>
      </c>
      <c r="K729" s="171" t="s">
        <v>113</v>
      </c>
      <c r="L729" s="171" t="s">
        <v>114</v>
      </c>
      <c r="M729" s="178">
        <v>0</v>
      </c>
      <c r="N729" s="176"/>
      <c r="O729" s="176"/>
      <c r="P729" s="179">
        <v>-15</v>
      </c>
    </row>
    <row r="730" spans="1:16" ht="19.5" customHeight="1">
      <c r="A730" s="171" t="s">
        <v>1166</v>
      </c>
      <c r="B730" s="175">
        <v>46059</v>
      </c>
      <c r="C730" s="171" t="s">
        <v>110</v>
      </c>
      <c r="D730" s="171" t="s">
        <v>24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0</v>
      </c>
      <c r="J730" s="175">
        <v>46039</v>
      </c>
      <c r="K730" s="171" t="s">
        <v>113</v>
      </c>
      <c r="L730" s="171" t="s">
        <v>114</v>
      </c>
      <c r="M730" s="178">
        <v>0</v>
      </c>
      <c r="N730" s="176"/>
      <c r="O730" s="176">
        <v>51</v>
      </c>
      <c r="P730" s="179">
        <v>-46</v>
      </c>
    </row>
    <row r="731" spans="1:16" ht="19.5" customHeight="1">
      <c r="A731" s="171" t="s">
        <v>1166</v>
      </c>
      <c r="B731" s="175">
        <v>46059</v>
      </c>
      <c r="C731" s="171" t="s">
        <v>115</v>
      </c>
      <c r="D731" s="171" t="s">
        <v>116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46039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-7.8</v>
      </c>
    </row>
    <row r="732" spans="1:16" ht="19.5" customHeight="1">
      <c r="A732" s="171" t="s">
        <v>1166</v>
      </c>
      <c r="B732" s="175">
        <v>46059</v>
      </c>
      <c r="C732" s="171" t="s">
        <v>110</v>
      </c>
      <c r="D732" s="171" t="s">
        <v>117</v>
      </c>
      <c r="E732" s="171" t="s">
        <v>38</v>
      </c>
      <c r="F732" s="171" t="s">
        <v>111</v>
      </c>
      <c r="G732" s="171" t="s">
        <v>112</v>
      </c>
      <c r="H732" s="176">
        <v>1</v>
      </c>
      <c r="I732" s="177">
        <v>0</v>
      </c>
      <c r="J732" s="175">
        <v>46039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0</v>
      </c>
    </row>
    <row r="733" spans="1:16" ht="19.5" customHeight="1">
      <c r="A733" s="171" t="s">
        <v>1166</v>
      </c>
      <c r="B733" s="175">
        <v>46059</v>
      </c>
      <c r="C733" s="171" t="s">
        <v>110</v>
      </c>
      <c r="D733" s="171" t="s">
        <v>118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46039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-46</v>
      </c>
    </row>
    <row r="734" spans="1:16" ht="19.5" customHeight="1">
      <c r="A734" s="171" t="s">
        <v>1167</v>
      </c>
      <c r="B734" s="175">
        <v>46059</v>
      </c>
      <c r="C734" s="171" t="s">
        <v>110</v>
      </c>
      <c r="D734" s="171" t="s">
        <v>24</v>
      </c>
      <c r="E734" s="171" t="s">
        <v>43</v>
      </c>
      <c r="F734" s="171" t="s">
        <v>481</v>
      </c>
      <c r="G734" s="171" t="s">
        <v>214</v>
      </c>
      <c r="H734" s="176">
        <v>1</v>
      </c>
      <c r="I734" s="177">
        <v>1674</v>
      </c>
      <c r="J734" s="175">
        <v>46056</v>
      </c>
      <c r="K734" s="171" t="s">
        <v>113</v>
      </c>
      <c r="L734" s="171" t="s">
        <v>114</v>
      </c>
      <c r="M734" s="178">
        <v>0.43</v>
      </c>
      <c r="N734" s="176"/>
      <c r="O734" s="176">
        <v>43</v>
      </c>
      <c r="P734" s="179">
        <v>-125.05</v>
      </c>
    </row>
    <row r="735" spans="1:16" ht="19.5" customHeight="1">
      <c r="A735" s="171" t="s">
        <v>1167</v>
      </c>
      <c r="B735" s="175">
        <v>46059</v>
      </c>
      <c r="C735" s="171" t="s">
        <v>127</v>
      </c>
      <c r="D735" s="171" t="s">
        <v>128</v>
      </c>
      <c r="E735" s="171" t="s">
        <v>43</v>
      </c>
      <c r="F735" s="171" t="s">
        <v>481</v>
      </c>
      <c r="G735" s="171" t="s">
        <v>214</v>
      </c>
      <c r="H735" s="176">
        <v>1</v>
      </c>
      <c r="I735" s="177">
        <v>1674</v>
      </c>
      <c r="J735" s="175">
        <v>46056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1060</v>
      </c>
    </row>
    <row r="736" spans="1:16" ht="19.5" customHeight="1">
      <c r="A736" s="171" t="s">
        <v>1167</v>
      </c>
      <c r="B736" s="175">
        <v>46059</v>
      </c>
      <c r="C736" s="171" t="s">
        <v>127</v>
      </c>
      <c r="D736" s="171" t="s">
        <v>129</v>
      </c>
      <c r="E736" s="171" t="s">
        <v>43</v>
      </c>
      <c r="F736" s="171" t="s">
        <v>481</v>
      </c>
      <c r="G736" s="171" t="s">
        <v>214</v>
      </c>
      <c r="H736" s="176">
        <v>1</v>
      </c>
      <c r="I736" s="177">
        <v>1674</v>
      </c>
      <c r="J736" s="175">
        <v>46056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0</v>
      </c>
    </row>
    <row r="737" spans="1:16" ht="19.5" customHeight="1">
      <c r="A737" s="171" t="s">
        <v>1167</v>
      </c>
      <c r="B737" s="175">
        <v>46059</v>
      </c>
      <c r="C737" s="171" t="s">
        <v>127</v>
      </c>
      <c r="D737" s="171" t="s">
        <v>130</v>
      </c>
      <c r="E737" s="171" t="s">
        <v>43</v>
      </c>
      <c r="F737" s="171" t="s">
        <v>481</v>
      </c>
      <c r="G737" s="171" t="s">
        <v>214</v>
      </c>
      <c r="H737" s="176">
        <v>1</v>
      </c>
      <c r="I737" s="177">
        <v>1674</v>
      </c>
      <c r="J737" s="175">
        <v>46056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614</v>
      </c>
    </row>
    <row r="738" spans="1:16" ht="19.5" customHeight="1">
      <c r="A738" s="171" t="s">
        <v>1167</v>
      </c>
      <c r="B738" s="175">
        <v>46059</v>
      </c>
      <c r="C738" s="171" t="s">
        <v>131</v>
      </c>
      <c r="D738" s="171" t="s">
        <v>132</v>
      </c>
      <c r="E738" s="171" t="s">
        <v>43</v>
      </c>
      <c r="F738" s="171" t="s">
        <v>481</v>
      </c>
      <c r="G738" s="171" t="s">
        <v>214</v>
      </c>
      <c r="H738" s="176">
        <v>1</v>
      </c>
      <c r="I738" s="177">
        <v>1674</v>
      </c>
      <c r="J738" s="175">
        <v>46056</v>
      </c>
      <c r="K738" s="171" t="s">
        <v>113</v>
      </c>
      <c r="L738" s="171" t="s">
        <v>114</v>
      </c>
      <c r="M738" s="178">
        <v>0.43</v>
      </c>
      <c r="N738" s="176"/>
      <c r="O738" s="176"/>
      <c r="P738" s="179">
        <v>-719.82</v>
      </c>
    </row>
    <row r="739" spans="1:16" ht="19.5" customHeight="1">
      <c r="A739" s="171" t="s">
        <v>1167</v>
      </c>
      <c r="B739" s="175">
        <v>46059</v>
      </c>
      <c r="C739" s="171" t="s">
        <v>115</v>
      </c>
      <c r="D739" s="171" t="s">
        <v>116</v>
      </c>
      <c r="E739" s="171" t="s">
        <v>43</v>
      </c>
      <c r="F739" s="171" t="s">
        <v>481</v>
      </c>
      <c r="G739" s="171" t="s">
        <v>214</v>
      </c>
      <c r="H739" s="176">
        <v>1</v>
      </c>
      <c r="I739" s="177">
        <v>1674</v>
      </c>
      <c r="J739" s="175">
        <v>46056</v>
      </c>
      <c r="K739" s="171" t="s">
        <v>113</v>
      </c>
      <c r="L739" s="171" t="s">
        <v>114</v>
      </c>
      <c r="M739" s="178">
        <v>0.43</v>
      </c>
      <c r="N739" s="176"/>
      <c r="O739" s="176"/>
      <c r="P739" s="179">
        <v>-11.44</v>
      </c>
    </row>
    <row r="740" spans="1:16" ht="19.5" customHeight="1">
      <c r="A740" s="171" t="s">
        <v>1168</v>
      </c>
      <c r="B740" s="175">
        <v>46059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1670</v>
      </c>
      <c r="J740" s="175">
        <v>46044</v>
      </c>
      <c r="K740" s="171" t="s">
        <v>113</v>
      </c>
      <c r="L740" s="171" t="s">
        <v>114</v>
      </c>
      <c r="M740" s="178">
        <v>0.43</v>
      </c>
      <c r="N740" s="176"/>
      <c r="O740" s="176">
        <v>54</v>
      </c>
      <c r="P740" s="179">
        <v>-148.9</v>
      </c>
    </row>
    <row r="741" spans="1:16" ht="19.5" customHeight="1">
      <c r="A741" s="171" t="s">
        <v>1168</v>
      </c>
      <c r="B741" s="175">
        <v>46059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1670</v>
      </c>
      <c r="J741" s="175">
        <v>46044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580</v>
      </c>
    </row>
    <row r="742" spans="1:16" ht="19.5" customHeight="1">
      <c r="A742" s="171" t="s">
        <v>1168</v>
      </c>
      <c r="B742" s="175">
        <v>46059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1670</v>
      </c>
      <c r="J742" s="175">
        <v>46044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5.8</v>
      </c>
    </row>
    <row r="743" spans="1:16" ht="19.5" customHeight="1">
      <c r="A743" s="171" t="s">
        <v>1168</v>
      </c>
      <c r="B743" s="175">
        <v>46059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1670</v>
      </c>
      <c r="J743" s="175">
        <v>46044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1084.2</v>
      </c>
    </row>
    <row r="744" spans="1:16" ht="19.5" customHeight="1">
      <c r="A744" s="171" t="s">
        <v>1168</v>
      </c>
      <c r="B744" s="175">
        <v>46059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1670</v>
      </c>
      <c r="J744" s="175">
        <v>46044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-718.1</v>
      </c>
    </row>
    <row r="745" spans="1:16" ht="19.5" customHeight="1">
      <c r="A745" s="171" t="s">
        <v>1169</v>
      </c>
      <c r="B745" s="175">
        <v>46059</v>
      </c>
      <c r="C745" s="171" t="s">
        <v>110</v>
      </c>
      <c r="D745" s="171" t="s">
        <v>24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46057</v>
      </c>
      <c r="K745" s="171" t="s">
        <v>113</v>
      </c>
      <c r="L745" s="171" t="s">
        <v>114</v>
      </c>
      <c r="M745" s="178">
        <v>0.43</v>
      </c>
      <c r="N745" s="176"/>
      <c r="O745" s="176">
        <v>42</v>
      </c>
      <c r="P745" s="179">
        <v>-124.73</v>
      </c>
    </row>
    <row r="746" spans="1:16" ht="19.5" customHeight="1">
      <c r="A746" s="171" t="s">
        <v>1169</v>
      </c>
      <c r="B746" s="175">
        <v>46059</v>
      </c>
      <c r="C746" s="171" t="s">
        <v>127</v>
      </c>
      <c r="D746" s="171" t="s">
        <v>128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1800</v>
      </c>
      <c r="J746" s="175">
        <v>46057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809.52</v>
      </c>
    </row>
    <row r="747" spans="1:16" ht="19.5" customHeight="1">
      <c r="A747" s="171" t="s">
        <v>1169</v>
      </c>
      <c r="B747" s="175">
        <v>46059</v>
      </c>
      <c r="C747" s="171" t="s">
        <v>127</v>
      </c>
      <c r="D747" s="171" t="s">
        <v>129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1800</v>
      </c>
      <c r="J747" s="175">
        <v>46057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0</v>
      </c>
    </row>
    <row r="748" spans="1:16" ht="19.5" customHeight="1">
      <c r="A748" s="171" t="s">
        <v>1169</v>
      </c>
      <c r="B748" s="175">
        <v>46059</v>
      </c>
      <c r="C748" s="171" t="s">
        <v>127</v>
      </c>
      <c r="D748" s="171" t="s">
        <v>130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1800</v>
      </c>
      <c r="J748" s="175">
        <v>46057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990.48</v>
      </c>
    </row>
    <row r="749" spans="1:16" ht="19.5" customHeight="1">
      <c r="A749" s="171" t="s">
        <v>1169</v>
      </c>
      <c r="B749" s="175">
        <v>46059</v>
      </c>
      <c r="C749" s="171" t="s">
        <v>131</v>
      </c>
      <c r="D749" s="171" t="s">
        <v>132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1800</v>
      </c>
      <c r="J749" s="175">
        <v>46057</v>
      </c>
      <c r="K749" s="171" t="s">
        <v>113</v>
      </c>
      <c r="L749" s="171" t="s">
        <v>114</v>
      </c>
      <c r="M749" s="178">
        <v>0.43</v>
      </c>
      <c r="N749" s="176"/>
      <c r="O749" s="176"/>
      <c r="P749" s="179">
        <v>-774</v>
      </c>
    </row>
    <row r="750" spans="1:16" ht="19.5" customHeight="1">
      <c r="A750" s="171" t="s">
        <v>1169</v>
      </c>
      <c r="B750" s="175">
        <v>46059</v>
      </c>
      <c r="C750" s="171" t="s">
        <v>115</v>
      </c>
      <c r="D750" s="171" t="s">
        <v>116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1800</v>
      </c>
      <c r="J750" s="175">
        <v>46057</v>
      </c>
      <c r="K750" s="171" t="s">
        <v>113</v>
      </c>
      <c r="L750" s="171" t="s">
        <v>114</v>
      </c>
      <c r="M750" s="178">
        <v>0.43</v>
      </c>
      <c r="N750" s="176"/>
      <c r="O750" s="176"/>
      <c r="P750" s="179">
        <v>-9.5500000000000007</v>
      </c>
    </row>
    <row r="751" spans="1:16" ht="19.5" customHeight="1">
      <c r="A751" s="171" t="s">
        <v>1170</v>
      </c>
      <c r="B751" s="175">
        <v>46059</v>
      </c>
      <c r="C751" s="171" t="s">
        <v>110</v>
      </c>
      <c r="D751" s="171" t="s">
        <v>24</v>
      </c>
      <c r="E751" s="171" t="s">
        <v>66</v>
      </c>
      <c r="F751" s="171" t="s">
        <v>602</v>
      </c>
      <c r="G751" s="171" t="s">
        <v>177</v>
      </c>
      <c r="H751" s="176">
        <v>1</v>
      </c>
      <c r="I751" s="177">
        <v>0</v>
      </c>
      <c r="J751" s="175">
        <v>46056</v>
      </c>
      <c r="K751" s="171" t="s">
        <v>113</v>
      </c>
      <c r="L751" s="171" t="s">
        <v>114</v>
      </c>
      <c r="M751" s="178">
        <v>0</v>
      </c>
      <c r="N751" s="176"/>
      <c r="O751" s="176">
        <v>43</v>
      </c>
      <c r="P751" s="179">
        <v>-56.94</v>
      </c>
    </row>
    <row r="752" spans="1:16" ht="19.5" customHeight="1">
      <c r="A752" s="171" t="s">
        <v>1170</v>
      </c>
      <c r="B752" s="175">
        <v>46059</v>
      </c>
      <c r="C752" s="171" t="s">
        <v>110</v>
      </c>
      <c r="D752" s="171" t="s">
        <v>117</v>
      </c>
      <c r="E752" s="171" t="s">
        <v>66</v>
      </c>
      <c r="F752" s="171" t="s">
        <v>602</v>
      </c>
      <c r="G752" s="171" t="s">
        <v>177</v>
      </c>
      <c r="H752" s="176">
        <v>1</v>
      </c>
      <c r="I752" s="177">
        <v>0</v>
      </c>
      <c r="J752" s="175">
        <v>46056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0</v>
      </c>
    </row>
    <row r="753" spans="1:16" ht="19.5" customHeight="1">
      <c r="A753" s="171" t="s">
        <v>1170</v>
      </c>
      <c r="B753" s="175">
        <v>46059</v>
      </c>
      <c r="C753" s="171" t="s">
        <v>110</v>
      </c>
      <c r="D753" s="171" t="s">
        <v>118</v>
      </c>
      <c r="E753" s="171" t="s">
        <v>66</v>
      </c>
      <c r="F753" s="171" t="s">
        <v>602</v>
      </c>
      <c r="G753" s="171" t="s">
        <v>177</v>
      </c>
      <c r="H753" s="176">
        <v>1</v>
      </c>
      <c r="I753" s="177">
        <v>0</v>
      </c>
      <c r="J753" s="175">
        <v>46056</v>
      </c>
      <c r="K753" s="171" t="s">
        <v>113</v>
      </c>
      <c r="L753" s="171" t="s">
        <v>114</v>
      </c>
      <c r="M753" s="178">
        <v>0</v>
      </c>
      <c r="N753" s="176"/>
      <c r="O753" s="176"/>
      <c r="P753" s="179">
        <v>-56.94</v>
      </c>
    </row>
    <row r="754" spans="1:16" ht="19.5" customHeight="1">
      <c r="A754" s="171" t="s">
        <v>1171</v>
      </c>
      <c r="B754" s="175">
        <v>46059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1800</v>
      </c>
      <c r="J754" s="175">
        <v>46053</v>
      </c>
      <c r="K754" s="171" t="s">
        <v>113</v>
      </c>
      <c r="L754" s="171" t="s">
        <v>114</v>
      </c>
      <c r="M754" s="178">
        <v>0.43</v>
      </c>
      <c r="N754" s="176"/>
      <c r="O754" s="176">
        <v>48</v>
      </c>
      <c r="P754" s="179">
        <v>-146.61000000000001</v>
      </c>
    </row>
    <row r="755" spans="1:16" ht="19.5" customHeight="1">
      <c r="A755" s="171" t="s">
        <v>1171</v>
      </c>
      <c r="B755" s="175">
        <v>46059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1800</v>
      </c>
      <c r="J755" s="175">
        <v>46053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786.67</v>
      </c>
    </row>
    <row r="756" spans="1:16" ht="19.5" customHeight="1">
      <c r="A756" s="171" t="s">
        <v>1171</v>
      </c>
      <c r="B756" s="175">
        <v>46059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1800</v>
      </c>
      <c r="J756" s="175">
        <v>46053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7.87</v>
      </c>
    </row>
    <row r="757" spans="1:16" ht="19.5" customHeight="1">
      <c r="A757" s="171" t="s">
        <v>1171</v>
      </c>
      <c r="B757" s="175">
        <v>46059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1800</v>
      </c>
      <c r="J757" s="175">
        <v>46053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1005.46</v>
      </c>
    </row>
    <row r="758" spans="1:16" ht="19.5" customHeight="1">
      <c r="A758" s="171" t="s">
        <v>1171</v>
      </c>
      <c r="B758" s="175">
        <v>46059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1800</v>
      </c>
      <c r="J758" s="175">
        <v>46053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-774</v>
      </c>
    </row>
    <row r="759" spans="1:16" ht="19.5" customHeight="1">
      <c r="A759" s="171" t="s">
        <v>1171</v>
      </c>
      <c r="B759" s="175">
        <v>46059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1800</v>
      </c>
      <c r="J759" s="175">
        <v>46053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-22.66</v>
      </c>
    </row>
    <row r="760" spans="1:16" ht="19.5" customHeight="1">
      <c r="A760" s="171" t="s">
        <v>1172</v>
      </c>
      <c r="B760" s="175">
        <v>46059</v>
      </c>
      <c r="C760" s="171" t="s">
        <v>110</v>
      </c>
      <c r="D760" s="171" t="s">
        <v>24</v>
      </c>
      <c r="E760" s="171" t="s">
        <v>79</v>
      </c>
      <c r="F760" s="171" t="s">
        <v>441</v>
      </c>
      <c r="G760" s="171" t="s">
        <v>177</v>
      </c>
      <c r="H760" s="176">
        <v>1</v>
      </c>
      <c r="I760" s="177">
        <v>5000</v>
      </c>
      <c r="J760" s="175">
        <v>46056</v>
      </c>
      <c r="K760" s="171" t="s">
        <v>113</v>
      </c>
      <c r="L760" s="171" t="s">
        <v>114</v>
      </c>
      <c r="M760" s="178">
        <v>0.43</v>
      </c>
      <c r="N760" s="176"/>
      <c r="O760" s="176">
        <v>43</v>
      </c>
      <c r="P760" s="179">
        <v>-241.1</v>
      </c>
    </row>
    <row r="761" spans="1:16" ht="19.5" customHeight="1">
      <c r="A761" s="171" t="s">
        <v>1172</v>
      </c>
      <c r="B761" s="175">
        <v>46059</v>
      </c>
      <c r="C761" s="171" t="s">
        <v>127</v>
      </c>
      <c r="D761" s="171" t="s">
        <v>128</v>
      </c>
      <c r="E761" s="171" t="s">
        <v>79</v>
      </c>
      <c r="F761" s="171" t="s">
        <v>441</v>
      </c>
      <c r="G761" s="171" t="s">
        <v>177</v>
      </c>
      <c r="H761" s="176">
        <v>1</v>
      </c>
      <c r="I761" s="177">
        <v>5000</v>
      </c>
      <c r="J761" s="175">
        <v>46056</v>
      </c>
      <c r="K761" s="171" t="s">
        <v>113</v>
      </c>
      <c r="L761" s="171" t="s">
        <v>114</v>
      </c>
      <c r="M761" s="178">
        <v>0</v>
      </c>
      <c r="N761" s="176"/>
      <c r="O761" s="176"/>
      <c r="P761" s="179">
        <v>1916.59</v>
      </c>
    </row>
    <row r="762" spans="1:16" ht="19.5" customHeight="1">
      <c r="A762" s="171" t="s">
        <v>1172</v>
      </c>
      <c r="B762" s="175">
        <v>46059</v>
      </c>
      <c r="C762" s="171" t="s">
        <v>127</v>
      </c>
      <c r="D762" s="171" t="s">
        <v>129</v>
      </c>
      <c r="E762" s="171" t="s">
        <v>79</v>
      </c>
      <c r="F762" s="171" t="s">
        <v>441</v>
      </c>
      <c r="G762" s="171" t="s">
        <v>177</v>
      </c>
      <c r="H762" s="176">
        <v>1</v>
      </c>
      <c r="I762" s="177">
        <v>5000</v>
      </c>
      <c r="J762" s="175">
        <v>46056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19.170000000000002</v>
      </c>
    </row>
    <row r="763" spans="1:16" ht="19.5" customHeight="1">
      <c r="A763" s="171" t="s">
        <v>1172</v>
      </c>
      <c r="B763" s="175">
        <v>46059</v>
      </c>
      <c r="C763" s="171" t="s">
        <v>127</v>
      </c>
      <c r="D763" s="171" t="s">
        <v>130</v>
      </c>
      <c r="E763" s="171" t="s">
        <v>79</v>
      </c>
      <c r="F763" s="171" t="s">
        <v>441</v>
      </c>
      <c r="G763" s="171" t="s">
        <v>177</v>
      </c>
      <c r="H763" s="176">
        <v>1</v>
      </c>
      <c r="I763" s="177">
        <v>5000</v>
      </c>
      <c r="J763" s="175">
        <v>46056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3064.24</v>
      </c>
    </row>
    <row r="764" spans="1:16" ht="19.5" customHeight="1">
      <c r="A764" s="171" t="s">
        <v>1172</v>
      </c>
      <c r="B764" s="175">
        <v>46059</v>
      </c>
      <c r="C764" s="171" t="s">
        <v>131</v>
      </c>
      <c r="D764" s="171" t="s">
        <v>132</v>
      </c>
      <c r="E764" s="171" t="s">
        <v>79</v>
      </c>
      <c r="F764" s="171" t="s">
        <v>441</v>
      </c>
      <c r="G764" s="171" t="s">
        <v>177</v>
      </c>
      <c r="H764" s="176">
        <v>1</v>
      </c>
      <c r="I764" s="177">
        <v>5000</v>
      </c>
      <c r="J764" s="175">
        <v>46056</v>
      </c>
      <c r="K764" s="171" t="s">
        <v>113</v>
      </c>
      <c r="L764" s="171" t="s">
        <v>114</v>
      </c>
      <c r="M764" s="178">
        <v>0.43</v>
      </c>
      <c r="N764" s="176"/>
      <c r="O764" s="176"/>
      <c r="P764" s="179">
        <v>-2150</v>
      </c>
    </row>
    <row r="765" spans="1:16" ht="19.5" customHeight="1">
      <c r="A765" s="171" t="s">
        <v>1172</v>
      </c>
      <c r="B765" s="175">
        <v>46059</v>
      </c>
      <c r="C765" s="171" t="s">
        <v>115</v>
      </c>
      <c r="D765" s="171" t="s">
        <v>116</v>
      </c>
      <c r="E765" s="171" t="s">
        <v>79</v>
      </c>
      <c r="F765" s="171" t="s">
        <v>441</v>
      </c>
      <c r="G765" s="171" t="s">
        <v>177</v>
      </c>
      <c r="H765" s="176">
        <v>1</v>
      </c>
      <c r="I765" s="177">
        <v>5000</v>
      </c>
      <c r="J765" s="175">
        <v>46056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-14.29</v>
      </c>
    </row>
    <row r="766" spans="1:16" ht="19.5" customHeight="1">
      <c r="A766" s="171" t="s">
        <v>1171</v>
      </c>
      <c r="B766" s="175">
        <v>46059</v>
      </c>
      <c r="C766" s="171" t="s">
        <v>115</v>
      </c>
      <c r="D766" s="171" t="s">
        <v>135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46053</v>
      </c>
      <c r="K766" s="171" t="s">
        <v>125</v>
      </c>
      <c r="L766" s="171" t="s">
        <v>125</v>
      </c>
      <c r="M766" s="178">
        <v>0</v>
      </c>
      <c r="N766" s="176"/>
      <c r="O766" s="176"/>
      <c r="P766" s="179">
        <v>-14.95</v>
      </c>
    </row>
    <row r="767" spans="1:16" ht="19.5" customHeight="1">
      <c r="A767" s="171" t="s">
        <v>1172</v>
      </c>
      <c r="B767" s="175">
        <v>46059</v>
      </c>
      <c r="C767" s="171" t="s">
        <v>115</v>
      </c>
      <c r="D767" s="171" t="s">
        <v>135</v>
      </c>
      <c r="E767" s="171" t="s">
        <v>79</v>
      </c>
      <c r="F767" s="171" t="s">
        <v>441</v>
      </c>
      <c r="G767" s="171" t="s">
        <v>177</v>
      </c>
      <c r="H767" s="176">
        <v>1</v>
      </c>
      <c r="I767" s="177">
        <v>0</v>
      </c>
      <c r="J767" s="175">
        <v>46056</v>
      </c>
      <c r="K767" s="171" t="s">
        <v>125</v>
      </c>
      <c r="L767" s="171" t="s">
        <v>125</v>
      </c>
      <c r="M767" s="178">
        <v>0</v>
      </c>
      <c r="N767" s="176"/>
      <c r="O767" s="176"/>
      <c r="P767" s="179">
        <v>-36.42</v>
      </c>
    </row>
    <row r="768" spans="1:16" ht="19.5" customHeight="1">
      <c r="A768" s="171" t="s">
        <v>1173</v>
      </c>
      <c r="B768" s="175">
        <v>46059</v>
      </c>
      <c r="C768" s="171" t="s">
        <v>110</v>
      </c>
      <c r="D768" s="171" t="s">
        <v>24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1800</v>
      </c>
      <c r="J768" s="175">
        <v>46052</v>
      </c>
      <c r="K768" s="171" t="s">
        <v>113</v>
      </c>
      <c r="L768" s="171" t="s">
        <v>114</v>
      </c>
      <c r="M768" s="178">
        <v>0.43</v>
      </c>
      <c r="N768" s="176"/>
      <c r="O768" s="176">
        <v>49</v>
      </c>
      <c r="P768" s="179">
        <v>-149.35</v>
      </c>
    </row>
    <row r="769" spans="1:16" ht="19.5" customHeight="1">
      <c r="A769" s="171" t="s">
        <v>1173</v>
      </c>
      <c r="B769" s="175">
        <v>46059</v>
      </c>
      <c r="C769" s="171" t="s">
        <v>127</v>
      </c>
      <c r="D769" s="171" t="s">
        <v>128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1800</v>
      </c>
      <c r="J769" s="175">
        <v>46052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677.14</v>
      </c>
    </row>
    <row r="770" spans="1:16" ht="19.5" customHeight="1">
      <c r="A770" s="171" t="s">
        <v>1173</v>
      </c>
      <c r="B770" s="175">
        <v>46059</v>
      </c>
      <c r="C770" s="171" t="s">
        <v>127</v>
      </c>
      <c r="D770" s="171" t="s">
        <v>129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1800</v>
      </c>
      <c r="J770" s="175">
        <v>46052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6.77</v>
      </c>
    </row>
    <row r="771" spans="1:16" ht="19.5" customHeight="1">
      <c r="A771" s="171" t="s">
        <v>1173</v>
      </c>
      <c r="B771" s="175">
        <v>46059</v>
      </c>
      <c r="C771" s="171" t="s">
        <v>127</v>
      </c>
      <c r="D771" s="171" t="s">
        <v>130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1800</v>
      </c>
      <c r="J771" s="175">
        <v>46052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1116.0899999999999</v>
      </c>
    </row>
    <row r="772" spans="1:16" ht="19.5" customHeight="1">
      <c r="A772" s="171" t="s">
        <v>1173</v>
      </c>
      <c r="B772" s="175">
        <v>46059</v>
      </c>
      <c r="C772" s="171" t="s">
        <v>131</v>
      </c>
      <c r="D772" s="171" t="s">
        <v>132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1800</v>
      </c>
      <c r="J772" s="175">
        <v>46052</v>
      </c>
      <c r="K772" s="171" t="s">
        <v>113</v>
      </c>
      <c r="L772" s="171" t="s">
        <v>114</v>
      </c>
      <c r="M772" s="178">
        <v>0.43</v>
      </c>
      <c r="N772" s="176"/>
      <c r="O772" s="176"/>
      <c r="P772" s="179">
        <v>-774</v>
      </c>
    </row>
    <row r="773" spans="1:16" ht="19.5" customHeight="1">
      <c r="A773" s="171" t="s">
        <v>1173</v>
      </c>
      <c r="B773" s="175">
        <v>46059</v>
      </c>
      <c r="C773" s="171" t="s">
        <v>115</v>
      </c>
      <c r="D773" s="171" t="s">
        <v>116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1800</v>
      </c>
      <c r="J773" s="175">
        <v>46052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-9.7799999999999994</v>
      </c>
    </row>
    <row r="774" spans="1:16" ht="19.5" customHeight="1">
      <c r="A774" s="171" t="s">
        <v>1174</v>
      </c>
      <c r="B774" s="175">
        <v>46059</v>
      </c>
      <c r="C774" s="171" t="s">
        <v>110</v>
      </c>
      <c r="D774" s="171" t="s">
        <v>24</v>
      </c>
      <c r="E774" s="171" t="s">
        <v>77</v>
      </c>
      <c r="F774" s="171" t="s">
        <v>194</v>
      </c>
      <c r="G774" s="171" t="s">
        <v>177</v>
      </c>
      <c r="H774" s="176">
        <v>1</v>
      </c>
      <c r="I774" s="177">
        <v>5412</v>
      </c>
      <c r="J774" s="175">
        <v>46055</v>
      </c>
      <c r="K774" s="171" t="s">
        <v>113</v>
      </c>
      <c r="L774" s="171" t="s">
        <v>114</v>
      </c>
      <c r="M774" s="178">
        <v>0.43</v>
      </c>
      <c r="N774" s="176"/>
      <c r="O774" s="176">
        <v>42</v>
      </c>
      <c r="P774" s="179">
        <v>-243.64</v>
      </c>
    </row>
    <row r="775" spans="1:16" ht="19.5" customHeight="1">
      <c r="A775" s="171" t="s">
        <v>1174</v>
      </c>
      <c r="B775" s="175">
        <v>46059</v>
      </c>
      <c r="C775" s="171" t="s">
        <v>127</v>
      </c>
      <c r="D775" s="171" t="s">
        <v>128</v>
      </c>
      <c r="E775" s="171" t="s">
        <v>77</v>
      </c>
      <c r="F775" s="171" t="s">
        <v>194</v>
      </c>
      <c r="G775" s="171" t="s">
        <v>177</v>
      </c>
      <c r="H775" s="176">
        <v>1</v>
      </c>
      <c r="I775" s="177">
        <v>5412</v>
      </c>
      <c r="J775" s="175">
        <v>46055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1896.19</v>
      </c>
    </row>
    <row r="776" spans="1:16" ht="19.5" customHeight="1">
      <c r="A776" s="171" t="s">
        <v>1174</v>
      </c>
      <c r="B776" s="175">
        <v>46059</v>
      </c>
      <c r="C776" s="171" t="s">
        <v>127</v>
      </c>
      <c r="D776" s="171" t="s">
        <v>129</v>
      </c>
      <c r="E776" s="171" t="s">
        <v>77</v>
      </c>
      <c r="F776" s="171" t="s">
        <v>194</v>
      </c>
      <c r="G776" s="171" t="s">
        <v>177</v>
      </c>
      <c r="H776" s="176">
        <v>1</v>
      </c>
      <c r="I776" s="177">
        <v>5412</v>
      </c>
      <c r="J776" s="175">
        <v>46055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18.96</v>
      </c>
    </row>
    <row r="777" spans="1:16" ht="19.5" customHeight="1">
      <c r="A777" s="171" t="s">
        <v>1174</v>
      </c>
      <c r="B777" s="175">
        <v>46059</v>
      </c>
      <c r="C777" s="171" t="s">
        <v>127</v>
      </c>
      <c r="D777" s="171" t="s">
        <v>130</v>
      </c>
      <c r="E777" s="171" t="s">
        <v>77</v>
      </c>
      <c r="F777" s="171" t="s">
        <v>194</v>
      </c>
      <c r="G777" s="171" t="s">
        <v>177</v>
      </c>
      <c r="H777" s="176">
        <v>1</v>
      </c>
      <c r="I777" s="177">
        <v>5412</v>
      </c>
      <c r="J777" s="175">
        <v>46055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3496.85</v>
      </c>
    </row>
    <row r="778" spans="1:16" ht="19.5" customHeight="1">
      <c r="A778" s="171" t="s">
        <v>1174</v>
      </c>
      <c r="B778" s="175">
        <v>46059</v>
      </c>
      <c r="C778" s="171" t="s">
        <v>131</v>
      </c>
      <c r="D778" s="171" t="s">
        <v>132</v>
      </c>
      <c r="E778" s="171" t="s">
        <v>77</v>
      </c>
      <c r="F778" s="171" t="s">
        <v>194</v>
      </c>
      <c r="G778" s="171" t="s">
        <v>177</v>
      </c>
      <c r="H778" s="176">
        <v>1</v>
      </c>
      <c r="I778" s="177">
        <v>5412</v>
      </c>
      <c r="J778" s="175">
        <v>46055</v>
      </c>
      <c r="K778" s="171" t="s">
        <v>113</v>
      </c>
      <c r="L778" s="171" t="s">
        <v>114</v>
      </c>
      <c r="M778" s="178">
        <v>0.43</v>
      </c>
      <c r="N778" s="176"/>
      <c r="O778" s="176"/>
      <c r="P778" s="179">
        <v>-2327.16</v>
      </c>
    </row>
    <row r="779" spans="1:16" ht="19.5" customHeight="1">
      <c r="A779" s="171" t="s">
        <v>1174</v>
      </c>
      <c r="B779" s="175">
        <v>46059</v>
      </c>
      <c r="C779" s="171" t="s">
        <v>115</v>
      </c>
      <c r="D779" s="171" t="s">
        <v>116</v>
      </c>
      <c r="E779" s="171" t="s">
        <v>77</v>
      </c>
      <c r="F779" s="171" t="s">
        <v>194</v>
      </c>
      <c r="G779" s="171" t="s">
        <v>177</v>
      </c>
      <c r="H779" s="176">
        <v>1</v>
      </c>
      <c r="I779" s="177">
        <v>5412</v>
      </c>
      <c r="J779" s="175">
        <v>46055</v>
      </c>
      <c r="K779" s="171" t="s">
        <v>113</v>
      </c>
      <c r="L779" s="171" t="s">
        <v>114</v>
      </c>
      <c r="M779" s="178">
        <v>0.43</v>
      </c>
      <c r="N779" s="176"/>
      <c r="O779" s="176"/>
      <c r="P779" s="179">
        <v>-15.34</v>
      </c>
    </row>
    <row r="780" spans="1:16" ht="19.5" customHeight="1">
      <c r="A780" s="171" t="s">
        <v>1082</v>
      </c>
      <c r="B780" s="175">
        <v>46059</v>
      </c>
      <c r="C780" s="171" t="s">
        <v>110</v>
      </c>
      <c r="D780" s="171" t="s">
        <v>121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0</v>
      </c>
      <c r="J780" s="175">
        <v>46054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0</v>
      </c>
    </row>
    <row r="781" spans="1:16" ht="19.5" customHeight="1">
      <c r="A781" s="171" t="s">
        <v>1082</v>
      </c>
      <c r="B781" s="175">
        <v>46059</v>
      </c>
      <c r="C781" s="171" t="s">
        <v>110</v>
      </c>
      <c r="D781" s="171" t="s">
        <v>118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0</v>
      </c>
      <c r="J781" s="175">
        <v>46054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-46.77</v>
      </c>
    </row>
    <row r="782" spans="1:16" ht="19.5" customHeight="1">
      <c r="A782" s="171" t="s">
        <v>1082</v>
      </c>
      <c r="B782" s="175">
        <v>46059</v>
      </c>
      <c r="C782" s="171" t="s">
        <v>115</v>
      </c>
      <c r="D782" s="171" t="s">
        <v>119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0</v>
      </c>
      <c r="J782" s="175">
        <v>46054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-15</v>
      </c>
    </row>
    <row r="783" spans="1:16" ht="19.5" customHeight="1">
      <c r="A783" s="171" t="s">
        <v>1175</v>
      </c>
      <c r="B783" s="175">
        <v>46059</v>
      </c>
      <c r="C783" s="171" t="s">
        <v>115</v>
      </c>
      <c r="D783" s="171" t="s">
        <v>135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0</v>
      </c>
      <c r="J783" s="175">
        <v>46059</v>
      </c>
      <c r="K783" s="171" t="s">
        <v>125</v>
      </c>
      <c r="L783" s="171" t="s">
        <v>125</v>
      </c>
      <c r="M783" s="178">
        <v>0</v>
      </c>
      <c r="N783" s="176"/>
      <c r="O783" s="176"/>
      <c r="P783" s="179">
        <v>-19.989999999999998</v>
      </c>
    </row>
    <row r="784" spans="1:16" ht="19.5" customHeight="1">
      <c r="A784" s="171" t="s">
        <v>1173</v>
      </c>
      <c r="B784" s="175">
        <v>46059</v>
      </c>
      <c r="C784" s="171" t="s">
        <v>115</v>
      </c>
      <c r="D784" s="171" t="s">
        <v>135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0</v>
      </c>
      <c r="J784" s="175">
        <v>46052</v>
      </c>
      <c r="K784" s="171" t="s">
        <v>125</v>
      </c>
      <c r="L784" s="171" t="s">
        <v>125</v>
      </c>
      <c r="M784" s="178">
        <v>0</v>
      </c>
      <c r="N784" s="176"/>
      <c r="O784" s="176"/>
      <c r="P784" s="179">
        <v>-12.87</v>
      </c>
    </row>
    <row r="785" spans="1:16" ht="19.5" customHeight="1">
      <c r="A785" s="171" t="s">
        <v>1176</v>
      </c>
      <c r="B785" s="175">
        <v>46059</v>
      </c>
      <c r="C785" s="171" t="s">
        <v>110</v>
      </c>
      <c r="D785" s="171" t="s">
        <v>24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2000</v>
      </c>
      <c r="J785" s="175">
        <v>46057</v>
      </c>
      <c r="K785" s="171" t="s">
        <v>113</v>
      </c>
      <c r="L785" s="171" t="s">
        <v>114</v>
      </c>
      <c r="M785" s="178">
        <v>0.43</v>
      </c>
      <c r="N785" s="176"/>
      <c r="O785" s="176">
        <v>42</v>
      </c>
      <c r="P785" s="179">
        <v>-130.43</v>
      </c>
    </row>
    <row r="786" spans="1:16" ht="19.5" customHeight="1">
      <c r="A786" s="171" t="s">
        <v>1176</v>
      </c>
      <c r="B786" s="175">
        <v>46059</v>
      </c>
      <c r="C786" s="171" t="s">
        <v>127</v>
      </c>
      <c r="D786" s="171" t="s">
        <v>128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2000</v>
      </c>
      <c r="J786" s="175">
        <v>46057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870.72</v>
      </c>
    </row>
    <row r="787" spans="1:16" ht="19.5" customHeight="1">
      <c r="A787" s="171" t="s">
        <v>1176</v>
      </c>
      <c r="B787" s="175">
        <v>46059</v>
      </c>
      <c r="C787" s="171" t="s">
        <v>127</v>
      </c>
      <c r="D787" s="171" t="s">
        <v>129</v>
      </c>
      <c r="E787" s="171" t="s">
        <v>38</v>
      </c>
      <c r="F787" s="171" t="s">
        <v>111</v>
      </c>
      <c r="G787" s="171" t="s">
        <v>112</v>
      </c>
      <c r="H787" s="176">
        <v>1</v>
      </c>
      <c r="I787" s="177">
        <v>2000</v>
      </c>
      <c r="J787" s="175">
        <v>46057</v>
      </c>
      <c r="K787" s="171" t="s">
        <v>113</v>
      </c>
      <c r="L787" s="171" t="s">
        <v>114</v>
      </c>
      <c r="M787" s="178">
        <v>0</v>
      </c>
      <c r="N787" s="176"/>
      <c r="O787" s="176"/>
      <c r="P787" s="179">
        <v>8.7100000000000009</v>
      </c>
    </row>
    <row r="788" spans="1:16" ht="19.5" customHeight="1">
      <c r="A788" s="171" t="s">
        <v>1176</v>
      </c>
      <c r="B788" s="175">
        <v>46059</v>
      </c>
      <c r="C788" s="171" t="s">
        <v>127</v>
      </c>
      <c r="D788" s="171" t="s">
        <v>130</v>
      </c>
      <c r="E788" s="171" t="s">
        <v>38</v>
      </c>
      <c r="F788" s="171" t="s">
        <v>111</v>
      </c>
      <c r="G788" s="171" t="s">
        <v>112</v>
      </c>
      <c r="H788" s="176">
        <v>1</v>
      </c>
      <c r="I788" s="177">
        <v>2000</v>
      </c>
      <c r="J788" s="175">
        <v>46057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1120.57</v>
      </c>
    </row>
    <row r="789" spans="1:16" ht="19.5" customHeight="1">
      <c r="A789" s="171" t="s">
        <v>1176</v>
      </c>
      <c r="B789" s="175">
        <v>46059</v>
      </c>
      <c r="C789" s="171" t="s">
        <v>131</v>
      </c>
      <c r="D789" s="171" t="s">
        <v>132</v>
      </c>
      <c r="E789" s="171" t="s">
        <v>38</v>
      </c>
      <c r="F789" s="171" t="s">
        <v>111</v>
      </c>
      <c r="G789" s="171" t="s">
        <v>112</v>
      </c>
      <c r="H789" s="176">
        <v>1</v>
      </c>
      <c r="I789" s="177">
        <v>2000</v>
      </c>
      <c r="J789" s="175">
        <v>46057</v>
      </c>
      <c r="K789" s="171" t="s">
        <v>113</v>
      </c>
      <c r="L789" s="171" t="s">
        <v>114</v>
      </c>
      <c r="M789" s="178">
        <v>0.43</v>
      </c>
      <c r="N789" s="176"/>
      <c r="O789" s="176"/>
      <c r="P789" s="179">
        <v>-860</v>
      </c>
    </row>
    <row r="790" spans="1:16" ht="19.5" customHeight="1">
      <c r="A790" s="171" t="s">
        <v>1176</v>
      </c>
      <c r="B790" s="175">
        <v>46059</v>
      </c>
      <c r="C790" s="171" t="s">
        <v>115</v>
      </c>
      <c r="D790" s="171" t="s">
        <v>116</v>
      </c>
      <c r="E790" s="171" t="s">
        <v>38</v>
      </c>
      <c r="F790" s="171" t="s">
        <v>111</v>
      </c>
      <c r="G790" s="171" t="s">
        <v>112</v>
      </c>
      <c r="H790" s="176">
        <v>1</v>
      </c>
      <c r="I790" s="177">
        <v>2000</v>
      </c>
      <c r="J790" s="175">
        <v>46057</v>
      </c>
      <c r="K790" s="171" t="s">
        <v>113</v>
      </c>
      <c r="L790" s="171" t="s">
        <v>114</v>
      </c>
      <c r="M790" s="178">
        <v>0.43</v>
      </c>
      <c r="N790" s="176"/>
      <c r="O790" s="176"/>
      <c r="P790" s="179">
        <v>-13.34</v>
      </c>
    </row>
    <row r="791" spans="1:16" ht="19.5" customHeight="1">
      <c r="A791" s="171" t="s">
        <v>1177</v>
      </c>
      <c r="B791" s="175">
        <v>46059</v>
      </c>
      <c r="C791" s="171" t="s">
        <v>110</v>
      </c>
      <c r="D791" s="171" t="s">
        <v>24</v>
      </c>
      <c r="E791" s="171" t="s">
        <v>75</v>
      </c>
      <c r="F791" s="171" t="s">
        <v>474</v>
      </c>
      <c r="G791" s="171" t="s">
        <v>177</v>
      </c>
      <c r="H791" s="176">
        <v>1</v>
      </c>
      <c r="I791" s="177">
        <v>0</v>
      </c>
      <c r="J791" s="175">
        <v>46051</v>
      </c>
      <c r="K791" s="171" t="s">
        <v>113</v>
      </c>
      <c r="L791" s="171" t="s">
        <v>114</v>
      </c>
      <c r="M791" s="178">
        <v>0</v>
      </c>
      <c r="N791" s="176"/>
      <c r="O791" s="176">
        <v>48</v>
      </c>
      <c r="P791" s="179">
        <v>-56.94</v>
      </c>
    </row>
    <row r="792" spans="1:16" ht="19.5" customHeight="1">
      <c r="A792" s="171" t="s">
        <v>1177</v>
      </c>
      <c r="B792" s="175">
        <v>46059</v>
      </c>
      <c r="C792" s="171" t="s">
        <v>115</v>
      </c>
      <c r="D792" s="171" t="s">
        <v>116</v>
      </c>
      <c r="E792" s="171" t="s">
        <v>75</v>
      </c>
      <c r="F792" s="171" t="s">
        <v>474</v>
      </c>
      <c r="G792" s="171" t="s">
        <v>177</v>
      </c>
      <c r="H792" s="176">
        <v>1</v>
      </c>
      <c r="I792" s="177">
        <v>0</v>
      </c>
      <c r="J792" s="175">
        <v>46051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-10.94</v>
      </c>
    </row>
    <row r="793" spans="1:16" ht="19.5" customHeight="1">
      <c r="A793" s="171" t="s">
        <v>1178</v>
      </c>
      <c r="B793" s="175">
        <v>46059</v>
      </c>
      <c r="C793" s="171" t="s">
        <v>110</v>
      </c>
      <c r="D793" s="171" t="s">
        <v>24</v>
      </c>
      <c r="E793" s="171" t="s">
        <v>38</v>
      </c>
      <c r="F793" s="171" t="s">
        <v>111</v>
      </c>
      <c r="G793" s="171" t="s">
        <v>112</v>
      </c>
      <c r="H793" s="176">
        <v>1</v>
      </c>
      <c r="I793" s="177">
        <v>0</v>
      </c>
      <c r="J793" s="175">
        <v>46053</v>
      </c>
      <c r="K793" s="171" t="s">
        <v>113</v>
      </c>
      <c r="L793" s="171" t="s">
        <v>114</v>
      </c>
      <c r="M793" s="178">
        <v>0</v>
      </c>
      <c r="N793" s="176"/>
      <c r="O793" s="176">
        <v>48</v>
      </c>
      <c r="P793" s="179">
        <v>-46.77</v>
      </c>
    </row>
    <row r="794" spans="1:16" ht="19.5" customHeight="1">
      <c r="A794" s="171" t="s">
        <v>1178</v>
      </c>
      <c r="B794" s="175">
        <v>46059</v>
      </c>
      <c r="C794" s="171" t="s">
        <v>115</v>
      </c>
      <c r="D794" s="171" t="s">
        <v>116</v>
      </c>
      <c r="E794" s="171" t="s">
        <v>38</v>
      </c>
      <c r="F794" s="171" t="s">
        <v>111</v>
      </c>
      <c r="G794" s="171" t="s">
        <v>112</v>
      </c>
      <c r="H794" s="176">
        <v>1</v>
      </c>
      <c r="I794" s="177">
        <v>0</v>
      </c>
      <c r="J794" s="175">
        <v>46053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-20.8</v>
      </c>
    </row>
    <row r="795" spans="1:16" ht="19.5" customHeight="1">
      <c r="A795" s="171" t="s">
        <v>1178</v>
      </c>
      <c r="B795" s="175">
        <v>46059</v>
      </c>
      <c r="C795" s="171" t="s">
        <v>110</v>
      </c>
      <c r="D795" s="171" t="s">
        <v>117</v>
      </c>
      <c r="E795" s="171" t="s">
        <v>38</v>
      </c>
      <c r="F795" s="171" t="s">
        <v>111</v>
      </c>
      <c r="G795" s="171" t="s">
        <v>112</v>
      </c>
      <c r="H795" s="176">
        <v>1</v>
      </c>
      <c r="I795" s="177">
        <v>0</v>
      </c>
      <c r="J795" s="175">
        <v>46053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0</v>
      </c>
    </row>
    <row r="796" spans="1:16" ht="19.5" customHeight="1">
      <c r="A796" s="171" t="s">
        <v>1178</v>
      </c>
      <c r="B796" s="175">
        <v>46059</v>
      </c>
      <c r="C796" s="171" t="s">
        <v>110</v>
      </c>
      <c r="D796" s="171" t="s">
        <v>118</v>
      </c>
      <c r="E796" s="171" t="s">
        <v>38</v>
      </c>
      <c r="F796" s="171" t="s">
        <v>111</v>
      </c>
      <c r="G796" s="171" t="s">
        <v>112</v>
      </c>
      <c r="H796" s="176">
        <v>1</v>
      </c>
      <c r="I796" s="177">
        <v>0</v>
      </c>
      <c r="J796" s="175">
        <v>46053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-46.77</v>
      </c>
    </row>
    <row r="797" spans="1:16" ht="19.5" customHeight="1">
      <c r="A797" s="171" t="s">
        <v>1178</v>
      </c>
      <c r="B797" s="175">
        <v>46059</v>
      </c>
      <c r="C797" s="171" t="s">
        <v>115</v>
      </c>
      <c r="D797" s="171" t="s">
        <v>119</v>
      </c>
      <c r="E797" s="171" t="s">
        <v>38</v>
      </c>
      <c r="F797" s="171" t="s">
        <v>111</v>
      </c>
      <c r="G797" s="171" t="s">
        <v>112</v>
      </c>
      <c r="H797" s="176">
        <v>1</v>
      </c>
      <c r="I797" s="177">
        <v>0</v>
      </c>
      <c r="J797" s="175">
        <v>46053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-15</v>
      </c>
    </row>
    <row r="798" spans="1:16" ht="19.5" customHeight="1">
      <c r="A798" s="171" t="s">
        <v>1177</v>
      </c>
      <c r="B798" s="175">
        <v>46059</v>
      </c>
      <c r="C798" s="171" t="s">
        <v>110</v>
      </c>
      <c r="D798" s="171" t="s">
        <v>117</v>
      </c>
      <c r="E798" s="171" t="s">
        <v>75</v>
      </c>
      <c r="F798" s="171" t="s">
        <v>474</v>
      </c>
      <c r="G798" s="171" t="s">
        <v>177</v>
      </c>
      <c r="H798" s="176">
        <v>1</v>
      </c>
      <c r="I798" s="177">
        <v>0</v>
      </c>
      <c r="J798" s="175">
        <v>46051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0</v>
      </c>
    </row>
    <row r="799" spans="1:16" ht="19.5" customHeight="1">
      <c r="A799" s="171" t="s">
        <v>1177</v>
      </c>
      <c r="B799" s="175">
        <v>46059</v>
      </c>
      <c r="C799" s="171" t="s">
        <v>110</v>
      </c>
      <c r="D799" s="171" t="s">
        <v>118</v>
      </c>
      <c r="E799" s="171" t="s">
        <v>75</v>
      </c>
      <c r="F799" s="171" t="s">
        <v>474</v>
      </c>
      <c r="G799" s="171" t="s">
        <v>177</v>
      </c>
      <c r="H799" s="176">
        <v>1</v>
      </c>
      <c r="I799" s="177">
        <v>0</v>
      </c>
      <c r="J799" s="175">
        <v>46051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-56.94</v>
      </c>
    </row>
    <row r="800" spans="1:16" ht="19.5" customHeight="1">
      <c r="A800" s="171" t="s">
        <v>1177</v>
      </c>
      <c r="B800" s="175">
        <v>46059</v>
      </c>
      <c r="C800" s="171" t="s">
        <v>115</v>
      </c>
      <c r="D800" s="171" t="s">
        <v>119</v>
      </c>
      <c r="E800" s="171" t="s">
        <v>75</v>
      </c>
      <c r="F800" s="171" t="s">
        <v>474</v>
      </c>
      <c r="G800" s="171" t="s">
        <v>177</v>
      </c>
      <c r="H800" s="176">
        <v>1</v>
      </c>
      <c r="I800" s="177">
        <v>0</v>
      </c>
      <c r="J800" s="175">
        <v>46051</v>
      </c>
      <c r="K800" s="171" t="s">
        <v>113</v>
      </c>
      <c r="L800" s="171" t="s">
        <v>114</v>
      </c>
      <c r="M800" s="178">
        <v>0</v>
      </c>
      <c r="N800" s="176"/>
      <c r="O800" s="176"/>
      <c r="P800" s="179">
        <v>-15</v>
      </c>
    </row>
    <row r="801" spans="1:16" ht="19.5" customHeight="1">
      <c r="A801" s="171" t="s">
        <v>1179</v>
      </c>
      <c r="B801" s="175">
        <v>46059</v>
      </c>
      <c r="C801" s="171" t="s">
        <v>110</v>
      </c>
      <c r="D801" s="171" t="s">
        <v>24</v>
      </c>
      <c r="E801" s="171" t="s">
        <v>44</v>
      </c>
      <c r="F801" s="171" t="s">
        <v>213</v>
      </c>
      <c r="G801" s="171" t="s">
        <v>214</v>
      </c>
      <c r="H801" s="176">
        <v>1</v>
      </c>
      <c r="I801" s="177">
        <v>1815</v>
      </c>
      <c r="J801" s="175">
        <v>46054</v>
      </c>
      <c r="K801" s="171" t="s">
        <v>113</v>
      </c>
      <c r="L801" s="171" t="s">
        <v>114</v>
      </c>
      <c r="M801" s="178">
        <v>0.43</v>
      </c>
      <c r="N801" s="176"/>
      <c r="O801" s="176">
        <v>42</v>
      </c>
      <c r="P801" s="179">
        <v>-125.16</v>
      </c>
    </row>
    <row r="802" spans="1:16" ht="19.5" customHeight="1">
      <c r="A802" s="171" t="s">
        <v>1179</v>
      </c>
      <c r="B802" s="175">
        <v>46059</v>
      </c>
      <c r="C802" s="171" t="s">
        <v>127</v>
      </c>
      <c r="D802" s="171" t="s">
        <v>128</v>
      </c>
      <c r="E802" s="171" t="s">
        <v>44</v>
      </c>
      <c r="F802" s="171" t="s">
        <v>213</v>
      </c>
      <c r="G802" s="171" t="s">
        <v>214</v>
      </c>
      <c r="H802" s="176">
        <v>1</v>
      </c>
      <c r="I802" s="177">
        <v>1815</v>
      </c>
      <c r="J802" s="175">
        <v>46054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702.86</v>
      </c>
    </row>
    <row r="803" spans="1:16" ht="19.5" customHeight="1">
      <c r="A803" s="171" t="s">
        <v>1179</v>
      </c>
      <c r="B803" s="175">
        <v>46059</v>
      </c>
      <c r="C803" s="171" t="s">
        <v>127</v>
      </c>
      <c r="D803" s="171" t="s">
        <v>129</v>
      </c>
      <c r="E803" s="171" t="s">
        <v>44</v>
      </c>
      <c r="F803" s="171" t="s">
        <v>213</v>
      </c>
      <c r="G803" s="171" t="s">
        <v>214</v>
      </c>
      <c r="H803" s="176">
        <v>1</v>
      </c>
      <c r="I803" s="177">
        <v>1815</v>
      </c>
      <c r="J803" s="175">
        <v>46054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7.03</v>
      </c>
    </row>
    <row r="804" spans="1:16" ht="19.5" customHeight="1">
      <c r="A804" s="171" t="s">
        <v>1179</v>
      </c>
      <c r="B804" s="175">
        <v>46059</v>
      </c>
      <c r="C804" s="171" t="s">
        <v>127</v>
      </c>
      <c r="D804" s="171" t="s">
        <v>130</v>
      </c>
      <c r="E804" s="171" t="s">
        <v>44</v>
      </c>
      <c r="F804" s="171" t="s">
        <v>213</v>
      </c>
      <c r="G804" s="171" t="s">
        <v>214</v>
      </c>
      <c r="H804" s="176">
        <v>1</v>
      </c>
      <c r="I804" s="177">
        <v>1815</v>
      </c>
      <c r="J804" s="175">
        <v>46054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1105.1099999999999</v>
      </c>
    </row>
    <row r="805" spans="1:16" ht="19.5" customHeight="1">
      <c r="A805" s="171" t="s">
        <v>1179</v>
      </c>
      <c r="B805" s="175">
        <v>46059</v>
      </c>
      <c r="C805" s="171" t="s">
        <v>131</v>
      </c>
      <c r="D805" s="171" t="s">
        <v>132</v>
      </c>
      <c r="E805" s="171" t="s">
        <v>44</v>
      </c>
      <c r="F805" s="171" t="s">
        <v>213</v>
      </c>
      <c r="G805" s="171" t="s">
        <v>214</v>
      </c>
      <c r="H805" s="176">
        <v>1</v>
      </c>
      <c r="I805" s="177">
        <v>1815</v>
      </c>
      <c r="J805" s="175">
        <v>46054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-780.45</v>
      </c>
    </row>
    <row r="806" spans="1:16" ht="19.5" customHeight="1">
      <c r="A806" s="171" t="s">
        <v>1179</v>
      </c>
      <c r="B806" s="175">
        <v>46059</v>
      </c>
      <c r="C806" s="171" t="s">
        <v>115</v>
      </c>
      <c r="D806" s="171" t="s">
        <v>116</v>
      </c>
      <c r="E806" s="171" t="s">
        <v>44</v>
      </c>
      <c r="F806" s="171" t="s">
        <v>213</v>
      </c>
      <c r="G806" s="171" t="s">
        <v>214</v>
      </c>
      <c r="H806" s="176">
        <v>1</v>
      </c>
      <c r="I806" s="177">
        <v>1815</v>
      </c>
      <c r="J806" s="175">
        <v>46054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-21.43</v>
      </c>
    </row>
    <row r="807" spans="1:16" ht="19.5" customHeight="1">
      <c r="A807" s="171" t="s">
        <v>1179</v>
      </c>
      <c r="B807" s="175">
        <v>46059</v>
      </c>
      <c r="C807" s="171" t="s">
        <v>115</v>
      </c>
      <c r="D807" s="171" t="s">
        <v>135</v>
      </c>
      <c r="E807" s="171" t="s">
        <v>44</v>
      </c>
      <c r="F807" s="171" t="s">
        <v>213</v>
      </c>
      <c r="G807" s="171" t="s">
        <v>214</v>
      </c>
      <c r="H807" s="176">
        <v>1</v>
      </c>
      <c r="I807" s="177">
        <v>0</v>
      </c>
      <c r="J807" s="175">
        <v>46054</v>
      </c>
      <c r="K807" s="171" t="s">
        <v>125</v>
      </c>
      <c r="L807" s="171" t="s">
        <v>125</v>
      </c>
      <c r="M807" s="178">
        <v>0</v>
      </c>
      <c r="N807" s="176"/>
      <c r="O807" s="176"/>
      <c r="P807" s="179">
        <v>-13.35</v>
      </c>
    </row>
    <row r="808" spans="1:16" ht="19.5" customHeight="1">
      <c r="A808" s="171" t="s">
        <v>1180</v>
      </c>
      <c r="B808" s="175">
        <v>46059</v>
      </c>
      <c r="C808" s="171" t="s">
        <v>110</v>
      </c>
      <c r="D808" s="171" t="s">
        <v>24</v>
      </c>
      <c r="E808" s="171" t="s">
        <v>38</v>
      </c>
      <c r="F808" s="171" t="s">
        <v>111</v>
      </c>
      <c r="G808" s="171" t="s">
        <v>112</v>
      </c>
      <c r="H808" s="176">
        <v>1</v>
      </c>
      <c r="I808" s="177">
        <v>0</v>
      </c>
      <c r="J808" s="175">
        <v>46052</v>
      </c>
      <c r="K808" s="171" t="s">
        <v>113</v>
      </c>
      <c r="L808" s="171" t="s">
        <v>114</v>
      </c>
      <c r="M808" s="178">
        <v>0</v>
      </c>
      <c r="N808" s="176"/>
      <c r="O808" s="176">
        <v>49</v>
      </c>
      <c r="P808" s="179">
        <v>-46.77</v>
      </c>
    </row>
    <row r="809" spans="1:16" ht="19.5" customHeight="1">
      <c r="A809" s="171" t="s">
        <v>1180</v>
      </c>
      <c r="B809" s="175">
        <v>46059</v>
      </c>
      <c r="C809" s="171" t="s">
        <v>110</v>
      </c>
      <c r="D809" s="171" t="s">
        <v>117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0</v>
      </c>
      <c r="J809" s="175">
        <v>46052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0</v>
      </c>
    </row>
    <row r="810" spans="1:16" ht="19.5" customHeight="1">
      <c r="A810" s="171" t="s">
        <v>1180</v>
      </c>
      <c r="B810" s="175">
        <v>46059</v>
      </c>
      <c r="C810" s="171" t="s">
        <v>110</v>
      </c>
      <c r="D810" s="171" t="s">
        <v>118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0</v>
      </c>
      <c r="J810" s="175">
        <v>46052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-46.77</v>
      </c>
    </row>
    <row r="811" spans="1:16" ht="19.5" customHeight="1">
      <c r="A811" s="171" t="s">
        <v>1181</v>
      </c>
      <c r="B811" s="175">
        <v>46059</v>
      </c>
      <c r="C811" s="171" t="s">
        <v>110</v>
      </c>
      <c r="D811" s="171" t="s">
        <v>24</v>
      </c>
      <c r="E811" s="171" t="s">
        <v>42</v>
      </c>
      <c r="F811" s="171" t="s">
        <v>248</v>
      </c>
      <c r="G811" s="171" t="s">
        <v>112</v>
      </c>
      <c r="H811" s="176">
        <v>1</v>
      </c>
      <c r="I811" s="177">
        <v>0</v>
      </c>
      <c r="J811" s="175">
        <v>46055</v>
      </c>
      <c r="K811" s="171" t="s">
        <v>113</v>
      </c>
      <c r="L811" s="171" t="s">
        <v>114</v>
      </c>
      <c r="M811" s="178">
        <v>0</v>
      </c>
      <c r="N811" s="176"/>
      <c r="O811" s="176">
        <v>42</v>
      </c>
      <c r="P811" s="179">
        <v>-46.77</v>
      </c>
    </row>
    <row r="812" spans="1:16" ht="19.5" customHeight="1">
      <c r="A812" s="171" t="s">
        <v>1181</v>
      </c>
      <c r="B812" s="175">
        <v>46059</v>
      </c>
      <c r="C812" s="171" t="s">
        <v>115</v>
      </c>
      <c r="D812" s="171" t="s">
        <v>116</v>
      </c>
      <c r="E812" s="171" t="s">
        <v>42</v>
      </c>
      <c r="F812" s="171" t="s">
        <v>248</v>
      </c>
      <c r="G812" s="171" t="s">
        <v>112</v>
      </c>
      <c r="H812" s="176">
        <v>1</v>
      </c>
      <c r="I812" s="177">
        <v>0</v>
      </c>
      <c r="J812" s="175">
        <v>46055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-10.63</v>
      </c>
    </row>
    <row r="813" spans="1:16" ht="19.5" customHeight="1">
      <c r="A813" s="171" t="s">
        <v>1181</v>
      </c>
      <c r="B813" s="175">
        <v>46059</v>
      </c>
      <c r="C813" s="171" t="s">
        <v>110</v>
      </c>
      <c r="D813" s="171" t="s">
        <v>117</v>
      </c>
      <c r="E813" s="171" t="s">
        <v>42</v>
      </c>
      <c r="F813" s="171" t="s">
        <v>248</v>
      </c>
      <c r="G813" s="171" t="s">
        <v>112</v>
      </c>
      <c r="H813" s="176">
        <v>1</v>
      </c>
      <c r="I813" s="177">
        <v>0</v>
      </c>
      <c r="J813" s="175">
        <v>46055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0</v>
      </c>
    </row>
    <row r="814" spans="1:16" ht="19.5" customHeight="1">
      <c r="A814" s="171" t="s">
        <v>1181</v>
      </c>
      <c r="B814" s="175">
        <v>46059</v>
      </c>
      <c r="C814" s="171" t="s">
        <v>110</v>
      </c>
      <c r="D814" s="171" t="s">
        <v>118</v>
      </c>
      <c r="E814" s="171" t="s">
        <v>42</v>
      </c>
      <c r="F814" s="171" t="s">
        <v>248</v>
      </c>
      <c r="G814" s="171" t="s">
        <v>112</v>
      </c>
      <c r="H814" s="176">
        <v>1</v>
      </c>
      <c r="I814" s="177">
        <v>0</v>
      </c>
      <c r="J814" s="175">
        <v>46055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-46.77</v>
      </c>
    </row>
    <row r="815" spans="1:16" ht="19.5" customHeight="1">
      <c r="A815" s="171" t="s">
        <v>1181</v>
      </c>
      <c r="B815" s="175">
        <v>46059</v>
      </c>
      <c r="C815" s="171" t="s">
        <v>115</v>
      </c>
      <c r="D815" s="171" t="s">
        <v>119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46055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-15</v>
      </c>
    </row>
    <row r="816" spans="1:16" ht="19.5" customHeight="1">
      <c r="A816" s="171" t="s">
        <v>1182</v>
      </c>
      <c r="B816" s="175">
        <v>46059</v>
      </c>
      <c r="C816" s="171" t="s">
        <v>110</v>
      </c>
      <c r="D816" s="171" t="s">
        <v>24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5412</v>
      </c>
      <c r="J816" s="175">
        <v>46056</v>
      </c>
      <c r="K816" s="171" t="s">
        <v>113</v>
      </c>
      <c r="L816" s="171" t="s">
        <v>114</v>
      </c>
      <c r="M816" s="178">
        <v>0.43</v>
      </c>
      <c r="N816" s="176"/>
      <c r="O816" s="176">
        <v>43</v>
      </c>
      <c r="P816" s="179">
        <v>-253.46</v>
      </c>
    </row>
    <row r="817" spans="1:16" ht="19.5" customHeight="1">
      <c r="A817" s="171" t="s">
        <v>1182</v>
      </c>
      <c r="B817" s="175">
        <v>46059</v>
      </c>
      <c r="C817" s="171" t="s">
        <v>127</v>
      </c>
      <c r="D817" s="171" t="s">
        <v>128</v>
      </c>
      <c r="E817" s="171" t="s">
        <v>77</v>
      </c>
      <c r="F817" s="171" t="s">
        <v>194</v>
      </c>
      <c r="G817" s="171" t="s">
        <v>177</v>
      </c>
      <c r="H817" s="176">
        <v>1</v>
      </c>
      <c r="I817" s="177">
        <v>5412</v>
      </c>
      <c r="J817" s="175">
        <v>46056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1885.42</v>
      </c>
    </row>
    <row r="818" spans="1:16" ht="19.5" customHeight="1">
      <c r="A818" s="171" t="s">
        <v>1182</v>
      </c>
      <c r="B818" s="175">
        <v>46059</v>
      </c>
      <c r="C818" s="171" t="s">
        <v>127</v>
      </c>
      <c r="D818" s="171" t="s">
        <v>129</v>
      </c>
      <c r="E818" s="171" t="s">
        <v>77</v>
      </c>
      <c r="F818" s="171" t="s">
        <v>194</v>
      </c>
      <c r="G818" s="171" t="s">
        <v>177</v>
      </c>
      <c r="H818" s="176">
        <v>1</v>
      </c>
      <c r="I818" s="177">
        <v>5412</v>
      </c>
      <c r="J818" s="175">
        <v>46056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18.850000000000001</v>
      </c>
    </row>
    <row r="819" spans="1:16" ht="19.5" customHeight="1">
      <c r="A819" s="171" t="s">
        <v>1182</v>
      </c>
      <c r="B819" s="175">
        <v>46059</v>
      </c>
      <c r="C819" s="171" t="s">
        <v>127</v>
      </c>
      <c r="D819" s="171" t="s">
        <v>130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5412</v>
      </c>
      <c r="J819" s="175">
        <v>46056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3507.73</v>
      </c>
    </row>
    <row r="820" spans="1:16" ht="19.5" customHeight="1">
      <c r="A820" s="171" t="s">
        <v>1182</v>
      </c>
      <c r="B820" s="175">
        <v>46059</v>
      </c>
      <c r="C820" s="171" t="s">
        <v>131</v>
      </c>
      <c r="D820" s="171" t="s">
        <v>132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5412</v>
      </c>
      <c r="J820" s="175">
        <v>46056</v>
      </c>
      <c r="K820" s="171" t="s">
        <v>113</v>
      </c>
      <c r="L820" s="171" t="s">
        <v>114</v>
      </c>
      <c r="M820" s="178">
        <v>0.43</v>
      </c>
      <c r="N820" s="176"/>
      <c r="O820" s="176"/>
      <c r="P820" s="179">
        <v>-2327.16</v>
      </c>
    </row>
    <row r="821" spans="1:16" ht="19.5" customHeight="1">
      <c r="A821" s="171" t="s">
        <v>1182</v>
      </c>
      <c r="B821" s="175">
        <v>46059</v>
      </c>
      <c r="C821" s="171" t="s">
        <v>115</v>
      </c>
      <c r="D821" s="171" t="s">
        <v>116</v>
      </c>
      <c r="E821" s="171" t="s">
        <v>77</v>
      </c>
      <c r="F821" s="171" t="s">
        <v>194</v>
      </c>
      <c r="G821" s="171" t="s">
        <v>177</v>
      </c>
      <c r="H821" s="176">
        <v>1</v>
      </c>
      <c r="I821" s="177">
        <v>5412</v>
      </c>
      <c r="J821" s="175">
        <v>46056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-18.63</v>
      </c>
    </row>
    <row r="822" spans="1:16" ht="19.5" customHeight="1">
      <c r="A822" s="171" t="s">
        <v>1183</v>
      </c>
      <c r="B822" s="175">
        <v>46059</v>
      </c>
      <c r="C822" s="171" t="s">
        <v>110</v>
      </c>
      <c r="D822" s="171" t="s">
        <v>24</v>
      </c>
      <c r="E822" s="171" t="s">
        <v>42</v>
      </c>
      <c r="F822" s="171" t="s">
        <v>248</v>
      </c>
      <c r="G822" s="171" t="s">
        <v>112</v>
      </c>
      <c r="H822" s="176">
        <v>1</v>
      </c>
      <c r="I822" s="177">
        <v>2000</v>
      </c>
      <c r="J822" s="175">
        <v>46057</v>
      </c>
      <c r="K822" s="171" t="s">
        <v>113</v>
      </c>
      <c r="L822" s="171" t="s">
        <v>114</v>
      </c>
      <c r="M822" s="178">
        <v>0.43</v>
      </c>
      <c r="N822" s="176"/>
      <c r="O822" s="176">
        <v>42</v>
      </c>
      <c r="P822" s="179">
        <v>-130.43</v>
      </c>
    </row>
    <row r="823" spans="1:16" ht="19.5" customHeight="1">
      <c r="A823" s="171" t="s">
        <v>1183</v>
      </c>
      <c r="B823" s="175">
        <v>46059</v>
      </c>
      <c r="C823" s="171" t="s">
        <v>127</v>
      </c>
      <c r="D823" s="171" t="s">
        <v>128</v>
      </c>
      <c r="E823" s="171" t="s">
        <v>42</v>
      </c>
      <c r="F823" s="171" t="s">
        <v>248</v>
      </c>
      <c r="G823" s="171" t="s">
        <v>112</v>
      </c>
      <c r="H823" s="176">
        <v>1</v>
      </c>
      <c r="I823" s="177">
        <v>2000</v>
      </c>
      <c r="J823" s="175">
        <v>46057</v>
      </c>
      <c r="K823" s="171" t="s">
        <v>113</v>
      </c>
      <c r="L823" s="171" t="s">
        <v>114</v>
      </c>
      <c r="M823" s="178">
        <v>0</v>
      </c>
      <c r="N823" s="176"/>
      <c r="O823" s="176"/>
      <c r="P823" s="179">
        <v>972.38</v>
      </c>
    </row>
    <row r="824" spans="1:16" ht="19.5" customHeight="1">
      <c r="A824" s="171" t="s">
        <v>1183</v>
      </c>
      <c r="B824" s="175">
        <v>46059</v>
      </c>
      <c r="C824" s="171" t="s">
        <v>127</v>
      </c>
      <c r="D824" s="171" t="s">
        <v>129</v>
      </c>
      <c r="E824" s="171" t="s">
        <v>42</v>
      </c>
      <c r="F824" s="171" t="s">
        <v>248</v>
      </c>
      <c r="G824" s="171" t="s">
        <v>112</v>
      </c>
      <c r="H824" s="176">
        <v>1</v>
      </c>
      <c r="I824" s="177">
        <v>2000</v>
      </c>
      <c r="J824" s="175">
        <v>46057</v>
      </c>
      <c r="K824" s="171" t="s">
        <v>113</v>
      </c>
      <c r="L824" s="171" t="s">
        <v>114</v>
      </c>
      <c r="M824" s="178">
        <v>0</v>
      </c>
      <c r="N824" s="176"/>
      <c r="O824" s="176"/>
      <c r="P824" s="179">
        <v>9.7200000000000006</v>
      </c>
    </row>
    <row r="825" spans="1:16" ht="19.5" customHeight="1">
      <c r="A825" s="171" t="s">
        <v>1183</v>
      </c>
      <c r="B825" s="175">
        <v>46059</v>
      </c>
      <c r="C825" s="171" t="s">
        <v>127</v>
      </c>
      <c r="D825" s="171" t="s">
        <v>130</v>
      </c>
      <c r="E825" s="171" t="s">
        <v>42</v>
      </c>
      <c r="F825" s="171" t="s">
        <v>248</v>
      </c>
      <c r="G825" s="171" t="s">
        <v>112</v>
      </c>
      <c r="H825" s="176">
        <v>1</v>
      </c>
      <c r="I825" s="177">
        <v>2000</v>
      </c>
      <c r="J825" s="175">
        <v>46057</v>
      </c>
      <c r="K825" s="171" t="s">
        <v>113</v>
      </c>
      <c r="L825" s="171" t="s">
        <v>114</v>
      </c>
      <c r="M825" s="178">
        <v>0</v>
      </c>
      <c r="N825" s="176"/>
      <c r="O825" s="176"/>
      <c r="P825" s="179">
        <v>1017.9</v>
      </c>
    </row>
    <row r="826" spans="1:16" ht="19.5" customHeight="1">
      <c r="A826" s="171" t="s">
        <v>1183</v>
      </c>
      <c r="B826" s="175">
        <v>46059</v>
      </c>
      <c r="C826" s="171" t="s">
        <v>131</v>
      </c>
      <c r="D826" s="171" t="s">
        <v>132</v>
      </c>
      <c r="E826" s="171" t="s">
        <v>42</v>
      </c>
      <c r="F826" s="171" t="s">
        <v>248</v>
      </c>
      <c r="G826" s="171" t="s">
        <v>112</v>
      </c>
      <c r="H826" s="176">
        <v>1</v>
      </c>
      <c r="I826" s="177">
        <v>2000</v>
      </c>
      <c r="J826" s="175">
        <v>46057</v>
      </c>
      <c r="K826" s="171" t="s">
        <v>113</v>
      </c>
      <c r="L826" s="171" t="s">
        <v>114</v>
      </c>
      <c r="M826" s="178">
        <v>0.43</v>
      </c>
      <c r="N826" s="176"/>
      <c r="O826" s="176"/>
      <c r="P826" s="179">
        <v>-860</v>
      </c>
    </row>
    <row r="827" spans="1:16" ht="19.5" customHeight="1">
      <c r="A827" s="171" t="s">
        <v>1183</v>
      </c>
      <c r="B827" s="175">
        <v>46059</v>
      </c>
      <c r="C827" s="171" t="s">
        <v>115</v>
      </c>
      <c r="D827" s="171" t="s">
        <v>116</v>
      </c>
      <c r="E827" s="171" t="s">
        <v>42</v>
      </c>
      <c r="F827" s="171" t="s">
        <v>248</v>
      </c>
      <c r="G827" s="171" t="s">
        <v>112</v>
      </c>
      <c r="H827" s="176">
        <v>1</v>
      </c>
      <c r="I827" s="177">
        <v>2000</v>
      </c>
      <c r="J827" s="175">
        <v>46057</v>
      </c>
      <c r="K827" s="171" t="s">
        <v>113</v>
      </c>
      <c r="L827" s="171" t="s">
        <v>114</v>
      </c>
      <c r="M827" s="178">
        <v>0.43</v>
      </c>
      <c r="N827" s="176"/>
      <c r="O827" s="176"/>
      <c r="P827" s="179">
        <v>-14.29</v>
      </c>
    </row>
    <row r="828" spans="1:16" ht="19.5" customHeight="1">
      <c r="A828" s="171" t="s">
        <v>1183</v>
      </c>
      <c r="B828" s="175">
        <v>46059</v>
      </c>
      <c r="C828" s="171" t="s">
        <v>115</v>
      </c>
      <c r="D828" s="171" t="s">
        <v>135</v>
      </c>
      <c r="E828" s="171" t="s">
        <v>42</v>
      </c>
      <c r="F828" s="171" t="s">
        <v>248</v>
      </c>
      <c r="G828" s="171" t="s">
        <v>112</v>
      </c>
      <c r="H828" s="176">
        <v>1</v>
      </c>
      <c r="I828" s="177">
        <v>0</v>
      </c>
      <c r="J828" s="175">
        <v>46057</v>
      </c>
      <c r="K828" s="171" t="s">
        <v>125</v>
      </c>
      <c r="L828" s="171" t="s">
        <v>125</v>
      </c>
      <c r="M828" s="178">
        <v>0</v>
      </c>
      <c r="N828" s="176"/>
      <c r="O828" s="176"/>
      <c r="P828" s="179">
        <v>-18.48</v>
      </c>
    </row>
    <row r="829" spans="1:16" ht="19.5" customHeight="1">
      <c r="A829" s="171" t="s">
        <v>1184</v>
      </c>
      <c r="B829" s="175">
        <v>46059</v>
      </c>
      <c r="C829" s="171" t="s">
        <v>110</v>
      </c>
      <c r="D829" s="171" t="s">
        <v>24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46050</v>
      </c>
      <c r="K829" s="171" t="s">
        <v>113</v>
      </c>
      <c r="L829" s="171" t="s">
        <v>114</v>
      </c>
      <c r="M829" s="178">
        <v>0</v>
      </c>
      <c r="N829" s="176"/>
      <c r="O829" s="176">
        <v>50</v>
      </c>
      <c r="P829" s="179">
        <v>-46.77</v>
      </c>
    </row>
    <row r="830" spans="1:16" ht="19.5" customHeight="1">
      <c r="A830" s="171" t="s">
        <v>1184</v>
      </c>
      <c r="B830" s="175">
        <v>46059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46050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-19.760000000000002</v>
      </c>
    </row>
    <row r="831" spans="1:16" ht="19.5" customHeight="1">
      <c r="A831" s="171" t="s">
        <v>1185</v>
      </c>
      <c r="B831" s="175">
        <v>46059</v>
      </c>
      <c r="C831" s="171" t="s">
        <v>110</v>
      </c>
      <c r="D831" s="171" t="s">
        <v>24</v>
      </c>
      <c r="E831" s="171" t="s">
        <v>79</v>
      </c>
      <c r="F831" s="171" t="s">
        <v>441</v>
      </c>
      <c r="G831" s="171" t="s">
        <v>177</v>
      </c>
      <c r="H831" s="176">
        <v>1</v>
      </c>
      <c r="I831" s="177">
        <v>0</v>
      </c>
      <c r="J831" s="175">
        <v>46049</v>
      </c>
      <c r="K831" s="171" t="s">
        <v>113</v>
      </c>
      <c r="L831" s="171" t="s">
        <v>114</v>
      </c>
      <c r="M831" s="178">
        <v>0</v>
      </c>
      <c r="N831" s="176"/>
      <c r="O831" s="176">
        <v>51</v>
      </c>
      <c r="P831" s="179">
        <v>-56.94</v>
      </c>
    </row>
    <row r="832" spans="1:16" ht="19.5" customHeight="1">
      <c r="A832" s="171" t="s">
        <v>1185</v>
      </c>
      <c r="B832" s="175">
        <v>46059</v>
      </c>
      <c r="C832" s="171" t="s">
        <v>115</v>
      </c>
      <c r="D832" s="171" t="s">
        <v>116</v>
      </c>
      <c r="E832" s="171" t="s">
        <v>79</v>
      </c>
      <c r="F832" s="171" t="s">
        <v>441</v>
      </c>
      <c r="G832" s="171" t="s">
        <v>177</v>
      </c>
      <c r="H832" s="176">
        <v>1</v>
      </c>
      <c r="I832" s="177">
        <v>0</v>
      </c>
      <c r="J832" s="175">
        <v>46049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-14.31</v>
      </c>
    </row>
    <row r="833" spans="1:16" ht="19.5" customHeight="1">
      <c r="A833" s="171" t="s">
        <v>1186</v>
      </c>
      <c r="B833" s="175">
        <v>46059</v>
      </c>
      <c r="C833" s="171" t="s">
        <v>110</v>
      </c>
      <c r="D833" s="171" t="s">
        <v>24</v>
      </c>
      <c r="E833" s="171" t="s">
        <v>38</v>
      </c>
      <c r="F833" s="171" t="s">
        <v>111</v>
      </c>
      <c r="G833" s="171" t="s">
        <v>112</v>
      </c>
      <c r="H833" s="176">
        <v>1</v>
      </c>
      <c r="I833" s="177">
        <v>1800</v>
      </c>
      <c r="J833" s="175">
        <v>46056</v>
      </c>
      <c r="K833" s="171" t="s">
        <v>113</v>
      </c>
      <c r="L833" s="171" t="s">
        <v>114</v>
      </c>
      <c r="M833" s="178">
        <v>0.43</v>
      </c>
      <c r="N833" s="176"/>
      <c r="O833" s="176">
        <v>43</v>
      </c>
      <c r="P833" s="179">
        <v>-128.83000000000001</v>
      </c>
    </row>
    <row r="834" spans="1:16" ht="19.5" customHeight="1">
      <c r="A834" s="171" t="s">
        <v>1186</v>
      </c>
      <c r="B834" s="175">
        <v>46059</v>
      </c>
      <c r="C834" s="171" t="s">
        <v>127</v>
      </c>
      <c r="D834" s="171" t="s">
        <v>128</v>
      </c>
      <c r="E834" s="171" t="s">
        <v>38</v>
      </c>
      <c r="F834" s="171" t="s">
        <v>111</v>
      </c>
      <c r="G834" s="171" t="s">
        <v>112</v>
      </c>
      <c r="H834" s="176">
        <v>1</v>
      </c>
      <c r="I834" s="177">
        <v>1800</v>
      </c>
      <c r="J834" s="175">
        <v>46056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910.48</v>
      </c>
    </row>
    <row r="835" spans="1:16" ht="19.5" customHeight="1">
      <c r="A835" s="171" t="s">
        <v>1186</v>
      </c>
      <c r="B835" s="175">
        <v>46059</v>
      </c>
      <c r="C835" s="171" t="s">
        <v>127</v>
      </c>
      <c r="D835" s="171" t="s">
        <v>129</v>
      </c>
      <c r="E835" s="171" t="s">
        <v>38</v>
      </c>
      <c r="F835" s="171" t="s">
        <v>111</v>
      </c>
      <c r="G835" s="171" t="s">
        <v>112</v>
      </c>
      <c r="H835" s="176">
        <v>1</v>
      </c>
      <c r="I835" s="177">
        <v>1800</v>
      </c>
      <c r="J835" s="175">
        <v>46056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1186</v>
      </c>
      <c r="B836" s="175">
        <v>46059</v>
      </c>
      <c r="C836" s="171" t="s">
        <v>127</v>
      </c>
      <c r="D836" s="171" t="s">
        <v>130</v>
      </c>
      <c r="E836" s="171" t="s">
        <v>38</v>
      </c>
      <c r="F836" s="171" t="s">
        <v>111</v>
      </c>
      <c r="G836" s="171" t="s">
        <v>112</v>
      </c>
      <c r="H836" s="176">
        <v>1</v>
      </c>
      <c r="I836" s="177">
        <v>1800</v>
      </c>
      <c r="J836" s="175">
        <v>46056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889.52</v>
      </c>
    </row>
    <row r="837" spans="1:16" ht="19.5" customHeight="1">
      <c r="A837" s="171" t="s">
        <v>1186</v>
      </c>
      <c r="B837" s="175">
        <v>46059</v>
      </c>
      <c r="C837" s="171" t="s">
        <v>131</v>
      </c>
      <c r="D837" s="171" t="s">
        <v>132</v>
      </c>
      <c r="E837" s="171" t="s">
        <v>38</v>
      </c>
      <c r="F837" s="171" t="s">
        <v>111</v>
      </c>
      <c r="G837" s="171" t="s">
        <v>112</v>
      </c>
      <c r="H837" s="176">
        <v>1</v>
      </c>
      <c r="I837" s="177">
        <v>1800</v>
      </c>
      <c r="J837" s="175">
        <v>46056</v>
      </c>
      <c r="K837" s="171" t="s">
        <v>113</v>
      </c>
      <c r="L837" s="171" t="s">
        <v>114</v>
      </c>
      <c r="M837" s="178">
        <v>0.43</v>
      </c>
      <c r="N837" s="176"/>
      <c r="O837" s="176"/>
      <c r="P837" s="179">
        <v>-774</v>
      </c>
    </row>
    <row r="838" spans="1:16" ht="19.5" customHeight="1">
      <c r="A838" s="171" t="s">
        <v>1186</v>
      </c>
      <c r="B838" s="175">
        <v>46059</v>
      </c>
      <c r="C838" s="171" t="s">
        <v>115</v>
      </c>
      <c r="D838" s="171" t="s">
        <v>116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1800</v>
      </c>
      <c r="J838" s="175">
        <v>46056</v>
      </c>
      <c r="K838" s="171" t="s">
        <v>113</v>
      </c>
      <c r="L838" s="171" t="s">
        <v>114</v>
      </c>
      <c r="M838" s="178">
        <v>0.43</v>
      </c>
      <c r="N838" s="176"/>
      <c r="O838" s="176"/>
      <c r="P838" s="179">
        <v>-25</v>
      </c>
    </row>
    <row r="839" spans="1:16" ht="19.5" customHeight="1">
      <c r="A839" s="171" t="s">
        <v>1184</v>
      </c>
      <c r="B839" s="175">
        <v>46059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46050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1184</v>
      </c>
      <c r="B840" s="175">
        <v>46059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46050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1184</v>
      </c>
      <c r="B841" s="175">
        <v>46059</v>
      </c>
      <c r="C841" s="171" t="s">
        <v>115</v>
      </c>
      <c r="D841" s="171" t="s">
        <v>119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46050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-15</v>
      </c>
    </row>
    <row r="842" spans="1:16" ht="19.5" customHeight="1">
      <c r="A842" s="171" t="s">
        <v>1185</v>
      </c>
      <c r="B842" s="175">
        <v>46059</v>
      </c>
      <c r="C842" s="171" t="s">
        <v>110</v>
      </c>
      <c r="D842" s="171" t="s">
        <v>117</v>
      </c>
      <c r="E842" s="171" t="s">
        <v>79</v>
      </c>
      <c r="F842" s="171" t="s">
        <v>441</v>
      </c>
      <c r="G842" s="171" t="s">
        <v>177</v>
      </c>
      <c r="H842" s="176">
        <v>1</v>
      </c>
      <c r="I842" s="177">
        <v>0</v>
      </c>
      <c r="J842" s="175">
        <v>46049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0</v>
      </c>
    </row>
    <row r="843" spans="1:16" ht="19.5" customHeight="1">
      <c r="A843" s="171" t="s">
        <v>1185</v>
      </c>
      <c r="B843" s="175">
        <v>46059</v>
      </c>
      <c r="C843" s="171" t="s">
        <v>110</v>
      </c>
      <c r="D843" s="171" t="s">
        <v>118</v>
      </c>
      <c r="E843" s="171" t="s">
        <v>79</v>
      </c>
      <c r="F843" s="171" t="s">
        <v>441</v>
      </c>
      <c r="G843" s="171" t="s">
        <v>177</v>
      </c>
      <c r="H843" s="176">
        <v>1</v>
      </c>
      <c r="I843" s="177">
        <v>0</v>
      </c>
      <c r="J843" s="175">
        <v>46049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-56.94</v>
      </c>
    </row>
    <row r="844" spans="1:16" ht="19.5" customHeight="1">
      <c r="A844" s="171" t="s">
        <v>1185</v>
      </c>
      <c r="B844" s="175">
        <v>46059</v>
      </c>
      <c r="C844" s="171" t="s">
        <v>115</v>
      </c>
      <c r="D844" s="171" t="s">
        <v>119</v>
      </c>
      <c r="E844" s="171" t="s">
        <v>79</v>
      </c>
      <c r="F844" s="171" t="s">
        <v>441</v>
      </c>
      <c r="G844" s="171" t="s">
        <v>177</v>
      </c>
      <c r="H844" s="176">
        <v>1</v>
      </c>
      <c r="I844" s="177">
        <v>0</v>
      </c>
      <c r="J844" s="175">
        <v>46049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-15</v>
      </c>
    </row>
    <row r="845" spans="1:16" ht="19.5" customHeight="1">
      <c r="A845" s="171" t="s">
        <v>1187</v>
      </c>
      <c r="B845" s="175">
        <v>46059</v>
      </c>
      <c r="C845" s="171" t="s">
        <v>115</v>
      </c>
      <c r="D845" s="171" t="s">
        <v>135</v>
      </c>
      <c r="E845" s="171" t="s">
        <v>77</v>
      </c>
      <c r="F845" s="171" t="s">
        <v>194</v>
      </c>
      <c r="G845" s="171" t="s">
        <v>177</v>
      </c>
      <c r="H845" s="176">
        <v>1</v>
      </c>
      <c r="I845" s="177">
        <v>0</v>
      </c>
      <c r="J845" s="175">
        <v>46059</v>
      </c>
      <c r="K845" s="171" t="s">
        <v>125</v>
      </c>
      <c r="L845" s="171" t="s">
        <v>125</v>
      </c>
      <c r="M845" s="178">
        <v>0</v>
      </c>
      <c r="N845" s="176"/>
      <c r="O845" s="176"/>
      <c r="P845" s="179">
        <v>-37.869999999999997</v>
      </c>
    </row>
    <row r="846" spans="1:16" ht="19.5" customHeight="1">
      <c r="A846" s="171" t="s">
        <v>1186</v>
      </c>
      <c r="B846" s="175">
        <v>46059</v>
      </c>
      <c r="C846" s="171" t="s">
        <v>115</v>
      </c>
      <c r="D846" s="171" t="s">
        <v>135</v>
      </c>
      <c r="E846" s="171" t="s">
        <v>38</v>
      </c>
      <c r="F846" s="171" t="s">
        <v>111</v>
      </c>
      <c r="G846" s="171" t="s">
        <v>112</v>
      </c>
      <c r="H846" s="176">
        <v>1</v>
      </c>
      <c r="I846" s="177">
        <v>0</v>
      </c>
      <c r="J846" s="175">
        <v>46056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-8.4700000000000006</v>
      </c>
    </row>
    <row r="847" spans="1:16" ht="19.5" customHeight="1">
      <c r="A847" s="171" t="s">
        <v>1188</v>
      </c>
      <c r="B847" s="175">
        <v>46059</v>
      </c>
      <c r="C847" s="171" t="s">
        <v>110</v>
      </c>
      <c r="D847" s="171" t="s">
        <v>24</v>
      </c>
      <c r="E847" s="171" t="s">
        <v>38</v>
      </c>
      <c r="F847" s="171" t="s">
        <v>111</v>
      </c>
      <c r="G847" s="171" t="s">
        <v>112</v>
      </c>
      <c r="H847" s="176">
        <v>1</v>
      </c>
      <c r="I847" s="177">
        <v>0</v>
      </c>
      <c r="J847" s="175">
        <v>46056</v>
      </c>
      <c r="K847" s="171" t="s">
        <v>113</v>
      </c>
      <c r="L847" s="171" t="s">
        <v>114</v>
      </c>
      <c r="M847" s="178">
        <v>0</v>
      </c>
      <c r="N847" s="176"/>
      <c r="O847" s="176">
        <v>43</v>
      </c>
      <c r="P847" s="179">
        <v>-46.77</v>
      </c>
    </row>
    <row r="848" spans="1:16" ht="19.5" customHeight="1">
      <c r="A848" s="171" t="s">
        <v>1188</v>
      </c>
      <c r="B848" s="175">
        <v>46059</v>
      </c>
      <c r="C848" s="171" t="s">
        <v>115</v>
      </c>
      <c r="D848" s="171" t="s">
        <v>116</v>
      </c>
      <c r="E848" s="171" t="s">
        <v>38</v>
      </c>
      <c r="F848" s="171" t="s">
        <v>111</v>
      </c>
      <c r="G848" s="171" t="s">
        <v>112</v>
      </c>
      <c r="H848" s="176">
        <v>1</v>
      </c>
      <c r="I848" s="177">
        <v>0</v>
      </c>
      <c r="J848" s="175">
        <v>46056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-8.8000000000000007</v>
      </c>
    </row>
    <row r="849" spans="1:16" ht="19.5" customHeight="1">
      <c r="A849" s="171" t="s">
        <v>1188</v>
      </c>
      <c r="B849" s="175">
        <v>46059</v>
      </c>
      <c r="C849" s="171" t="s">
        <v>110</v>
      </c>
      <c r="D849" s="171" t="s">
        <v>117</v>
      </c>
      <c r="E849" s="171" t="s">
        <v>38</v>
      </c>
      <c r="F849" s="171" t="s">
        <v>111</v>
      </c>
      <c r="G849" s="171" t="s">
        <v>112</v>
      </c>
      <c r="H849" s="176">
        <v>1</v>
      </c>
      <c r="I849" s="177">
        <v>0</v>
      </c>
      <c r="J849" s="175">
        <v>46056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0</v>
      </c>
    </row>
    <row r="850" spans="1:16" ht="19.5" customHeight="1">
      <c r="A850" s="171" t="s">
        <v>1188</v>
      </c>
      <c r="B850" s="175">
        <v>46059</v>
      </c>
      <c r="C850" s="171" t="s">
        <v>110</v>
      </c>
      <c r="D850" s="171" t="s">
        <v>118</v>
      </c>
      <c r="E850" s="171" t="s">
        <v>38</v>
      </c>
      <c r="F850" s="171" t="s">
        <v>111</v>
      </c>
      <c r="G850" s="171" t="s">
        <v>112</v>
      </c>
      <c r="H850" s="176">
        <v>1</v>
      </c>
      <c r="I850" s="177">
        <v>0</v>
      </c>
      <c r="J850" s="175">
        <v>46056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-46.77</v>
      </c>
    </row>
    <row r="851" spans="1:16" ht="19.5" customHeight="1">
      <c r="A851" s="171" t="s">
        <v>1188</v>
      </c>
      <c r="B851" s="175">
        <v>46059</v>
      </c>
      <c r="C851" s="171" t="s">
        <v>115</v>
      </c>
      <c r="D851" s="171" t="s">
        <v>119</v>
      </c>
      <c r="E851" s="171" t="s">
        <v>38</v>
      </c>
      <c r="F851" s="171" t="s">
        <v>111</v>
      </c>
      <c r="G851" s="171" t="s">
        <v>112</v>
      </c>
      <c r="H851" s="176">
        <v>1</v>
      </c>
      <c r="I851" s="177">
        <v>0</v>
      </c>
      <c r="J851" s="175">
        <v>46056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-15</v>
      </c>
    </row>
    <row r="852" spans="1:16" ht="19.5" customHeight="1">
      <c r="A852" s="171" t="s">
        <v>1189</v>
      </c>
      <c r="B852" s="175">
        <v>46059</v>
      </c>
      <c r="C852" s="171" t="s">
        <v>110</v>
      </c>
      <c r="D852" s="171" t="s">
        <v>24</v>
      </c>
      <c r="E852" s="171" t="s">
        <v>38</v>
      </c>
      <c r="F852" s="171" t="s">
        <v>111</v>
      </c>
      <c r="G852" s="171" t="s">
        <v>112</v>
      </c>
      <c r="H852" s="176">
        <v>1</v>
      </c>
      <c r="I852" s="177">
        <v>0</v>
      </c>
      <c r="J852" s="175">
        <v>46039</v>
      </c>
      <c r="K852" s="171" t="s">
        <v>113</v>
      </c>
      <c r="L852" s="171" t="s">
        <v>114</v>
      </c>
      <c r="M852" s="178">
        <v>0</v>
      </c>
      <c r="N852" s="176"/>
      <c r="O852" s="176">
        <v>51</v>
      </c>
      <c r="P852" s="179">
        <v>-46.77</v>
      </c>
    </row>
    <row r="853" spans="1:16" ht="19.5" customHeight="1">
      <c r="A853" s="171" t="s">
        <v>1189</v>
      </c>
      <c r="B853" s="175">
        <v>46059</v>
      </c>
      <c r="C853" s="171" t="s">
        <v>115</v>
      </c>
      <c r="D853" s="171" t="s">
        <v>116</v>
      </c>
      <c r="E853" s="171" t="s">
        <v>38</v>
      </c>
      <c r="F853" s="171" t="s">
        <v>111</v>
      </c>
      <c r="G853" s="171" t="s">
        <v>112</v>
      </c>
      <c r="H853" s="176">
        <v>1</v>
      </c>
      <c r="I853" s="177">
        <v>0</v>
      </c>
      <c r="J853" s="175">
        <v>46039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-9.14</v>
      </c>
    </row>
    <row r="854" spans="1:16" ht="19.5" customHeight="1">
      <c r="A854" s="171" t="s">
        <v>1189</v>
      </c>
      <c r="B854" s="175">
        <v>46059</v>
      </c>
      <c r="C854" s="171" t="s">
        <v>110</v>
      </c>
      <c r="D854" s="171" t="s">
        <v>117</v>
      </c>
      <c r="E854" s="171" t="s">
        <v>38</v>
      </c>
      <c r="F854" s="171" t="s">
        <v>111</v>
      </c>
      <c r="G854" s="171" t="s">
        <v>112</v>
      </c>
      <c r="H854" s="176">
        <v>1</v>
      </c>
      <c r="I854" s="177">
        <v>0</v>
      </c>
      <c r="J854" s="175">
        <v>46039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0</v>
      </c>
    </row>
    <row r="855" spans="1:16" ht="19.5" customHeight="1">
      <c r="A855" s="171" t="s">
        <v>1189</v>
      </c>
      <c r="B855" s="175">
        <v>46059</v>
      </c>
      <c r="C855" s="171" t="s">
        <v>110</v>
      </c>
      <c r="D855" s="171" t="s">
        <v>118</v>
      </c>
      <c r="E855" s="171" t="s">
        <v>38</v>
      </c>
      <c r="F855" s="171" t="s">
        <v>111</v>
      </c>
      <c r="G855" s="171" t="s">
        <v>112</v>
      </c>
      <c r="H855" s="176">
        <v>1</v>
      </c>
      <c r="I855" s="177">
        <v>0</v>
      </c>
      <c r="J855" s="175">
        <v>46039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-46.77</v>
      </c>
    </row>
    <row r="856" spans="1:16" ht="19.5" customHeight="1">
      <c r="A856" s="171" t="s">
        <v>1189</v>
      </c>
      <c r="B856" s="175">
        <v>46059</v>
      </c>
      <c r="C856" s="171" t="s">
        <v>115</v>
      </c>
      <c r="D856" s="171" t="s">
        <v>119</v>
      </c>
      <c r="E856" s="171" t="s">
        <v>38</v>
      </c>
      <c r="F856" s="171" t="s">
        <v>111</v>
      </c>
      <c r="G856" s="171" t="s">
        <v>112</v>
      </c>
      <c r="H856" s="176">
        <v>1</v>
      </c>
      <c r="I856" s="177">
        <v>0</v>
      </c>
      <c r="J856" s="175">
        <v>46039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-15</v>
      </c>
    </row>
    <row r="857" spans="1:16" ht="19.5" customHeight="1">
      <c r="A857" s="171" t="s">
        <v>1190</v>
      </c>
      <c r="B857" s="175">
        <v>46059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46059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-22.6</v>
      </c>
    </row>
    <row r="858" spans="1:16" ht="19.5" customHeight="1">
      <c r="A858" s="171" t="s">
        <v>1191</v>
      </c>
      <c r="B858" s="175">
        <v>46059</v>
      </c>
      <c r="C858" s="171" t="s">
        <v>110</v>
      </c>
      <c r="D858" s="171" t="s">
        <v>24</v>
      </c>
      <c r="E858" s="171" t="s">
        <v>48</v>
      </c>
      <c r="F858" s="171" t="s">
        <v>198</v>
      </c>
      <c r="G858" s="171" t="s">
        <v>112</v>
      </c>
      <c r="H858" s="176">
        <v>1</v>
      </c>
      <c r="I858" s="177">
        <v>0</v>
      </c>
      <c r="J858" s="175">
        <v>46053</v>
      </c>
      <c r="K858" s="171" t="s">
        <v>113</v>
      </c>
      <c r="L858" s="171" t="s">
        <v>114</v>
      </c>
      <c r="M858" s="178">
        <v>0</v>
      </c>
      <c r="N858" s="176"/>
      <c r="O858" s="176">
        <v>48</v>
      </c>
      <c r="P858" s="179">
        <v>-46.77</v>
      </c>
    </row>
    <row r="859" spans="1:16" ht="19.5" customHeight="1">
      <c r="A859" s="171" t="s">
        <v>1191</v>
      </c>
      <c r="B859" s="175">
        <v>46059</v>
      </c>
      <c r="C859" s="171" t="s">
        <v>115</v>
      </c>
      <c r="D859" s="171" t="s">
        <v>116</v>
      </c>
      <c r="E859" s="171" t="s">
        <v>48</v>
      </c>
      <c r="F859" s="171" t="s">
        <v>198</v>
      </c>
      <c r="G859" s="171" t="s">
        <v>112</v>
      </c>
      <c r="H859" s="176">
        <v>1</v>
      </c>
      <c r="I859" s="177">
        <v>0</v>
      </c>
      <c r="J859" s="175">
        <v>46053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-21.11</v>
      </c>
    </row>
    <row r="860" spans="1:16" ht="19.5" customHeight="1">
      <c r="A860" s="171" t="s">
        <v>1191</v>
      </c>
      <c r="B860" s="175">
        <v>46059</v>
      </c>
      <c r="C860" s="171" t="s">
        <v>110</v>
      </c>
      <c r="D860" s="171" t="s">
        <v>117</v>
      </c>
      <c r="E860" s="171" t="s">
        <v>48</v>
      </c>
      <c r="F860" s="171" t="s">
        <v>198</v>
      </c>
      <c r="G860" s="171" t="s">
        <v>112</v>
      </c>
      <c r="H860" s="176">
        <v>1</v>
      </c>
      <c r="I860" s="177">
        <v>0</v>
      </c>
      <c r="J860" s="175">
        <v>46053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1191</v>
      </c>
      <c r="B861" s="175">
        <v>46059</v>
      </c>
      <c r="C861" s="171" t="s">
        <v>110</v>
      </c>
      <c r="D861" s="171" t="s">
        <v>118</v>
      </c>
      <c r="E861" s="171" t="s">
        <v>48</v>
      </c>
      <c r="F861" s="171" t="s">
        <v>198</v>
      </c>
      <c r="G861" s="171" t="s">
        <v>112</v>
      </c>
      <c r="H861" s="176">
        <v>1</v>
      </c>
      <c r="I861" s="177">
        <v>0</v>
      </c>
      <c r="J861" s="175">
        <v>46053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1191</v>
      </c>
      <c r="B862" s="175">
        <v>46059</v>
      </c>
      <c r="C862" s="171" t="s">
        <v>115</v>
      </c>
      <c r="D862" s="171" t="s">
        <v>119</v>
      </c>
      <c r="E862" s="171" t="s">
        <v>48</v>
      </c>
      <c r="F862" s="171" t="s">
        <v>198</v>
      </c>
      <c r="G862" s="171" t="s">
        <v>112</v>
      </c>
      <c r="H862" s="176">
        <v>1</v>
      </c>
      <c r="I862" s="177">
        <v>0</v>
      </c>
      <c r="J862" s="175">
        <v>46053</v>
      </c>
      <c r="K862" s="171" t="s">
        <v>113</v>
      </c>
      <c r="L862" s="171" t="s">
        <v>114</v>
      </c>
      <c r="M862" s="178">
        <v>0</v>
      </c>
      <c r="N862" s="176"/>
      <c r="O862" s="176"/>
      <c r="P862" s="179">
        <v>-15</v>
      </c>
    </row>
    <row r="863" spans="1:16" ht="19.5" customHeight="1">
      <c r="A863" s="171" t="s">
        <v>1192</v>
      </c>
      <c r="B863" s="175">
        <v>46059</v>
      </c>
      <c r="C863" s="171" t="s">
        <v>151</v>
      </c>
      <c r="D863" s="171" t="s">
        <v>152</v>
      </c>
      <c r="E863" s="171" t="s">
        <v>125</v>
      </c>
      <c r="F863" s="171" t="s">
        <v>125</v>
      </c>
      <c r="G863" s="171" t="s">
        <v>125</v>
      </c>
      <c r="H863" s="176">
        <v>0</v>
      </c>
      <c r="I863" s="177">
        <v>0</v>
      </c>
      <c r="J863" s="175">
        <v>46059</v>
      </c>
      <c r="K863" s="171" t="s">
        <v>125</v>
      </c>
      <c r="L863" s="171" t="s">
        <v>125</v>
      </c>
      <c r="M863" s="178">
        <v>0</v>
      </c>
      <c r="N863" s="176"/>
      <c r="O863" s="176"/>
      <c r="P863" s="179">
        <v>-222.93</v>
      </c>
    </row>
    <row r="864" spans="1:16" ht="19.5" customHeight="1">
      <c r="A864" s="171" t="s">
        <v>565</v>
      </c>
      <c r="B864" s="175">
        <v>46059</v>
      </c>
      <c r="C864" s="171" t="s">
        <v>151</v>
      </c>
      <c r="D864" s="171" t="s">
        <v>152</v>
      </c>
      <c r="E864" s="171" t="s">
        <v>125</v>
      </c>
      <c r="F864" s="171" t="s">
        <v>125</v>
      </c>
      <c r="G864" s="171" t="s">
        <v>125</v>
      </c>
      <c r="H864" s="176">
        <v>0</v>
      </c>
      <c r="I864" s="177">
        <v>0</v>
      </c>
      <c r="J864" s="175">
        <v>46059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-136.13</v>
      </c>
    </row>
    <row r="865" spans="1:16" ht="19.5" customHeight="1">
      <c r="A865" s="171" t="s">
        <v>180</v>
      </c>
      <c r="B865" s="175">
        <v>46059</v>
      </c>
      <c r="C865" s="171" t="s">
        <v>151</v>
      </c>
      <c r="D865" s="171" t="s">
        <v>152</v>
      </c>
      <c r="E865" s="171" t="s">
        <v>125</v>
      </c>
      <c r="F865" s="171" t="s">
        <v>125</v>
      </c>
      <c r="G865" s="171" t="s">
        <v>125</v>
      </c>
      <c r="H865" s="176">
        <v>0</v>
      </c>
      <c r="I865" s="177">
        <v>0</v>
      </c>
      <c r="J865" s="175">
        <v>46059</v>
      </c>
      <c r="K865" s="171" t="s">
        <v>125</v>
      </c>
      <c r="L865" s="171" t="s">
        <v>125</v>
      </c>
      <c r="M865" s="178">
        <v>0</v>
      </c>
      <c r="N865" s="176"/>
      <c r="O865" s="176"/>
      <c r="P865" s="179">
        <v>-359.55</v>
      </c>
    </row>
    <row r="866" spans="1:16" ht="19.5" customHeight="1">
      <c r="A866" s="171" t="s">
        <v>150</v>
      </c>
      <c r="B866" s="175">
        <v>46059</v>
      </c>
      <c r="C866" s="171" t="s">
        <v>151</v>
      </c>
      <c r="D866" s="171" t="s">
        <v>152</v>
      </c>
      <c r="E866" s="171" t="s">
        <v>125</v>
      </c>
      <c r="F866" s="171" t="s">
        <v>125</v>
      </c>
      <c r="G866" s="171" t="s">
        <v>125</v>
      </c>
      <c r="H866" s="176">
        <v>0</v>
      </c>
      <c r="I866" s="177">
        <v>0</v>
      </c>
      <c r="J866" s="175">
        <v>46059</v>
      </c>
      <c r="K866" s="171" t="s">
        <v>125</v>
      </c>
      <c r="L866" s="171" t="s">
        <v>125</v>
      </c>
      <c r="M866" s="178">
        <v>0</v>
      </c>
      <c r="N866" s="176"/>
      <c r="O866" s="176"/>
      <c r="P866" s="179">
        <v>-854.16</v>
      </c>
    </row>
    <row r="867" spans="1:16" ht="19.5" customHeight="1">
      <c r="A867" s="171" t="s">
        <v>155</v>
      </c>
      <c r="B867" s="175">
        <v>46059</v>
      </c>
      <c r="C867" s="171" t="s">
        <v>151</v>
      </c>
      <c r="D867" s="171" t="s">
        <v>156</v>
      </c>
      <c r="E867" s="171" t="s">
        <v>125</v>
      </c>
      <c r="F867" s="171" t="s">
        <v>125</v>
      </c>
      <c r="G867" s="171" t="s">
        <v>125</v>
      </c>
      <c r="H867" s="176">
        <v>0</v>
      </c>
      <c r="I867" s="177">
        <v>0</v>
      </c>
      <c r="J867" s="175">
        <v>46059</v>
      </c>
      <c r="K867" s="171" t="s">
        <v>125</v>
      </c>
      <c r="L867" s="171" t="s">
        <v>125</v>
      </c>
      <c r="M867" s="178">
        <v>0</v>
      </c>
      <c r="N867" s="176"/>
      <c r="O867" s="176"/>
      <c r="P867" s="179">
        <v>-2249.9</v>
      </c>
    </row>
    <row r="868" spans="1:16" ht="19.5" customHeight="1">
      <c r="A868" s="171" t="s">
        <v>1193</v>
      </c>
      <c r="B868" s="175">
        <v>46060</v>
      </c>
      <c r="C868" s="171" t="s">
        <v>110</v>
      </c>
      <c r="D868" s="171" t="s">
        <v>24</v>
      </c>
      <c r="E868" s="171" t="s">
        <v>78</v>
      </c>
      <c r="F868" s="171" t="s">
        <v>176</v>
      </c>
      <c r="G868" s="171" t="s">
        <v>177</v>
      </c>
      <c r="H868" s="176">
        <v>1</v>
      </c>
      <c r="I868" s="177">
        <v>0</v>
      </c>
      <c r="J868" s="175">
        <v>46046</v>
      </c>
      <c r="K868" s="171" t="s">
        <v>113</v>
      </c>
      <c r="L868" s="171" t="s">
        <v>114</v>
      </c>
      <c r="M868" s="178">
        <v>0</v>
      </c>
      <c r="N868" s="176"/>
      <c r="O868" s="176">
        <v>50</v>
      </c>
      <c r="P868" s="179">
        <v>-56.94</v>
      </c>
    </row>
    <row r="869" spans="1:16" ht="19.5" customHeight="1">
      <c r="A869" s="171" t="s">
        <v>1193</v>
      </c>
      <c r="B869" s="175">
        <v>46060</v>
      </c>
      <c r="C869" s="171" t="s">
        <v>115</v>
      </c>
      <c r="D869" s="171" t="s">
        <v>116</v>
      </c>
      <c r="E869" s="171" t="s">
        <v>78</v>
      </c>
      <c r="F869" s="171" t="s">
        <v>176</v>
      </c>
      <c r="G869" s="171" t="s">
        <v>177</v>
      </c>
      <c r="H869" s="176">
        <v>1</v>
      </c>
      <c r="I869" s="177">
        <v>0</v>
      </c>
      <c r="J869" s="175">
        <v>46046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-14.22</v>
      </c>
    </row>
    <row r="870" spans="1:16" ht="19.5" customHeight="1">
      <c r="A870" s="171" t="s">
        <v>1193</v>
      </c>
      <c r="B870" s="175">
        <v>46060</v>
      </c>
      <c r="C870" s="171" t="s">
        <v>110</v>
      </c>
      <c r="D870" s="171" t="s">
        <v>117</v>
      </c>
      <c r="E870" s="171" t="s">
        <v>78</v>
      </c>
      <c r="F870" s="171" t="s">
        <v>176</v>
      </c>
      <c r="G870" s="171" t="s">
        <v>177</v>
      </c>
      <c r="H870" s="176">
        <v>1</v>
      </c>
      <c r="I870" s="177">
        <v>0</v>
      </c>
      <c r="J870" s="175">
        <v>46046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0</v>
      </c>
    </row>
    <row r="871" spans="1:16" ht="19.5" customHeight="1">
      <c r="A871" s="171" t="s">
        <v>1193</v>
      </c>
      <c r="B871" s="175">
        <v>46060</v>
      </c>
      <c r="C871" s="171" t="s">
        <v>110</v>
      </c>
      <c r="D871" s="171" t="s">
        <v>118</v>
      </c>
      <c r="E871" s="171" t="s">
        <v>78</v>
      </c>
      <c r="F871" s="171" t="s">
        <v>176</v>
      </c>
      <c r="G871" s="171" t="s">
        <v>177</v>
      </c>
      <c r="H871" s="176">
        <v>1</v>
      </c>
      <c r="I871" s="177">
        <v>0</v>
      </c>
      <c r="J871" s="175">
        <v>46046</v>
      </c>
      <c r="K871" s="171" t="s">
        <v>113</v>
      </c>
      <c r="L871" s="171" t="s">
        <v>114</v>
      </c>
      <c r="M871" s="178">
        <v>0</v>
      </c>
      <c r="N871" s="176"/>
      <c r="O871" s="176"/>
      <c r="P871" s="179">
        <v>-56.94</v>
      </c>
    </row>
    <row r="872" spans="1:16" ht="19.5" customHeight="1">
      <c r="A872" s="171" t="s">
        <v>1193</v>
      </c>
      <c r="B872" s="175">
        <v>46060</v>
      </c>
      <c r="C872" s="171" t="s">
        <v>115</v>
      </c>
      <c r="D872" s="171" t="s">
        <v>119</v>
      </c>
      <c r="E872" s="171" t="s">
        <v>78</v>
      </c>
      <c r="F872" s="171" t="s">
        <v>176</v>
      </c>
      <c r="G872" s="171" t="s">
        <v>177</v>
      </c>
      <c r="H872" s="176">
        <v>1</v>
      </c>
      <c r="I872" s="177">
        <v>0</v>
      </c>
      <c r="J872" s="175">
        <v>46046</v>
      </c>
      <c r="K872" s="171" t="s">
        <v>113</v>
      </c>
      <c r="L872" s="171" t="s">
        <v>114</v>
      </c>
      <c r="M872" s="178">
        <v>0</v>
      </c>
      <c r="N872" s="176"/>
      <c r="O872" s="176"/>
      <c r="P872" s="179">
        <v>-15</v>
      </c>
    </row>
    <row r="873" spans="1:16" ht="19.5" customHeight="1">
      <c r="A873" s="171" t="s">
        <v>1194</v>
      </c>
      <c r="B873" s="175">
        <v>46060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0</v>
      </c>
      <c r="J873" s="175">
        <v>46048</v>
      </c>
      <c r="K873" s="171" t="s">
        <v>113</v>
      </c>
      <c r="L873" s="171" t="s">
        <v>114</v>
      </c>
      <c r="M873" s="178">
        <v>0</v>
      </c>
      <c r="N873" s="176"/>
      <c r="O873" s="176">
        <v>51</v>
      </c>
      <c r="P873" s="179">
        <v>-46.77</v>
      </c>
    </row>
    <row r="874" spans="1:16" ht="19.5" customHeight="1">
      <c r="A874" s="171" t="s">
        <v>1194</v>
      </c>
      <c r="B874" s="175">
        <v>46060</v>
      </c>
      <c r="C874" s="171" t="s">
        <v>115</v>
      </c>
      <c r="D874" s="171" t="s">
        <v>116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0</v>
      </c>
      <c r="J874" s="175">
        <v>46048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-8.99</v>
      </c>
    </row>
    <row r="875" spans="1:16" ht="19.5" customHeight="1">
      <c r="A875" s="171" t="s">
        <v>1194</v>
      </c>
      <c r="B875" s="175">
        <v>46060</v>
      </c>
      <c r="C875" s="171" t="s">
        <v>110</v>
      </c>
      <c r="D875" s="171" t="s">
        <v>117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0</v>
      </c>
      <c r="J875" s="175">
        <v>46048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0</v>
      </c>
    </row>
    <row r="876" spans="1:16" ht="19.5" customHeight="1">
      <c r="A876" s="171" t="s">
        <v>1194</v>
      </c>
      <c r="B876" s="175">
        <v>46060</v>
      </c>
      <c r="C876" s="171" t="s">
        <v>110</v>
      </c>
      <c r="D876" s="171" t="s">
        <v>118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0</v>
      </c>
      <c r="J876" s="175">
        <v>46048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-46.77</v>
      </c>
    </row>
    <row r="877" spans="1:16" ht="19.5" customHeight="1">
      <c r="A877" s="171" t="s">
        <v>1194</v>
      </c>
      <c r="B877" s="175">
        <v>46060</v>
      </c>
      <c r="C877" s="171" t="s">
        <v>115</v>
      </c>
      <c r="D877" s="171" t="s">
        <v>119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0</v>
      </c>
      <c r="J877" s="175">
        <v>46048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-15</v>
      </c>
    </row>
    <row r="878" spans="1:16" ht="19.5" customHeight="1">
      <c r="A878" s="171" t="s">
        <v>1195</v>
      </c>
      <c r="B878" s="175">
        <v>46060</v>
      </c>
      <c r="C878" s="171" t="s">
        <v>110</v>
      </c>
      <c r="D878" s="171" t="s">
        <v>24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0</v>
      </c>
      <c r="J878" s="175">
        <v>46053</v>
      </c>
      <c r="K878" s="171" t="s">
        <v>113</v>
      </c>
      <c r="L878" s="171" t="s">
        <v>114</v>
      </c>
      <c r="M878" s="178">
        <v>0</v>
      </c>
      <c r="N878" s="176"/>
      <c r="O878" s="176">
        <v>48</v>
      </c>
      <c r="P878" s="179">
        <v>-46.77</v>
      </c>
    </row>
    <row r="879" spans="1:16" ht="19.5" customHeight="1">
      <c r="A879" s="171" t="s">
        <v>1195</v>
      </c>
      <c r="B879" s="175">
        <v>46060</v>
      </c>
      <c r="C879" s="171" t="s">
        <v>115</v>
      </c>
      <c r="D879" s="171" t="s">
        <v>116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0</v>
      </c>
      <c r="J879" s="175">
        <v>46053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-10.050000000000001</v>
      </c>
    </row>
    <row r="880" spans="1:16" ht="19.5" customHeight="1">
      <c r="A880" s="171" t="s">
        <v>1195</v>
      </c>
      <c r="B880" s="175">
        <v>46060</v>
      </c>
      <c r="C880" s="171" t="s">
        <v>110</v>
      </c>
      <c r="D880" s="171" t="s">
        <v>117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0</v>
      </c>
      <c r="J880" s="175">
        <v>46053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1195</v>
      </c>
      <c r="B881" s="175">
        <v>46060</v>
      </c>
      <c r="C881" s="171" t="s">
        <v>110</v>
      </c>
      <c r="D881" s="171" t="s">
        <v>118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0</v>
      </c>
      <c r="J881" s="175">
        <v>46053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-46.77</v>
      </c>
    </row>
    <row r="882" spans="1:16" ht="19.5" customHeight="1">
      <c r="A882" s="171" t="s">
        <v>1195</v>
      </c>
      <c r="B882" s="175">
        <v>46060</v>
      </c>
      <c r="C882" s="171" t="s">
        <v>115</v>
      </c>
      <c r="D882" s="171" t="s">
        <v>119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0</v>
      </c>
      <c r="J882" s="175">
        <v>46053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1196</v>
      </c>
      <c r="B883" s="175">
        <v>46060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46060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-21.61</v>
      </c>
    </row>
    <row r="884" spans="1:16" ht="19.5" customHeight="1">
      <c r="A884" s="171" t="s">
        <v>1197</v>
      </c>
      <c r="B884" s="175">
        <v>46060</v>
      </c>
      <c r="C884" s="171" t="s">
        <v>115</v>
      </c>
      <c r="D884" s="171" t="s">
        <v>135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0</v>
      </c>
      <c r="J884" s="175">
        <v>46060</v>
      </c>
      <c r="K884" s="171" t="s">
        <v>125</v>
      </c>
      <c r="L884" s="171" t="s">
        <v>125</v>
      </c>
      <c r="M884" s="178">
        <v>0</v>
      </c>
      <c r="N884" s="176"/>
      <c r="O884" s="176"/>
      <c r="P884" s="179">
        <v>-11.44</v>
      </c>
    </row>
    <row r="885" spans="1:16" ht="19.5" customHeight="1">
      <c r="A885" s="171" t="s">
        <v>1198</v>
      </c>
      <c r="B885" s="175">
        <v>46060</v>
      </c>
      <c r="C885" s="171" t="s">
        <v>507</v>
      </c>
      <c r="D885" s="171" t="s">
        <v>508</v>
      </c>
      <c r="E885" s="171" t="s">
        <v>77</v>
      </c>
      <c r="F885" s="171" t="s">
        <v>194</v>
      </c>
      <c r="G885" s="171" t="s">
        <v>177</v>
      </c>
      <c r="H885" s="176">
        <v>1</v>
      </c>
      <c r="I885" s="177">
        <v>0</v>
      </c>
      <c r="J885" s="175">
        <v>46047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-5</v>
      </c>
    </row>
    <row r="886" spans="1:16" ht="19.5" customHeight="1">
      <c r="A886" s="171" t="s">
        <v>1198</v>
      </c>
      <c r="B886" s="175">
        <v>46060</v>
      </c>
      <c r="C886" s="171" t="s">
        <v>115</v>
      </c>
      <c r="D886" s="171" t="s">
        <v>510</v>
      </c>
      <c r="E886" s="171" t="s">
        <v>77</v>
      </c>
      <c r="F886" s="171" t="s">
        <v>194</v>
      </c>
      <c r="G886" s="171" t="s">
        <v>177</v>
      </c>
      <c r="H886" s="176">
        <v>1</v>
      </c>
      <c r="I886" s="177">
        <v>0</v>
      </c>
      <c r="J886" s="175">
        <v>46047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-10</v>
      </c>
    </row>
    <row r="887" spans="1:16" ht="19.5" customHeight="1">
      <c r="A887" s="171" t="s">
        <v>1199</v>
      </c>
      <c r="B887" s="175">
        <v>46060</v>
      </c>
      <c r="C887" s="171" t="s">
        <v>110</v>
      </c>
      <c r="D887" s="171" t="s">
        <v>24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2000</v>
      </c>
      <c r="J887" s="175">
        <v>46058</v>
      </c>
      <c r="K887" s="171" t="s">
        <v>113</v>
      </c>
      <c r="L887" s="171" t="s">
        <v>114</v>
      </c>
      <c r="M887" s="178">
        <v>0.43</v>
      </c>
      <c r="N887" s="176"/>
      <c r="O887" s="176">
        <v>42</v>
      </c>
      <c r="P887" s="179">
        <v>-130.43</v>
      </c>
    </row>
    <row r="888" spans="1:16" ht="19.5" customHeight="1">
      <c r="A888" s="171" t="s">
        <v>1199</v>
      </c>
      <c r="B888" s="175">
        <v>46060</v>
      </c>
      <c r="C888" s="171" t="s">
        <v>127</v>
      </c>
      <c r="D888" s="171" t="s">
        <v>128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2000</v>
      </c>
      <c r="J888" s="175">
        <v>46058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900.57</v>
      </c>
    </row>
    <row r="889" spans="1:16" ht="19.5" customHeight="1">
      <c r="A889" s="171" t="s">
        <v>1199</v>
      </c>
      <c r="B889" s="175">
        <v>46060</v>
      </c>
      <c r="C889" s="171" t="s">
        <v>127</v>
      </c>
      <c r="D889" s="171" t="s">
        <v>129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2000</v>
      </c>
      <c r="J889" s="175">
        <v>46058</v>
      </c>
      <c r="K889" s="171" t="s">
        <v>113</v>
      </c>
      <c r="L889" s="171" t="s">
        <v>114</v>
      </c>
      <c r="M889" s="178">
        <v>0</v>
      </c>
      <c r="N889" s="176"/>
      <c r="O889" s="176"/>
      <c r="P889" s="179">
        <v>0</v>
      </c>
    </row>
    <row r="890" spans="1:16" ht="19.5" customHeight="1">
      <c r="A890" s="171" t="s">
        <v>1199</v>
      </c>
      <c r="B890" s="175">
        <v>46060</v>
      </c>
      <c r="C890" s="171" t="s">
        <v>127</v>
      </c>
      <c r="D890" s="171" t="s">
        <v>130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2000</v>
      </c>
      <c r="J890" s="175">
        <v>46058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1099.43</v>
      </c>
    </row>
    <row r="891" spans="1:16" ht="19.5" customHeight="1">
      <c r="A891" s="171" t="s">
        <v>1199</v>
      </c>
      <c r="B891" s="175">
        <v>46060</v>
      </c>
      <c r="C891" s="171" t="s">
        <v>131</v>
      </c>
      <c r="D891" s="171" t="s">
        <v>132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2000</v>
      </c>
      <c r="J891" s="175">
        <v>46058</v>
      </c>
      <c r="K891" s="171" t="s">
        <v>113</v>
      </c>
      <c r="L891" s="171" t="s">
        <v>114</v>
      </c>
      <c r="M891" s="178">
        <v>0.43</v>
      </c>
      <c r="N891" s="176"/>
      <c r="O891" s="176"/>
      <c r="P891" s="179">
        <v>-860</v>
      </c>
    </row>
    <row r="892" spans="1:16" ht="19.5" customHeight="1">
      <c r="A892" s="171" t="s">
        <v>1199</v>
      </c>
      <c r="B892" s="175">
        <v>46060</v>
      </c>
      <c r="C892" s="171" t="s">
        <v>115</v>
      </c>
      <c r="D892" s="171" t="s">
        <v>116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2000</v>
      </c>
      <c r="J892" s="175">
        <v>46058</v>
      </c>
      <c r="K892" s="171" t="s">
        <v>113</v>
      </c>
      <c r="L892" s="171" t="s">
        <v>114</v>
      </c>
      <c r="M892" s="178">
        <v>0.43</v>
      </c>
      <c r="N892" s="176"/>
      <c r="O892" s="176"/>
      <c r="P892" s="179">
        <v>-11.98</v>
      </c>
    </row>
    <row r="893" spans="1:16" ht="19.5" customHeight="1">
      <c r="A893" s="171" t="s">
        <v>1199</v>
      </c>
      <c r="B893" s="175">
        <v>46060</v>
      </c>
      <c r="C893" s="171" t="s">
        <v>115</v>
      </c>
      <c r="D893" s="171" t="s">
        <v>135</v>
      </c>
      <c r="E893" s="171" t="s">
        <v>38</v>
      </c>
      <c r="F893" s="171" t="s">
        <v>111</v>
      </c>
      <c r="G893" s="171" t="s">
        <v>112</v>
      </c>
      <c r="H893" s="176">
        <v>1</v>
      </c>
      <c r="I893" s="177">
        <v>0</v>
      </c>
      <c r="J893" s="175">
        <v>46058</v>
      </c>
      <c r="K893" s="171" t="s">
        <v>125</v>
      </c>
      <c r="L893" s="171" t="s">
        <v>125</v>
      </c>
      <c r="M893" s="178">
        <v>0</v>
      </c>
      <c r="N893" s="176"/>
      <c r="O893" s="176"/>
      <c r="P893" s="179">
        <v>-8.4700000000000006</v>
      </c>
    </row>
    <row r="894" spans="1:16" ht="19.5" customHeight="1">
      <c r="A894" s="171" t="s">
        <v>1200</v>
      </c>
      <c r="B894" s="175">
        <v>46060</v>
      </c>
      <c r="C894" s="171" t="s">
        <v>110</v>
      </c>
      <c r="D894" s="171" t="s">
        <v>24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0</v>
      </c>
      <c r="J894" s="175">
        <v>46048</v>
      </c>
      <c r="K894" s="171" t="s">
        <v>113</v>
      </c>
      <c r="L894" s="171" t="s">
        <v>114</v>
      </c>
      <c r="M894" s="178">
        <v>0</v>
      </c>
      <c r="N894" s="176"/>
      <c r="O894" s="176">
        <v>51</v>
      </c>
      <c r="P894" s="179">
        <v>-56.94</v>
      </c>
    </row>
    <row r="895" spans="1:16" ht="19.5" customHeight="1">
      <c r="A895" s="171" t="s">
        <v>1200</v>
      </c>
      <c r="B895" s="175">
        <v>46060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0</v>
      </c>
      <c r="J895" s="175">
        <v>46048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-13.49</v>
      </c>
    </row>
    <row r="896" spans="1:16" ht="19.5" customHeight="1">
      <c r="A896" s="171" t="s">
        <v>1200</v>
      </c>
      <c r="B896" s="175">
        <v>46060</v>
      </c>
      <c r="C896" s="171" t="s">
        <v>110</v>
      </c>
      <c r="D896" s="171" t="s">
        <v>117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0</v>
      </c>
      <c r="J896" s="175">
        <v>46048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0</v>
      </c>
    </row>
    <row r="897" spans="1:16" ht="19.5" customHeight="1">
      <c r="A897" s="171" t="s">
        <v>1200</v>
      </c>
      <c r="B897" s="175">
        <v>46060</v>
      </c>
      <c r="C897" s="171" t="s">
        <v>110</v>
      </c>
      <c r="D897" s="171" t="s">
        <v>118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0</v>
      </c>
      <c r="J897" s="175">
        <v>46048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-56.94</v>
      </c>
    </row>
    <row r="898" spans="1:16" ht="19.5" customHeight="1">
      <c r="A898" s="171" t="s">
        <v>1200</v>
      </c>
      <c r="B898" s="175">
        <v>46060</v>
      </c>
      <c r="C898" s="171" t="s">
        <v>115</v>
      </c>
      <c r="D898" s="171" t="s">
        <v>119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0</v>
      </c>
      <c r="J898" s="175">
        <v>46048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-15</v>
      </c>
    </row>
    <row r="899" spans="1:16" ht="19.5" customHeight="1">
      <c r="A899" s="171" t="s">
        <v>1201</v>
      </c>
      <c r="B899" s="175">
        <v>46060</v>
      </c>
      <c r="C899" s="171" t="s">
        <v>110</v>
      </c>
      <c r="D899" s="171" t="s">
        <v>117</v>
      </c>
      <c r="E899" s="171" t="s">
        <v>79</v>
      </c>
      <c r="F899" s="171" t="s">
        <v>441</v>
      </c>
      <c r="G899" s="171" t="s">
        <v>177</v>
      </c>
      <c r="H899" s="176">
        <v>1</v>
      </c>
      <c r="I899" s="177">
        <v>0</v>
      </c>
      <c r="J899" s="175">
        <v>46054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0</v>
      </c>
    </row>
    <row r="900" spans="1:16" ht="19.5" customHeight="1">
      <c r="A900" s="171" t="s">
        <v>1201</v>
      </c>
      <c r="B900" s="175">
        <v>46060</v>
      </c>
      <c r="C900" s="171" t="s">
        <v>110</v>
      </c>
      <c r="D900" s="171" t="s">
        <v>118</v>
      </c>
      <c r="E900" s="171" t="s">
        <v>79</v>
      </c>
      <c r="F900" s="171" t="s">
        <v>441</v>
      </c>
      <c r="G900" s="171" t="s">
        <v>177</v>
      </c>
      <c r="H900" s="176">
        <v>1</v>
      </c>
      <c r="I900" s="177">
        <v>0</v>
      </c>
      <c r="J900" s="175">
        <v>46054</v>
      </c>
      <c r="K900" s="171" t="s">
        <v>113</v>
      </c>
      <c r="L900" s="171" t="s">
        <v>114</v>
      </c>
      <c r="M900" s="178">
        <v>0</v>
      </c>
      <c r="N900" s="176"/>
      <c r="O900" s="176"/>
      <c r="P900" s="179">
        <v>-56.94</v>
      </c>
    </row>
    <row r="901" spans="1:16" ht="19.5" customHeight="1">
      <c r="A901" s="171" t="s">
        <v>1201</v>
      </c>
      <c r="B901" s="175">
        <v>46060</v>
      </c>
      <c r="C901" s="171" t="s">
        <v>115</v>
      </c>
      <c r="D901" s="171" t="s">
        <v>119</v>
      </c>
      <c r="E901" s="171" t="s">
        <v>79</v>
      </c>
      <c r="F901" s="171" t="s">
        <v>441</v>
      </c>
      <c r="G901" s="171" t="s">
        <v>177</v>
      </c>
      <c r="H901" s="176">
        <v>1</v>
      </c>
      <c r="I901" s="177">
        <v>0</v>
      </c>
      <c r="J901" s="175">
        <v>46054</v>
      </c>
      <c r="K901" s="171" t="s">
        <v>113</v>
      </c>
      <c r="L901" s="171" t="s">
        <v>114</v>
      </c>
      <c r="M901" s="178">
        <v>0</v>
      </c>
      <c r="N901" s="176"/>
      <c r="O901" s="176"/>
      <c r="P901" s="179">
        <v>-15</v>
      </c>
    </row>
    <row r="902" spans="1:16" ht="19.5" customHeight="1">
      <c r="A902" s="171" t="s">
        <v>1201</v>
      </c>
      <c r="B902" s="175">
        <v>46060</v>
      </c>
      <c r="C902" s="171" t="s">
        <v>110</v>
      </c>
      <c r="D902" s="171" t="s">
        <v>24</v>
      </c>
      <c r="E902" s="171" t="s">
        <v>79</v>
      </c>
      <c r="F902" s="171" t="s">
        <v>441</v>
      </c>
      <c r="G902" s="171" t="s">
        <v>177</v>
      </c>
      <c r="H902" s="176">
        <v>1</v>
      </c>
      <c r="I902" s="177">
        <v>0</v>
      </c>
      <c r="J902" s="175">
        <v>46054</v>
      </c>
      <c r="K902" s="171" t="s">
        <v>113</v>
      </c>
      <c r="L902" s="171" t="s">
        <v>114</v>
      </c>
      <c r="M902" s="178">
        <v>0</v>
      </c>
      <c r="N902" s="176"/>
      <c r="O902" s="176">
        <v>42</v>
      </c>
      <c r="P902" s="179">
        <v>-56.94</v>
      </c>
    </row>
    <row r="903" spans="1:16" ht="19.5" customHeight="1">
      <c r="A903" s="171" t="s">
        <v>1201</v>
      </c>
      <c r="B903" s="175">
        <v>46060</v>
      </c>
      <c r="C903" s="171" t="s">
        <v>115</v>
      </c>
      <c r="D903" s="171" t="s">
        <v>116</v>
      </c>
      <c r="E903" s="171" t="s">
        <v>79</v>
      </c>
      <c r="F903" s="171" t="s">
        <v>441</v>
      </c>
      <c r="G903" s="171" t="s">
        <v>177</v>
      </c>
      <c r="H903" s="176">
        <v>1</v>
      </c>
      <c r="I903" s="177">
        <v>0</v>
      </c>
      <c r="J903" s="175">
        <v>46054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-14.68</v>
      </c>
    </row>
    <row r="904" spans="1:16" ht="19.5" customHeight="1">
      <c r="A904" s="171" t="s">
        <v>1202</v>
      </c>
      <c r="B904" s="175">
        <v>46060</v>
      </c>
      <c r="C904" s="171" t="s">
        <v>110</v>
      </c>
      <c r="D904" s="171" t="s">
        <v>24</v>
      </c>
      <c r="E904" s="171" t="s">
        <v>77</v>
      </c>
      <c r="F904" s="171" t="s">
        <v>194</v>
      </c>
      <c r="G904" s="171" t="s">
        <v>177</v>
      </c>
      <c r="H904" s="176">
        <v>1</v>
      </c>
      <c r="I904" s="177">
        <v>0</v>
      </c>
      <c r="J904" s="175">
        <v>46051</v>
      </c>
      <c r="K904" s="171" t="s">
        <v>113</v>
      </c>
      <c r="L904" s="171" t="s">
        <v>114</v>
      </c>
      <c r="M904" s="178">
        <v>0</v>
      </c>
      <c r="N904" s="176"/>
      <c r="O904" s="176">
        <v>48</v>
      </c>
      <c r="P904" s="179">
        <v>-56.94</v>
      </c>
    </row>
    <row r="905" spans="1:16" ht="19.5" customHeight="1">
      <c r="A905" s="171" t="s">
        <v>1202</v>
      </c>
      <c r="B905" s="175">
        <v>46060</v>
      </c>
      <c r="C905" s="171" t="s">
        <v>115</v>
      </c>
      <c r="D905" s="171" t="s">
        <v>116</v>
      </c>
      <c r="E905" s="171" t="s">
        <v>77</v>
      </c>
      <c r="F905" s="171" t="s">
        <v>194</v>
      </c>
      <c r="G905" s="171" t="s">
        <v>177</v>
      </c>
      <c r="H905" s="176">
        <v>1</v>
      </c>
      <c r="I905" s="177">
        <v>0</v>
      </c>
      <c r="J905" s="175">
        <v>46051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-12.43</v>
      </c>
    </row>
    <row r="906" spans="1:16" ht="19.5" customHeight="1">
      <c r="A906" s="171" t="s">
        <v>1203</v>
      </c>
      <c r="B906" s="175">
        <v>46060</v>
      </c>
      <c r="C906" s="171" t="s">
        <v>115</v>
      </c>
      <c r="D906" s="171" t="s">
        <v>135</v>
      </c>
      <c r="E906" s="171" t="s">
        <v>77</v>
      </c>
      <c r="F906" s="171" t="s">
        <v>194</v>
      </c>
      <c r="G906" s="171" t="s">
        <v>177</v>
      </c>
      <c r="H906" s="176">
        <v>1</v>
      </c>
      <c r="I906" s="177">
        <v>0</v>
      </c>
      <c r="J906" s="175">
        <v>46060</v>
      </c>
      <c r="K906" s="171" t="s">
        <v>125</v>
      </c>
      <c r="L906" s="171" t="s">
        <v>125</v>
      </c>
      <c r="M906" s="178">
        <v>0</v>
      </c>
      <c r="N906" s="176"/>
      <c r="O906" s="176"/>
      <c r="P906" s="179">
        <v>-37.869999999999997</v>
      </c>
    </row>
    <row r="907" spans="1:16" ht="19.5" customHeight="1">
      <c r="A907" s="171" t="s">
        <v>1203</v>
      </c>
      <c r="B907" s="175">
        <v>46060</v>
      </c>
      <c r="C907" s="171" t="s">
        <v>115</v>
      </c>
      <c r="D907" s="171" t="s">
        <v>135</v>
      </c>
      <c r="E907" s="171" t="s">
        <v>77</v>
      </c>
      <c r="F907" s="171" t="s">
        <v>194</v>
      </c>
      <c r="G907" s="171" t="s">
        <v>177</v>
      </c>
      <c r="H907" s="176">
        <v>1</v>
      </c>
      <c r="I907" s="177">
        <v>0</v>
      </c>
      <c r="J907" s="175">
        <v>46060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37.869999999999997</v>
      </c>
    </row>
    <row r="908" spans="1:16" ht="19.5" customHeight="1">
      <c r="A908" s="171" t="s">
        <v>1202</v>
      </c>
      <c r="B908" s="175">
        <v>46060</v>
      </c>
      <c r="C908" s="171" t="s">
        <v>110</v>
      </c>
      <c r="D908" s="171" t="s">
        <v>117</v>
      </c>
      <c r="E908" s="171" t="s">
        <v>77</v>
      </c>
      <c r="F908" s="171" t="s">
        <v>194</v>
      </c>
      <c r="G908" s="171" t="s">
        <v>177</v>
      </c>
      <c r="H908" s="176">
        <v>1</v>
      </c>
      <c r="I908" s="177">
        <v>0</v>
      </c>
      <c r="J908" s="175">
        <v>46051</v>
      </c>
      <c r="K908" s="171" t="s">
        <v>113</v>
      </c>
      <c r="L908" s="171" t="s">
        <v>114</v>
      </c>
      <c r="M908" s="178">
        <v>0</v>
      </c>
      <c r="N908" s="176"/>
      <c r="O908" s="176"/>
      <c r="P908" s="179">
        <v>0</v>
      </c>
    </row>
    <row r="909" spans="1:16" ht="19.5" customHeight="1">
      <c r="A909" s="171" t="s">
        <v>1202</v>
      </c>
      <c r="B909" s="175">
        <v>46060</v>
      </c>
      <c r="C909" s="171" t="s">
        <v>110</v>
      </c>
      <c r="D909" s="171" t="s">
        <v>118</v>
      </c>
      <c r="E909" s="171" t="s">
        <v>77</v>
      </c>
      <c r="F909" s="171" t="s">
        <v>194</v>
      </c>
      <c r="G909" s="171" t="s">
        <v>177</v>
      </c>
      <c r="H909" s="176">
        <v>1</v>
      </c>
      <c r="I909" s="177">
        <v>0</v>
      </c>
      <c r="J909" s="175">
        <v>46051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-56.94</v>
      </c>
    </row>
    <row r="910" spans="1:16" ht="19.5" customHeight="1">
      <c r="A910" s="171" t="s">
        <v>1202</v>
      </c>
      <c r="B910" s="175">
        <v>46060</v>
      </c>
      <c r="C910" s="171" t="s">
        <v>115</v>
      </c>
      <c r="D910" s="171" t="s">
        <v>119</v>
      </c>
      <c r="E910" s="171" t="s">
        <v>77</v>
      </c>
      <c r="F910" s="171" t="s">
        <v>194</v>
      </c>
      <c r="G910" s="171" t="s">
        <v>177</v>
      </c>
      <c r="H910" s="176">
        <v>1</v>
      </c>
      <c r="I910" s="177">
        <v>0</v>
      </c>
      <c r="J910" s="175">
        <v>46051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-15</v>
      </c>
    </row>
    <row r="911" spans="1:16" ht="19.5" customHeight="1">
      <c r="A911" s="171" t="s">
        <v>1204</v>
      </c>
      <c r="B911" s="175">
        <v>46060</v>
      </c>
      <c r="C911" s="171" t="s">
        <v>110</v>
      </c>
      <c r="D911" s="171" t="s">
        <v>24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0</v>
      </c>
      <c r="J911" s="175">
        <v>46051</v>
      </c>
      <c r="K911" s="171" t="s">
        <v>113</v>
      </c>
      <c r="L911" s="171" t="s">
        <v>114</v>
      </c>
      <c r="M911" s="178">
        <v>0</v>
      </c>
      <c r="N911" s="176"/>
      <c r="O911" s="176">
        <v>48</v>
      </c>
      <c r="P911" s="179">
        <v>-46.77</v>
      </c>
    </row>
    <row r="912" spans="1:16" ht="19.5" customHeight="1">
      <c r="A912" s="171" t="s">
        <v>1204</v>
      </c>
      <c r="B912" s="175">
        <v>46060</v>
      </c>
      <c r="C912" s="171" t="s">
        <v>115</v>
      </c>
      <c r="D912" s="171" t="s">
        <v>116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0</v>
      </c>
      <c r="J912" s="175">
        <v>46051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-13.05</v>
      </c>
    </row>
    <row r="913" spans="1:16" ht="19.5" customHeight="1">
      <c r="A913" s="171" t="s">
        <v>1204</v>
      </c>
      <c r="B913" s="175">
        <v>46060</v>
      </c>
      <c r="C913" s="171" t="s">
        <v>110</v>
      </c>
      <c r="D913" s="171" t="s">
        <v>117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0</v>
      </c>
      <c r="J913" s="175">
        <v>46051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0</v>
      </c>
    </row>
    <row r="914" spans="1:16" ht="19.5" customHeight="1">
      <c r="A914" s="171" t="s">
        <v>1204</v>
      </c>
      <c r="B914" s="175">
        <v>46060</v>
      </c>
      <c r="C914" s="171" t="s">
        <v>110</v>
      </c>
      <c r="D914" s="171" t="s">
        <v>118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0</v>
      </c>
      <c r="J914" s="175">
        <v>46051</v>
      </c>
      <c r="K914" s="171" t="s">
        <v>113</v>
      </c>
      <c r="L914" s="171" t="s">
        <v>114</v>
      </c>
      <c r="M914" s="178">
        <v>0</v>
      </c>
      <c r="N914" s="176"/>
      <c r="O914" s="176"/>
      <c r="P914" s="179">
        <v>-46.77</v>
      </c>
    </row>
    <row r="915" spans="1:16" ht="19.5" customHeight="1">
      <c r="A915" s="171" t="s">
        <v>1204</v>
      </c>
      <c r="B915" s="175">
        <v>46060</v>
      </c>
      <c r="C915" s="171" t="s">
        <v>115</v>
      </c>
      <c r="D915" s="171" t="s">
        <v>119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0</v>
      </c>
      <c r="J915" s="175">
        <v>46051</v>
      </c>
      <c r="K915" s="171" t="s">
        <v>113</v>
      </c>
      <c r="L915" s="171" t="s">
        <v>114</v>
      </c>
      <c r="M915" s="178">
        <v>0</v>
      </c>
      <c r="N915" s="176"/>
      <c r="O915" s="176"/>
      <c r="P915" s="179">
        <v>-15</v>
      </c>
    </row>
    <row r="916" spans="1:16" ht="19.5" customHeight="1">
      <c r="A916" s="171" t="s">
        <v>1205</v>
      </c>
      <c r="B916" s="175">
        <v>46060</v>
      </c>
      <c r="C916" s="171" t="s">
        <v>110</v>
      </c>
      <c r="D916" s="171" t="s">
        <v>24</v>
      </c>
      <c r="E916" s="171" t="s">
        <v>38</v>
      </c>
      <c r="F916" s="171" t="s">
        <v>111</v>
      </c>
      <c r="G916" s="171" t="s">
        <v>112</v>
      </c>
      <c r="H916" s="176">
        <v>1</v>
      </c>
      <c r="I916" s="177">
        <v>0</v>
      </c>
      <c r="J916" s="175">
        <v>46051</v>
      </c>
      <c r="K916" s="171" t="s">
        <v>113</v>
      </c>
      <c r="L916" s="171" t="s">
        <v>114</v>
      </c>
      <c r="M916" s="178">
        <v>0</v>
      </c>
      <c r="N916" s="176"/>
      <c r="O916" s="176">
        <v>48</v>
      </c>
      <c r="P916" s="179">
        <v>-46.77</v>
      </c>
    </row>
    <row r="917" spans="1:16" ht="19.5" customHeight="1">
      <c r="A917" s="171" t="s">
        <v>1205</v>
      </c>
      <c r="B917" s="175">
        <v>46060</v>
      </c>
      <c r="C917" s="171" t="s">
        <v>115</v>
      </c>
      <c r="D917" s="171" t="s">
        <v>116</v>
      </c>
      <c r="E917" s="171" t="s">
        <v>38</v>
      </c>
      <c r="F917" s="171" t="s">
        <v>111</v>
      </c>
      <c r="G917" s="171" t="s">
        <v>112</v>
      </c>
      <c r="H917" s="176">
        <v>1</v>
      </c>
      <c r="I917" s="177">
        <v>0</v>
      </c>
      <c r="J917" s="175">
        <v>46051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-13.05</v>
      </c>
    </row>
    <row r="918" spans="1:16" ht="19.5" customHeight="1">
      <c r="A918" s="171" t="s">
        <v>1205</v>
      </c>
      <c r="B918" s="175">
        <v>46060</v>
      </c>
      <c r="C918" s="171" t="s">
        <v>110</v>
      </c>
      <c r="D918" s="171" t="s">
        <v>117</v>
      </c>
      <c r="E918" s="171" t="s">
        <v>38</v>
      </c>
      <c r="F918" s="171" t="s">
        <v>111</v>
      </c>
      <c r="G918" s="171" t="s">
        <v>112</v>
      </c>
      <c r="H918" s="176">
        <v>1</v>
      </c>
      <c r="I918" s="177">
        <v>0</v>
      </c>
      <c r="J918" s="175">
        <v>46051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0</v>
      </c>
    </row>
    <row r="919" spans="1:16" ht="19.5" customHeight="1">
      <c r="A919" s="171" t="s">
        <v>1205</v>
      </c>
      <c r="B919" s="175">
        <v>46060</v>
      </c>
      <c r="C919" s="171" t="s">
        <v>110</v>
      </c>
      <c r="D919" s="171" t="s">
        <v>118</v>
      </c>
      <c r="E919" s="171" t="s">
        <v>38</v>
      </c>
      <c r="F919" s="171" t="s">
        <v>111</v>
      </c>
      <c r="G919" s="171" t="s">
        <v>112</v>
      </c>
      <c r="H919" s="176">
        <v>1</v>
      </c>
      <c r="I919" s="177">
        <v>0</v>
      </c>
      <c r="J919" s="175">
        <v>46051</v>
      </c>
      <c r="K919" s="171" t="s">
        <v>113</v>
      </c>
      <c r="L919" s="171" t="s">
        <v>114</v>
      </c>
      <c r="M919" s="178">
        <v>0</v>
      </c>
      <c r="N919" s="176"/>
      <c r="O919" s="176"/>
      <c r="P919" s="179">
        <v>-46.77</v>
      </c>
    </row>
    <row r="920" spans="1:16" ht="19.5" customHeight="1">
      <c r="A920" s="171" t="s">
        <v>1205</v>
      </c>
      <c r="B920" s="175">
        <v>46060</v>
      </c>
      <c r="C920" s="171" t="s">
        <v>115</v>
      </c>
      <c r="D920" s="171" t="s">
        <v>119</v>
      </c>
      <c r="E920" s="171" t="s">
        <v>38</v>
      </c>
      <c r="F920" s="171" t="s">
        <v>111</v>
      </c>
      <c r="G920" s="171" t="s">
        <v>112</v>
      </c>
      <c r="H920" s="176">
        <v>1</v>
      </c>
      <c r="I920" s="177">
        <v>0</v>
      </c>
      <c r="J920" s="175">
        <v>46051</v>
      </c>
      <c r="K920" s="171" t="s">
        <v>113</v>
      </c>
      <c r="L920" s="171" t="s">
        <v>114</v>
      </c>
      <c r="M920" s="178">
        <v>0</v>
      </c>
      <c r="N920" s="176"/>
      <c r="O920" s="176"/>
      <c r="P920" s="179">
        <v>-15</v>
      </c>
    </row>
    <row r="921" spans="1:16" ht="19.5" customHeight="1">
      <c r="A921" s="171" t="s">
        <v>1206</v>
      </c>
      <c r="B921" s="175">
        <v>46060</v>
      </c>
      <c r="C921" s="171" t="s">
        <v>115</v>
      </c>
      <c r="D921" s="171" t="s">
        <v>135</v>
      </c>
      <c r="E921" s="171" t="s">
        <v>75</v>
      </c>
      <c r="F921" s="171" t="s">
        <v>474</v>
      </c>
      <c r="G921" s="171" t="s">
        <v>177</v>
      </c>
      <c r="H921" s="176">
        <v>1</v>
      </c>
      <c r="I921" s="177">
        <v>0</v>
      </c>
      <c r="J921" s="175">
        <v>46060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-28.78</v>
      </c>
    </row>
    <row r="922" spans="1:16" ht="19.5" customHeight="1">
      <c r="A922" s="171" t="s">
        <v>1207</v>
      </c>
      <c r="B922" s="175">
        <v>46060</v>
      </c>
      <c r="C922" s="171" t="s">
        <v>110</v>
      </c>
      <c r="D922" s="171" t="s">
        <v>24</v>
      </c>
      <c r="E922" s="171" t="s">
        <v>38</v>
      </c>
      <c r="F922" s="171" t="s">
        <v>111</v>
      </c>
      <c r="G922" s="171" t="s">
        <v>112</v>
      </c>
      <c r="H922" s="176">
        <v>1</v>
      </c>
      <c r="I922" s="177">
        <v>1800</v>
      </c>
      <c r="J922" s="175">
        <v>46056</v>
      </c>
      <c r="K922" s="171" t="s">
        <v>113</v>
      </c>
      <c r="L922" s="171" t="s">
        <v>114</v>
      </c>
      <c r="M922" s="178">
        <v>0.43</v>
      </c>
      <c r="N922" s="176"/>
      <c r="O922" s="176">
        <v>43</v>
      </c>
      <c r="P922" s="179">
        <v>-128.83000000000001</v>
      </c>
    </row>
    <row r="923" spans="1:16" ht="19.5" customHeight="1">
      <c r="A923" s="171" t="s">
        <v>1207</v>
      </c>
      <c r="B923" s="175">
        <v>46060</v>
      </c>
      <c r="C923" s="171" t="s">
        <v>127</v>
      </c>
      <c r="D923" s="171" t="s">
        <v>128</v>
      </c>
      <c r="E923" s="171" t="s">
        <v>38</v>
      </c>
      <c r="F923" s="171" t="s">
        <v>111</v>
      </c>
      <c r="G923" s="171" t="s">
        <v>112</v>
      </c>
      <c r="H923" s="176">
        <v>1</v>
      </c>
      <c r="I923" s="177">
        <v>1800</v>
      </c>
      <c r="J923" s="175">
        <v>46056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833.33</v>
      </c>
    </row>
    <row r="924" spans="1:16" ht="19.5" customHeight="1">
      <c r="A924" s="171" t="s">
        <v>1207</v>
      </c>
      <c r="B924" s="175">
        <v>46060</v>
      </c>
      <c r="C924" s="171" t="s">
        <v>127</v>
      </c>
      <c r="D924" s="171" t="s">
        <v>129</v>
      </c>
      <c r="E924" s="171" t="s">
        <v>38</v>
      </c>
      <c r="F924" s="171" t="s">
        <v>111</v>
      </c>
      <c r="G924" s="171" t="s">
        <v>112</v>
      </c>
      <c r="H924" s="176">
        <v>1</v>
      </c>
      <c r="I924" s="177">
        <v>1800</v>
      </c>
      <c r="J924" s="175">
        <v>46056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8.33</v>
      </c>
    </row>
    <row r="925" spans="1:16" ht="19.5" customHeight="1">
      <c r="A925" s="171" t="s">
        <v>1207</v>
      </c>
      <c r="B925" s="175">
        <v>46060</v>
      </c>
      <c r="C925" s="171" t="s">
        <v>127</v>
      </c>
      <c r="D925" s="171" t="s">
        <v>130</v>
      </c>
      <c r="E925" s="171" t="s">
        <v>38</v>
      </c>
      <c r="F925" s="171" t="s">
        <v>111</v>
      </c>
      <c r="G925" s="171" t="s">
        <v>112</v>
      </c>
      <c r="H925" s="176">
        <v>1</v>
      </c>
      <c r="I925" s="177">
        <v>1800</v>
      </c>
      <c r="J925" s="175">
        <v>46056</v>
      </c>
      <c r="K925" s="171" t="s">
        <v>113</v>
      </c>
      <c r="L925" s="171" t="s">
        <v>114</v>
      </c>
      <c r="M925" s="178">
        <v>0</v>
      </c>
      <c r="N925" s="176"/>
      <c r="O925" s="176"/>
      <c r="P925" s="179">
        <v>958.34</v>
      </c>
    </row>
    <row r="926" spans="1:16" ht="19.5" customHeight="1">
      <c r="A926" s="171" t="s">
        <v>1207</v>
      </c>
      <c r="B926" s="175">
        <v>46060</v>
      </c>
      <c r="C926" s="171" t="s">
        <v>131</v>
      </c>
      <c r="D926" s="171" t="s">
        <v>132</v>
      </c>
      <c r="E926" s="171" t="s">
        <v>38</v>
      </c>
      <c r="F926" s="171" t="s">
        <v>111</v>
      </c>
      <c r="G926" s="171" t="s">
        <v>112</v>
      </c>
      <c r="H926" s="176">
        <v>1</v>
      </c>
      <c r="I926" s="177">
        <v>1800</v>
      </c>
      <c r="J926" s="175">
        <v>46056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-774</v>
      </c>
    </row>
    <row r="927" spans="1:16" ht="19.5" customHeight="1">
      <c r="A927" s="171" t="s">
        <v>1207</v>
      </c>
      <c r="B927" s="175">
        <v>46060</v>
      </c>
      <c r="C927" s="171" t="s">
        <v>115</v>
      </c>
      <c r="D927" s="171" t="s">
        <v>116</v>
      </c>
      <c r="E927" s="171" t="s">
        <v>38</v>
      </c>
      <c r="F927" s="171" t="s">
        <v>111</v>
      </c>
      <c r="G927" s="171" t="s">
        <v>112</v>
      </c>
      <c r="H927" s="176">
        <v>1</v>
      </c>
      <c r="I927" s="177">
        <v>1800</v>
      </c>
      <c r="J927" s="175">
        <v>46056</v>
      </c>
      <c r="K927" s="171" t="s">
        <v>113</v>
      </c>
      <c r="L927" s="171" t="s">
        <v>114</v>
      </c>
      <c r="M927" s="178">
        <v>0.43</v>
      </c>
      <c r="N927" s="176"/>
      <c r="O927" s="176"/>
      <c r="P927" s="179">
        <v>-11.44</v>
      </c>
    </row>
    <row r="928" spans="1:16" ht="19.5" customHeight="1">
      <c r="A928" s="171" t="s">
        <v>1207</v>
      </c>
      <c r="B928" s="175">
        <v>46060</v>
      </c>
      <c r="C928" s="171" t="s">
        <v>115</v>
      </c>
      <c r="D928" s="171" t="s">
        <v>135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0</v>
      </c>
      <c r="J928" s="175">
        <v>46056</v>
      </c>
      <c r="K928" s="171" t="s">
        <v>125</v>
      </c>
      <c r="L928" s="171" t="s">
        <v>125</v>
      </c>
      <c r="M928" s="178">
        <v>0</v>
      </c>
      <c r="N928" s="176"/>
      <c r="O928" s="176"/>
      <c r="P928" s="179">
        <v>-15.83</v>
      </c>
    </row>
    <row r="929" spans="1:16" ht="19.5" customHeight="1">
      <c r="A929" s="171" t="s">
        <v>1208</v>
      </c>
      <c r="B929" s="175">
        <v>46060</v>
      </c>
      <c r="C929" s="171" t="s">
        <v>110</v>
      </c>
      <c r="D929" s="171" t="s">
        <v>24</v>
      </c>
      <c r="E929" s="171" t="s">
        <v>77</v>
      </c>
      <c r="F929" s="171" t="s">
        <v>194</v>
      </c>
      <c r="G929" s="171" t="s">
        <v>177</v>
      </c>
      <c r="H929" s="176">
        <v>1</v>
      </c>
      <c r="I929" s="177">
        <v>0</v>
      </c>
      <c r="J929" s="175">
        <v>46050</v>
      </c>
      <c r="K929" s="171" t="s">
        <v>113</v>
      </c>
      <c r="L929" s="171" t="s">
        <v>114</v>
      </c>
      <c r="M929" s="178">
        <v>0</v>
      </c>
      <c r="N929" s="176"/>
      <c r="O929" s="176">
        <v>50</v>
      </c>
      <c r="P929" s="179">
        <v>-56.94</v>
      </c>
    </row>
    <row r="930" spans="1:16" ht="19.5" customHeight="1">
      <c r="A930" s="171" t="s">
        <v>1208</v>
      </c>
      <c r="B930" s="175">
        <v>46060</v>
      </c>
      <c r="C930" s="171" t="s">
        <v>115</v>
      </c>
      <c r="D930" s="171" t="s">
        <v>116</v>
      </c>
      <c r="E930" s="171" t="s">
        <v>77</v>
      </c>
      <c r="F930" s="171" t="s">
        <v>194</v>
      </c>
      <c r="G930" s="171" t="s">
        <v>177</v>
      </c>
      <c r="H930" s="176">
        <v>1</v>
      </c>
      <c r="I930" s="177">
        <v>0</v>
      </c>
      <c r="J930" s="175">
        <v>46050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-15.99</v>
      </c>
    </row>
    <row r="931" spans="1:16" ht="19.5" customHeight="1">
      <c r="A931" s="171" t="s">
        <v>1208</v>
      </c>
      <c r="B931" s="175">
        <v>46060</v>
      </c>
      <c r="C931" s="171" t="s">
        <v>110</v>
      </c>
      <c r="D931" s="171" t="s">
        <v>117</v>
      </c>
      <c r="E931" s="171" t="s">
        <v>77</v>
      </c>
      <c r="F931" s="171" t="s">
        <v>194</v>
      </c>
      <c r="G931" s="171" t="s">
        <v>177</v>
      </c>
      <c r="H931" s="176">
        <v>1</v>
      </c>
      <c r="I931" s="177">
        <v>0</v>
      </c>
      <c r="J931" s="175">
        <v>46050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0</v>
      </c>
    </row>
    <row r="932" spans="1:16" ht="19.5" customHeight="1">
      <c r="A932" s="171" t="s">
        <v>1208</v>
      </c>
      <c r="B932" s="175">
        <v>46060</v>
      </c>
      <c r="C932" s="171" t="s">
        <v>110</v>
      </c>
      <c r="D932" s="171" t="s">
        <v>118</v>
      </c>
      <c r="E932" s="171" t="s">
        <v>77</v>
      </c>
      <c r="F932" s="171" t="s">
        <v>194</v>
      </c>
      <c r="G932" s="171" t="s">
        <v>177</v>
      </c>
      <c r="H932" s="176">
        <v>1</v>
      </c>
      <c r="I932" s="177">
        <v>0</v>
      </c>
      <c r="J932" s="175">
        <v>46050</v>
      </c>
      <c r="K932" s="171" t="s">
        <v>113</v>
      </c>
      <c r="L932" s="171" t="s">
        <v>114</v>
      </c>
      <c r="M932" s="178">
        <v>0</v>
      </c>
      <c r="N932" s="176"/>
      <c r="O932" s="176"/>
      <c r="P932" s="179">
        <v>-56.94</v>
      </c>
    </row>
    <row r="933" spans="1:16" ht="19.5" customHeight="1">
      <c r="A933" s="171" t="s">
        <v>1208</v>
      </c>
      <c r="B933" s="175">
        <v>46060</v>
      </c>
      <c r="C933" s="171" t="s">
        <v>115</v>
      </c>
      <c r="D933" s="171" t="s">
        <v>119</v>
      </c>
      <c r="E933" s="171" t="s">
        <v>77</v>
      </c>
      <c r="F933" s="171" t="s">
        <v>194</v>
      </c>
      <c r="G933" s="171" t="s">
        <v>177</v>
      </c>
      <c r="H933" s="176">
        <v>1</v>
      </c>
      <c r="I933" s="177">
        <v>0</v>
      </c>
      <c r="J933" s="175">
        <v>46050</v>
      </c>
      <c r="K933" s="171" t="s">
        <v>113</v>
      </c>
      <c r="L933" s="171" t="s">
        <v>114</v>
      </c>
      <c r="M933" s="178">
        <v>0</v>
      </c>
      <c r="N933" s="176"/>
      <c r="O933" s="176"/>
      <c r="P933" s="179">
        <v>-15</v>
      </c>
    </row>
    <row r="934" spans="1:16" ht="19.5" customHeight="1">
      <c r="A934" s="171" t="s">
        <v>1209</v>
      </c>
      <c r="B934" s="175">
        <v>46060</v>
      </c>
      <c r="C934" s="171" t="s">
        <v>110</v>
      </c>
      <c r="D934" s="171" t="s">
        <v>24</v>
      </c>
      <c r="E934" s="171" t="s">
        <v>38</v>
      </c>
      <c r="F934" s="171" t="s">
        <v>111</v>
      </c>
      <c r="G934" s="171" t="s">
        <v>112</v>
      </c>
      <c r="H934" s="176">
        <v>1</v>
      </c>
      <c r="I934" s="177">
        <v>2000</v>
      </c>
      <c r="J934" s="175">
        <v>46057</v>
      </c>
      <c r="K934" s="171" t="s">
        <v>113</v>
      </c>
      <c r="L934" s="171" t="s">
        <v>114</v>
      </c>
      <c r="M934" s="178">
        <v>0.43</v>
      </c>
      <c r="N934" s="176"/>
      <c r="O934" s="176">
        <v>42</v>
      </c>
      <c r="P934" s="179">
        <v>-130.43</v>
      </c>
    </row>
    <row r="935" spans="1:16" ht="19.5" customHeight="1">
      <c r="A935" s="171" t="s">
        <v>1209</v>
      </c>
      <c r="B935" s="175">
        <v>46060</v>
      </c>
      <c r="C935" s="171" t="s">
        <v>127</v>
      </c>
      <c r="D935" s="171" t="s">
        <v>128</v>
      </c>
      <c r="E935" s="171" t="s">
        <v>38</v>
      </c>
      <c r="F935" s="171" t="s">
        <v>111</v>
      </c>
      <c r="G935" s="171" t="s">
        <v>112</v>
      </c>
      <c r="H935" s="176">
        <v>1</v>
      </c>
      <c r="I935" s="177">
        <v>2000</v>
      </c>
      <c r="J935" s="175">
        <v>46057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821.29</v>
      </c>
    </row>
    <row r="936" spans="1:16" ht="19.5" customHeight="1">
      <c r="A936" s="171" t="s">
        <v>1209</v>
      </c>
      <c r="B936" s="175">
        <v>46060</v>
      </c>
      <c r="C936" s="171" t="s">
        <v>127</v>
      </c>
      <c r="D936" s="171" t="s">
        <v>129</v>
      </c>
      <c r="E936" s="171" t="s">
        <v>38</v>
      </c>
      <c r="F936" s="171" t="s">
        <v>111</v>
      </c>
      <c r="G936" s="171" t="s">
        <v>112</v>
      </c>
      <c r="H936" s="176">
        <v>1</v>
      </c>
      <c r="I936" s="177">
        <v>2000</v>
      </c>
      <c r="J936" s="175">
        <v>46057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8.2100000000000009</v>
      </c>
    </row>
    <row r="937" spans="1:16" ht="19.5" customHeight="1">
      <c r="A937" s="171" t="s">
        <v>1209</v>
      </c>
      <c r="B937" s="175">
        <v>46060</v>
      </c>
      <c r="C937" s="171" t="s">
        <v>127</v>
      </c>
      <c r="D937" s="171" t="s">
        <v>130</v>
      </c>
      <c r="E937" s="171" t="s">
        <v>38</v>
      </c>
      <c r="F937" s="171" t="s">
        <v>111</v>
      </c>
      <c r="G937" s="171" t="s">
        <v>112</v>
      </c>
      <c r="H937" s="176">
        <v>1</v>
      </c>
      <c r="I937" s="177">
        <v>2000</v>
      </c>
      <c r="J937" s="175">
        <v>46057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1170.5</v>
      </c>
    </row>
    <row r="938" spans="1:16" ht="19.5" customHeight="1">
      <c r="A938" s="171" t="s">
        <v>1209</v>
      </c>
      <c r="B938" s="175">
        <v>46060</v>
      </c>
      <c r="C938" s="171" t="s">
        <v>131</v>
      </c>
      <c r="D938" s="171" t="s">
        <v>132</v>
      </c>
      <c r="E938" s="171" t="s">
        <v>38</v>
      </c>
      <c r="F938" s="171" t="s">
        <v>111</v>
      </c>
      <c r="G938" s="171" t="s">
        <v>112</v>
      </c>
      <c r="H938" s="176">
        <v>1</v>
      </c>
      <c r="I938" s="177">
        <v>2000</v>
      </c>
      <c r="J938" s="175">
        <v>46057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-860</v>
      </c>
    </row>
    <row r="939" spans="1:16" ht="19.5" customHeight="1">
      <c r="A939" s="171" t="s">
        <v>1209</v>
      </c>
      <c r="B939" s="175">
        <v>46060</v>
      </c>
      <c r="C939" s="171" t="s">
        <v>115</v>
      </c>
      <c r="D939" s="171" t="s">
        <v>116</v>
      </c>
      <c r="E939" s="171" t="s">
        <v>38</v>
      </c>
      <c r="F939" s="171" t="s">
        <v>111</v>
      </c>
      <c r="G939" s="171" t="s">
        <v>112</v>
      </c>
      <c r="H939" s="176">
        <v>1</v>
      </c>
      <c r="I939" s="177">
        <v>2000</v>
      </c>
      <c r="J939" s="175">
        <v>46057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-17.079999999999998</v>
      </c>
    </row>
    <row r="940" spans="1:16" ht="19.5" customHeight="1">
      <c r="A940" s="171" t="s">
        <v>1209</v>
      </c>
      <c r="B940" s="175">
        <v>46060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46057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-15.6</v>
      </c>
    </row>
    <row r="941" spans="1:16" ht="19.5" customHeight="1">
      <c r="A941" s="171" t="s">
        <v>1210</v>
      </c>
      <c r="B941" s="175">
        <v>46060</v>
      </c>
      <c r="C941" s="171" t="s">
        <v>115</v>
      </c>
      <c r="D941" s="171" t="s">
        <v>135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0</v>
      </c>
      <c r="J941" s="175">
        <v>46060</v>
      </c>
      <c r="K941" s="171" t="s">
        <v>125</v>
      </c>
      <c r="L941" s="171" t="s">
        <v>125</v>
      </c>
      <c r="M941" s="178">
        <v>0</v>
      </c>
      <c r="N941" s="176"/>
      <c r="O941" s="176"/>
      <c r="P941" s="179">
        <v>-22.6</v>
      </c>
    </row>
    <row r="942" spans="1:16" ht="19.5" customHeight="1">
      <c r="A942" s="171" t="s">
        <v>1211</v>
      </c>
      <c r="B942" s="175">
        <v>46060</v>
      </c>
      <c r="C942" s="171" t="s">
        <v>110</v>
      </c>
      <c r="D942" s="171" t="s">
        <v>24</v>
      </c>
      <c r="E942" s="171" t="s">
        <v>48</v>
      </c>
      <c r="F942" s="171" t="s">
        <v>198</v>
      </c>
      <c r="G942" s="171" t="s">
        <v>112</v>
      </c>
      <c r="H942" s="176">
        <v>1</v>
      </c>
      <c r="I942" s="177">
        <v>1800</v>
      </c>
      <c r="J942" s="175">
        <v>46059</v>
      </c>
      <c r="K942" s="171" t="s">
        <v>113</v>
      </c>
      <c r="L942" s="171" t="s">
        <v>114</v>
      </c>
      <c r="M942" s="178">
        <v>0.43</v>
      </c>
      <c r="N942" s="176"/>
      <c r="O942" s="176">
        <v>42</v>
      </c>
      <c r="P942" s="179">
        <v>-124.73</v>
      </c>
    </row>
    <row r="943" spans="1:16" ht="19.5" customHeight="1">
      <c r="A943" s="171" t="s">
        <v>1211</v>
      </c>
      <c r="B943" s="175">
        <v>46060</v>
      </c>
      <c r="C943" s="171" t="s">
        <v>127</v>
      </c>
      <c r="D943" s="171" t="s">
        <v>128</v>
      </c>
      <c r="E943" s="171" t="s">
        <v>48</v>
      </c>
      <c r="F943" s="171" t="s">
        <v>198</v>
      </c>
      <c r="G943" s="171" t="s">
        <v>112</v>
      </c>
      <c r="H943" s="176">
        <v>1</v>
      </c>
      <c r="I943" s="177">
        <v>1800</v>
      </c>
      <c r="J943" s="175">
        <v>46059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860.95</v>
      </c>
    </row>
    <row r="944" spans="1:16" ht="19.5" customHeight="1">
      <c r="A944" s="171" t="s">
        <v>1211</v>
      </c>
      <c r="B944" s="175">
        <v>46060</v>
      </c>
      <c r="C944" s="171" t="s">
        <v>127</v>
      </c>
      <c r="D944" s="171" t="s">
        <v>129</v>
      </c>
      <c r="E944" s="171" t="s">
        <v>48</v>
      </c>
      <c r="F944" s="171" t="s">
        <v>198</v>
      </c>
      <c r="G944" s="171" t="s">
        <v>112</v>
      </c>
      <c r="H944" s="176">
        <v>1</v>
      </c>
      <c r="I944" s="177">
        <v>1800</v>
      </c>
      <c r="J944" s="175">
        <v>46059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8.61</v>
      </c>
    </row>
    <row r="945" spans="1:16" ht="19.5" customHeight="1">
      <c r="A945" s="171" t="s">
        <v>1211</v>
      </c>
      <c r="B945" s="175">
        <v>46060</v>
      </c>
      <c r="C945" s="171" t="s">
        <v>127</v>
      </c>
      <c r="D945" s="171" t="s">
        <v>130</v>
      </c>
      <c r="E945" s="171" t="s">
        <v>48</v>
      </c>
      <c r="F945" s="171" t="s">
        <v>198</v>
      </c>
      <c r="G945" s="171" t="s">
        <v>112</v>
      </c>
      <c r="H945" s="176">
        <v>1</v>
      </c>
      <c r="I945" s="177">
        <v>1800</v>
      </c>
      <c r="J945" s="175">
        <v>46059</v>
      </c>
      <c r="K945" s="171" t="s">
        <v>113</v>
      </c>
      <c r="L945" s="171" t="s">
        <v>114</v>
      </c>
      <c r="M945" s="178">
        <v>0</v>
      </c>
      <c r="N945" s="176"/>
      <c r="O945" s="176"/>
      <c r="P945" s="179">
        <v>930.44</v>
      </c>
    </row>
    <row r="946" spans="1:16" ht="19.5" customHeight="1">
      <c r="A946" s="171" t="s">
        <v>1211</v>
      </c>
      <c r="B946" s="175">
        <v>46060</v>
      </c>
      <c r="C946" s="171" t="s">
        <v>131</v>
      </c>
      <c r="D946" s="171" t="s">
        <v>132</v>
      </c>
      <c r="E946" s="171" t="s">
        <v>48</v>
      </c>
      <c r="F946" s="171" t="s">
        <v>198</v>
      </c>
      <c r="G946" s="171" t="s">
        <v>112</v>
      </c>
      <c r="H946" s="176">
        <v>1</v>
      </c>
      <c r="I946" s="177">
        <v>1800</v>
      </c>
      <c r="J946" s="175">
        <v>46059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-774</v>
      </c>
    </row>
    <row r="947" spans="1:16" ht="19.5" customHeight="1">
      <c r="A947" s="171" t="s">
        <v>1211</v>
      </c>
      <c r="B947" s="175">
        <v>46060</v>
      </c>
      <c r="C947" s="171" t="s">
        <v>115</v>
      </c>
      <c r="D947" s="171" t="s">
        <v>116</v>
      </c>
      <c r="E947" s="171" t="s">
        <v>48</v>
      </c>
      <c r="F947" s="171" t="s">
        <v>198</v>
      </c>
      <c r="G947" s="171" t="s">
        <v>112</v>
      </c>
      <c r="H947" s="176">
        <v>1</v>
      </c>
      <c r="I947" s="177">
        <v>1800</v>
      </c>
      <c r="J947" s="175">
        <v>46059</v>
      </c>
      <c r="K947" s="171" t="s">
        <v>113</v>
      </c>
      <c r="L947" s="171" t="s">
        <v>114</v>
      </c>
      <c r="M947" s="178">
        <v>0.43</v>
      </c>
      <c r="N947" s="176"/>
      <c r="O947" s="176"/>
      <c r="P947" s="179">
        <v>-9.99</v>
      </c>
    </row>
    <row r="948" spans="1:16" ht="19.5" customHeight="1">
      <c r="A948" s="171" t="s">
        <v>1212</v>
      </c>
      <c r="B948" s="175">
        <v>46060</v>
      </c>
      <c r="C948" s="171" t="s">
        <v>115</v>
      </c>
      <c r="D948" s="171" t="s">
        <v>135</v>
      </c>
      <c r="E948" s="171" t="s">
        <v>38</v>
      </c>
      <c r="F948" s="171" t="s">
        <v>111</v>
      </c>
      <c r="G948" s="171" t="s">
        <v>112</v>
      </c>
      <c r="H948" s="176">
        <v>1</v>
      </c>
      <c r="I948" s="177">
        <v>0</v>
      </c>
      <c r="J948" s="175">
        <v>46060</v>
      </c>
      <c r="K948" s="171" t="s">
        <v>125</v>
      </c>
      <c r="L948" s="171" t="s">
        <v>125</v>
      </c>
      <c r="M948" s="178">
        <v>0</v>
      </c>
      <c r="N948" s="176"/>
      <c r="O948" s="176"/>
      <c r="P948" s="179">
        <v>-22.6</v>
      </c>
    </row>
    <row r="949" spans="1:16" ht="19.5" customHeight="1">
      <c r="A949" s="171" t="s">
        <v>1211</v>
      </c>
      <c r="B949" s="175">
        <v>46060</v>
      </c>
      <c r="C949" s="171" t="s">
        <v>115</v>
      </c>
      <c r="D949" s="171" t="s">
        <v>135</v>
      </c>
      <c r="E949" s="171" t="s">
        <v>48</v>
      </c>
      <c r="F949" s="171" t="s">
        <v>198</v>
      </c>
      <c r="G949" s="171" t="s">
        <v>112</v>
      </c>
      <c r="H949" s="176">
        <v>1</v>
      </c>
      <c r="I949" s="177">
        <v>0</v>
      </c>
      <c r="J949" s="175">
        <v>46059</v>
      </c>
      <c r="K949" s="171" t="s">
        <v>125</v>
      </c>
      <c r="L949" s="171" t="s">
        <v>125</v>
      </c>
      <c r="M949" s="178">
        <v>0</v>
      </c>
      <c r="N949" s="176"/>
      <c r="O949" s="176"/>
      <c r="P949" s="179">
        <v>-16.36</v>
      </c>
    </row>
    <row r="950" spans="1:16" ht="19.5" customHeight="1">
      <c r="A950" s="171" t="s">
        <v>913</v>
      </c>
      <c r="B950" s="175">
        <v>46060</v>
      </c>
      <c r="C950" s="171" t="s">
        <v>110</v>
      </c>
      <c r="D950" s="171" t="s">
        <v>24</v>
      </c>
      <c r="E950" s="171" t="s">
        <v>77</v>
      </c>
      <c r="F950" s="171" t="s">
        <v>194</v>
      </c>
      <c r="G950" s="171" t="s">
        <v>177</v>
      </c>
      <c r="H950" s="176">
        <v>1</v>
      </c>
      <c r="I950" s="177">
        <v>0</v>
      </c>
      <c r="J950" s="175">
        <v>46050</v>
      </c>
      <c r="K950" s="171" t="s">
        <v>113</v>
      </c>
      <c r="L950" s="171" t="s">
        <v>114</v>
      </c>
      <c r="M950" s="178">
        <v>0</v>
      </c>
      <c r="N950" s="176"/>
      <c r="O950" s="176">
        <v>50</v>
      </c>
      <c r="P950" s="179">
        <v>-56.94</v>
      </c>
    </row>
    <row r="951" spans="1:16" ht="19.5" customHeight="1">
      <c r="A951" s="171" t="s">
        <v>913</v>
      </c>
      <c r="B951" s="175">
        <v>46060</v>
      </c>
      <c r="C951" s="171" t="s">
        <v>115</v>
      </c>
      <c r="D951" s="171" t="s">
        <v>116</v>
      </c>
      <c r="E951" s="171" t="s">
        <v>77</v>
      </c>
      <c r="F951" s="171" t="s">
        <v>194</v>
      </c>
      <c r="G951" s="171" t="s">
        <v>177</v>
      </c>
      <c r="H951" s="176">
        <v>1</v>
      </c>
      <c r="I951" s="177">
        <v>0</v>
      </c>
      <c r="J951" s="175">
        <v>46050</v>
      </c>
      <c r="K951" s="171" t="s">
        <v>113</v>
      </c>
      <c r="L951" s="171" t="s">
        <v>114</v>
      </c>
      <c r="M951" s="178">
        <v>0</v>
      </c>
      <c r="N951" s="176"/>
      <c r="O951" s="176"/>
      <c r="P951" s="179">
        <v>-21.23</v>
      </c>
    </row>
    <row r="952" spans="1:16" ht="19.5" customHeight="1">
      <c r="A952" s="171" t="s">
        <v>913</v>
      </c>
      <c r="B952" s="175">
        <v>46060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46050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913</v>
      </c>
      <c r="B953" s="175">
        <v>46060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46050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913</v>
      </c>
      <c r="B954" s="175">
        <v>46060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46050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1213</v>
      </c>
      <c r="B955" s="175">
        <v>46060</v>
      </c>
      <c r="C955" s="171" t="s">
        <v>110</v>
      </c>
      <c r="D955" s="171" t="s">
        <v>24</v>
      </c>
      <c r="E955" s="171" t="s">
        <v>38</v>
      </c>
      <c r="F955" s="171" t="s">
        <v>111</v>
      </c>
      <c r="G955" s="171" t="s">
        <v>112</v>
      </c>
      <c r="H955" s="176">
        <v>1</v>
      </c>
      <c r="I955" s="177">
        <v>2000</v>
      </c>
      <c r="J955" s="175">
        <v>46058</v>
      </c>
      <c r="K955" s="171" t="s">
        <v>113</v>
      </c>
      <c r="L955" s="171" t="s">
        <v>114</v>
      </c>
      <c r="M955" s="178">
        <v>0.43</v>
      </c>
      <c r="N955" s="176"/>
      <c r="O955" s="176">
        <v>42</v>
      </c>
      <c r="P955" s="179">
        <v>-130.43</v>
      </c>
    </row>
    <row r="956" spans="1:16" ht="19.5" customHeight="1">
      <c r="A956" s="171" t="s">
        <v>1213</v>
      </c>
      <c r="B956" s="175">
        <v>46060</v>
      </c>
      <c r="C956" s="171" t="s">
        <v>127</v>
      </c>
      <c r="D956" s="171" t="s">
        <v>128</v>
      </c>
      <c r="E956" s="171" t="s">
        <v>38</v>
      </c>
      <c r="F956" s="171" t="s">
        <v>111</v>
      </c>
      <c r="G956" s="171" t="s">
        <v>112</v>
      </c>
      <c r="H956" s="176">
        <v>1</v>
      </c>
      <c r="I956" s="177">
        <v>2000</v>
      </c>
      <c r="J956" s="175">
        <v>46058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858.1</v>
      </c>
    </row>
    <row r="957" spans="1:16" ht="19.5" customHeight="1">
      <c r="A957" s="171" t="s">
        <v>1213</v>
      </c>
      <c r="B957" s="175">
        <v>46060</v>
      </c>
      <c r="C957" s="171" t="s">
        <v>127</v>
      </c>
      <c r="D957" s="171" t="s">
        <v>129</v>
      </c>
      <c r="E957" s="171" t="s">
        <v>38</v>
      </c>
      <c r="F957" s="171" t="s">
        <v>111</v>
      </c>
      <c r="G957" s="171" t="s">
        <v>112</v>
      </c>
      <c r="H957" s="176">
        <v>1</v>
      </c>
      <c r="I957" s="177">
        <v>2000</v>
      </c>
      <c r="J957" s="175">
        <v>46058</v>
      </c>
      <c r="K957" s="171" t="s">
        <v>113</v>
      </c>
      <c r="L957" s="171" t="s">
        <v>114</v>
      </c>
      <c r="M957" s="178">
        <v>0</v>
      </c>
      <c r="N957" s="176"/>
      <c r="O957" s="176"/>
      <c r="P957" s="179">
        <v>0</v>
      </c>
    </row>
    <row r="958" spans="1:16" ht="19.5" customHeight="1">
      <c r="A958" s="171" t="s">
        <v>1213</v>
      </c>
      <c r="B958" s="175">
        <v>46060</v>
      </c>
      <c r="C958" s="171" t="s">
        <v>127</v>
      </c>
      <c r="D958" s="171" t="s">
        <v>130</v>
      </c>
      <c r="E958" s="171" t="s">
        <v>38</v>
      </c>
      <c r="F958" s="171" t="s">
        <v>111</v>
      </c>
      <c r="G958" s="171" t="s">
        <v>112</v>
      </c>
      <c r="H958" s="176">
        <v>1</v>
      </c>
      <c r="I958" s="177">
        <v>2000</v>
      </c>
      <c r="J958" s="175">
        <v>46058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1141.9000000000001</v>
      </c>
    </row>
    <row r="959" spans="1:16" ht="19.5" customHeight="1">
      <c r="A959" s="171" t="s">
        <v>1213</v>
      </c>
      <c r="B959" s="175">
        <v>46060</v>
      </c>
      <c r="C959" s="171" t="s">
        <v>131</v>
      </c>
      <c r="D959" s="171" t="s">
        <v>132</v>
      </c>
      <c r="E959" s="171" t="s">
        <v>38</v>
      </c>
      <c r="F959" s="171" t="s">
        <v>111</v>
      </c>
      <c r="G959" s="171" t="s">
        <v>112</v>
      </c>
      <c r="H959" s="176">
        <v>1</v>
      </c>
      <c r="I959" s="177">
        <v>2000</v>
      </c>
      <c r="J959" s="175">
        <v>46058</v>
      </c>
      <c r="K959" s="171" t="s">
        <v>113</v>
      </c>
      <c r="L959" s="171" t="s">
        <v>114</v>
      </c>
      <c r="M959" s="178">
        <v>0.43</v>
      </c>
      <c r="N959" s="176"/>
      <c r="O959" s="176"/>
      <c r="P959" s="179">
        <v>-860</v>
      </c>
    </row>
    <row r="960" spans="1:16" ht="19.5" customHeight="1">
      <c r="A960" s="171" t="s">
        <v>1213</v>
      </c>
      <c r="B960" s="175">
        <v>46060</v>
      </c>
      <c r="C960" s="171" t="s">
        <v>115</v>
      </c>
      <c r="D960" s="171" t="s">
        <v>116</v>
      </c>
      <c r="E960" s="171" t="s">
        <v>38</v>
      </c>
      <c r="F960" s="171" t="s">
        <v>111</v>
      </c>
      <c r="G960" s="171" t="s">
        <v>112</v>
      </c>
      <c r="H960" s="176">
        <v>1</v>
      </c>
      <c r="I960" s="177">
        <v>2000</v>
      </c>
      <c r="J960" s="175">
        <v>46058</v>
      </c>
      <c r="K960" s="171" t="s">
        <v>113</v>
      </c>
      <c r="L960" s="171" t="s">
        <v>114</v>
      </c>
      <c r="M960" s="178">
        <v>0.43</v>
      </c>
      <c r="N960" s="176"/>
      <c r="O960" s="176"/>
      <c r="P960" s="179">
        <v>-10.27</v>
      </c>
    </row>
    <row r="961" spans="1:16" ht="19.5" customHeight="1">
      <c r="A961" s="171" t="s">
        <v>1214</v>
      </c>
      <c r="B961" s="175">
        <v>46060</v>
      </c>
      <c r="C961" s="171" t="s">
        <v>110</v>
      </c>
      <c r="D961" s="171" t="s">
        <v>24</v>
      </c>
      <c r="E961" s="171" t="s">
        <v>48</v>
      </c>
      <c r="F961" s="171" t="s">
        <v>198</v>
      </c>
      <c r="G961" s="171" t="s">
        <v>112</v>
      </c>
      <c r="H961" s="176">
        <v>1</v>
      </c>
      <c r="I961" s="177">
        <v>0</v>
      </c>
      <c r="J961" s="175">
        <v>46057</v>
      </c>
      <c r="K961" s="171" t="s">
        <v>113</v>
      </c>
      <c r="L961" s="171" t="s">
        <v>114</v>
      </c>
      <c r="M961" s="178">
        <v>0</v>
      </c>
      <c r="N961" s="176"/>
      <c r="O961" s="176">
        <v>42</v>
      </c>
      <c r="P961" s="179">
        <v>-46.77</v>
      </c>
    </row>
    <row r="962" spans="1:16" ht="19.5" customHeight="1">
      <c r="A962" s="171" t="s">
        <v>1214</v>
      </c>
      <c r="B962" s="175">
        <v>46060</v>
      </c>
      <c r="C962" s="171" t="s">
        <v>115</v>
      </c>
      <c r="D962" s="171" t="s">
        <v>116</v>
      </c>
      <c r="E962" s="171" t="s">
        <v>48</v>
      </c>
      <c r="F962" s="171" t="s">
        <v>198</v>
      </c>
      <c r="G962" s="171" t="s">
        <v>112</v>
      </c>
      <c r="H962" s="176">
        <v>1</v>
      </c>
      <c r="I962" s="177">
        <v>0</v>
      </c>
      <c r="J962" s="175">
        <v>46057</v>
      </c>
      <c r="K962" s="171" t="s">
        <v>113</v>
      </c>
      <c r="L962" s="171" t="s">
        <v>114</v>
      </c>
      <c r="M962" s="178">
        <v>0</v>
      </c>
      <c r="N962" s="176"/>
      <c r="O962" s="176"/>
      <c r="P962" s="179">
        <v>-9.1</v>
      </c>
    </row>
    <row r="963" spans="1:16" ht="19.5" customHeight="1">
      <c r="A963" s="171" t="s">
        <v>1215</v>
      </c>
      <c r="B963" s="175">
        <v>46060</v>
      </c>
      <c r="C963" s="171" t="s">
        <v>110</v>
      </c>
      <c r="D963" s="171" t="s">
        <v>24</v>
      </c>
      <c r="E963" s="171" t="s">
        <v>42</v>
      </c>
      <c r="F963" s="171" t="s">
        <v>248</v>
      </c>
      <c r="G963" s="171" t="s">
        <v>112</v>
      </c>
      <c r="H963" s="176">
        <v>1</v>
      </c>
      <c r="I963" s="177">
        <v>0</v>
      </c>
      <c r="J963" s="175">
        <v>46056</v>
      </c>
      <c r="K963" s="171" t="s">
        <v>113</v>
      </c>
      <c r="L963" s="171" t="s">
        <v>114</v>
      </c>
      <c r="M963" s="178">
        <v>0</v>
      </c>
      <c r="N963" s="176"/>
      <c r="O963" s="176">
        <v>43</v>
      </c>
      <c r="P963" s="179">
        <v>-46.77</v>
      </c>
    </row>
    <row r="964" spans="1:16" ht="19.5" customHeight="1">
      <c r="A964" s="171" t="s">
        <v>1215</v>
      </c>
      <c r="B964" s="175">
        <v>46060</v>
      </c>
      <c r="C964" s="171" t="s">
        <v>115</v>
      </c>
      <c r="D964" s="171" t="s">
        <v>116</v>
      </c>
      <c r="E964" s="171" t="s">
        <v>42</v>
      </c>
      <c r="F964" s="171" t="s">
        <v>248</v>
      </c>
      <c r="G964" s="171" t="s">
        <v>112</v>
      </c>
      <c r="H964" s="176">
        <v>1</v>
      </c>
      <c r="I964" s="177">
        <v>0</v>
      </c>
      <c r="J964" s="175">
        <v>46056</v>
      </c>
      <c r="K964" s="171" t="s">
        <v>113</v>
      </c>
      <c r="L964" s="171" t="s">
        <v>114</v>
      </c>
      <c r="M964" s="178">
        <v>0</v>
      </c>
      <c r="N964" s="176"/>
      <c r="O964" s="176"/>
      <c r="P964" s="179">
        <v>-12.39</v>
      </c>
    </row>
    <row r="965" spans="1:16" ht="19.5" customHeight="1">
      <c r="A965" s="171" t="s">
        <v>1214</v>
      </c>
      <c r="B965" s="175">
        <v>46060</v>
      </c>
      <c r="C965" s="171" t="s">
        <v>110</v>
      </c>
      <c r="D965" s="171" t="s">
        <v>117</v>
      </c>
      <c r="E965" s="171" t="s">
        <v>48</v>
      </c>
      <c r="F965" s="171" t="s">
        <v>198</v>
      </c>
      <c r="G965" s="171" t="s">
        <v>112</v>
      </c>
      <c r="H965" s="176">
        <v>1</v>
      </c>
      <c r="I965" s="177">
        <v>0</v>
      </c>
      <c r="J965" s="175">
        <v>46057</v>
      </c>
      <c r="K965" s="171" t="s">
        <v>113</v>
      </c>
      <c r="L965" s="171" t="s">
        <v>114</v>
      </c>
      <c r="M965" s="178">
        <v>0</v>
      </c>
      <c r="N965" s="176"/>
      <c r="O965" s="176"/>
      <c r="P965" s="179">
        <v>0</v>
      </c>
    </row>
    <row r="966" spans="1:16" ht="19.5" customHeight="1">
      <c r="A966" s="171" t="s">
        <v>1214</v>
      </c>
      <c r="B966" s="175">
        <v>46060</v>
      </c>
      <c r="C966" s="171" t="s">
        <v>110</v>
      </c>
      <c r="D966" s="171" t="s">
        <v>118</v>
      </c>
      <c r="E966" s="171" t="s">
        <v>48</v>
      </c>
      <c r="F966" s="171" t="s">
        <v>198</v>
      </c>
      <c r="G966" s="171" t="s">
        <v>112</v>
      </c>
      <c r="H966" s="176">
        <v>1</v>
      </c>
      <c r="I966" s="177">
        <v>0</v>
      </c>
      <c r="J966" s="175">
        <v>46057</v>
      </c>
      <c r="K966" s="171" t="s">
        <v>113</v>
      </c>
      <c r="L966" s="171" t="s">
        <v>114</v>
      </c>
      <c r="M966" s="178">
        <v>0</v>
      </c>
      <c r="N966" s="176"/>
      <c r="O966" s="176"/>
      <c r="P966" s="179">
        <v>-46.77</v>
      </c>
    </row>
    <row r="967" spans="1:16" ht="19.5" customHeight="1">
      <c r="A967" s="171" t="s">
        <v>1214</v>
      </c>
      <c r="B967" s="175">
        <v>46060</v>
      </c>
      <c r="C967" s="171" t="s">
        <v>115</v>
      </c>
      <c r="D967" s="171" t="s">
        <v>119</v>
      </c>
      <c r="E967" s="171" t="s">
        <v>48</v>
      </c>
      <c r="F967" s="171" t="s">
        <v>198</v>
      </c>
      <c r="G967" s="171" t="s">
        <v>112</v>
      </c>
      <c r="H967" s="176">
        <v>1</v>
      </c>
      <c r="I967" s="177">
        <v>0</v>
      </c>
      <c r="J967" s="175">
        <v>46057</v>
      </c>
      <c r="K967" s="171" t="s">
        <v>113</v>
      </c>
      <c r="L967" s="171" t="s">
        <v>114</v>
      </c>
      <c r="M967" s="178">
        <v>0</v>
      </c>
      <c r="N967" s="176"/>
      <c r="O967" s="176"/>
      <c r="P967" s="179">
        <v>-15</v>
      </c>
    </row>
    <row r="968" spans="1:16" ht="19.5" customHeight="1">
      <c r="A968" s="171" t="s">
        <v>1215</v>
      </c>
      <c r="B968" s="175">
        <v>46060</v>
      </c>
      <c r="C968" s="171" t="s">
        <v>110</v>
      </c>
      <c r="D968" s="171" t="s">
        <v>117</v>
      </c>
      <c r="E968" s="171" t="s">
        <v>42</v>
      </c>
      <c r="F968" s="171" t="s">
        <v>248</v>
      </c>
      <c r="G968" s="171" t="s">
        <v>112</v>
      </c>
      <c r="H968" s="176">
        <v>1</v>
      </c>
      <c r="I968" s="177">
        <v>0</v>
      </c>
      <c r="J968" s="175">
        <v>46056</v>
      </c>
      <c r="K968" s="171" t="s">
        <v>113</v>
      </c>
      <c r="L968" s="171" t="s">
        <v>114</v>
      </c>
      <c r="M968" s="178">
        <v>0</v>
      </c>
      <c r="N968" s="176"/>
      <c r="O968" s="176"/>
      <c r="P968" s="179">
        <v>0</v>
      </c>
    </row>
    <row r="969" spans="1:16" ht="19.5" customHeight="1">
      <c r="A969" s="171" t="s">
        <v>1215</v>
      </c>
      <c r="B969" s="175">
        <v>46060</v>
      </c>
      <c r="C969" s="171" t="s">
        <v>110</v>
      </c>
      <c r="D969" s="171" t="s">
        <v>118</v>
      </c>
      <c r="E969" s="171" t="s">
        <v>42</v>
      </c>
      <c r="F969" s="171" t="s">
        <v>248</v>
      </c>
      <c r="G969" s="171" t="s">
        <v>112</v>
      </c>
      <c r="H969" s="176">
        <v>1</v>
      </c>
      <c r="I969" s="177">
        <v>0</v>
      </c>
      <c r="J969" s="175">
        <v>46056</v>
      </c>
      <c r="K969" s="171" t="s">
        <v>113</v>
      </c>
      <c r="L969" s="171" t="s">
        <v>114</v>
      </c>
      <c r="M969" s="178">
        <v>0</v>
      </c>
      <c r="N969" s="176"/>
      <c r="O969" s="176"/>
      <c r="P969" s="179">
        <v>-46.77</v>
      </c>
    </row>
    <row r="970" spans="1:16" ht="19.5" customHeight="1">
      <c r="A970" s="171" t="s">
        <v>1150</v>
      </c>
      <c r="B970" s="175">
        <v>46060</v>
      </c>
      <c r="C970" s="171" t="s">
        <v>115</v>
      </c>
      <c r="D970" s="171" t="s">
        <v>135</v>
      </c>
      <c r="E970" s="171" t="s">
        <v>38</v>
      </c>
      <c r="F970" s="171" t="s">
        <v>111</v>
      </c>
      <c r="G970" s="171" t="s">
        <v>112</v>
      </c>
      <c r="H970" s="176">
        <v>1</v>
      </c>
      <c r="I970" s="177">
        <v>0</v>
      </c>
      <c r="J970" s="175">
        <v>46058</v>
      </c>
      <c r="K970" s="171" t="s">
        <v>125</v>
      </c>
      <c r="L970" s="171" t="s">
        <v>125</v>
      </c>
      <c r="M970" s="178">
        <v>0</v>
      </c>
      <c r="N970" s="176"/>
      <c r="O970" s="176"/>
      <c r="P970" s="179">
        <v>16.62</v>
      </c>
    </row>
    <row r="971" spans="1:16" ht="19.5" customHeight="1">
      <c r="A971" s="171" t="s">
        <v>1216</v>
      </c>
      <c r="B971" s="175">
        <v>46060</v>
      </c>
      <c r="C971" s="171" t="s">
        <v>110</v>
      </c>
      <c r="D971" s="171" t="s">
        <v>24</v>
      </c>
      <c r="E971" s="171" t="s">
        <v>78</v>
      </c>
      <c r="F971" s="171" t="s">
        <v>176</v>
      </c>
      <c r="G971" s="171" t="s">
        <v>177</v>
      </c>
      <c r="H971" s="176">
        <v>1</v>
      </c>
      <c r="I971" s="177">
        <v>0</v>
      </c>
      <c r="J971" s="175">
        <v>46054</v>
      </c>
      <c r="K971" s="171" t="s">
        <v>113</v>
      </c>
      <c r="L971" s="171" t="s">
        <v>114</v>
      </c>
      <c r="M971" s="178">
        <v>0</v>
      </c>
      <c r="N971" s="176"/>
      <c r="O971" s="176">
        <v>42</v>
      </c>
      <c r="P971" s="179">
        <v>-56.94</v>
      </c>
    </row>
    <row r="972" spans="1:16" ht="19.5" customHeight="1">
      <c r="A972" s="171" t="s">
        <v>1216</v>
      </c>
      <c r="B972" s="175">
        <v>46060</v>
      </c>
      <c r="C972" s="171" t="s">
        <v>115</v>
      </c>
      <c r="D972" s="171" t="s">
        <v>116</v>
      </c>
      <c r="E972" s="171" t="s">
        <v>78</v>
      </c>
      <c r="F972" s="171" t="s">
        <v>176</v>
      </c>
      <c r="G972" s="171" t="s">
        <v>177</v>
      </c>
      <c r="H972" s="176">
        <v>1</v>
      </c>
      <c r="I972" s="177">
        <v>0</v>
      </c>
      <c r="J972" s="175">
        <v>46054</v>
      </c>
      <c r="K972" s="171" t="s">
        <v>113</v>
      </c>
      <c r="L972" s="171" t="s">
        <v>114</v>
      </c>
      <c r="M972" s="178">
        <v>0</v>
      </c>
      <c r="N972" s="176"/>
      <c r="O972" s="176"/>
      <c r="P972" s="179">
        <v>-15.67</v>
      </c>
    </row>
    <row r="973" spans="1:16" ht="19.5" customHeight="1">
      <c r="A973" s="171" t="s">
        <v>1216</v>
      </c>
      <c r="B973" s="175">
        <v>46060</v>
      </c>
      <c r="C973" s="171" t="s">
        <v>110</v>
      </c>
      <c r="D973" s="171" t="s">
        <v>117</v>
      </c>
      <c r="E973" s="171" t="s">
        <v>78</v>
      </c>
      <c r="F973" s="171" t="s">
        <v>176</v>
      </c>
      <c r="G973" s="171" t="s">
        <v>177</v>
      </c>
      <c r="H973" s="176">
        <v>1</v>
      </c>
      <c r="I973" s="177">
        <v>0</v>
      </c>
      <c r="J973" s="175">
        <v>46054</v>
      </c>
      <c r="K973" s="171" t="s">
        <v>113</v>
      </c>
      <c r="L973" s="171" t="s">
        <v>114</v>
      </c>
      <c r="M973" s="178">
        <v>0</v>
      </c>
      <c r="N973" s="176"/>
      <c r="O973" s="176"/>
      <c r="P973" s="179">
        <v>0</v>
      </c>
    </row>
    <row r="974" spans="1:16" ht="19.5" customHeight="1">
      <c r="A974" s="171" t="s">
        <v>1216</v>
      </c>
      <c r="B974" s="175">
        <v>46060</v>
      </c>
      <c r="C974" s="171" t="s">
        <v>110</v>
      </c>
      <c r="D974" s="171" t="s">
        <v>118</v>
      </c>
      <c r="E974" s="171" t="s">
        <v>78</v>
      </c>
      <c r="F974" s="171" t="s">
        <v>176</v>
      </c>
      <c r="G974" s="171" t="s">
        <v>177</v>
      </c>
      <c r="H974" s="176">
        <v>1</v>
      </c>
      <c r="I974" s="177">
        <v>0</v>
      </c>
      <c r="J974" s="175">
        <v>46054</v>
      </c>
      <c r="K974" s="171" t="s">
        <v>113</v>
      </c>
      <c r="L974" s="171" t="s">
        <v>114</v>
      </c>
      <c r="M974" s="178">
        <v>0</v>
      </c>
      <c r="N974" s="176"/>
      <c r="O974" s="176"/>
      <c r="P974" s="179">
        <v>-56.94</v>
      </c>
    </row>
    <row r="975" spans="1:16" ht="19.5" customHeight="1">
      <c r="A975" s="171" t="s">
        <v>1217</v>
      </c>
      <c r="B975" s="175">
        <v>46060</v>
      </c>
      <c r="C975" s="171" t="s">
        <v>115</v>
      </c>
      <c r="D975" s="171" t="s">
        <v>135</v>
      </c>
      <c r="E975" s="171" t="s">
        <v>75</v>
      </c>
      <c r="F975" s="171" t="s">
        <v>474</v>
      </c>
      <c r="G975" s="171" t="s">
        <v>177</v>
      </c>
      <c r="H975" s="176">
        <v>1</v>
      </c>
      <c r="I975" s="177">
        <v>0</v>
      </c>
      <c r="J975" s="175">
        <v>46060</v>
      </c>
      <c r="K975" s="171" t="s">
        <v>125</v>
      </c>
      <c r="L975" s="171" t="s">
        <v>125</v>
      </c>
      <c r="M975" s="178">
        <v>0</v>
      </c>
      <c r="N975" s="176"/>
      <c r="O975" s="176"/>
      <c r="P975" s="179">
        <v>-9.51</v>
      </c>
    </row>
    <row r="976" spans="1:16" ht="19.5" customHeight="1">
      <c r="A976" s="171" t="s">
        <v>1218</v>
      </c>
      <c r="B976" s="175">
        <v>46060</v>
      </c>
      <c r="C976" s="171" t="s">
        <v>115</v>
      </c>
      <c r="D976" s="171" t="s">
        <v>135</v>
      </c>
      <c r="E976" s="171" t="s">
        <v>77</v>
      </c>
      <c r="F976" s="171" t="s">
        <v>194</v>
      </c>
      <c r="G976" s="171" t="s">
        <v>177</v>
      </c>
      <c r="H976" s="176">
        <v>1</v>
      </c>
      <c r="I976" s="177">
        <v>0</v>
      </c>
      <c r="J976" s="175">
        <v>46060</v>
      </c>
      <c r="K976" s="171" t="s">
        <v>125</v>
      </c>
      <c r="L976" s="171" t="s">
        <v>125</v>
      </c>
      <c r="M976" s="178">
        <v>0</v>
      </c>
      <c r="N976" s="176"/>
      <c r="O976" s="176"/>
      <c r="P976" s="179">
        <v>-12.09</v>
      </c>
    </row>
    <row r="977" spans="1:16" ht="19.5" customHeight="1">
      <c r="A977" s="171" t="s">
        <v>1219</v>
      </c>
      <c r="B977" s="175">
        <v>46060</v>
      </c>
      <c r="C977" s="171" t="s">
        <v>110</v>
      </c>
      <c r="D977" s="171" t="s">
        <v>24</v>
      </c>
      <c r="E977" s="171" t="s">
        <v>38</v>
      </c>
      <c r="F977" s="171" t="s">
        <v>111</v>
      </c>
      <c r="G977" s="171" t="s">
        <v>112</v>
      </c>
      <c r="H977" s="176">
        <v>1</v>
      </c>
      <c r="I977" s="177">
        <v>2000</v>
      </c>
      <c r="J977" s="175">
        <v>46058</v>
      </c>
      <c r="K977" s="171" t="s">
        <v>113</v>
      </c>
      <c r="L977" s="171" t="s">
        <v>114</v>
      </c>
      <c r="M977" s="178">
        <v>0.43</v>
      </c>
      <c r="N977" s="176"/>
      <c r="O977" s="176">
        <v>42</v>
      </c>
      <c r="P977" s="179">
        <v>-130.43</v>
      </c>
    </row>
    <row r="978" spans="1:16" ht="19.5" customHeight="1">
      <c r="A978" s="171" t="s">
        <v>1219</v>
      </c>
      <c r="B978" s="175">
        <v>46060</v>
      </c>
      <c r="C978" s="171" t="s">
        <v>127</v>
      </c>
      <c r="D978" s="171" t="s">
        <v>128</v>
      </c>
      <c r="E978" s="171" t="s">
        <v>38</v>
      </c>
      <c r="F978" s="171" t="s">
        <v>111</v>
      </c>
      <c r="G978" s="171" t="s">
        <v>112</v>
      </c>
      <c r="H978" s="176">
        <v>1</v>
      </c>
      <c r="I978" s="177">
        <v>2000</v>
      </c>
      <c r="J978" s="175">
        <v>46058</v>
      </c>
      <c r="K978" s="171" t="s">
        <v>113</v>
      </c>
      <c r="L978" s="171" t="s">
        <v>114</v>
      </c>
      <c r="M978" s="178">
        <v>0</v>
      </c>
      <c r="N978" s="176"/>
      <c r="O978" s="176"/>
      <c r="P978" s="179">
        <v>835.24</v>
      </c>
    </row>
    <row r="979" spans="1:16" ht="19.5" customHeight="1">
      <c r="A979" s="171" t="s">
        <v>1219</v>
      </c>
      <c r="B979" s="175">
        <v>46060</v>
      </c>
      <c r="C979" s="171" t="s">
        <v>127</v>
      </c>
      <c r="D979" s="171" t="s">
        <v>129</v>
      </c>
      <c r="E979" s="171" t="s">
        <v>38</v>
      </c>
      <c r="F979" s="171" t="s">
        <v>111</v>
      </c>
      <c r="G979" s="171" t="s">
        <v>112</v>
      </c>
      <c r="H979" s="176">
        <v>1</v>
      </c>
      <c r="I979" s="177">
        <v>2000</v>
      </c>
      <c r="J979" s="175">
        <v>46058</v>
      </c>
      <c r="K979" s="171" t="s">
        <v>113</v>
      </c>
      <c r="L979" s="171" t="s">
        <v>114</v>
      </c>
      <c r="M979" s="178">
        <v>0</v>
      </c>
      <c r="N979" s="176"/>
      <c r="O979" s="176"/>
      <c r="P979" s="179">
        <v>8.35</v>
      </c>
    </row>
    <row r="980" spans="1:16" ht="19.5" customHeight="1">
      <c r="A980" s="171" t="s">
        <v>1219</v>
      </c>
      <c r="B980" s="175">
        <v>46060</v>
      </c>
      <c r="C980" s="171" t="s">
        <v>127</v>
      </c>
      <c r="D980" s="171" t="s">
        <v>130</v>
      </c>
      <c r="E980" s="171" t="s">
        <v>38</v>
      </c>
      <c r="F980" s="171" t="s">
        <v>111</v>
      </c>
      <c r="G980" s="171" t="s">
        <v>112</v>
      </c>
      <c r="H980" s="176">
        <v>1</v>
      </c>
      <c r="I980" s="177">
        <v>2000</v>
      </c>
      <c r="J980" s="175">
        <v>46058</v>
      </c>
      <c r="K980" s="171" t="s">
        <v>113</v>
      </c>
      <c r="L980" s="171" t="s">
        <v>114</v>
      </c>
      <c r="M980" s="178">
        <v>0</v>
      </c>
      <c r="N980" s="176"/>
      <c r="O980" s="176"/>
      <c r="P980" s="179">
        <v>1156.4100000000001</v>
      </c>
    </row>
    <row r="981" spans="1:16" ht="19.5" customHeight="1">
      <c r="A981" s="171" t="s">
        <v>1219</v>
      </c>
      <c r="B981" s="175">
        <v>46060</v>
      </c>
      <c r="C981" s="171" t="s">
        <v>131</v>
      </c>
      <c r="D981" s="171" t="s">
        <v>132</v>
      </c>
      <c r="E981" s="171" t="s">
        <v>38</v>
      </c>
      <c r="F981" s="171" t="s">
        <v>111</v>
      </c>
      <c r="G981" s="171" t="s">
        <v>112</v>
      </c>
      <c r="H981" s="176">
        <v>1</v>
      </c>
      <c r="I981" s="177">
        <v>2000</v>
      </c>
      <c r="J981" s="175">
        <v>46058</v>
      </c>
      <c r="K981" s="171" t="s">
        <v>113</v>
      </c>
      <c r="L981" s="171" t="s">
        <v>114</v>
      </c>
      <c r="M981" s="178">
        <v>0.43</v>
      </c>
      <c r="N981" s="176"/>
      <c r="O981" s="176"/>
      <c r="P981" s="179">
        <v>-860</v>
      </c>
    </row>
    <row r="982" spans="1:16" ht="19.5" customHeight="1">
      <c r="A982" s="171" t="s">
        <v>1219</v>
      </c>
      <c r="B982" s="175">
        <v>46060</v>
      </c>
      <c r="C982" s="171" t="s">
        <v>115</v>
      </c>
      <c r="D982" s="171" t="s">
        <v>116</v>
      </c>
      <c r="E982" s="171" t="s">
        <v>38</v>
      </c>
      <c r="F982" s="171" t="s">
        <v>111</v>
      </c>
      <c r="G982" s="171" t="s">
        <v>112</v>
      </c>
      <c r="H982" s="176">
        <v>1</v>
      </c>
      <c r="I982" s="177">
        <v>2000</v>
      </c>
      <c r="J982" s="175">
        <v>46058</v>
      </c>
      <c r="K982" s="171" t="s">
        <v>113</v>
      </c>
      <c r="L982" s="171" t="s">
        <v>114</v>
      </c>
      <c r="M982" s="178">
        <v>0.43</v>
      </c>
      <c r="N982" s="176"/>
      <c r="O982" s="176"/>
      <c r="P982" s="179">
        <v>-10.88</v>
      </c>
    </row>
    <row r="983" spans="1:16" ht="19.5" customHeight="1">
      <c r="A983" s="171" t="s">
        <v>1220</v>
      </c>
      <c r="B983" s="175">
        <v>46060</v>
      </c>
      <c r="C983" s="171" t="s">
        <v>110</v>
      </c>
      <c r="D983" s="171" t="s">
        <v>24</v>
      </c>
      <c r="E983" s="171" t="s">
        <v>48</v>
      </c>
      <c r="F983" s="171" t="s">
        <v>198</v>
      </c>
      <c r="G983" s="171" t="s">
        <v>112</v>
      </c>
      <c r="H983" s="176">
        <v>1</v>
      </c>
      <c r="I983" s="177">
        <v>1682</v>
      </c>
      <c r="J983" s="175">
        <v>46059</v>
      </c>
      <c r="K983" s="171" t="s">
        <v>113</v>
      </c>
      <c r="L983" s="171" t="s">
        <v>114</v>
      </c>
      <c r="M983" s="178">
        <v>0.43</v>
      </c>
      <c r="N983" s="176"/>
      <c r="O983" s="176">
        <v>42</v>
      </c>
      <c r="P983" s="179">
        <v>-121.37</v>
      </c>
    </row>
    <row r="984" spans="1:16" ht="19.5" customHeight="1">
      <c r="A984" s="171" t="s">
        <v>1220</v>
      </c>
      <c r="B984" s="175">
        <v>46060</v>
      </c>
      <c r="C984" s="171" t="s">
        <v>127</v>
      </c>
      <c r="D984" s="171" t="s">
        <v>128</v>
      </c>
      <c r="E984" s="171" t="s">
        <v>48</v>
      </c>
      <c r="F984" s="171" t="s">
        <v>198</v>
      </c>
      <c r="G984" s="171" t="s">
        <v>112</v>
      </c>
      <c r="H984" s="176">
        <v>1</v>
      </c>
      <c r="I984" s="177">
        <v>1682</v>
      </c>
      <c r="J984" s="175">
        <v>46059</v>
      </c>
      <c r="K984" s="171" t="s">
        <v>113</v>
      </c>
      <c r="L984" s="171" t="s">
        <v>114</v>
      </c>
      <c r="M984" s="178">
        <v>0</v>
      </c>
      <c r="N984" s="176"/>
      <c r="O984" s="176"/>
      <c r="P984" s="179">
        <v>758.1</v>
      </c>
    </row>
    <row r="985" spans="1:16" ht="19.5" customHeight="1">
      <c r="A985" s="171" t="s">
        <v>1220</v>
      </c>
      <c r="B985" s="175">
        <v>46060</v>
      </c>
      <c r="C985" s="171" t="s">
        <v>127</v>
      </c>
      <c r="D985" s="171" t="s">
        <v>129</v>
      </c>
      <c r="E985" s="171" t="s">
        <v>48</v>
      </c>
      <c r="F985" s="171" t="s">
        <v>198</v>
      </c>
      <c r="G985" s="171" t="s">
        <v>112</v>
      </c>
      <c r="H985" s="176">
        <v>1</v>
      </c>
      <c r="I985" s="177">
        <v>1682</v>
      </c>
      <c r="J985" s="175">
        <v>46059</v>
      </c>
      <c r="K985" s="171" t="s">
        <v>113</v>
      </c>
      <c r="L985" s="171" t="s">
        <v>114</v>
      </c>
      <c r="M985" s="178">
        <v>0</v>
      </c>
      <c r="N985" s="176"/>
      <c r="O985" s="176"/>
      <c r="P985" s="179">
        <v>7.58</v>
      </c>
    </row>
    <row r="986" spans="1:16" ht="19.5" customHeight="1">
      <c r="A986" s="171" t="s">
        <v>1220</v>
      </c>
      <c r="B986" s="175">
        <v>46060</v>
      </c>
      <c r="C986" s="171" t="s">
        <v>127</v>
      </c>
      <c r="D986" s="171" t="s">
        <v>130</v>
      </c>
      <c r="E986" s="171" t="s">
        <v>48</v>
      </c>
      <c r="F986" s="171" t="s">
        <v>198</v>
      </c>
      <c r="G986" s="171" t="s">
        <v>112</v>
      </c>
      <c r="H986" s="176">
        <v>1</v>
      </c>
      <c r="I986" s="177">
        <v>1682</v>
      </c>
      <c r="J986" s="175">
        <v>46059</v>
      </c>
      <c r="K986" s="171" t="s">
        <v>113</v>
      </c>
      <c r="L986" s="171" t="s">
        <v>114</v>
      </c>
      <c r="M986" s="178">
        <v>0</v>
      </c>
      <c r="N986" s="176"/>
      <c r="O986" s="176"/>
      <c r="P986" s="179">
        <v>916.32</v>
      </c>
    </row>
    <row r="987" spans="1:16" ht="19.5" customHeight="1">
      <c r="A987" s="171" t="s">
        <v>1220</v>
      </c>
      <c r="B987" s="175">
        <v>46060</v>
      </c>
      <c r="C987" s="171" t="s">
        <v>131</v>
      </c>
      <c r="D987" s="171" t="s">
        <v>132</v>
      </c>
      <c r="E987" s="171" t="s">
        <v>48</v>
      </c>
      <c r="F987" s="171" t="s">
        <v>198</v>
      </c>
      <c r="G987" s="171" t="s">
        <v>112</v>
      </c>
      <c r="H987" s="176">
        <v>1</v>
      </c>
      <c r="I987" s="177">
        <v>1682</v>
      </c>
      <c r="J987" s="175">
        <v>46059</v>
      </c>
      <c r="K987" s="171" t="s">
        <v>113</v>
      </c>
      <c r="L987" s="171" t="s">
        <v>114</v>
      </c>
      <c r="M987" s="178">
        <v>0.43</v>
      </c>
      <c r="N987" s="176"/>
      <c r="O987" s="176"/>
      <c r="P987" s="179">
        <v>-723.26</v>
      </c>
    </row>
    <row r="988" spans="1:16" ht="19.5" customHeight="1">
      <c r="A988" s="171" t="s">
        <v>1220</v>
      </c>
      <c r="B988" s="175">
        <v>46060</v>
      </c>
      <c r="C988" s="171" t="s">
        <v>115</v>
      </c>
      <c r="D988" s="171" t="s">
        <v>116</v>
      </c>
      <c r="E988" s="171" t="s">
        <v>48</v>
      </c>
      <c r="F988" s="171" t="s">
        <v>198</v>
      </c>
      <c r="G988" s="171" t="s">
        <v>112</v>
      </c>
      <c r="H988" s="176">
        <v>1</v>
      </c>
      <c r="I988" s="177">
        <v>1682</v>
      </c>
      <c r="J988" s="175">
        <v>46059</v>
      </c>
      <c r="K988" s="171" t="s">
        <v>113</v>
      </c>
      <c r="L988" s="171" t="s">
        <v>114</v>
      </c>
      <c r="M988" s="178">
        <v>0.43</v>
      </c>
      <c r="N988" s="176"/>
      <c r="O988" s="176"/>
      <c r="P988" s="179">
        <v>-8.42</v>
      </c>
    </row>
    <row r="989" spans="1:16" ht="19.5" customHeight="1">
      <c r="A989" s="171" t="s">
        <v>1221</v>
      </c>
      <c r="B989" s="175">
        <v>46060</v>
      </c>
      <c r="C989" s="171" t="s">
        <v>110</v>
      </c>
      <c r="D989" s="171" t="s">
        <v>24</v>
      </c>
      <c r="E989" s="171" t="s">
        <v>38</v>
      </c>
      <c r="F989" s="171" t="s">
        <v>111</v>
      </c>
      <c r="G989" s="171" t="s">
        <v>112</v>
      </c>
      <c r="H989" s="176">
        <v>1</v>
      </c>
      <c r="I989" s="177">
        <v>1670</v>
      </c>
      <c r="J989" s="175">
        <v>46042</v>
      </c>
      <c r="K989" s="171" t="s">
        <v>113</v>
      </c>
      <c r="L989" s="171" t="s">
        <v>114</v>
      </c>
      <c r="M989" s="178">
        <v>0.43</v>
      </c>
      <c r="N989" s="176"/>
      <c r="O989" s="176">
        <v>52</v>
      </c>
      <c r="P989" s="179">
        <v>-146.22999999999999</v>
      </c>
    </row>
    <row r="990" spans="1:16" ht="19.5" customHeight="1">
      <c r="A990" s="171" t="s">
        <v>1221</v>
      </c>
      <c r="B990" s="175">
        <v>46060</v>
      </c>
      <c r="C990" s="171" t="s">
        <v>127</v>
      </c>
      <c r="D990" s="171" t="s">
        <v>128</v>
      </c>
      <c r="E990" s="171" t="s">
        <v>38</v>
      </c>
      <c r="F990" s="171" t="s">
        <v>111</v>
      </c>
      <c r="G990" s="171" t="s">
        <v>112</v>
      </c>
      <c r="H990" s="176">
        <v>1</v>
      </c>
      <c r="I990" s="177">
        <v>1670</v>
      </c>
      <c r="J990" s="175">
        <v>46042</v>
      </c>
      <c r="K990" s="171" t="s">
        <v>113</v>
      </c>
      <c r="L990" s="171" t="s">
        <v>114</v>
      </c>
      <c r="M990" s="178">
        <v>0</v>
      </c>
      <c r="N990" s="176"/>
      <c r="O990" s="176"/>
      <c r="P990" s="179">
        <v>573.74</v>
      </c>
    </row>
    <row r="991" spans="1:16" ht="19.5" customHeight="1">
      <c r="A991" s="171" t="s">
        <v>1221</v>
      </c>
      <c r="B991" s="175">
        <v>46060</v>
      </c>
      <c r="C991" s="171" t="s">
        <v>127</v>
      </c>
      <c r="D991" s="171" t="s">
        <v>129</v>
      </c>
      <c r="E991" s="171" t="s">
        <v>38</v>
      </c>
      <c r="F991" s="171" t="s">
        <v>111</v>
      </c>
      <c r="G991" s="171" t="s">
        <v>112</v>
      </c>
      <c r="H991" s="176">
        <v>1</v>
      </c>
      <c r="I991" s="177">
        <v>1670</v>
      </c>
      <c r="J991" s="175">
        <v>46042</v>
      </c>
      <c r="K991" s="171" t="s">
        <v>113</v>
      </c>
      <c r="L991" s="171" t="s">
        <v>114</v>
      </c>
      <c r="M991" s="178">
        <v>0</v>
      </c>
      <c r="N991" s="176"/>
      <c r="O991" s="176"/>
      <c r="P991" s="179">
        <v>5.74</v>
      </c>
    </row>
    <row r="992" spans="1:16" ht="19.5" customHeight="1">
      <c r="A992" s="171" t="s">
        <v>1221</v>
      </c>
      <c r="B992" s="175">
        <v>46060</v>
      </c>
      <c r="C992" s="171" t="s">
        <v>127</v>
      </c>
      <c r="D992" s="171" t="s">
        <v>130</v>
      </c>
      <c r="E992" s="171" t="s">
        <v>38</v>
      </c>
      <c r="F992" s="171" t="s">
        <v>111</v>
      </c>
      <c r="G992" s="171" t="s">
        <v>112</v>
      </c>
      <c r="H992" s="176">
        <v>1</v>
      </c>
      <c r="I992" s="177">
        <v>1670</v>
      </c>
      <c r="J992" s="175">
        <v>46042</v>
      </c>
      <c r="K992" s="171" t="s">
        <v>113</v>
      </c>
      <c r="L992" s="171" t="s">
        <v>114</v>
      </c>
      <c r="M992" s="178">
        <v>0</v>
      </c>
      <c r="N992" s="176"/>
      <c r="O992" s="176"/>
      <c r="P992" s="179">
        <v>1090.52</v>
      </c>
    </row>
    <row r="993" spans="1:16" ht="19.5" customHeight="1">
      <c r="A993" s="171" t="s">
        <v>1221</v>
      </c>
      <c r="B993" s="175">
        <v>46060</v>
      </c>
      <c r="C993" s="171" t="s">
        <v>131</v>
      </c>
      <c r="D993" s="171" t="s">
        <v>132</v>
      </c>
      <c r="E993" s="171" t="s">
        <v>38</v>
      </c>
      <c r="F993" s="171" t="s">
        <v>111</v>
      </c>
      <c r="G993" s="171" t="s">
        <v>112</v>
      </c>
      <c r="H993" s="176">
        <v>1</v>
      </c>
      <c r="I993" s="177">
        <v>1670</v>
      </c>
      <c r="J993" s="175">
        <v>46042</v>
      </c>
      <c r="K993" s="171" t="s">
        <v>113</v>
      </c>
      <c r="L993" s="171" t="s">
        <v>114</v>
      </c>
      <c r="M993" s="178">
        <v>0.43</v>
      </c>
      <c r="N993" s="176"/>
      <c r="O993" s="176"/>
      <c r="P993" s="179">
        <v>-718.1</v>
      </c>
    </row>
    <row r="994" spans="1:16" ht="19.5" customHeight="1">
      <c r="A994" s="171" t="s">
        <v>1221</v>
      </c>
      <c r="B994" s="175">
        <v>46060</v>
      </c>
      <c r="C994" s="171" t="s">
        <v>115</v>
      </c>
      <c r="D994" s="171" t="s">
        <v>116</v>
      </c>
      <c r="E994" s="171" t="s">
        <v>38</v>
      </c>
      <c r="F994" s="171" t="s">
        <v>111</v>
      </c>
      <c r="G994" s="171" t="s">
        <v>112</v>
      </c>
      <c r="H994" s="176">
        <v>1</v>
      </c>
      <c r="I994" s="177">
        <v>1670</v>
      </c>
      <c r="J994" s="175">
        <v>46042</v>
      </c>
      <c r="K994" s="171" t="s">
        <v>113</v>
      </c>
      <c r="L994" s="171" t="s">
        <v>114</v>
      </c>
      <c r="M994" s="178">
        <v>0.43</v>
      </c>
      <c r="N994" s="176"/>
      <c r="O994" s="176"/>
      <c r="P994" s="179">
        <v>-18.89</v>
      </c>
    </row>
    <row r="995" spans="1:16" ht="19.5" customHeight="1">
      <c r="A995" s="171" t="s">
        <v>1219</v>
      </c>
      <c r="B995" s="175">
        <v>46060</v>
      </c>
      <c r="C995" s="171" t="s">
        <v>115</v>
      </c>
      <c r="D995" s="171" t="s">
        <v>135</v>
      </c>
      <c r="E995" s="171" t="s">
        <v>38</v>
      </c>
      <c r="F995" s="171" t="s">
        <v>111</v>
      </c>
      <c r="G995" s="171" t="s">
        <v>112</v>
      </c>
      <c r="H995" s="176">
        <v>1</v>
      </c>
      <c r="I995" s="177">
        <v>0</v>
      </c>
      <c r="J995" s="175">
        <v>46058</v>
      </c>
      <c r="K995" s="171" t="s">
        <v>125</v>
      </c>
      <c r="L995" s="171" t="s">
        <v>125</v>
      </c>
      <c r="M995" s="178">
        <v>0</v>
      </c>
      <c r="N995" s="176"/>
      <c r="O995" s="176"/>
      <c r="P995" s="179">
        <v>-15.87</v>
      </c>
    </row>
    <row r="996" spans="1:16" ht="19.5" customHeight="1">
      <c r="A996" s="171" t="s">
        <v>1220</v>
      </c>
      <c r="B996" s="175">
        <v>46060</v>
      </c>
      <c r="C996" s="171" t="s">
        <v>115</v>
      </c>
      <c r="D996" s="171" t="s">
        <v>135</v>
      </c>
      <c r="E996" s="171" t="s">
        <v>48</v>
      </c>
      <c r="F996" s="171" t="s">
        <v>198</v>
      </c>
      <c r="G996" s="171" t="s">
        <v>112</v>
      </c>
      <c r="H996" s="176">
        <v>1</v>
      </c>
      <c r="I996" s="177">
        <v>0</v>
      </c>
      <c r="J996" s="175">
        <v>46059</v>
      </c>
      <c r="K996" s="171" t="s">
        <v>125</v>
      </c>
      <c r="L996" s="171" t="s">
        <v>125</v>
      </c>
      <c r="M996" s="178">
        <v>0</v>
      </c>
      <c r="N996" s="176"/>
      <c r="O996" s="176"/>
      <c r="P996" s="179">
        <v>-14.4</v>
      </c>
    </row>
    <row r="997" spans="1:16" ht="19.5" customHeight="1">
      <c r="A997" s="171" t="s">
        <v>1221</v>
      </c>
      <c r="B997" s="175">
        <v>46060</v>
      </c>
      <c r="C997" s="171" t="s">
        <v>115</v>
      </c>
      <c r="D997" s="171" t="s">
        <v>135</v>
      </c>
      <c r="E997" s="171" t="s">
        <v>38</v>
      </c>
      <c r="F997" s="171" t="s">
        <v>111</v>
      </c>
      <c r="G997" s="171" t="s">
        <v>112</v>
      </c>
      <c r="H997" s="176">
        <v>1</v>
      </c>
      <c r="I997" s="177">
        <v>0</v>
      </c>
      <c r="J997" s="175">
        <v>46042</v>
      </c>
      <c r="K997" s="171" t="s">
        <v>125</v>
      </c>
      <c r="L997" s="171" t="s">
        <v>125</v>
      </c>
      <c r="M997" s="178">
        <v>0</v>
      </c>
      <c r="N997" s="176"/>
      <c r="O997" s="176"/>
      <c r="P997" s="179">
        <v>-10.9</v>
      </c>
    </row>
    <row r="998" spans="1:16" ht="19.5" customHeight="1">
      <c r="A998" s="171" t="s">
        <v>1222</v>
      </c>
      <c r="B998" s="175">
        <v>46060</v>
      </c>
      <c r="C998" s="171" t="s">
        <v>110</v>
      </c>
      <c r="D998" s="171" t="s">
        <v>24</v>
      </c>
      <c r="E998" s="171" t="s">
        <v>77</v>
      </c>
      <c r="F998" s="171" t="s">
        <v>194</v>
      </c>
      <c r="G998" s="171" t="s">
        <v>177</v>
      </c>
      <c r="H998" s="176">
        <v>1</v>
      </c>
      <c r="I998" s="177">
        <v>5700</v>
      </c>
      <c r="J998" s="175">
        <v>46059</v>
      </c>
      <c r="K998" s="171" t="s">
        <v>113</v>
      </c>
      <c r="L998" s="171" t="s">
        <v>114</v>
      </c>
      <c r="M998" s="178">
        <v>0.43</v>
      </c>
      <c r="N998" s="176"/>
      <c r="O998" s="176">
        <v>42</v>
      </c>
      <c r="P998" s="179">
        <v>-251.85</v>
      </c>
    </row>
    <row r="999" spans="1:16" ht="19.5" customHeight="1">
      <c r="A999" s="171" t="s">
        <v>1222</v>
      </c>
      <c r="B999" s="175">
        <v>46060</v>
      </c>
      <c r="C999" s="171" t="s">
        <v>127</v>
      </c>
      <c r="D999" s="171" t="s">
        <v>128</v>
      </c>
      <c r="E999" s="171" t="s">
        <v>77</v>
      </c>
      <c r="F999" s="171" t="s">
        <v>194</v>
      </c>
      <c r="G999" s="171" t="s">
        <v>177</v>
      </c>
      <c r="H999" s="176">
        <v>1</v>
      </c>
      <c r="I999" s="177">
        <v>5700</v>
      </c>
      <c r="J999" s="175">
        <v>46059</v>
      </c>
      <c r="K999" s="171" t="s">
        <v>113</v>
      </c>
      <c r="L999" s="171" t="s">
        <v>114</v>
      </c>
      <c r="M999" s="178">
        <v>0</v>
      </c>
      <c r="N999" s="176"/>
      <c r="O999" s="176"/>
      <c r="P999" s="179">
        <v>1993.35</v>
      </c>
    </row>
    <row r="1000" spans="1:16" ht="19.5" customHeight="1">
      <c r="A1000" s="171" t="s">
        <v>1222</v>
      </c>
      <c r="B1000" s="175">
        <v>46060</v>
      </c>
      <c r="C1000" s="171" t="s">
        <v>127</v>
      </c>
      <c r="D1000" s="171" t="s">
        <v>129</v>
      </c>
      <c r="E1000" s="171" t="s">
        <v>77</v>
      </c>
      <c r="F1000" s="171" t="s">
        <v>194</v>
      </c>
      <c r="G1000" s="171" t="s">
        <v>177</v>
      </c>
      <c r="H1000" s="176">
        <v>1</v>
      </c>
      <c r="I1000" s="177">
        <v>5700</v>
      </c>
      <c r="J1000" s="175">
        <v>46059</v>
      </c>
      <c r="K1000" s="171" t="s">
        <v>113</v>
      </c>
      <c r="L1000" s="171" t="s">
        <v>114</v>
      </c>
      <c r="M1000" s="178">
        <v>0</v>
      </c>
      <c r="N1000" s="176"/>
      <c r="O1000" s="176"/>
      <c r="P1000" s="179">
        <v>19.93</v>
      </c>
    </row>
    <row r="1001" spans="1:16" ht="19.5" customHeight="1">
      <c r="A1001" s="171" t="s">
        <v>1222</v>
      </c>
      <c r="B1001" s="175">
        <v>46060</v>
      </c>
      <c r="C1001" s="171" t="s">
        <v>127</v>
      </c>
      <c r="D1001" s="171" t="s">
        <v>130</v>
      </c>
      <c r="E1001" s="171" t="s">
        <v>77</v>
      </c>
      <c r="F1001" s="171" t="s">
        <v>194</v>
      </c>
      <c r="G1001" s="171" t="s">
        <v>177</v>
      </c>
      <c r="H1001" s="176">
        <v>1</v>
      </c>
      <c r="I1001" s="177">
        <v>5700</v>
      </c>
      <c r="J1001" s="175">
        <v>46059</v>
      </c>
      <c r="K1001" s="171" t="s">
        <v>113</v>
      </c>
      <c r="L1001" s="171" t="s">
        <v>114</v>
      </c>
      <c r="M1001" s="178">
        <v>0</v>
      </c>
      <c r="N1001" s="176"/>
      <c r="O1001" s="176"/>
      <c r="P1001" s="179">
        <v>3686.72</v>
      </c>
    </row>
    <row r="1002" spans="1:16" ht="19.5" customHeight="1">
      <c r="A1002" s="171" t="s">
        <v>1222</v>
      </c>
      <c r="B1002" s="175">
        <v>46060</v>
      </c>
      <c r="C1002" s="171" t="s">
        <v>131</v>
      </c>
      <c r="D1002" s="171" t="s">
        <v>132</v>
      </c>
      <c r="E1002" s="171" t="s">
        <v>77</v>
      </c>
      <c r="F1002" s="171" t="s">
        <v>194</v>
      </c>
      <c r="G1002" s="171" t="s">
        <v>177</v>
      </c>
      <c r="H1002" s="176">
        <v>1</v>
      </c>
      <c r="I1002" s="177">
        <v>5700</v>
      </c>
      <c r="J1002" s="175">
        <v>46059</v>
      </c>
      <c r="K1002" s="171" t="s">
        <v>113</v>
      </c>
      <c r="L1002" s="171" t="s">
        <v>114</v>
      </c>
      <c r="M1002" s="178">
        <v>0.43</v>
      </c>
      <c r="N1002" s="176"/>
      <c r="O1002" s="176"/>
      <c r="P1002" s="179">
        <v>-2451</v>
      </c>
    </row>
    <row r="1003" spans="1:16" ht="19.5" customHeight="1">
      <c r="A1003" s="171" t="s">
        <v>1222</v>
      </c>
      <c r="B1003" s="175">
        <v>46060</v>
      </c>
      <c r="C1003" s="171" t="s">
        <v>115</v>
      </c>
      <c r="D1003" s="171" t="s">
        <v>116</v>
      </c>
      <c r="E1003" s="171" t="s">
        <v>77</v>
      </c>
      <c r="F1003" s="171" t="s">
        <v>194</v>
      </c>
      <c r="G1003" s="171" t="s">
        <v>177</v>
      </c>
      <c r="H1003" s="176">
        <v>1</v>
      </c>
      <c r="I1003" s="177">
        <v>5700</v>
      </c>
      <c r="J1003" s="175">
        <v>46059</v>
      </c>
      <c r="K1003" s="171" t="s">
        <v>113</v>
      </c>
      <c r="L1003" s="171" t="s">
        <v>114</v>
      </c>
      <c r="M1003" s="178">
        <v>0.43</v>
      </c>
      <c r="N1003" s="176"/>
      <c r="O1003" s="176"/>
      <c r="P1003" s="179">
        <v>-11.72</v>
      </c>
    </row>
    <row r="1004" spans="1:16" ht="19.5" customHeight="1">
      <c r="A1004" s="171" t="s">
        <v>1223</v>
      </c>
      <c r="B1004" s="175">
        <v>46060</v>
      </c>
      <c r="C1004" s="171" t="s">
        <v>115</v>
      </c>
      <c r="D1004" s="171" t="s">
        <v>135</v>
      </c>
      <c r="E1004" s="171" t="s">
        <v>38</v>
      </c>
      <c r="F1004" s="171" t="s">
        <v>111</v>
      </c>
      <c r="G1004" s="171" t="s">
        <v>112</v>
      </c>
      <c r="H1004" s="176">
        <v>1</v>
      </c>
      <c r="I1004" s="177">
        <v>0</v>
      </c>
      <c r="J1004" s="175">
        <v>46060</v>
      </c>
      <c r="K1004" s="171" t="s">
        <v>125</v>
      </c>
      <c r="L1004" s="171" t="s">
        <v>125</v>
      </c>
      <c r="M1004" s="178">
        <v>0</v>
      </c>
      <c r="N1004" s="176"/>
      <c r="O1004" s="176"/>
      <c r="P1004" s="179">
        <v>-3.98</v>
      </c>
    </row>
    <row r="1005" spans="1:16" ht="19.5" customHeight="1">
      <c r="A1005" s="171" t="s">
        <v>1224</v>
      </c>
      <c r="B1005" s="175">
        <v>46060</v>
      </c>
      <c r="C1005" s="171" t="s">
        <v>110</v>
      </c>
      <c r="D1005" s="171" t="s">
        <v>24</v>
      </c>
      <c r="E1005" s="171" t="s">
        <v>42</v>
      </c>
      <c r="F1005" s="171" t="s">
        <v>248</v>
      </c>
      <c r="G1005" s="171" t="s">
        <v>112</v>
      </c>
      <c r="H1005" s="176">
        <v>1</v>
      </c>
      <c r="I1005" s="177">
        <v>0</v>
      </c>
      <c r="J1005" s="175">
        <v>46052</v>
      </c>
      <c r="K1005" s="171" t="s">
        <v>113</v>
      </c>
      <c r="L1005" s="171" t="s">
        <v>114</v>
      </c>
      <c r="M1005" s="178">
        <v>0</v>
      </c>
      <c r="N1005" s="176"/>
      <c r="O1005" s="176">
        <v>49</v>
      </c>
      <c r="P1005" s="179">
        <v>-46.77</v>
      </c>
    </row>
    <row r="1006" spans="1:16" ht="19.5" customHeight="1">
      <c r="A1006" s="171" t="s">
        <v>1224</v>
      </c>
      <c r="B1006" s="175">
        <v>46060</v>
      </c>
      <c r="C1006" s="171" t="s">
        <v>115</v>
      </c>
      <c r="D1006" s="171" t="s">
        <v>116</v>
      </c>
      <c r="E1006" s="171" t="s">
        <v>42</v>
      </c>
      <c r="F1006" s="171" t="s">
        <v>248</v>
      </c>
      <c r="G1006" s="171" t="s">
        <v>112</v>
      </c>
      <c r="H1006" s="176">
        <v>1</v>
      </c>
      <c r="I1006" s="177">
        <v>0</v>
      </c>
      <c r="J1006" s="175">
        <v>46052</v>
      </c>
      <c r="K1006" s="171" t="s">
        <v>113</v>
      </c>
      <c r="L1006" s="171" t="s">
        <v>114</v>
      </c>
      <c r="M1006" s="178">
        <v>0</v>
      </c>
      <c r="N1006" s="176"/>
      <c r="O1006" s="176"/>
      <c r="P1006" s="179">
        <v>-14.25</v>
      </c>
    </row>
    <row r="1007" spans="1:16" ht="19.5" customHeight="1">
      <c r="A1007" s="171" t="s">
        <v>1224</v>
      </c>
      <c r="B1007" s="175">
        <v>46060</v>
      </c>
      <c r="C1007" s="171" t="s">
        <v>110</v>
      </c>
      <c r="D1007" s="171" t="s">
        <v>117</v>
      </c>
      <c r="E1007" s="171" t="s">
        <v>42</v>
      </c>
      <c r="F1007" s="171" t="s">
        <v>248</v>
      </c>
      <c r="G1007" s="171" t="s">
        <v>112</v>
      </c>
      <c r="H1007" s="176">
        <v>1</v>
      </c>
      <c r="I1007" s="177">
        <v>0</v>
      </c>
      <c r="J1007" s="175">
        <v>46052</v>
      </c>
      <c r="K1007" s="171" t="s">
        <v>113</v>
      </c>
      <c r="L1007" s="171" t="s">
        <v>114</v>
      </c>
      <c r="M1007" s="178">
        <v>0</v>
      </c>
      <c r="N1007" s="176"/>
      <c r="O1007" s="176"/>
      <c r="P1007" s="179">
        <v>0</v>
      </c>
    </row>
    <row r="1008" spans="1:16" ht="19.5" customHeight="1">
      <c r="A1008" s="171" t="s">
        <v>1224</v>
      </c>
      <c r="B1008" s="175">
        <v>46060</v>
      </c>
      <c r="C1008" s="171" t="s">
        <v>110</v>
      </c>
      <c r="D1008" s="171" t="s">
        <v>118</v>
      </c>
      <c r="E1008" s="171" t="s">
        <v>42</v>
      </c>
      <c r="F1008" s="171" t="s">
        <v>248</v>
      </c>
      <c r="G1008" s="171" t="s">
        <v>112</v>
      </c>
      <c r="H1008" s="176">
        <v>1</v>
      </c>
      <c r="I1008" s="177">
        <v>0</v>
      </c>
      <c r="J1008" s="175">
        <v>46052</v>
      </c>
      <c r="K1008" s="171" t="s">
        <v>113</v>
      </c>
      <c r="L1008" s="171" t="s">
        <v>114</v>
      </c>
      <c r="M1008" s="178">
        <v>0</v>
      </c>
      <c r="N1008" s="176"/>
      <c r="O1008" s="176"/>
      <c r="P1008" s="179">
        <v>-46.77</v>
      </c>
    </row>
    <row r="1009" spans="1:16" ht="19.5" customHeight="1">
      <c r="A1009" s="171" t="s">
        <v>1224</v>
      </c>
      <c r="B1009" s="175">
        <v>46060</v>
      </c>
      <c r="C1009" s="171" t="s">
        <v>115</v>
      </c>
      <c r="D1009" s="171" t="s">
        <v>119</v>
      </c>
      <c r="E1009" s="171" t="s">
        <v>42</v>
      </c>
      <c r="F1009" s="171" t="s">
        <v>248</v>
      </c>
      <c r="G1009" s="171" t="s">
        <v>112</v>
      </c>
      <c r="H1009" s="176">
        <v>1</v>
      </c>
      <c r="I1009" s="177">
        <v>0</v>
      </c>
      <c r="J1009" s="175">
        <v>46052</v>
      </c>
      <c r="K1009" s="171" t="s">
        <v>113</v>
      </c>
      <c r="L1009" s="171" t="s">
        <v>114</v>
      </c>
      <c r="M1009" s="178">
        <v>0</v>
      </c>
      <c r="N1009" s="176"/>
      <c r="O1009" s="176"/>
      <c r="P1009" s="179">
        <v>-15</v>
      </c>
    </row>
    <row r="1010" spans="1:16" ht="19.5" customHeight="1">
      <c r="A1010" s="171" t="s">
        <v>1192</v>
      </c>
      <c r="B1010" s="175">
        <v>46060</v>
      </c>
      <c r="C1010" s="171" t="s">
        <v>151</v>
      </c>
      <c r="D1010" s="171" t="s">
        <v>152</v>
      </c>
      <c r="E1010" s="171" t="s">
        <v>125</v>
      </c>
      <c r="F1010" s="171" t="s">
        <v>125</v>
      </c>
      <c r="G1010" s="171" t="s">
        <v>125</v>
      </c>
      <c r="H1010" s="176">
        <v>0</v>
      </c>
      <c r="I1010" s="177">
        <v>0</v>
      </c>
      <c r="J1010" s="175">
        <v>46060</v>
      </c>
      <c r="K1010" s="171" t="s">
        <v>125</v>
      </c>
      <c r="L1010" s="171" t="s">
        <v>125</v>
      </c>
      <c r="M1010" s="178">
        <v>0</v>
      </c>
      <c r="N1010" s="176"/>
      <c r="O1010" s="176"/>
      <c r="P1010" s="179">
        <v>-290.04000000000002</v>
      </c>
    </row>
    <row r="1011" spans="1:16" ht="19.5" customHeight="1">
      <c r="A1011" s="171" t="s">
        <v>180</v>
      </c>
      <c r="B1011" s="175">
        <v>46060</v>
      </c>
      <c r="C1011" s="171" t="s">
        <v>151</v>
      </c>
      <c r="D1011" s="171" t="s">
        <v>152</v>
      </c>
      <c r="E1011" s="171" t="s">
        <v>125</v>
      </c>
      <c r="F1011" s="171" t="s">
        <v>125</v>
      </c>
      <c r="G1011" s="171" t="s">
        <v>125</v>
      </c>
      <c r="H1011" s="176">
        <v>0</v>
      </c>
      <c r="I1011" s="177">
        <v>0</v>
      </c>
      <c r="J1011" s="175">
        <v>46060</v>
      </c>
      <c r="K1011" s="171" t="s">
        <v>125</v>
      </c>
      <c r="L1011" s="171" t="s">
        <v>125</v>
      </c>
      <c r="M1011" s="178">
        <v>0</v>
      </c>
      <c r="N1011" s="176"/>
      <c r="O1011" s="176"/>
      <c r="P1011" s="179">
        <v>-358.27</v>
      </c>
    </row>
    <row r="1012" spans="1:16" ht="19.5" customHeight="1">
      <c r="A1012" s="171" t="s">
        <v>150</v>
      </c>
      <c r="B1012" s="175">
        <v>46060</v>
      </c>
      <c r="C1012" s="171" t="s">
        <v>151</v>
      </c>
      <c r="D1012" s="171" t="s">
        <v>152</v>
      </c>
      <c r="E1012" s="171" t="s">
        <v>125</v>
      </c>
      <c r="F1012" s="171" t="s">
        <v>125</v>
      </c>
      <c r="G1012" s="171" t="s">
        <v>125</v>
      </c>
      <c r="H1012" s="176">
        <v>0</v>
      </c>
      <c r="I1012" s="177">
        <v>0</v>
      </c>
      <c r="J1012" s="175">
        <v>46060</v>
      </c>
      <c r="K1012" s="171" t="s">
        <v>125</v>
      </c>
      <c r="L1012" s="171" t="s">
        <v>125</v>
      </c>
      <c r="M1012" s="178">
        <v>0</v>
      </c>
      <c r="N1012" s="176"/>
      <c r="O1012" s="176"/>
      <c r="P1012" s="179">
        <v>-860.68</v>
      </c>
    </row>
    <row r="1013" spans="1:16" ht="19.5" customHeight="1">
      <c r="A1013" s="171" t="s">
        <v>155</v>
      </c>
      <c r="B1013" s="175">
        <v>46060</v>
      </c>
      <c r="C1013" s="171" t="s">
        <v>151</v>
      </c>
      <c r="D1013" s="171" t="s">
        <v>156</v>
      </c>
      <c r="E1013" s="171" t="s">
        <v>125</v>
      </c>
      <c r="F1013" s="171" t="s">
        <v>125</v>
      </c>
      <c r="G1013" s="171" t="s">
        <v>125</v>
      </c>
      <c r="H1013" s="176">
        <v>0</v>
      </c>
      <c r="I1013" s="177">
        <v>0</v>
      </c>
      <c r="J1013" s="175">
        <v>46060</v>
      </c>
      <c r="K1013" s="171" t="s">
        <v>125</v>
      </c>
      <c r="L1013" s="171" t="s">
        <v>125</v>
      </c>
      <c r="M1013" s="178">
        <v>0</v>
      </c>
      <c r="N1013" s="176"/>
      <c r="O1013" s="176"/>
      <c r="P1013" s="179">
        <v>-5887</v>
      </c>
    </row>
    <row r="1014" spans="1:16" ht="19.5" customHeight="1">
      <c r="A1014" s="171" t="s">
        <v>1225</v>
      </c>
      <c r="B1014" s="175">
        <v>46061</v>
      </c>
      <c r="C1014" s="171" t="s">
        <v>110</v>
      </c>
      <c r="D1014" s="171" t="s">
        <v>24</v>
      </c>
      <c r="E1014" s="171" t="s">
        <v>79</v>
      </c>
      <c r="F1014" s="171" t="s">
        <v>441</v>
      </c>
      <c r="G1014" s="171" t="s">
        <v>177</v>
      </c>
      <c r="H1014" s="176">
        <v>1</v>
      </c>
      <c r="I1014" s="177">
        <v>0</v>
      </c>
      <c r="J1014" s="175">
        <v>46050</v>
      </c>
      <c r="K1014" s="171" t="s">
        <v>113</v>
      </c>
      <c r="L1014" s="171" t="s">
        <v>114</v>
      </c>
      <c r="M1014" s="178">
        <v>0</v>
      </c>
      <c r="N1014" s="176"/>
      <c r="O1014" s="176">
        <v>50</v>
      </c>
      <c r="P1014" s="179">
        <v>-56.94</v>
      </c>
    </row>
    <row r="1015" spans="1:16" ht="19.5" customHeight="1">
      <c r="A1015" s="171" t="s">
        <v>1225</v>
      </c>
      <c r="B1015" s="175">
        <v>46061</v>
      </c>
      <c r="C1015" s="171" t="s">
        <v>115</v>
      </c>
      <c r="D1015" s="171" t="s">
        <v>116</v>
      </c>
      <c r="E1015" s="171" t="s">
        <v>79</v>
      </c>
      <c r="F1015" s="171" t="s">
        <v>441</v>
      </c>
      <c r="G1015" s="171" t="s">
        <v>177</v>
      </c>
      <c r="H1015" s="176">
        <v>1</v>
      </c>
      <c r="I1015" s="177">
        <v>0</v>
      </c>
      <c r="J1015" s="175">
        <v>46050</v>
      </c>
      <c r="K1015" s="171" t="s">
        <v>113</v>
      </c>
      <c r="L1015" s="171" t="s">
        <v>114</v>
      </c>
      <c r="M1015" s="178">
        <v>0</v>
      </c>
      <c r="N1015" s="176"/>
      <c r="O1015" s="176"/>
      <c r="P1015" s="179">
        <v>-15.33</v>
      </c>
    </row>
    <row r="1016" spans="1:16" ht="19.5" customHeight="1">
      <c r="A1016" s="171" t="s">
        <v>1225</v>
      </c>
      <c r="B1016" s="175">
        <v>46061</v>
      </c>
      <c r="C1016" s="171" t="s">
        <v>110</v>
      </c>
      <c r="D1016" s="171" t="s">
        <v>117</v>
      </c>
      <c r="E1016" s="171" t="s">
        <v>79</v>
      </c>
      <c r="F1016" s="171" t="s">
        <v>441</v>
      </c>
      <c r="G1016" s="171" t="s">
        <v>177</v>
      </c>
      <c r="H1016" s="176">
        <v>1</v>
      </c>
      <c r="I1016" s="177">
        <v>0</v>
      </c>
      <c r="J1016" s="175">
        <v>46050</v>
      </c>
      <c r="K1016" s="171" t="s">
        <v>113</v>
      </c>
      <c r="L1016" s="171" t="s">
        <v>114</v>
      </c>
      <c r="M1016" s="178">
        <v>0</v>
      </c>
      <c r="N1016" s="176"/>
      <c r="O1016" s="176"/>
      <c r="P1016" s="179">
        <v>0</v>
      </c>
    </row>
    <row r="1017" spans="1:16" ht="19.5" customHeight="1">
      <c r="A1017" s="171" t="s">
        <v>1225</v>
      </c>
      <c r="B1017" s="175">
        <v>46061</v>
      </c>
      <c r="C1017" s="171" t="s">
        <v>110</v>
      </c>
      <c r="D1017" s="171" t="s">
        <v>118</v>
      </c>
      <c r="E1017" s="171" t="s">
        <v>79</v>
      </c>
      <c r="F1017" s="171" t="s">
        <v>441</v>
      </c>
      <c r="G1017" s="171" t="s">
        <v>177</v>
      </c>
      <c r="H1017" s="176">
        <v>1</v>
      </c>
      <c r="I1017" s="177">
        <v>0</v>
      </c>
      <c r="J1017" s="175">
        <v>46050</v>
      </c>
      <c r="K1017" s="171" t="s">
        <v>113</v>
      </c>
      <c r="L1017" s="171" t="s">
        <v>114</v>
      </c>
      <c r="M1017" s="178">
        <v>0</v>
      </c>
      <c r="N1017" s="176"/>
      <c r="O1017" s="176"/>
      <c r="P1017" s="179">
        <v>-56.94</v>
      </c>
    </row>
    <row r="1018" spans="1:16" ht="19.5" customHeight="1">
      <c r="A1018" s="171" t="s">
        <v>1225</v>
      </c>
      <c r="B1018" s="175">
        <v>46061</v>
      </c>
      <c r="C1018" s="171" t="s">
        <v>115</v>
      </c>
      <c r="D1018" s="171" t="s">
        <v>119</v>
      </c>
      <c r="E1018" s="171" t="s">
        <v>79</v>
      </c>
      <c r="F1018" s="171" t="s">
        <v>441</v>
      </c>
      <c r="G1018" s="171" t="s">
        <v>177</v>
      </c>
      <c r="H1018" s="176">
        <v>1</v>
      </c>
      <c r="I1018" s="177">
        <v>0</v>
      </c>
      <c r="J1018" s="175">
        <v>46050</v>
      </c>
      <c r="K1018" s="171" t="s">
        <v>113</v>
      </c>
      <c r="L1018" s="171" t="s">
        <v>114</v>
      </c>
      <c r="M1018" s="178">
        <v>0</v>
      </c>
      <c r="N1018" s="176"/>
      <c r="O1018" s="176"/>
      <c r="P1018" s="179">
        <v>-15</v>
      </c>
    </row>
    <row r="1019" spans="1:16" ht="19.5" customHeight="1">
      <c r="A1019" s="171" t="s">
        <v>1226</v>
      </c>
      <c r="B1019" s="175">
        <v>46061</v>
      </c>
      <c r="C1019" s="171" t="s">
        <v>110</v>
      </c>
      <c r="D1019" s="171" t="s">
        <v>117</v>
      </c>
      <c r="E1019" s="171" t="s">
        <v>38</v>
      </c>
      <c r="F1019" s="171" t="s">
        <v>111</v>
      </c>
      <c r="G1019" s="171" t="s">
        <v>112</v>
      </c>
      <c r="H1019" s="176">
        <v>1</v>
      </c>
      <c r="I1019" s="177">
        <v>0</v>
      </c>
      <c r="J1019" s="175">
        <v>46057</v>
      </c>
      <c r="K1019" s="171" t="s">
        <v>113</v>
      </c>
      <c r="L1019" s="171" t="s">
        <v>114</v>
      </c>
      <c r="M1019" s="178">
        <v>0</v>
      </c>
      <c r="N1019" s="176"/>
      <c r="O1019" s="176"/>
      <c r="P1019" s="179">
        <v>0</v>
      </c>
    </row>
    <row r="1020" spans="1:16" ht="19.5" customHeight="1">
      <c r="A1020" s="171" t="s">
        <v>1226</v>
      </c>
      <c r="B1020" s="175">
        <v>46061</v>
      </c>
      <c r="C1020" s="171" t="s">
        <v>110</v>
      </c>
      <c r="D1020" s="171" t="s">
        <v>118</v>
      </c>
      <c r="E1020" s="171" t="s">
        <v>38</v>
      </c>
      <c r="F1020" s="171" t="s">
        <v>111</v>
      </c>
      <c r="G1020" s="171" t="s">
        <v>112</v>
      </c>
      <c r="H1020" s="176">
        <v>1</v>
      </c>
      <c r="I1020" s="177">
        <v>0</v>
      </c>
      <c r="J1020" s="175">
        <v>46057</v>
      </c>
      <c r="K1020" s="171" t="s">
        <v>113</v>
      </c>
      <c r="L1020" s="171" t="s">
        <v>114</v>
      </c>
      <c r="M1020" s="178">
        <v>0</v>
      </c>
      <c r="N1020" s="176"/>
      <c r="O1020" s="176"/>
      <c r="P1020" s="179">
        <v>-46.77</v>
      </c>
    </row>
    <row r="1021" spans="1:16" ht="19.5" customHeight="1">
      <c r="A1021" s="171" t="s">
        <v>1226</v>
      </c>
      <c r="B1021" s="175">
        <v>46061</v>
      </c>
      <c r="C1021" s="171" t="s">
        <v>115</v>
      </c>
      <c r="D1021" s="171" t="s">
        <v>119</v>
      </c>
      <c r="E1021" s="171" t="s">
        <v>38</v>
      </c>
      <c r="F1021" s="171" t="s">
        <v>111</v>
      </c>
      <c r="G1021" s="171" t="s">
        <v>112</v>
      </c>
      <c r="H1021" s="176">
        <v>1</v>
      </c>
      <c r="I1021" s="177">
        <v>0</v>
      </c>
      <c r="J1021" s="175">
        <v>46057</v>
      </c>
      <c r="K1021" s="171" t="s">
        <v>113</v>
      </c>
      <c r="L1021" s="171" t="s">
        <v>114</v>
      </c>
      <c r="M1021" s="178">
        <v>0</v>
      </c>
      <c r="N1021" s="176"/>
      <c r="O1021" s="176"/>
      <c r="P1021" s="179">
        <v>-15</v>
      </c>
    </row>
    <row r="1022" spans="1:16" ht="19.5" customHeight="1">
      <c r="A1022" s="171" t="s">
        <v>1226</v>
      </c>
      <c r="B1022" s="175">
        <v>46061</v>
      </c>
      <c r="C1022" s="171" t="s">
        <v>110</v>
      </c>
      <c r="D1022" s="171" t="s">
        <v>24</v>
      </c>
      <c r="E1022" s="171" t="s">
        <v>38</v>
      </c>
      <c r="F1022" s="171" t="s">
        <v>111</v>
      </c>
      <c r="G1022" s="171" t="s">
        <v>112</v>
      </c>
      <c r="H1022" s="176">
        <v>1</v>
      </c>
      <c r="I1022" s="177">
        <v>0</v>
      </c>
      <c r="J1022" s="175">
        <v>46057</v>
      </c>
      <c r="K1022" s="171" t="s">
        <v>113</v>
      </c>
      <c r="L1022" s="171" t="s">
        <v>114</v>
      </c>
      <c r="M1022" s="178">
        <v>0</v>
      </c>
      <c r="N1022" s="176"/>
      <c r="O1022" s="176">
        <v>42</v>
      </c>
      <c r="P1022" s="179">
        <v>-46.77</v>
      </c>
    </row>
    <row r="1023" spans="1:16" ht="19.5" customHeight="1">
      <c r="A1023" s="171" t="s">
        <v>1226</v>
      </c>
      <c r="B1023" s="175">
        <v>46061</v>
      </c>
      <c r="C1023" s="171" t="s">
        <v>115</v>
      </c>
      <c r="D1023" s="171" t="s">
        <v>116</v>
      </c>
      <c r="E1023" s="171" t="s">
        <v>38</v>
      </c>
      <c r="F1023" s="171" t="s">
        <v>111</v>
      </c>
      <c r="G1023" s="171" t="s">
        <v>112</v>
      </c>
      <c r="H1023" s="176">
        <v>1</v>
      </c>
      <c r="I1023" s="177">
        <v>0</v>
      </c>
      <c r="J1023" s="175">
        <v>46057</v>
      </c>
      <c r="K1023" s="171" t="s">
        <v>113</v>
      </c>
      <c r="L1023" s="171" t="s">
        <v>114</v>
      </c>
      <c r="M1023" s="178">
        <v>0</v>
      </c>
      <c r="N1023" s="176"/>
      <c r="O1023" s="176"/>
      <c r="P1023" s="179">
        <v>-8.82</v>
      </c>
    </row>
    <row r="1024" spans="1:16" ht="19.5" customHeight="1">
      <c r="A1024" s="171" t="s">
        <v>1227</v>
      </c>
      <c r="B1024" s="175">
        <v>46061</v>
      </c>
      <c r="C1024" s="171" t="s">
        <v>110</v>
      </c>
      <c r="D1024" s="171" t="s">
        <v>24</v>
      </c>
      <c r="E1024" s="171" t="s">
        <v>79</v>
      </c>
      <c r="F1024" s="171" t="s">
        <v>441</v>
      </c>
      <c r="G1024" s="171" t="s">
        <v>177</v>
      </c>
      <c r="H1024" s="176">
        <v>1</v>
      </c>
      <c r="I1024" s="177">
        <v>4178</v>
      </c>
      <c r="J1024" s="175">
        <v>46048</v>
      </c>
      <c r="K1024" s="171" t="s">
        <v>113</v>
      </c>
      <c r="L1024" s="171" t="s">
        <v>114</v>
      </c>
      <c r="M1024" s="178">
        <v>0.43</v>
      </c>
      <c r="N1024" s="176"/>
      <c r="O1024" s="176">
        <v>51</v>
      </c>
      <c r="P1024" s="179">
        <v>-261.63</v>
      </c>
    </row>
    <row r="1025" spans="1:16" ht="19.5" customHeight="1">
      <c r="A1025" s="171" t="s">
        <v>1227</v>
      </c>
      <c r="B1025" s="175">
        <v>46061</v>
      </c>
      <c r="C1025" s="171" t="s">
        <v>127</v>
      </c>
      <c r="D1025" s="171" t="s">
        <v>128</v>
      </c>
      <c r="E1025" s="171" t="s">
        <v>79</v>
      </c>
      <c r="F1025" s="171" t="s">
        <v>441</v>
      </c>
      <c r="G1025" s="171" t="s">
        <v>177</v>
      </c>
      <c r="H1025" s="176">
        <v>1</v>
      </c>
      <c r="I1025" s="177">
        <v>4178</v>
      </c>
      <c r="J1025" s="175">
        <v>46048</v>
      </c>
      <c r="K1025" s="171" t="s">
        <v>113</v>
      </c>
      <c r="L1025" s="171" t="s">
        <v>114</v>
      </c>
      <c r="M1025" s="178">
        <v>0</v>
      </c>
      <c r="N1025" s="176"/>
      <c r="O1025" s="176"/>
      <c r="P1025" s="179">
        <v>1464.76</v>
      </c>
    </row>
    <row r="1026" spans="1:16" ht="19.5" customHeight="1">
      <c r="A1026" s="171" t="s">
        <v>1227</v>
      </c>
      <c r="B1026" s="175">
        <v>46061</v>
      </c>
      <c r="C1026" s="171" t="s">
        <v>127</v>
      </c>
      <c r="D1026" s="171" t="s">
        <v>129</v>
      </c>
      <c r="E1026" s="171" t="s">
        <v>79</v>
      </c>
      <c r="F1026" s="171" t="s">
        <v>441</v>
      </c>
      <c r="G1026" s="171" t="s">
        <v>177</v>
      </c>
      <c r="H1026" s="176">
        <v>1</v>
      </c>
      <c r="I1026" s="177">
        <v>4178</v>
      </c>
      <c r="J1026" s="175">
        <v>46048</v>
      </c>
      <c r="K1026" s="171" t="s">
        <v>113</v>
      </c>
      <c r="L1026" s="171" t="s">
        <v>114</v>
      </c>
      <c r="M1026" s="178">
        <v>0</v>
      </c>
      <c r="N1026" s="176"/>
      <c r="O1026" s="176"/>
      <c r="P1026" s="179">
        <v>14.65</v>
      </c>
    </row>
    <row r="1027" spans="1:16" ht="19.5" customHeight="1">
      <c r="A1027" s="171" t="s">
        <v>1227</v>
      </c>
      <c r="B1027" s="175">
        <v>46061</v>
      </c>
      <c r="C1027" s="171" t="s">
        <v>127</v>
      </c>
      <c r="D1027" s="171" t="s">
        <v>130</v>
      </c>
      <c r="E1027" s="171" t="s">
        <v>79</v>
      </c>
      <c r="F1027" s="171" t="s">
        <v>441</v>
      </c>
      <c r="G1027" s="171" t="s">
        <v>177</v>
      </c>
      <c r="H1027" s="176">
        <v>1</v>
      </c>
      <c r="I1027" s="177">
        <v>4178</v>
      </c>
      <c r="J1027" s="175">
        <v>46048</v>
      </c>
      <c r="K1027" s="171" t="s">
        <v>113</v>
      </c>
      <c r="L1027" s="171" t="s">
        <v>114</v>
      </c>
      <c r="M1027" s="178">
        <v>0</v>
      </c>
      <c r="N1027" s="176"/>
      <c r="O1027" s="176"/>
      <c r="P1027" s="179">
        <v>2698.59</v>
      </c>
    </row>
    <row r="1028" spans="1:16" ht="19.5" customHeight="1">
      <c r="A1028" s="171" t="s">
        <v>1227</v>
      </c>
      <c r="B1028" s="175">
        <v>46061</v>
      </c>
      <c r="C1028" s="171" t="s">
        <v>131</v>
      </c>
      <c r="D1028" s="171" t="s">
        <v>132</v>
      </c>
      <c r="E1028" s="171" t="s">
        <v>79</v>
      </c>
      <c r="F1028" s="171" t="s">
        <v>441</v>
      </c>
      <c r="G1028" s="171" t="s">
        <v>177</v>
      </c>
      <c r="H1028" s="176">
        <v>1</v>
      </c>
      <c r="I1028" s="177">
        <v>4178</v>
      </c>
      <c r="J1028" s="175">
        <v>46048</v>
      </c>
      <c r="K1028" s="171" t="s">
        <v>113</v>
      </c>
      <c r="L1028" s="171" t="s">
        <v>114</v>
      </c>
      <c r="M1028" s="178">
        <v>0.43</v>
      </c>
      <c r="N1028" s="176"/>
      <c r="O1028" s="176"/>
      <c r="P1028" s="179">
        <v>-1796.54</v>
      </c>
    </row>
    <row r="1029" spans="1:16" ht="19.5" customHeight="1">
      <c r="A1029" s="171" t="s">
        <v>1227</v>
      </c>
      <c r="B1029" s="175">
        <v>46061</v>
      </c>
      <c r="C1029" s="171" t="s">
        <v>115</v>
      </c>
      <c r="D1029" s="171" t="s">
        <v>116</v>
      </c>
      <c r="E1029" s="171" t="s">
        <v>79</v>
      </c>
      <c r="F1029" s="171" t="s">
        <v>441</v>
      </c>
      <c r="G1029" s="171" t="s">
        <v>177</v>
      </c>
      <c r="H1029" s="176">
        <v>1</v>
      </c>
      <c r="I1029" s="177">
        <v>4178</v>
      </c>
      <c r="J1029" s="175">
        <v>46048</v>
      </c>
      <c r="K1029" s="171" t="s">
        <v>113</v>
      </c>
      <c r="L1029" s="171" t="s">
        <v>114</v>
      </c>
      <c r="M1029" s="178">
        <v>0.43</v>
      </c>
      <c r="N1029" s="176"/>
      <c r="O1029" s="176"/>
      <c r="P1029" s="179">
        <v>-25</v>
      </c>
    </row>
    <row r="1030" spans="1:16" ht="19.5" customHeight="1">
      <c r="A1030" s="171" t="s">
        <v>1227</v>
      </c>
      <c r="B1030" s="175">
        <v>46061</v>
      </c>
      <c r="C1030" s="171" t="s">
        <v>115</v>
      </c>
      <c r="D1030" s="171" t="s">
        <v>135</v>
      </c>
      <c r="E1030" s="171" t="s">
        <v>79</v>
      </c>
      <c r="F1030" s="171" t="s">
        <v>441</v>
      </c>
      <c r="G1030" s="171" t="s">
        <v>177</v>
      </c>
      <c r="H1030" s="176">
        <v>1</v>
      </c>
      <c r="I1030" s="177">
        <v>0</v>
      </c>
      <c r="J1030" s="175">
        <v>46048</v>
      </c>
      <c r="K1030" s="171" t="s">
        <v>125</v>
      </c>
      <c r="L1030" s="171" t="s">
        <v>125</v>
      </c>
      <c r="M1030" s="178">
        <v>0</v>
      </c>
      <c r="N1030" s="176"/>
      <c r="O1030" s="176"/>
      <c r="P1030" s="179">
        <v>-27.83</v>
      </c>
    </row>
    <row r="1031" spans="1:16" ht="19.5" customHeight="1">
      <c r="A1031" s="171" t="s">
        <v>1228</v>
      </c>
      <c r="B1031" s="175">
        <v>46061</v>
      </c>
      <c r="C1031" s="171" t="s">
        <v>110</v>
      </c>
      <c r="D1031" s="171" t="s">
        <v>24</v>
      </c>
      <c r="E1031" s="171" t="s">
        <v>72</v>
      </c>
      <c r="F1031" s="171" t="s">
        <v>719</v>
      </c>
      <c r="G1031" s="171" t="s">
        <v>177</v>
      </c>
      <c r="H1031" s="176">
        <v>1</v>
      </c>
      <c r="I1031" s="177">
        <v>3499</v>
      </c>
      <c r="J1031" s="175">
        <v>46047</v>
      </c>
      <c r="K1031" s="171" t="s">
        <v>113</v>
      </c>
      <c r="L1031" s="171" t="s">
        <v>114</v>
      </c>
      <c r="M1031" s="178">
        <v>0.43</v>
      </c>
      <c r="N1031" s="176"/>
      <c r="O1031" s="176">
        <v>52</v>
      </c>
      <c r="P1031" s="179">
        <v>-236.42</v>
      </c>
    </row>
    <row r="1032" spans="1:16" ht="19.5" customHeight="1">
      <c r="A1032" s="171" t="s">
        <v>1228</v>
      </c>
      <c r="B1032" s="175">
        <v>46061</v>
      </c>
      <c r="C1032" s="171" t="s">
        <v>127</v>
      </c>
      <c r="D1032" s="171" t="s">
        <v>128</v>
      </c>
      <c r="E1032" s="171" t="s">
        <v>72</v>
      </c>
      <c r="F1032" s="171" t="s">
        <v>719</v>
      </c>
      <c r="G1032" s="171" t="s">
        <v>177</v>
      </c>
      <c r="H1032" s="176">
        <v>1</v>
      </c>
      <c r="I1032" s="177">
        <v>3499</v>
      </c>
      <c r="J1032" s="175">
        <v>46047</v>
      </c>
      <c r="K1032" s="171" t="s">
        <v>113</v>
      </c>
      <c r="L1032" s="171" t="s">
        <v>114</v>
      </c>
      <c r="M1032" s="178">
        <v>0</v>
      </c>
      <c r="N1032" s="176"/>
      <c r="O1032" s="176"/>
      <c r="P1032" s="179">
        <v>2387.62</v>
      </c>
    </row>
    <row r="1033" spans="1:16" ht="19.5" customHeight="1">
      <c r="A1033" s="171" t="s">
        <v>1228</v>
      </c>
      <c r="B1033" s="175">
        <v>46061</v>
      </c>
      <c r="C1033" s="171" t="s">
        <v>127</v>
      </c>
      <c r="D1033" s="171" t="s">
        <v>129</v>
      </c>
      <c r="E1033" s="171" t="s">
        <v>72</v>
      </c>
      <c r="F1033" s="171" t="s">
        <v>719</v>
      </c>
      <c r="G1033" s="171" t="s">
        <v>177</v>
      </c>
      <c r="H1033" s="176">
        <v>1</v>
      </c>
      <c r="I1033" s="177">
        <v>3499</v>
      </c>
      <c r="J1033" s="175">
        <v>46047</v>
      </c>
      <c r="K1033" s="171" t="s">
        <v>113</v>
      </c>
      <c r="L1033" s="171" t="s">
        <v>114</v>
      </c>
      <c r="M1033" s="178">
        <v>0</v>
      </c>
      <c r="N1033" s="176"/>
      <c r="O1033" s="176"/>
      <c r="P1033" s="179">
        <v>0</v>
      </c>
    </row>
    <row r="1034" spans="1:16" ht="19.5" customHeight="1">
      <c r="A1034" s="171" t="s">
        <v>1228</v>
      </c>
      <c r="B1034" s="175">
        <v>46061</v>
      </c>
      <c r="C1034" s="171" t="s">
        <v>127</v>
      </c>
      <c r="D1034" s="171" t="s">
        <v>130</v>
      </c>
      <c r="E1034" s="171" t="s">
        <v>72</v>
      </c>
      <c r="F1034" s="171" t="s">
        <v>719</v>
      </c>
      <c r="G1034" s="171" t="s">
        <v>177</v>
      </c>
      <c r="H1034" s="176">
        <v>1</v>
      </c>
      <c r="I1034" s="177">
        <v>3499</v>
      </c>
      <c r="J1034" s="175">
        <v>46047</v>
      </c>
      <c r="K1034" s="171" t="s">
        <v>113</v>
      </c>
      <c r="L1034" s="171" t="s">
        <v>114</v>
      </c>
      <c r="M1034" s="178">
        <v>0</v>
      </c>
      <c r="N1034" s="176"/>
      <c r="O1034" s="176"/>
      <c r="P1034" s="179">
        <v>1111.3800000000001</v>
      </c>
    </row>
    <row r="1035" spans="1:16" ht="19.5" customHeight="1">
      <c r="A1035" s="171" t="s">
        <v>1228</v>
      </c>
      <c r="B1035" s="175">
        <v>46061</v>
      </c>
      <c r="C1035" s="171" t="s">
        <v>131</v>
      </c>
      <c r="D1035" s="171" t="s">
        <v>132</v>
      </c>
      <c r="E1035" s="171" t="s">
        <v>72</v>
      </c>
      <c r="F1035" s="171" t="s">
        <v>719</v>
      </c>
      <c r="G1035" s="171" t="s">
        <v>177</v>
      </c>
      <c r="H1035" s="176">
        <v>1</v>
      </c>
      <c r="I1035" s="177">
        <v>3499</v>
      </c>
      <c r="J1035" s="175">
        <v>46047</v>
      </c>
      <c r="K1035" s="171" t="s">
        <v>113</v>
      </c>
      <c r="L1035" s="171" t="s">
        <v>114</v>
      </c>
      <c r="M1035" s="178">
        <v>0.43</v>
      </c>
      <c r="N1035" s="176"/>
      <c r="O1035" s="176"/>
      <c r="P1035" s="179">
        <v>-1504.57</v>
      </c>
    </row>
    <row r="1036" spans="1:16" ht="19.5" customHeight="1">
      <c r="A1036" s="171" t="s">
        <v>1229</v>
      </c>
      <c r="B1036" s="175">
        <v>46061</v>
      </c>
      <c r="C1036" s="171" t="s">
        <v>115</v>
      </c>
      <c r="D1036" s="171" t="s">
        <v>135</v>
      </c>
      <c r="E1036" s="171" t="s">
        <v>38</v>
      </c>
      <c r="F1036" s="171" t="s">
        <v>111</v>
      </c>
      <c r="G1036" s="171" t="s">
        <v>112</v>
      </c>
      <c r="H1036" s="176">
        <v>1</v>
      </c>
      <c r="I1036" s="177">
        <v>0</v>
      </c>
      <c r="J1036" s="175">
        <v>46061</v>
      </c>
      <c r="K1036" s="171" t="s">
        <v>125</v>
      </c>
      <c r="L1036" s="171" t="s">
        <v>125</v>
      </c>
      <c r="M1036" s="178">
        <v>0</v>
      </c>
      <c r="N1036" s="176"/>
      <c r="O1036" s="176"/>
      <c r="P1036" s="179">
        <v>-22.6</v>
      </c>
    </row>
    <row r="1037" spans="1:16" ht="19.5" customHeight="1">
      <c r="A1037" s="171" t="s">
        <v>1230</v>
      </c>
      <c r="B1037" s="175">
        <v>46061</v>
      </c>
      <c r="C1037" s="171" t="s">
        <v>110</v>
      </c>
      <c r="D1037" s="171" t="s">
        <v>24</v>
      </c>
      <c r="E1037" s="171" t="s">
        <v>38</v>
      </c>
      <c r="F1037" s="171" t="s">
        <v>111</v>
      </c>
      <c r="G1037" s="171" t="s">
        <v>112</v>
      </c>
      <c r="H1037" s="176">
        <v>1</v>
      </c>
      <c r="I1037" s="177">
        <v>1692</v>
      </c>
      <c r="J1037" s="175">
        <v>46059</v>
      </c>
      <c r="K1037" s="171" t="s">
        <v>113</v>
      </c>
      <c r="L1037" s="171" t="s">
        <v>114</v>
      </c>
      <c r="M1037" s="178">
        <v>0.43</v>
      </c>
      <c r="N1037" s="176"/>
      <c r="O1037" s="176">
        <v>42</v>
      </c>
      <c r="P1037" s="179">
        <v>-121.65</v>
      </c>
    </row>
    <row r="1038" spans="1:16" ht="19.5" customHeight="1">
      <c r="A1038" s="171" t="s">
        <v>1230</v>
      </c>
      <c r="B1038" s="175">
        <v>46061</v>
      </c>
      <c r="C1038" s="171" t="s">
        <v>127</v>
      </c>
      <c r="D1038" s="171" t="s">
        <v>128</v>
      </c>
      <c r="E1038" s="171" t="s">
        <v>38</v>
      </c>
      <c r="F1038" s="171" t="s">
        <v>111</v>
      </c>
      <c r="G1038" s="171" t="s">
        <v>112</v>
      </c>
      <c r="H1038" s="176">
        <v>1</v>
      </c>
      <c r="I1038" s="177">
        <v>1692</v>
      </c>
      <c r="J1038" s="175">
        <v>46059</v>
      </c>
      <c r="K1038" s="171" t="s">
        <v>113</v>
      </c>
      <c r="L1038" s="171" t="s">
        <v>114</v>
      </c>
      <c r="M1038" s="178">
        <v>0</v>
      </c>
      <c r="N1038" s="176"/>
      <c r="O1038" s="176"/>
      <c r="P1038" s="179">
        <v>692.53</v>
      </c>
    </row>
    <row r="1039" spans="1:16" ht="19.5" customHeight="1">
      <c r="A1039" s="171" t="s">
        <v>1230</v>
      </c>
      <c r="B1039" s="175">
        <v>46061</v>
      </c>
      <c r="C1039" s="171" t="s">
        <v>127</v>
      </c>
      <c r="D1039" s="171" t="s">
        <v>129</v>
      </c>
      <c r="E1039" s="171" t="s">
        <v>38</v>
      </c>
      <c r="F1039" s="171" t="s">
        <v>111</v>
      </c>
      <c r="G1039" s="171" t="s">
        <v>112</v>
      </c>
      <c r="H1039" s="176">
        <v>1</v>
      </c>
      <c r="I1039" s="177">
        <v>1692</v>
      </c>
      <c r="J1039" s="175">
        <v>46059</v>
      </c>
      <c r="K1039" s="171" t="s">
        <v>113</v>
      </c>
      <c r="L1039" s="171" t="s">
        <v>114</v>
      </c>
      <c r="M1039" s="178">
        <v>0</v>
      </c>
      <c r="N1039" s="176"/>
      <c r="O1039" s="176"/>
      <c r="P1039" s="179">
        <v>6.93</v>
      </c>
    </row>
    <row r="1040" spans="1:16" ht="19.5" customHeight="1">
      <c r="A1040" s="171" t="s">
        <v>1230</v>
      </c>
      <c r="B1040" s="175">
        <v>46061</v>
      </c>
      <c r="C1040" s="171" t="s">
        <v>127</v>
      </c>
      <c r="D1040" s="171" t="s">
        <v>130</v>
      </c>
      <c r="E1040" s="171" t="s">
        <v>38</v>
      </c>
      <c r="F1040" s="171" t="s">
        <v>111</v>
      </c>
      <c r="G1040" s="171" t="s">
        <v>112</v>
      </c>
      <c r="H1040" s="176">
        <v>1</v>
      </c>
      <c r="I1040" s="177">
        <v>1692</v>
      </c>
      <c r="J1040" s="175">
        <v>46059</v>
      </c>
      <c r="K1040" s="171" t="s">
        <v>113</v>
      </c>
      <c r="L1040" s="171" t="s">
        <v>114</v>
      </c>
      <c r="M1040" s="178">
        <v>0</v>
      </c>
      <c r="N1040" s="176"/>
      <c r="O1040" s="176"/>
      <c r="P1040" s="179">
        <v>992.54</v>
      </c>
    </row>
    <row r="1041" spans="1:16" ht="19.5" customHeight="1">
      <c r="A1041" s="171" t="s">
        <v>1230</v>
      </c>
      <c r="B1041" s="175">
        <v>46061</v>
      </c>
      <c r="C1041" s="171" t="s">
        <v>131</v>
      </c>
      <c r="D1041" s="171" t="s">
        <v>132</v>
      </c>
      <c r="E1041" s="171" t="s">
        <v>38</v>
      </c>
      <c r="F1041" s="171" t="s">
        <v>111</v>
      </c>
      <c r="G1041" s="171" t="s">
        <v>112</v>
      </c>
      <c r="H1041" s="176">
        <v>1</v>
      </c>
      <c r="I1041" s="177">
        <v>1692</v>
      </c>
      <c r="J1041" s="175">
        <v>46059</v>
      </c>
      <c r="K1041" s="171" t="s">
        <v>113</v>
      </c>
      <c r="L1041" s="171" t="s">
        <v>114</v>
      </c>
      <c r="M1041" s="178">
        <v>0.43</v>
      </c>
      <c r="N1041" s="176"/>
      <c r="O1041" s="176"/>
      <c r="P1041" s="179">
        <v>-727.56</v>
      </c>
    </row>
    <row r="1042" spans="1:16" ht="19.5" customHeight="1">
      <c r="A1042" s="171" t="s">
        <v>1230</v>
      </c>
      <c r="B1042" s="175">
        <v>46061</v>
      </c>
      <c r="C1042" s="171" t="s">
        <v>115</v>
      </c>
      <c r="D1042" s="171" t="s">
        <v>116</v>
      </c>
      <c r="E1042" s="171" t="s">
        <v>38</v>
      </c>
      <c r="F1042" s="171" t="s">
        <v>111</v>
      </c>
      <c r="G1042" s="171" t="s">
        <v>112</v>
      </c>
      <c r="H1042" s="176">
        <v>1</v>
      </c>
      <c r="I1042" s="177">
        <v>1692</v>
      </c>
      <c r="J1042" s="175">
        <v>46059</v>
      </c>
      <c r="K1042" s="171" t="s">
        <v>113</v>
      </c>
      <c r="L1042" s="171" t="s">
        <v>114</v>
      </c>
      <c r="M1042" s="178">
        <v>0.43</v>
      </c>
      <c r="N1042" s="176"/>
      <c r="O1042" s="176"/>
      <c r="P1042" s="179">
        <v>-12.82</v>
      </c>
    </row>
    <row r="1043" spans="1:16" ht="19.5" customHeight="1">
      <c r="A1043" s="171" t="s">
        <v>1231</v>
      </c>
      <c r="B1043" s="175">
        <v>46061</v>
      </c>
      <c r="C1043" s="171" t="s">
        <v>110</v>
      </c>
      <c r="D1043" s="171" t="s">
        <v>24</v>
      </c>
      <c r="E1043" s="171" t="s">
        <v>38</v>
      </c>
      <c r="F1043" s="171" t="s">
        <v>111</v>
      </c>
      <c r="G1043" s="171" t="s">
        <v>112</v>
      </c>
      <c r="H1043" s="176">
        <v>1</v>
      </c>
      <c r="I1043" s="177">
        <v>1800</v>
      </c>
      <c r="J1043" s="175">
        <v>46049</v>
      </c>
      <c r="K1043" s="171" t="s">
        <v>113</v>
      </c>
      <c r="L1043" s="171" t="s">
        <v>114</v>
      </c>
      <c r="M1043" s="178">
        <v>0.43</v>
      </c>
      <c r="N1043" s="176"/>
      <c r="O1043" s="176">
        <v>51</v>
      </c>
      <c r="P1043" s="179">
        <v>-152.08000000000001</v>
      </c>
    </row>
    <row r="1044" spans="1:16" ht="19.5" customHeight="1">
      <c r="A1044" s="171" t="s">
        <v>1231</v>
      </c>
      <c r="B1044" s="175">
        <v>46061</v>
      </c>
      <c r="C1044" s="171" t="s">
        <v>127</v>
      </c>
      <c r="D1044" s="171" t="s">
        <v>128</v>
      </c>
      <c r="E1044" s="171" t="s">
        <v>38</v>
      </c>
      <c r="F1044" s="171" t="s">
        <v>111</v>
      </c>
      <c r="G1044" s="171" t="s">
        <v>112</v>
      </c>
      <c r="H1044" s="176">
        <v>1</v>
      </c>
      <c r="I1044" s="177">
        <v>1800</v>
      </c>
      <c r="J1044" s="175">
        <v>46049</v>
      </c>
      <c r="K1044" s="171" t="s">
        <v>113</v>
      </c>
      <c r="L1044" s="171" t="s">
        <v>114</v>
      </c>
      <c r="M1044" s="178">
        <v>0</v>
      </c>
      <c r="N1044" s="176"/>
      <c r="O1044" s="176"/>
      <c r="P1044" s="179">
        <v>803.81</v>
      </c>
    </row>
    <row r="1045" spans="1:16" ht="19.5" customHeight="1">
      <c r="A1045" s="171" t="s">
        <v>1231</v>
      </c>
      <c r="B1045" s="175">
        <v>46061</v>
      </c>
      <c r="C1045" s="171" t="s">
        <v>127</v>
      </c>
      <c r="D1045" s="171" t="s">
        <v>129</v>
      </c>
      <c r="E1045" s="171" t="s">
        <v>38</v>
      </c>
      <c r="F1045" s="171" t="s">
        <v>111</v>
      </c>
      <c r="G1045" s="171" t="s">
        <v>112</v>
      </c>
      <c r="H1045" s="176">
        <v>1</v>
      </c>
      <c r="I1045" s="177">
        <v>1800</v>
      </c>
      <c r="J1045" s="175">
        <v>46049</v>
      </c>
      <c r="K1045" s="171" t="s">
        <v>113</v>
      </c>
      <c r="L1045" s="171" t="s">
        <v>114</v>
      </c>
      <c r="M1045" s="178">
        <v>0</v>
      </c>
      <c r="N1045" s="176"/>
      <c r="O1045" s="176"/>
      <c r="P1045" s="179">
        <v>8.0399999999999991</v>
      </c>
    </row>
    <row r="1046" spans="1:16" ht="19.5" customHeight="1">
      <c r="A1046" s="171" t="s">
        <v>1231</v>
      </c>
      <c r="B1046" s="175">
        <v>46061</v>
      </c>
      <c r="C1046" s="171" t="s">
        <v>127</v>
      </c>
      <c r="D1046" s="171" t="s">
        <v>130</v>
      </c>
      <c r="E1046" s="171" t="s">
        <v>38</v>
      </c>
      <c r="F1046" s="171" t="s">
        <v>111</v>
      </c>
      <c r="G1046" s="171" t="s">
        <v>112</v>
      </c>
      <c r="H1046" s="176">
        <v>1</v>
      </c>
      <c r="I1046" s="177">
        <v>1800</v>
      </c>
      <c r="J1046" s="175">
        <v>46049</v>
      </c>
      <c r="K1046" s="171" t="s">
        <v>113</v>
      </c>
      <c r="L1046" s="171" t="s">
        <v>114</v>
      </c>
      <c r="M1046" s="178">
        <v>0</v>
      </c>
      <c r="N1046" s="176"/>
      <c r="O1046" s="176"/>
      <c r="P1046" s="179">
        <v>988.15</v>
      </c>
    </row>
    <row r="1047" spans="1:16" ht="19.5" customHeight="1">
      <c r="A1047" s="171" t="s">
        <v>1231</v>
      </c>
      <c r="B1047" s="175">
        <v>46061</v>
      </c>
      <c r="C1047" s="171" t="s">
        <v>131</v>
      </c>
      <c r="D1047" s="171" t="s">
        <v>132</v>
      </c>
      <c r="E1047" s="171" t="s">
        <v>38</v>
      </c>
      <c r="F1047" s="171" t="s">
        <v>111</v>
      </c>
      <c r="G1047" s="171" t="s">
        <v>112</v>
      </c>
      <c r="H1047" s="176">
        <v>1</v>
      </c>
      <c r="I1047" s="177">
        <v>1800</v>
      </c>
      <c r="J1047" s="175">
        <v>46049</v>
      </c>
      <c r="K1047" s="171" t="s">
        <v>113</v>
      </c>
      <c r="L1047" s="171" t="s">
        <v>114</v>
      </c>
      <c r="M1047" s="178">
        <v>0.43</v>
      </c>
      <c r="N1047" s="176"/>
      <c r="O1047" s="176"/>
      <c r="P1047" s="179">
        <v>-774</v>
      </c>
    </row>
    <row r="1048" spans="1:16" ht="19.5" customHeight="1">
      <c r="A1048" s="171" t="s">
        <v>1231</v>
      </c>
      <c r="B1048" s="175">
        <v>46061</v>
      </c>
      <c r="C1048" s="171" t="s">
        <v>115</v>
      </c>
      <c r="D1048" s="171" t="s">
        <v>116</v>
      </c>
      <c r="E1048" s="171" t="s">
        <v>38</v>
      </c>
      <c r="F1048" s="171" t="s">
        <v>111</v>
      </c>
      <c r="G1048" s="171" t="s">
        <v>112</v>
      </c>
      <c r="H1048" s="176">
        <v>1</v>
      </c>
      <c r="I1048" s="177">
        <v>1800</v>
      </c>
      <c r="J1048" s="175">
        <v>46049</v>
      </c>
      <c r="K1048" s="171" t="s">
        <v>113</v>
      </c>
      <c r="L1048" s="171" t="s">
        <v>114</v>
      </c>
      <c r="M1048" s="178">
        <v>0.43</v>
      </c>
      <c r="N1048" s="176"/>
      <c r="O1048" s="176"/>
      <c r="P1048" s="179">
        <v>-1.02</v>
      </c>
    </row>
    <row r="1049" spans="1:16" ht="19.5" customHeight="1">
      <c r="A1049" s="171" t="s">
        <v>1232</v>
      </c>
      <c r="B1049" s="175">
        <v>46061</v>
      </c>
      <c r="C1049" s="171" t="s">
        <v>110</v>
      </c>
      <c r="D1049" s="171" t="s">
        <v>24</v>
      </c>
      <c r="E1049" s="171" t="s">
        <v>42</v>
      </c>
      <c r="F1049" s="171" t="s">
        <v>248</v>
      </c>
      <c r="G1049" s="171" t="s">
        <v>112</v>
      </c>
      <c r="H1049" s="176">
        <v>1</v>
      </c>
      <c r="I1049" s="177">
        <v>0</v>
      </c>
      <c r="J1049" s="175">
        <v>46053</v>
      </c>
      <c r="K1049" s="171" t="s">
        <v>113</v>
      </c>
      <c r="L1049" s="171" t="s">
        <v>114</v>
      </c>
      <c r="M1049" s="178">
        <v>0</v>
      </c>
      <c r="N1049" s="176"/>
      <c r="O1049" s="176">
        <v>48</v>
      </c>
      <c r="P1049" s="179">
        <v>-46.77</v>
      </c>
    </row>
    <row r="1050" spans="1:16" ht="19.5" customHeight="1">
      <c r="A1050" s="171" t="s">
        <v>1232</v>
      </c>
      <c r="B1050" s="175">
        <v>46061</v>
      </c>
      <c r="C1050" s="171" t="s">
        <v>115</v>
      </c>
      <c r="D1050" s="171" t="s">
        <v>116</v>
      </c>
      <c r="E1050" s="171" t="s">
        <v>42</v>
      </c>
      <c r="F1050" s="171" t="s">
        <v>248</v>
      </c>
      <c r="G1050" s="171" t="s">
        <v>112</v>
      </c>
      <c r="H1050" s="176">
        <v>1</v>
      </c>
      <c r="I1050" s="177">
        <v>0</v>
      </c>
      <c r="J1050" s="175">
        <v>46053</v>
      </c>
      <c r="K1050" s="171" t="s">
        <v>113</v>
      </c>
      <c r="L1050" s="171" t="s">
        <v>114</v>
      </c>
      <c r="M1050" s="178">
        <v>0</v>
      </c>
      <c r="N1050" s="176"/>
      <c r="O1050" s="176"/>
      <c r="P1050" s="179">
        <v>-9.31</v>
      </c>
    </row>
    <row r="1051" spans="1:16" ht="19.5" customHeight="1">
      <c r="A1051" s="171" t="s">
        <v>1232</v>
      </c>
      <c r="B1051" s="175">
        <v>46061</v>
      </c>
      <c r="C1051" s="171" t="s">
        <v>110</v>
      </c>
      <c r="D1051" s="171" t="s">
        <v>117</v>
      </c>
      <c r="E1051" s="171" t="s">
        <v>42</v>
      </c>
      <c r="F1051" s="171" t="s">
        <v>248</v>
      </c>
      <c r="G1051" s="171" t="s">
        <v>112</v>
      </c>
      <c r="H1051" s="176">
        <v>1</v>
      </c>
      <c r="I1051" s="177">
        <v>0</v>
      </c>
      <c r="J1051" s="175">
        <v>46053</v>
      </c>
      <c r="K1051" s="171" t="s">
        <v>113</v>
      </c>
      <c r="L1051" s="171" t="s">
        <v>114</v>
      </c>
      <c r="M1051" s="178">
        <v>0</v>
      </c>
      <c r="N1051" s="176"/>
      <c r="O1051" s="176"/>
      <c r="P1051" s="179">
        <v>0</v>
      </c>
    </row>
    <row r="1052" spans="1:16" ht="19.5" customHeight="1">
      <c r="A1052" s="171" t="s">
        <v>1232</v>
      </c>
      <c r="B1052" s="175">
        <v>46061</v>
      </c>
      <c r="C1052" s="171" t="s">
        <v>110</v>
      </c>
      <c r="D1052" s="171" t="s">
        <v>118</v>
      </c>
      <c r="E1052" s="171" t="s">
        <v>42</v>
      </c>
      <c r="F1052" s="171" t="s">
        <v>248</v>
      </c>
      <c r="G1052" s="171" t="s">
        <v>112</v>
      </c>
      <c r="H1052" s="176">
        <v>1</v>
      </c>
      <c r="I1052" s="177">
        <v>0</v>
      </c>
      <c r="J1052" s="175">
        <v>46053</v>
      </c>
      <c r="K1052" s="171" t="s">
        <v>113</v>
      </c>
      <c r="L1052" s="171" t="s">
        <v>114</v>
      </c>
      <c r="M1052" s="178">
        <v>0</v>
      </c>
      <c r="N1052" s="176"/>
      <c r="O1052" s="176"/>
      <c r="P1052" s="179">
        <v>-46.77</v>
      </c>
    </row>
    <row r="1053" spans="1:16" ht="19.5" customHeight="1">
      <c r="A1053" s="171" t="s">
        <v>1232</v>
      </c>
      <c r="B1053" s="175">
        <v>46061</v>
      </c>
      <c r="C1053" s="171" t="s">
        <v>115</v>
      </c>
      <c r="D1053" s="171" t="s">
        <v>119</v>
      </c>
      <c r="E1053" s="171" t="s">
        <v>42</v>
      </c>
      <c r="F1053" s="171" t="s">
        <v>248</v>
      </c>
      <c r="G1053" s="171" t="s">
        <v>112</v>
      </c>
      <c r="H1053" s="176">
        <v>1</v>
      </c>
      <c r="I1053" s="177">
        <v>0</v>
      </c>
      <c r="J1053" s="175">
        <v>46053</v>
      </c>
      <c r="K1053" s="171" t="s">
        <v>113</v>
      </c>
      <c r="L1053" s="171" t="s">
        <v>114</v>
      </c>
      <c r="M1053" s="178">
        <v>0</v>
      </c>
      <c r="N1053" s="176"/>
      <c r="O1053" s="176"/>
      <c r="P1053" s="179">
        <v>-15</v>
      </c>
    </row>
    <row r="1054" spans="1:16" ht="19.5" customHeight="1">
      <c r="A1054" s="171" t="s">
        <v>1233</v>
      </c>
      <c r="B1054" s="175">
        <v>46061</v>
      </c>
      <c r="C1054" s="171" t="s">
        <v>110</v>
      </c>
      <c r="D1054" s="171" t="s">
        <v>24</v>
      </c>
      <c r="E1054" s="171" t="s">
        <v>38</v>
      </c>
      <c r="F1054" s="171" t="s">
        <v>111</v>
      </c>
      <c r="G1054" s="171" t="s">
        <v>112</v>
      </c>
      <c r="H1054" s="176">
        <v>1</v>
      </c>
      <c r="I1054" s="177">
        <v>0</v>
      </c>
      <c r="J1054" s="175">
        <v>46055</v>
      </c>
      <c r="K1054" s="171" t="s">
        <v>113</v>
      </c>
      <c r="L1054" s="171" t="s">
        <v>114</v>
      </c>
      <c r="M1054" s="178">
        <v>0</v>
      </c>
      <c r="N1054" s="176"/>
      <c r="O1054" s="176">
        <v>42</v>
      </c>
      <c r="P1054" s="179">
        <v>-46.77</v>
      </c>
    </row>
    <row r="1055" spans="1:16" ht="19.5" customHeight="1">
      <c r="A1055" s="171" t="s">
        <v>1233</v>
      </c>
      <c r="B1055" s="175">
        <v>46061</v>
      </c>
      <c r="C1055" s="171" t="s">
        <v>115</v>
      </c>
      <c r="D1055" s="171" t="s">
        <v>116</v>
      </c>
      <c r="E1055" s="171" t="s">
        <v>38</v>
      </c>
      <c r="F1055" s="171" t="s">
        <v>111</v>
      </c>
      <c r="G1055" s="171" t="s">
        <v>112</v>
      </c>
      <c r="H1055" s="176">
        <v>1</v>
      </c>
      <c r="I1055" s="177">
        <v>0</v>
      </c>
      <c r="J1055" s="175">
        <v>46055</v>
      </c>
      <c r="K1055" s="171" t="s">
        <v>113</v>
      </c>
      <c r="L1055" s="171" t="s">
        <v>114</v>
      </c>
      <c r="M1055" s="178">
        <v>0</v>
      </c>
      <c r="N1055" s="176"/>
      <c r="O1055" s="176"/>
      <c r="P1055" s="179">
        <v>-18.88</v>
      </c>
    </row>
    <row r="1056" spans="1:16" ht="19.5" customHeight="1">
      <c r="A1056" s="171" t="s">
        <v>1233</v>
      </c>
      <c r="B1056" s="175">
        <v>46061</v>
      </c>
      <c r="C1056" s="171" t="s">
        <v>110</v>
      </c>
      <c r="D1056" s="171" t="s">
        <v>117</v>
      </c>
      <c r="E1056" s="171" t="s">
        <v>38</v>
      </c>
      <c r="F1056" s="171" t="s">
        <v>111</v>
      </c>
      <c r="G1056" s="171" t="s">
        <v>112</v>
      </c>
      <c r="H1056" s="176">
        <v>1</v>
      </c>
      <c r="I1056" s="177">
        <v>0</v>
      </c>
      <c r="J1056" s="175">
        <v>46055</v>
      </c>
      <c r="K1056" s="171" t="s">
        <v>113</v>
      </c>
      <c r="L1056" s="171" t="s">
        <v>114</v>
      </c>
      <c r="M1056" s="178">
        <v>0</v>
      </c>
      <c r="N1056" s="176"/>
      <c r="O1056" s="176"/>
      <c r="P1056" s="179">
        <v>0</v>
      </c>
    </row>
    <row r="1057" spans="1:16" ht="19.5" customHeight="1">
      <c r="A1057" s="171" t="s">
        <v>1233</v>
      </c>
      <c r="B1057" s="175">
        <v>46061</v>
      </c>
      <c r="C1057" s="171" t="s">
        <v>110</v>
      </c>
      <c r="D1057" s="171" t="s">
        <v>118</v>
      </c>
      <c r="E1057" s="171" t="s">
        <v>38</v>
      </c>
      <c r="F1057" s="171" t="s">
        <v>111</v>
      </c>
      <c r="G1057" s="171" t="s">
        <v>112</v>
      </c>
      <c r="H1057" s="176">
        <v>1</v>
      </c>
      <c r="I1057" s="177">
        <v>0</v>
      </c>
      <c r="J1057" s="175">
        <v>46055</v>
      </c>
      <c r="K1057" s="171" t="s">
        <v>113</v>
      </c>
      <c r="L1057" s="171" t="s">
        <v>114</v>
      </c>
      <c r="M1057" s="178">
        <v>0</v>
      </c>
      <c r="N1057" s="176"/>
      <c r="O1057" s="176"/>
      <c r="P1057" s="179">
        <v>-46.77</v>
      </c>
    </row>
    <row r="1058" spans="1:16" ht="19.5" customHeight="1">
      <c r="A1058" s="171" t="s">
        <v>1233</v>
      </c>
      <c r="B1058" s="175">
        <v>46061</v>
      </c>
      <c r="C1058" s="171" t="s">
        <v>115</v>
      </c>
      <c r="D1058" s="171" t="s">
        <v>119</v>
      </c>
      <c r="E1058" s="171" t="s">
        <v>38</v>
      </c>
      <c r="F1058" s="171" t="s">
        <v>111</v>
      </c>
      <c r="G1058" s="171" t="s">
        <v>112</v>
      </c>
      <c r="H1058" s="176">
        <v>1</v>
      </c>
      <c r="I1058" s="177">
        <v>0</v>
      </c>
      <c r="J1058" s="175">
        <v>46055</v>
      </c>
      <c r="K1058" s="171" t="s">
        <v>113</v>
      </c>
      <c r="L1058" s="171" t="s">
        <v>114</v>
      </c>
      <c r="M1058" s="178">
        <v>0</v>
      </c>
      <c r="N1058" s="176"/>
      <c r="O1058" s="176"/>
      <c r="P1058" s="179">
        <v>-15</v>
      </c>
    </row>
    <row r="1059" spans="1:16" ht="19.5" customHeight="1">
      <c r="A1059" s="171" t="s">
        <v>1231</v>
      </c>
      <c r="B1059" s="175">
        <v>46061</v>
      </c>
      <c r="C1059" s="171" t="s">
        <v>115</v>
      </c>
      <c r="D1059" s="171" t="s">
        <v>135</v>
      </c>
      <c r="E1059" s="171" t="s">
        <v>38</v>
      </c>
      <c r="F1059" s="171" t="s">
        <v>111</v>
      </c>
      <c r="G1059" s="171" t="s">
        <v>112</v>
      </c>
      <c r="H1059" s="176">
        <v>1</v>
      </c>
      <c r="I1059" s="177">
        <v>0</v>
      </c>
      <c r="J1059" s="175">
        <v>46049</v>
      </c>
      <c r="K1059" s="171" t="s">
        <v>125</v>
      </c>
      <c r="L1059" s="171" t="s">
        <v>125</v>
      </c>
      <c r="M1059" s="178">
        <v>0</v>
      </c>
      <c r="N1059" s="176"/>
      <c r="O1059" s="176"/>
      <c r="P1059" s="179">
        <v>-15.27</v>
      </c>
    </row>
    <row r="1060" spans="1:16" ht="19.5" customHeight="1">
      <c r="A1060" s="171" t="s">
        <v>1234</v>
      </c>
      <c r="B1060" s="175">
        <v>46061</v>
      </c>
      <c r="C1060" s="171" t="s">
        <v>110</v>
      </c>
      <c r="D1060" s="171" t="s">
        <v>24</v>
      </c>
      <c r="E1060" s="171" t="s">
        <v>77</v>
      </c>
      <c r="F1060" s="171" t="s">
        <v>194</v>
      </c>
      <c r="G1060" s="171" t="s">
        <v>177</v>
      </c>
      <c r="H1060" s="176">
        <v>1</v>
      </c>
      <c r="I1060" s="177">
        <v>0</v>
      </c>
      <c r="J1060" s="175">
        <v>46051</v>
      </c>
      <c r="K1060" s="171" t="s">
        <v>113</v>
      </c>
      <c r="L1060" s="171" t="s">
        <v>114</v>
      </c>
      <c r="M1060" s="178">
        <v>0</v>
      </c>
      <c r="N1060" s="176"/>
      <c r="O1060" s="176">
        <v>48</v>
      </c>
      <c r="P1060" s="179">
        <v>-56.94</v>
      </c>
    </row>
    <row r="1061" spans="1:16" ht="19.5" customHeight="1">
      <c r="A1061" s="171" t="s">
        <v>1234</v>
      </c>
      <c r="B1061" s="175">
        <v>46061</v>
      </c>
      <c r="C1061" s="171" t="s">
        <v>115</v>
      </c>
      <c r="D1061" s="171" t="s">
        <v>116</v>
      </c>
      <c r="E1061" s="171" t="s">
        <v>77</v>
      </c>
      <c r="F1061" s="171" t="s">
        <v>194</v>
      </c>
      <c r="G1061" s="171" t="s">
        <v>177</v>
      </c>
      <c r="H1061" s="176">
        <v>1</v>
      </c>
      <c r="I1061" s="177">
        <v>0</v>
      </c>
      <c r="J1061" s="175">
        <v>46051</v>
      </c>
      <c r="K1061" s="171" t="s">
        <v>113</v>
      </c>
      <c r="L1061" s="171" t="s">
        <v>114</v>
      </c>
      <c r="M1061" s="178">
        <v>0</v>
      </c>
      <c r="N1061" s="176"/>
      <c r="O1061" s="176"/>
      <c r="P1061" s="179">
        <v>-12.96</v>
      </c>
    </row>
    <row r="1062" spans="1:16" ht="19.5" customHeight="1">
      <c r="A1062" s="171" t="s">
        <v>1234</v>
      </c>
      <c r="B1062" s="175">
        <v>46061</v>
      </c>
      <c r="C1062" s="171" t="s">
        <v>110</v>
      </c>
      <c r="D1062" s="171" t="s">
        <v>117</v>
      </c>
      <c r="E1062" s="171" t="s">
        <v>77</v>
      </c>
      <c r="F1062" s="171" t="s">
        <v>194</v>
      </c>
      <c r="G1062" s="171" t="s">
        <v>177</v>
      </c>
      <c r="H1062" s="176">
        <v>1</v>
      </c>
      <c r="I1062" s="177">
        <v>0</v>
      </c>
      <c r="J1062" s="175">
        <v>46051</v>
      </c>
      <c r="K1062" s="171" t="s">
        <v>113</v>
      </c>
      <c r="L1062" s="171" t="s">
        <v>114</v>
      </c>
      <c r="M1062" s="178">
        <v>0</v>
      </c>
      <c r="N1062" s="176"/>
      <c r="O1062" s="176"/>
      <c r="P1062" s="179">
        <v>0</v>
      </c>
    </row>
    <row r="1063" spans="1:16" ht="19.5" customHeight="1">
      <c r="A1063" s="171" t="s">
        <v>1234</v>
      </c>
      <c r="B1063" s="175">
        <v>46061</v>
      </c>
      <c r="C1063" s="171" t="s">
        <v>110</v>
      </c>
      <c r="D1063" s="171" t="s">
        <v>118</v>
      </c>
      <c r="E1063" s="171" t="s">
        <v>77</v>
      </c>
      <c r="F1063" s="171" t="s">
        <v>194</v>
      </c>
      <c r="G1063" s="171" t="s">
        <v>177</v>
      </c>
      <c r="H1063" s="176">
        <v>1</v>
      </c>
      <c r="I1063" s="177">
        <v>0</v>
      </c>
      <c r="J1063" s="175">
        <v>46051</v>
      </c>
      <c r="K1063" s="171" t="s">
        <v>113</v>
      </c>
      <c r="L1063" s="171" t="s">
        <v>114</v>
      </c>
      <c r="M1063" s="178">
        <v>0</v>
      </c>
      <c r="N1063" s="176"/>
      <c r="O1063" s="176"/>
      <c r="P1063" s="179">
        <v>-56.94</v>
      </c>
    </row>
    <row r="1064" spans="1:16" ht="19.5" customHeight="1">
      <c r="A1064" s="171" t="s">
        <v>1234</v>
      </c>
      <c r="B1064" s="175">
        <v>46061</v>
      </c>
      <c r="C1064" s="171" t="s">
        <v>115</v>
      </c>
      <c r="D1064" s="171" t="s">
        <v>119</v>
      </c>
      <c r="E1064" s="171" t="s">
        <v>77</v>
      </c>
      <c r="F1064" s="171" t="s">
        <v>194</v>
      </c>
      <c r="G1064" s="171" t="s">
        <v>177</v>
      </c>
      <c r="H1064" s="176">
        <v>1</v>
      </c>
      <c r="I1064" s="177">
        <v>0</v>
      </c>
      <c r="J1064" s="175">
        <v>46051</v>
      </c>
      <c r="K1064" s="171" t="s">
        <v>113</v>
      </c>
      <c r="L1064" s="171" t="s">
        <v>114</v>
      </c>
      <c r="M1064" s="178">
        <v>0</v>
      </c>
      <c r="N1064" s="176"/>
      <c r="O1064" s="176"/>
      <c r="P1064" s="179">
        <v>-15</v>
      </c>
    </row>
    <row r="1065" spans="1:16" ht="19.5" customHeight="1">
      <c r="A1065" s="171" t="s">
        <v>1235</v>
      </c>
      <c r="B1065" s="175">
        <v>46061</v>
      </c>
      <c r="C1065" s="171" t="s">
        <v>110</v>
      </c>
      <c r="D1065" s="171" t="s">
        <v>24</v>
      </c>
      <c r="E1065" s="171" t="s">
        <v>79</v>
      </c>
      <c r="F1065" s="171" t="s">
        <v>441</v>
      </c>
      <c r="G1065" s="171" t="s">
        <v>177</v>
      </c>
      <c r="H1065" s="176">
        <v>1</v>
      </c>
      <c r="I1065" s="177">
        <v>5000</v>
      </c>
      <c r="J1065" s="175">
        <v>46059</v>
      </c>
      <c r="K1065" s="171" t="s">
        <v>113</v>
      </c>
      <c r="L1065" s="171" t="s">
        <v>114</v>
      </c>
      <c r="M1065" s="178">
        <v>0.43</v>
      </c>
      <c r="N1065" s="176"/>
      <c r="O1065" s="176">
        <v>42</v>
      </c>
      <c r="P1065" s="179">
        <v>-231.9</v>
      </c>
    </row>
    <row r="1066" spans="1:16" ht="19.5" customHeight="1">
      <c r="A1066" s="171" t="s">
        <v>1235</v>
      </c>
      <c r="B1066" s="175">
        <v>46061</v>
      </c>
      <c r="C1066" s="171" t="s">
        <v>127</v>
      </c>
      <c r="D1066" s="171" t="s">
        <v>128</v>
      </c>
      <c r="E1066" s="171" t="s">
        <v>79</v>
      </c>
      <c r="F1066" s="171" t="s">
        <v>441</v>
      </c>
      <c r="G1066" s="171" t="s">
        <v>177</v>
      </c>
      <c r="H1066" s="176">
        <v>1</v>
      </c>
      <c r="I1066" s="177">
        <v>5000</v>
      </c>
      <c r="J1066" s="175">
        <v>46059</v>
      </c>
      <c r="K1066" s="171" t="s">
        <v>113</v>
      </c>
      <c r="L1066" s="171" t="s">
        <v>114</v>
      </c>
      <c r="M1066" s="178">
        <v>0</v>
      </c>
      <c r="N1066" s="176"/>
      <c r="O1066" s="176"/>
      <c r="P1066" s="179">
        <v>2239.4</v>
      </c>
    </row>
    <row r="1067" spans="1:16" ht="19.5" customHeight="1">
      <c r="A1067" s="171" t="s">
        <v>1235</v>
      </c>
      <c r="B1067" s="175">
        <v>46061</v>
      </c>
      <c r="C1067" s="171" t="s">
        <v>127</v>
      </c>
      <c r="D1067" s="171" t="s">
        <v>129</v>
      </c>
      <c r="E1067" s="171" t="s">
        <v>79</v>
      </c>
      <c r="F1067" s="171" t="s">
        <v>441</v>
      </c>
      <c r="G1067" s="171" t="s">
        <v>177</v>
      </c>
      <c r="H1067" s="176">
        <v>1</v>
      </c>
      <c r="I1067" s="177">
        <v>5000</v>
      </c>
      <c r="J1067" s="175">
        <v>46059</v>
      </c>
      <c r="K1067" s="171" t="s">
        <v>113</v>
      </c>
      <c r="L1067" s="171" t="s">
        <v>114</v>
      </c>
      <c r="M1067" s="178">
        <v>0</v>
      </c>
      <c r="N1067" s="176"/>
      <c r="O1067" s="176"/>
      <c r="P1067" s="179">
        <v>0</v>
      </c>
    </row>
    <row r="1068" spans="1:16" ht="19.5" customHeight="1">
      <c r="A1068" s="171" t="s">
        <v>1235</v>
      </c>
      <c r="B1068" s="175">
        <v>46061</v>
      </c>
      <c r="C1068" s="171" t="s">
        <v>127</v>
      </c>
      <c r="D1068" s="171" t="s">
        <v>130</v>
      </c>
      <c r="E1068" s="171" t="s">
        <v>79</v>
      </c>
      <c r="F1068" s="171" t="s">
        <v>441</v>
      </c>
      <c r="G1068" s="171" t="s">
        <v>177</v>
      </c>
      <c r="H1068" s="176">
        <v>1</v>
      </c>
      <c r="I1068" s="177">
        <v>5000</v>
      </c>
      <c r="J1068" s="175">
        <v>46059</v>
      </c>
      <c r="K1068" s="171" t="s">
        <v>113</v>
      </c>
      <c r="L1068" s="171" t="s">
        <v>114</v>
      </c>
      <c r="M1068" s="178">
        <v>0</v>
      </c>
      <c r="N1068" s="176"/>
      <c r="O1068" s="176"/>
      <c r="P1068" s="179">
        <v>2760.6</v>
      </c>
    </row>
    <row r="1069" spans="1:16" ht="19.5" customHeight="1">
      <c r="A1069" s="171" t="s">
        <v>1235</v>
      </c>
      <c r="B1069" s="175">
        <v>46061</v>
      </c>
      <c r="C1069" s="171" t="s">
        <v>131</v>
      </c>
      <c r="D1069" s="171" t="s">
        <v>132</v>
      </c>
      <c r="E1069" s="171" t="s">
        <v>79</v>
      </c>
      <c r="F1069" s="171" t="s">
        <v>441</v>
      </c>
      <c r="G1069" s="171" t="s">
        <v>177</v>
      </c>
      <c r="H1069" s="176">
        <v>1</v>
      </c>
      <c r="I1069" s="177">
        <v>5000</v>
      </c>
      <c r="J1069" s="175">
        <v>46059</v>
      </c>
      <c r="K1069" s="171" t="s">
        <v>113</v>
      </c>
      <c r="L1069" s="171" t="s">
        <v>114</v>
      </c>
      <c r="M1069" s="178">
        <v>0.43</v>
      </c>
      <c r="N1069" s="176"/>
      <c r="O1069" s="176"/>
      <c r="P1069" s="179">
        <v>-2150</v>
      </c>
    </row>
    <row r="1070" spans="1:16" ht="19.5" customHeight="1">
      <c r="A1070" s="171" t="s">
        <v>1235</v>
      </c>
      <c r="B1070" s="175">
        <v>46061</v>
      </c>
      <c r="C1070" s="171" t="s">
        <v>115</v>
      </c>
      <c r="D1070" s="171" t="s">
        <v>116</v>
      </c>
      <c r="E1070" s="171" t="s">
        <v>79</v>
      </c>
      <c r="F1070" s="171" t="s">
        <v>441</v>
      </c>
      <c r="G1070" s="171" t="s">
        <v>177</v>
      </c>
      <c r="H1070" s="176">
        <v>1</v>
      </c>
      <c r="I1070" s="177">
        <v>5000</v>
      </c>
      <c r="J1070" s="175">
        <v>46059</v>
      </c>
      <c r="K1070" s="171" t="s">
        <v>113</v>
      </c>
      <c r="L1070" s="171" t="s">
        <v>114</v>
      </c>
      <c r="M1070" s="178">
        <v>0.43</v>
      </c>
      <c r="N1070" s="176"/>
      <c r="O1070" s="176"/>
      <c r="P1070" s="179">
        <v>-14.18</v>
      </c>
    </row>
    <row r="1071" spans="1:16" ht="19.5" customHeight="1">
      <c r="A1071" s="171" t="s">
        <v>1236</v>
      </c>
      <c r="B1071" s="175">
        <v>46061</v>
      </c>
      <c r="C1071" s="171" t="s">
        <v>110</v>
      </c>
      <c r="D1071" s="171" t="s">
        <v>24</v>
      </c>
      <c r="E1071" s="171" t="s">
        <v>38</v>
      </c>
      <c r="F1071" s="171" t="s">
        <v>111</v>
      </c>
      <c r="G1071" s="171" t="s">
        <v>112</v>
      </c>
      <c r="H1071" s="176">
        <v>1</v>
      </c>
      <c r="I1071" s="177">
        <v>2000</v>
      </c>
      <c r="J1071" s="175">
        <v>46058</v>
      </c>
      <c r="K1071" s="171" t="s">
        <v>113</v>
      </c>
      <c r="L1071" s="171" t="s">
        <v>114</v>
      </c>
      <c r="M1071" s="178">
        <v>0.43</v>
      </c>
      <c r="N1071" s="176"/>
      <c r="O1071" s="176">
        <v>42</v>
      </c>
      <c r="P1071" s="179">
        <v>-130.43</v>
      </c>
    </row>
    <row r="1072" spans="1:16" ht="19.5" customHeight="1">
      <c r="A1072" s="171" t="s">
        <v>1236</v>
      </c>
      <c r="B1072" s="175">
        <v>46061</v>
      </c>
      <c r="C1072" s="171" t="s">
        <v>127</v>
      </c>
      <c r="D1072" s="171" t="s">
        <v>128</v>
      </c>
      <c r="E1072" s="171" t="s">
        <v>38</v>
      </c>
      <c r="F1072" s="171" t="s">
        <v>111</v>
      </c>
      <c r="G1072" s="171" t="s">
        <v>112</v>
      </c>
      <c r="H1072" s="176">
        <v>1</v>
      </c>
      <c r="I1072" s="177">
        <v>2000</v>
      </c>
      <c r="J1072" s="175">
        <v>46058</v>
      </c>
      <c r="K1072" s="171" t="s">
        <v>113</v>
      </c>
      <c r="L1072" s="171" t="s">
        <v>114</v>
      </c>
      <c r="M1072" s="178">
        <v>0</v>
      </c>
      <c r="N1072" s="176"/>
      <c r="O1072" s="176"/>
      <c r="P1072" s="179">
        <v>827</v>
      </c>
    </row>
    <row r="1073" spans="1:16" ht="19.5" customHeight="1">
      <c r="A1073" s="171" t="s">
        <v>1236</v>
      </c>
      <c r="B1073" s="175">
        <v>46061</v>
      </c>
      <c r="C1073" s="171" t="s">
        <v>127</v>
      </c>
      <c r="D1073" s="171" t="s">
        <v>129</v>
      </c>
      <c r="E1073" s="171" t="s">
        <v>38</v>
      </c>
      <c r="F1073" s="171" t="s">
        <v>111</v>
      </c>
      <c r="G1073" s="171" t="s">
        <v>112</v>
      </c>
      <c r="H1073" s="176">
        <v>1</v>
      </c>
      <c r="I1073" s="177">
        <v>2000</v>
      </c>
      <c r="J1073" s="175">
        <v>46058</v>
      </c>
      <c r="K1073" s="171" t="s">
        <v>113</v>
      </c>
      <c r="L1073" s="171" t="s">
        <v>114</v>
      </c>
      <c r="M1073" s="178">
        <v>0</v>
      </c>
      <c r="N1073" s="176"/>
      <c r="O1073" s="176"/>
      <c r="P1073" s="179">
        <v>8.27</v>
      </c>
    </row>
    <row r="1074" spans="1:16" ht="19.5" customHeight="1">
      <c r="A1074" s="171" t="s">
        <v>1236</v>
      </c>
      <c r="B1074" s="175">
        <v>46061</v>
      </c>
      <c r="C1074" s="171" t="s">
        <v>127</v>
      </c>
      <c r="D1074" s="171" t="s">
        <v>130</v>
      </c>
      <c r="E1074" s="171" t="s">
        <v>38</v>
      </c>
      <c r="F1074" s="171" t="s">
        <v>111</v>
      </c>
      <c r="G1074" s="171" t="s">
        <v>112</v>
      </c>
      <c r="H1074" s="176">
        <v>1</v>
      </c>
      <c r="I1074" s="177">
        <v>2000</v>
      </c>
      <c r="J1074" s="175">
        <v>46058</v>
      </c>
      <c r="K1074" s="171" t="s">
        <v>113</v>
      </c>
      <c r="L1074" s="171" t="s">
        <v>114</v>
      </c>
      <c r="M1074" s="178">
        <v>0</v>
      </c>
      <c r="N1074" s="176"/>
      <c r="O1074" s="176"/>
      <c r="P1074" s="179">
        <v>1164.73</v>
      </c>
    </row>
    <row r="1075" spans="1:16" ht="19.5" customHeight="1">
      <c r="A1075" s="171" t="s">
        <v>1236</v>
      </c>
      <c r="B1075" s="175">
        <v>46061</v>
      </c>
      <c r="C1075" s="171" t="s">
        <v>131</v>
      </c>
      <c r="D1075" s="171" t="s">
        <v>132</v>
      </c>
      <c r="E1075" s="171" t="s">
        <v>38</v>
      </c>
      <c r="F1075" s="171" t="s">
        <v>111</v>
      </c>
      <c r="G1075" s="171" t="s">
        <v>112</v>
      </c>
      <c r="H1075" s="176">
        <v>1</v>
      </c>
      <c r="I1075" s="177">
        <v>2000</v>
      </c>
      <c r="J1075" s="175">
        <v>46058</v>
      </c>
      <c r="K1075" s="171" t="s">
        <v>113</v>
      </c>
      <c r="L1075" s="171" t="s">
        <v>114</v>
      </c>
      <c r="M1075" s="178">
        <v>0.43</v>
      </c>
      <c r="N1075" s="176"/>
      <c r="O1075" s="176"/>
      <c r="P1075" s="179">
        <v>-860</v>
      </c>
    </row>
    <row r="1076" spans="1:16" ht="19.5" customHeight="1">
      <c r="A1076" s="171" t="s">
        <v>1236</v>
      </c>
      <c r="B1076" s="175">
        <v>46061</v>
      </c>
      <c r="C1076" s="171" t="s">
        <v>115</v>
      </c>
      <c r="D1076" s="171" t="s">
        <v>116</v>
      </c>
      <c r="E1076" s="171" t="s">
        <v>38</v>
      </c>
      <c r="F1076" s="171" t="s">
        <v>111</v>
      </c>
      <c r="G1076" s="171" t="s">
        <v>112</v>
      </c>
      <c r="H1076" s="176">
        <v>1</v>
      </c>
      <c r="I1076" s="177">
        <v>2000</v>
      </c>
      <c r="J1076" s="175">
        <v>46058</v>
      </c>
      <c r="K1076" s="171" t="s">
        <v>113</v>
      </c>
      <c r="L1076" s="171" t="s">
        <v>114</v>
      </c>
      <c r="M1076" s="178">
        <v>0.43</v>
      </c>
      <c r="N1076" s="176"/>
      <c r="O1076" s="176"/>
      <c r="P1076" s="179">
        <v>-9.85</v>
      </c>
    </row>
    <row r="1077" spans="1:16" ht="19.5" customHeight="1">
      <c r="A1077" s="171" t="s">
        <v>1235</v>
      </c>
      <c r="B1077" s="175">
        <v>46061</v>
      </c>
      <c r="C1077" s="171" t="s">
        <v>115</v>
      </c>
      <c r="D1077" s="171" t="s">
        <v>135</v>
      </c>
      <c r="E1077" s="171" t="s">
        <v>79</v>
      </c>
      <c r="F1077" s="171" t="s">
        <v>441</v>
      </c>
      <c r="G1077" s="171" t="s">
        <v>177</v>
      </c>
      <c r="H1077" s="176">
        <v>1</v>
      </c>
      <c r="I1077" s="177">
        <v>0</v>
      </c>
      <c r="J1077" s="175">
        <v>46059</v>
      </c>
      <c r="K1077" s="171" t="s">
        <v>125</v>
      </c>
      <c r="L1077" s="171" t="s">
        <v>125</v>
      </c>
      <c r="M1077" s="178">
        <v>0</v>
      </c>
      <c r="N1077" s="176"/>
      <c r="O1077" s="176"/>
      <c r="P1077" s="179">
        <v>-23.07</v>
      </c>
    </row>
    <row r="1078" spans="1:16" ht="19.5" customHeight="1">
      <c r="A1078" s="171" t="s">
        <v>1237</v>
      </c>
      <c r="B1078" s="175">
        <v>46061</v>
      </c>
      <c r="C1078" s="171" t="s">
        <v>110</v>
      </c>
      <c r="D1078" s="171" t="s">
        <v>24</v>
      </c>
      <c r="E1078" s="171" t="s">
        <v>38</v>
      </c>
      <c r="F1078" s="171" t="s">
        <v>111</v>
      </c>
      <c r="G1078" s="171" t="s">
        <v>112</v>
      </c>
      <c r="H1078" s="176">
        <v>1</v>
      </c>
      <c r="I1078" s="177">
        <v>0</v>
      </c>
      <c r="J1078" s="175">
        <v>46042</v>
      </c>
      <c r="K1078" s="171" t="s">
        <v>113</v>
      </c>
      <c r="L1078" s="171" t="s">
        <v>114</v>
      </c>
      <c r="M1078" s="178">
        <v>0</v>
      </c>
      <c r="N1078" s="176"/>
      <c r="O1078" s="176">
        <v>52</v>
      </c>
      <c r="P1078" s="179">
        <v>-46</v>
      </c>
    </row>
    <row r="1079" spans="1:16" ht="19.5" customHeight="1">
      <c r="A1079" s="171" t="s">
        <v>1237</v>
      </c>
      <c r="B1079" s="175">
        <v>46061</v>
      </c>
      <c r="C1079" s="171" t="s">
        <v>115</v>
      </c>
      <c r="D1079" s="171" t="s">
        <v>116</v>
      </c>
      <c r="E1079" s="171" t="s">
        <v>38</v>
      </c>
      <c r="F1079" s="171" t="s">
        <v>111</v>
      </c>
      <c r="G1079" s="171" t="s">
        <v>112</v>
      </c>
      <c r="H1079" s="176">
        <v>1</v>
      </c>
      <c r="I1079" s="177">
        <v>0</v>
      </c>
      <c r="J1079" s="175">
        <v>46042</v>
      </c>
      <c r="K1079" s="171" t="s">
        <v>113</v>
      </c>
      <c r="L1079" s="171" t="s">
        <v>114</v>
      </c>
      <c r="M1079" s="178">
        <v>0</v>
      </c>
      <c r="N1079" s="176"/>
      <c r="O1079" s="176"/>
      <c r="P1079" s="179">
        <v>-9.92</v>
      </c>
    </row>
    <row r="1080" spans="1:16" ht="19.5" customHeight="1">
      <c r="A1080" s="171" t="s">
        <v>1237</v>
      </c>
      <c r="B1080" s="175">
        <v>46061</v>
      </c>
      <c r="C1080" s="171" t="s">
        <v>110</v>
      </c>
      <c r="D1080" s="171" t="s">
        <v>117</v>
      </c>
      <c r="E1080" s="171" t="s">
        <v>38</v>
      </c>
      <c r="F1080" s="171" t="s">
        <v>111</v>
      </c>
      <c r="G1080" s="171" t="s">
        <v>112</v>
      </c>
      <c r="H1080" s="176">
        <v>1</v>
      </c>
      <c r="I1080" s="177">
        <v>0</v>
      </c>
      <c r="J1080" s="175">
        <v>46042</v>
      </c>
      <c r="K1080" s="171" t="s">
        <v>113</v>
      </c>
      <c r="L1080" s="171" t="s">
        <v>114</v>
      </c>
      <c r="M1080" s="178">
        <v>0</v>
      </c>
      <c r="N1080" s="176"/>
      <c r="O1080" s="176"/>
      <c r="P1080" s="179">
        <v>0</v>
      </c>
    </row>
    <row r="1081" spans="1:16" ht="19.5" customHeight="1">
      <c r="A1081" s="171" t="s">
        <v>1237</v>
      </c>
      <c r="B1081" s="175">
        <v>46061</v>
      </c>
      <c r="C1081" s="171" t="s">
        <v>110</v>
      </c>
      <c r="D1081" s="171" t="s">
        <v>118</v>
      </c>
      <c r="E1081" s="171" t="s">
        <v>38</v>
      </c>
      <c r="F1081" s="171" t="s">
        <v>111</v>
      </c>
      <c r="G1081" s="171" t="s">
        <v>112</v>
      </c>
      <c r="H1081" s="176">
        <v>1</v>
      </c>
      <c r="I1081" s="177">
        <v>0</v>
      </c>
      <c r="J1081" s="175">
        <v>46042</v>
      </c>
      <c r="K1081" s="171" t="s">
        <v>113</v>
      </c>
      <c r="L1081" s="171" t="s">
        <v>114</v>
      </c>
      <c r="M1081" s="178">
        <v>0</v>
      </c>
      <c r="N1081" s="176"/>
      <c r="O1081" s="176"/>
      <c r="P1081" s="179">
        <v>-46</v>
      </c>
    </row>
    <row r="1082" spans="1:16" ht="19.5" customHeight="1">
      <c r="A1082" s="171" t="s">
        <v>1238</v>
      </c>
      <c r="B1082" s="175">
        <v>46061</v>
      </c>
      <c r="C1082" s="171" t="s">
        <v>110</v>
      </c>
      <c r="D1082" s="171" t="s">
        <v>24</v>
      </c>
      <c r="E1082" s="171" t="s">
        <v>42</v>
      </c>
      <c r="F1082" s="171" t="s">
        <v>248</v>
      </c>
      <c r="G1082" s="171" t="s">
        <v>112</v>
      </c>
      <c r="H1082" s="176">
        <v>1</v>
      </c>
      <c r="I1082" s="177">
        <v>0</v>
      </c>
      <c r="J1082" s="175">
        <v>46054</v>
      </c>
      <c r="K1082" s="171" t="s">
        <v>113</v>
      </c>
      <c r="L1082" s="171" t="s">
        <v>114</v>
      </c>
      <c r="M1082" s="178">
        <v>0</v>
      </c>
      <c r="N1082" s="176"/>
      <c r="O1082" s="176">
        <v>42</v>
      </c>
      <c r="P1082" s="179">
        <v>-46.77</v>
      </c>
    </row>
    <row r="1083" spans="1:16" ht="19.5" customHeight="1">
      <c r="A1083" s="171" t="s">
        <v>1238</v>
      </c>
      <c r="B1083" s="175">
        <v>46061</v>
      </c>
      <c r="C1083" s="171" t="s">
        <v>115</v>
      </c>
      <c r="D1083" s="171" t="s">
        <v>116</v>
      </c>
      <c r="E1083" s="171" t="s">
        <v>42</v>
      </c>
      <c r="F1083" s="171" t="s">
        <v>248</v>
      </c>
      <c r="G1083" s="171" t="s">
        <v>112</v>
      </c>
      <c r="H1083" s="176">
        <v>1</v>
      </c>
      <c r="I1083" s="177">
        <v>0</v>
      </c>
      <c r="J1083" s="175">
        <v>46054</v>
      </c>
      <c r="K1083" s="171" t="s">
        <v>113</v>
      </c>
      <c r="L1083" s="171" t="s">
        <v>114</v>
      </c>
      <c r="M1083" s="178">
        <v>0</v>
      </c>
      <c r="N1083" s="176"/>
      <c r="O1083" s="176"/>
      <c r="P1083" s="179">
        <v>-24.27</v>
      </c>
    </row>
    <row r="1084" spans="1:16" ht="19.5" customHeight="1">
      <c r="A1084" s="171" t="s">
        <v>1238</v>
      </c>
      <c r="B1084" s="175">
        <v>46061</v>
      </c>
      <c r="C1084" s="171" t="s">
        <v>110</v>
      </c>
      <c r="D1084" s="171" t="s">
        <v>117</v>
      </c>
      <c r="E1084" s="171" t="s">
        <v>42</v>
      </c>
      <c r="F1084" s="171" t="s">
        <v>248</v>
      </c>
      <c r="G1084" s="171" t="s">
        <v>112</v>
      </c>
      <c r="H1084" s="176">
        <v>1</v>
      </c>
      <c r="I1084" s="177">
        <v>0</v>
      </c>
      <c r="J1084" s="175">
        <v>46054</v>
      </c>
      <c r="K1084" s="171" t="s">
        <v>113</v>
      </c>
      <c r="L1084" s="171" t="s">
        <v>114</v>
      </c>
      <c r="M1084" s="178">
        <v>0</v>
      </c>
      <c r="N1084" s="176"/>
      <c r="O1084" s="176"/>
      <c r="P1084" s="179">
        <v>0</v>
      </c>
    </row>
    <row r="1085" spans="1:16" ht="19.5" customHeight="1">
      <c r="A1085" s="171" t="s">
        <v>1238</v>
      </c>
      <c r="B1085" s="175">
        <v>46061</v>
      </c>
      <c r="C1085" s="171" t="s">
        <v>110</v>
      </c>
      <c r="D1085" s="171" t="s">
        <v>118</v>
      </c>
      <c r="E1085" s="171" t="s">
        <v>42</v>
      </c>
      <c r="F1085" s="171" t="s">
        <v>248</v>
      </c>
      <c r="G1085" s="171" t="s">
        <v>112</v>
      </c>
      <c r="H1085" s="176">
        <v>1</v>
      </c>
      <c r="I1085" s="177">
        <v>0</v>
      </c>
      <c r="J1085" s="175">
        <v>46054</v>
      </c>
      <c r="K1085" s="171" t="s">
        <v>113</v>
      </c>
      <c r="L1085" s="171" t="s">
        <v>114</v>
      </c>
      <c r="M1085" s="178">
        <v>0</v>
      </c>
      <c r="N1085" s="176"/>
      <c r="O1085" s="176"/>
      <c r="P1085" s="179">
        <v>-46.77</v>
      </c>
    </row>
    <row r="1086" spans="1:16" ht="19.5" customHeight="1">
      <c r="A1086" s="171" t="s">
        <v>1238</v>
      </c>
      <c r="B1086" s="175">
        <v>46061</v>
      </c>
      <c r="C1086" s="171" t="s">
        <v>115</v>
      </c>
      <c r="D1086" s="171" t="s">
        <v>119</v>
      </c>
      <c r="E1086" s="171" t="s">
        <v>42</v>
      </c>
      <c r="F1086" s="171" t="s">
        <v>248</v>
      </c>
      <c r="G1086" s="171" t="s">
        <v>112</v>
      </c>
      <c r="H1086" s="176">
        <v>1</v>
      </c>
      <c r="I1086" s="177">
        <v>0</v>
      </c>
      <c r="J1086" s="175">
        <v>46054</v>
      </c>
      <c r="K1086" s="171" t="s">
        <v>113</v>
      </c>
      <c r="L1086" s="171" t="s">
        <v>114</v>
      </c>
      <c r="M1086" s="178">
        <v>0</v>
      </c>
      <c r="N1086" s="176"/>
      <c r="O1086" s="176"/>
      <c r="P1086" s="179">
        <v>-15</v>
      </c>
    </row>
    <row r="1087" spans="1:16" ht="19.5" customHeight="1">
      <c r="A1087" s="171" t="s">
        <v>1239</v>
      </c>
      <c r="B1087" s="175">
        <v>46061</v>
      </c>
      <c r="C1087" s="171" t="s">
        <v>110</v>
      </c>
      <c r="D1087" s="171" t="s">
        <v>24</v>
      </c>
      <c r="E1087" s="171" t="s">
        <v>69</v>
      </c>
      <c r="F1087" s="171" t="s">
        <v>675</v>
      </c>
      <c r="G1087" s="171" t="s">
        <v>177</v>
      </c>
      <c r="H1087" s="176">
        <v>1</v>
      </c>
      <c r="I1087" s="177">
        <v>0</v>
      </c>
      <c r="J1087" s="175">
        <v>46057</v>
      </c>
      <c r="K1087" s="171" t="s">
        <v>113</v>
      </c>
      <c r="L1087" s="171" t="s">
        <v>114</v>
      </c>
      <c r="M1087" s="178">
        <v>0</v>
      </c>
      <c r="N1087" s="176"/>
      <c r="O1087" s="176">
        <v>42</v>
      </c>
      <c r="P1087" s="179">
        <v>-56.94</v>
      </c>
    </row>
    <row r="1088" spans="1:16" ht="19.5" customHeight="1">
      <c r="A1088" s="171" t="s">
        <v>1239</v>
      </c>
      <c r="B1088" s="175">
        <v>46061</v>
      </c>
      <c r="C1088" s="171" t="s">
        <v>115</v>
      </c>
      <c r="D1088" s="171" t="s">
        <v>116</v>
      </c>
      <c r="E1088" s="171" t="s">
        <v>69</v>
      </c>
      <c r="F1088" s="171" t="s">
        <v>675</v>
      </c>
      <c r="G1088" s="171" t="s">
        <v>177</v>
      </c>
      <c r="H1088" s="176">
        <v>1</v>
      </c>
      <c r="I1088" s="177">
        <v>0</v>
      </c>
      <c r="J1088" s="175">
        <v>46057</v>
      </c>
      <c r="K1088" s="171" t="s">
        <v>113</v>
      </c>
      <c r="L1088" s="171" t="s">
        <v>114</v>
      </c>
      <c r="M1088" s="178">
        <v>0</v>
      </c>
      <c r="N1088" s="176"/>
      <c r="O1088" s="176"/>
      <c r="P1088" s="179">
        <v>-12.51</v>
      </c>
    </row>
    <row r="1089" spans="1:16" ht="19.5" customHeight="1">
      <c r="A1089" s="171" t="s">
        <v>1239</v>
      </c>
      <c r="B1089" s="175">
        <v>46061</v>
      </c>
      <c r="C1089" s="171" t="s">
        <v>110</v>
      </c>
      <c r="D1089" s="171" t="s">
        <v>117</v>
      </c>
      <c r="E1089" s="171" t="s">
        <v>69</v>
      </c>
      <c r="F1089" s="171" t="s">
        <v>675</v>
      </c>
      <c r="G1089" s="171" t="s">
        <v>177</v>
      </c>
      <c r="H1089" s="176">
        <v>1</v>
      </c>
      <c r="I1089" s="177">
        <v>0</v>
      </c>
      <c r="J1089" s="175">
        <v>46057</v>
      </c>
      <c r="K1089" s="171" t="s">
        <v>113</v>
      </c>
      <c r="L1089" s="171" t="s">
        <v>114</v>
      </c>
      <c r="M1089" s="178">
        <v>0</v>
      </c>
      <c r="N1089" s="176"/>
      <c r="O1089" s="176"/>
      <c r="P1089" s="179">
        <v>0</v>
      </c>
    </row>
    <row r="1090" spans="1:16" ht="19.5" customHeight="1">
      <c r="A1090" s="171" t="s">
        <v>1239</v>
      </c>
      <c r="B1090" s="175">
        <v>46061</v>
      </c>
      <c r="C1090" s="171" t="s">
        <v>110</v>
      </c>
      <c r="D1090" s="171" t="s">
        <v>118</v>
      </c>
      <c r="E1090" s="171" t="s">
        <v>69</v>
      </c>
      <c r="F1090" s="171" t="s">
        <v>675</v>
      </c>
      <c r="G1090" s="171" t="s">
        <v>177</v>
      </c>
      <c r="H1090" s="176">
        <v>1</v>
      </c>
      <c r="I1090" s="177">
        <v>0</v>
      </c>
      <c r="J1090" s="175">
        <v>46057</v>
      </c>
      <c r="K1090" s="171" t="s">
        <v>113</v>
      </c>
      <c r="L1090" s="171" t="s">
        <v>114</v>
      </c>
      <c r="M1090" s="178">
        <v>0</v>
      </c>
      <c r="N1090" s="176"/>
      <c r="O1090" s="176"/>
      <c r="P1090" s="179">
        <v>-56.94</v>
      </c>
    </row>
    <row r="1091" spans="1:16" ht="19.5" customHeight="1">
      <c r="A1091" s="171" t="s">
        <v>1239</v>
      </c>
      <c r="B1091" s="175">
        <v>46061</v>
      </c>
      <c r="C1091" s="171" t="s">
        <v>115</v>
      </c>
      <c r="D1091" s="171" t="s">
        <v>119</v>
      </c>
      <c r="E1091" s="171" t="s">
        <v>69</v>
      </c>
      <c r="F1091" s="171" t="s">
        <v>675</v>
      </c>
      <c r="G1091" s="171" t="s">
        <v>177</v>
      </c>
      <c r="H1091" s="176">
        <v>1</v>
      </c>
      <c r="I1091" s="177">
        <v>0</v>
      </c>
      <c r="J1091" s="175">
        <v>46057</v>
      </c>
      <c r="K1091" s="171" t="s">
        <v>113</v>
      </c>
      <c r="L1091" s="171" t="s">
        <v>114</v>
      </c>
      <c r="M1091" s="178">
        <v>0</v>
      </c>
      <c r="N1091" s="176"/>
      <c r="O1091" s="176"/>
      <c r="P1091" s="179">
        <v>-15</v>
      </c>
    </row>
    <row r="1092" spans="1:16" ht="19.5" customHeight="1">
      <c r="A1092" s="171" t="s">
        <v>1240</v>
      </c>
      <c r="B1092" s="175">
        <v>46061</v>
      </c>
      <c r="C1092" s="171" t="s">
        <v>110</v>
      </c>
      <c r="D1092" s="171" t="s">
        <v>24</v>
      </c>
      <c r="E1092" s="171" t="s">
        <v>38</v>
      </c>
      <c r="F1092" s="171" t="s">
        <v>111</v>
      </c>
      <c r="G1092" s="171" t="s">
        <v>112</v>
      </c>
      <c r="H1092" s="176">
        <v>1</v>
      </c>
      <c r="I1092" s="177">
        <v>2000</v>
      </c>
      <c r="J1092" s="175">
        <v>46058</v>
      </c>
      <c r="K1092" s="171" t="s">
        <v>113</v>
      </c>
      <c r="L1092" s="171" t="s">
        <v>114</v>
      </c>
      <c r="M1092" s="178">
        <v>0.43</v>
      </c>
      <c r="N1092" s="176"/>
      <c r="O1092" s="176">
        <v>42</v>
      </c>
      <c r="P1092" s="179">
        <v>-130.43</v>
      </c>
    </row>
    <row r="1093" spans="1:16" ht="19.5" customHeight="1">
      <c r="A1093" s="171" t="s">
        <v>1240</v>
      </c>
      <c r="B1093" s="175">
        <v>46061</v>
      </c>
      <c r="C1093" s="171" t="s">
        <v>127</v>
      </c>
      <c r="D1093" s="171" t="s">
        <v>128</v>
      </c>
      <c r="E1093" s="171" t="s">
        <v>38</v>
      </c>
      <c r="F1093" s="171" t="s">
        <v>111</v>
      </c>
      <c r="G1093" s="171" t="s">
        <v>112</v>
      </c>
      <c r="H1093" s="176">
        <v>1</v>
      </c>
      <c r="I1093" s="177">
        <v>2000</v>
      </c>
      <c r="J1093" s="175">
        <v>46058</v>
      </c>
      <c r="K1093" s="171" t="s">
        <v>113</v>
      </c>
      <c r="L1093" s="171" t="s">
        <v>114</v>
      </c>
      <c r="M1093" s="178">
        <v>0</v>
      </c>
      <c r="N1093" s="176"/>
      <c r="O1093" s="176"/>
      <c r="P1093" s="179">
        <v>879.05</v>
      </c>
    </row>
    <row r="1094" spans="1:16" ht="19.5" customHeight="1">
      <c r="A1094" s="171" t="s">
        <v>1240</v>
      </c>
      <c r="B1094" s="175">
        <v>46061</v>
      </c>
      <c r="C1094" s="171" t="s">
        <v>127</v>
      </c>
      <c r="D1094" s="171" t="s">
        <v>129</v>
      </c>
      <c r="E1094" s="171" t="s">
        <v>38</v>
      </c>
      <c r="F1094" s="171" t="s">
        <v>111</v>
      </c>
      <c r="G1094" s="171" t="s">
        <v>112</v>
      </c>
      <c r="H1094" s="176">
        <v>1</v>
      </c>
      <c r="I1094" s="177">
        <v>2000</v>
      </c>
      <c r="J1094" s="175">
        <v>46058</v>
      </c>
      <c r="K1094" s="171" t="s">
        <v>113</v>
      </c>
      <c r="L1094" s="171" t="s">
        <v>114</v>
      </c>
      <c r="M1094" s="178">
        <v>0</v>
      </c>
      <c r="N1094" s="176"/>
      <c r="O1094" s="176"/>
      <c r="P1094" s="179">
        <v>8.7899999999999991</v>
      </c>
    </row>
    <row r="1095" spans="1:16" ht="19.5" customHeight="1">
      <c r="A1095" s="171" t="s">
        <v>1240</v>
      </c>
      <c r="B1095" s="175">
        <v>46061</v>
      </c>
      <c r="C1095" s="171" t="s">
        <v>127</v>
      </c>
      <c r="D1095" s="171" t="s">
        <v>130</v>
      </c>
      <c r="E1095" s="171" t="s">
        <v>38</v>
      </c>
      <c r="F1095" s="171" t="s">
        <v>111</v>
      </c>
      <c r="G1095" s="171" t="s">
        <v>112</v>
      </c>
      <c r="H1095" s="176">
        <v>1</v>
      </c>
      <c r="I1095" s="177">
        <v>2000</v>
      </c>
      <c r="J1095" s="175">
        <v>46058</v>
      </c>
      <c r="K1095" s="171" t="s">
        <v>113</v>
      </c>
      <c r="L1095" s="171" t="s">
        <v>114</v>
      </c>
      <c r="M1095" s="178">
        <v>0</v>
      </c>
      <c r="N1095" s="176"/>
      <c r="O1095" s="176"/>
      <c r="P1095" s="179">
        <v>1112.1600000000001</v>
      </c>
    </row>
    <row r="1096" spans="1:16" ht="19.5" customHeight="1">
      <c r="A1096" s="171" t="s">
        <v>1240</v>
      </c>
      <c r="B1096" s="175">
        <v>46061</v>
      </c>
      <c r="C1096" s="171" t="s">
        <v>131</v>
      </c>
      <c r="D1096" s="171" t="s">
        <v>132</v>
      </c>
      <c r="E1096" s="171" t="s">
        <v>38</v>
      </c>
      <c r="F1096" s="171" t="s">
        <v>111</v>
      </c>
      <c r="G1096" s="171" t="s">
        <v>112</v>
      </c>
      <c r="H1096" s="176">
        <v>1</v>
      </c>
      <c r="I1096" s="177">
        <v>2000</v>
      </c>
      <c r="J1096" s="175">
        <v>46058</v>
      </c>
      <c r="K1096" s="171" t="s">
        <v>113</v>
      </c>
      <c r="L1096" s="171" t="s">
        <v>114</v>
      </c>
      <c r="M1096" s="178">
        <v>0.43</v>
      </c>
      <c r="N1096" s="176"/>
      <c r="O1096" s="176"/>
      <c r="P1096" s="179">
        <v>-860</v>
      </c>
    </row>
    <row r="1097" spans="1:16" ht="19.5" customHeight="1">
      <c r="A1097" s="171" t="s">
        <v>1240</v>
      </c>
      <c r="B1097" s="175">
        <v>46061</v>
      </c>
      <c r="C1097" s="171" t="s">
        <v>115</v>
      </c>
      <c r="D1097" s="171" t="s">
        <v>116</v>
      </c>
      <c r="E1097" s="171" t="s">
        <v>38</v>
      </c>
      <c r="F1097" s="171" t="s">
        <v>111</v>
      </c>
      <c r="G1097" s="171" t="s">
        <v>112</v>
      </c>
      <c r="H1097" s="176">
        <v>1</v>
      </c>
      <c r="I1097" s="177">
        <v>2000</v>
      </c>
      <c r="J1097" s="175">
        <v>46058</v>
      </c>
      <c r="K1097" s="171" t="s">
        <v>113</v>
      </c>
      <c r="L1097" s="171" t="s">
        <v>114</v>
      </c>
      <c r="M1097" s="178">
        <v>0.43</v>
      </c>
      <c r="N1097" s="176"/>
      <c r="O1097" s="176"/>
      <c r="P1097" s="179">
        <v>-13.04</v>
      </c>
    </row>
    <row r="1098" spans="1:16" ht="19.5" customHeight="1">
      <c r="A1098" s="171" t="s">
        <v>1241</v>
      </c>
      <c r="B1098" s="175">
        <v>46061</v>
      </c>
      <c r="C1098" s="171" t="s">
        <v>110</v>
      </c>
      <c r="D1098" s="171" t="s">
        <v>24</v>
      </c>
      <c r="E1098" s="171" t="s">
        <v>71</v>
      </c>
      <c r="F1098" s="171" t="s">
        <v>185</v>
      </c>
      <c r="G1098" s="171" t="s">
        <v>177</v>
      </c>
      <c r="H1098" s="176">
        <v>1</v>
      </c>
      <c r="I1098" s="177">
        <v>3635</v>
      </c>
      <c r="J1098" s="175">
        <v>46059</v>
      </c>
      <c r="K1098" s="171" t="s">
        <v>113</v>
      </c>
      <c r="L1098" s="171" t="s">
        <v>114</v>
      </c>
      <c r="M1098" s="178">
        <v>0.43</v>
      </c>
      <c r="N1098" s="176"/>
      <c r="O1098" s="176">
        <v>42</v>
      </c>
      <c r="P1098" s="179">
        <v>-193</v>
      </c>
    </row>
    <row r="1099" spans="1:16" ht="19.5" customHeight="1">
      <c r="A1099" s="171" t="s">
        <v>1241</v>
      </c>
      <c r="B1099" s="175">
        <v>46061</v>
      </c>
      <c r="C1099" s="171" t="s">
        <v>127</v>
      </c>
      <c r="D1099" s="171" t="s">
        <v>128</v>
      </c>
      <c r="E1099" s="171" t="s">
        <v>71</v>
      </c>
      <c r="F1099" s="171" t="s">
        <v>185</v>
      </c>
      <c r="G1099" s="171" t="s">
        <v>177</v>
      </c>
      <c r="H1099" s="176">
        <v>1</v>
      </c>
      <c r="I1099" s="177">
        <v>3635</v>
      </c>
      <c r="J1099" s="175">
        <v>46059</v>
      </c>
      <c r="K1099" s="171" t="s">
        <v>113</v>
      </c>
      <c r="L1099" s="171" t="s">
        <v>114</v>
      </c>
      <c r="M1099" s="178">
        <v>0</v>
      </c>
      <c r="N1099" s="176"/>
      <c r="O1099" s="176"/>
      <c r="P1099" s="179">
        <v>1987.68</v>
      </c>
    </row>
    <row r="1100" spans="1:16" ht="19.5" customHeight="1">
      <c r="A1100" s="171" t="s">
        <v>1241</v>
      </c>
      <c r="B1100" s="175">
        <v>46061</v>
      </c>
      <c r="C1100" s="171" t="s">
        <v>127</v>
      </c>
      <c r="D1100" s="171" t="s">
        <v>129</v>
      </c>
      <c r="E1100" s="171" t="s">
        <v>71</v>
      </c>
      <c r="F1100" s="171" t="s">
        <v>185</v>
      </c>
      <c r="G1100" s="171" t="s">
        <v>177</v>
      </c>
      <c r="H1100" s="176">
        <v>1</v>
      </c>
      <c r="I1100" s="177">
        <v>3635</v>
      </c>
      <c r="J1100" s="175">
        <v>46059</v>
      </c>
      <c r="K1100" s="171" t="s">
        <v>113</v>
      </c>
      <c r="L1100" s="171" t="s">
        <v>114</v>
      </c>
      <c r="M1100" s="178">
        <v>0</v>
      </c>
      <c r="N1100" s="176"/>
      <c r="O1100" s="176"/>
      <c r="P1100" s="179">
        <v>19.88</v>
      </c>
    </row>
    <row r="1101" spans="1:16" ht="19.5" customHeight="1">
      <c r="A1101" s="171" t="s">
        <v>1241</v>
      </c>
      <c r="B1101" s="175">
        <v>46061</v>
      </c>
      <c r="C1101" s="171" t="s">
        <v>127</v>
      </c>
      <c r="D1101" s="171" t="s">
        <v>130</v>
      </c>
      <c r="E1101" s="171" t="s">
        <v>71</v>
      </c>
      <c r="F1101" s="171" t="s">
        <v>185</v>
      </c>
      <c r="G1101" s="171" t="s">
        <v>177</v>
      </c>
      <c r="H1101" s="176">
        <v>1</v>
      </c>
      <c r="I1101" s="177">
        <v>3635</v>
      </c>
      <c r="J1101" s="175">
        <v>46059</v>
      </c>
      <c r="K1101" s="171" t="s">
        <v>113</v>
      </c>
      <c r="L1101" s="171" t="s">
        <v>114</v>
      </c>
      <c r="M1101" s="178">
        <v>0</v>
      </c>
      <c r="N1101" s="176"/>
      <c r="O1101" s="176"/>
      <c r="P1101" s="179">
        <v>1627.44</v>
      </c>
    </row>
    <row r="1102" spans="1:16" ht="19.5" customHeight="1">
      <c r="A1102" s="171" t="s">
        <v>1241</v>
      </c>
      <c r="B1102" s="175">
        <v>46061</v>
      </c>
      <c r="C1102" s="171" t="s">
        <v>131</v>
      </c>
      <c r="D1102" s="171" t="s">
        <v>132</v>
      </c>
      <c r="E1102" s="171" t="s">
        <v>71</v>
      </c>
      <c r="F1102" s="171" t="s">
        <v>185</v>
      </c>
      <c r="G1102" s="171" t="s">
        <v>177</v>
      </c>
      <c r="H1102" s="176">
        <v>1</v>
      </c>
      <c r="I1102" s="177">
        <v>3635</v>
      </c>
      <c r="J1102" s="175">
        <v>46059</v>
      </c>
      <c r="K1102" s="171" t="s">
        <v>113</v>
      </c>
      <c r="L1102" s="171" t="s">
        <v>114</v>
      </c>
      <c r="M1102" s="178">
        <v>0.43</v>
      </c>
      <c r="N1102" s="176"/>
      <c r="O1102" s="176"/>
      <c r="P1102" s="179">
        <v>-1563.05</v>
      </c>
    </row>
    <row r="1103" spans="1:16" ht="19.5" customHeight="1">
      <c r="A1103" s="171" t="s">
        <v>1241</v>
      </c>
      <c r="B1103" s="175">
        <v>46061</v>
      </c>
      <c r="C1103" s="171" t="s">
        <v>115</v>
      </c>
      <c r="D1103" s="171" t="s">
        <v>116</v>
      </c>
      <c r="E1103" s="171" t="s">
        <v>71</v>
      </c>
      <c r="F1103" s="171" t="s">
        <v>185</v>
      </c>
      <c r="G1103" s="171" t="s">
        <v>177</v>
      </c>
      <c r="H1103" s="176">
        <v>1</v>
      </c>
      <c r="I1103" s="177">
        <v>3635</v>
      </c>
      <c r="J1103" s="175">
        <v>46059</v>
      </c>
      <c r="K1103" s="171" t="s">
        <v>113</v>
      </c>
      <c r="L1103" s="171" t="s">
        <v>114</v>
      </c>
      <c r="M1103" s="178">
        <v>0.43</v>
      </c>
      <c r="N1103" s="176"/>
      <c r="O1103" s="176"/>
      <c r="P1103" s="179">
        <v>-11.27</v>
      </c>
    </row>
    <row r="1104" spans="1:16" ht="19.5" customHeight="1">
      <c r="A1104" s="171" t="s">
        <v>1241</v>
      </c>
      <c r="B1104" s="175">
        <v>46061</v>
      </c>
      <c r="C1104" s="171" t="s">
        <v>115</v>
      </c>
      <c r="D1104" s="171" t="s">
        <v>135</v>
      </c>
      <c r="E1104" s="171" t="s">
        <v>71</v>
      </c>
      <c r="F1104" s="171" t="s">
        <v>185</v>
      </c>
      <c r="G1104" s="171" t="s">
        <v>177</v>
      </c>
      <c r="H1104" s="176">
        <v>1</v>
      </c>
      <c r="I1104" s="177">
        <v>0</v>
      </c>
      <c r="J1104" s="175">
        <v>46059</v>
      </c>
      <c r="K1104" s="171" t="s">
        <v>125</v>
      </c>
      <c r="L1104" s="171" t="s">
        <v>125</v>
      </c>
      <c r="M1104" s="178">
        <v>0</v>
      </c>
      <c r="N1104" s="176"/>
      <c r="O1104" s="176"/>
      <c r="P1104" s="179">
        <v>-37.770000000000003</v>
      </c>
    </row>
    <row r="1105" spans="1:16" ht="19.5" customHeight="1">
      <c r="A1105" s="171" t="s">
        <v>1242</v>
      </c>
      <c r="B1105" s="175">
        <v>46061</v>
      </c>
      <c r="C1105" s="171" t="s">
        <v>110</v>
      </c>
      <c r="D1105" s="171" t="s">
        <v>24</v>
      </c>
      <c r="E1105" s="171" t="s">
        <v>38</v>
      </c>
      <c r="F1105" s="171" t="s">
        <v>111</v>
      </c>
      <c r="G1105" s="171" t="s">
        <v>112</v>
      </c>
      <c r="H1105" s="176">
        <v>1</v>
      </c>
      <c r="I1105" s="177">
        <v>1800</v>
      </c>
      <c r="J1105" s="175">
        <v>46054</v>
      </c>
      <c r="K1105" s="171" t="s">
        <v>113</v>
      </c>
      <c r="L1105" s="171" t="s">
        <v>114</v>
      </c>
      <c r="M1105" s="178">
        <v>0.43</v>
      </c>
      <c r="N1105" s="176"/>
      <c r="O1105" s="176">
        <v>42</v>
      </c>
      <c r="P1105" s="179">
        <v>-124.73</v>
      </c>
    </row>
    <row r="1106" spans="1:16" ht="19.5" customHeight="1">
      <c r="A1106" s="171" t="s">
        <v>1242</v>
      </c>
      <c r="B1106" s="175">
        <v>46061</v>
      </c>
      <c r="C1106" s="171" t="s">
        <v>127</v>
      </c>
      <c r="D1106" s="171" t="s">
        <v>128</v>
      </c>
      <c r="E1106" s="171" t="s">
        <v>38</v>
      </c>
      <c r="F1106" s="171" t="s">
        <v>111</v>
      </c>
      <c r="G1106" s="171" t="s">
        <v>112</v>
      </c>
      <c r="H1106" s="176">
        <v>1</v>
      </c>
      <c r="I1106" s="177">
        <v>1800</v>
      </c>
      <c r="J1106" s="175">
        <v>46054</v>
      </c>
      <c r="K1106" s="171" t="s">
        <v>113</v>
      </c>
      <c r="L1106" s="171" t="s">
        <v>114</v>
      </c>
      <c r="M1106" s="178">
        <v>0</v>
      </c>
      <c r="N1106" s="176"/>
      <c r="O1106" s="176"/>
      <c r="P1106" s="179">
        <v>786.87</v>
      </c>
    </row>
    <row r="1107" spans="1:16" ht="19.5" customHeight="1">
      <c r="A1107" s="171" t="s">
        <v>1242</v>
      </c>
      <c r="B1107" s="175">
        <v>46061</v>
      </c>
      <c r="C1107" s="171" t="s">
        <v>127</v>
      </c>
      <c r="D1107" s="171" t="s">
        <v>129</v>
      </c>
      <c r="E1107" s="171" t="s">
        <v>38</v>
      </c>
      <c r="F1107" s="171" t="s">
        <v>111</v>
      </c>
      <c r="G1107" s="171" t="s">
        <v>112</v>
      </c>
      <c r="H1107" s="176">
        <v>1</v>
      </c>
      <c r="I1107" s="177">
        <v>1800</v>
      </c>
      <c r="J1107" s="175">
        <v>46054</v>
      </c>
      <c r="K1107" s="171" t="s">
        <v>113</v>
      </c>
      <c r="L1107" s="171" t="s">
        <v>114</v>
      </c>
      <c r="M1107" s="178">
        <v>0</v>
      </c>
      <c r="N1107" s="176"/>
      <c r="O1107" s="176"/>
      <c r="P1107" s="179">
        <v>0</v>
      </c>
    </row>
    <row r="1108" spans="1:16" ht="19.5" customHeight="1">
      <c r="A1108" s="171" t="s">
        <v>1242</v>
      </c>
      <c r="B1108" s="175">
        <v>46061</v>
      </c>
      <c r="C1108" s="171" t="s">
        <v>127</v>
      </c>
      <c r="D1108" s="171" t="s">
        <v>130</v>
      </c>
      <c r="E1108" s="171" t="s">
        <v>38</v>
      </c>
      <c r="F1108" s="171" t="s">
        <v>111</v>
      </c>
      <c r="G1108" s="171" t="s">
        <v>112</v>
      </c>
      <c r="H1108" s="176">
        <v>1</v>
      </c>
      <c r="I1108" s="177">
        <v>1800</v>
      </c>
      <c r="J1108" s="175">
        <v>46054</v>
      </c>
      <c r="K1108" s="171" t="s">
        <v>113</v>
      </c>
      <c r="L1108" s="171" t="s">
        <v>114</v>
      </c>
      <c r="M1108" s="178">
        <v>0</v>
      </c>
      <c r="N1108" s="176"/>
      <c r="O1108" s="176"/>
      <c r="P1108" s="179">
        <v>1013.13</v>
      </c>
    </row>
    <row r="1109" spans="1:16" ht="19.5" customHeight="1">
      <c r="A1109" s="171" t="s">
        <v>1242</v>
      </c>
      <c r="B1109" s="175">
        <v>46061</v>
      </c>
      <c r="C1109" s="171" t="s">
        <v>131</v>
      </c>
      <c r="D1109" s="171" t="s">
        <v>132</v>
      </c>
      <c r="E1109" s="171" t="s">
        <v>38</v>
      </c>
      <c r="F1109" s="171" t="s">
        <v>111</v>
      </c>
      <c r="G1109" s="171" t="s">
        <v>112</v>
      </c>
      <c r="H1109" s="176">
        <v>1</v>
      </c>
      <c r="I1109" s="177">
        <v>1800</v>
      </c>
      <c r="J1109" s="175">
        <v>46054</v>
      </c>
      <c r="K1109" s="171" t="s">
        <v>113</v>
      </c>
      <c r="L1109" s="171" t="s">
        <v>114</v>
      </c>
      <c r="M1109" s="178">
        <v>0.43</v>
      </c>
      <c r="N1109" s="176"/>
      <c r="O1109" s="176"/>
      <c r="P1109" s="179">
        <v>-774</v>
      </c>
    </row>
    <row r="1110" spans="1:16" ht="19.5" customHeight="1">
      <c r="A1110" s="171" t="s">
        <v>1242</v>
      </c>
      <c r="B1110" s="175">
        <v>46061</v>
      </c>
      <c r="C1110" s="171" t="s">
        <v>115</v>
      </c>
      <c r="D1110" s="171" t="s">
        <v>116</v>
      </c>
      <c r="E1110" s="171" t="s">
        <v>38</v>
      </c>
      <c r="F1110" s="171" t="s">
        <v>111</v>
      </c>
      <c r="G1110" s="171" t="s">
        <v>112</v>
      </c>
      <c r="H1110" s="176">
        <v>1</v>
      </c>
      <c r="I1110" s="177">
        <v>1800</v>
      </c>
      <c r="J1110" s="175">
        <v>46054</v>
      </c>
      <c r="K1110" s="171" t="s">
        <v>113</v>
      </c>
      <c r="L1110" s="171" t="s">
        <v>114</v>
      </c>
      <c r="M1110" s="178">
        <v>0.43</v>
      </c>
      <c r="N1110" s="176"/>
      <c r="O1110" s="176"/>
      <c r="P1110" s="179">
        <v>-14.88</v>
      </c>
    </row>
    <row r="1111" spans="1:16" ht="19.5" customHeight="1">
      <c r="A1111" s="171" t="s">
        <v>1243</v>
      </c>
      <c r="B1111" s="175">
        <v>46061</v>
      </c>
      <c r="C1111" s="171" t="s">
        <v>110</v>
      </c>
      <c r="D1111" s="171" t="s">
        <v>24</v>
      </c>
      <c r="E1111" s="171" t="s">
        <v>38</v>
      </c>
      <c r="F1111" s="171" t="s">
        <v>111</v>
      </c>
      <c r="G1111" s="171" t="s">
        <v>112</v>
      </c>
      <c r="H1111" s="176">
        <v>1</v>
      </c>
      <c r="I1111" s="177">
        <v>0</v>
      </c>
      <c r="J1111" s="175">
        <v>46056</v>
      </c>
      <c r="K1111" s="171" t="s">
        <v>113</v>
      </c>
      <c r="L1111" s="171" t="s">
        <v>114</v>
      </c>
      <c r="M1111" s="178">
        <v>0</v>
      </c>
      <c r="N1111" s="176"/>
      <c r="O1111" s="176">
        <v>43</v>
      </c>
      <c r="P1111" s="179">
        <v>-46.77</v>
      </c>
    </row>
    <row r="1112" spans="1:16" ht="19.5" customHeight="1">
      <c r="A1112" s="171" t="s">
        <v>1243</v>
      </c>
      <c r="B1112" s="175">
        <v>46061</v>
      </c>
      <c r="C1112" s="171" t="s">
        <v>115</v>
      </c>
      <c r="D1112" s="171" t="s">
        <v>116</v>
      </c>
      <c r="E1112" s="171" t="s">
        <v>38</v>
      </c>
      <c r="F1112" s="171" t="s">
        <v>111</v>
      </c>
      <c r="G1112" s="171" t="s">
        <v>112</v>
      </c>
      <c r="H1112" s="176">
        <v>1</v>
      </c>
      <c r="I1112" s="177">
        <v>0</v>
      </c>
      <c r="J1112" s="175">
        <v>46056</v>
      </c>
      <c r="K1112" s="171" t="s">
        <v>113</v>
      </c>
      <c r="L1112" s="171" t="s">
        <v>114</v>
      </c>
      <c r="M1112" s="178">
        <v>0</v>
      </c>
      <c r="N1112" s="176"/>
      <c r="O1112" s="176"/>
      <c r="P1112" s="179">
        <v>-18.010000000000002</v>
      </c>
    </row>
    <row r="1113" spans="1:16" ht="19.5" customHeight="1">
      <c r="A1113" s="171" t="s">
        <v>1243</v>
      </c>
      <c r="B1113" s="175">
        <v>46061</v>
      </c>
      <c r="C1113" s="171" t="s">
        <v>110</v>
      </c>
      <c r="D1113" s="171" t="s">
        <v>117</v>
      </c>
      <c r="E1113" s="171" t="s">
        <v>38</v>
      </c>
      <c r="F1113" s="171" t="s">
        <v>111</v>
      </c>
      <c r="G1113" s="171" t="s">
        <v>112</v>
      </c>
      <c r="H1113" s="176">
        <v>1</v>
      </c>
      <c r="I1113" s="177">
        <v>0</v>
      </c>
      <c r="J1113" s="175">
        <v>46056</v>
      </c>
      <c r="K1113" s="171" t="s">
        <v>113</v>
      </c>
      <c r="L1113" s="171" t="s">
        <v>114</v>
      </c>
      <c r="M1113" s="178">
        <v>0</v>
      </c>
      <c r="N1113" s="176"/>
      <c r="O1113" s="176"/>
      <c r="P1113" s="179">
        <v>0</v>
      </c>
    </row>
    <row r="1114" spans="1:16" ht="19.5" customHeight="1">
      <c r="A1114" s="171" t="s">
        <v>1243</v>
      </c>
      <c r="B1114" s="175">
        <v>46061</v>
      </c>
      <c r="C1114" s="171" t="s">
        <v>110</v>
      </c>
      <c r="D1114" s="171" t="s">
        <v>118</v>
      </c>
      <c r="E1114" s="171" t="s">
        <v>38</v>
      </c>
      <c r="F1114" s="171" t="s">
        <v>111</v>
      </c>
      <c r="G1114" s="171" t="s">
        <v>112</v>
      </c>
      <c r="H1114" s="176">
        <v>1</v>
      </c>
      <c r="I1114" s="177">
        <v>0</v>
      </c>
      <c r="J1114" s="175">
        <v>46056</v>
      </c>
      <c r="K1114" s="171" t="s">
        <v>113</v>
      </c>
      <c r="L1114" s="171" t="s">
        <v>114</v>
      </c>
      <c r="M1114" s="178">
        <v>0</v>
      </c>
      <c r="N1114" s="176"/>
      <c r="O1114" s="176"/>
      <c r="P1114" s="179">
        <v>-46.77</v>
      </c>
    </row>
    <row r="1115" spans="1:16" ht="19.5" customHeight="1">
      <c r="A1115" s="171" t="s">
        <v>1243</v>
      </c>
      <c r="B1115" s="175">
        <v>46061</v>
      </c>
      <c r="C1115" s="171" t="s">
        <v>115</v>
      </c>
      <c r="D1115" s="171" t="s">
        <v>119</v>
      </c>
      <c r="E1115" s="171" t="s">
        <v>38</v>
      </c>
      <c r="F1115" s="171" t="s">
        <v>111</v>
      </c>
      <c r="G1115" s="171" t="s">
        <v>112</v>
      </c>
      <c r="H1115" s="176">
        <v>1</v>
      </c>
      <c r="I1115" s="177">
        <v>0</v>
      </c>
      <c r="J1115" s="175">
        <v>46056</v>
      </c>
      <c r="K1115" s="171" t="s">
        <v>113</v>
      </c>
      <c r="L1115" s="171" t="s">
        <v>114</v>
      </c>
      <c r="M1115" s="178">
        <v>0</v>
      </c>
      <c r="N1115" s="176"/>
      <c r="O1115" s="176"/>
      <c r="P1115" s="179">
        <v>-15</v>
      </c>
    </row>
    <row r="1116" spans="1:16" ht="19.5" customHeight="1">
      <c r="A1116" s="171" t="s">
        <v>1244</v>
      </c>
      <c r="B1116" s="175">
        <v>46061</v>
      </c>
      <c r="C1116" s="171" t="s">
        <v>110</v>
      </c>
      <c r="D1116" s="171" t="s">
        <v>24</v>
      </c>
      <c r="E1116" s="171" t="s">
        <v>77</v>
      </c>
      <c r="F1116" s="171" t="s">
        <v>194</v>
      </c>
      <c r="G1116" s="171" t="s">
        <v>177</v>
      </c>
      <c r="H1116" s="176">
        <v>1</v>
      </c>
      <c r="I1116" s="177">
        <v>0</v>
      </c>
      <c r="J1116" s="175">
        <v>46058</v>
      </c>
      <c r="K1116" s="171" t="s">
        <v>113</v>
      </c>
      <c r="L1116" s="171" t="s">
        <v>114</v>
      </c>
      <c r="M1116" s="178">
        <v>0</v>
      </c>
      <c r="N1116" s="176"/>
      <c r="O1116" s="176">
        <v>42</v>
      </c>
      <c r="P1116" s="179">
        <v>-257.55</v>
      </c>
    </row>
    <row r="1117" spans="1:16" ht="19.5" customHeight="1">
      <c r="A1117" s="171" t="s">
        <v>1245</v>
      </c>
      <c r="B1117" s="175">
        <v>46061</v>
      </c>
      <c r="C1117" s="171" t="s">
        <v>110</v>
      </c>
      <c r="D1117" s="171" t="s">
        <v>24</v>
      </c>
      <c r="E1117" s="171" t="s">
        <v>79</v>
      </c>
      <c r="F1117" s="171" t="s">
        <v>441</v>
      </c>
      <c r="G1117" s="171" t="s">
        <v>177</v>
      </c>
      <c r="H1117" s="176">
        <v>1</v>
      </c>
      <c r="I1117" s="177">
        <v>5000</v>
      </c>
      <c r="J1117" s="175">
        <v>46056</v>
      </c>
      <c r="K1117" s="171" t="s">
        <v>113</v>
      </c>
      <c r="L1117" s="171" t="s">
        <v>114</v>
      </c>
      <c r="M1117" s="178">
        <v>0.43</v>
      </c>
      <c r="N1117" s="176"/>
      <c r="O1117" s="176">
        <v>43</v>
      </c>
      <c r="P1117" s="179">
        <v>-241.1</v>
      </c>
    </row>
    <row r="1118" spans="1:16" ht="19.5" customHeight="1">
      <c r="A1118" s="171" t="s">
        <v>1245</v>
      </c>
      <c r="B1118" s="175">
        <v>46061</v>
      </c>
      <c r="C1118" s="171" t="s">
        <v>127</v>
      </c>
      <c r="D1118" s="171" t="s">
        <v>128</v>
      </c>
      <c r="E1118" s="171" t="s">
        <v>79</v>
      </c>
      <c r="F1118" s="171" t="s">
        <v>441</v>
      </c>
      <c r="G1118" s="171" t="s">
        <v>177</v>
      </c>
      <c r="H1118" s="176">
        <v>1</v>
      </c>
      <c r="I1118" s="177">
        <v>5000</v>
      </c>
      <c r="J1118" s="175">
        <v>46056</v>
      </c>
      <c r="K1118" s="171" t="s">
        <v>113</v>
      </c>
      <c r="L1118" s="171" t="s">
        <v>114</v>
      </c>
      <c r="M1118" s="178">
        <v>0</v>
      </c>
      <c r="N1118" s="176"/>
      <c r="O1118" s="176"/>
      <c r="P1118" s="179">
        <v>1804.76</v>
      </c>
    </row>
    <row r="1119" spans="1:16" ht="19.5" customHeight="1">
      <c r="A1119" s="171" t="s">
        <v>1245</v>
      </c>
      <c r="B1119" s="175">
        <v>46061</v>
      </c>
      <c r="C1119" s="171" t="s">
        <v>127</v>
      </c>
      <c r="D1119" s="171" t="s">
        <v>129</v>
      </c>
      <c r="E1119" s="171" t="s">
        <v>79</v>
      </c>
      <c r="F1119" s="171" t="s">
        <v>441</v>
      </c>
      <c r="G1119" s="171" t="s">
        <v>177</v>
      </c>
      <c r="H1119" s="176">
        <v>1</v>
      </c>
      <c r="I1119" s="177">
        <v>5000</v>
      </c>
      <c r="J1119" s="175">
        <v>46056</v>
      </c>
      <c r="K1119" s="171" t="s">
        <v>113</v>
      </c>
      <c r="L1119" s="171" t="s">
        <v>114</v>
      </c>
      <c r="M1119" s="178">
        <v>0</v>
      </c>
      <c r="N1119" s="176"/>
      <c r="O1119" s="176"/>
      <c r="P1119" s="179">
        <v>18.05</v>
      </c>
    </row>
    <row r="1120" spans="1:16" ht="19.5" customHeight="1">
      <c r="A1120" s="171" t="s">
        <v>1245</v>
      </c>
      <c r="B1120" s="175">
        <v>46061</v>
      </c>
      <c r="C1120" s="171" t="s">
        <v>127</v>
      </c>
      <c r="D1120" s="171" t="s">
        <v>130</v>
      </c>
      <c r="E1120" s="171" t="s">
        <v>79</v>
      </c>
      <c r="F1120" s="171" t="s">
        <v>441</v>
      </c>
      <c r="G1120" s="171" t="s">
        <v>177</v>
      </c>
      <c r="H1120" s="176">
        <v>1</v>
      </c>
      <c r="I1120" s="177">
        <v>5000</v>
      </c>
      <c r="J1120" s="175">
        <v>46056</v>
      </c>
      <c r="K1120" s="171" t="s">
        <v>113</v>
      </c>
      <c r="L1120" s="171" t="s">
        <v>114</v>
      </c>
      <c r="M1120" s="178">
        <v>0</v>
      </c>
      <c r="N1120" s="176"/>
      <c r="O1120" s="176"/>
      <c r="P1120" s="179">
        <v>3177.19</v>
      </c>
    </row>
    <row r="1121" spans="1:16" ht="19.5" customHeight="1">
      <c r="A1121" s="171" t="s">
        <v>1245</v>
      </c>
      <c r="B1121" s="175">
        <v>46061</v>
      </c>
      <c r="C1121" s="171" t="s">
        <v>131</v>
      </c>
      <c r="D1121" s="171" t="s">
        <v>132</v>
      </c>
      <c r="E1121" s="171" t="s">
        <v>79</v>
      </c>
      <c r="F1121" s="171" t="s">
        <v>441</v>
      </c>
      <c r="G1121" s="171" t="s">
        <v>177</v>
      </c>
      <c r="H1121" s="176">
        <v>1</v>
      </c>
      <c r="I1121" s="177">
        <v>5000</v>
      </c>
      <c r="J1121" s="175">
        <v>46056</v>
      </c>
      <c r="K1121" s="171" t="s">
        <v>113</v>
      </c>
      <c r="L1121" s="171" t="s">
        <v>114</v>
      </c>
      <c r="M1121" s="178">
        <v>0.43</v>
      </c>
      <c r="N1121" s="176"/>
      <c r="O1121" s="176"/>
      <c r="P1121" s="179">
        <v>-2150</v>
      </c>
    </row>
    <row r="1122" spans="1:16" ht="19.5" customHeight="1">
      <c r="A1122" s="171" t="s">
        <v>1245</v>
      </c>
      <c r="B1122" s="175">
        <v>46061</v>
      </c>
      <c r="C1122" s="171" t="s">
        <v>115</v>
      </c>
      <c r="D1122" s="171" t="s">
        <v>116</v>
      </c>
      <c r="E1122" s="171" t="s">
        <v>79</v>
      </c>
      <c r="F1122" s="171" t="s">
        <v>441</v>
      </c>
      <c r="G1122" s="171" t="s">
        <v>177</v>
      </c>
      <c r="H1122" s="176">
        <v>1</v>
      </c>
      <c r="I1122" s="177">
        <v>5000</v>
      </c>
      <c r="J1122" s="175">
        <v>46056</v>
      </c>
      <c r="K1122" s="171" t="s">
        <v>113</v>
      </c>
      <c r="L1122" s="171" t="s">
        <v>114</v>
      </c>
      <c r="M1122" s="178">
        <v>0.43</v>
      </c>
      <c r="N1122" s="176"/>
      <c r="O1122" s="176"/>
      <c r="P1122" s="179">
        <v>-13.24</v>
      </c>
    </row>
    <row r="1123" spans="1:16" ht="19.5" customHeight="1">
      <c r="A1123" s="171" t="s">
        <v>1246</v>
      </c>
      <c r="B1123" s="175">
        <v>46061</v>
      </c>
      <c r="C1123" s="171" t="s">
        <v>110</v>
      </c>
      <c r="D1123" s="171" t="s">
        <v>24</v>
      </c>
      <c r="E1123" s="171" t="s">
        <v>38</v>
      </c>
      <c r="F1123" s="171" t="s">
        <v>111</v>
      </c>
      <c r="G1123" s="171" t="s">
        <v>112</v>
      </c>
      <c r="H1123" s="176">
        <v>1</v>
      </c>
      <c r="I1123" s="177">
        <v>2400</v>
      </c>
      <c r="J1123" s="175">
        <v>46059</v>
      </c>
      <c r="K1123" s="171" t="s">
        <v>113</v>
      </c>
      <c r="L1123" s="171" t="s">
        <v>114</v>
      </c>
      <c r="M1123" s="178">
        <v>0.43</v>
      </c>
      <c r="N1123" s="176"/>
      <c r="O1123" s="176">
        <v>42</v>
      </c>
      <c r="P1123" s="179">
        <v>-141.83000000000001</v>
      </c>
    </row>
    <row r="1124" spans="1:16" ht="19.5" customHeight="1">
      <c r="A1124" s="171" t="s">
        <v>1246</v>
      </c>
      <c r="B1124" s="175">
        <v>46061</v>
      </c>
      <c r="C1124" s="171" t="s">
        <v>127</v>
      </c>
      <c r="D1124" s="171" t="s">
        <v>128</v>
      </c>
      <c r="E1124" s="171" t="s">
        <v>38</v>
      </c>
      <c r="F1124" s="171" t="s">
        <v>111</v>
      </c>
      <c r="G1124" s="171" t="s">
        <v>112</v>
      </c>
      <c r="H1124" s="176">
        <v>1</v>
      </c>
      <c r="I1124" s="177">
        <v>2400</v>
      </c>
      <c r="J1124" s="175">
        <v>46059</v>
      </c>
      <c r="K1124" s="171" t="s">
        <v>113</v>
      </c>
      <c r="L1124" s="171" t="s">
        <v>114</v>
      </c>
      <c r="M1124" s="178">
        <v>0</v>
      </c>
      <c r="N1124" s="176"/>
      <c r="O1124" s="176"/>
      <c r="P1124" s="179">
        <v>1189.52</v>
      </c>
    </row>
    <row r="1125" spans="1:16" ht="19.5" customHeight="1">
      <c r="A1125" s="171" t="s">
        <v>1246</v>
      </c>
      <c r="B1125" s="175">
        <v>46061</v>
      </c>
      <c r="C1125" s="171" t="s">
        <v>127</v>
      </c>
      <c r="D1125" s="171" t="s">
        <v>129</v>
      </c>
      <c r="E1125" s="171" t="s">
        <v>38</v>
      </c>
      <c r="F1125" s="171" t="s">
        <v>111</v>
      </c>
      <c r="G1125" s="171" t="s">
        <v>112</v>
      </c>
      <c r="H1125" s="176">
        <v>1</v>
      </c>
      <c r="I1125" s="177">
        <v>2400</v>
      </c>
      <c r="J1125" s="175">
        <v>46059</v>
      </c>
      <c r="K1125" s="171" t="s">
        <v>113</v>
      </c>
      <c r="L1125" s="171" t="s">
        <v>114</v>
      </c>
      <c r="M1125" s="178">
        <v>0</v>
      </c>
      <c r="N1125" s="176"/>
      <c r="O1125" s="176"/>
      <c r="P1125" s="179">
        <v>11.9</v>
      </c>
    </row>
    <row r="1126" spans="1:16" ht="19.5" customHeight="1">
      <c r="A1126" s="171" t="s">
        <v>1246</v>
      </c>
      <c r="B1126" s="175">
        <v>46061</v>
      </c>
      <c r="C1126" s="171" t="s">
        <v>127</v>
      </c>
      <c r="D1126" s="171" t="s">
        <v>130</v>
      </c>
      <c r="E1126" s="171" t="s">
        <v>38</v>
      </c>
      <c r="F1126" s="171" t="s">
        <v>111</v>
      </c>
      <c r="G1126" s="171" t="s">
        <v>112</v>
      </c>
      <c r="H1126" s="176">
        <v>1</v>
      </c>
      <c r="I1126" s="177">
        <v>2400</v>
      </c>
      <c r="J1126" s="175">
        <v>46059</v>
      </c>
      <c r="K1126" s="171" t="s">
        <v>113</v>
      </c>
      <c r="L1126" s="171" t="s">
        <v>114</v>
      </c>
      <c r="M1126" s="178">
        <v>0</v>
      </c>
      <c r="N1126" s="176"/>
      <c r="O1126" s="176"/>
      <c r="P1126" s="179">
        <v>1198.58</v>
      </c>
    </row>
    <row r="1127" spans="1:16" ht="19.5" customHeight="1">
      <c r="A1127" s="171" t="s">
        <v>1246</v>
      </c>
      <c r="B1127" s="175">
        <v>46061</v>
      </c>
      <c r="C1127" s="171" t="s">
        <v>131</v>
      </c>
      <c r="D1127" s="171" t="s">
        <v>132</v>
      </c>
      <c r="E1127" s="171" t="s">
        <v>38</v>
      </c>
      <c r="F1127" s="171" t="s">
        <v>111</v>
      </c>
      <c r="G1127" s="171" t="s">
        <v>112</v>
      </c>
      <c r="H1127" s="176">
        <v>1</v>
      </c>
      <c r="I1127" s="177">
        <v>2400</v>
      </c>
      <c r="J1127" s="175">
        <v>46059</v>
      </c>
      <c r="K1127" s="171" t="s">
        <v>113</v>
      </c>
      <c r="L1127" s="171" t="s">
        <v>114</v>
      </c>
      <c r="M1127" s="178">
        <v>0.43</v>
      </c>
      <c r="N1127" s="176"/>
      <c r="O1127" s="176"/>
      <c r="P1127" s="179">
        <v>-1032</v>
      </c>
    </row>
    <row r="1128" spans="1:16" ht="19.5" customHeight="1">
      <c r="A1128" s="171" t="s">
        <v>1246</v>
      </c>
      <c r="B1128" s="175">
        <v>46061</v>
      </c>
      <c r="C1128" s="171" t="s">
        <v>115</v>
      </c>
      <c r="D1128" s="171" t="s">
        <v>116</v>
      </c>
      <c r="E1128" s="171" t="s">
        <v>38</v>
      </c>
      <c r="F1128" s="171" t="s">
        <v>111</v>
      </c>
      <c r="G1128" s="171" t="s">
        <v>112</v>
      </c>
      <c r="H1128" s="176">
        <v>1</v>
      </c>
      <c r="I1128" s="177">
        <v>2400</v>
      </c>
      <c r="J1128" s="175">
        <v>46059</v>
      </c>
      <c r="K1128" s="171" t="s">
        <v>113</v>
      </c>
      <c r="L1128" s="171" t="s">
        <v>114</v>
      </c>
      <c r="M1128" s="178">
        <v>0.43</v>
      </c>
      <c r="N1128" s="176"/>
      <c r="O1128" s="176"/>
      <c r="P1128" s="179">
        <v>-21.49</v>
      </c>
    </row>
    <row r="1129" spans="1:16" ht="19.5" customHeight="1">
      <c r="A1129" s="171" t="s">
        <v>1247</v>
      </c>
      <c r="B1129" s="175">
        <v>46061</v>
      </c>
      <c r="C1129" s="171" t="s">
        <v>110</v>
      </c>
      <c r="D1129" s="171" t="s">
        <v>24</v>
      </c>
      <c r="E1129" s="171" t="s">
        <v>38</v>
      </c>
      <c r="F1129" s="171" t="s">
        <v>111</v>
      </c>
      <c r="G1129" s="171" t="s">
        <v>112</v>
      </c>
      <c r="H1129" s="176">
        <v>1</v>
      </c>
      <c r="I1129" s="177">
        <v>2000</v>
      </c>
      <c r="J1129" s="175">
        <v>46057</v>
      </c>
      <c r="K1129" s="171" t="s">
        <v>113</v>
      </c>
      <c r="L1129" s="171" t="s">
        <v>114</v>
      </c>
      <c r="M1129" s="178">
        <v>0.43</v>
      </c>
      <c r="N1129" s="176"/>
      <c r="O1129" s="176">
        <v>42</v>
      </c>
      <c r="P1129" s="179">
        <v>-130.43</v>
      </c>
    </row>
    <row r="1130" spans="1:16" ht="19.5" customHeight="1">
      <c r="A1130" s="171" t="s">
        <v>1247</v>
      </c>
      <c r="B1130" s="175">
        <v>46061</v>
      </c>
      <c r="C1130" s="171" t="s">
        <v>127</v>
      </c>
      <c r="D1130" s="171" t="s">
        <v>128</v>
      </c>
      <c r="E1130" s="171" t="s">
        <v>38</v>
      </c>
      <c r="F1130" s="171" t="s">
        <v>111</v>
      </c>
      <c r="G1130" s="171" t="s">
        <v>112</v>
      </c>
      <c r="H1130" s="176">
        <v>1</v>
      </c>
      <c r="I1130" s="177">
        <v>2000</v>
      </c>
      <c r="J1130" s="175">
        <v>46057</v>
      </c>
      <c r="K1130" s="171" t="s">
        <v>113</v>
      </c>
      <c r="L1130" s="171" t="s">
        <v>114</v>
      </c>
      <c r="M1130" s="178">
        <v>0</v>
      </c>
      <c r="N1130" s="176"/>
      <c r="O1130" s="176"/>
      <c r="P1130" s="179">
        <v>827</v>
      </c>
    </row>
    <row r="1131" spans="1:16" ht="19.5" customHeight="1">
      <c r="A1131" s="171" t="s">
        <v>1247</v>
      </c>
      <c r="B1131" s="175">
        <v>46061</v>
      </c>
      <c r="C1131" s="171" t="s">
        <v>127</v>
      </c>
      <c r="D1131" s="171" t="s">
        <v>129</v>
      </c>
      <c r="E1131" s="171" t="s">
        <v>38</v>
      </c>
      <c r="F1131" s="171" t="s">
        <v>111</v>
      </c>
      <c r="G1131" s="171" t="s">
        <v>112</v>
      </c>
      <c r="H1131" s="176">
        <v>1</v>
      </c>
      <c r="I1131" s="177">
        <v>2000</v>
      </c>
      <c r="J1131" s="175">
        <v>46057</v>
      </c>
      <c r="K1131" s="171" t="s">
        <v>113</v>
      </c>
      <c r="L1131" s="171" t="s">
        <v>114</v>
      </c>
      <c r="M1131" s="178">
        <v>0</v>
      </c>
      <c r="N1131" s="176"/>
      <c r="O1131" s="176"/>
      <c r="P1131" s="179">
        <v>8.27</v>
      </c>
    </row>
    <row r="1132" spans="1:16" ht="19.5" customHeight="1">
      <c r="A1132" s="171" t="s">
        <v>1247</v>
      </c>
      <c r="B1132" s="175">
        <v>46061</v>
      </c>
      <c r="C1132" s="171" t="s">
        <v>127</v>
      </c>
      <c r="D1132" s="171" t="s">
        <v>130</v>
      </c>
      <c r="E1132" s="171" t="s">
        <v>38</v>
      </c>
      <c r="F1132" s="171" t="s">
        <v>111</v>
      </c>
      <c r="G1132" s="171" t="s">
        <v>112</v>
      </c>
      <c r="H1132" s="176">
        <v>1</v>
      </c>
      <c r="I1132" s="177">
        <v>2000</v>
      </c>
      <c r="J1132" s="175">
        <v>46057</v>
      </c>
      <c r="K1132" s="171" t="s">
        <v>113</v>
      </c>
      <c r="L1132" s="171" t="s">
        <v>114</v>
      </c>
      <c r="M1132" s="178">
        <v>0</v>
      </c>
      <c r="N1132" s="176"/>
      <c r="O1132" s="176"/>
      <c r="P1132" s="179">
        <v>1164.73</v>
      </c>
    </row>
    <row r="1133" spans="1:16" ht="19.5" customHeight="1">
      <c r="A1133" s="171" t="s">
        <v>1247</v>
      </c>
      <c r="B1133" s="175">
        <v>46061</v>
      </c>
      <c r="C1133" s="171" t="s">
        <v>131</v>
      </c>
      <c r="D1133" s="171" t="s">
        <v>132</v>
      </c>
      <c r="E1133" s="171" t="s">
        <v>38</v>
      </c>
      <c r="F1133" s="171" t="s">
        <v>111</v>
      </c>
      <c r="G1133" s="171" t="s">
        <v>112</v>
      </c>
      <c r="H1133" s="176">
        <v>1</v>
      </c>
      <c r="I1133" s="177">
        <v>2000</v>
      </c>
      <c r="J1133" s="175">
        <v>46057</v>
      </c>
      <c r="K1133" s="171" t="s">
        <v>113</v>
      </c>
      <c r="L1133" s="171" t="s">
        <v>114</v>
      </c>
      <c r="M1133" s="178">
        <v>0.43</v>
      </c>
      <c r="N1133" s="176"/>
      <c r="O1133" s="176"/>
      <c r="P1133" s="179">
        <v>-860</v>
      </c>
    </row>
    <row r="1134" spans="1:16" ht="19.5" customHeight="1">
      <c r="A1134" s="171" t="s">
        <v>1247</v>
      </c>
      <c r="B1134" s="175">
        <v>46061</v>
      </c>
      <c r="C1134" s="171" t="s">
        <v>115</v>
      </c>
      <c r="D1134" s="171" t="s">
        <v>116</v>
      </c>
      <c r="E1134" s="171" t="s">
        <v>38</v>
      </c>
      <c r="F1134" s="171" t="s">
        <v>111</v>
      </c>
      <c r="G1134" s="171" t="s">
        <v>112</v>
      </c>
      <c r="H1134" s="176">
        <v>1</v>
      </c>
      <c r="I1134" s="177">
        <v>2000</v>
      </c>
      <c r="J1134" s="175">
        <v>46057</v>
      </c>
      <c r="K1134" s="171" t="s">
        <v>113</v>
      </c>
      <c r="L1134" s="171" t="s">
        <v>114</v>
      </c>
      <c r="M1134" s="178">
        <v>0.43</v>
      </c>
      <c r="N1134" s="176"/>
      <c r="O1134" s="176"/>
      <c r="P1134" s="179">
        <v>-14.44</v>
      </c>
    </row>
    <row r="1135" spans="1:16" ht="19.5" customHeight="1">
      <c r="A1135" s="171" t="s">
        <v>1245</v>
      </c>
      <c r="B1135" s="175">
        <v>46061</v>
      </c>
      <c r="C1135" s="171" t="s">
        <v>115</v>
      </c>
      <c r="D1135" s="171" t="s">
        <v>135</v>
      </c>
      <c r="E1135" s="171" t="s">
        <v>79</v>
      </c>
      <c r="F1135" s="171" t="s">
        <v>441</v>
      </c>
      <c r="G1135" s="171" t="s">
        <v>177</v>
      </c>
      <c r="H1135" s="176">
        <v>1</v>
      </c>
      <c r="I1135" s="177">
        <v>0</v>
      </c>
      <c r="J1135" s="175">
        <v>46056</v>
      </c>
      <c r="K1135" s="171" t="s">
        <v>125</v>
      </c>
      <c r="L1135" s="171" t="s">
        <v>125</v>
      </c>
      <c r="M1135" s="178">
        <v>0</v>
      </c>
      <c r="N1135" s="176"/>
      <c r="O1135" s="176"/>
      <c r="P1135" s="179">
        <v>-34.29</v>
      </c>
    </row>
    <row r="1136" spans="1:16" ht="19.5" customHeight="1">
      <c r="A1136" s="171" t="s">
        <v>1247</v>
      </c>
      <c r="B1136" s="175">
        <v>46061</v>
      </c>
      <c r="C1136" s="171" t="s">
        <v>115</v>
      </c>
      <c r="D1136" s="171" t="s">
        <v>135</v>
      </c>
      <c r="E1136" s="171" t="s">
        <v>38</v>
      </c>
      <c r="F1136" s="171" t="s">
        <v>111</v>
      </c>
      <c r="G1136" s="171" t="s">
        <v>112</v>
      </c>
      <c r="H1136" s="176">
        <v>1</v>
      </c>
      <c r="I1136" s="177">
        <v>0</v>
      </c>
      <c r="J1136" s="175">
        <v>46057</v>
      </c>
      <c r="K1136" s="171" t="s">
        <v>125</v>
      </c>
      <c r="L1136" s="171" t="s">
        <v>125</v>
      </c>
      <c r="M1136" s="178">
        <v>0</v>
      </c>
      <c r="N1136" s="176"/>
      <c r="O1136" s="176"/>
      <c r="P1136" s="179">
        <v>-15.71</v>
      </c>
    </row>
    <row r="1137" spans="1:16" ht="19.5" customHeight="1">
      <c r="A1137" s="171" t="s">
        <v>1248</v>
      </c>
      <c r="B1137" s="175">
        <v>46061</v>
      </c>
      <c r="C1137" s="171" t="s">
        <v>115</v>
      </c>
      <c r="D1137" s="171" t="s">
        <v>135</v>
      </c>
      <c r="E1137" s="171" t="s">
        <v>75</v>
      </c>
      <c r="F1137" s="171" t="s">
        <v>474</v>
      </c>
      <c r="G1137" s="171" t="s">
        <v>177</v>
      </c>
      <c r="H1137" s="176">
        <v>1</v>
      </c>
      <c r="I1137" s="177">
        <v>0</v>
      </c>
      <c r="J1137" s="175">
        <v>46061</v>
      </c>
      <c r="K1137" s="171" t="s">
        <v>125</v>
      </c>
      <c r="L1137" s="171" t="s">
        <v>125</v>
      </c>
      <c r="M1137" s="178">
        <v>0</v>
      </c>
      <c r="N1137" s="176"/>
      <c r="O1137" s="176"/>
      <c r="P1137" s="179">
        <v>-30.57</v>
      </c>
    </row>
    <row r="1138" spans="1:16" ht="19.5" customHeight="1">
      <c r="A1138" s="171" t="s">
        <v>1249</v>
      </c>
      <c r="B1138" s="175">
        <v>46061</v>
      </c>
      <c r="C1138" s="171" t="s">
        <v>110</v>
      </c>
      <c r="D1138" s="171" t="s">
        <v>24</v>
      </c>
      <c r="E1138" s="171" t="s">
        <v>48</v>
      </c>
      <c r="F1138" s="171" t="s">
        <v>198</v>
      </c>
      <c r="G1138" s="171" t="s">
        <v>112</v>
      </c>
      <c r="H1138" s="176">
        <v>1</v>
      </c>
      <c r="I1138" s="177">
        <v>0</v>
      </c>
      <c r="J1138" s="175">
        <v>46049</v>
      </c>
      <c r="K1138" s="171" t="s">
        <v>113</v>
      </c>
      <c r="L1138" s="171" t="s">
        <v>114</v>
      </c>
      <c r="M1138" s="178">
        <v>0</v>
      </c>
      <c r="N1138" s="176"/>
      <c r="O1138" s="176">
        <v>51</v>
      </c>
      <c r="P1138" s="179">
        <v>-46.77</v>
      </c>
    </row>
    <row r="1139" spans="1:16" ht="19.5" customHeight="1">
      <c r="A1139" s="171" t="s">
        <v>1149</v>
      </c>
      <c r="B1139" s="175">
        <v>46061</v>
      </c>
      <c r="C1139" s="171" t="s">
        <v>308</v>
      </c>
      <c r="D1139" s="171" t="s">
        <v>419</v>
      </c>
      <c r="E1139" s="171" t="s">
        <v>38</v>
      </c>
      <c r="F1139" s="171" t="s">
        <v>111</v>
      </c>
      <c r="G1139" s="171" t="s">
        <v>112</v>
      </c>
      <c r="H1139" s="176">
        <v>1</v>
      </c>
      <c r="I1139" s="177">
        <v>-1800</v>
      </c>
      <c r="J1139" s="175">
        <v>46054</v>
      </c>
      <c r="K1139" s="171" t="s">
        <v>113</v>
      </c>
      <c r="L1139" s="171" t="s">
        <v>114</v>
      </c>
      <c r="M1139" s="178">
        <v>0</v>
      </c>
      <c r="N1139" s="176"/>
      <c r="O1139" s="176"/>
      <c r="P1139" s="179">
        <v>-781.46</v>
      </c>
    </row>
    <row r="1140" spans="1:16" ht="19.5" customHeight="1">
      <c r="A1140" s="171" t="s">
        <v>1149</v>
      </c>
      <c r="B1140" s="175">
        <v>46061</v>
      </c>
      <c r="C1140" s="171" t="s">
        <v>308</v>
      </c>
      <c r="D1140" s="171" t="s">
        <v>129</v>
      </c>
      <c r="E1140" s="171" t="s">
        <v>38</v>
      </c>
      <c r="F1140" s="171" t="s">
        <v>111</v>
      </c>
      <c r="G1140" s="171" t="s">
        <v>112</v>
      </c>
      <c r="H1140" s="176">
        <v>1</v>
      </c>
      <c r="I1140" s="177">
        <v>-1800</v>
      </c>
      <c r="J1140" s="175">
        <v>46054</v>
      </c>
      <c r="K1140" s="171" t="s">
        <v>113</v>
      </c>
      <c r="L1140" s="171" t="s">
        <v>114</v>
      </c>
      <c r="M1140" s="178">
        <v>0</v>
      </c>
      <c r="N1140" s="176"/>
      <c r="O1140" s="176"/>
      <c r="P1140" s="179">
        <v>-7.81</v>
      </c>
    </row>
    <row r="1141" spans="1:16" ht="19.5" customHeight="1">
      <c r="A1141" s="171" t="s">
        <v>1149</v>
      </c>
      <c r="B1141" s="175">
        <v>46061</v>
      </c>
      <c r="C1141" s="171" t="s">
        <v>308</v>
      </c>
      <c r="D1141" s="171" t="s">
        <v>130</v>
      </c>
      <c r="E1141" s="171" t="s">
        <v>38</v>
      </c>
      <c r="F1141" s="171" t="s">
        <v>111</v>
      </c>
      <c r="G1141" s="171" t="s">
        <v>112</v>
      </c>
      <c r="H1141" s="176">
        <v>1</v>
      </c>
      <c r="I1141" s="177">
        <v>-1800</v>
      </c>
      <c r="J1141" s="175">
        <v>46054</v>
      </c>
      <c r="K1141" s="171" t="s">
        <v>113</v>
      </c>
      <c r="L1141" s="171" t="s">
        <v>114</v>
      </c>
      <c r="M1141" s="178">
        <v>0</v>
      </c>
      <c r="N1141" s="176"/>
      <c r="O1141" s="176"/>
      <c r="P1141" s="179">
        <v>-1010.73</v>
      </c>
    </row>
    <row r="1142" spans="1:16" ht="19.5" customHeight="1">
      <c r="A1142" s="171" t="s">
        <v>1149</v>
      </c>
      <c r="B1142" s="175">
        <v>46061</v>
      </c>
      <c r="C1142" s="171" t="s">
        <v>131</v>
      </c>
      <c r="D1142" s="171" t="s">
        <v>420</v>
      </c>
      <c r="E1142" s="171" t="s">
        <v>38</v>
      </c>
      <c r="F1142" s="171" t="s">
        <v>111</v>
      </c>
      <c r="G1142" s="171" t="s">
        <v>112</v>
      </c>
      <c r="H1142" s="176">
        <v>1</v>
      </c>
      <c r="I1142" s="177">
        <v>-1800</v>
      </c>
      <c r="J1142" s="175">
        <v>46054</v>
      </c>
      <c r="K1142" s="171" t="s">
        <v>113</v>
      </c>
      <c r="L1142" s="171" t="s">
        <v>114</v>
      </c>
      <c r="M1142" s="178">
        <v>0.43</v>
      </c>
      <c r="N1142" s="176"/>
      <c r="O1142" s="176"/>
      <c r="P1142" s="179">
        <v>774</v>
      </c>
    </row>
    <row r="1143" spans="1:16" ht="19.5" customHeight="1">
      <c r="A1143" s="171" t="s">
        <v>1250</v>
      </c>
      <c r="B1143" s="175">
        <v>46061</v>
      </c>
      <c r="C1143" s="171" t="s">
        <v>110</v>
      </c>
      <c r="D1143" s="171" t="s">
        <v>24</v>
      </c>
      <c r="E1143" s="171" t="s">
        <v>50</v>
      </c>
      <c r="F1143" s="171" t="s">
        <v>413</v>
      </c>
      <c r="G1143" s="171" t="s">
        <v>112</v>
      </c>
      <c r="H1143" s="176">
        <v>1</v>
      </c>
      <c r="I1143" s="177">
        <v>0</v>
      </c>
      <c r="J1143" s="175">
        <v>46049</v>
      </c>
      <c r="K1143" s="171" t="s">
        <v>113</v>
      </c>
      <c r="L1143" s="171" t="s">
        <v>114</v>
      </c>
      <c r="M1143" s="178">
        <v>0</v>
      </c>
      <c r="N1143" s="176"/>
      <c r="O1143" s="176">
        <v>51</v>
      </c>
      <c r="P1143" s="179">
        <v>-46.77</v>
      </c>
    </row>
    <row r="1144" spans="1:16" ht="19.5" customHeight="1">
      <c r="A1144" s="171" t="s">
        <v>1249</v>
      </c>
      <c r="B1144" s="175">
        <v>46061</v>
      </c>
      <c r="C1144" s="171" t="s">
        <v>110</v>
      </c>
      <c r="D1144" s="171" t="s">
        <v>117</v>
      </c>
      <c r="E1144" s="171" t="s">
        <v>48</v>
      </c>
      <c r="F1144" s="171" t="s">
        <v>198</v>
      </c>
      <c r="G1144" s="171" t="s">
        <v>112</v>
      </c>
      <c r="H1144" s="176">
        <v>1</v>
      </c>
      <c r="I1144" s="177">
        <v>0</v>
      </c>
      <c r="J1144" s="175">
        <v>46049</v>
      </c>
      <c r="K1144" s="171" t="s">
        <v>113</v>
      </c>
      <c r="L1144" s="171" t="s">
        <v>114</v>
      </c>
      <c r="M1144" s="178">
        <v>0</v>
      </c>
      <c r="N1144" s="176"/>
      <c r="O1144" s="176"/>
      <c r="P1144" s="179">
        <v>0</v>
      </c>
    </row>
    <row r="1145" spans="1:16" ht="19.5" customHeight="1">
      <c r="A1145" s="171" t="s">
        <v>1249</v>
      </c>
      <c r="B1145" s="175">
        <v>46061</v>
      </c>
      <c r="C1145" s="171" t="s">
        <v>110</v>
      </c>
      <c r="D1145" s="171" t="s">
        <v>118</v>
      </c>
      <c r="E1145" s="171" t="s">
        <v>48</v>
      </c>
      <c r="F1145" s="171" t="s">
        <v>198</v>
      </c>
      <c r="G1145" s="171" t="s">
        <v>112</v>
      </c>
      <c r="H1145" s="176">
        <v>1</v>
      </c>
      <c r="I1145" s="177">
        <v>0</v>
      </c>
      <c r="J1145" s="175">
        <v>46049</v>
      </c>
      <c r="K1145" s="171" t="s">
        <v>113</v>
      </c>
      <c r="L1145" s="171" t="s">
        <v>114</v>
      </c>
      <c r="M1145" s="178">
        <v>0</v>
      </c>
      <c r="N1145" s="176"/>
      <c r="O1145" s="176"/>
      <c r="P1145" s="179">
        <v>-46.77</v>
      </c>
    </row>
    <row r="1146" spans="1:16" ht="19.5" customHeight="1">
      <c r="A1146" s="171" t="s">
        <v>1249</v>
      </c>
      <c r="B1146" s="175">
        <v>46061</v>
      </c>
      <c r="C1146" s="171" t="s">
        <v>115</v>
      </c>
      <c r="D1146" s="171" t="s">
        <v>119</v>
      </c>
      <c r="E1146" s="171" t="s">
        <v>48</v>
      </c>
      <c r="F1146" s="171" t="s">
        <v>198</v>
      </c>
      <c r="G1146" s="171" t="s">
        <v>112</v>
      </c>
      <c r="H1146" s="176">
        <v>1</v>
      </c>
      <c r="I1146" s="177">
        <v>0</v>
      </c>
      <c r="J1146" s="175">
        <v>46049</v>
      </c>
      <c r="K1146" s="171" t="s">
        <v>113</v>
      </c>
      <c r="L1146" s="171" t="s">
        <v>114</v>
      </c>
      <c r="M1146" s="178">
        <v>0</v>
      </c>
      <c r="N1146" s="176"/>
      <c r="O1146" s="176"/>
      <c r="P1146" s="179">
        <v>-15</v>
      </c>
    </row>
    <row r="1147" spans="1:16" ht="19.5" customHeight="1">
      <c r="A1147" s="171" t="s">
        <v>1251</v>
      </c>
      <c r="B1147" s="175">
        <v>46061</v>
      </c>
      <c r="C1147" s="171" t="s">
        <v>115</v>
      </c>
      <c r="D1147" s="171" t="s">
        <v>135</v>
      </c>
      <c r="E1147" s="171" t="s">
        <v>77</v>
      </c>
      <c r="F1147" s="171" t="s">
        <v>194</v>
      </c>
      <c r="G1147" s="171" t="s">
        <v>177</v>
      </c>
      <c r="H1147" s="176">
        <v>1</v>
      </c>
      <c r="I1147" s="177">
        <v>0</v>
      </c>
      <c r="J1147" s="175">
        <v>46061</v>
      </c>
      <c r="K1147" s="171" t="s">
        <v>125</v>
      </c>
      <c r="L1147" s="171" t="s">
        <v>125</v>
      </c>
      <c r="M1147" s="178">
        <v>0</v>
      </c>
      <c r="N1147" s="176"/>
      <c r="O1147" s="176"/>
      <c r="P1147" s="179">
        <v>-3.19</v>
      </c>
    </row>
    <row r="1148" spans="1:16" ht="19.5" customHeight="1">
      <c r="A1148" s="171" t="s">
        <v>1250</v>
      </c>
      <c r="B1148" s="175">
        <v>46061</v>
      </c>
      <c r="C1148" s="171" t="s">
        <v>110</v>
      </c>
      <c r="D1148" s="171" t="s">
        <v>117</v>
      </c>
      <c r="E1148" s="171" t="s">
        <v>50</v>
      </c>
      <c r="F1148" s="171" t="s">
        <v>413</v>
      </c>
      <c r="G1148" s="171" t="s">
        <v>112</v>
      </c>
      <c r="H1148" s="176">
        <v>1</v>
      </c>
      <c r="I1148" s="177">
        <v>0</v>
      </c>
      <c r="J1148" s="175">
        <v>46049</v>
      </c>
      <c r="K1148" s="171" t="s">
        <v>113</v>
      </c>
      <c r="L1148" s="171" t="s">
        <v>114</v>
      </c>
      <c r="M1148" s="178">
        <v>0</v>
      </c>
      <c r="N1148" s="176"/>
      <c r="O1148" s="176"/>
      <c r="P1148" s="179">
        <v>0</v>
      </c>
    </row>
    <row r="1149" spans="1:16" ht="19.5" customHeight="1">
      <c r="A1149" s="171" t="s">
        <v>1250</v>
      </c>
      <c r="B1149" s="175">
        <v>46061</v>
      </c>
      <c r="C1149" s="171" t="s">
        <v>110</v>
      </c>
      <c r="D1149" s="171" t="s">
        <v>118</v>
      </c>
      <c r="E1149" s="171" t="s">
        <v>50</v>
      </c>
      <c r="F1149" s="171" t="s">
        <v>413</v>
      </c>
      <c r="G1149" s="171" t="s">
        <v>112</v>
      </c>
      <c r="H1149" s="176">
        <v>1</v>
      </c>
      <c r="I1149" s="177">
        <v>0</v>
      </c>
      <c r="J1149" s="175">
        <v>46049</v>
      </c>
      <c r="K1149" s="171" t="s">
        <v>113</v>
      </c>
      <c r="L1149" s="171" t="s">
        <v>114</v>
      </c>
      <c r="M1149" s="178">
        <v>0</v>
      </c>
      <c r="N1149" s="176"/>
      <c r="O1149" s="176"/>
      <c r="P1149" s="179">
        <v>-46.77</v>
      </c>
    </row>
    <row r="1150" spans="1:16" ht="19.5" customHeight="1">
      <c r="A1150" s="171" t="s">
        <v>1250</v>
      </c>
      <c r="B1150" s="175">
        <v>46061</v>
      </c>
      <c r="C1150" s="171" t="s">
        <v>115</v>
      </c>
      <c r="D1150" s="171" t="s">
        <v>119</v>
      </c>
      <c r="E1150" s="171" t="s">
        <v>50</v>
      </c>
      <c r="F1150" s="171" t="s">
        <v>413</v>
      </c>
      <c r="G1150" s="171" t="s">
        <v>112</v>
      </c>
      <c r="H1150" s="176">
        <v>1</v>
      </c>
      <c r="I1150" s="177">
        <v>0</v>
      </c>
      <c r="J1150" s="175">
        <v>46049</v>
      </c>
      <c r="K1150" s="171" t="s">
        <v>113</v>
      </c>
      <c r="L1150" s="171" t="s">
        <v>114</v>
      </c>
      <c r="M1150" s="178">
        <v>0</v>
      </c>
      <c r="N1150" s="176"/>
      <c r="O1150" s="176"/>
      <c r="P1150" s="179">
        <v>-15</v>
      </c>
    </row>
    <row r="1151" spans="1:16" ht="19.5" customHeight="1">
      <c r="A1151" s="171" t="s">
        <v>1252</v>
      </c>
      <c r="B1151" s="175">
        <v>46061</v>
      </c>
      <c r="C1151" s="171" t="s">
        <v>110</v>
      </c>
      <c r="D1151" s="171" t="s">
        <v>24</v>
      </c>
      <c r="E1151" s="171" t="s">
        <v>77</v>
      </c>
      <c r="F1151" s="171" t="s">
        <v>194</v>
      </c>
      <c r="G1151" s="171" t="s">
        <v>177</v>
      </c>
      <c r="H1151" s="176">
        <v>1</v>
      </c>
      <c r="I1151" s="177">
        <v>0</v>
      </c>
      <c r="J1151" s="175">
        <v>46047</v>
      </c>
      <c r="K1151" s="171" t="s">
        <v>113</v>
      </c>
      <c r="L1151" s="171" t="s">
        <v>114</v>
      </c>
      <c r="M1151" s="178">
        <v>0</v>
      </c>
      <c r="N1151" s="176"/>
      <c r="O1151" s="176">
        <v>52</v>
      </c>
      <c r="P1151" s="179">
        <v>-56.94</v>
      </c>
    </row>
    <row r="1152" spans="1:16" ht="19.5" customHeight="1">
      <c r="A1152" s="171" t="s">
        <v>976</v>
      </c>
      <c r="B1152" s="175">
        <v>46061</v>
      </c>
      <c r="C1152" s="171" t="s">
        <v>115</v>
      </c>
      <c r="D1152" s="171" t="s">
        <v>135</v>
      </c>
      <c r="E1152" s="171" t="s">
        <v>38</v>
      </c>
      <c r="F1152" s="171" t="s">
        <v>111</v>
      </c>
      <c r="G1152" s="171" t="s">
        <v>112</v>
      </c>
      <c r="H1152" s="176">
        <v>1</v>
      </c>
      <c r="I1152" s="177">
        <v>0</v>
      </c>
      <c r="J1152" s="175">
        <v>46054</v>
      </c>
      <c r="K1152" s="171" t="s">
        <v>125</v>
      </c>
      <c r="L1152" s="171" t="s">
        <v>125</v>
      </c>
      <c r="M1152" s="178">
        <v>0</v>
      </c>
      <c r="N1152" s="176"/>
      <c r="O1152" s="176"/>
      <c r="P1152" s="179">
        <v>14.85</v>
      </c>
    </row>
    <row r="1153" spans="1:16" ht="19.5" customHeight="1">
      <c r="A1153" s="171" t="s">
        <v>1252</v>
      </c>
      <c r="B1153" s="175">
        <v>46061</v>
      </c>
      <c r="C1153" s="171" t="s">
        <v>110</v>
      </c>
      <c r="D1153" s="171" t="s">
        <v>117</v>
      </c>
      <c r="E1153" s="171" t="s">
        <v>77</v>
      </c>
      <c r="F1153" s="171" t="s">
        <v>194</v>
      </c>
      <c r="G1153" s="171" t="s">
        <v>177</v>
      </c>
      <c r="H1153" s="176">
        <v>1</v>
      </c>
      <c r="I1153" s="177">
        <v>0</v>
      </c>
      <c r="J1153" s="175">
        <v>46047</v>
      </c>
      <c r="K1153" s="171" t="s">
        <v>113</v>
      </c>
      <c r="L1153" s="171" t="s">
        <v>114</v>
      </c>
      <c r="M1153" s="178">
        <v>0</v>
      </c>
      <c r="N1153" s="176"/>
      <c r="O1153" s="176"/>
      <c r="P1153" s="179">
        <v>0</v>
      </c>
    </row>
    <row r="1154" spans="1:16" ht="19.5" customHeight="1">
      <c r="A1154" s="171" t="s">
        <v>1252</v>
      </c>
      <c r="B1154" s="175">
        <v>46061</v>
      </c>
      <c r="C1154" s="171" t="s">
        <v>110</v>
      </c>
      <c r="D1154" s="171" t="s">
        <v>118</v>
      </c>
      <c r="E1154" s="171" t="s">
        <v>77</v>
      </c>
      <c r="F1154" s="171" t="s">
        <v>194</v>
      </c>
      <c r="G1154" s="171" t="s">
        <v>177</v>
      </c>
      <c r="H1154" s="176">
        <v>1</v>
      </c>
      <c r="I1154" s="177">
        <v>0</v>
      </c>
      <c r="J1154" s="175">
        <v>46047</v>
      </c>
      <c r="K1154" s="171" t="s">
        <v>113</v>
      </c>
      <c r="L1154" s="171" t="s">
        <v>114</v>
      </c>
      <c r="M1154" s="178">
        <v>0</v>
      </c>
      <c r="N1154" s="176"/>
      <c r="O1154" s="176"/>
      <c r="P1154" s="179">
        <v>-56.94</v>
      </c>
    </row>
    <row r="1155" spans="1:16" ht="19.5" customHeight="1">
      <c r="A1155" s="171" t="s">
        <v>1253</v>
      </c>
      <c r="B1155" s="175">
        <v>46061</v>
      </c>
      <c r="C1155" s="171" t="s">
        <v>110</v>
      </c>
      <c r="D1155" s="171" t="s">
        <v>24</v>
      </c>
      <c r="E1155" s="171" t="s">
        <v>70</v>
      </c>
      <c r="F1155" s="171" t="s">
        <v>509</v>
      </c>
      <c r="G1155" s="171" t="s">
        <v>177</v>
      </c>
      <c r="H1155" s="176">
        <v>1</v>
      </c>
      <c r="I1155" s="177">
        <v>0</v>
      </c>
      <c r="J1155" s="175">
        <v>46057</v>
      </c>
      <c r="K1155" s="171" t="s">
        <v>113</v>
      </c>
      <c r="L1155" s="171" t="s">
        <v>114</v>
      </c>
      <c r="M1155" s="178">
        <v>0</v>
      </c>
      <c r="N1155" s="176"/>
      <c r="O1155" s="176">
        <v>42</v>
      </c>
      <c r="P1155" s="179">
        <v>-56.94</v>
      </c>
    </row>
    <row r="1156" spans="1:16" ht="19.5" customHeight="1">
      <c r="A1156" s="171" t="s">
        <v>1253</v>
      </c>
      <c r="B1156" s="175">
        <v>46061</v>
      </c>
      <c r="C1156" s="171" t="s">
        <v>115</v>
      </c>
      <c r="D1156" s="171" t="s">
        <v>116</v>
      </c>
      <c r="E1156" s="171" t="s">
        <v>70</v>
      </c>
      <c r="F1156" s="171" t="s">
        <v>509</v>
      </c>
      <c r="G1156" s="171" t="s">
        <v>177</v>
      </c>
      <c r="H1156" s="176">
        <v>1</v>
      </c>
      <c r="I1156" s="177">
        <v>0</v>
      </c>
      <c r="J1156" s="175">
        <v>46057</v>
      </c>
      <c r="K1156" s="171" t="s">
        <v>113</v>
      </c>
      <c r="L1156" s="171" t="s">
        <v>114</v>
      </c>
      <c r="M1156" s="178">
        <v>0</v>
      </c>
      <c r="N1156" s="176"/>
      <c r="O1156" s="176"/>
      <c r="P1156" s="179">
        <v>-13.44</v>
      </c>
    </row>
    <row r="1157" spans="1:16" ht="19.5" customHeight="1">
      <c r="A1157" s="171" t="s">
        <v>1253</v>
      </c>
      <c r="B1157" s="175">
        <v>46061</v>
      </c>
      <c r="C1157" s="171" t="s">
        <v>110</v>
      </c>
      <c r="D1157" s="171" t="s">
        <v>117</v>
      </c>
      <c r="E1157" s="171" t="s">
        <v>70</v>
      </c>
      <c r="F1157" s="171" t="s">
        <v>509</v>
      </c>
      <c r="G1157" s="171" t="s">
        <v>177</v>
      </c>
      <c r="H1157" s="176">
        <v>1</v>
      </c>
      <c r="I1157" s="177">
        <v>0</v>
      </c>
      <c r="J1157" s="175">
        <v>46057</v>
      </c>
      <c r="K1157" s="171" t="s">
        <v>113</v>
      </c>
      <c r="L1157" s="171" t="s">
        <v>114</v>
      </c>
      <c r="M1157" s="178">
        <v>0</v>
      </c>
      <c r="N1157" s="176"/>
      <c r="O1157" s="176"/>
      <c r="P1157" s="179">
        <v>0</v>
      </c>
    </row>
    <row r="1158" spans="1:16" ht="19.5" customHeight="1">
      <c r="A1158" s="171" t="s">
        <v>1253</v>
      </c>
      <c r="B1158" s="175">
        <v>46061</v>
      </c>
      <c r="C1158" s="171" t="s">
        <v>110</v>
      </c>
      <c r="D1158" s="171" t="s">
        <v>118</v>
      </c>
      <c r="E1158" s="171" t="s">
        <v>70</v>
      </c>
      <c r="F1158" s="171" t="s">
        <v>509</v>
      </c>
      <c r="G1158" s="171" t="s">
        <v>177</v>
      </c>
      <c r="H1158" s="176">
        <v>1</v>
      </c>
      <c r="I1158" s="177">
        <v>0</v>
      </c>
      <c r="J1158" s="175">
        <v>46057</v>
      </c>
      <c r="K1158" s="171" t="s">
        <v>113</v>
      </c>
      <c r="L1158" s="171" t="s">
        <v>114</v>
      </c>
      <c r="M1158" s="178">
        <v>0</v>
      </c>
      <c r="N1158" s="176"/>
      <c r="O1158" s="176"/>
      <c r="P1158" s="179">
        <v>-56.94</v>
      </c>
    </row>
    <row r="1159" spans="1:16" ht="19.5" customHeight="1">
      <c r="A1159" s="171" t="s">
        <v>1253</v>
      </c>
      <c r="B1159" s="175">
        <v>46061</v>
      </c>
      <c r="C1159" s="171" t="s">
        <v>115</v>
      </c>
      <c r="D1159" s="171" t="s">
        <v>119</v>
      </c>
      <c r="E1159" s="171" t="s">
        <v>70</v>
      </c>
      <c r="F1159" s="171" t="s">
        <v>509</v>
      </c>
      <c r="G1159" s="171" t="s">
        <v>177</v>
      </c>
      <c r="H1159" s="176">
        <v>1</v>
      </c>
      <c r="I1159" s="177">
        <v>0</v>
      </c>
      <c r="J1159" s="175">
        <v>46057</v>
      </c>
      <c r="K1159" s="171" t="s">
        <v>113</v>
      </c>
      <c r="L1159" s="171" t="s">
        <v>114</v>
      </c>
      <c r="M1159" s="178">
        <v>0</v>
      </c>
      <c r="N1159" s="176"/>
      <c r="O1159" s="176"/>
      <c r="P1159" s="179">
        <v>-15</v>
      </c>
    </row>
    <row r="1160" spans="1:16" ht="19.5" customHeight="1">
      <c r="A1160" s="171" t="s">
        <v>1246</v>
      </c>
      <c r="B1160" s="175">
        <v>46061</v>
      </c>
      <c r="C1160" s="171" t="s">
        <v>308</v>
      </c>
      <c r="D1160" s="171" t="s">
        <v>419</v>
      </c>
      <c r="E1160" s="171" t="s">
        <v>38</v>
      </c>
      <c r="F1160" s="171" t="s">
        <v>111</v>
      </c>
      <c r="G1160" s="171" t="s">
        <v>112</v>
      </c>
      <c r="H1160" s="176">
        <v>1</v>
      </c>
      <c r="I1160" s="177">
        <v>-2400</v>
      </c>
      <c r="J1160" s="175">
        <v>46059</v>
      </c>
      <c r="K1160" s="171" t="s">
        <v>113</v>
      </c>
      <c r="L1160" s="171" t="s">
        <v>114</v>
      </c>
      <c r="M1160" s="178">
        <v>0</v>
      </c>
      <c r="N1160" s="176"/>
      <c r="O1160" s="176"/>
      <c r="P1160" s="179">
        <v>-1189.52</v>
      </c>
    </row>
    <row r="1161" spans="1:16" ht="19.5" customHeight="1">
      <c r="A1161" s="171" t="s">
        <v>1246</v>
      </c>
      <c r="B1161" s="175">
        <v>46061</v>
      </c>
      <c r="C1161" s="171" t="s">
        <v>308</v>
      </c>
      <c r="D1161" s="171" t="s">
        <v>129</v>
      </c>
      <c r="E1161" s="171" t="s">
        <v>38</v>
      </c>
      <c r="F1161" s="171" t="s">
        <v>111</v>
      </c>
      <c r="G1161" s="171" t="s">
        <v>112</v>
      </c>
      <c r="H1161" s="176">
        <v>1</v>
      </c>
      <c r="I1161" s="177">
        <v>-2400</v>
      </c>
      <c r="J1161" s="175">
        <v>46059</v>
      </c>
      <c r="K1161" s="171" t="s">
        <v>113</v>
      </c>
      <c r="L1161" s="171" t="s">
        <v>114</v>
      </c>
      <c r="M1161" s="178">
        <v>0</v>
      </c>
      <c r="N1161" s="176"/>
      <c r="O1161" s="176"/>
      <c r="P1161" s="179">
        <v>-11.9</v>
      </c>
    </row>
    <row r="1162" spans="1:16" ht="19.5" customHeight="1">
      <c r="A1162" s="171" t="s">
        <v>1246</v>
      </c>
      <c r="B1162" s="175">
        <v>46061</v>
      </c>
      <c r="C1162" s="171" t="s">
        <v>308</v>
      </c>
      <c r="D1162" s="171" t="s">
        <v>130</v>
      </c>
      <c r="E1162" s="171" t="s">
        <v>38</v>
      </c>
      <c r="F1162" s="171" t="s">
        <v>111</v>
      </c>
      <c r="G1162" s="171" t="s">
        <v>112</v>
      </c>
      <c r="H1162" s="176">
        <v>1</v>
      </c>
      <c r="I1162" s="177">
        <v>-2400</v>
      </c>
      <c r="J1162" s="175">
        <v>46059</v>
      </c>
      <c r="K1162" s="171" t="s">
        <v>113</v>
      </c>
      <c r="L1162" s="171" t="s">
        <v>114</v>
      </c>
      <c r="M1162" s="178">
        <v>0</v>
      </c>
      <c r="N1162" s="176"/>
      <c r="O1162" s="176"/>
      <c r="P1162" s="179">
        <v>-1198.58</v>
      </c>
    </row>
    <row r="1163" spans="1:16" ht="19.5" customHeight="1">
      <c r="A1163" s="171" t="s">
        <v>1246</v>
      </c>
      <c r="B1163" s="175">
        <v>46061</v>
      </c>
      <c r="C1163" s="171" t="s">
        <v>131</v>
      </c>
      <c r="D1163" s="171" t="s">
        <v>420</v>
      </c>
      <c r="E1163" s="171" t="s">
        <v>38</v>
      </c>
      <c r="F1163" s="171" t="s">
        <v>111</v>
      </c>
      <c r="G1163" s="171" t="s">
        <v>112</v>
      </c>
      <c r="H1163" s="176">
        <v>1</v>
      </c>
      <c r="I1163" s="177">
        <v>-2400</v>
      </c>
      <c r="J1163" s="175">
        <v>46059</v>
      </c>
      <c r="K1163" s="171" t="s">
        <v>113</v>
      </c>
      <c r="L1163" s="171" t="s">
        <v>114</v>
      </c>
      <c r="M1163" s="178">
        <v>0.43</v>
      </c>
      <c r="N1163" s="176"/>
      <c r="O1163" s="176"/>
      <c r="P1163" s="179">
        <v>1032</v>
      </c>
    </row>
    <row r="1164" spans="1:16" ht="19.5" customHeight="1">
      <c r="A1164" s="171" t="s">
        <v>1153</v>
      </c>
      <c r="B1164" s="175">
        <v>46061</v>
      </c>
      <c r="C1164" s="171" t="s">
        <v>115</v>
      </c>
      <c r="D1164" s="171" t="s">
        <v>135</v>
      </c>
      <c r="E1164" s="171" t="s">
        <v>38</v>
      </c>
      <c r="F1164" s="171" t="s">
        <v>111</v>
      </c>
      <c r="G1164" s="171" t="s">
        <v>112</v>
      </c>
      <c r="H1164" s="176">
        <v>1</v>
      </c>
      <c r="I1164" s="177">
        <v>0</v>
      </c>
      <c r="J1164" s="175">
        <v>46058</v>
      </c>
      <c r="K1164" s="171" t="s">
        <v>125</v>
      </c>
      <c r="L1164" s="171" t="s">
        <v>125</v>
      </c>
      <c r="M1164" s="178">
        <v>0</v>
      </c>
      <c r="N1164" s="176"/>
      <c r="O1164" s="176"/>
      <c r="P1164" s="179">
        <v>16.61</v>
      </c>
    </row>
    <row r="1165" spans="1:16" ht="19.5" customHeight="1">
      <c r="A1165" s="171" t="s">
        <v>1254</v>
      </c>
      <c r="B1165" s="175">
        <v>46061</v>
      </c>
      <c r="C1165" s="171" t="s">
        <v>110</v>
      </c>
      <c r="D1165" s="171" t="s">
        <v>24</v>
      </c>
      <c r="E1165" s="171" t="s">
        <v>38</v>
      </c>
      <c r="F1165" s="171" t="s">
        <v>111</v>
      </c>
      <c r="G1165" s="171" t="s">
        <v>112</v>
      </c>
      <c r="H1165" s="176">
        <v>1</v>
      </c>
      <c r="I1165" s="177">
        <v>2400</v>
      </c>
      <c r="J1165" s="175">
        <v>46060</v>
      </c>
      <c r="K1165" s="171" t="s">
        <v>113</v>
      </c>
      <c r="L1165" s="171" t="s">
        <v>114</v>
      </c>
      <c r="M1165" s="178">
        <v>0.43</v>
      </c>
      <c r="N1165" s="176"/>
      <c r="O1165" s="176">
        <v>43</v>
      </c>
      <c r="P1165" s="179">
        <v>-146.83000000000001</v>
      </c>
    </row>
    <row r="1166" spans="1:16" ht="19.5" customHeight="1">
      <c r="A1166" s="171" t="s">
        <v>1254</v>
      </c>
      <c r="B1166" s="175">
        <v>46061</v>
      </c>
      <c r="C1166" s="171" t="s">
        <v>127</v>
      </c>
      <c r="D1166" s="171" t="s">
        <v>128</v>
      </c>
      <c r="E1166" s="171" t="s">
        <v>38</v>
      </c>
      <c r="F1166" s="171" t="s">
        <v>111</v>
      </c>
      <c r="G1166" s="171" t="s">
        <v>112</v>
      </c>
      <c r="H1166" s="176">
        <v>1</v>
      </c>
      <c r="I1166" s="177">
        <v>2400</v>
      </c>
      <c r="J1166" s="175">
        <v>46060</v>
      </c>
      <c r="K1166" s="171" t="s">
        <v>113</v>
      </c>
      <c r="L1166" s="171" t="s">
        <v>114</v>
      </c>
      <c r="M1166" s="178">
        <v>0</v>
      </c>
      <c r="N1166" s="176"/>
      <c r="O1166" s="176"/>
      <c r="P1166" s="179">
        <v>1236.97</v>
      </c>
    </row>
    <row r="1167" spans="1:16" ht="19.5" customHeight="1">
      <c r="A1167" s="171" t="s">
        <v>1254</v>
      </c>
      <c r="B1167" s="175">
        <v>46061</v>
      </c>
      <c r="C1167" s="171" t="s">
        <v>127</v>
      </c>
      <c r="D1167" s="171" t="s">
        <v>129</v>
      </c>
      <c r="E1167" s="171" t="s">
        <v>38</v>
      </c>
      <c r="F1167" s="171" t="s">
        <v>111</v>
      </c>
      <c r="G1167" s="171" t="s">
        <v>112</v>
      </c>
      <c r="H1167" s="176">
        <v>1</v>
      </c>
      <c r="I1167" s="177">
        <v>2400</v>
      </c>
      <c r="J1167" s="175">
        <v>46060</v>
      </c>
      <c r="K1167" s="171" t="s">
        <v>113</v>
      </c>
      <c r="L1167" s="171" t="s">
        <v>114</v>
      </c>
      <c r="M1167" s="178">
        <v>0</v>
      </c>
      <c r="N1167" s="176"/>
      <c r="O1167" s="176"/>
      <c r="P1167" s="179">
        <v>0</v>
      </c>
    </row>
    <row r="1168" spans="1:16" ht="19.5" customHeight="1">
      <c r="A1168" s="171" t="s">
        <v>1254</v>
      </c>
      <c r="B1168" s="175">
        <v>46061</v>
      </c>
      <c r="C1168" s="171" t="s">
        <v>127</v>
      </c>
      <c r="D1168" s="171" t="s">
        <v>130</v>
      </c>
      <c r="E1168" s="171" t="s">
        <v>38</v>
      </c>
      <c r="F1168" s="171" t="s">
        <v>111</v>
      </c>
      <c r="G1168" s="171" t="s">
        <v>112</v>
      </c>
      <c r="H1168" s="176">
        <v>1</v>
      </c>
      <c r="I1168" s="177">
        <v>2400</v>
      </c>
      <c r="J1168" s="175">
        <v>46060</v>
      </c>
      <c r="K1168" s="171" t="s">
        <v>113</v>
      </c>
      <c r="L1168" s="171" t="s">
        <v>114</v>
      </c>
      <c r="M1168" s="178">
        <v>0</v>
      </c>
      <c r="N1168" s="176"/>
      <c r="O1168" s="176"/>
      <c r="P1168" s="179">
        <v>1163.03</v>
      </c>
    </row>
    <row r="1169" spans="1:16" ht="19.5" customHeight="1">
      <c r="A1169" s="171" t="s">
        <v>1254</v>
      </c>
      <c r="B1169" s="175">
        <v>46061</v>
      </c>
      <c r="C1169" s="171" t="s">
        <v>131</v>
      </c>
      <c r="D1169" s="171" t="s">
        <v>132</v>
      </c>
      <c r="E1169" s="171" t="s">
        <v>38</v>
      </c>
      <c r="F1169" s="171" t="s">
        <v>111</v>
      </c>
      <c r="G1169" s="171" t="s">
        <v>112</v>
      </c>
      <c r="H1169" s="176">
        <v>1</v>
      </c>
      <c r="I1169" s="177">
        <v>2400</v>
      </c>
      <c r="J1169" s="175">
        <v>46060</v>
      </c>
      <c r="K1169" s="171" t="s">
        <v>113</v>
      </c>
      <c r="L1169" s="171" t="s">
        <v>114</v>
      </c>
      <c r="M1169" s="178">
        <v>0.43</v>
      </c>
      <c r="N1169" s="176"/>
      <c r="O1169" s="176"/>
      <c r="P1169" s="179">
        <v>-1032</v>
      </c>
    </row>
    <row r="1170" spans="1:16" ht="19.5" customHeight="1">
      <c r="A1170" s="171" t="s">
        <v>1254</v>
      </c>
      <c r="B1170" s="175">
        <v>46061</v>
      </c>
      <c r="C1170" s="171" t="s">
        <v>115</v>
      </c>
      <c r="D1170" s="171" t="s">
        <v>116</v>
      </c>
      <c r="E1170" s="171" t="s">
        <v>38</v>
      </c>
      <c r="F1170" s="171" t="s">
        <v>111</v>
      </c>
      <c r="G1170" s="171" t="s">
        <v>112</v>
      </c>
      <c r="H1170" s="176">
        <v>1</v>
      </c>
      <c r="I1170" s="177">
        <v>2400</v>
      </c>
      <c r="J1170" s="175">
        <v>46060</v>
      </c>
      <c r="K1170" s="171" t="s">
        <v>113</v>
      </c>
      <c r="L1170" s="171" t="s">
        <v>114</v>
      </c>
      <c r="M1170" s="178">
        <v>0.43</v>
      </c>
      <c r="N1170" s="176"/>
      <c r="O1170" s="176"/>
      <c r="P1170" s="179">
        <v>-13.87</v>
      </c>
    </row>
    <row r="1171" spans="1:16" ht="19.5" customHeight="1">
      <c r="A1171" s="171" t="s">
        <v>1190</v>
      </c>
      <c r="B1171" s="175">
        <v>46061</v>
      </c>
      <c r="C1171" s="171" t="s">
        <v>115</v>
      </c>
      <c r="D1171" s="171" t="s">
        <v>135</v>
      </c>
      <c r="E1171" s="171" t="s">
        <v>38</v>
      </c>
      <c r="F1171" s="171" t="s">
        <v>111</v>
      </c>
      <c r="G1171" s="171" t="s">
        <v>112</v>
      </c>
      <c r="H1171" s="176">
        <v>1</v>
      </c>
      <c r="I1171" s="177">
        <v>0</v>
      </c>
      <c r="J1171" s="175">
        <v>46059</v>
      </c>
      <c r="K1171" s="171" t="s">
        <v>125</v>
      </c>
      <c r="L1171" s="171" t="s">
        <v>125</v>
      </c>
      <c r="M1171" s="178">
        <v>0</v>
      </c>
      <c r="N1171" s="176"/>
      <c r="O1171" s="176"/>
      <c r="P1171" s="179">
        <v>22.6</v>
      </c>
    </row>
    <row r="1172" spans="1:16" ht="19.5" customHeight="1">
      <c r="A1172" s="171" t="s">
        <v>1255</v>
      </c>
      <c r="B1172" s="175">
        <v>46061</v>
      </c>
      <c r="C1172" s="171" t="s">
        <v>110</v>
      </c>
      <c r="D1172" s="171" t="s">
        <v>24</v>
      </c>
      <c r="E1172" s="171" t="s">
        <v>75</v>
      </c>
      <c r="F1172" s="171" t="s">
        <v>474</v>
      </c>
      <c r="G1172" s="171" t="s">
        <v>177</v>
      </c>
      <c r="H1172" s="176">
        <v>1</v>
      </c>
      <c r="I1172" s="177">
        <v>4300</v>
      </c>
      <c r="J1172" s="175">
        <v>46060</v>
      </c>
      <c r="K1172" s="171" t="s">
        <v>113</v>
      </c>
      <c r="L1172" s="171" t="s">
        <v>114</v>
      </c>
      <c r="M1172" s="178">
        <v>0.43</v>
      </c>
      <c r="N1172" s="176"/>
      <c r="O1172" s="176">
        <v>43</v>
      </c>
      <c r="P1172" s="179">
        <v>-220.1</v>
      </c>
    </row>
    <row r="1173" spans="1:16" ht="19.5" customHeight="1">
      <c r="A1173" s="171" t="s">
        <v>1255</v>
      </c>
      <c r="B1173" s="175">
        <v>46061</v>
      </c>
      <c r="C1173" s="171" t="s">
        <v>127</v>
      </c>
      <c r="D1173" s="171" t="s">
        <v>128</v>
      </c>
      <c r="E1173" s="171" t="s">
        <v>75</v>
      </c>
      <c r="F1173" s="171" t="s">
        <v>474</v>
      </c>
      <c r="G1173" s="171" t="s">
        <v>177</v>
      </c>
      <c r="H1173" s="176">
        <v>1</v>
      </c>
      <c r="I1173" s="177">
        <v>4300</v>
      </c>
      <c r="J1173" s="175">
        <v>46060</v>
      </c>
      <c r="K1173" s="171" t="s">
        <v>113</v>
      </c>
      <c r="L1173" s="171" t="s">
        <v>114</v>
      </c>
      <c r="M1173" s="178">
        <v>0</v>
      </c>
      <c r="N1173" s="176"/>
      <c r="O1173" s="176"/>
      <c r="P1173" s="179">
        <v>1514.71</v>
      </c>
    </row>
    <row r="1174" spans="1:16" ht="19.5" customHeight="1">
      <c r="A1174" s="171" t="s">
        <v>1255</v>
      </c>
      <c r="B1174" s="175">
        <v>46061</v>
      </c>
      <c r="C1174" s="171" t="s">
        <v>127</v>
      </c>
      <c r="D1174" s="171" t="s">
        <v>129</v>
      </c>
      <c r="E1174" s="171" t="s">
        <v>75</v>
      </c>
      <c r="F1174" s="171" t="s">
        <v>474</v>
      </c>
      <c r="G1174" s="171" t="s">
        <v>177</v>
      </c>
      <c r="H1174" s="176">
        <v>1</v>
      </c>
      <c r="I1174" s="177">
        <v>4300</v>
      </c>
      <c r="J1174" s="175">
        <v>46060</v>
      </c>
      <c r="K1174" s="171" t="s">
        <v>113</v>
      </c>
      <c r="L1174" s="171" t="s">
        <v>114</v>
      </c>
      <c r="M1174" s="178">
        <v>0</v>
      </c>
      <c r="N1174" s="176"/>
      <c r="O1174" s="176"/>
      <c r="P1174" s="179">
        <v>15.15</v>
      </c>
    </row>
    <row r="1175" spans="1:16" ht="19.5" customHeight="1">
      <c r="A1175" s="171" t="s">
        <v>1255</v>
      </c>
      <c r="B1175" s="175">
        <v>46061</v>
      </c>
      <c r="C1175" s="171" t="s">
        <v>127</v>
      </c>
      <c r="D1175" s="171" t="s">
        <v>130</v>
      </c>
      <c r="E1175" s="171" t="s">
        <v>75</v>
      </c>
      <c r="F1175" s="171" t="s">
        <v>474</v>
      </c>
      <c r="G1175" s="171" t="s">
        <v>177</v>
      </c>
      <c r="H1175" s="176">
        <v>1</v>
      </c>
      <c r="I1175" s="177">
        <v>4300</v>
      </c>
      <c r="J1175" s="175">
        <v>46060</v>
      </c>
      <c r="K1175" s="171" t="s">
        <v>113</v>
      </c>
      <c r="L1175" s="171" t="s">
        <v>114</v>
      </c>
      <c r="M1175" s="178">
        <v>0</v>
      </c>
      <c r="N1175" s="176"/>
      <c r="O1175" s="176"/>
      <c r="P1175" s="179">
        <v>2770.14</v>
      </c>
    </row>
    <row r="1176" spans="1:16" ht="19.5" customHeight="1">
      <c r="A1176" s="171" t="s">
        <v>1255</v>
      </c>
      <c r="B1176" s="175">
        <v>46061</v>
      </c>
      <c r="C1176" s="171" t="s">
        <v>131</v>
      </c>
      <c r="D1176" s="171" t="s">
        <v>132</v>
      </c>
      <c r="E1176" s="171" t="s">
        <v>75</v>
      </c>
      <c r="F1176" s="171" t="s">
        <v>474</v>
      </c>
      <c r="G1176" s="171" t="s">
        <v>177</v>
      </c>
      <c r="H1176" s="176">
        <v>1</v>
      </c>
      <c r="I1176" s="177">
        <v>4300</v>
      </c>
      <c r="J1176" s="175">
        <v>46060</v>
      </c>
      <c r="K1176" s="171" t="s">
        <v>113</v>
      </c>
      <c r="L1176" s="171" t="s">
        <v>114</v>
      </c>
      <c r="M1176" s="178">
        <v>0.43</v>
      </c>
      <c r="N1176" s="176"/>
      <c r="O1176" s="176"/>
      <c r="P1176" s="179">
        <v>-1849</v>
      </c>
    </row>
    <row r="1177" spans="1:16" ht="19.5" customHeight="1">
      <c r="A1177" s="171" t="s">
        <v>1254</v>
      </c>
      <c r="B1177" s="175">
        <v>46061</v>
      </c>
      <c r="C1177" s="171" t="s">
        <v>115</v>
      </c>
      <c r="D1177" s="171" t="s">
        <v>135</v>
      </c>
      <c r="E1177" s="171" t="s">
        <v>38</v>
      </c>
      <c r="F1177" s="171" t="s">
        <v>111</v>
      </c>
      <c r="G1177" s="171" t="s">
        <v>112</v>
      </c>
      <c r="H1177" s="176">
        <v>1</v>
      </c>
      <c r="I1177" s="177">
        <v>0</v>
      </c>
      <c r="J1177" s="175">
        <v>46060</v>
      </c>
      <c r="K1177" s="171" t="s">
        <v>125</v>
      </c>
      <c r="L1177" s="171" t="s">
        <v>125</v>
      </c>
      <c r="M1177" s="178">
        <v>0</v>
      </c>
      <c r="N1177" s="176"/>
      <c r="O1177" s="176"/>
      <c r="P1177" s="179">
        <v>-6.93</v>
      </c>
    </row>
    <row r="1178" spans="1:16" ht="19.5" customHeight="1">
      <c r="A1178" s="171" t="s">
        <v>1256</v>
      </c>
      <c r="B1178" s="175">
        <v>46061</v>
      </c>
      <c r="C1178" s="171" t="s">
        <v>110</v>
      </c>
      <c r="D1178" s="171" t="s">
        <v>24</v>
      </c>
      <c r="E1178" s="171" t="s">
        <v>77</v>
      </c>
      <c r="F1178" s="171" t="s">
        <v>194</v>
      </c>
      <c r="G1178" s="171" t="s">
        <v>177</v>
      </c>
      <c r="H1178" s="176">
        <v>1</v>
      </c>
      <c r="I1178" s="177">
        <v>5700</v>
      </c>
      <c r="J1178" s="175">
        <v>46060</v>
      </c>
      <c r="K1178" s="171" t="s">
        <v>113</v>
      </c>
      <c r="L1178" s="171" t="s">
        <v>114</v>
      </c>
      <c r="M1178" s="178">
        <v>0.43</v>
      </c>
      <c r="N1178" s="176"/>
      <c r="O1178" s="176">
        <v>43</v>
      </c>
      <c r="P1178" s="179">
        <v>-262.10000000000002</v>
      </c>
    </row>
    <row r="1179" spans="1:16" ht="19.5" customHeight="1">
      <c r="A1179" s="171" t="s">
        <v>1256</v>
      </c>
      <c r="B1179" s="175">
        <v>46061</v>
      </c>
      <c r="C1179" s="171" t="s">
        <v>127</v>
      </c>
      <c r="D1179" s="171" t="s">
        <v>128</v>
      </c>
      <c r="E1179" s="171" t="s">
        <v>77</v>
      </c>
      <c r="F1179" s="171" t="s">
        <v>194</v>
      </c>
      <c r="G1179" s="171" t="s">
        <v>177</v>
      </c>
      <c r="H1179" s="176">
        <v>1</v>
      </c>
      <c r="I1179" s="177">
        <v>5700</v>
      </c>
      <c r="J1179" s="175">
        <v>46060</v>
      </c>
      <c r="K1179" s="171" t="s">
        <v>113</v>
      </c>
      <c r="L1179" s="171" t="s">
        <v>114</v>
      </c>
      <c r="M1179" s="178">
        <v>0</v>
      </c>
      <c r="N1179" s="176"/>
      <c r="O1179" s="176"/>
      <c r="P1179" s="179">
        <v>2159.09</v>
      </c>
    </row>
    <row r="1180" spans="1:16" ht="19.5" customHeight="1">
      <c r="A1180" s="171" t="s">
        <v>1256</v>
      </c>
      <c r="B1180" s="175">
        <v>46061</v>
      </c>
      <c r="C1180" s="171" t="s">
        <v>127</v>
      </c>
      <c r="D1180" s="171" t="s">
        <v>129</v>
      </c>
      <c r="E1180" s="171" t="s">
        <v>77</v>
      </c>
      <c r="F1180" s="171" t="s">
        <v>194</v>
      </c>
      <c r="G1180" s="171" t="s">
        <v>177</v>
      </c>
      <c r="H1180" s="176">
        <v>1</v>
      </c>
      <c r="I1180" s="177">
        <v>5700</v>
      </c>
      <c r="J1180" s="175">
        <v>46060</v>
      </c>
      <c r="K1180" s="171" t="s">
        <v>113</v>
      </c>
      <c r="L1180" s="171" t="s">
        <v>114</v>
      </c>
      <c r="M1180" s="178">
        <v>0</v>
      </c>
      <c r="N1180" s="176"/>
      <c r="O1180" s="176"/>
      <c r="P1180" s="179">
        <v>0</v>
      </c>
    </row>
    <row r="1181" spans="1:16" ht="19.5" customHeight="1">
      <c r="A1181" s="171" t="s">
        <v>1256</v>
      </c>
      <c r="B1181" s="175">
        <v>46061</v>
      </c>
      <c r="C1181" s="171" t="s">
        <v>127</v>
      </c>
      <c r="D1181" s="171" t="s">
        <v>130</v>
      </c>
      <c r="E1181" s="171" t="s">
        <v>77</v>
      </c>
      <c r="F1181" s="171" t="s">
        <v>194</v>
      </c>
      <c r="G1181" s="171" t="s">
        <v>177</v>
      </c>
      <c r="H1181" s="176">
        <v>1</v>
      </c>
      <c r="I1181" s="177">
        <v>5700</v>
      </c>
      <c r="J1181" s="175">
        <v>46060</v>
      </c>
      <c r="K1181" s="171" t="s">
        <v>113</v>
      </c>
      <c r="L1181" s="171" t="s">
        <v>114</v>
      </c>
      <c r="M1181" s="178">
        <v>0</v>
      </c>
      <c r="N1181" s="176"/>
      <c r="O1181" s="176"/>
      <c r="P1181" s="179">
        <v>3540.91</v>
      </c>
    </row>
    <row r="1182" spans="1:16" ht="19.5" customHeight="1">
      <c r="A1182" s="171" t="s">
        <v>1256</v>
      </c>
      <c r="B1182" s="175">
        <v>46061</v>
      </c>
      <c r="C1182" s="171" t="s">
        <v>131</v>
      </c>
      <c r="D1182" s="171" t="s">
        <v>132</v>
      </c>
      <c r="E1182" s="171" t="s">
        <v>77</v>
      </c>
      <c r="F1182" s="171" t="s">
        <v>194</v>
      </c>
      <c r="G1182" s="171" t="s">
        <v>177</v>
      </c>
      <c r="H1182" s="176">
        <v>1</v>
      </c>
      <c r="I1182" s="177">
        <v>5700</v>
      </c>
      <c r="J1182" s="175">
        <v>46060</v>
      </c>
      <c r="K1182" s="171" t="s">
        <v>113</v>
      </c>
      <c r="L1182" s="171" t="s">
        <v>114</v>
      </c>
      <c r="M1182" s="178">
        <v>0.43</v>
      </c>
      <c r="N1182" s="176"/>
      <c r="O1182" s="176"/>
      <c r="P1182" s="179">
        <v>-2451</v>
      </c>
    </row>
    <row r="1183" spans="1:16" ht="19.5" customHeight="1">
      <c r="A1183" s="171" t="s">
        <v>1256</v>
      </c>
      <c r="B1183" s="175">
        <v>46061</v>
      </c>
      <c r="C1183" s="171" t="s">
        <v>115</v>
      </c>
      <c r="D1183" s="171" t="s">
        <v>116</v>
      </c>
      <c r="E1183" s="171" t="s">
        <v>77</v>
      </c>
      <c r="F1183" s="171" t="s">
        <v>194</v>
      </c>
      <c r="G1183" s="171" t="s">
        <v>177</v>
      </c>
      <c r="H1183" s="176">
        <v>1</v>
      </c>
      <c r="I1183" s="177">
        <v>5700</v>
      </c>
      <c r="J1183" s="175">
        <v>46060</v>
      </c>
      <c r="K1183" s="171" t="s">
        <v>113</v>
      </c>
      <c r="L1183" s="171" t="s">
        <v>114</v>
      </c>
      <c r="M1183" s="178">
        <v>0.43</v>
      </c>
      <c r="N1183" s="176"/>
      <c r="O1183" s="176"/>
      <c r="P1183" s="179">
        <v>-13.11</v>
      </c>
    </row>
    <row r="1184" spans="1:16" ht="19.5" customHeight="1">
      <c r="A1184" s="171" t="s">
        <v>1197</v>
      </c>
      <c r="B1184" s="175">
        <v>46061</v>
      </c>
      <c r="C1184" s="171" t="s">
        <v>115</v>
      </c>
      <c r="D1184" s="171" t="s">
        <v>135</v>
      </c>
      <c r="E1184" s="171" t="s">
        <v>38</v>
      </c>
      <c r="F1184" s="171" t="s">
        <v>111</v>
      </c>
      <c r="G1184" s="171" t="s">
        <v>112</v>
      </c>
      <c r="H1184" s="176">
        <v>1</v>
      </c>
      <c r="I1184" s="177">
        <v>0</v>
      </c>
      <c r="J1184" s="175">
        <v>46060</v>
      </c>
      <c r="K1184" s="171" t="s">
        <v>125</v>
      </c>
      <c r="L1184" s="171" t="s">
        <v>125</v>
      </c>
      <c r="M1184" s="178">
        <v>0</v>
      </c>
      <c r="N1184" s="176"/>
      <c r="O1184" s="176"/>
      <c r="P1184" s="179">
        <v>11.44</v>
      </c>
    </row>
    <row r="1185" spans="1:16" ht="19.5" customHeight="1">
      <c r="A1185" s="171" t="s">
        <v>1156</v>
      </c>
      <c r="B1185" s="175">
        <v>46061</v>
      </c>
      <c r="C1185" s="171" t="s">
        <v>115</v>
      </c>
      <c r="D1185" s="171" t="s">
        <v>135</v>
      </c>
      <c r="E1185" s="171" t="s">
        <v>38</v>
      </c>
      <c r="F1185" s="171" t="s">
        <v>111</v>
      </c>
      <c r="G1185" s="171" t="s">
        <v>112</v>
      </c>
      <c r="H1185" s="176">
        <v>1</v>
      </c>
      <c r="I1185" s="177">
        <v>0</v>
      </c>
      <c r="J1185" s="175">
        <v>46059</v>
      </c>
      <c r="K1185" s="171" t="s">
        <v>125</v>
      </c>
      <c r="L1185" s="171" t="s">
        <v>125</v>
      </c>
      <c r="M1185" s="178">
        <v>0</v>
      </c>
      <c r="N1185" s="176"/>
      <c r="O1185" s="176"/>
      <c r="P1185" s="179">
        <v>16.62</v>
      </c>
    </row>
    <row r="1186" spans="1:16" ht="19.5" customHeight="1">
      <c r="A1186" s="171" t="s">
        <v>1257</v>
      </c>
      <c r="B1186" s="175">
        <v>46061</v>
      </c>
      <c r="C1186" s="171" t="s">
        <v>110</v>
      </c>
      <c r="D1186" s="171" t="s">
        <v>117</v>
      </c>
      <c r="E1186" s="171" t="s">
        <v>42</v>
      </c>
      <c r="F1186" s="171" t="s">
        <v>248</v>
      </c>
      <c r="G1186" s="171" t="s">
        <v>112</v>
      </c>
      <c r="H1186" s="176">
        <v>1</v>
      </c>
      <c r="I1186" s="177">
        <v>0</v>
      </c>
      <c r="J1186" s="175">
        <v>46053</v>
      </c>
      <c r="K1186" s="171" t="s">
        <v>113</v>
      </c>
      <c r="L1186" s="171" t="s">
        <v>114</v>
      </c>
      <c r="M1186" s="178">
        <v>0</v>
      </c>
      <c r="N1186" s="176"/>
      <c r="O1186" s="176"/>
      <c r="P1186" s="179">
        <v>0</v>
      </c>
    </row>
    <row r="1187" spans="1:16" ht="19.5" customHeight="1">
      <c r="A1187" s="171" t="s">
        <v>1257</v>
      </c>
      <c r="B1187" s="175">
        <v>46061</v>
      </c>
      <c r="C1187" s="171" t="s">
        <v>110</v>
      </c>
      <c r="D1187" s="171" t="s">
        <v>118</v>
      </c>
      <c r="E1187" s="171" t="s">
        <v>42</v>
      </c>
      <c r="F1187" s="171" t="s">
        <v>248</v>
      </c>
      <c r="G1187" s="171" t="s">
        <v>112</v>
      </c>
      <c r="H1187" s="176">
        <v>1</v>
      </c>
      <c r="I1187" s="177">
        <v>0</v>
      </c>
      <c r="J1187" s="175">
        <v>46053</v>
      </c>
      <c r="K1187" s="171" t="s">
        <v>113</v>
      </c>
      <c r="L1187" s="171" t="s">
        <v>114</v>
      </c>
      <c r="M1187" s="178">
        <v>0</v>
      </c>
      <c r="N1187" s="176"/>
      <c r="O1187" s="176"/>
      <c r="P1187" s="179">
        <v>-46.77</v>
      </c>
    </row>
    <row r="1188" spans="1:16" ht="19.5" customHeight="1">
      <c r="A1188" s="171" t="s">
        <v>1257</v>
      </c>
      <c r="B1188" s="175">
        <v>46061</v>
      </c>
      <c r="C1188" s="171" t="s">
        <v>115</v>
      </c>
      <c r="D1188" s="171" t="s">
        <v>119</v>
      </c>
      <c r="E1188" s="171" t="s">
        <v>42</v>
      </c>
      <c r="F1188" s="171" t="s">
        <v>248</v>
      </c>
      <c r="G1188" s="171" t="s">
        <v>112</v>
      </c>
      <c r="H1188" s="176">
        <v>1</v>
      </c>
      <c r="I1188" s="177">
        <v>0</v>
      </c>
      <c r="J1188" s="175">
        <v>46053</v>
      </c>
      <c r="K1188" s="171" t="s">
        <v>113</v>
      </c>
      <c r="L1188" s="171" t="s">
        <v>114</v>
      </c>
      <c r="M1188" s="178">
        <v>0</v>
      </c>
      <c r="N1188" s="176"/>
      <c r="O1188" s="176"/>
      <c r="P1188" s="179">
        <v>-15</v>
      </c>
    </row>
    <row r="1189" spans="1:16" ht="19.5" customHeight="1">
      <c r="A1189" s="171" t="s">
        <v>1257</v>
      </c>
      <c r="B1189" s="175">
        <v>46061</v>
      </c>
      <c r="C1189" s="171" t="s">
        <v>110</v>
      </c>
      <c r="D1189" s="171" t="s">
        <v>24</v>
      </c>
      <c r="E1189" s="171" t="s">
        <v>42</v>
      </c>
      <c r="F1189" s="171" t="s">
        <v>248</v>
      </c>
      <c r="G1189" s="171" t="s">
        <v>112</v>
      </c>
      <c r="H1189" s="176">
        <v>1</v>
      </c>
      <c r="I1189" s="177">
        <v>0</v>
      </c>
      <c r="J1189" s="175">
        <v>46053</v>
      </c>
      <c r="K1189" s="171" t="s">
        <v>113</v>
      </c>
      <c r="L1189" s="171" t="s">
        <v>114</v>
      </c>
      <c r="M1189" s="178">
        <v>0</v>
      </c>
      <c r="N1189" s="176"/>
      <c r="O1189" s="176">
        <v>48</v>
      </c>
      <c r="P1189" s="179">
        <v>-46.77</v>
      </c>
    </row>
    <row r="1190" spans="1:16" ht="19.5" customHeight="1">
      <c r="A1190" s="171" t="s">
        <v>1257</v>
      </c>
      <c r="B1190" s="175">
        <v>46061</v>
      </c>
      <c r="C1190" s="171" t="s">
        <v>115</v>
      </c>
      <c r="D1190" s="171" t="s">
        <v>116</v>
      </c>
      <c r="E1190" s="171" t="s">
        <v>42</v>
      </c>
      <c r="F1190" s="171" t="s">
        <v>248</v>
      </c>
      <c r="G1190" s="171" t="s">
        <v>112</v>
      </c>
      <c r="H1190" s="176">
        <v>1</v>
      </c>
      <c r="I1190" s="177">
        <v>0</v>
      </c>
      <c r="J1190" s="175">
        <v>46053</v>
      </c>
      <c r="K1190" s="171" t="s">
        <v>113</v>
      </c>
      <c r="L1190" s="171" t="s">
        <v>114</v>
      </c>
      <c r="M1190" s="178">
        <v>0</v>
      </c>
      <c r="N1190" s="176"/>
      <c r="O1190" s="176"/>
      <c r="P1190" s="179">
        <v>-8.92</v>
      </c>
    </row>
    <row r="1191" spans="1:16" ht="19.5" customHeight="1">
      <c r="A1191" s="171" t="s">
        <v>1258</v>
      </c>
      <c r="B1191" s="175">
        <v>46061</v>
      </c>
      <c r="C1191" s="171" t="s">
        <v>110</v>
      </c>
      <c r="D1191" s="171" t="s">
        <v>117</v>
      </c>
      <c r="E1191" s="171" t="s">
        <v>38</v>
      </c>
      <c r="F1191" s="171" t="s">
        <v>111</v>
      </c>
      <c r="G1191" s="171" t="s">
        <v>112</v>
      </c>
      <c r="H1191" s="176">
        <v>1</v>
      </c>
      <c r="I1191" s="177">
        <v>0</v>
      </c>
      <c r="J1191" s="175">
        <v>46053</v>
      </c>
      <c r="K1191" s="171" t="s">
        <v>113</v>
      </c>
      <c r="L1191" s="171" t="s">
        <v>114</v>
      </c>
      <c r="M1191" s="178">
        <v>0</v>
      </c>
      <c r="N1191" s="176"/>
      <c r="O1191" s="176"/>
      <c r="P1191" s="179">
        <v>0</v>
      </c>
    </row>
    <row r="1192" spans="1:16" ht="19.5" customHeight="1">
      <c r="A1192" s="171" t="s">
        <v>1258</v>
      </c>
      <c r="B1192" s="175">
        <v>46061</v>
      </c>
      <c r="C1192" s="171" t="s">
        <v>110</v>
      </c>
      <c r="D1192" s="171" t="s">
        <v>118</v>
      </c>
      <c r="E1192" s="171" t="s">
        <v>38</v>
      </c>
      <c r="F1192" s="171" t="s">
        <v>111</v>
      </c>
      <c r="G1192" s="171" t="s">
        <v>112</v>
      </c>
      <c r="H1192" s="176">
        <v>1</v>
      </c>
      <c r="I1192" s="177">
        <v>0</v>
      </c>
      <c r="J1192" s="175">
        <v>46053</v>
      </c>
      <c r="K1192" s="171" t="s">
        <v>113</v>
      </c>
      <c r="L1192" s="171" t="s">
        <v>114</v>
      </c>
      <c r="M1192" s="178">
        <v>0</v>
      </c>
      <c r="N1192" s="176"/>
      <c r="O1192" s="176"/>
      <c r="P1192" s="179">
        <v>-46.77</v>
      </c>
    </row>
    <row r="1193" spans="1:16" ht="19.5" customHeight="1">
      <c r="A1193" s="171" t="s">
        <v>1258</v>
      </c>
      <c r="B1193" s="175">
        <v>46061</v>
      </c>
      <c r="C1193" s="171" t="s">
        <v>115</v>
      </c>
      <c r="D1193" s="171" t="s">
        <v>119</v>
      </c>
      <c r="E1193" s="171" t="s">
        <v>38</v>
      </c>
      <c r="F1193" s="171" t="s">
        <v>111</v>
      </c>
      <c r="G1193" s="171" t="s">
        <v>112</v>
      </c>
      <c r="H1193" s="176">
        <v>1</v>
      </c>
      <c r="I1193" s="177">
        <v>0</v>
      </c>
      <c r="J1193" s="175">
        <v>46053</v>
      </c>
      <c r="K1193" s="171" t="s">
        <v>113</v>
      </c>
      <c r="L1193" s="171" t="s">
        <v>114</v>
      </c>
      <c r="M1193" s="178">
        <v>0</v>
      </c>
      <c r="N1193" s="176"/>
      <c r="O1193" s="176"/>
      <c r="P1193" s="179">
        <v>-15</v>
      </c>
    </row>
    <row r="1194" spans="1:16" ht="19.5" customHeight="1">
      <c r="A1194" s="171" t="s">
        <v>1258</v>
      </c>
      <c r="B1194" s="175">
        <v>46061</v>
      </c>
      <c r="C1194" s="171" t="s">
        <v>110</v>
      </c>
      <c r="D1194" s="171" t="s">
        <v>24</v>
      </c>
      <c r="E1194" s="171" t="s">
        <v>38</v>
      </c>
      <c r="F1194" s="171" t="s">
        <v>111</v>
      </c>
      <c r="G1194" s="171" t="s">
        <v>112</v>
      </c>
      <c r="H1194" s="176">
        <v>1</v>
      </c>
      <c r="I1194" s="177">
        <v>0</v>
      </c>
      <c r="J1194" s="175">
        <v>46053</v>
      </c>
      <c r="K1194" s="171" t="s">
        <v>113</v>
      </c>
      <c r="L1194" s="171" t="s">
        <v>114</v>
      </c>
      <c r="M1194" s="178">
        <v>0</v>
      </c>
      <c r="N1194" s="176"/>
      <c r="O1194" s="176">
        <v>48</v>
      </c>
      <c r="P1194" s="179">
        <v>-46.77</v>
      </c>
    </row>
    <row r="1195" spans="1:16" ht="19.5" customHeight="1">
      <c r="A1195" s="171" t="s">
        <v>1258</v>
      </c>
      <c r="B1195" s="175">
        <v>46061</v>
      </c>
      <c r="C1195" s="171" t="s">
        <v>115</v>
      </c>
      <c r="D1195" s="171" t="s">
        <v>116</v>
      </c>
      <c r="E1195" s="171" t="s">
        <v>38</v>
      </c>
      <c r="F1195" s="171" t="s">
        <v>111</v>
      </c>
      <c r="G1195" s="171" t="s">
        <v>112</v>
      </c>
      <c r="H1195" s="176">
        <v>1</v>
      </c>
      <c r="I1195" s="177">
        <v>0</v>
      </c>
      <c r="J1195" s="175">
        <v>46053</v>
      </c>
      <c r="K1195" s="171" t="s">
        <v>113</v>
      </c>
      <c r="L1195" s="171" t="s">
        <v>114</v>
      </c>
      <c r="M1195" s="178">
        <v>0</v>
      </c>
      <c r="N1195" s="176"/>
      <c r="O1195" s="176"/>
      <c r="P1195" s="179">
        <v>-10.09</v>
      </c>
    </row>
    <row r="1196" spans="1:16" ht="19.5" customHeight="1">
      <c r="A1196" s="171" t="s">
        <v>1192</v>
      </c>
      <c r="B1196" s="175">
        <v>46061</v>
      </c>
      <c r="C1196" s="171" t="s">
        <v>151</v>
      </c>
      <c r="D1196" s="171" t="s">
        <v>152</v>
      </c>
      <c r="E1196" s="171" t="s">
        <v>125</v>
      </c>
      <c r="F1196" s="171" t="s">
        <v>125</v>
      </c>
      <c r="G1196" s="171" t="s">
        <v>125</v>
      </c>
      <c r="H1196" s="176">
        <v>0</v>
      </c>
      <c r="I1196" s="177">
        <v>0</v>
      </c>
      <c r="J1196" s="175">
        <v>46061</v>
      </c>
      <c r="K1196" s="171" t="s">
        <v>125</v>
      </c>
      <c r="L1196" s="171" t="s">
        <v>125</v>
      </c>
      <c r="M1196" s="178">
        <v>0</v>
      </c>
      <c r="N1196" s="176"/>
      <c r="O1196" s="176"/>
      <c r="P1196" s="179">
        <v>-292.83</v>
      </c>
    </row>
    <row r="1197" spans="1:16" ht="19.5" customHeight="1">
      <c r="A1197" s="171" t="s">
        <v>180</v>
      </c>
      <c r="B1197" s="175">
        <v>46061</v>
      </c>
      <c r="C1197" s="171" t="s">
        <v>151</v>
      </c>
      <c r="D1197" s="171" t="s">
        <v>152</v>
      </c>
      <c r="E1197" s="171" t="s">
        <v>125</v>
      </c>
      <c r="F1197" s="171" t="s">
        <v>125</v>
      </c>
      <c r="G1197" s="171" t="s">
        <v>125</v>
      </c>
      <c r="H1197" s="176">
        <v>0</v>
      </c>
      <c r="I1197" s="177">
        <v>0</v>
      </c>
      <c r="J1197" s="175">
        <v>46061</v>
      </c>
      <c r="K1197" s="171" t="s">
        <v>125</v>
      </c>
      <c r="L1197" s="171" t="s">
        <v>125</v>
      </c>
      <c r="M1197" s="178">
        <v>0</v>
      </c>
      <c r="N1197" s="176"/>
      <c r="O1197" s="176"/>
      <c r="P1197" s="179">
        <v>-541.44000000000005</v>
      </c>
    </row>
    <row r="1198" spans="1:16" ht="19.5" customHeight="1">
      <c r="A1198" s="171" t="s">
        <v>150</v>
      </c>
      <c r="B1198" s="175">
        <v>46061</v>
      </c>
      <c r="C1198" s="171" t="s">
        <v>151</v>
      </c>
      <c r="D1198" s="171" t="s">
        <v>152</v>
      </c>
      <c r="E1198" s="171" t="s">
        <v>125</v>
      </c>
      <c r="F1198" s="171" t="s">
        <v>125</v>
      </c>
      <c r="G1198" s="171" t="s">
        <v>125</v>
      </c>
      <c r="H1198" s="176">
        <v>0</v>
      </c>
      <c r="I1198" s="177">
        <v>0</v>
      </c>
      <c r="J1198" s="175">
        <v>46061</v>
      </c>
      <c r="K1198" s="171" t="s">
        <v>125</v>
      </c>
      <c r="L1198" s="171" t="s">
        <v>125</v>
      </c>
      <c r="M1198" s="178">
        <v>0</v>
      </c>
      <c r="N1198" s="176"/>
      <c r="O1198" s="176"/>
      <c r="P1198" s="179">
        <v>-862.29</v>
      </c>
    </row>
    <row r="1199" spans="1:16" ht="19.5" customHeight="1">
      <c r="A1199" s="171" t="s">
        <v>155</v>
      </c>
      <c r="B1199" s="175">
        <v>46061</v>
      </c>
      <c r="C1199" s="171" t="s">
        <v>151</v>
      </c>
      <c r="D1199" s="171" t="s">
        <v>156</v>
      </c>
      <c r="E1199" s="171" t="s">
        <v>125</v>
      </c>
      <c r="F1199" s="171" t="s">
        <v>125</v>
      </c>
      <c r="G1199" s="171" t="s">
        <v>125</v>
      </c>
      <c r="H1199" s="176">
        <v>0</v>
      </c>
      <c r="I1199" s="177">
        <v>0</v>
      </c>
      <c r="J1199" s="175">
        <v>46061</v>
      </c>
      <c r="K1199" s="171" t="s">
        <v>125</v>
      </c>
      <c r="L1199" s="171" t="s">
        <v>125</v>
      </c>
      <c r="M1199" s="178">
        <v>0</v>
      </c>
      <c r="N1199" s="176"/>
      <c r="O1199" s="176"/>
      <c r="P1199" s="179">
        <v>-5238.66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E002-B5DA-4FC9-95C5-F2D33B16C940}">
  <dimension ref="A1:P159"/>
  <sheetViews>
    <sheetView workbookViewId="0">
      <selection activeCell="E3" sqref="E3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958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959</v>
      </c>
      <c r="B3" s="175">
        <v>46054</v>
      </c>
      <c r="C3" s="171" t="s">
        <v>110</v>
      </c>
      <c r="D3" s="171" t="s">
        <v>24</v>
      </c>
      <c r="E3" s="171" t="s">
        <v>68</v>
      </c>
      <c r="F3" s="171" t="s">
        <v>698</v>
      </c>
      <c r="G3" s="171" t="s">
        <v>699</v>
      </c>
      <c r="H3" s="176">
        <v>1</v>
      </c>
      <c r="I3" s="177">
        <v>0</v>
      </c>
      <c r="J3" s="175">
        <v>46045</v>
      </c>
      <c r="K3" s="171" t="s">
        <v>113</v>
      </c>
      <c r="L3" s="171" t="s">
        <v>114</v>
      </c>
      <c r="M3" s="178">
        <v>0</v>
      </c>
      <c r="N3" s="176"/>
      <c r="O3" s="176">
        <v>51</v>
      </c>
      <c r="P3" s="179">
        <v>-56.94</v>
      </c>
    </row>
    <row r="4" spans="1:16" ht="19.5" customHeight="1">
      <c r="A4" s="171" t="s">
        <v>959</v>
      </c>
      <c r="B4" s="175">
        <v>46054</v>
      </c>
      <c r="C4" s="171" t="s">
        <v>115</v>
      </c>
      <c r="D4" s="171" t="s">
        <v>116</v>
      </c>
      <c r="E4" s="171" t="s">
        <v>68</v>
      </c>
      <c r="F4" s="171" t="s">
        <v>698</v>
      </c>
      <c r="G4" s="171" t="s">
        <v>699</v>
      </c>
      <c r="H4" s="176">
        <v>1</v>
      </c>
      <c r="I4" s="177">
        <v>0</v>
      </c>
      <c r="J4" s="175">
        <v>46045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-15.1</v>
      </c>
    </row>
    <row r="5" spans="1:16" ht="19.5" customHeight="1">
      <c r="A5" s="171" t="s">
        <v>960</v>
      </c>
      <c r="B5" s="175">
        <v>46054</v>
      </c>
      <c r="C5" s="171" t="s">
        <v>110</v>
      </c>
      <c r="D5" s="171" t="s">
        <v>24</v>
      </c>
      <c r="E5" s="171" t="s">
        <v>69</v>
      </c>
      <c r="F5" s="171" t="s">
        <v>675</v>
      </c>
      <c r="G5" s="171" t="s">
        <v>177</v>
      </c>
      <c r="H5" s="176">
        <v>1</v>
      </c>
      <c r="I5" s="177">
        <v>0</v>
      </c>
      <c r="J5" s="175">
        <v>46045</v>
      </c>
      <c r="K5" s="171" t="s">
        <v>113</v>
      </c>
      <c r="L5" s="171" t="s">
        <v>114</v>
      </c>
      <c r="M5" s="178">
        <v>0</v>
      </c>
      <c r="N5" s="176"/>
      <c r="O5" s="176">
        <v>51</v>
      </c>
      <c r="P5" s="179">
        <v>-56.94</v>
      </c>
    </row>
    <row r="6" spans="1:16" ht="19.5" customHeight="1">
      <c r="A6" s="171" t="s">
        <v>960</v>
      </c>
      <c r="B6" s="175">
        <v>46054</v>
      </c>
      <c r="C6" s="171" t="s">
        <v>115</v>
      </c>
      <c r="D6" s="171" t="s">
        <v>116</v>
      </c>
      <c r="E6" s="171" t="s">
        <v>69</v>
      </c>
      <c r="F6" s="171" t="s">
        <v>675</v>
      </c>
      <c r="G6" s="171" t="s">
        <v>177</v>
      </c>
      <c r="H6" s="176">
        <v>1</v>
      </c>
      <c r="I6" s="177">
        <v>0</v>
      </c>
      <c r="J6" s="175">
        <v>46045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-12.97</v>
      </c>
    </row>
    <row r="7" spans="1:16" ht="19.5" customHeight="1">
      <c r="A7" s="171" t="s">
        <v>961</v>
      </c>
      <c r="B7" s="175">
        <v>46054</v>
      </c>
      <c r="C7" s="171" t="s">
        <v>110</v>
      </c>
      <c r="D7" s="171" t="s">
        <v>117</v>
      </c>
      <c r="E7" s="171" t="s">
        <v>67</v>
      </c>
      <c r="F7" s="171" t="s">
        <v>359</v>
      </c>
      <c r="G7" s="171" t="s">
        <v>177</v>
      </c>
      <c r="H7" s="176">
        <v>1</v>
      </c>
      <c r="I7" s="177">
        <v>0</v>
      </c>
      <c r="J7" s="175">
        <v>46045</v>
      </c>
      <c r="K7" s="171" t="s">
        <v>113</v>
      </c>
      <c r="L7" s="171" t="s">
        <v>114</v>
      </c>
      <c r="M7" s="178">
        <v>0</v>
      </c>
      <c r="N7" s="176"/>
      <c r="O7" s="176"/>
      <c r="P7" s="179">
        <v>0</v>
      </c>
    </row>
    <row r="8" spans="1:16" ht="19.5" customHeight="1">
      <c r="A8" s="171" t="s">
        <v>961</v>
      </c>
      <c r="B8" s="175">
        <v>46054</v>
      </c>
      <c r="C8" s="171" t="s">
        <v>110</v>
      </c>
      <c r="D8" s="171" t="s">
        <v>118</v>
      </c>
      <c r="E8" s="171" t="s">
        <v>67</v>
      </c>
      <c r="F8" s="171" t="s">
        <v>359</v>
      </c>
      <c r="G8" s="171" t="s">
        <v>177</v>
      </c>
      <c r="H8" s="176">
        <v>1</v>
      </c>
      <c r="I8" s="177">
        <v>0</v>
      </c>
      <c r="J8" s="175">
        <v>46045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-56.94</v>
      </c>
    </row>
    <row r="9" spans="1:16" ht="19.5" customHeight="1">
      <c r="A9" s="171" t="s">
        <v>961</v>
      </c>
      <c r="B9" s="175">
        <v>46054</v>
      </c>
      <c r="C9" s="171" t="s">
        <v>115</v>
      </c>
      <c r="D9" s="171" t="s">
        <v>119</v>
      </c>
      <c r="E9" s="171" t="s">
        <v>67</v>
      </c>
      <c r="F9" s="171" t="s">
        <v>359</v>
      </c>
      <c r="G9" s="171" t="s">
        <v>177</v>
      </c>
      <c r="H9" s="176">
        <v>1</v>
      </c>
      <c r="I9" s="177">
        <v>0</v>
      </c>
      <c r="J9" s="175">
        <v>46045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-15</v>
      </c>
    </row>
    <row r="10" spans="1:16" ht="19.5" customHeight="1">
      <c r="A10" s="171" t="s">
        <v>959</v>
      </c>
      <c r="B10" s="175">
        <v>46054</v>
      </c>
      <c r="C10" s="171" t="s">
        <v>110</v>
      </c>
      <c r="D10" s="171" t="s">
        <v>117</v>
      </c>
      <c r="E10" s="171" t="s">
        <v>68</v>
      </c>
      <c r="F10" s="171" t="s">
        <v>698</v>
      </c>
      <c r="G10" s="171" t="s">
        <v>699</v>
      </c>
      <c r="H10" s="176">
        <v>1</v>
      </c>
      <c r="I10" s="177">
        <v>0</v>
      </c>
      <c r="J10" s="175">
        <v>46045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959</v>
      </c>
      <c r="B11" s="175">
        <v>46054</v>
      </c>
      <c r="C11" s="171" t="s">
        <v>110</v>
      </c>
      <c r="D11" s="171" t="s">
        <v>118</v>
      </c>
      <c r="E11" s="171" t="s">
        <v>68</v>
      </c>
      <c r="F11" s="171" t="s">
        <v>698</v>
      </c>
      <c r="G11" s="171" t="s">
        <v>699</v>
      </c>
      <c r="H11" s="176">
        <v>1</v>
      </c>
      <c r="I11" s="177">
        <v>0</v>
      </c>
      <c r="J11" s="175">
        <v>46045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-56.94</v>
      </c>
    </row>
    <row r="12" spans="1:16" ht="19.5" customHeight="1">
      <c r="A12" s="171" t="s">
        <v>959</v>
      </c>
      <c r="B12" s="175">
        <v>46054</v>
      </c>
      <c r="C12" s="171" t="s">
        <v>115</v>
      </c>
      <c r="D12" s="171" t="s">
        <v>119</v>
      </c>
      <c r="E12" s="171" t="s">
        <v>68</v>
      </c>
      <c r="F12" s="171" t="s">
        <v>698</v>
      </c>
      <c r="G12" s="171" t="s">
        <v>699</v>
      </c>
      <c r="H12" s="176">
        <v>1</v>
      </c>
      <c r="I12" s="177">
        <v>0</v>
      </c>
      <c r="J12" s="175">
        <v>46045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-15</v>
      </c>
    </row>
    <row r="13" spans="1:16" ht="19.5" customHeight="1">
      <c r="A13" s="171" t="s">
        <v>961</v>
      </c>
      <c r="B13" s="175">
        <v>46054</v>
      </c>
      <c r="C13" s="171" t="s">
        <v>110</v>
      </c>
      <c r="D13" s="171" t="s">
        <v>24</v>
      </c>
      <c r="E13" s="171" t="s">
        <v>67</v>
      </c>
      <c r="F13" s="171" t="s">
        <v>359</v>
      </c>
      <c r="G13" s="171" t="s">
        <v>177</v>
      </c>
      <c r="H13" s="176">
        <v>1</v>
      </c>
      <c r="I13" s="177">
        <v>0</v>
      </c>
      <c r="J13" s="175">
        <v>46045</v>
      </c>
      <c r="K13" s="171" t="s">
        <v>113</v>
      </c>
      <c r="L13" s="171" t="s">
        <v>114</v>
      </c>
      <c r="M13" s="178">
        <v>0</v>
      </c>
      <c r="N13" s="176"/>
      <c r="O13" s="176">
        <v>51</v>
      </c>
      <c r="P13" s="179">
        <v>-56.94</v>
      </c>
    </row>
    <row r="14" spans="1:16" ht="19.5" customHeight="1">
      <c r="A14" s="171" t="s">
        <v>961</v>
      </c>
      <c r="B14" s="175">
        <v>46054</v>
      </c>
      <c r="C14" s="171" t="s">
        <v>115</v>
      </c>
      <c r="D14" s="171" t="s">
        <v>116</v>
      </c>
      <c r="E14" s="171" t="s">
        <v>67</v>
      </c>
      <c r="F14" s="171" t="s">
        <v>359</v>
      </c>
      <c r="G14" s="171" t="s">
        <v>177</v>
      </c>
      <c r="H14" s="176">
        <v>1</v>
      </c>
      <c r="I14" s="177">
        <v>0</v>
      </c>
      <c r="J14" s="175">
        <v>46045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-15.1</v>
      </c>
    </row>
    <row r="15" spans="1:16" ht="19.5" customHeight="1">
      <c r="A15" s="171" t="s">
        <v>960</v>
      </c>
      <c r="B15" s="175">
        <v>46054</v>
      </c>
      <c r="C15" s="171" t="s">
        <v>110</v>
      </c>
      <c r="D15" s="171" t="s">
        <v>117</v>
      </c>
      <c r="E15" s="171" t="s">
        <v>69</v>
      </c>
      <c r="F15" s="171" t="s">
        <v>675</v>
      </c>
      <c r="G15" s="171" t="s">
        <v>177</v>
      </c>
      <c r="H15" s="176">
        <v>1</v>
      </c>
      <c r="I15" s="177">
        <v>0</v>
      </c>
      <c r="J15" s="175">
        <v>46045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0</v>
      </c>
    </row>
    <row r="16" spans="1:16" ht="19.5" customHeight="1">
      <c r="A16" s="171" t="s">
        <v>960</v>
      </c>
      <c r="B16" s="175">
        <v>46054</v>
      </c>
      <c r="C16" s="171" t="s">
        <v>110</v>
      </c>
      <c r="D16" s="171" t="s">
        <v>118</v>
      </c>
      <c r="E16" s="171" t="s">
        <v>69</v>
      </c>
      <c r="F16" s="171" t="s">
        <v>675</v>
      </c>
      <c r="G16" s="171" t="s">
        <v>177</v>
      </c>
      <c r="H16" s="176">
        <v>1</v>
      </c>
      <c r="I16" s="177">
        <v>0</v>
      </c>
      <c r="J16" s="175">
        <v>46045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-56.94</v>
      </c>
    </row>
    <row r="17" spans="1:16" ht="19.5" customHeight="1">
      <c r="A17" s="171" t="s">
        <v>960</v>
      </c>
      <c r="B17" s="175">
        <v>46054</v>
      </c>
      <c r="C17" s="171" t="s">
        <v>115</v>
      </c>
      <c r="D17" s="171" t="s">
        <v>119</v>
      </c>
      <c r="E17" s="171" t="s">
        <v>69</v>
      </c>
      <c r="F17" s="171" t="s">
        <v>675</v>
      </c>
      <c r="G17" s="171" t="s">
        <v>177</v>
      </c>
      <c r="H17" s="176">
        <v>1</v>
      </c>
      <c r="I17" s="177">
        <v>0</v>
      </c>
      <c r="J17" s="175">
        <v>46045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-15</v>
      </c>
    </row>
    <row r="18" spans="1:16" ht="19.5" customHeight="1">
      <c r="A18" s="171" t="s">
        <v>962</v>
      </c>
      <c r="B18" s="175">
        <v>46054</v>
      </c>
      <c r="C18" s="171" t="s">
        <v>115</v>
      </c>
      <c r="D18" s="171" t="s">
        <v>135</v>
      </c>
      <c r="E18" s="171" t="s">
        <v>78</v>
      </c>
      <c r="F18" s="171" t="s">
        <v>176</v>
      </c>
      <c r="G18" s="171" t="s">
        <v>177</v>
      </c>
      <c r="H18" s="176">
        <v>1</v>
      </c>
      <c r="I18" s="177">
        <v>0</v>
      </c>
      <c r="J18" s="175">
        <v>46054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-53.02</v>
      </c>
    </row>
    <row r="19" spans="1:16" ht="19.5" customHeight="1">
      <c r="A19" s="171" t="s">
        <v>963</v>
      </c>
      <c r="B19" s="175">
        <v>46054</v>
      </c>
      <c r="C19" s="171" t="s">
        <v>110</v>
      </c>
      <c r="D19" s="171" t="s">
        <v>117</v>
      </c>
      <c r="E19" s="171" t="s">
        <v>51</v>
      </c>
      <c r="F19" s="171" t="s">
        <v>227</v>
      </c>
      <c r="G19" s="171" t="s">
        <v>112</v>
      </c>
      <c r="H19" s="176">
        <v>1</v>
      </c>
      <c r="I19" s="177">
        <v>0</v>
      </c>
      <c r="J19" s="175">
        <v>46048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963</v>
      </c>
      <c r="B20" s="175">
        <v>46054</v>
      </c>
      <c r="C20" s="171" t="s">
        <v>110</v>
      </c>
      <c r="D20" s="171" t="s">
        <v>118</v>
      </c>
      <c r="E20" s="171" t="s">
        <v>51</v>
      </c>
      <c r="F20" s="171" t="s">
        <v>227</v>
      </c>
      <c r="G20" s="171" t="s">
        <v>112</v>
      </c>
      <c r="H20" s="176">
        <v>1</v>
      </c>
      <c r="I20" s="177">
        <v>0</v>
      </c>
      <c r="J20" s="175">
        <v>46048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-46.77</v>
      </c>
    </row>
    <row r="21" spans="1:16" ht="19.5" customHeight="1">
      <c r="A21" s="171" t="s">
        <v>963</v>
      </c>
      <c r="B21" s="175">
        <v>46054</v>
      </c>
      <c r="C21" s="171" t="s">
        <v>115</v>
      </c>
      <c r="D21" s="171" t="s">
        <v>119</v>
      </c>
      <c r="E21" s="171" t="s">
        <v>51</v>
      </c>
      <c r="F21" s="171" t="s">
        <v>227</v>
      </c>
      <c r="G21" s="171" t="s">
        <v>112</v>
      </c>
      <c r="H21" s="176">
        <v>1</v>
      </c>
      <c r="I21" s="177">
        <v>0</v>
      </c>
      <c r="J21" s="175">
        <v>46048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-15</v>
      </c>
    </row>
    <row r="22" spans="1:16" ht="19.5" customHeight="1">
      <c r="A22" s="171" t="s">
        <v>963</v>
      </c>
      <c r="B22" s="175">
        <v>46054</v>
      </c>
      <c r="C22" s="171" t="s">
        <v>110</v>
      </c>
      <c r="D22" s="171" t="s">
        <v>24</v>
      </c>
      <c r="E22" s="171" t="s">
        <v>51</v>
      </c>
      <c r="F22" s="171" t="s">
        <v>227</v>
      </c>
      <c r="G22" s="171" t="s">
        <v>112</v>
      </c>
      <c r="H22" s="176">
        <v>1</v>
      </c>
      <c r="I22" s="177">
        <v>0</v>
      </c>
      <c r="J22" s="175">
        <v>46048</v>
      </c>
      <c r="K22" s="171" t="s">
        <v>113</v>
      </c>
      <c r="L22" s="171" t="s">
        <v>114</v>
      </c>
      <c r="M22" s="178">
        <v>0</v>
      </c>
      <c r="N22" s="176"/>
      <c r="O22" s="176">
        <v>51</v>
      </c>
      <c r="P22" s="179">
        <v>-46.77</v>
      </c>
    </row>
    <row r="23" spans="1:16" ht="19.5" customHeight="1">
      <c r="A23" s="171" t="s">
        <v>963</v>
      </c>
      <c r="B23" s="175">
        <v>46054</v>
      </c>
      <c r="C23" s="171" t="s">
        <v>115</v>
      </c>
      <c r="D23" s="171" t="s">
        <v>116</v>
      </c>
      <c r="E23" s="171" t="s">
        <v>51</v>
      </c>
      <c r="F23" s="171" t="s">
        <v>227</v>
      </c>
      <c r="G23" s="171" t="s">
        <v>112</v>
      </c>
      <c r="H23" s="176">
        <v>1</v>
      </c>
      <c r="I23" s="177">
        <v>0</v>
      </c>
      <c r="J23" s="175">
        <v>46048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-8.0299999999999994</v>
      </c>
    </row>
    <row r="24" spans="1:16" ht="19.5" customHeight="1">
      <c r="A24" s="171" t="s">
        <v>964</v>
      </c>
      <c r="B24" s="175">
        <v>46054</v>
      </c>
      <c r="C24" s="171" t="s">
        <v>110</v>
      </c>
      <c r="D24" s="171" t="s">
        <v>24</v>
      </c>
      <c r="E24" s="171" t="s">
        <v>77</v>
      </c>
      <c r="F24" s="171" t="s">
        <v>194</v>
      </c>
      <c r="G24" s="171" t="s">
        <v>177</v>
      </c>
      <c r="H24" s="176">
        <v>1</v>
      </c>
      <c r="I24" s="177">
        <v>0</v>
      </c>
      <c r="J24" s="175">
        <v>46049</v>
      </c>
      <c r="K24" s="171" t="s">
        <v>113</v>
      </c>
      <c r="L24" s="171" t="s">
        <v>114</v>
      </c>
      <c r="M24" s="178">
        <v>0</v>
      </c>
      <c r="N24" s="176"/>
      <c r="O24" s="176">
        <v>51</v>
      </c>
      <c r="P24" s="179">
        <v>-56.94</v>
      </c>
    </row>
    <row r="25" spans="1:16" ht="19.5" customHeight="1">
      <c r="A25" s="171" t="s">
        <v>964</v>
      </c>
      <c r="B25" s="175">
        <v>46054</v>
      </c>
      <c r="C25" s="171" t="s">
        <v>115</v>
      </c>
      <c r="D25" s="171" t="s">
        <v>116</v>
      </c>
      <c r="E25" s="171" t="s">
        <v>77</v>
      </c>
      <c r="F25" s="171" t="s">
        <v>194</v>
      </c>
      <c r="G25" s="171" t="s">
        <v>177</v>
      </c>
      <c r="H25" s="176">
        <v>1</v>
      </c>
      <c r="I25" s="177">
        <v>0</v>
      </c>
      <c r="J25" s="175">
        <v>46049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-14.8</v>
      </c>
    </row>
    <row r="26" spans="1:16" ht="19.5" customHeight="1">
      <c r="A26" s="171" t="s">
        <v>964</v>
      </c>
      <c r="B26" s="175">
        <v>46054</v>
      </c>
      <c r="C26" s="171" t="s">
        <v>110</v>
      </c>
      <c r="D26" s="171" t="s">
        <v>117</v>
      </c>
      <c r="E26" s="171" t="s">
        <v>77</v>
      </c>
      <c r="F26" s="171" t="s">
        <v>194</v>
      </c>
      <c r="G26" s="171" t="s">
        <v>177</v>
      </c>
      <c r="H26" s="176">
        <v>1</v>
      </c>
      <c r="I26" s="177">
        <v>0</v>
      </c>
      <c r="J26" s="175">
        <v>46049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964</v>
      </c>
      <c r="B27" s="175">
        <v>46054</v>
      </c>
      <c r="C27" s="171" t="s">
        <v>110</v>
      </c>
      <c r="D27" s="171" t="s">
        <v>118</v>
      </c>
      <c r="E27" s="171" t="s">
        <v>77</v>
      </c>
      <c r="F27" s="171" t="s">
        <v>194</v>
      </c>
      <c r="G27" s="171" t="s">
        <v>177</v>
      </c>
      <c r="H27" s="176">
        <v>1</v>
      </c>
      <c r="I27" s="177">
        <v>0</v>
      </c>
      <c r="J27" s="175">
        <v>46049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-56.94</v>
      </c>
    </row>
    <row r="28" spans="1:16" ht="19.5" customHeight="1">
      <c r="A28" s="171" t="s">
        <v>964</v>
      </c>
      <c r="B28" s="175">
        <v>46054</v>
      </c>
      <c r="C28" s="171" t="s">
        <v>115</v>
      </c>
      <c r="D28" s="171" t="s">
        <v>119</v>
      </c>
      <c r="E28" s="171" t="s">
        <v>77</v>
      </c>
      <c r="F28" s="171" t="s">
        <v>194</v>
      </c>
      <c r="G28" s="171" t="s">
        <v>177</v>
      </c>
      <c r="H28" s="176">
        <v>1</v>
      </c>
      <c r="I28" s="177">
        <v>0</v>
      </c>
      <c r="J28" s="175">
        <v>46049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965</v>
      </c>
      <c r="B29" s="175">
        <v>46054</v>
      </c>
      <c r="C29" s="171" t="s">
        <v>110</v>
      </c>
      <c r="D29" s="171" t="s">
        <v>24</v>
      </c>
      <c r="E29" s="171" t="s">
        <v>73</v>
      </c>
      <c r="F29" s="171" t="s">
        <v>966</v>
      </c>
      <c r="G29" s="171" t="s">
        <v>177</v>
      </c>
      <c r="H29" s="176">
        <v>1</v>
      </c>
      <c r="I29" s="177">
        <v>0</v>
      </c>
      <c r="J29" s="175">
        <v>46050</v>
      </c>
      <c r="K29" s="171" t="s">
        <v>113</v>
      </c>
      <c r="L29" s="171" t="s">
        <v>114</v>
      </c>
      <c r="M29" s="178">
        <v>0</v>
      </c>
      <c r="N29" s="176"/>
      <c r="O29" s="176">
        <v>50</v>
      </c>
      <c r="P29" s="179">
        <v>-56.94</v>
      </c>
    </row>
    <row r="30" spans="1:16" ht="19.5" customHeight="1">
      <c r="A30" s="171" t="s">
        <v>965</v>
      </c>
      <c r="B30" s="175">
        <v>46054</v>
      </c>
      <c r="C30" s="171" t="s">
        <v>115</v>
      </c>
      <c r="D30" s="171" t="s">
        <v>116</v>
      </c>
      <c r="E30" s="171" t="s">
        <v>73</v>
      </c>
      <c r="F30" s="171" t="s">
        <v>966</v>
      </c>
      <c r="G30" s="171" t="s">
        <v>177</v>
      </c>
      <c r="H30" s="176">
        <v>1</v>
      </c>
      <c r="I30" s="177">
        <v>0</v>
      </c>
      <c r="J30" s="175">
        <v>46050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-15.09</v>
      </c>
    </row>
    <row r="31" spans="1:16" ht="19.5" customHeight="1">
      <c r="A31" s="171" t="s">
        <v>965</v>
      </c>
      <c r="B31" s="175">
        <v>46054</v>
      </c>
      <c r="C31" s="171" t="s">
        <v>110</v>
      </c>
      <c r="D31" s="171" t="s">
        <v>117</v>
      </c>
      <c r="E31" s="171" t="s">
        <v>73</v>
      </c>
      <c r="F31" s="171" t="s">
        <v>966</v>
      </c>
      <c r="G31" s="171" t="s">
        <v>177</v>
      </c>
      <c r="H31" s="176">
        <v>1</v>
      </c>
      <c r="I31" s="177">
        <v>0</v>
      </c>
      <c r="J31" s="175">
        <v>46050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965</v>
      </c>
      <c r="B32" s="175">
        <v>46054</v>
      </c>
      <c r="C32" s="171" t="s">
        <v>110</v>
      </c>
      <c r="D32" s="171" t="s">
        <v>118</v>
      </c>
      <c r="E32" s="171" t="s">
        <v>73</v>
      </c>
      <c r="F32" s="171" t="s">
        <v>966</v>
      </c>
      <c r="G32" s="171" t="s">
        <v>177</v>
      </c>
      <c r="H32" s="176">
        <v>1</v>
      </c>
      <c r="I32" s="177">
        <v>0</v>
      </c>
      <c r="J32" s="175">
        <v>46050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-56.94</v>
      </c>
    </row>
    <row r="33" spans="1:16" ht="19.5" customHeight="1">
      <c r="A33" s="171" t="s">
        <v>965</v>
      </c>
      <c r="B33" s="175">
        <v>46054</v>
      </c>
      <c r="C33" s="171" t="s">
        <v>115</v>
      </c>
      <c r="D33" s="171" t="s">
        <v>119</v>
      </c>
      <c r="E33" s="171" t="s">
        <v>73</v>
      </c>
      <c r="F33" s="171" t="s">
        <v>966</v>
      </c>
      <c r="G33" s="171" t="s">
        <v>177</v>
      </c>
      <c r="H33" s="176">
        <v>1</v>
      </c>
      <c r="I33" s="177">
        <v>0</v>
      </c>
      <c r="J33" s="175">
        <v>46050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967</v>
      </c>
      <c r="B34" s="175">
        <v>46054</v>
      </c>
      <c r="C34" s="171" t="s">
        <v>110</v>
      </c>
      <c r="D34" s="171" t="s">
        <v>117</v>
      </c>
      <c r="E34" s="171" t="s">
        <v>77</v>
      </c>
      <c r="F34" s="171" t="s">
        <v>194</v>
      </c>
      <c r="G34" s="171" t="s">
        <v>177</v>
      </c>
      <c r="H34" s="176">
        <v>1</v>
      </c>
      <c r="I34" s="177">
        <v>0</v>
      </c>
      <c r="J34" s="175">
        <v>46050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0</v>
      </c>
    </row>
    <row r="35" spans="1:16" ht="19.5" customHeight="1">
      <c r="A35" s="171" t="s">
        <v>967</v>
      </c>
      <c r="B35" s="175">
        <v>46054</v>
      </c>
      <c r="C35" s="171" t="s">
        <v>110</v>
      </c>
      <c r="D35" s="171" t="s">
        <v>118</v>
      </c>
      <c r="E35" s="171" t="s">
        <v>77</v>
      </c>
      <c r="F35" s="171" t="s">
        <v>194</v>
      </c>
      <c r="G35" s="171" t="s">
        <v>177</v>
      </c>
      <c r="H35" s="176">
        <v>1</v>
      </c>
      <c r="I35" s="177">
        <v>0</v>
      </c>
      <c r="J35" s="175">
        <v>46050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-56.94</v>
      </c>
    </row>
    <row r="36" spans="1:16" ht="19.5" customHeight="1">
      <c r="A36" s="171" t="s">
        <v>967</v>
      </c>
      <c r="B36" s="175">
        <v>46054</v>
      </c>
      <c r="C36" s="171" t="s">
        <v>115</v>
      </c>
      <c r="D36" s="171" t="s">
        <v>119</v>
      </c>
      <c r="E36" s="171" t="s">
        <v>77</v>
      </c>
      <c r="F36" s="171" t="s">
        <v>194</v>
      </c>
      <c r="G36" s="171" t="s">
        <v>177</v>
      </c>
      <c r="H36" s="176">
        <v>1</v>
      </c>
      <c r="I36" s="177">
        <v>0</v>
      </c>
      <c r="J36" s="175">
        <v>46050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-15</v>
      </c>
    </row>
    <row r="37" spans="1:16" ht="19.5" customHeight="1">
      <c r="A37" s="171" t="s">
        <v>967</v>
      </c>
      <c r="B37" s="175">
        <v>46054</v>
      </c>
      <c r="C37" s="171" t="s">
        <v>110</v>
      </c>
      <c r="D37" s="171" t="s">
        <v>24</v>
      </c>
      <c r="E37" s="171" t="s">
        <v>77</v>
      </c>
      <c r="F37" s="171" t="s">
        <v>194</v>
      </c>
      <c r="G37" s="171" t="s">
        <v>177</v>
      </c>
      <c r="H37" s="176">
        <v>1</v>
      </c>
      <c r="I37" s="177">
        <v>0</v>
      </c>
      <c r="J37" s="175">
        <v>46050</v>
      </c>
      <c r="K37" s="171" t="s">
        <v>113</v>
      </c>
      <c r="L37" s="171" t="s">
        <v>114</v>
      </c>
      <c r="M37" s="178">
        <v>0</v>
      </c>
      <c r="N37" s="176"/>
      <c r="O37" s="176">
        <v>50</v>
      </c>
      <c r="P37" s="179">
        <v>-56.94</v>
      </c>
    </row>
    <row r="38" spans="1:16" ht="19.5" customHeight="1">
      <c r="A38" s="171" t="s">
        <v>967</v>
      </c>
      <c r="B38" s="175">
        <v>46054</v>
      </c>
      <c r="C38" s="171" t="s">
        <v>115</v>
      </c>
      <c r="D38" s="171" t="s">
        <v>116</v>
      </c>
      <c r="E38" s="171" t="s">
        <v>77</v>
      </c>
      <c r="F38" s="171" t="s">
        <v>194</v>
      </c>
      <c r="G38" s="171" t="s">
        <v>177</v>
      </c>
      <c r="H38" s="176">
        <v>1</v>
      </c>
      <c r="I38" s="177">
        <v>0</v>
      </c>
      <c r="J38" s="175">
        <v>46050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-15.09</v>
      </c>
    </row>
    <row r="39" spans="1:16" ht="19.5" customHeight="1">
      <c r="A39" s="171" t="s">
        <v>968</v>
      </c>
      <c r="B39" s="175">
        <v>46054</v>
      </c>
      <c r="C39" s="171" t="s">
        <v>115</v>
      </c>
      <c r="D39" s="171" t="s">
        <v>135</v>
      </c>
      <c r="E39" s="171" t="s">
        <v>44</v>
      </c>
      <c r="F39" s="171" t="s">
        <v>213</v>
      </c>
      <c r="G39" s="171" t="s">
        <v>214</v>
      </c>
      <c r="H39" s="176">
        <v>1</v>
      </c>
      <c r="I39" s="177">
        <v>0</v>
      </c>
      <c r="J39" s="175">
        <v>46054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-14.49</v>
      </c>
    </row>
    <row r="40" spans="1:16" ht="19.5" customHeight="1">
      <c r="A40" s="171" t="s">
        <v>969</v>
      </c>
      <c r="B40" s="175">
        <v>46054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46048</v>
      </c>
      <c r="K40" s="171" t="s">
        <v>113</v>
      </c>
      <c r="L40" s="171" t="s">
        <v>114</v>
      </c>
      <c r="M40" s="178">
        <v>0.43</v>
      </c>
      <c r="N40" s="176"/>
      <c r="O40" s="176">
        <v>51</v>
      </c>
      <c r="P40" s="179">
        <v>-147.08000000000001</v>
      </c>
    </row>
    <row r="41" spans="1:16" ht="19.5" customHeight="1">
      <c r="A41" s="171" t="s">
        <v>969</v>
      </c>
      <c r="B41" s="175">
        <v>46054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46048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868.57</v>
      </c>
    </row>
    <row r="42" spans="1:16" ht="19.5" customHeight="1">
      <c r="A42" s="171" t="s">
        <v>969</v>
      </c>
      <c r="B42" s="175">
        <v>46054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0</v>
      </c>
    </row>
    <row r="43" spans="1:16" ht="19.5" customHeight="1">
      <c r="A43" s="171" t="s">
        <v>969</v>
      </c>
      <c r="B43" s="175">
        <v>46054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46048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801.43</v>
      </c>
    </row>
    <row r="44" spans="1:16" ht="19.5" customHeight="1">
      <c r="A44" s="171" t="s">
        <v>969</v>
      </c>
      <c r="B44" s="175">
        <v>46054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-718.1</v>
      </c>
    </row>
    <row r="45" spans="1:16" ht="19.5" customHeight="1">
      <c r="A45" s="171" t="s">
        <v>969</v>
      </c>
      <c r="B45" s="175">
        <v>46054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46048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-9.51</v>
      </c>
    </row>
    <row r="46" spans="1:16" ht="19.5" customHeight="1">
      <c r="A46" s="171" t="s">
        <v>218</v>
      </c>
      <c r="B46" s="175">
        <v>46054</v>
      </c>
      <c r="C46" s="171" t="s">
        <v>110</v>
      </c>
      <c r="D46" s="171" t="s">
        <v>121</v>
      </c>
      <c r="E46" s="171" t="s">
        <v>71</v>
      </c>
      <c r="F46" s="171" t="s">
        <v>185</v>
      </c>
      <c r="G46" s="171" t="s">
        <v>177</v>
      </c>
      <c r="H46" s="176">
        <v>1</v>
      </c>
      <c r="I46" s="177">
        <v>0</v>
      </c>
      <c r="J46" s="175">
        <v>46036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0</v>
      </c>
    </row>
    <row r="47" spans="1:16" ht="19.5" customHeight="1">
      <c r="A47" s="171" t="s">
        <v>218</v>
      </c>
      <c r="B47" s="175">
        <v>46054</v>
      </c>
      <c r="C47" s="171" t="s">
        <v>110</v>
      </c>
      <c r="D47" s="171" t="s">
        <v>118</v>
      </c>
      <c r="E47" s="171" t="s">
        <v>71</v>
      </c>
      <c r="F47" s="171" t="s">
        <v>185</v>
      </c>
      <c r="G47" s="171" t="s">
        <v>177</v>
      </c>
      <c r="H47" s="176">
        <v>1</v>
      </c>
      <c r="I47" s="177">
        <v>0</v>
      </c>
      <c r="J47" s="175">
        <v>46036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-56.94</v>
      </c>
    </row>
    <row r="48" spans="1:16" ht="19.5" customHeight="1">
      <c r="A48" s="171" t="s">
        <v>970</v>
      </c>
      <c r="B48" s="175">
        <v>46054</v>
      </c>
      <c r="C48" s="171" t="s">
        <v>110</v>
      </c>
      <c r="D48" s="171" t="s">
        <v>24</v>
      </c>
      <c r="E48" s="171" t="s">
        <v>77</v>
      </c>
      <c r="F48" s="171" t="s">
        <v>194</v>
      </c>
      <c r="G48" s="171" t="s">
        <v>177</v>
      </c>
      <c r="H48" s="176">
        <v>1</v>
      </c>
      <c r="I48" s="177">
        <v>0</v>
      </c>
      <c r="J48" s="175">
        <v>46047</v>
      </c>
      <c r="K48" s="171" t="s">
        <v>113</v>
      </c>
      <c r="L48" s="171" t="s">
        <v>114</v>
      </c>
      <c r="M48" s="178">
        <v>0</v>
      </c>
      <c r="N48" s="176"/>
      <c r="O48" s="176">
        <v>52</v>
      </c>
      <c r="P48" s="179">
        <v>-56.94</v>
      </c>
    </row>
    <row r="49" spans="1:16" ht="19.5" customHeight="1">
      <c r="A49" s="171" t="s">
        <v>970</v>
      </c>
      <c r="B49" s="175">
        <v>46054</v>
      </c>
      <c r="C49" s="171" t="s">
        <v>110</v>
      </c>
      <c r="D49" s="171" t="s">
        <v>117</v>
      </c>
      <c r="E49" s="171" t="s">
        <v>77</v>
      </c>
      <c r="F49" s="171" t="s">
        <v>194</v>
      </c>
      <c r="G49" s="171" t="s">
        <v>177</v>
      </c>
      <c r="H49" s="176">
        <v>1</v>
      </c>
      <c r="I49" s="177">
        <v>0</v>
      </c>
      <c r="J49" s="175">
        <v>46047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970</v>
      </c>
      <c r="B50" s="175">
        <v>46054</v>
      </c>
      <c r="C50" s="171" t="s">
        <v>110</v>
      </c>
      <c r="D50" s="171" t="s">
        <v>118</v>
      </c>
      <c r="E50" s="171" t="s">
        <v>77</v>
      </c>
      <c r="F50" s="171" t="s">
        <v>194</v>
      </c>
      <c r="G50" s="171" t="s">
        <v>177</v>
      </c>
      <c r="H50" s="176">
        <v>1</v>
      </c>
      <c r="I50" s="177">
        <v>0</v>
      </c>
      <c r="J50" s="175">
        <v>46047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-56.94</v>
      </c>
    </row>
    <row r="51" spans="1:16" ht="19.5" customHeight="1">
      <c r="A51" s="171" t="s">
        <v>970</v>
      </c>
      <c r="B51" s="175">
        <v>46054</v>
      </c>
      <c r="C51" s="171" t="s">
        <v>115</v>
      </c>
      <c r="D51" s="171" t="s">
        <v>119</v>
      </c>
      <c r="E51" s="171" t="s">
        <v>77</v>
      </c>
      <c r="F51" s="171" t="s">
        <v>194</v>
      </c>
      <c r="G51" s="171" t="s">
        <v>177</v>
      </c>
      <c r="H51" s="176">
        <v>1</v>
      </c>
      <c r="I51" s="177">
        <v>0</v>
      </c>
      <c r="J51" s="175">
        <v>46047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971</v>
      </c>
      <c r="B52" s="175">
        <v>46054</v>
      </c>
      <c r="C52" s="171" t="s">
        <v>115</v>
      </c>
      <c r="D52" s="171" t="s">
        <v>135</v>
      </c>
      <c r="E52" s="171" t="s">
        <v>79</v>
      </c>
      <c r="F52" s="171" t="s">
        <v>441</v>
      </c>
      <c r="G52" s="171" t="s">
        <v>177</v>
      </c>
      <c r="H52" s="176">
        <v>1</v>
      </c>
      <c r="I52" s="177">
        <v>0</v>
      </c>
      <c r="J52" s="175">
        <v>46054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-20.170000000000002</v>
      </c>
    </row>
    <row r="53" spans="1:16" ht="19.5" customHeight="1">
      <c r="A53" s="171" t="s">
        <v>972</v>
      </c>
      <c r="B53" s="175">
        <v>46054</v>
      </c>
      <c r="C53" s="171" t="s">
        <v>115</v>
      </c>
      <c r="D53" s="171" t="s">
        <v>135</v>
      </c>
      <c r="E53" s="171" t="s">
        <v>70</v>
      </c>
      <c r="F53" s="171" t="s">
        <v>509</v>
      </c>
      <c r="G53" s="171" t="s">
        <v>177</v>
      </c>
      <c r="H53" s="176">
        <v>1</v>
      </c>
      <c r="I53" s="177">
        <v>0</v>
      </c>
      <c r="J53" s="175">
        <v>46054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-43.3</v>
      </c>
    </row>
    <row r="54" spans="1:16" ht="19.5" customHeight="1">
      <c r="A54" s="171" t="s">
        <v>973</v>
      </c>
      <c r="B54" s="175">
        <v>46054</v>
      </c>
      <c r="C54" s="171" t="s">
        <v>110</v>
      </c>
      <c r="D54" s="171" t="s">
        <v>24</v>
      </c>
      <c r="E54" s="171" t="s">
        <v>72</v>
      </c>
      <c r="F54" s="171" t="s">
        <v>719</v>
      </c>
      <c r="G54" s="171" t="s">
        <v>177</v>
      </c>
      <c r="H54" s="176">
        <v>1</v>
      </c>
      <c r="I54" s="177">
        <v>0</v>
      </c>
      <c r="J54" s="175">
        <v>46050</v>
      </c>
      <c r="K54" s="171" t="s">
        <v>113</v>
      </c>
      <c r="L54" s="171" t="s">
        <v>114</v>
      </c>
      <c r="M54" s="178">
        <v>0</v>
      </c>
      <c r="N54" s="176"/>
      <c r="O54" s="176">
        <v>50</v>
      </c>
      <c r="P54" s="179">
        <v>-56.94</v>
      </c>
    </row>
    <row r="55" spans="1:16" ht="19.5" customHeight="1">
      <c r="A55" s="171" t="s">
        <v>973</v>
      </c>
      <c r="B55" s="175">
        <v>46054</v>
      </c>
      <c r="C55" s="171" t="s">
        <v>110</v>
      </c>
      <c r="D55" s="171" t="s">
        <v>117</v>
      </c>
      <c r="E55" s="171" t="s">
        <v>72</v>
      </c>
      <c r="F55" s="171" t="s">
        <v>719</v>
      </c>
      <c r="G55" s="171" t="s">
        <v>177</v>
      </c>
      <c r="H55" s="176">
        <v>1</v>
      </c>
      <c r="I55" s="177">
        <v>0</v>
      </c>
      <c r="J55" s="175">
        <v>46050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973</v>
      </c>
      <c r="B56" s="175">
        <v>46054</v>
      </c>
      <c r="C56" s="171" t="s">
        <v>110</v>
      </c>
      <c r="D56" s="171" t="s">
        <v>118</v>
      </c>
      <c r="E56" s="171" t="s">
        <v>72</v>
      </c>
      <c r="F56" s="171" t="s">
        <v>719</v>
      </c>
      <c r="G56" s="171" t="s">
        <v>177</v>
      </c>
      <c r="H56" s="176">
        <v>1</v>
      </c>
      <c r="I56" s="177">
        <v>0</v>
      </c>
      <c r="J56" s="175">
        <v>46050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-56.94</v>
      </c>
    </row>
    <row r="57" spans="1:16" ht="19.5" customHeight="1">
      <c r="A57" s="171" t="s">
        <v>974</v>
      </c>
      <c r="B57" s="175">
        <v>46054</v>
      </c>
      <c r="C57" s="171" t="s">
        <v>110</v>
      </c>
      <c r="D57" s="171" t="s">
        <v>24</v>
      </c>
      <c r="E57" s="171" t="s">
        <v>40</v>
      </c>
      <c r="F57" s="171" t="s">
        <v>149</v>
      </c>
      <c r="G57" s="171" t="s">
        <v>112</v>
      </c>
      <c r="H57" s="176">
        <v>1</v>
      </c>
      <c r="I57" s="177">
        <v>1655</v>
      </c>
      <c r="J57" s="175">
        <v>46053</v>
      </c>
      <c r="K57" s="171" t="s">
        <v>113</v>
      </c>
      <c r="L57" s="171" t="s">
        <v>114</v>
      </c>
      <c r="M57" s="178">
        <v>0.43</v>
      </c>
      <c r="N57" s="176"/>
      <c r="O57" s="176">
        <v>48</v>
      </c>
      <c r="P57" s="179">
        <v>-141.32</v>
      </c>
    </row>
    <row r="58" spans="1:16" ht="19.5" customHeight="1">
      <c r="A58" s="171" t="s">
        <v>974</v>
      </c>
      <c r="B58" s="175">
        <v>46054</v>
      </c>
      <c r="C58" s="171" t="s">
        <v>127</v>
      </c>
      <c r="D58" s="171" t="s">
        <v>128</v>
      </c>
      <c r="E58" s="171" t="s">
        <v>40</v>
      </c>
      <c r="F58" s="171" t="s">
        <v>149</v>
      </c>
      <c r="G58" s="171" t="s">
        <v>112</v>
      </c>
      <c r="H58" s="176">
        <v>1</v>
      </c>
      <c r="I58" s="177">
        <v>1655</v>
      </c>
      <c r="J58" s="175">
        <v>46053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970.48</v>
      </c>
    </row>
    <row r="59" spans="1:16" ht="19.5" customHeight="1">
      <c r="A59" s="171" t="s">
        <v>974</v>
      </c>
      <c r="B59" s="175">
        <v>46054</v>
      </c>
      <c r="C59" s="171" t="s">
        <v>127</v>
      </c>
      <c r="D59" s="171" t="s">
        <v>129</v>
      </c>
      <c r="E59" s="171" t="s">
        <v>40</v>
      </c>
      <c r="F59" s="171" t="s">
        <v>149</v>
      </c>
      <c r="G59" s="171" t="s">
        <v>112</v>
      </c>
      <c r="H59" s="176">
        <v>1</v>
      </c>
      <c r="I59" s="177">
        <v>1655</v>
      </c>
      <c r="J59" s="175">
        <v>46053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9.6999999999999993</v>
      </c>
    </row>
    <row r="60" spans="1:16" ht="19.5" customHeight="1">
      <c r="A60" s="171" t="s">
        <v>974</v>
      </c>
      <c r="B60" s="175">
        <v>46054</v>
      </c>
      <c r="C60" s="171" t="s">
        <v>127</v>
      </c>
      <c r="D60" s="171" t="s">
        <v>130</v>
      </c>
      <c r="E60" s="171" t="s">
        <v>40</v>
      </c>
      <c r="F60" s="171" t="s">
        <v>149</v>
      </c>
      <c r="G60" s="171" t="s">
        <v>112</v>
      </c>
      <c r="H60" s="176">
        <v>1</v>
      </c>
      <c r="I60" s="177">
        <v>1655</v>
      </c>
      <c r="J60" s="175">
        <v>46053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674.82</v>
      </c>
    </row>
    <row r="61" spans="1:16" ht="19.5" customHeight="1">
      <c r="A61" s="171" t="s">
        <v>974</v>
      </c>
      <c r="B61" s="175">
        <v>46054</v>
      </c>
      <c r="C61" s="171" t="s">
        <v>131</v>
      </c>
      <c r="D61" s="171" t="s">
        <v>132</v>
      </c>
      <c r="E61" s="171" t="s">
        <v>40</v>
      </c>
      <c r="F61" s="171" t="s">
        <v>149</v>
      </c>
      <c r="G61" s="171" t="s">
        <v>112</v>
      </c>
      <c r="H61" s="176">
        <v>1</v>
      </c>
      <c r="I61" s="177">
        <v>1655</v>
      </c>
      <c r="J61" s="175">
        <v>46053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-711.65</v>
      </c>
    </row>
    <row r="62" spans="1:16" ht="19.5" customHeight="1">
      <c r="A62" s="171" t="s">
        <v>974</v>
      </c>
      <c r="B62" s="175">
        <v>46054</v>
      </c>
      <c r="C62" s="171" t="s">
        <v>115</v>
      </c>
      <c r="D62" s="171" t="s">
        <v>116</v>
      </c>
      <c r="E62" s="171" t="s">
        <v>40</v>
      </c>
      <c r="F62" s="171" t="s">
        <v>149</v>
      </c>
      <c r="G62" s="171" t="s">
        <v>112</v>
      </c>
      <c r="H62" s="176">
        <v>1</v>
      </c>
      <c r="I62" s="177">
        <v>1655</v>
      </c>
      <c r="J62" s="175">
        <v>46053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-8.5</v>
      </c>
    </row>
    <row r="63" spans="1:16" ht="19.5" customHeight="1">
      <c r="A63" s="171" t="s">
        <v>975</v>
      </c>
      <c r="B63" s="175">
        <v>46054</v>
      </c>
      <c r="C63" s="171" t="s">
        <v>110</v>
      </c>
      <c r="D63" s="171" t="s">
        <v>24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4940</v>
      </c>
      <c r="J63" s="175">
        <v>46046</v>
      </c>
      <c r="K63" s="171" t="s">
        <v>113</v>
      </c>
      <c r="L63" s="171" t="s">
        <v>114</v>
      </c>
      <c r="M63" s="178">
        <v>0.43</v>
      </c>
      <c r="N63" s="176"/>
      <c r="O63" s="176">
        <v>50</v>
      </c>
      <c r="P63" s="179">
        <v>-287.93</v>
      </c>
    </row>
    <row r="64" spans="1:16" ht="19.5" customHeight="1">
      <c r="A64" s="171" t="s">
        <v>975</v>
      </c>
      <c r="B64" s="175">
        <v>46054</v>
      </c>
      <c r="C64" s="171" t="s">
        <v>127</v>
      </c>
      <c r="D64" s="171" t="s">
        <v>128</v>
      </c>
      <c r="E64" s="171" t="s">
        <v>78</v>
      </c>
      <c r="F64" s="171" t="s">
        <v>176</v>
      </c>
      <c r="G64" s="171" t="s">
        <v>177</v>
      </c>
      <c r="H64" s="176">
        <v>1</v>
      </c>
      <c r="I64" s="177">
        <v>4940</v>
      </c>
      <c r="J64" s="175">
        <v>46046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2124.7600000000002</v>
      </c>
    </row>
    <row r="65" spans="1:16" ht="19.5" customHeight="1">
      <c r="A65" s="171" t="s">
        <v>975</v>
      </c>
      <c r="B65" s="175">
        <v>46054</v>
      </c>
      <c r="C65" s="171" t="s">
        <v>127</v>
      </c>
      <c r="D65" s="171" t="s">
        <v>129</v>
      </c>
      <c r="E65" s="171" t="s">
        <v>78</v>
      </c>
      <c r="F65" s="171" t="s">
        <v>176</v>
      </c>
      <c r="G65" s="171" t="s">
        <v>177</v>
      </c>
      <c r="H65" s="176">
        <v>1</v>
      </c>
      <c r="I65" s="177">
        <v>4940</v>
      </c>
      <c r="J65" s="175">
        <v>46046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21.25</v>
      </c>
    </row>
    <row r="66" spans="1:16" ht="19.5" customHeight="1">
      <c r="A66" s="171" t="s">
        <v>975</v>
      </c>
      <c r="B66" s="175">
        <v>46054</v>
      </c>
      <c r="C66" s="171" t="s">
        <v>127</v>
      </c>
      <c r="D66" s="171" t="s">
        <v>130</v>
      </c>
      <c r="E66" s="171" t="s">
        <v>78</v>
      </c>
      <c r="F66" s="171" t="s">
        <v>176</v>
      </c>
      <c r="G66" s="171" t="s">
        <v>177</v>
      </c>
      <c r="H66" s="176">
        <v>1</v>
      </c>
      <c r="I66" s="177">
        <v>4940</v>
      </c>
      <c r="J66" s="175">
        <v>46046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2793.99</v>
      </c>
    </row>
    <row r="67" spans="1:16" ht="19.5" customHeight="1">
      <c r="A67" s="171" t="s">
        <v>975</v>
      </c>
      <c r="B67" s="175">
        <v>46054</v>
      </c>
      <c r="C67" s="171" t="s">
        <v>131</v>
      </c>
      <c r="D67" s="171" t="s">
        <v>132</v>
      </c>
      <c r="E67" s="171" t="s">
        <v>78</v>
      </c>
      <c r="F67" s="171" t="s">
        <v>176</v>
      </c>
      <c r="G67" s="171" t="s">
        <v>177</v>
      </c>
      <c r="H67" s="176">
        <v>1</v>
      </c>
      <c r="I67" s="177">
        <v>4940</v>
      </c>
      <c r="J67" s="175">
        <v>46046</v>
      </c>
      <c r="K67" s="171" t="s">
        <v>113</v>
      </c>
      <c r="L67" s="171" t="s">
        <v>114</v>
      </c>
      <c r="M67" s="178">
        <v>0.43</v>
      </c>
      <c r="N67" s="176"/>
      <c r="O67" s="176"/>
      <c r="P67" s="179">
        <v>-2124.1999999999998</v>
      </c>
    </row>
    <row r="68" spans="1:16" ht="19.5" customHeight="1">
      <c r="A68" s="171" t="s">
        <v>975</v>
      </c>
      <c r="B68" s="175">
        <v>46054</v>
      </c>
      <c r="C68" s="171" t="s">
        <v>115</v>
      </c>
      <c r="D68" s="171" t="s">
        <v>116</v>
      </c>
      <c r="E68" s="171" t="s">
        <v>78</v>
      </c>
      <c r="F68" s="171" t="s">
        <v>176</v>
      </c>
      <c r="G68" s="171" t="s">
        <v>177</v>
      </c>
      <c r="H68" s="176">
        <v>1</v>
      </c>
      <c r="I68" s="177">
        <v>4940</v>
      </c>
      <c r="J68" s="175">
        <v>46046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-11.03</v>
      </c>
    </row>
    <row r="69" spans="1:16" ht="19.5" customHeight="1">
      <c r="A69" s="171" t="s">
        <v>976</v>
      </c>
      <c r="B69" s="175">
        <v>46054</v>
      </c>
      <c r="C69" s="171" t="s">
        <v>115</v>
      </c>
      <c r="D69" s="171" t="s">
        <v>135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0</v>
      </c>
      <c r="J69" s="175">
        <v>46054</v>
      </c>
      <c r="K69" s="171" t="s">
        <v>125</v>
      </c>
      <c r="L69" s="171" t="s">
        <v>125</v>
      </c>
      <c r="M69" s="178">
        <v>0</v>
      </c>
      <c r="N69" s="176"/>
      <c r="O69" s="176"/>
      <c r="P69" s="179">
        <v>-14.85</v>
      </c>
    </row>
    <row r="70" spans="1:16" ht="19.5" customHeight="1">
      <c r="A70" s="171" t="s">
        <v>974</v>
      </c>
      <c r="B70" s="175">
        <v>46054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46053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-18.440000000000001</v>
      </c>
    </row>
    <row r="71" spans="1:16" ht="19.5" customHeight="1">
      <c r="A71" s="171" t="s">
        <v>977</v>
      </c>
      <c r="B71" s="175">
        <v>46054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1800</v>
      </c>
      <c r="J71" s="175">
        <v>46051</v>
      </c>
      <c r="K71" s="171" t="s">
        <v>113</v>
      </c>
      <c r="L71" s="171" t="s">
        <v>114</v>
      </c>
      <c r="M71" s="178">
        <v>0.43</v>
      </c>
      <c r="N71" s="176"/>
      <c r="O71" s="176">
        <v>48</v>
      </c>
      <c r="P71" s="179">
        <v>-146.61000000000001</v>
      </c>
    </row>
    <row r="72" spans="1:16" ht="19.5" customHeight="1">
      <c r="A72" s="171" t="s">
        <v>977</v>
      </c>
      <c r="B72" s="175">
        <v>46054</v>
      </c>
      <c r="C72" s="171" t="s">
        <v>127</v>
      </c>
      <c r="D72" s="171" t="s">
        <v>128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1800</v>
      </c>
      <c r="J72" s="175">
        <v>46051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749.52</v>
      </c>
    </row>
    <row r="73" spans="1:16" ht="19.5" customHeight="1">
      <c r="A73" s="171" t="s">
        <v>977</v>
      </c>
      <c r="B73" s="175">
        <v>46054</v>
      </c>
      <c r="C73" s="171" t="s">
        <v>127</v>
      </c>
      <c r="D73" s="171" t="s">
        <v>129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1800</v>
      </c>
      <c r="J73" s="175">
        <v>46051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7.5</v>
      </c>
    </row>
    <row r="74" spans="1:16" ht="19.5" customHeight="1">
      <c r="A74" s="171" t="s">
        <v>977</v>
      </c>
      <c r="B74" s="175">
        <v>46054</v>
      </c>
      <c r="C74" s="171" t="s">
        <v>127</v>
      </c>
      <c r="D74" s="171" t="s">
        <v>130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1800</v>
      </c>
      <c r="J74" s="175">
        <v>46051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1042.98</v>
      </c>
    </row>
    <row r="75" spans="1:16" ht="19.5" customHeight="1">
      <c r="A75" s="171" t="s">
        <v>977</v>
      </c>
      <c r="B75" s="175">
        <v>46054</v>
      </c>
      <c r="C75" s="171" t="s">
        <v>131</v>
      </c>
      <c r="D75" s="171" t="s">
        <v>132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1800</v>
      </c>
      <c r="J75" s="175">
        <v>46051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-774</v>
      </c>
    </row>
    <row r="76" spans="1:16" ht="19.5" customHeight="1">
      <c r="A76" s="171" t="s">
        <v>977</v>
      </c>
      <c r="B76" s="175">
        <v>46054</v>
      </c>
      <c r="C76" s="171" t="s">
        <v>115</v>
      </c>
      <c r="D76" s="171" t="s">
        <v>116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1800</v>
      </c>
      <c r="J76" s="175">
        <v>46051</v>
      </c>
      <c r="K76" s="171" t="s">
        <v>113</v>
      </c>
      <c r="L76" s="171" t="s">
        <v>114</v>
      </c>
      <c r="M76" s="178">
        <v>0.43</v>
      </c>
      <c r="N76" s="176"/>
      <c r="O76" s="176"/>
      <c r="P76" s="179">
        <v>-9.94</v>
      </c>
    </row>
    <row r="77" spans="1:16" ht="19.5" customHeight="1">
      <c r="A77" s="171" t="s">
        <v>978</v>
      </c>
      <c r="B77" s="175">
        <v>46054</v>
      </c>
      <c r="C77" s="171" t="s">
        <v>115</v>
      </c>
      <c r="D77" s="171" t="s">
        <v>135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46054</v>
      </c>
      <c r="K77" s="171" t="s">
        <v>125</v>
      </c>
      <c r="L77" s="171" t="s">
        <v>125</v>
      </c>
      <c r="M77" s="178">
        <v>0</v>
      </c>
      <c r="N77" s="176"/>
      <c r="O77" s="176"/>
      <c r="P77" s="179">
        <v>-6.05</v>
      </c>
    </row>
    <row r="78" spans="1:16" ht="19.5" customHeight="1">
      <c r="A78" s="171" t="s">
        <v>977</v>
      </c>
      <c r="B78" s="175">
        <v>46054</v>
      </c>
      <c r="C78" s="171" t="s">
        <v>115</v>
      </c>
      <c r="D78" s="171" t="s">
        <v>135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0</v>
      </c>
      <c r="J78" s="175">
        <v>46051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-14.24</v>
      </c>
    </row>
    <row r="79" spans="1:16" ht="19.5" customHeight="1">
      <c r="A79" s="171" t="s">
        <v>979</v>
      </c>
      <c r="B79" s="175">
        <v>46054</v>
      </c>
      <c r="C79" s="171" t="s">
        <v>110</v>
      </c>
      <c r="D79" s="171" t="s">
        <v>24</v>
      </c>
      <c r="E79" s="171" t="s">
        <v>48</v>
      </c>
      <c r="F79" s="171" t="s">
        <v>198</v>
      </c>
      <c r="G79" s="171" t="s">
        <v>112</v>
      </c>
      <c r="H79" s="176">
        <v>1</v>
      </c>
      <c r="I79" s="177">
        <v>1387</v>
      </c>
      <c r="J79" s="175">
        <v>46052</v>
      </c>
      <c r="K79" s="171" t="s">
        <v>113</v>
      </c>
      <c r="L79" s="171" t="s">
        <v>114</v>
      </c>
      <c r="M79" s="178">
        <v>0.43</v>
      </c>
      <c r="N79" s="176"/>
      <c r="O79" s="176">
        <v>49</v>
      </c>
      <c r="P79" s="179">
        <v>-133.86000000000001</v>
      </c>
    </row>
    <row r="80" spans="1:16" ht="19.5" customHeight="1">
      <c r="A80" s="171" t="s">
        <v>979</v>
      </c>
      <c r="B80" s="175">
        <v>46054</v>
      </c>
      <c r="C80" s="171" t="s">
        <v>127</v>
      </c>
      <c r="D80" s="171" t="s">
        <v>128</v>
      </c>
      <c r="E80" s="171" t="s">
        <v>48</v>
      </c>
      <c r="F80" s="171" t="s">
        <v>198</v>
      </c>
      <c r="G80" s="171" t="s">
        <v>112</v>
      </c>
      <c r="H80" s="176">
        <v>1</v>
      </c>
      <c r="I80" s="177">
        <v>1387</v>
      </c>
      <c r="J80" s="175">
        <v>46052</v>
      </c>
      <c r="K80" s="171" t="s">
        <v>113</v>
      </c>
      <c r="L80" s="171" t="s">
        <v>114</v>
      </c>
      <c r="M80" s="178">
        <v>0</v>
      </c>
      <c r="N80" s="176"/>
      <c r="O80" s="176"/>
      <c r="P80" s="179">
        <v>655.24</v>
      </c>
    </row>
    <row r="81" spans="1:16" ht="19.5" customHeight="1">
      <c r="A81" s="171" t="s">
        <v>979</v>
      </c>
      <c r="B81" s="175">
        <v>46054</v>
      </c>
      <c r="C81" s="171" t="s">
        <v>127</v>
      </c>
      <c r="D81" s="171" t="s">
        <v>129</v>
      </c>
      <c r="E81" s="171" t="s">
        <v>48</v>
      </c>
      <c r="F81" s="171" t="s">
        <v>198</v>
      </c>
      <c r="G81" s="171" t="s">
        <v>112</v>
      </c>
      <c r="H81" s="176">
        <v>1</v>
      </c>
      <c r="I81" s="177">
        <v>1387</v>
      </c>
      <c r="J81" s="175">
        <v>46052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6.55</v>
      </c>
    </row>
    <row r="82" spans="1:16" ht="19.5" customHeight="1">
      <c r="A82" s="171" t="s">
        <v>979</v>
      </c>
      <c r="B82" s="175">
        <v>46054</v>
      </c>
      <c r="C82" s="171" t="s">
        <v>127</v>
      </c>
      <c r="D82" s="171" t="s">
        <v>130</v>
      </c>
      <c r="E82" s="171" t="s">
        <v>48</v>
      </c>
      <c r="F82" s="171" t="s">
        <v>198</v>
      </c>
      <c r="G82" s="171" t="s">
        <v>112</v>
      </c>
      <c r="H82" s="176">
        <v>1</v>
      </c>
      <c r="I82" s="177">
        <v>1387</v>
      </c>
      <c r="J82" s="175">
        <v>46052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725.21</v>
      </c>
    </row>
    <row r="83" spans="1:16" ht="19.5" customHeight="1">
      <c r="A83" s="171" t="s">
        <v>979</v>
      </c>
      <c r="B83" s="175">
        <v>46054</v>
      </c>
      <c r="C83" s="171" t="s">
        <v>131</v>
      </c>
      <c r="D83" s="171" t="s">
        <v>132</v>
      </c>
      <c r="E83" s="171" t="s">
        <v>48</v>
      </c>
      <c r="F83" s="171" t="s">
        <v>198</v>
      </c>
      <c r="G83" s="171" t="s">
        <v>112</v>
      </c>
      <c r="H83" s="176">
        <v>1</v>
      </c>
      <c r="I83" s="177">
        <v>1387</v>
      </c>
      <c r="J83" s="175">
        <v>46052</v>
      </c>
      <c r="K83" s="171" t="s">
        <v>113</v>
      </c>
      <c r="L83" s="171" t="s">
        <v>114</v>
      </c>
      <c r="M83" s="178">
        <v>0.43</v>
      </c>
      <c r="N83" s="176"/>
      <c r="O83" s="176"/>
      <c r="P83" s="179">
        <v>-596.41</v>
      </c>
    </row>
    <row r="84" spans="1:16" ht="19.5" customHeight="1">
      <c r="A84" s="171" t="s">
        <v>979</v>
      </c>
      <c r="B84" s="175">
        <v>46054</v>
      </c>
      <c r="C84" s="171" t="s">
        <v>115</v>
      </c>
      <c r="D84" s="171" t="s">
        <v>116</v>
      </c>
      <c r="E84" s="171" t="s">
        <v>48</v>
      </c>
      <c r="F84" s="171" t="s">
        <v>198</v>
      </c>
      <c r="G84" s="171" t="s">
        <v>112</v>
      </c>
      <c r="H84" s="176">
        <v>1</v>
      </c>
      <c r="I84" s="177">
        <v>1387</v>
      </c>
      <c r="J84" s="175">
        <v>46052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-13.28</v>
      </c>
    </row>
    <row r="85" spans="1:16" ht="19.5" customHeight="1">
      <c r="A85" s="171" t="s">
        <v>980</v>
      </c>
      <c r="B85" s="175">
        <v>46054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1800</v>
      </c>
      <c r="J85" s="175">
        <v>46050</v>
      </c>
      <c r="K85" s="171" t="s">
        <v>113</v>
      </c>
      <c r="L85" s="171" t="s">
        <v>114</v>
      </c>
      <c r="M85" s="178">
        <v>0.43</v>
      </c>
      <c r="N85" s="176"/>
      <c r="O85" s="176">
        <v>50</v>
      </c>
      <c r="P85" s="179">
        <v>-150.72</v>
      </c>
    </row>
    <row r="86" spans="1:16" ht="19.5" customHeight="1">
      <c r="A86" s="171" t="s">
        <v>980</v>
      </c>
      <c r="B86" s="175">
        <v>46054</v>
      </c>
      <c r="C86" s="171" t="s">
        <v>127</v>
      </c>
      <c r="D86" s="171" t="s">
        <v>128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1800</v>
      </c>
      <c r="J86" s="175">
        <v>46050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749.52</v>
      </c>
    </row>
    <row r="87" spans="1:16" ht="19.5" customHeight="1">
      <c r="A87" s="171" t="s">
        <v>980</v>
      </c>
      <c r="B87" s="175">
        <v>46054</v>
      </c>
      <c r="C87" s="171" t="s">
        <v>127</v>
      </c>
      <c r="D87" s="171" t="s">
        <v>129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1800</v>
      </c>
      <c r="J87" s="175">
        <v>46050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7.5</v>
      </c>
    </row>
    <row r="88" spans="1:16" ht="19.5" customHeight="1">
      <c r="A88" s="171" t="s">
        <v>980</v>
      </c>
      <c r="B88" s="175">
        <v>46054</v>
      </c>
      <c r="C88" s="171" t="s">
        <v>127</v>
      </c>
      <c r="D88" s="171" t="s">
        <v>130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1800</v>
      </c>
      <c r="J88" s="175">
        <v>46050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1042.98</v>
      </c>
    </row>
    <row r="89" spans="1:16" ht="19.5" customHeight="1">
      <c r="A89" s="171" t="s">
        <v>980</v>
      </c>
      <c r="B89" s="175">
        <v>46054</v>
      </c>
      <c r="C89" s="171" t="s">
        <v>131</v>
      </c>
      <c r="D89" s="171" t="s">
        <v>132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1800</v>
      </c>
      <c r="J89" s="175">
        <v>46050</v>
      </c>
      <c r="K89" s="171" t="s">
        <v>113</v>
      </c>
      <c r="L89" s="171" t="s">
        <v>114</v>
      </c>
      <c r="M89" s="178">
        <v>0.43</v>
      </c>
      <c r="N89" s="176"/>
      <c r="O89" s="176"/>
      <c r="P89" s="179">
        <v>-774</v>
      </c>
    </row>
    <row r="90" spans="1:16" ht="19.5" customHeight="1">
      <c r="A90" s="171" t="s">
        <v>980</v>
      </c>
      <c r="B90" s="175">
        <v>46054</v>
      </c>
      <c r="C90" s="171" t="s">
        <v>115</v>
      </c>
      <c r="D90" s="171" t="s">
        <v>116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1800</v>
      </c>
      <c r="J90" s="175">
        <v>46050</v>
      </c>
      <c r="K90" s="171" t="s">
        <v>113</v>
      </c>
      <c r="L90" s="171" t="s">
        <v>114</v>
      </c>
      <c r="M90" s="178">
        <v>0.43</v>
      </c>
      <c r="N90" s="176"/>
      <c r="O90" s="176"/>
      <c r="P90" s="179">
        <v>-19.5</v>
      </c>
    </row>
    <row r="91" spans="1:16" ht="19.5" customHeight="1">
      <c r="A91" s="171" t="s">
        <v>981</v>
      </c>
      <c r="B91" s="175">
        <v>46054</v>
      </c>
      <c r="C91" s="171" t="s">
        <v>115</v>
      </c>
      <c r="D91" s="171" t="s">
        <v>135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46054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-15.66</v>
      </c>
    </row>
    <row r="92" spans="1:16" ht="19.5" customHeight="1">
      <c r="A92" s="171" t="s">
        <v>979</v>
      </c>
      <c r="B92" s="175">
        <v>46054</v>
      </c>
      <c r="C92" s="171" t="s">
        <v>115</v>
      </c>
      <c r="D92" s="171" t="s">
        <v>135</v>
      </c>
      <c r="E92" s="171" t="s">
        <v>48</v>
      </c>
      <c r="F92" s="171" t="s">
        <v>198</v>
      </c>
      <c r="G92" s="171" t="s">
        <v>112</v>
      </c>
      <c r="H92" s="176">
        <v>1</v>
      </c>
      <c r="I92" s="177">
        <v>0</v>
      </c>
      <c r="J92" s="175">
        <v>46052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-12.45</v>
      </c>
    </row>
    <row r="93" spans="1:16" ht="19.5" customHeight="1">
      <c r="A93" s="171" t="s">
        <v>974</v>
      </c>
      <c r="B93" s="175">
        <v>46054</v>
      </c>
      <c r="C93" s="171" t="s">
        <v>308</v>
      </c>
      <c r="D93" s="171" t="s">
        <v>419</v>
      </c>
      <c r="E93" s="171" t="s">
        <v>40</v>
      </c>
      <c r="F93" s="171" t="s">
        <v>149</v>
      </c>
      <c r="G93" s="171" t="s">
        <v>112</v>
      </c>
      <c r="H93" s="176">
        <v>1</v>
      </c>
      <c r="I93" s="177">
        <v>-1655</v>
      </c>
      <c r="J93" s="175">
        <v>46053</v>
      </c>
      <c r="K93" s="171" t="s">
        <v>113</v>
      </c>
      <c r="L93" s="171" t="s">
        <v>114</v>
      </c>
      <c r="M93" s="178">
        <v>0</v>
      </c>
      <c r="N93" s="176"/>
      <c r="O93" s="176"/>
      <c r="P93" s="179">
        <v>-970.48</v>
      </c>
    </row>
    <row r="94" spans="1:16" ht="19.5" customHeight="1">
      <c r="A94" s="171" t="s">
        <v>974</v>
      </c>
      <c r="B94" s="175">
        <v>46054</v>
      </c>
      <c r="C94" s="171" t="s">
        <v>308</v>
      </c>
      <c r="D94" s="171" t="s">
        <v>129</v>
      </c>
      <c r="E94" s="171" t="s">
        <v>40</v>
      </c>
      <c r="F94" s="171" t="s">
        <v>149</v>
      </c>
      <c r="G94" s="171" t="s">
        <v>112</v>
      </c>
      <c r="H94" s="176">
        <v>1</v>
      </c>
      <c r="I94" s="177">
        <v>-1655</v>
      </c>
      <c r="J94" s="175">
        <v>46053</v>
      </c>
      <c r="K94" s="171" t="s">
        <v>113</v>
      </c>
      <c r="L94" s="171" t="s">
        <v>114</v>
      </c>
      <c r="M94" s="178">
        <v>0</v>
      </c>
      <c r="N94" s="176"/>
      <c r="O94" s="176"/>
      <c r="P94" s="179">
        <v>-9.6999999999999993</v>
      </c>
    </row>
    <row r="95" spans="1:16" ht="19.5" customHeight="1">
      <c r="A95" s="171" t="s">
        <v>974</v>
      </c>
      <c r="B95" s="175">
        <v>46054</v>
      </c>
      <c r="C95" s="171" t="s">
        <v>308</v>
      </c>
      <c r="D95" s="171" t="s">
        <v>130</v>
      </c>
      <c r="E95" s="171" t="s">
        <v>40</v>
      </c>
      <c r="F95" s="171" t="s">
        <v>149</v>
      </c>
      <c r="G95" s="171" t="s">
        <v>112</v>
      </c>
      <c r="H95" s="176">
        <v>1</v>
      </c>
      <c r="I95" s="177">
        <v>-1655</v>
      </c>
      <c r="J95" s="175">
        <v>46053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-674.82</v>
      </c>
    </row>
    <row r="96" spans="1:16" ht="19.5" customHeight="1">
      <c r="A96" s="171" t="s">
        <v>974</v>
      </c>
      <c r="B96" s="175">
        <v>46054</v>
      </c>
      <c r="C96" s="171" t="s">
        <v>131</v>
      </c>
      <c r="D96" s="171" t="s">
        <v>420</v>
      </c>
      <c r="E96" s="171" t="s">
        <v>40</v>
      </c>
      <c r="F96" s="171" t="s">
        <v>149</v>
      </c>
      <c r="G96" s="171" t="s">
        <v>112</v>
      </c>
      <c r="H96" s="176">
        <v>1</v>
      </c>
      <c r="I96" s="177">
        <v>-1655</v>
      </c>
      <c r="J96" s="175">
        <v>46053</v>
      </c>
      <c r="K96" s="171" t="s">
        <v>113</v>
      </c>
      <c r="L96" s="171" t="s">
        <v>114</v>
      </c>
      <c r="M96" s="178">
        <v>0.43</v>
      </c>
      <c r="N96" s="176"/>
      <c r="O96" s="176"/>
      <c r="P96" s="179">
        <v>711.65</v>
      </c>
    </row>
    <row r="97" spans="1:16" ht="19.5" customHeight="1">
      <c r="A97" s="171" t="s">
        <v>980</v>
      </c>
      <c r="B97" s="175">
        <v>46054</v>
      </c>
      <c r="C97" s="171" t="s">
        <v>115</v>
      </c>
      <c r="D97" s="171" t="s">
        <v>135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46050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-14.24</v>
      </c>
    </row>
    <row r="98" spans="1:16" ht="19.5" customHeight="1">
      <c r="A98" s="171" t="s">
        <v>974</v>
      </c>
      <c r="B98" s="175">
        <v>46054</v>
      </c>
      <c r="C98" s="171" t="s">
        <v>115</v>
      </c>
      <c r="D98" s="171" t="s">
        <v>135</v>
      </c>
      <c r="E98" s="171" t="s">
        <v>40</v>
      </c>
      <c r="F98" s="171" t="s">
        <v>149</v>
      </c>
      <c r="G98" s="171" t="s">
        <v>112</v>
      </c>
      <c r="H98" s="176">
        <v>1</v>
      </c>
      <c r="I98" s="177">
        <v>0</v>
      </c>
      <c r="J98" s="175">
        <v>46053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18.440000000000001</v>
      </c>
    </row>
    <row r="99" spans="1:16" ht="19.5" customHeight="1">
      <c r="A99" s="171" t="s">
        <v>839</v>
      </c>
      <c r="B99" s="175">
        <v>46054</v>
      </c>
      <c r="C99" s="171" t="s">
        <v>110</v>
      </c>
      <c r="D99" s="171" t="s">
        <v>24</v>
      </c>
      <c r="E99" s="171" t="s">
        <v>71</v>
      </c>
      <c r="F99" s="171" t="s">
        <v>185</v>
      </c>
      <c r="G99" s="171" t="s">
        <v>177</v>
      </c>
      <c r="H99" s="176">
        <v>1</v>
      </c>
      <c r="I99" s="177">
        <v>0</v>
      </c>
      <c r="J99" s="175">
        <v>46044</v>
      </c>
      <c r="K99" s="171" t="s">
        <v>113</v>
      </c>
      <c r="L99" s="171" t="s">
        <v>114</v>
      </c>
      <c r="M99" s="178">
        <v>0</v>
      </c>
      <c r="N99" s="176"/>
      <c r="O99" s="176">
        <v>54</v>
      </c>
      <c r="P99" s="179">
        <v>-56.94</v>
      </c>
    </row>
    <row r="100" spans="1:16" ht="19.5" customHeight="1">
      <c r="A100" s="171" t="s">
        <v>839</v>
      </c>
      <c r="B100" s="175">
        <v>46054</v>
      </c>
      <c r="C100" s="171" t="s">
        <v>115</v>
      </c>
      <c r="D100" s="171" t="s">
        <v>116</v>
      </c>
      <c r="E100" s="171" t="s">
        <v>71</v>
      </c>
      <c r="F100" s="171" t="s">
        <v>185</v>
      </c>
      <c r="G100" s="171" t="s">
        <v>177</v>
      </c>
      <c r="H100" s="176">
        <v>1</v>
      </c>
      <c r="I100" s="177">
        <v>0</v>
      </c>
      <c r="J100" s="175">
        <v>46044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-12.25</v>
      </c>
    </row>
    <row r="101" spans="1:16" ht="19.5" customHeight="1">
      <c r="A101" s="171" t="s">
        <v>839</v>
      </c>
      <c r="B101" s="175">
        <v>46054</v>
      </c>
      <c r="C101" s="171" t="s">
        <v>110</v>
      </c>
      <c r="D101" s="171" t="s">
        <v>117</v>
      </c>
      <c r="E101" s="171" t="s">
        <v>71</v>
      </c>
      <c r="F101" s="171" t="s">
        <v>185</v>
      </c>
      <c r="G101" s="171" t="s">
        <v>177</v>
      </c>
      <c r="H101" s="176">
        <v>1</v>
      </c>
      <c r="I101" s="177">
        <v>0</v>
      </c>
      <c r="J101" s="175">
        <v>46044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0</v>
      </c>
    </row>
    <row r="102" spans="1:16" ht="19.5" customHeight="1">
      <c r="A102" s="171" t="s">
        <v>839</v>
      </c>
      <c r="B102" s="175">
        <v>46054</v>
      </c>
      <c r="C102" s="171" t="s">
        <v>110</v>
      </c>
      <c r="D102" s="171" t="s">
        <v>118</v>
      </c>
      <c r="E102" s="171" t="s">
        <v>71</v>
      </c>
      <c r="F102" s="171" t="s">
        <v>185</v>
      </c>
      <c r="G102" s="171" t="s">
        <v>177</v>
      </c>
      <c r="H102" s="176">
        <v>1</v>
      </c>
      <c r="I102" s="177">
        <v>0</v>
      </c>
      <c r="J102" s="175">
        <v>46044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-56.94</v>
      </c>
    </row>
    <row r="103" spans="1:16" ht="19.5" customHeight="1">
      <c r="A103" s="171" t="s">
        <v>839</v>
      </c>
      <c r="B103" s="175">
        <v>46054</v>
      </c>
      <c r="C103" s="171" t="s">
        <v>115</v>
      </c>
      <c r="D103" s="171" t="s">
        <v>119</v>
      </c>
      <c r="E103" s="171" t="s">
        <v>71</v>
      </c>
      <c r="F103" s="171" t="s">
        <v>185</v>
      </c>
      <c r="G103" s="171" t="s">
        <v>177</v>
      </c>
      <c r="H103" s="176">
        <v>1</v>
      </c>
      <c r="I103" s="177">
        <v>0</v>
      </c>
      <c r="J103" s="175">
        <v>46044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-15</v>
      </c>
    </row>
    <row r="104" spans="1:16" ht="19.5" customHeight="1">
      <c r="A104" s="171" t="s">
        <v>982</v>
      </c>
      <c r="B104" s="175">
        <v>46054</v>
      </c>
      <c r="C104" s="171" t="s">
        <v>115</v>
      </c>
      <c r="D104" s="171" t="s">
        <v>135</v>
      </c>
      <c r="E104" s="171" t="s">
        <v>67</v>
      </c>
      <c r="F104" s="171" t="s">
        <v>359</v>
      </c>
      <c r="G104" s="171" t="s">
        <v>177</v>
      </c>
      <c r="H104" s="176">
        <v>1</v>
      </c>
      <c r="I104" s="177">
        <v>0</v>
      </c>
      <c r="J104" s="175">
        <v>46054</v>
      </c>
      <c r="K104" s="171" t="s">
        <v>125</v>
      </c>
      <c r="L104" s="171" t="s">
        <v>125</v>
      </c>
      <c r="M104" s="178">
        <v>0</v>
      </c>
      <c r="N104" s="176"/>
      <c r="O104" s="176"/>
      <c r="P104" s="179">
        <v>-16.04</v>
      </c>
    </row>
    <row r="105" spans="1:16" ht="19.5" customHeight="1">
      <c r="A105" s="171" t="s">
        <v>983</v>
      </c>
      <c r="B105" s="175">
        <v>46054</v>
      </c>
      <c r="C105" s="171" t="s">
        <v>110</v>
      </c>
      <c r="D105" s="171" t="s">
        <v>117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0</v>
      </c>
      <c r="J105" s="175">
        <v>46050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0</v>
      </c>
    </row>
    <row r="106" spans="1:16" ht="19.5" customHeight="1">
      <c r="A106" s="171" t="s">
        <v>983</v>
      </c>
      <c r="B106" s="175">
        <v>46054</v>
      </c>
      <c r="C106" s="171" t="s">
        <v>110</v>
      </c>
      <c r="D106" s="171" t="s">
        <v>118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0</v>
      </c>
      <c r="J106" s="175">
        <v>46050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-46.77</v>
      </c>
    </row>
    <row r="107" spans="1:16" ht="19.5" customHeight="1">
      <c r="A107" s="171" t="s">
        <v>983</v>
      </c>
      <c r="B107" s="175">
        <v>46054</v>
      </c>
      <c r="C107" s="171" t="s">
        <v>115</v>
      </c>
      <c r="D107" s="171" t="s">
        <v>119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46050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-15</v>
      </c>
    </row>
    <row r="108" spans="1:16" ht="19.5" customHeight="1">
      <c r="A108" s="171" t="s">
        <v>983</v>
      </c>
      <c r="B108" s="175">
        <v>46054</v>
      </c>
      <c r="C108" s="171" t="s">
        <v>110</v>
      </c>
      <c r="D108" s="171" t="s">
        <v>24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46050</v>
      </c>
      <c r="K108" s="171" t="s">
        <v>113</v>
      </c>
      <c r="L108" s="171" t="s">
        <v>114</v>
      </c>
      <c r="M108" s="178">
        <v>0</v>
      </c>
      <c r="N108" s="176"/>
      <c r="O108" s="176">
        <v>50</v>
      </c>
      <c r="P108" s="179">
        <v>-46.77</v>
      </c>
    </row>
    <row r="109" spans="1:16" ht="19.5" customHeight="1">
      <c r="A109" s="171" t="s">
        <v>983</v>
      </c>
      <c r="B109" s="175">
        <v>46054</v>
      </c>
      <c r="C109" s="171" t="s">
        <v>115</v>
      </c>
      <c r="D109" s="171" t="s">
        <v>116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46050</v>
      </c>
      <c r="K109" s="171" t="s">
        <v>113</v>
      </c>
      <c r="L109" s="171" t="s">
        <v>114</v>
      </c>
      <c r="M109" s="178">
        <v>0</v>
      </c>
      <c r="N109" s="176"/>
      <c r="O109" s="176"/>
      <c r="P109" s="179">
        <v>-12.44</v>
      </c>
    </row>
    <row r="110" spans="1:16" ht="19.5" customHeight="1">
      <c r="A110" s="171" t="s">
        <v>984</v>
      </c>
      <c r="B110" s="175">
        <v>46054</v>
      </c>
      <c r="C110" s="171" t="s">
        <v>110</v>
      </c>
      <c r="D110" s="171" t="s">
        <v>24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46051</v>
      </c>
      <c r="K110" s="171" t="s">
        <v>113</v>
      </c>
      <c r="L110" s="171" t="s">
        <v>114</v>
      </c>
      <c r="M110" s="178">
        <v>0</v>
      </c>
      <c r="N110" s="176"/>
      <c r="O110" s="176">
        <v>48</v>
      </c>
      <c r="P110" s="179">
        <v>-46.77</v>
      </c>
    </row>
    <row r="111" spans="1:16" ht="19.5" customHeight="1">
      <c r="A111" s="171" t="s">
        <v>984</v>
      </c>
      <c r="B111" s="175">
        <v>46054</v>
      </c>
      <c r="C111" s="171" t="s">
        <v>115</v>
      </c>
      <c r="D111" s="171" t="s">
        <v>116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46051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-18.829999999999998</v>
      </c>
    </row>
    <row r="112" spans="1:16" ht="19.5" customHeight="1">
      <c r="A112" s="171" t="s">
        <v>984</v>
      </c>
      <c r="B112" s="175">
        <v>46054</v>
      </c>
      <c r="C112" s="171" t="s">
        <v>110</v>
      </c>
      <c r="D112" s="171" t="s">
        <v>117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46051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0</v>
      </c>
    </row>
    <row r="113" spans="1:16" ht="19.5" customHeight="1">
      <c r="A113" s="171" t="s">
        <v>984</v>
      </c>
      <c r="B113" s="175">
        <v>46054</v>
      </c>
      <c r="C113" s="171" t="s">
        <v>110</v>
      </c>
      <c r="D113" s="171" t="s">
        <v>118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0</v>
      </c>
      <c r="J113" s="175">
        <v>46051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-46.77</v>
      </c>
    </row>
    <row r="114" spans="1:16" ht="19.5" customHeight="1">
      <c r="A114" s="171" t="s">
        <v>984</v>
      </c>
      <c r="B114" s="175">
        <v>46054</v>
      </c>
      <c r="C114" s="171" t="s">
        <v>115</v>
      </c>
      <c r="D114" s="171" t="s">
        <v>119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0</v>
      </c>
      <c r="J114" s="175">
        <v>46051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-15</v>
      </c>
    </row>
    <row r="115" spans="1:16" ht="19.5" customHeight="1">
      <c r="A115" s="171" t="s">
        <v>985</v>
      </c>
      <c r="B115" s="175">
        <v>46054</v>
      </c>
      <c r="C115" s="171" t="s">
        <v>110</v>
      </c>
      <c r="D115" s="171" t="s">
        <v>24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0</v>
      </c>
      <c r="J115" s="175">
        <v>46045</v>
      </c>
      <c r="K115" s="171" t="s">
        <v>113</v>
      </c>
      <c r="L115" s="171" t="s">
        <v>114</v>
      </c>
      <c r="M115" s="178">
        <v>0</v>
      </c>
      <c r="N115" s="176"/>
      <c r="O115" s="176">
        <v>51</v>
      </c>
      <c r="P115" s="179">
        <v>-46.77</v>
      </c>
    </row>
    <row r="116" spans="1:16" ht="19.5" customHeight="1">
      <c r="A116" s="171" t="s">
        <v>985</v>
      </c>
      <c r="B116" s="175">
        <v>46054</v>
      </c>
      <c r="C116" s="171" t="s">
        <v>115</v>
      </c>
      <c r="D116" s="171" t="s">
        <v>116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46045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-17.73</v>
      </c>
    </row>
    <row r="117" spans="1:16" ht="19.5" customHeight="1">
      <c r="A117" s="171" t="s">
        <v>985</v>
      </c>
      <c r="B117" s="175">
        <v>46054</v>
      </c>
      <c r="C117" s="171" t="s">
        <v>110</v>
      </c>
      <c r="D117" s="171" t="s">
        <v>117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0</v>
      </c>
      <c r="J117" s="175">
        <v>46045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0</v>
      </c>
    </row>
    <row r="118" spans="1:16" ht="19.5" customHeight="1">
      <c r="A118" s="171" t="s">
        <v>985</v>
      </c>
      <c r="B118" s="175">
        <v>46054</v>
      </c>
      <c r="C118" s="171" t="s">
        <v>110</v>
      </c>
      <c r="D118" s="171" t="s">
        <v>118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0</v>
      </c>
      <c r="J118" s="175">
        <v>46045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-46.77</v>
      </c>
    </row>
    <row r="119" spans="1:16" ht="19.5" customHeight="1">
      <c r="A119" s="171" t="s">
        <v>985</v>
      </c>
      <c r="B119" s="175">
        <v>46054</v>
      </c>
      <c r="C119" s="171" t="s">
        <v>115</v>
      </c>
      <c r="D119" s="171" t="s">
        <v>119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0</v>
      </c>
      <c r="J119" s="175">
        <v>46045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-15</v>
      </c>
    </row>
    <row r="120" spans="1:16" ht="19.5" customHeight="1">
      <c r="A120" s="171" t="s">
        <v>986</v>
      </c>
      <c r="B120" s="175">
        <v>46054</v>
      </c>
      <c r="C120" s="171" t="s">
        <v>110</v>
      </c>
      <c r="D120" s="171" t="s">
        <v>24</v>
      </c>
      <c r="E120" s="171" t="s">
        <v>79</v>
      </c>
      <c r="F120" s="171" t="s">
        <v>441</v>
      </c>
      <c r="G120" s="171" t="s">
        <v>177</v>
      </c>
      <c r="H120" s="176">
        <v>1</v>
      </c>
      <c r="I120" s="177">
        <v>0</v>
      </c>
      <c r="J120" s="175">
        <v>46049</v>
      </c>
      <c r="K120" s="171" t="s">
        <v>113</v>
      </c>
      <c r="L120" s="171" t="s">
        <v>114</v>
      </c>
      <c r="M120" s="178">
        <v>0</v>
      </c>
      <c r="N120" s="176"/>
      <c r="O120" s="176">
        <v>51</v>
      </c>
      <c r="P120" s="179">
        <v>-56.94</v>
      </c>
    </row>
    <row r="121" spans="1:16" ht="19.5" customHeight="1">
      <c r="A121" s="171" t="s">
        <v>986</v>
      </c>
      <c r="B121" s="175">
        <v>46054</v>
      </c>
      <c r="C121" s="171" t="s">
        <v>115</v>
      </c>
      <c r="D121" s="171" t="s">
        <v>116</v>
      </c>
      <c r="E121" s="171" t="s">
        <v>79</v>
      </c>
      <c r="F121" s="171" t="s">
        <v>441</v>
      </c>
      <c r="G121" s="171" t="s">
        <v>177</v>
      </c>
      <c r="H121" s="176">
        <v>1</v>
      </c>
      <c r="I121" s="177">
        <v>0</v>
      </c>
      <c r="J121" s="175">
        <v>46049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-17.600000000000001</v>
      </c>
    </row>
    <row r="122" spans="1:16" ht="19.5" customHeight="1">
      <c r="A122" s="171" t="s">
        <v>986</v>
      </c>
      <c r="B122" s="175">
        <v>46054</v>
      </c>
      <c r="C122" s="171" t="s">
        <v>110</v>
      </c>
      <c r="D122" s="171" t="s">
        <v>117</v>
      </c>
      <c r="E122" s="171" t="s">
        <v>79</v>
      </c>
      <c r="F122" s="171" t="s">
        <v>441</v>
      </c>
      <c r="G122" s="171" t="s">
        <v>177</v>
      </c>
      <c r="H122" s="176">
        <v>1</v>
      </c>
      <c r="I122" s="177">
        <v>0</v>
      </c>
      <c r="J122" s="175">
        <v>46049</v>
      </c>
      <c r="K122" s="171" t="s">
        <v>113</v>
      </c>
      <c r="L122" s="171" t="s">
        <v>114</v>
      </c>
      <c r="M122" s="178">
        <v>0</v>
      </c>
      <c r="N122" s="176"/>
      <c r="O122" s="176"/>
      <c r="P122" s="179">
        <v>0</v>
      </c>
    </row>
    <row r="123" spans="1:16" ht="19.5" customHeight="1">
      <c r="A123" s="171" t="s">
        <v>986</v>
      </c>
      <c r="B123" s="175">
        <v>46054</v>
      </c>
      <c r="C123" s="171" t="s">
        <v>110</v>
      </c>
      <c r="D123" s="171" t="s">
        <v>118</v>
      </c>
      <c r="E123" s="171" t="s">
        <v>79</v>
      </c>
      <c r="F123" s="171" t="s">
        <v>441</v>
      </c>
      <c r="G123" s="171" t="s">
        <v>177</v>
      </c>
      <c r="H123" s="176">
        <v>1</v>
      </c>
      <c r="I123" s="177">
        <v>0</v>
      </c>
      <c r="J123" s="175">
        <v>46049</v>
      </c>
      <c r="K123" s="171" t="s">
        <v>113</v>
      </c>
      <c r="L123" s="171" t="s">
        <v>114</v>
      </c>
      <c r="M123" s="178">
        <v>0</v>
      </c>
      <c r="N123" s="176"/>
      <c r="O123" s="176"/>
      <c r="P123" s="179">
        <v>-56.94</v>
      </c>
    </row>
    <row r="124" spans="1:16" ht="19.5" customHeight="1">
      <c r="A124" s="171" t="s">
        <v>986</v>
      </c>
      <c r="B124" s="175">
        <v>46054</v>
      </c>
      <c r="C124" s="171" t="s">
        <v>115</v>
      </c>
      <c r="D124" s="171" t="s">
        <v>119</v>
      </c>
      <c r="E124" s="171" t="s">
        <v>79</v>
      </c>
      <c r="F124" s="171" t="s">
        <v>441</v>
      </c>
      <c r="G124" s="171" t="s">
        <v>177</v>
      </c>
      <c r="H124" s="176">
        <v>1</v>
      </c>
      <c r="I124" s="177">
        <v>0</v>
      </c>
      <c r="J124" s="175">
        <v>46049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-15</v>
      </c>
    </row>
    <row r="125" spans="1:16" ht="19.5" customHeight="1">
      <c r="A125" s="171" t="s">
        <v>987</v>
      </c>
      <c r="B125" s="175">
        <v>46054</v>
      </c>
      <c r="C125" s="171" t="s">
        <v>507</v>
      </c>
      <c r="D125" s="171" t="s">
        <v>508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46049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-5</v>
      </c>
    </row>
    <row r="126" spans="1:16" ht="19.5" customHeight="1">
      <c r="A126" s="171" t="s">
        <v>987</v>
      </c>
      <c r="B126" s="175">
        <v>46054</v>
      </c>
      <c r="C126" s="171" t="s">
        <v>115</v>
      </c>
      <c r="D126" s="171" t="s">
        <v>510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46049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-10</v>
      </c>
    </row>
    <row r="127" spans="1:16" ht="19.5" customHeight="1">
      <c r="A127" s="171" t="s">
        <v>988</v>
      </c>
      <c r="B127" s="175">
        <v>46054</v>
      </c>
      <c r="C127" s="171" t="s">
        <v>110</v>
      </c>
      <c r="D127" s="171" t="s">
        <v>24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1800</v>
      </c>
      <c r="J127" s="175">
        <v>46053</v>
      </c>
      <c r="K127" s="171" t="s">
        <v>113</v>
      </c>
      <c r="L127" s="171" t="s">
        <v>114</v>
      </c>
      <c r="M127" s="178">
        <v>0.43</v>
      </c>
      <c r="N127" s="176"/>
      <c r="O127" s="176">
        <v>48</v>
      </c>
      <c r="P127" s="179">
        <v>-146.61000000000001</v>
      </c>
    </row>
    <row r="128" spans="1:16" ht="19.5" customHeight="1">
      <c r="A128" s="171" t="s">
        <v>988</v>
      </c>
      <c r="B128" s="175">
        <v>46054</v>
      </c>
      <c r="C128" s="171" t="s">
        <v>127</v>
      </c>
      <c r="D128" s="171" t="s">
        <v>128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1800</v>
      </c>
      <c r="J128" s="175">
        <v>46053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855.92</v>
      </c>
    </row>
    <row r="129" spans="1:16" ht="19.5" customHeight="1">
      <c r="A129" s="171" t="s">
        <v>988</v>
      </c>
      <c r="B129" s="175">
        <v>46054</v>
      </c>
      <c r="C129" s="171" t="s">
        <v>127</v>
      </c>
      <c r="D129" s="171" t="s">
        <v>129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1800</v>
      </c>
      <c r="J129" s="175">
        <v>46053</v>
      </c>
      <c r="K129" s="171" t="s">
        <v>113</v>
      </c>
      <c r="L129" s="171" t="s">
        <v>114</v>
      </c>
      <c r="M129" s="178">
        <v>0</v>
      </c>
      <c r="N129" s="176"/>
      <c r="O129" s="176"/>
      <c r="P129" s="179">
        <v>0</v>
      </c>
    </row>
    <row r="130" spans="1:16" ht="19.5" customHeight="1">
      <c r="A130" s="171" t="s">
        <v>988</v>
      </c>
      <c r="B130" s="175">
        <v>46054</v>
      </c>
      <c r="C130" s="171" t="s">
        <v>127</v>
      </c>
      <c r="D130" s="171" t="s">
        <v>130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1800</v>
      </c>
      <c r="J130" s="175">
        <v>46053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944.08</v>
      </c>
    </row>
    <row r="131" spans="1:16" ht="19.5" customHeight="1">
      <c r="A131" s="171" t="s">
        <v>988</v>
      </c>
      <c r="B131" s="175">
        <v>46054</v>
      </c>
      <c r="C131" s="171" t="s">
        <v>131</v>
      </c>
      <c r="D131" s="171" t="s">
        <v>132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1800</v>
      </c>
      <c r="J131" s="175">
        <v>46053</v>
      </c>
      <c r="K131" s="171" t="s">
        <v>113</v>
      </c>
      <c r="L131" s="171" t="s">
        <v>114</v>
      </c>
      <c r="M131" s="178">
        <v>0.43</v>
      </c>
      <c r="N131" s="176"/>
      <c r="O131" s="176"/>
      <c r="P131" s="179">
        <v>-774</v>
      </c>
    </row>
    <row r="132" spans="1:16" ht="19.5" customHeight="1">
      <c r="A132" s="171" t="s">
        <v>988</v>
      </c>
      <c r="B132" s="175">
        <v>46054</v>
      </c>
      <c r="C132" s="171" t="s">
        <v>115</v>
      </c>
      <c r="D132" s="171" t="s">
        <v>116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1800</v>
      </c>
      <c r="J132" s="175">
        <v>46053</v>
      </c>
      <c r="K132" s="171" t="s">
        <v>113</v>
      </c>
      <c r="L132" s="171" t="s">
        <v>114</v>
      </c>
      <c r="M132" s="178">
        <v>0.43</v>
      </c>
      <c r="N132" s="176"/>
      <c r="O132" s="176"/>
      <c r="P132" s="179">
        <v>-10.06</v>
      </c>
    </row>
    <row r="133" spans="1:16" ht="19.5" customHeight="1">
      <c r="A133" s="171" t="s">
        <v>988</v>
      </c>
      <c r="B133" s="175">
        <v>46054</v>
      </c>
      <c r="C133" s="171" t="s">
        <v>115</v>
      </c>
      <c r="D133" s="171" t="s">
        <v>135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0</v>
      </c>
      <c r="J133" s="175">
        <v>46053</v>
      </c>
      <c r="K133" s="171" t="s">
        <v>125</v>
      </c>
      <c r="L133" s="171" t="s">
        <v>125</v>
      </c>
      <c r="M133" s="178">
        <v>0</v>
      </c>
      <c r="N133" s="176"/>
      <c r="O133" s="176"/>
      <c r="P133" s="179">
        <v>-6.5</v>
      </c>
    </row>
    <row r="134" spans="1:16" ht="19.5" customHeight="1">
      <c r="A134" s="171" t="s">
        <v>989</v>
      </c>
      <c r="B134" s="175">
        <v>46054</v>
      </c>
      <c r="C134" s="171" t="s">
        <v>110</v>
      </c>
      <c r="D134" s="171" t="s">
        <v>24</v>
      </c>
      <c r="E134" s="171" t="s">
        <v>48</v>
      </c>
      <c r="F134" s="171" t="s">
        <v>198</v>
      </c>
      <c r="G134" s="171" t="s">
        <v>112</v>
      </c>
      <c r="H134" s="176">
        <v>1</v>
      </c>
      <c r="I134" s="177">
        <v>1387</v>
      </c>
      <c r="J134" s="175">
        <v>46052</v>
      </c>
      <c r="K134" s="171" t="s">
        <v>113</v>
      </c>
      <c r="L134" s="171" t="s">
        <v>114</v>
      </c>
      <c r="M134" s="178">
        <v>0.43</v>
      </c>
      <c r="N134" s="176"/>
      <c r="O134" s="176">
        <v>49</v>
      </c>
      <c r="P134" s="179">
        <v>-133.86000000000001</v>
      </c>
    </row>
    <row r="135" spans="1:16" ht="19.5" customHeight="1">
      <c r="A135" s="171" t="s">
        <v>989</v>
      </c>
      <c r="B135" s="175">
        <v>46054</v>
      </c>
      <c r="C135" s="171" t="s">
        <v>127</v>
      </c>
      <c r="D135" s="171" t="s">
        <v>128</v>
      </c>
      <c r="E135" s="171" t="s">
        <v>48</v>
      </c>
      <c r="F135" s="171" t="s">
        <v>198</v>
      </c>
      <c r="G135" s="171" t="s">
        <v>112</v>
      </c>
      <c r="H135" s="176">
        <v>1</v>
      </c>
      <c r="I135" s="177">
        <v>1387</v>
      </c>
      <c r="J135" s="175">
        <v>46052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728.57</v>
      </c>
    </row>
    <row r="136" spans="1:16" ht="19.5" customHeight="1">
      <c r="A136" s="171" t="s">
        <v>989</v>
      </c>
      <c r="B136" s="175">
        <v>46054</v>
      </c>
      <c r="C136" s="171" t="s">
        <v>127</v>
      </c>
      <c r="D136" s="171" t="s">
        <v>129</v>
      </c>
      <c r="E136" s="171" t="s">
        <v>48</v>
      </c>
      <c r="F136" s="171" t="s">
        <v>198</v>
      </c>
      <c r="G136" s="171" t="s">
        <v>112</v>
      </c>
      <c r="H136" s="176">
        <v>1</v>
      </c>
      <c r="I136" s="177">
        <v>1387</v>
      </c>
      <c r="J136" s="175">
        <v>46052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7.29</v>
      </c>
    </row>
    <row r="137" spans="1:16" ht="19.5" customHeight="1">
      <c r="A137" s="171" t="s">
        <v>989</v>
      </c>
      <c r="B137" s="175">
        <v>46054</v>
      </c>
      <c r="C137" s="171" t="s">
        <v>127</v>
      </c>
      <c r="D137" s="171" t="s">
        <v>130</v>
      </c>
      <c r="E137" s="171" t="s">
        <v>48</v>
      </c>
      <c r="F137" s="171" t="s">
        <v>198</v>
      </c>
      <c r="G137" s="171" t="s">
        <v>112</v>
      </c>
      <c r="H137" s="176">
        <v>1</v>
      </c>
      <c r="I137" s="177">
        <v>1387</v>
      </c>
      <c r="J137" s="175">
        <v>46052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651.14</v>
      </c>
    </row>
    <row r="138" spans="1:16" ht="19.5" customHeight="1">
      <c r="A138" s="171" t="s">
        <v>989</v>
      </c>
      <c r="B138" s="175">
        <v>46054</v>
      </c>
      <c r="C138" s="171" t="s">
        <v>131</v>
      </c>
      <c r="D138" s="171" t="s">
        <v>132</v>
      </c>
      <c r="E138" s="171" t="s">
        <v>48</v>
      </c>
      <c r="F138" s="171" t="s">
        <v>198</v>
      </c>
      <c r="G138" s="171" t="s">
        <v>112</v>
      </c>
      <c r="H138" s="176">
        <v>1</v>
      </c>
      <c r="I138" s="177">
        <v>1387</v>
      </c>
      <c r="J138" s="175">
        <v>46052</v>
      </c>
      <c r="K138" s="171" t="s">
        <v>113</v>
      </c>
      <c r="L138" s="171" t="s">
        <v>114</v>
      </c>
      <c r="M138" s="178">
        <v>0.43</v>
      </c>
      <c r="N138" s="176"/>
      <c r="O138" s="176"/>
      <c r="P138" s="179">
        <v>-596.41</v>
      </c>
    </row>
    <row r="139" spans="1:16" ht="19.5" customHeight="1">
      <c r="A139" s="171" t="s">
        <v>989</v>
      </c>
      <c r="B139" s="175">
        <v>46054</v>
      </c>
      <c r="C139" s="171" t="s">
        <v>115</v>
      </c>
      <c r="D139" s="171" t="s">
        <v>116</v>
      </c>
      <c r="E139" s="171" t="s">
        <v>48</v>
      </c>
      <c r="F139" s="171" t="s">
        <v>198</v>
      </c>
      <c r="G139" s="171" t="s">
        <v>112</v>
      </c>
      <c r="H139" s="176">
        <v>1</v>
      </c>
      <c r="I139" s="177">
        <v>1387</v>
      </c>
      <c r="J139" s="175">
        <v>46052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-6.39</v>
      </c>
    </row>
    <row r="140" spans="1:16" ht="19.5" customHeight="1">
      <c r="A140" s="171" t="s">
        <v>989</v>
      </c>
      <c r="B140" s="175">
        <v>46054</v>
      </c>
      <c r="C140" s="171" t="s">
        <v>115</v>
      </c>
      <c r="D140" s="171" t="s">
        <v>135</v>
      </c>
      <c r="E140" s="171" t="s">
        <v>48</v>
      </c>
      <c r="F140" s="171" t="s">
        <v>198</v>
      </c>
      <c r="G140" s="171" t="s">
        <v>112</v>
      </c>
      <c r="H140" s="176">
        <v>1</v>
      </c>
      <c r="I140" s="177">
        <v>0</v>
      </c>
      <c r="J140" s="175">
        <v>46052</v>
      </c>
      <c r="K140" s="171" t="s">
        <v>125</v>
      </c>
      <c r="L140" s="171" t="s">
        <v>125</v>
      </c>
      <c r="M140" s="178">
        <v>0</v>
      </c>
      <c r="N140" s="176"/>
      <c r="O140" s="176"/>
      <c r="P140" s="179">
        <v>-13.84</v>
      </c>
    </row>
    <row r="141" spans="1:16" ht="19.5" customHeight="1">
      <c r="A141" s="171" t="s">
        <v>990</v>
      </c>
      <c r="B141" s="175">
        <v>46054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0</v>
      </c>
      <c r="J141" s="175">
        <v>46014</v>
      </c>
      <c r="K141" s="171" t="s">
        <v>113</v>
      </c>
      <c r="L141" s="171" t="s">
        <v>114</v>
      </c>
      <c r="M141" s="178">
        <v>0</v>
      </c>
      <c r="N141" s="176"/>
      <c r="O141" s="176">
        <v>42</v>
      </c>
      <c r="P141" s="179">
        <v>-46.77</v>
      </c>
    </row>
    <row r="142" spans="1:16" ht="19.5" customHeight="1">
      <c r="A142" s="171" t="s">
        <v>990</v>
      </c>
      <c r="B142" s="175">
        <v>46054</v>
      </c>
      <c r="C142" s="171" t="s">
        <v>115</v>
      </c>
      <c r="D142" s="171" t="s">
        <v>116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0</v>
      </c>
      <c r="J142" s="175">
        <v>46014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-7.26</v>
      </c>
    </row>
    <row r="143" spans="1:16" ht="19.5" customHeight="1">
      <c r="A143" s="171" t="s">
        <v>990</v>
      </c>
      <c r="B143" s="175">
        <v>46054</v>
      </c>
      <c r="C143" s="171" t="s">
        <v>110</v>
      </c>
      <c r="D143" s="171" t="s">
        <v>117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0</v>
      </c>
      <c r="J143" s="175">
        <v>46014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0</v>
      </c>
    </row>
    <row r="144" spans="1:16" ht="19.5" customHeight="1">
      <c r="A144" s="171" t="s">
        <v>990</v>
      </c>
      <c r="B144" s="175">
        <v>46054</v>
      </c>
      <c r="C144" s="171" t="s">
        <v>110</v>
      </c>
      <c r="D144" s="171" t="s">
        <v>118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46014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-46.77</v>
      </c>
    </row>
    <row r="145" spans="1:16" ht="19.5" customHeight="1">
      <c r="A145" s="171" t="s">
        <v>990</v>
      </c>
      <c r="B145" s="175">
        <v>46054</v>
      </c>
      <c r="C145" s="171" t="s">
        <v>115</v>
      </c>
      <c r="D145" s="171" t="s">
        <v>119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0</v>
      </c>
      <c r="J145" s="175">
        <v>46014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-15</v>
      </c>
    </row>
    <row r="146" spans="1:16" ht="19.5" customHeight="1">
      <c r="A146" s="171" t="s">
        <v>991</v>
      </c>
      <c r="B146" s="175">
        <v>46054</v>
      </c>
      <c r="C146" s="171" t="s">
        <v>110</v>
      </c>
      <c r="D146" s="171" t="s">
        <v>24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1670</v>
      </c>
      <c r="J146" s="175">
        <v>46045</v>
      </c>
      <c r="K146" s="171" t="s">
        <v>113</v>
      </c>
      <c r="L146" s="171" t="s">
        <v>114</v>
      </c>
      <c r="M146" s="178">
        <v>0.43</v>
      </c>
      <c r="N146" s="176"/>
      <c r="O146" s="176">
        <v>51</v>
      </c>
      <c r="P146" s="179">
        <v>-147.08000000000001</v>
      </c>
    </row>
    <row r="147" spans="1:16" ht="19.5" customHeight="1">
      <c r="A147" s="171" t="s">
        <v>991</v>
      </c>
      <c r="B147" s="175">
        <v>46054</v>
      </c>
      <c r="C147" s="171" t="s">
        <v>127</v>
      </c>
      <c r="D147" s="171" t="s">
        <v>128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1670</v>
      </c>
      <c r="J147" s="175">
        <v>46045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728.57</v>
      </c>
    </row>
    <row r="148" spans="1:16" ht="19.5" customHeight="1">
      <c r="A148" s="171" t="s">
        <v>991</v>
      </c>
      <c r="B148" s="175">
        <v>46054</v>
      </c>
      <c r="C148" s="171" t="s">
        <v>127</v>
      </c>
      <c r="D148" s="171" t="s">
        <v>129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1670</v>
      </c>
      <c r="J148" s="175">
        <v>46045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7.29</v>
      </c>
    </row>
    <row r="149" spans="1:16" ht="19.5" customHeight="1">
      <c r="A149" s="171" t="s">
        <v>991</v>
      </c>
      <c r="B149" s="175">
        <v>46054</v>
      </c>
      <c r="C149" s="171" t="s">
        <v>127</v>
      </c>
      <c r="D149" s="171" t="s">
        <v>130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1670</v>
      </c>
      <c r="J149" s="175">
        <v>46045</v>
      </c>
      <c r="K149" s="171" t="s">
        <v>113</v>
      </c>
      <c r="L149" s="171" t="s">
        <v>114</v>
      </c>
      <c r="M149" s="178">
        <v>0</v>
      </c>
      <c r="N149" s="176"/>
      <c r="O149" s="176"/>
      <c r="P149" s="179">
        <v>934.14</v>
      </c>
    </row>
    <row r="150" spans="1:16" ht="19.5" customHeight="1">
      <c r="A150" s="171" t="s">
        <v>991</v>
      </c>
      <c r="B150" s="175">
        <v>46054</v>
      </c>
      <c r="C150" s="171" t="s">
        <v>131</v>
      </c>
      <c r="D150" s="171" t="s">
        <v>132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1670</v>
      </c>
      <c r="J150" s="175">
        <v>46045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-718.1</v>
      </c>
    </row>
    <row r="151" spans="1:16" ht="19.5" customHeight="1">
      <c r="A151" s="171" t="s">
        <v>991</v>
      </c>
      <c r="B151" s="175">
        <v>46054</v>
      </c>
      <c r="C151" s="171" t="s">
        <v>115</v>
      </c>
      <c r="D151" s="171" t="s">
        <v>116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1670</v>
      </c>
      <c r="J151" s="175">
        <v>46045</v>
      </c>
      <c r="K151" s="171" t="s">
        <v>113</v>
      </c>
      <c r="L151" s="171" t="s">
        <v>114</v>
      </c>
      <c r="M151" s="178">
        <v>0.43</v>
      </c>
      <c r="N151" s="176"/>
      <c r="O151" s="176"/>
      <c r="P151" s="179">
        <v>-25</v>
      </c>
    </row>
    <row r="152" spans="1:16" ht="19.5" customHeight="1">
      <c r="A152" s="171" t="s">
        <v>991</v>
      </c>
      <c r="B152" s="175">
        <v>46054</v>
      </c>
      <c r="C152" s="171" t="s">
        <v>115</v>
      </c>
      <c r="D152" s="171" t="s">
        <v>135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46045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-13.84</v>
      </c>
    </row>
    <row r="153" spans="1:16" ht="19.5" customHeight="1">
      <c r="A153" s="171" t="s">
        <v>992</v>
      </c>
      <c r="B153" s="175">
        <v>46054</v>
      </c>
      <c r="C153" s="171" t="s">
        <v>115</v>
      </c>
      <c r="D153" s="171" t="s">
        <v>135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46054</v>
      </c>
      <c r="K153" s="171" t="s">
        <v>125</v>
      </c>
      <c r="L153" s="171" t="s">
        <v>125</v>
      </c>
      <c r="M153" s="178">
        <v>0</v>
      </c>
      <c r="N153" s="176"/>
      <c r="O153" s="176"/>
      <c r="P153" s="179">
        <v>-15.18</v>
      </c>
    </row>
    <row r="154" spans="1:16" ht="19.5" customHeight="1">
      <c r="A154" s="171" t="s">
        <v>993</v>
      </c>
      <c r="B154" s="175">
        <v>46054</v>
      </c>
      <c r="C154" s="171" t="s">
        <v>115</v>
      </c>
      <c r="D154" s="171" t="s">
        <v>135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0</v>
      </c>
      <c r="J154" s="175">
        <v>46054</v>
      </c>
      <c r="K154" s="171" t="s">
        <v>125</v>
      </c>
      <c r="L154" s="171" t="s">
        <v>125</v>
      </c>
      <c r="M154" s="178">
        <v>0</v>
      </c>
      <c r="N154" s="176"/>
      <c r="O154" s="176"/>
      <c r="P154" s="179">
        <v>-4.96</v>
      </c>
    </row>
    <row r="155" spans="1:16" ht="19.5" customHeight="1">
      <c r="A155" s="171" t="s">
        <v>671</v>
      </c>
      <c r="B155" s="175">
        <v>46054</v>
      </c>
      <c r="C155" s="171" t="s">
        <v>151</v>
      </c>
      <c r="D155" s="171" t="s">
        <v>152</v>
      </c>
      <c r="E155" s="171" t="s">
        <v>125</v>
      </c>
      <c r="F155" s="171" t="s">
        <v>125</v>
      </c>
      <c r="G155" s="171" t="s">
        <v>125</v>
      </c>
      <c r="H155" s="176">
        <v>0</v>
      </c>
      <c r="I155" s="177">
        <v>0</v>
      </c>
      <c r="J155" s="175">
        <v>46054</v>
      </c>
      <c r="K155" s="171" t="s">
        <v>125</v>
      </c>
      <c r="L155" s="171" t="s">
        <v>125</v>
      </c>
      <c r="M155" s="178">
        <v>0</v>
      </c>
      <c r="N155" s="176"/>
      <c r="O155" s="176"/>
      <c r="P155" s="179">
        <v>-291.5</v>
      </c>
    </row>
    <row r="156" spans="1:16" ht="19.5" customHeight="1">
      <c r="A156" s="171" t="s">
        <v>565</v>
      </c>
      <c r="B156" s="175">
        <v>46054</v>
      </c>
      <c r="C156" s="171" t="s">
        <v>151</v>
      </c>
      <c r="D156" s="171" t="s">
        <v>152</v>
      </c>
      <c r="E156" s="171" t="s">
        <v>125</v>
      </c>
      <c r="F156" s="171" t="s">
        <v>125</v>
      </c>
      <c r="G156" s="171" t="s">
        <v>125</v>
      </c>
      <c r="H156" s="176">
        <v>0</v>
      </c>
      <c r="I156" s="177">
        <v>0</v>
      </c>
      <c r="J156" s="175">
        <v>46054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-257.82</v>
      </c>
    </row>
    <row r="157" spans="1:16" ht="19.5" customHeight="1">
      <c r="A157" s="171" t="s">
        <v>180</v>
      </c>
      <c r="B157" s="175">
        <v>46054</v>
      </c>
      <c r="C157" s="171" t="s">
        <v>151</v>
      </c>
      <c r="D157" s="171" t="s">
        <v>152</v>
      </c>
      <c r="E157" s="171" t="s">
        <v>125</v>
      </c>
      <c r="F157" s="171" t="s">
        <v>125</v>
      </c>
      <c r="G157" s="171" t="s">
        <v>125</v>
      </c>
      <c r="H157" s="176">
        <v>0</v>
      </c>
      <c r="I157" s="177">
        <v>0</v>
      </c>
      <c r="J157" s="175">
        <v>46054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-487.64</v>
      </c>
    </row>
    <row r="158" spans="1:16" ht="19.5" customHeight="1">
      <c r="A158" s="171" t="s">
        <v>150</v>
      </c>
      <c r="B158" s="175">
        <v>46054</v>
      </c>
      <c r="C158" s="171" t="s">
        <v>151</v>
      </c>
      <c r="D158" s="171" t="s">
        <v>152</v>
      </c>
      <c r="E158" s="171" t="s">
        <v>125</v>
      </c>
      <c r="F158" s="171" t="s">
        <v>125</v>
      </c>
      <c r="G158" s="171" t="s">
        <v>125</v>
      </c>
      <c r="H158" s="176">
        <v>0</v>
      </c>
      <c r="I158" s="177">
        <v>0</v>
      </c>
      <c r="J158" s="175">
        <v>46054</v>
      </c>
      <c r="K158" s="171" t="s">
        <v>125</v>
      </c>
      <c r="L158" s="171" t="s">
        <v>125</v>
      </c>
      <c r="M158" s="178">
        <v>0</v>
      </c>
      <c r="N158" s="176"/>
      <c r="O158" s="176"/>
      <c r="P158" s="179">
        <v>-1302.27</v>
      </c>
    </row>
    <row r="159" spans="1:16" ht="19.5" customHeight="1">
      <c r="A159" s="171" t="s">
        <v>155</v>
      </c>
      <c r="B159" s="175">
        <v>46054</v>
      </c>
      <c r="C159" s="171" t="s">
        <v>151</v>
      </c>
      <c r="D159" s="171" t="s">
        <v>156</v>
      </c>
      <c r="E159" s="171" t="s">
        <v>125</v>
      </c>
      <c r="F159" s="171" t="s">
        <v>125</v>
      </c>
      <c r="G159" s="171" t="s">
        <v>125</v>
      </c>
      <c r="H159" s="176">
        <v>0</v>
      </c>
      <c r="I159" s="177">
        <v>0</v>
      </c>
      <c r="J159" s="175">
        <v>46054</v>
      </c>
      <c r="K159" s="171" t="s">
        <v>125</v>
      </c>
      <c r="L159" s="171" t="s">
        <v>125</v>
      </c>
      <c r="M159" s="178">
        <v>0</v>
      </c>
      <c r="N159" s="176"/>
      <c r="O159" s="176"/>
      <c r="P159" s="179">
        <v>-5567.71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341A-8ABD-4727-A397-55042A49492A}">
  <dimension ref="A1:P966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752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753</v>
      </c>
      <c r="B3" s="175">
        <v>46048</v>
      </c>
      <c r="C3" s="171" t="s">
        <v>115</v>
      </c>
      <c r="D3" s="171" t="s">
        <v>135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46048</v>
      </c>
      <c r="K3" s="171" t="s">
        <v>125</v>
      </c>
      <c r="L3" s="171" t="s">
        <v>125</v>
      </c>
      <c r="M3" s="178">
        <v>0</v>
      </c>
      <c r="N3" s="176"/>
      <c r="O3" s="176"/>
      <c r="P3" s="179">
        <v>-8.44</v>
      </c>
    </row>
    <row r="4" spans="1:16" ht="19.5" customHeight="1">
      <c r="A4" s="171" t="s">
        <v>754</v>
      </c>
      <c r="B4" s="175">
        <v>46048</v>
      </c>
      <c r="C4" s="171" t="s">
        <v>110</v>
      </c>
      <c r="D4" s="171" t="s">
        <v>24</v>
      </c>
      <c r="E4" s="171" t="s">
        <v>77</v>
      </c>
      <c r="F4" s="171" t="s">
        <v>194</v>
      </c>
      <c r="G4" s="171" t="s">
        <v>177</v>
      </c>
      <c r="H4" s="176">
        <v>1</v>
      </c>
      <c r="I4" s="177">
        <v>0</v>
      </c>
      <c r="J4" s="175">
        <v>46037</v>
      </c>
      <c r="K4" s="171" t="s">
        <v>113</v>
      </c>
      <c r="L4" s="171" t="s">
        <v>114</v>
      </c>
      <c r="M4" s="178">
        <v>0</v>
      </c>
      <c r="N4" s="176"/>
      <c r="O4" s="176">
        <v>43</v>
      </c>
      <c r="P4" s="179">
        <v>-56.94</v>
      </c>
    </row>
    <row r="5" spans="1:16" ht="19.5" customHeight="1">
      <c r="A5" s="171" t="s">
        <v>754</v>
      </c>
      <c r="B5" s="175">
        <v>46048</v>
      </c>
      <c r="C5" s="171" t="s">
        <v>115</v>
      </c>
      <c r="D5" s="171" t="s">
        <v>116</v>
      </c>
      <c r="E5" s="171" t="s">
        <v>77</v>
      </c>
      <c r="F5" s="171" t="s">
        <v>194</v>
      </c>
      <c r="G5" s="171" t="s">
        <v>177</v>
      </c>
      <c r="H5" s="176">
        <v>1</v>
      </c>
      <c r="I5" s="177">
        <v>0</v>
      </c>
      <c r="J5" s="175">
        <v>46037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-16.18</v>
      </c>
    </row>
    <row r="6" spans="1:16" ht="19.5" customHeight="1">
      <c r="A6" s="171" t="s">
        <v>754</v>
      </c>
      <c r="B6" s="175">
        <v>46048</v>
      </c>
      <c r="C6" s="171" t="s">
        <v>110</v>
      </c>
      <c r="D6" s="171" t="s">
        <v>117</v>
      </c>
      <c r="E6" s="171" t="s">
        <v>77</v>
      </c>
      <c r="F6" s="171" t="s">
        <v>194</v>
      </c>
      <c r="G6" s="171" t="s">
        <v>177</v>
      </c>
      <c r="H6" s="176">
        <v>1</v>
      </c>
      <c r="I6" s="177">
        <v>0</v>
      </c>
      <c r="J6" s="175">
        <v>46037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0</v>
      </c>
    </row>
    <row r="7" spans="1:16" ht="19.5" customHeight="1">
      <c r="A7" s="171" t="s">
        <v>754</v>
      </c>
      <c r="B7" s="175">
        <v>46048</v>
      </c>
      <c r="C7" s="171" t="s">
        <v>110</v>
      </c>
      <c r="D7" s="171" t="s">
        <v>118</v>
      </c>
      <c r="E7" s="171" t="s">
        <v>77</v>
      </c>
      <c r="F7" s="171" t="s">
        <v>194</v>
      </c>
      <c r="G7" s="171" t="s">
        <v>177</v>
      </c>
      <c r="H7" s="176">
        <v>1</v>
      </c>
      <c r="I7" s="177">
        <v>0</v>
      </c>
      <c r="J7" s="175">
        <v>46037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-56.94</v>
      </c>
    </row>
    <row r="8" spans="1:16" ht="19.5" customHeight="1">
      <c r="A8" s="171" t="s">
        <v>754</v>
      </c>
      <c r="B8" s="175">
        <v>46048</v>
      </c>
      <c r="C8" s="171" t="s">
        <v>115</v>
      </c>
      <c r="D8" s="171" t="s">
        <v>119</v>
      </c>
      <c r="E8" s="171" t="s">
        <v>77</v>
      </c>
      <c r="F8" s="171" t="s">
        <v>194</v>
      </c>
      <c r="G8" s="171" t="s">
        <v>177</v>
      </c>
      <c r="H8" s="176">
        <v>1</v>
      </c>
      <c r="I8" s="177">
        <v>0</v>
      </c>
      <c r="J8" s="175">
        <v>46037</v>
      </c>
      <c r="K8" s="171" t="s">
        <v>113</v>
      </c>
      <c r="L8" s="171" t="s">
        <v>114</v>
      </c>
      <c r="M8" s="178">
        <v>0</v>
      </c>
      <c r="N8" s="176"/>
      <c r="O8" s="176"/>
      <c r="P8" s="179">
        <v>-15</v>
      </c>
    </row>
    <row r="9" spans="1:16" ht="19.5" customHeight="1">
      <c r="A9" s="171" t="s">
        <v>755</v>
      </c>
      <c r="B9" s="175">
        <v>46048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1670</v>
      </c>
      <c r="J9" s="175">
        <v>46040</v>
      </c>
      <c r="K9" s="171" t="s">
        <v>113</v>
      </c>
      <c r="L9" s="171" t="s">
        <v>114</v>
      </c>
      <c r="M9" s="178">
        <v>0.43</v>
      </c>
      <c r="N9" s="176"/>
      <c r="O9" s="176">
        <v>51</v>
      </c>
      <c r="P9" s="179">
        <v>-147.08000000000001</v>
      </c>
    </row>
    <row r="10" spans="1:16" ht="19.5" customHeight="1">
      <c r="A10" s="171" t="s">
        <v>755</v>
      </c>
      <c r="B10" s="175">
        <v>46048</v>
      </c>
      <c r="C10" s="171" t="s">
        <v>127</v>
      </c>
      <c r="D10" s="171" t="s">
        <v>128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1670</v>
      </c>
      <c r="J10" s="175">
        <v>46040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576.19000000000005</v>
      </c>
    </row>
    <row r="11" spans="1:16" ht="19.5" customHeight="1">
      <c r="A11" s="171" t="s">
        <v>755</v>
      </c>
      <c r="B11" s="175">
        <v>46048</v>
      </c>
      <c r="C11" s="171" t="s">
        <v>127</v>
      </c>
      <c r="D11" s="171" t="s">
        <v>129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1670</v>
      </c>
      <c r="J11" s="175">
        <v>46040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5.76</v>
      </c>
    </row>
    <row r="12" spans="1:16" ht="19.5" customHeight="1">
      <c r="A12" s="171" t="s">
        <v>755</v>
      </c>
      <c r="B12" s="175">
        <v>46048</v>
      </c>
      <c r="C12" s="171" t="s">
        <v>127</v>
      </c>
      <c r="D12" s="171" t="s">
        <v>130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1670</v>
      </c>
      <c r="J12" s="175">
        <v>46040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1088.05</v>
      </c>
    </row>
    <row r="13" spans="1:16" ht="19.5" customHeight="1">
      <c r="A13" s="171" t="s">
        <v>755</v>
      </c>
      <c r="B13" s="175">
        <v>46048</v>
      </c>
      <c r="C13" s="171" t="s">
        <v>131</v>
      </c>
      <c r="D13" s="171" t="s">
        <v>132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1670</v>
      </c>
      <c r="J13" s="175">
        <v>46040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-718.1</v>
      </c>
    </row>
    <row r="14" spans="1:16" ht="19.5" customHeight="1">
      <c r="A14" s="171" t="s">
        <v>678</v>
      </c>
      <c r="B14" s="175">
        <v>46048</v>
      </c>
      <c r="C14" s="171" t="s">
        <v>123</v>
      </c>
      <c r="D14" s="171" t="s">
        <v>124</v>
      </c>
      <c r="E14" s="171" t="s">
        <v>125</v>
      </c>
      <c r="F14" s="171" t="s">
        <v>125</v>
      </c>
      <c r="G14" s="171" t="s">
        <v>125</v>
      </c>
      <c r="H14" s="176">
        <v>0</v>
      </c>
      <c r="I14" s="177">
        <v>0</v>
      </c>
      <c r="J14" s="175">
        <v>46048</v>
      </c>
      <c r="K14" s="171" t="s">
        <v>125</v>
      </c>
      <c r="L14" s="171" t="s">
        <v>125</v>
      </c>
      <c r="M14" s="178">
        <v>0</v>
      </c>
      <c r="N14" s="176"/>
      <c r="O14" s="176"/>
      <c r="P14" s="179">
        <v>-800</v>
      </c>
    </row>
    <row r="15" spans="1:16" ht="19.5" customHeight="1">
      <c r="A15" s="171" t="s">
        <v>744</v>
      </c>
      <c r="B15" s="175">
        <v>46048</v>
      </c>
      <c r="C15" s="171" t="s">
        <v>123</v>
      </c>
      <c r="D15" s="171" t="s">
        <v>124</v>
      </c>
      <c r="E15" s="171" t="s">
        <v>125</v>
      </c>
      <c r="F15" s="171" t="s">
        <v>125</v>
      </c>
      <c r="G15" s="171" t="s">
        <v>125</v>
      </c>
      <c r="H15" s="176">
        <v>0</v>
      </c>
      <c r="I15" s="177">
        <v>0</v>
      </c>
      <c r="J15" s="175">
        <v>46048</v>
      </c>
      <c r="K15" s="171" t="s">
        <v>125</v>
      </c>
      <c r="L15" s="171" t="s">
        <v>125</v>
      </c>
      <c r="M15" s="178">
        <v>0</v>
      </c>
      <c r="N15" s="176"/>
      <c r="O15" s="176"/>
      <c r="P15" s="179">
        <v>-800</v>
      </c>
    </row>
    <row r="16" spans="1:16" ht="19.5" customHeight="1">
      <c r="A16" s="171" t="s">
        <v>756</v>
      </c>
      <c r="B16" s="175">
        <v>46048</v>
      </c>
      <c r="C16" s="171" t="s">
        <v>110</v>
      </c>
      <c r="D16" s="171" t="s">
        <v>24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891</v>
      </c>
      <c r="J16" s="175">
        <v>46043</v>
      </c>
      <c r="K16" s="171" t="s">
        <v>113</v>
      </c>
      <c r="L16" s="171" t="s">
        <v>114</v>
      </c>
      <c r="M16" s="178">
        <v>0.43</v>
      </c>
      <c r="N16" s="176"/>
      <c r="O16" s="176">
        <v>52</v>
      </c>
      <c r="P16" s="179">
        <v>-117.45</v>
      </c>
    </row>
    <row r="17" spans="1:16" ht="19.5" customHeight="1">
      <c r="A17" s="171" t="s">
        <v>756</v>
      </c>
      <c r="B17" s="175">
        <v>46048</v>
      </c>
      <c r="C17" s="171" t="s">
        <v>127</v>
      </c>
      <c r="D17" s="171" t="s">
        <v>128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891</v>
      </c>
      <c r="J17" s="175">
        <v>46043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313.99</v>
      </c>
    </row>
    <row r="18" spans="1:16" ht="19.5" customHeight="1">
      <c r="A18" s="171" t="s">
        <v>756</v>
      </c>
      <c r="B18" s="175">
        <v>46048</v>
      </c>
      <c r="C18" s="171" t="s">
        <v>127</v>
      </c>
      <c r="D18" s="171" t="s">
        <v>129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891</v>
      </c>
      <c r="J18" s="175">
        <v>46043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3.14</v>
      </c>
    </row>
    <row r="19" spans="1:16" ht="19.5" customHeight="1">
      <c r="A19" s="171" t="s">
        <v>756</v>
      </c>
      <c r="B19" s="175">
        <v>46048</v>
      </c>
      <c r="C19" s="171" t="s">
        <v>127</v>
      </c>
      <c r="D19" s="171" t="s">
        <v>130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891</v>
      </c>
      <c r="J19" s="175">
        <v>46043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573.87</v>
      </c>
    </row>
    <row r="20" spans="1:16" ht="19.5" customHeight="1">
      <c r="A20" s="171" t="s">
        <v>756</v>
      </c>
      <c r="B20" s="175">
        <v>46048</v>
      </c>
      <c r="C20" s="171" t="s">
        <v>131</v>
      </c>
      <c r="D20" s="171" t="s">
        <v>132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891</v>
      </c>
      <c r="J20" s="175">
        <v>46043</v>
      </c>
      <c r="K20" s="171" t="s">
        <v>113</v>
      </c>
      <c r="L20" s="171" t="s">
        <v>114</v>
      </c>
      <c r="M20" s="178">
        <v>0.43</v>
      </c>
      <c r="N20" s="176"/>
      <c r="O20" s="176"/>
      <c r="P20" s="179">
        <v>-383.13</v>
      </c>
    </row>
    <row r="21" spans="1:16" ht="19.5" customHeight="1">
      <c r="A21" s="171" t="s">
        <v>756</v>
      </c>
      <c r="B21" s="175">
        <v>46048</v>
      </c>
      <c r="C21" s="171" t="s">
        <v>115</v>
      </c>
      <c r="D21" s="171" t="s">
        <v>116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891</v>
      </c>
      <c r="J21" s="175">
        <v>46043</v>
      </c>
      <c r="K21" s="171" t="s">
        <v>113</v>
      </c>
      <c r="L21" s="171" t="s">
        <v>114</v>
      </c>
      <c r="M21" s="178">
        <v>0.43</v>
      </c>
      <c r="N21" s="176"/>
      <c r="O21" s="176"/>
      <c r="P21" s="179">
        <v>-4.5199999999999996</v>
      </c>
    </row>
    <row r="22" spans="1:16" ht="19.5" customHeight="1">
      <c r="A22" s="171" t="s">
        <v>757</v>
      </c>
      <c r="B22" s="175">
        <v>46048</v>
      </c>
      <c r="C22" s="171" t="s">
        <v>110</v>
      </c>
      <c r="D22" s="171" t="s">
        <v>24</v>
      </c>
      <c r="E22" s="171" t="s">
        <v>42</v>
      </c>
      <c r="F22" s="171" t="s">
        <v>248</v>
      </c>
      <c r="G22" s="171" t="s">
        <v>112</v>
      </c>
      <c r="H22" s="176">
        <v>1</v>
      </c>
      <c r="I22" s="177">
        <v>0</v>
      </c>
      <c r="J22" s="175">
        <v>46041</v>
      </c>
      <c r="K22" s="171" t="s">
        <v>113</v>
      </c>
      <c r="L22" s="171" t="s">
        <v>114</v>
      </c>
      <c r="M22" s="178">
        <v>0</v>
      </c>
      <c r="N22" s="176"/>
      <c r="O22" s="176">
        <v>53</v>
      </c>
      <c r="P22" s="179">
        <v>-46.77</v>
      </c>
    </row>
    <row r="23" spans="1:16" ht="19.5" customHeight="1">
      <c r="A23" s="171" t="s">
        <v>757</v>
      </c>
      <c r="B23" s="175">
        <v>46048</v>
      </c>
      <c r="C23" s="171" t="s">
        <v>115</v>
      </c>
      <c r="D23" s="171" t="s">
        <v>116</v>
      </c>
      <c r="E23" s="171" t="s">
        <v>42</v>
      </c>
      <c r="F23" s="171" t="s">
        <v>248</v>
      </c>
      <c r="G23" s="171" t="s">
        <v>112</v>
      </c>
      <c r="H23" s="176">
        <v>1</v>
      </c>
      <c r="I23" s="177">
        <v>0</v>
      </c>
      <c r="J23" s="175">
        <v>46041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-16.649999999999999</v>
      </c>
    </row>
    <row r="24" spans="1:16" ht="19.5" customHeight="1">
      <c r="A24" s="171" t="s">
        <v>757</v>
      </c>
      <c r="B24" s="175">
        <v>46048</v>
      </c>
      <c r="C24" s="171" t="s">
        <v>110</v>
      </c>
      <c r="D24" s="171" t="s">
        <v>117</v>
      </c>
      <c r="E24" s="171" t="s">
        <v>42</v>
      </c>
      <c r="F24" s="171" t="s">
        <v>248</v>
      </c>
      <c r="G24" s="171" t="s">
        <v>112</v>
      </c>
      <c r="H24" s="176">
        <v>1</v>
      </c>
      <c r="I24" s="177">
        <v>0</v>
      </c>
      <c r="J24" s="175">
        <v>46041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757</v>
      </c>
      <c r="B25" s="175">
        <v>46048</v>
      </c>
      <c r="C25" s="171" t="s">
        <v>110</v>
      </c>
      <c r="D25" s="171" t="s">
        <v>118</v>
      </c>
      <c r="E25" s="171" t="s">
        <v>42</v>
      </c>
      <c r="F25" s="171" t="s">
        <v>248</v>
      </c>
      <c r="G25" s="171" t="s">
        <v>112</v>
      </c>
      <c r="H25" s="176">
        <v>1</v>
      </c>
      <c r="I25" s="177">
        <v>0</v>
      </c>
      <c r="J25" s="175">
        <v>46041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757</v>
      </c>
      <c r="B26" s="175">
        <v>46048</v>
      </c>
      <c r="C26" s="171" t="s">
        <v>115</v>
      </c>
      <c r="D26" s="171" t="s">
        <v>119</v>
      </c>
      <c r="E26" s="171" t="s">
        <v>42</v>
      </c>
      <c r="F26" s="171" t="s">
        <v>248</v>
      </c>
      <c r="G26" s="171" t="s">
        <v>112</v>
      </c>
      <c r="H26" s="176">
        <v>1</v>
      </c>
      <c r="I26" s="177">
        <v>0</v>
      </c>
      <c r="J26" s="175">
        <v>46041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758</v>
      </c>
      <c r="B27" s="175">
        <v>46048</v>
      </c>
      <c r="C27" s="171" t="s">
        <v>110</v>
      </c>
      <c r="D27" s="171" t="s">
        <v>24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1670</v>
      </c>
      <c r="J27" s="175">
        <v>46040</v>
      </c>
      <c r="K27" s="171" t="s">
        <v>113</v>
      </c>
      <c r="L27" s="171" t="s">
        <v>114</v>
      </c>
      <c r="M27" s="178">
        <v>0.43</v>
      </c>
      <c r="N27" s="176"/>
      <c r="O27" s="176">
        <v>51</v>
      </c>
      <c r="P27" s="179">
        <v>-147.08000000000001</v>
      </c>
    </row>
    <row r="28" spans="1:16" ht="19.5" customHeight="1">
      <c r="A28" s="171" t="s">
        <v>758</v>
      </c>
      <c r="B28" s="175">
        <v>46048</v>
      </c>
      <c r="C28" s="171" t="s">
        <v>127</v>
      </c>
      <c r="D28" s="171" t="s">
        <v>128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1670</v>
      </c>
      <c r="J28" s="175">
        <v>46040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582.86</v>
      </c>
    </row>
    <row r="29" spans="1:16" ht="19.5" customHeight="1">
      <c r="A29" s="171" t="s">
        <v>758</v>
      </c>
      <c r="B29" s="175">
        <v>46048</v>
      </c>
      <c r="C29" s="171" t="s">
        <v>127</v>
      </c>
      <c r="D29" s="171" t="s">
        <v>129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1670</v>
      </c>
      <c r="J29" s="175">
        <v>46040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5.83</v>
      </c>
    </row>
    <row r="30" spans="1:16" ht="19.5" customHeight="1">
      <c r="A30" s="171" t="s">
        <v>758</v>
      </c>
      <c r="B30" s="175">
        <v>46048</v>
      </c>
      <c r="C30" s="171" t="s">
        <v>127</v>
      </c>
      <c r="D30" s="171" t="s">
        <v>130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1670</v>
      </c>
      <c r="J30" s="175">
        <v>46040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1081.31</v>
      </c>
    </row>
    <row r="31" spans="1:16" ht="19.5" customHeight="1">
      <c r="A31" s="171" t="s">
        <v>758</v>
      </c>
      <c r="B31" s="175">
        <v>46048</v>
      </c>
      <c r="C31" s="171" t="s">
        <v>131</v>
      </c>
      <c r="D31" s="171" t="s">
        <v>132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1670</v>
      </c>
      <c r="J31" s="175">
        <v>46040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-718.1</v>
      </c>
    </row>
    <row r="32" spans="1:16" ht="19.5" customHeight="1">
      <c r="A32" s="171" t="s">
        <v>758</v>
      </c>
      <c r="B32" s="175">
        <v>46048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1670</v>
      </c>
      <c r="J32" s="175">
        <v>46040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-18.09</v>
      </c>
    </row>
    <row r="33" spans="1:16" ht="19.5" customHeight="1">
      <c r="A33" s="171" t="s">
        <v>756</v>
      </c>
      <c r="B33" s="175">
        <v>46048</v>
      </c>
      <c r="C33" s="171" t="s">
        <v>115</v>
      </c>
      <c r="D33" s="171" t="s">
        <v>135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46043</v>
      </c>
      <c r="K33" s="171" t="s">
        <v>125</v>
      </c>
      <c r="L33" s="171" t="s">
        <v>125</v>
      </c>
      <c r="M33" s="178">
        <v>0</v>
      </c>
      <c r="N33" s="176"/>
      <c r="O33" s="176"/>
      <c r="P33" s="179">
        <v>-5.97</v>
      </c>
    </row>
    <row r="34" spans="1:16" ht="19.5" customHeight="1">
      <c r="A34" s="171" t="s">
        <v>758</v>
      </c>
      <c r="B34" s="175">
        <v>46048</v>
      </c>
      <c r="C34" s="171" t="s">
        <v>115</v>
      </c>
      <c r="D34" s="171" t="s">
        <v>135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46040</v>
      </c>
      <c r="K34" s="171" t="s">
        <v>125</v>
      </c>
      <c r="L34" s="171" t="s">
        <v>125</v>
      </c>
      <c r="M34" s="178">
        <v>0</v>
      </c>
      <c r="N34" s="176"/>
      <c r="O34" s="176"/>
      <c r="P34" s="179">
        <v>-11.07</v>
      </c>
    </row>
    <row r="35" spans="1:16" ht="19.5" customHeight="1">
      <c r="A35" s="171" t="s">
        <v>759</v>
      </c>
      <c r="B35" s="175">
        <v>46048</v>
      </c>
      <c r="C35" s="171" t="s">
        <v>110</v>
      </c>
      <c r="D35" s="171" t="s">
        <v>24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1670</v>
      </c>
      <c r="J35" s="175">
        <v>46046</v>
      </c>
      <c r="K35" s="171" t="s">
        <v>113</v>
      </c>
      <c r="L35" s="171" t="s">
        <v>114</v>
      </c>
      <c r="M35" s="178">
        <v>0.43</v>
      </c>
      <c r="N35" s="176"/>
      <c r="O35" s="176">
        <v>50</v>
      </c>
      <c r="P35" s="179">
        <v>-145.78</v>
      </c>
    </row>
    <row r="36" spans="1:16" ht="19.5" customHeight="1">
      <c r="A36" s="171" t="s">
        <v>759</v>
      </c>
      <c r="B36" s="175">
        <v>46048</v>
      </c>
      <c r="C36" s="171" t="s">
        <v>127</v>
      </c>
      <c r="D36" s="171" t="s">
        <v>128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46046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800</v>
      </c>
    </row>
    <row r="37" spans="1:16" ht="19.5" customHeight="1">
      <c r="A37" s="171" t="s">
        <v>759</v>
      </c>
      <c r="B37" s="175">
        <v>46048</v>
      </c>
      <c r="C37" s="171" t="s">
        <v>127</v>
      </c>
      <c r="D37" s="171" t="s">
        <v>129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46046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8</v>
      </c>
    </row>
    <row r="38" spans="1:16" ht="19.5" customHeight="1">
      <c r="A38" s="171" t="s">
        <v>759</v>
      </c>
      <c r="B38" s="175">
        <v>46048</v>
      </c>
      <c r="C38" s="171" t="s">
        <v>127</v>
      </c>
      <c r="D38" s="171" t="s">
        <v>130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46046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862</v>
      </c>
    </row>
    <row r="39" spans="1:16" ht="19.5" customHeight="1">
      <c r="A39" s="171" t="s">
        <v>759</v>
      </c>
      <c r="B39" s="175">
        <v>46048</v>
      </c>
      <c r="C39" s="171" t="s">
        <v>131</v>
      </c>
      <c r="D39" s="171" t="s">
        <v>132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46046</v>
      </c>
      <c r="K39" s="171" t="s">
        <v>113</v>
      </c>
      <c r="L39" s="171" t="s">
        <v>114</v>
      </c>
      <c r="M39" s="178">
        <v>0.43</v>
      </c>
      <c r="N39" s="176"/>
      <c r="O39" s="176"/>
      <c r="P39" s="179">
        <v>-718.1</v>
      </c>
    </row>
    <row r="40" spans="1:16" ht="19.5" customHeight="1">
      <c r="A40" s="171" t="s">
        <v>759</v>
      </c>
      <c r="B40" s="175">
        <v>46048</v>
      </c>
      <c r="C40" s="171" t="s">
        <v>115</v>
      </c>
      <c r="D40" s="171" t="s">
        <v>116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46046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-11.38</v>
      </c>
    </row>
    <row r="41" spans="1:16" ht="19.5" customHeight="1">
      <c r="A41" s="171" t="s">
        <v>759</v>
      </c>
      <c r="B41" s="175">
        <v>46048</v>
      </c>
      <c r="C41" s="171" t="s">
        <v>115</v>
      </c>
      <c r="D41" s="171" t="s">
        <v>135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0</v>
      </c>
      <c r="J41" s="175">
        <v>46046</v>
      </c>
      <c r="K41" s="171" t="s">
        <v>125</v>
      </c>
      <c r="L41" s="171" t="s">
        <v>125</v>
      </c>
      <c r="M41" s="178">
        <v>0</v>
      </c>
      <c r="N41" s="176"/>
      <c r="O41" s="176"/>
      <c r="P41" s="179">
        <v>-15.2</v>
      </c>
    </row>
    <row r="42" spans="1:16" ht="19.5" customHeight="1">
      <c r="A42" s="171" t="s">
        <v>760</v>
      </c>
      <c r="B42" s="175">
        <v>46048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0</v>
      </c>
      <c r="J42" s="175">
        <v>46043</v>
      </c>
      <c r="K42" s="171" t="s">
        <v>113</v>
      </c>
      <c r="L42" s="171" t="s">
        <v>114</v>
      </c>
      <c r="M42" s="178">
        <v>0</v>
      </c>
      <c r="N42" s="176"/>
      <c r="O42" s="176">
        <v>52</v>
      </c>
      <c r="P42" s="179">
        <v>-46.77</v>
      </c>
    </row>
    <row r="43" spans="1:16" ht="19.5" customHeight="1">
      <c r="A43" s="171" t="s">
        <v>760</v>
      </c>
      <c r="B43" s="175">
        <v>46048</v>
      </c>
      <c r="C43" s="171" t="s">
        <v>115</v>
      </c>
      <c r="D43" s="171" t="s">
        <v>116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0</v>
      </c>
      <c r="J43" s="175">
        <v>46043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-14.82</v>
      </c>
    </row>
    <row r="44" spans="1:16" ht="19.5" customHeight="1">
      <c r="A44" s="171" t="s">
        <v>760</v>
      </c>
      <c r="B44" s="175">
        <v>46048</v>
      </c>
      <c r="C44" s="171" t="s">
        <v>110</v>
      </c>
      <c r="D44" s="171" t="s">
        <v>117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0</v>
      </c>
      <c r="J44" s="175">
        <v>46043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0</v>
      </c>
    </row>
    <row r="45" spans="1:16" ht="19.5" customHeight="1">
      <c r="A45" s="171" t="s">
        <v>760</v>
      </c>
      <c r="B45" s="175">
        <v>46048</v>
      </c>
      <c r="C45" s="171" t="s">
        <v>110</v>
      </c>
      <c r="D45" s="171" t="s">
        <v>118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0</v>
      </c>
      <c r="J45" s="175">
        <v>46043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-46.77</v>
      </c>
    </row>
    <row r="46" spans="1:16" ht="19.5" customHeight="1">
      <c r="A46" s="171" t="s">
        <v>760</v>
      </c>
      <c r="B46" s="175">
        <v>46048</v>
      </c>
      <c r="C46" s="171" t="s">
        <v>115</v>
      </c>
      <c r="D46" s="171" t="s">
        <v>119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46043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-15</v>
      </c>
    </row>
    <row r="47" spans="1:16" ht="19.5" customHeight="1">
      <c r="A47" s="171" t="s">
        <v>761</v>
      </c>
      <c r="B47" s="175">
        <v>46048</v>
      </c>
      <c r="C47" s="171" t="s">
        <v>110</v>
      </c>
      <c r="D47" s="171" t="s">
        <v>24</v>
      </c>
      <c r="E47" s="171" t="s">
        <v>48</v>
      </c>
      <c r="F47" s="171" t="s">
        <v>198</v>
      </c>
      <c r="G47" s="171" t="s">
        <v>112</v>
      </c>
      <c r="H47" s="176">
        <v>1</v>
      </c>
      <c r="I47" s="177">
        <v>971</v>
      </c>
      <c r="J47" s="175">
        <v>46044</v>
      </c>
      <c r="K47" s="171" t="s">
        <v>113</v>
      </c>
      <c r="L47" s="171" t="s">
        <v>114</v>
      </c>
      <c r="M47" s="178">
        <v>0.43</v>
      </c>
      <c r="N47" s="176"/>
      <c r="O47" s="176">
        <v>54</v>
      </c>
      <c r="P47" s="179">
        <v>-121.5</v>
      </c>
    </row>
    <row r="48" spans="1:16" ht="19.5" customHeight="1">
      <c r="A48" s="171" t="s">
        <v>761</v>
      </c>
      <c r="B48" s="175">
        <v>46048</v>
      </c>
      <c r="C48" s="171" t="s">
        <v>127</v>
      </c>
      <c r="D48" s="171" t="s">
        <v>128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971</v>
      </c>
      <c r="J48" s="175">
        <v>46044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509.52</v>
      </c>
    </row>
    <row r="49" spans="1:16" ht="19.5" customHeight="1">
      <c r="A49" s="171" t="s">
        <v>761</v>
      </c>
      <c r="B49" s="175">
        <v>46048</v>
      </c>
      <c r="C49" s="171" t="s">
        <v>127</v>
      </c>
      <c r="D49" s="171" t="s">
        <v>129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971</v>
      </c>
      <c r="J49" s="175">
        <v>46044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761</v>
      </c>
      <c r="B50" s="175">
        <v>46048</v>
      </c>
      <c r="C50" s="171" t="s">
        <v>127</v>
      </c>
      <c r="D50" s="171" t="s">
        <v>130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971</v>
      </c>
      <c r="J50" s="175">
        <v>46044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461.48</v>
      </c>
    </row>
    <row r="51" spans="1:16" ht="19.5" customHeight="1">
      <c r="A51" s="171" t="s">
        <v>761</v>
      </c>
      <c r="B51" s="175">
        <v>46048</v>
      </c>
      <c r="C51" s="171" t="s">
        <v>131</v>
      </c>
      <c r="D51" s="171" t="s">
        <v>132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971</v>
      </c>
      <c r="J51" s="175">
        <v>46044</v>
      </c>
      <c r="K51" s="171" t="s">
        <v>113</v>
      </c>
      <c r="L51" s="171" t="s">
        <v>114</v>
      </c>
      <c r="M51" s="178">
        <v>0.43</v>
      </c>
      <c r="N51" s="176"/>
      <c r="O51" s="176"/>
      <c r="P51" s="179">
        <v>-417.53</v>
      </c>
    </row>
    <row r="52" spans="1:16" ht="19.5" customHeight="1">
      <c r="A52" s="171" t="s">
        <v>761</v>
      </c>
      <c r="B52" s="175">
        <v>46048</v>
      </c>
      <c r="C52" s="171" t="s">
        <v>115</v>
      </c>
      <c r="D52" s="171" t="s">
        <v>116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971</v>
      </c>
      <c r="J52" s="175">
        <v>46044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-5.05</v>
      </c>
    </row>
    <row r="53" spans="1:16" ht="19.5" customHeight="1">
      <c r="A53" s="171" t="s">
        <v>762</v>
      </c>
      <c r="B53" s="175">
        <v>46048</v>
      </c>
      <c r="C53" s="171" t="s">
        <v>115</v>
      </c>
      <c r="D53" s="171" t="s">
        <v>135</v>
      </c>
      <c r="E53" s="171" t="s">
        <v>47</v>
      </c>
      <c r="F53" s="171" t="s">
        <v>430</v>
      </c>
      <c r="G53" s="171" t="s">
        <v>112</v>
      </c>
      <c r="H53" s="176">
        <v>1</v>
      </c>
      <c r="I53" s="177">
        <v>0</v>
      </c>
      <c r="J53" s="175">
        <v>46048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-12.4</v>
      </c>
    </row>
    <row r="54" spans="1:16" ht="19.5" customHeight="1">
      <c r="A54" s="171" t="s">
        <v>763</v>
      </c>
      <c r="B54" s="175">
        <v>46048</v>
      </c>
      <c r="C54" s="171" t="s">
        <v>110</v>
      </c>
      <c r="D54" s="171" t="s">
        <v>24</v>
      </c>
      <c r="E54" s="171" t="s">
        <v>78</v>
      </c>
      <c r="F54" s="171" t="s">
        <v>176</v>
      </c>
      <c r="G54" s="171" t="s">
        <v>177</v>
      </c>
      <c r="H54" s="176">
        <v>1</v>
      </c>
      <c r="I54" s="177">
        <v>4940</v>
      </c>
      <c r="J54" s="175">
        <v>46045</v>
      </c>
      <c r="K54" s="171" t="s">
        <v>113</v>
      </c>
      <c r="L54" s="171" t="s">
        <v>114</v>
      </c>
      <c r="M54" s="178">
        <v>0.43</v>
      </c>
      <c r="N54" s="176"/>
      <c r="O54" s="176">
        <v>51</v>
      </c>
      <c r="P54" s="179">
        <v>-290.97000000000003</v>
      </c>
    </row>
    <row r="55" spans="1:16" ht="19.5" customHeight="1">
      <c r="A55" s="171" t="s">
        <v>763</v>
      </c>
      <c r="B55" s="175">
        <v>46048</v>
      </c>
      <c r="C55" s="171" t="s">
        <v>127</v>
      </c>
      <c r="D55" s="171" t="s">
        <v>128</v>
      </c>
      <c r="E55" s="171" t="s">
        <v>78</v>
      </c>
      <c r="F55" s="171" t="s">
        <v>176</v>
      </c>
      <c r="G55" s="171" t="s">
        <v>177</v>
      </c>
      <c r="H55" s="176">
        <v>1</v>
      </c>
      <c r="I55" s="177">
        <v>4940</v>
      </c>
      <c r="J55" s="175">
        <v>46045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1731.43</v>
      </c>
    </row>
    <row r="56" spans="1:16" ht="19.5" customHeight="1">
      <c r="A56" s="171" t="s">
        <v>763</v>
      </c>
      <c r="B56" s="175">
        <v>46048</v>
      </c>
      <c r="C56" s="171" t="s">
        <v>127</v>
      </c>
      <c r="D56" s="171" t="s">
        <v>129</v>
      </c>
      <c r="E56" s="171" t="s">
        <v>78</v>
      </c>
      <c r="F56" s="171" t="s">
        <v>176</v>
      </c>
      <c r="G56" s="171" t="s">
        <v>177</v>
      </c>
      <c r="H56" s="176">
        <v>1</v>
      </c>
      <c r="I56" s="177">
        <v>4940</v>
      </c>
      <c r="J56" s="175">
        <v>46045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17.309999999999999</v>
      </c>
    </row>
    <row r="57" spans="1:16" ht="19.5" customHeight="1">
      <c r="A57" s="171" t="s">
        <v>763</v>
      </c>
      <c r="B57" s="175">
        <v>46048</v>
      </c>
      <c r="C57" s="171" t="s">
        <v>127</v>
      </c>
      <c r="D57" s="171" t="s">
        <v>130</v>
      </c>
      <c r="E57" s="171" t="s">
        <v>78</v>
      </c>
      <c r="F57" s="171" t="s">
        <v>176</v>
      </c>
      <c r="G57" s="171" t="s">
        <v>177</v>
      </c>
      <c r="H57" s="176">
        <v>1</v>
      </c>
      <c r="I57" s="177">
        <v>4940</v>
      </c>
      <c r="J57" s="175">
        <v>46045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3191.26</v>
      </c>
    </row>
    <row r="58" spans="1:16" ht="19.5" customHeight="1">
      <c r="A58" s="171" t="s">
        <v>763</v>
      </c>
      <c r="B58" s="175">
        <v>46048</v>
      </c>
      <c r="C58" s="171" t="s">
        <v>131</v>
      </c>
      <c r="D58" s="171" t="s">
        <v>132</v>
      </c>
      <c r="E58" s="171" t="s">
        <v>78</v>
      </c>
      <c r="F58" s="171" t="s">
        <v>176</v>
      </c>
      <c r="G58" s="171" t="s">
        <v>177</v>
      </c>
      <c r="H58" s="176">
        <v>1</v>
      </c>
      <c r="I58" s="177">
        <v>4940</v>
      </c>
      <c r="J58" s="175">
        <v>46045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-2124.1999999999998</v>
      </c>
    </row>
    <row r="59" spans="1:16" ht="19.5" customHeight="1">
      <c r="A59" s="171" t="s">
        <v>763</v>
      </c>
      <c r="B59" s="175">
        <v>46048</v>
      </c>
      <c r="C59" s="171" t="s">
        <v>115</v>
      </c>
      <c r="D59" s="171" t="s">
        <v>116</v>
      </c>
      <c r="E59" s="171" t="s">
        <v>78</v>
      </c>
      <c r="F59" s="171" t="s">
        <v>176</v>
      </c>
      <c r="G59" s="171" t="s">
        <v>177</v>
      </c>
      <c r="H59" s="176">
        <v>1</v>
      </c>
      <c r="I59" s="177">
        <v>4940</v>
      </c>
      <c r="J59" s="175">
        <v>46045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-10.039999999999999</v>
      </c>
    </row>
    <row r="60" spans="1:16" ht="19.5" customHeight="1">
      <c r="A60" s="171" t="s">
        <v>764</v>
      </c>
      <c r="B60" s="175">
        <v>46048</v>
      </c>
      <c r="C60" s="171" t="s">
        <v>115</v>
      </c>
      <c r="D60" s="171" t="s">
        <v>135</v>
      </c>
      <c r="E60" s="171" t="s">
        <v>49</v>
      </c>
      <c r="F60" s="171" t="s">
        <v>490</v>
      </c>
      <c r="G60" s="171" t="s">
        <v>112</v>
      </c>
      <c r="H60" s="176">
        <v>1</v>
      </c>
      <c r="I60" s="177">
        <v>0</v>
      </c>
      <c r="J60" s="175">
        <v>46048</v>
      </c>
      <c r="K60" s="171" t="s">
        <v>125</v>
      </c>
      <c r="L60" s="171" t="s">
        <v>125</v>
      </c>
      <c r="M60" s="178">
        <v>0</v>
      </c>
      <c r="N60" s="176"/>
      <c r="O60" s="176"/>
      <c r="P60" s="179">
        <v>-12.71</v>
      </c>
    </row>
    <row r="61" spans="1:16" ht="19.5" customHeight="1">
      <c r="A61" s="171" t="s">
        <v>765</v>
      </c>
      <c r="B61" s="175">
        <v>46048</v>
      </c>
      <c r="C61" s="171" t="s">
        <v>115</v>
      </c>
      <c r="D61" s="171" t="s">
        <v>135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0</v>
      </c>
      <c r="J61" s="175">
        <v>46048</v>
      </c>
      <c r="K61" s="171" t="s">
        <v>125</v>
      </c>
      <c r="L61" s="171" t="s">
        <v>125</v>
      </c>
      <c r="M61" s="178">
        <v>0</v>
      </c>
      <c r="N61" s="176"/>
      <c r="O61" s="176"/>
      <c r="P61" s="179">
        <v>-14.93</v>
      </c>
    </row>
    <row r="62" spans="1:16" ht="19.5" customHeight="1">
      <c r="A62" s="171" t="s">
        <v>766</v>
      </c>
      <c r="B62" s="175">
        <v>46048</v>
      </c>
      <c r="C62" s="171" t="s">
        <v>115</v>
      </c>
      <c r="D62" s="171" t="s">
        <v>135</v>
      </c>
      <c r="E62" s="171" t="s">
        <v>79</v>
      </c>
      <c r="F62" s="171" t="s">
        <v>441</v>
      </c>
      <c r="G62" s="171" t="s">
        <v>177</v>
      </c>
      <c r="H62" s="176">
        <v>1</v>
      </c>
      <c r="I62" s="177">
        <v>0</v>
      </c>
      <c r="J62" s="175">
        <v>46048</v>
      </c>
      <c r="K62" s="171" t="s">
        <v>125</v>
      </c>
      <c r="L62" s="171" t="s">
        <v>125</v>
      </c>
      <c r="M62" s="178">
        <v>0</v>
      </c>
      <c r="N62" s="176"/>
      <c r="O62" s="176"/>
      <c r="P62" s="179">
        <v>-27.65</v>
      </c>
    </row>
    <row r="63" spans="1:16" ht="19.5" customHeight="1">
      <c r="A63" s="171" t="s">
        <v>763</v>
      </c>
      <c r="B63" s="175">
        <v>46048</v>
      </c>
      <c r="C63" s="171" t="s">
        <v>115</v>
      </c>
      <c r="D63" s="171" t="s">
        <v>135</v>
      </c>
      <c r="E63" s="171" t="s">
        <v>78</v>
      </c>
      <c r="F63" s="171" t="s">
        <v>176</v>
      </c>
      <c r="G63" s="171" t="s">
        <v>177</v>
      </c>
      <c r="H63" s="176">
        <v>1</v>
      </c>
      <c r="I63" s="177">
        <v>0</v>
      </c>
      <c r="J63" s="175">
        <v>46045</v>
      </c>
      <c r="K63" s="171" t="s">
        <v>125</v>
      </c>
      <c r="L63" s="171" t="s">
        <v>125</v>
      </c>
      <c r="M63" s="178">
        <v>0</v>
      </c>
      <c r="N63" s="176"/>
      <c r="O63" s="176"/>
      <c r="P63" s="179">
        <v>-32.9</v>
      </c>
    </row>
    <row r="64" spans="1:16" ht="19.5" customHeight="1">
      <c r="A64" s="171" t="s">
        <v>767</v>
      </c>
      <c r="B64" s="175">
        <v>46048</v>
      </c>
      <c r="C64" s="171" t="s">
        <v>115</v>
      </c>
      <c r="D64" s="171" t="s">
        <v>135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46048</v>
      </c>
      <c r="K64" s="171" t="s">
        <v>125</v>
      </c>
      <c r="L64" s="171" t="s">
        <v>125</v>
      </c>
      <c r="M64" s="178">
        <v>0</v>
      </c>
      <c r="N64" s="176"/>
      <c r="O64" s="176"/>
      <c r="P64" s="179">
        <v>-14.93</v>
      </c>
    </row>
    <row r="65" spans="1:16" ht="19.5" customHeight="1">
      <c r="A65" s="171" t="s">
        <v>768</v>
      </c>
      <c r="B65" s="175">
        <v>46048</v>
      </c>
      <c r="C65" s="171" t="s">
        <v>115</v>
      </c>
      <c r="D65" s="171" t="s">
        <v>135</v>
      </c>
      <c r="E65" s="171" t="s">
        <v>77</v>
      </c>
      <c r="F65" s="171" t="s">
        <v>194</v>
      </c>
      <c r="G65" s="171" t="s">
        <v>177</v>
      </c>
      <c r="H65" s="176">
        <v>1</v>
      </c>
      <c r="I65" s="177">
        <v>0</v>
      </c>
      <c r="J65" s="175">
        <v>46048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-11.03</v>
      </c>
    </row>
    <row r="66" spans="1:16" ht="19.5" customHeight="1">
      <c r="A66" s="171" t="s">
        <v>769</v>
      </c>
      <c r="B66" s="175">
        <v>46048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1670</v>
      </c>
      <c r="J66" s="175">
        <v>46046</v>
      </c>
      <c r="K66" s="171" t="s">
        <v>113</v>
      </c>
      <c r="L66" s="171" t="s">
        <v>114</v>
      </c>
      <c r="M66" s="178">
        <v>0.43</v>
      </c>
      <c r="N66" s="176"/>
      <c r="O66" s="176">
        <v>50</v>
      </c>
      <c r="P66" s="179">
        <v>-145.78</v>
      </c>
    </row>
    <row r="67" spans="1:16" ht="19.5" customHeight="1">
      <c r="A67" s="171" t="s">
        <v>769</v>
      </c>
      <c r="B67" s="175">
        <v>46048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1670</v>
      </c>
      <c r="J67" s="175">
        <v>46046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819.22</v>
      </c>
    </row>
    <row r="68" spans="1:16" ht="19.5" customHeight="1">
      <c r="A68" s="171" t="s">
        <v>769</v>
      </c>
      <c r="B68" s="175">
        <v>46048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1670</v>
      </c>
      <c r="J68" s="175">
        <v>46046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8.19</v>
      </c>
    </row>
    <row r="69" spans="1:16" ht="19.5" customHeight="1">
      <c r="A69" s="171" t="s">
        <v>769</v>
      </c>
      <c r="B69" s="175">
        <v>46048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1670</v>
      </c>
      <c r="J69" s="175">
        <v>46046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842.59</v>
      </c>
    </row>
    <row r="70" spans="1:16" ht="19.5" customHeight="1">
      <c r="A70" s="171" t="s">
        <v>769</v>
      </c>
      <c r="B70" s="175">
        <v>46048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1670</v>
      </c>
      <c r="J70" s="175">
        <v>46046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-718.1</v>
      </c>
    </row>
    <row r="71" spans="1:16" ht="19.5" customHeight="1">
      <c r="A71" s="171" t="s">
        <v>769</v>
      </c>
      <c r="B71" s="175">
        <v>46048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1670</v>
      </c>
      <c r="J71" s="175">
        <v>46046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-6.42</v>
      </c>
    </row>
    <row r="72" spans="1:16" ht="19.5" customHeight="1">
      <c r="A72" s="171" t="s">
        <v>770</v>
      </c>
      <c r="B72" s="175">
        <v>46048</v>
      </c>
      <c r="C72" s="171" t="s">
        <v>115</v>
      </c>
      <c r="D72" s="171" t="s">
        <v>135</v>
      </c>
      <c r="E72" s="171" t="s">
        <v>44</v>
      </c>
      <c r="F72" s="171" t="s">
        <v>213</v>
      </c>
      <c r="G72" s="171" t="s">
        <v>214</v>
      </c>
      <c r="H72" s="176">
        <v>1</v>
      </c>
      <c r="I72" s="177">
        <v>0</v>
      </c>
      <c r="J72" s="175">
        <v>46048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-13.72</v>
      </c>
    </row>
    <row r="73" spans="1:16" ht="19.5" customHeight="1">
      <c r="A73" s="171" t="s">
        <v>771</v>
      </c>
      <c r="B73" s="175">
        <v>46048</v>
      </c>
      <c r="C73" s="171" t="s">
        <v>123</v>
      </c>
      <c r="D73" s="171" t="s">
        <v>376</v>
      </c>
      <c r="E73" s="171" t="s">
        <v>125</v>
      </c>
      <c r="F73" s="171" t="s">
        <v>125</v>
      </c>
      <c r="G73" s="171" t="s">
        <v>125</v>
      </c>
      <c r="H73" s="176">
        <v>0</v>
      </c>
      <c r="I73" s="177">
        <v>0</v>
      </c>
      <c r="J73" s="175">
        <v>46040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-1670.4</v>
      </c>
    </row>
    <row r="74" spans="1:16" ht="19.5" customHeight="1">
      <c r="A74" s="171" t="s">
        <v>772</v>
      </c>
      <c r="B74" s="175">
        <v>46048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46047</v>
      </c>
      <c r="K74" s="171" t="s">
        <v>113</v>
      </c>
      <c r="L74" s="171" t="s">
        <v>114</v>
      </c>
      <c r="M74" s="178">
        <v>0.43</v>
      </c>
      <c r="N74" s="176"/>
      <c r="O74" s="176">
        <v>52</v>
      </c>
      <c r="P74" s="179">
        <v>-147.6</v>
      </c>
    </row>
    <row r="75" spans="1:16" ht="19.5" customHeight="1">
      <c r="A75" s="171" t="s">
        <v>772</v>
      </c>
      <c r="B75" s="175">
        <v>46048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46047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748.57</v>
      </c>
    </row>
    <row r="76" spans="1:16" ht="19.5" customHeight="1">
      <c r="A76" s="171" t="s">
        <v>772</v>
      </c>
      <c r="B76" s="175">
        <v>46048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46047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7.49</v>
      </c>
    </row>
    <row r="77" spans="1:16" ht="19.5" customHeight="1">
      <c r="A77" s="171" t="s">
        <v>772</v>
      </c>
      <c r="B77" s="175">
        <v>46048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46047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913.94</v>
      </c>
    </row>
    <row r="78" spans="1:16" ht="19.5" customHeight="1">
      <c r="A78" s="171" t="s">
        <v>772</v>
      </c>
      <c r="B78" s="175">
        <v>46048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46047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772</v>
      </c>
      <c r="B79" s="175">
        <v>46048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46047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-12.27</v>
      </c>
    </row>
    <row r="80" spans="1:16" ht="19.5" customHeight="1">
      <c r="A80" s="171" t="s">
        <v>773</v>
      </c>
      <c r="B80" s="175">
        <v>46048</v>
      </c>
      <c r="C80" s="171" t="s">
        <v>110</v>
      </c>
      <c r="D80" s="171" t="s">
        <v>24</v>
      </c>
      <c r="E80" s="171" t="s">
        <v>78</v>
      </c>
      <c r="F80" s="171" t="s">
        <v>176</v>
      </c>
      <c r="G80" s="171" t="s">
        <v>177</v>
      </c>
      <c r="H80" s="176">
        <v>1</v>
      </c>
      <c r="I80" s="177">
        <v>4940</v>
      </c>
      <c r="J80" s="175">
        <v>46043</v>
      </c>
      <c r="K80" s="171" t="s">
        <v>113</v>
      </c>
      <c r="L80" s="171" t="s">
        <v>114</v>
      </c>
      <c r="M80" s="178">
        <v>0.43</v>
      </c>
      <c r="N80" s="176"/>
      <c r="O80" s="176">
        <v>52</v>
      </c>
      <c r="P80" s="179">
        <v>-292.19</v>
      </c>
    </row>
    <row r="81" spans="1:16" ht="19.5" customHeight="1">
      <c r="A81" s="171" t="s">
        <v>773</v>
      </c>
      <c r="B81" s="175">
        <v>46048</v>
      </c>
      <c r="C81" s="171" t="s">
        <v>127</v>
      </c>
      <c r="D81" s="171" t="s">
        <v>128</v>
      </c>
      <c r="E81" s="171" t="s">
        <v>78</v>
      </c>
      <c r="F81" s="171" t="s">
        <v>176</v>
      </c>
      <c r="G81" s="171" t="s">
        <v>177</v>
      </c>
      <c r="H81" s="176">
        <v>1</v>
      </c>
      <c r="I81" s="177">
        <v>4940</v>
      </c>
      <c r="J81" s="175">
        <v>46043</v>
      </c>
      <c r="K81" s="171" t="s">
        <v>113</v>
      </c>
      <c r="L81" s="171" t="s">
        <v>114</v>
      </c>
      <c r="M81" s="178">
        <v>0</v>
      </c>
      <c r="N81" s="176"/>
      <c r="O81" s="176"/>
      <c r="P81" s="179">
        <v>2429.52</v>
      </c>
    </row>
    <row r="82" spans="1:16" ht="19.5" customHeight="1">
      <c r="A82" s="171" t="s">
        <v>773</v>
      </c>
      <c r="B82" s="175">
        <v>46048</v>
      </c>
      <c r="C82" s="171" t="s">
        <v>127</v>
      </c>
      <c r="D82" s="171" t="s">
        <v>129</v>
      </c>
      <c r="E82" s="171" t="s">
        <v>78</v>
      </c>
      <c r="F82" s="171" t="s">
        <v>176</v>
      </c>
      <c r="G82" s="171" t="s">
        <v>177</v>
      </c>
      <c r="H82" s="176">
        <v>1</v>
      </c>
      <c r="I82" s="177">
        <v>4940</v>
      </c>
      <c r="J82" s="175">
        <v>46043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24.3</v>
      </c>
    </row>
    <row r="83" spans="1:16" ht="19.5" customHeight="1">
      <c r="A83" s="171" t="s">
        <v>773</v>
      </c>
      <c r="B83" s="175">
        <v>46048</v>
      </c>
      <c r="C83" s="171" t="s">
        <v>127</v>
      </c>
      <c r="D83" s="171" t="s">
        <v>130</v>
      </c>
      <c r="E83" s="171" t="s">
        <v>78</v>
      </c>
      <c r="F83" s="171" t="s">
        <v>176</v>
      </c>
      <c r="G83" s="171" t="s">
        <v>177</v>
      </c>
      <c r="H83" s="176">
        <v>1</v>
      </c>
      <c r="I83" s="177">
        <v>4940</v>
      </c>
      <c r="J83" s="175">
        <v>46043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2486.1799999999998</v>
      </c>
    </row>
    <row r="84" spans="1:16" ht="19.5" customHeight="1">
      <c r="A84" s="171" t="s">
        <v>773</v>
      </c>
      <c r="B84" s="175">
        <v>46048</v>
      </c>
      <c r="C84" s="171" t="s">
        <v>131</v>
      </c>
      <c r="D84" s="171" t="s">
        <v>132</v>
      </c>
      <c r="E84" s="171" t="s">
        <v>78</v>
      </c>
      <c r="F84" s="171" t="s">
        <v>176</v>
      </c>
      <c r="G84" s="171" t="s">
        <v>177</v>
      </c>
      <c r="H84" s="176">
        <v>1</v>
      </c>
      <c r="I84" s="177">
        <v>4940</v>
      </c>
      <c r="J84" s="175">
        <v>46043</v>
      </c>
      <c r="K84" s="171" t="s">
        <v>113</v>
      </c>
      <c r="L84" s="171" t="s">
        <v>114</v>
      </c>
      <c r="M84" s="178">
        <v>0.43</v>
      </c>
      <c r="N84" s="176"/>
      <c r="O84" s="176"/>
      <c r="P84" s="179">
        <v>-2124.1999999999998</v>
      </c>
    </row>
    <row r="85" spans="1:16" ht="19.5" customHeight="1">
      <c r="A85" s="171" t="s">
        <v>773</v>
      </c>
      <c r="B85" s="175">
        <v>46048</v>
      </c>
      <c r="C85" s="171" t="s">
        <v>115</v>
      </c>
      <c r="D85" s="171" t="s">
        <v>116</v>
      </c>
      <c r="E85" s="171" t="s">
        <v>78</v>
      </c>
      <c r="F85" s="171" t="s">
        <v>176</v>
      </c>
      <c r="G85" s="171" t="s">
        <v>177</v>
      </c>
      <c r="H85" s="176">
        <v>1</v>
      </c>
      <c r="I85" s="177">
        <v>4940</v>
      </c>
      <c r="J85" s="175">
        <v>46043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-11.38</v>
      </c>
    </row>
    <row r="86" spans="1:16" ht="19.5" customHeight="1">
      <c r="A86" s="171" t="s">
        <v>774</v>
      </c>
      <c r="B86" s="175">
        <v>46048</v>
      </c>
      <c r="C86" s="171" t="s">
        <v>115</v>
      </c>
      <c r="D86" s="171" t="s">
        <v>135</v>
      </c>
      <c r="E86" s="171" t="s">
        <v>44</v>
      </c>
      <c r="F86" s="171" t="s">
        <v>213</v>
      </c>
      <c r="G86" s="171" t="s">
        <v>214</v>
      </c>
      <c r="H86" s="176">
        <v>1</v>
      </c>
      <c r="I86" s="177">
        <v>0</v>
      </c>
      <c r="J86" s="175">
        <v>46048</v>
      </c>
      <c r="K86" s="171" t="s">
        <v>125</v>
      </c>
      <c r="L86" s="171" t="s">
        <v>125</v>
      </c>
      <c r="M86" s="178">
        <v>0</v>
      </c>
      <c r="N86" s="176"/>
      <c r="O86" s="176"/>
      <c r="P86" s="179">
        <v>-13.19</v>
      </c>
    </row>
    <row r="87" spans="1:16" ht="19.5" customHeight="1">
      <c r="A87" s="171" t="s">
        <v>775</v>
      </c>
      <c r="B87" s="175">
        <v>46048</v>
      </c>
      <c r="C87" s="171" t="s">
        <v>110</v>
      </c>
      <c r="D87" s="171" t="s">
        <v>24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1670</v>
      </c>
      <c r="J87" s="175">
        <v>46046</v>
      </c>
      <c r="K87" s="171" t="s">
        <v>113</v>
      </c>
      <c r="L87" s="171" t="s">
        <v>114</v>
      </c>
      <c r="M87" s="178">
        <v>0.43</v>
      </c>
      <c r="N87" s="176"/>
      <c r="O87" s="176">
        <v>50</v>
      </c>
      <c r="P87" s="179">
        <v>-145.78</v>
      </c>
    </row>
    <row r="88" spans="1:16" ht="19.5" customHeight="1">
      <c r="A88" s="171" t="s">
        <v>775</v>
      </c>
      <c r="B88" s="175">
        <v>46048</v>
      </c>
      <c r="C88" s="171" t="s">
        <v>127</v>
      </c>
      <c r="D88" s="171" t="s">
        <v>128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1670</v>
      </c>
      <c r="J88" s="175">
        <v>46046</v>
      </c>
      <c r="K88" s="171" t="s">
        <v>113</v>
      </c>
      <c r="L88" s="171" t="s">
        <v>114</v>
      </c>
      <c r="M88" s="178">
        <v>0</v>
      </c>
      <c r="N88" s="176"/>
      <c r="O88" s="176"/>
      <c r="P88" s="179">
        <v>820</v>
      </c>
    </row>
    <row r="89" spans="1:16" ht="19.5" customHeight="1">
      <c r="A89" s="171" t="s">
        <v>775</v>
      </c>
      <c r="B89" s="175">
        <v>46048</v>
      </c>
      <c r="C89" s="171" t="s">
        <v>127</v>
      </c>
      <c r="D89" s="171" t="s">
        <v>129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1670</v>
      </c>
      <c r="J89" s="175">
        <v>46046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8.1999999999999993</v>
      </c>
    </row>
    <row r="90" spans="1:16" ht="19.5" customHeight="1">
      <c r="A90" s="171" t="s">
        <v>775</v>
      </c>
      <c r="B90" s="175">
        <v>46048</v>
      </c>
      <c r="C90" s="171" t="s">
        <v>127</v>
      </c>
      <c r="D90" s="171" t="s">
        <v>130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1670</v>
      </c>
      <c r="J90" s="175">
        <v>46046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841.8</v>
      </c>
    </row>
    <row r="91" spans="1:16" ht="19.5" customHeight="1">
      <c r="A91" s="171" t="s">
        <v>775</v>
      </c>
      <c r="B91" s="175">
        <v>46048</v>
      </c>
      <c r="C91" s="171" t="s">
        <v>131</v>
      </c>
      <c r="D91" s="171" t="s">
        <v>132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1670</v>
      </c>
      <c r="J91" s="175">
        <v>46046</v>
      </c>
      <c r="K91" s="171" t="s">
        <v>113</v>
      </c>
      <c r="L91" s="171" t="s">
        <v>114</v>
      </c>
      <c r="M91" s="178">
        <v>0.43</v>
      </c>
      <c r="N91" s="176"/>
      <c r="O91" s="176"/>
      <c r="P91" s="179">
        <v>-718.1</v>
      </c>
    </row>
    <row r="92" spans="1:16" ht="19.5" customHeight="1">
      <c r="A92" s="171" t="s">
        <v>775</v>
      </c>
      <c r="B92" s="175">
        <v>46048</v>
      </c>
      <c r="C92" s="171" t="s">
        <v>115</v>
      </c>
      <c r="D92" s="171" t="s">
        <v>116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1670</v>
      </c>
      <c r="J92" s="175">
        <v>46046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-7.54</v>
      </c>
    </row>
    <row r="93" spans="1:16" ht="19.5" customHeight="1">
      <c r="A93" s="171" t="s">
        <v>775</v>
      </c>
      <c r="B93" s="175">
        <v>46048</v>
      </c>
      <c r="C93" s="171" t="s">
        <v>115</v>
      </c>
      <c r="D93" s="171" t="s">
        <v>135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0</v>
      </c>
      <c r="J93" s="175">
        <v>46046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-15.58</v>
      </c>
    </row>
    <row r="94" spans="1:16" ht="19.5" customHeight="1">
      <c r="A94" s="171" t="s">
        <v>776</v>
      </c>
      <c r="B94" s="175">
        <v>46048</v>
      </c>
      <c r="C94" s="171" t="s">
        <v>110</v>
      </c>
      <c r="D94" s="171" t="s">
        <v>24</v>
      </c>
      <c r="E94" s="171" t="s">
        <v>61</v>
      </c>
      <c r="F94" s="171" t="s">
        <v>777</v>
      </c>
      <c r="G94" s="171" t="s">
        <v>177</v>
      </c>
      <c r="H94" s="176">
        <v>1</v>
      </c>
      <c r="I94" s="177">
        <v>0</v>
      </c>
      <c r="J94" s="175">
        <v>46040</v>
      </c>
      <c r="K94" s="171" t="s">
        <v>113</v>
      </c>
      <c r="L94" s="171" t="s">
        <v>114</v>
      </c>
      <c r="M94" s="178">
        <v>0</v>
      </c>
      <c r="N94" s="176"/>
      <c r="O94" s="176">
        <v>51</v>
      </c>
      <c r="P94" s="179">
        <v>-56.94</v>
      </c>
    </row>
    <row r="95" spans="1:16" ht="19.5" customHeight="1">
      <c r="A95" s="171" t="s">
        <v>776</v>
      </c>
      <c r="B95" s="175">
        <v>46048</v>
      </c>
      <c r="C95" s="171" t="s">
        <v>115</v>
      </c>
      <c r="D95" s="171" t="s">
        <v>116</v>
      </c>
      <c r="E95" s="171" t="s">
        <v>61</v>
      </c>
      <c r="F95" s="171" t="s">
        <v>777</v>
      </c>
      <c r="G95" s="171" t="s">
        <v>177</v>
      </c>
      <c r="H95" s="176">
        <v>1</v>
      </c>
      <c r="I95" s="177">
        <v>0</v>
      </c>
      <c r="J95" s="175">
        <v>46040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-23.72</v>
      </c>
    </row>
    <row r="96" spans="1:16" ht="19.5" customHeight="1">
      <c r="A96" s="171" t="s">
        <v>776</v>
      </c>
      <c r="B96" s="175">
        <v>46048</v>
      </c>
      <c r="C96" s="171" t="s">
        <v>110</v>
      </c>
      <c r="D96" s="171" t="s">
        <v>117</v>
      </c>
      <c r="E96" s="171" t="s">
        <v>61</v>
      </c>
      <c r="F96" s="171" t="s">
        <v>777</v>
      </c>
      <c r="G96" s="171" t="s">
        <v>177</v>
      </c>
      <c r="H96" s="176">
        <v>1</v>
      </c>
      <c r="I96" s="177">
        <v>0</v>
      </c>
      <c r="J96" s="175">
        <v>46040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0</v>
      </c>
    </row>
    <row r="97" spans="1:16" ht="19.5" customHeight="1">
      <c r="A97" s="171" t="s">
        <v>776</v>
      </c>
      <c r="B97" s="175">
        <v>46048</v>
      </c>
      <c r="C97" s="171" t="s">
        <v>110</v>
      </c>
      <c r="D97" s="171" t="s">
        <v>118</v>
      </c>
      <c r="E97" s="171" t="s">
        <v>61</v>
      </c>
      <c r="F97" s="171" t="s">
        <v>777</v>
      </c>
      <c r="G97" s="171" t="s">
        <v>177</v>
      </c>
      <c r="H97" s="176">
        <v>1</v>
      </c>
      <c r="I97" s="177">
        <v>0</v>
      </c>
      <c r="J97" s="175">
        <v>46040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-56.94</v>
      </c>
    </row>
    <row r="98" spans="1:16" ht="19.5" customHeight="1">
      <c r="A98" s="171" t="s">
        <v>776</v>
      </c>
      <c r="B98" s="175">
        <v>46048</v>
      </c>
      <c r="C98" s="171" t="s">
        <v>115</v>
      </c>
      <c r="D98" s="171" t="s">
        <v>119</v>
      </c>
      <c r="E98" s="171" t="s">
        <v>61</v>
      </c>
      <c r="F98" s="171" t="s">
        <v>777</v>
      </c>
      <c r="G98" s="171" t="s">
        <v>177</v>
      </c>
      <c r="H98" s="176">
        <v>1</v>
      </c>
      <c r="I98" s="177">
        <v>0</v>
      </c>
      <c r="J98" s="175">
        <v>46040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-15</v>
      </c>
    </row>
    <row r="99" spans="1:16" ht="19.5" customHeight="1">
      <c r="A99" s="171" t="s">
        <v>778</v>
      </c>
      <c r="B99" s="175">
        <v>46048</v>
      </c>
      <c r="C99" s="171" t="s">
        <v>110</v>
      </c>
      <c r="D99" s="171" t="s">
        <v>24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1670</v>
      </c>
      <c r="J99" s="175">
        <v>46046</v>
      </c>
      <c r="K99" s="171" t="s">
        <v>113</v>
      </c>
      <c r="L99" s="171" t="s">
        <v>114</v>
      </c>
      <c r="M99" s="178">
        <v>0.43</v>
      </c>
      <c r="N99" s="176"/>
      <c r="O99" s="176">
        <v>50</v>
      </c>
      <c r="P99" s="179">
        <v>-145.78</v>
      </c>
    </row>
    <row r="100" spans="1:16" ht="19.5" customHeight="1">
      <c r="A100" s="171" t="s">
        <v>778</v>
      </c>
      <c r="B100" s="175">
        <v>46048</v>
      </c>
      <c r="C100" s="171" t="s">
        <v>127</v>
      </c>
      <c r="D100" s="171" t="s">
        <v>128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1670</v>
      </c>
      <c r="J100" s="175">
        <v>46046</v>
      </c>
      <c r="K100" s="171" t="s">
        <v>113</v>
      </c>
      <c r="L100" s="171" t="s">
        <v>114</v>
      </c>
      <c r="M100" s="178">
        <v>0</v>
      </c>
      <c r="N100" s="176"/>
      <c r="O100" s="176"/>
      <c r="P100" s="179">
        <v>820</v>
      </c>
    </row>
    <row r="101" spans="1:16" ht="19.5" customHeight="1">
      <c r="A101" s="171" t="s">
        <v>778</v>
      </c>
      <c r="B101" s="175">
        <v>46048</v>
      </c>
      <c r="C101" s="171" t="s">
        <v>127</v>
      </c>
      <c r="D101" s="171" t="s">
        <v>129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1670</v>
      </c>
      <c r="J101" s="175">
        <v>46046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8.1999999999999993</v>
      </c>
    </row>
    <row r="102" spans="1:16" ht="19.5" customHeight="1">
      <c r="A102" s="171" t="s">
        <v>778</v>
      </c>
      <c r="B102" s="175">
        <v>46048</v>
      </c>
      <c r="C102" s="171" t="s">
        <v>127</v>
      </c>
      <c r="D102" s="171" t="s">
        <v>130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1670</v>
      </c>
      <c r="J102" s="175">
        <v>46046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841.8</v>
      </c>
    </row>
    <row r="103" spans="1:16" ht="19.5" customHeight="1">
      <c r="A103" s="171" t="s">
        <v>778</v>
      </c>
      <c r="B103" s="175">
        <v>46048</v>
      </c>
      <c r="C103" s="171" t="s">
        <v>131</v>
      </c>
      <c r="D103" s="171" t="s">
        <v>132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1670</v>
      </c>
      <c r="J103" s="175">
        <v>46046</v>
      </c>
      <c r="K103" s="171" t="s">
        <v>113</v>
      </c>
      <c r="L103" s="171" t="s">
        <v>114</v>
      </c>
      <c r="M103" s="178">
        <v>0.43</v>
      </c>
      <c r="N103" s="176"/>
      <c r="O103" s="176"/>
      <c r="P103" s="179">
        <v>-718.1</v>
      </c>
    </row>
    <row r="104" spans="1:16" ht="19.5" customHeight="1">
      <c r="A104" s="171" t="s">
        <v>778</v>
      </c>
      <c r="B104" s="175">
        <v>46048</v>
      </c>
      <c r="C104" s="171" t="s">
        <v>115</v>
      </c>
      <c r="D104" s="171" t="s">
        <v>116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1670</v>
      </c>
      <c r="J104" s="175">
        <v>46046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-10.83</v>
      </c>
    </row>
    <row r="105" spans="1:16" ht="19.5" customHeight="1">
      <c r="A105" s="171" t="s">
        <v>779</v>
      </c>
      <c r="B105" s="175">
        <v>46048</v>
      </c>
      <c r="C105" s="171" t="s">
        <v>110</v>
      </c>
      <c r="D105" s="171" t="s">
        <v>24</v>
      </c>
      <c r="E105" s="171" t="s">
        <v>43</v>
      </c>
      <c r="F105" s="171" t="s">
        <v>481</v>
      </c>
      <c r="G105" s="171" t="s">
        <v>214</v>
      </c>
      <c r="H105" s="176">
        <v>1</v>
      </c>
      <c r="I105" s="177">
        <v>1539</v>
      </c>
      <c r="J105" s="175">
        <v>46044</v>
      </c>
      <c r="K105" s="171" t="s">
        <v>113</v>
      </c>
      <c r="L105" s="171" t="s">
        <v>114</v>
      </c>
      <c r="M105" s="178">
        <v>0.43</v>
      </c>
      <c r="N105" s="176"/>
      <c r="O105" s="176">
        <v>54</v>
      </c>
      <c r="P105" s="179">
        <v>-143.77000000000001</v>
      </c>
    </row>
    <row r="106" spans="1:16" ht="19.5" customHeight="1">
      <c r="A106" s="171" t="s">
        <v>779</v>
      </c>
      <c r="B106" s="175">
        <v>46048</v>
      </c>
      <c r="C106" s="171" t="s">
        <v>127</v>
      </c>
      <c r="D106" s="171" t="s">
        <v>128</v>
      </c>
      <c r="E106" s="171" t="s">
        <v>43</v>
      </c>
      <c r="F106" s="171" t="s">
        <v>481</v>
      </c>
      <c r="G106" s="171" t="s">
        <v>214</v>
      </c>
      <c r="H106" s="176">
        <v>1</v>
      </c>
      <c r="I106" s="177">
        <v>1539</v>
      </c>
      <c r="J106" s="175">
        <v>46044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788.83</v>
      </c>
    </row>
    <row r="107" spans="1:16" ht="19.5" customHeight="1">
      <c r="A107" s="171" t="s">
        <v>779</v>
      </c>
      <c r="B107" s="175">
        <v>46048</v>
      </c>
      <c r="C107" s="171" t="s">
        <v>127</v>
      </c>
      <c r="D107" s="171" t="s">
        <v>129</v>
      </c>
      <c r="E107" s="171" t="s">
        <v>43</v>
      </c>
      <c r="F107" s="171" t="s">
        <v>481</v>
      </c>
      <c r="G107" s="171" t="s">
        <v>214</v>
      </c>
      <c r="H107" s="176">
        <v>1</v>
      </c>
      <c r="I107" s="177">
        <v>1539</v>
      </c>
      <c r="J107" s="175">
        <v>46044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7.89</v>
      </c>
    </row>
    <row r="108" spans="1:16" ht="19.5" customHeight="1">
      <c r="A108" s="171" t="s">
        <v>779</v>
      </c>
      <c r="B108" s="175">
        <v>46048</v>
      </c>
      <c r="C108" s="171" t="s">
        <v>127</v>
      </c>
      <c r="D108" s="171" t="s">
        <v>130</v>
      </c>
      <c r="E108" s="171" t="s">
        <v>43</v>
      </c>
      <c r="F108" s="171" t="s">
        <v>481</v>
      </c>
      <c r="G108" s="171" t="s">
        <v>214</v>
      </c>
      <c r="H108" s="176">
        <v>1</v>
      </c>
      <c r="I108" s="177">
        <v>1539</v>
      </c>
      <c r="J108" s="175">
        <v>46044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742.28</v>
      </c>
    </row>
    <row r="109" spans="1:16" ht="19.5" customHeight="1">
      <c r="A109" s="171" t="s">
        <v>779</v>
      </c>
      <c r="B109" s="175">
        <v>46048</v>
      </c>
      <c r="C109" s="171" t="s">
        <v>131</v>
      </c>
      <c r="D109" s="171" t="s">
        <v>132</v>
      </c>
      <c r="E109" s="171" t="s">
        <v>43</v>
      </c>
      <c r="F109" s="171" t="s">
        <v>481</v>
      </c>
      <c r="G109" s="171" t="s">
        <v>214</v>
      </c>
      <c r="H109" s="176">
        <v>1</v>
      </c>
      <c r="I109" s="177">
        <v>1539</v>
      </c>
      <c r="J109" s="175">
        <v>46044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-661.77</v>
      </c>
    </row>
    <row r="110" spans="1:16" ht="19.5" customHeight="1">
      <c r="A110" s="171" t="s">
        <v>779</v>
      </c>
      <c r="B110" s="175">
        <v>46048</v>
      </c>
      <c r="C110" s="171" t="s">
        <v>115</v>
      </c>
      <c r="D110" s="171" t="s">
        <v>116</v>
      </c>
      <c r="E110" s="171" t="s">
        <v>43</v>
      </c>
      <c r="F110" s="171" t="s">
        <v>481</v>
      </c>
      <c r="G110" s="171" t="s">
        <v>214</v>
      </c>
      <c r="H110" s="176">
        <v>1</v>
      </c>
      <c r="I110" s="177">
        <v>1539</v>
      </c>
      <c r="J110" s="175">
        <v>46044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-9.42</v>
      </c>
    </row>
    <row r="111" spans="1:16" ht="19.5" customHeight="1">
      <c r="A111" s="171" t="s">
        <v>780</v>
      </c>
      <c r="B111" s="175">
        <v>46048</v>
      </c>
      <c r="C111" s="171" t="s">
        <v>110</v>
      </c>
      <c r="D111" s="171" t="s">
        <v>24</v>
      </c>
      <c r="E111" s="171" t="s">
        <v>78</v>
      </c>
      <c r="F111" s="171" t="s">
        <v>176</v>
      </c>
      <c r="G111" s="171" t="s">
        <v>177</v>
      </c>
      <c r="H111" s="176">
        <v>1</v>
      </c>
      <c r="I111" s="177">
        <v>0</v>
      </c>
      <c r="J111" s="175">
        <v>46025</v>
      </c>
      <c r="K111" s="171" t="s">
        <v>113</v>
      </c>
      <c r="L111" s="171" t="s">
        <v>114</v>
      </c>
      <c r="M111" s="178">
        <v>0</v>
      </c>
      <c r="N111" s="176"/>
      <c r="O111" s="176">
        <v>39</v>
      </c>
      <c r="P111" s="179">
        <v>-56.94</v>
      </c>
    </row>
    <row r="112" spans="1:16" ht="19.5" customHeight="1">
      <c r="A112" s="171" t="s">
        <v>780</v>
      </c>
      <c r="B112" s="175">
        <v>46048</v>
      </c>
      <c r="C112" s="171" t="s">
        <v>115</v>
      </c>
      <c r="D112" s="171" t="s">
        <v>116</v>
      </c>
      <c r="E112" s="171" t="s">
        <v>78</v>
      </c>
      <c r="F112" s="171" t="s">
        <v>176</v>
      </c>
      <c r="G112" s="171" t="s">
        <v>177</v>
      </c>
      <c r="H112" s="176">
        <v>1</v>
      </c>
      <c r="I112" s="177">
        <v>0</v>
      </c>
      <c r="J112" s="175">
        <v>46025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-14.06</v>
      </c>
    </row>
    <row r="113" spans="1:16" ht="19.5" customHeight="1">
      <c r="A113" s="171" t="s">
        <v>779</v>
      </c>
      <c r="B113" s="175">
        <v>46048</v>
      </c>
      <c r="C113" s="171" t="s">
        <v>115</v>
      </c>
      <c r="D113" s="171" t="s">
        <v>135</v>
      </c>
      <c r="E113" s="171" t="s">
        <v>43</v>
      </c>
      <c r="F113" s="171" t="s">
        <v>481</v>
      </c>
      <c r="G113" s="171" t="s">
        <v>214</v>
      </c>
      <c r="H113" s="176">
        <v>1</v>
      </c>
      <c r="I113" s="177">
        <v>0</v>
      </c>
      <c r="J113" s="175">
        <v>46044</v>
      </c>
      <c r="K113" s="171" t="s">
        <v>125</v>
      </c>
      <c r="L113" s="171" t="s">
        <v>125</v>
      </c>
      <c r="M113" s="178">
        <v>0</v>
      </c>
      <c r="N113" s="176"/>
      <c r="O113" s="176"/>
      <c r="P113" s="179">
        <v>-14.99</v>
      </c>
    </row>
    <row r="114" spans="1:16" ht="19.5" customHeight="1">
      <c r="A114" s="171" t="s">
        <v>780</v>
      </c>
      <c r="B114" s="175">
        <v>46048</v>
      </c>
      <c r="C114" s="171" t="s">
        <v>110</v>
      </c>
      <c r="D114" s="171" t="s">
        <v>117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46025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0</v>
      </c>
    </row>
    <row r="115" spans="1:16" ht="19.5" customHeight="1">
      <c r="A115" s="171" t="s">
        <v>780</v>
      </c>
      <c r="B115" s="175">
        <v>46048</v>
      </c>
      <c r="C115" s="171" t="s">
        <v>110</v>
      </c>
      <c r="D115" s="171" t="s">
        <v>118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46025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-56.94</v>
      </c>
    </row>
    <row r="116" spans="1:16" ht="19.5" customHeight="1">
      <c r="A116" s="171" t="s">
        <v>780</v>
      </c>
      <c r="B116" s="175">
        <v>46048</v>
      </c>
      <c r="C116" s="171" t="s">
        <v>115</v>
      </c>
      <c r="D116" s="171" t="s">
        <v>119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46025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-15</v>
      </c>
    </row>
    <row r="117" spans="1:16" ht="19.5" customHeight="1">
      <c r="A117" s="171" t="s">
        <v>781</v>
      </c>
      <c r="B117" s="175">
        <v>46048</v>
      </c>
      <c r="C117" s="171" t="s">
        <v>110</v>
      </c>
      <c r="D117" s="171" t="s">
        <v>24</v>
      </c>
      <c r="E117" s="171" t="s">
        <v>45</v>
      </c>
      <c r="F117" s="171" t="s">
        <v>162</v>
      </c>
      <c r="G117" s="171" t="s">
        <v>163</v>
      </c>
      <c r="H117" s="176">
        <v>1</v>
      </c>
      <c r="I117" s="177">
        <v>1711</v>
      </c>
      <c r="J117" s="175">
        <v>46035</v>
      </c>
      <c r="K117" s="171" t="s">
        <v>113</v>
      </c>
      <c r="L117" s="171" t="s">
        <v>114</v>
      </c>
      <c r="M117" s="178">
        <v>0.43</v>
      </c>
      <c r="N117" s="176"/>
      <c r="O117" s="176">
        <v>46</v>
      </c>
      <c r="P117" s="179">
        <v>-138.07</v>
      </c>
    </row>
    <row r="118" spans="1:16" ht="19.5" customHeight="1">
      <c r="A118" s="171" t="s">
        <v>781</v>
      </c>
      <c r="B118" s="175">
        <v>46048</v>
      </c>
      <c r="C118" s="171" t="s">
        <v>127</v>
      </c>
      <c r="D118" s="171" t="s">
        <v>128</v>
      </c>
      <c r="E118" s="171" t="s">
        <v>45</v>
      </c>
      <c r="F118" s="171" t="s">
        <v>162</v>
      </c>
      <c r="G118" s="171" t="s">
        <v>163</v>
      </c>
      <c r="H118" s="176">
        <v>1</v>
      </c>
      <c r="I118" s="177">
        <v>1711</v>
      </c>
      <c r="J118" s="175">
        <v>46035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882.02</v>
      </c>
    </row>
    <row r="119" spans="1:16" ht="19.5" customHeight="1">
      <c r="A119" s="171" t="s">
        <v>781</v>
      </c>
      <c r="B119" s="175">
        <v>46048</v>
      </c>
      <c r="C119" s="171" t="s">
        <v>127</v>
      </c>
      <c r="D119" s="171" t="s">
        <v>129</v>
      </c>
      <c r="E119" s="171" t="s">
        <v>45</v>
      </c>
      <c r="F119" s="171" t="s">
        <v>162</v>
      </c>
      <c r="G119" s="171" t="s">
        <v>163</v>
      </c>
      <c r="H119" s="176">
        <v>1</v>
      </c>
      <c r="I119" s="177">
        <v>1711</v>
      </c>
      <c r="J119" s="175">
        <v>46035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8.82</v>
      </c>
    </row>
    <row r="120" spans="1:16" ht="19.5" customHeight="1">
      <c r="A120" s="171" t="s">
        <v>781</v>
      </c>
      <c r="B120" s="175">
        <v>46048</v>
      </c>
      <c r="C120" s="171" t="s">
        <v>127</v>
      </c>
      <c r="D120" s="171" t="s">
        <v>130</v>
      </c>
      <c r="E120" s="171" t="s">
        <v>45</v>
      </c>
      <c r="F120" s="171" t="s">
        <v>162</v>
      </c>
      <c r="G120" s="171" t="s">
        <v>163</v>
      </c>
      <c r="H120" s="176">
        <v>1</v>
      </c>
      <c r="I120" s="177">
        <v>1711</v>
      </c>
      <c r="J120" s="175">
        <v>46035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820.16</v>
      </c>
    </row>
    <row r="121" spans="1:16" ht="19.5" customHeight="1">
      <c r="A121" s="171" t="s">
        <v>781</v>
      </c>
      <c r="B121" s="175">
        <v>46048</v>
      </c>
      <c r="C121" s="171" t="s">
        <v>131</v>
      </c>
      <c r="D121" s="171" t="s">
        <v>132</v>
      </c>
      <c r="E121" s="171" t="s">
        <v>45</v>
      </c>
      <c r="F121" s="171" t="s">
        <v>162</v>
      </c>
      <c r="G121" s="171" t="s">
        <v>163</v>
      </c>
      <c r="H121" s="176">
        <v>1</v>
      </c>
      <c r="I121" s="177">
        <v>1711</v>
      </c>
      <c r="J121" s="175">
        <v>46035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-735.73</v>
      </c>
    </row>
    <row r="122" spans="1:16" ht="19.5" customHeight="1">
      <c r="A122" s="171" t="s">
        <v>781</v>
      </c>
      <c r="B122" s="175">
        <v>46048</v>
      </c>
      <c r="C122" s="171" t="s">
        <v>115</v>
      </c>
      <c r="D122" s="171" t="s">
        <v>116</v>
      </c>
      <c r="E122" s="171" t="s">
        <v>45</v>
      </c>
      <c r="F122" s="171" t="s">
        <v>162</v>
      </c>
      <c r="G122" s="171" t="s">
        <v>163</v>
      </c>
      <c r="H122" s="176">
        <v>1</v>
      </c>
      <c r="I122" s="177">
        <v>1711</v>
      </c>
      <c r="J122" s="175">
        <v>46035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-9.4</v>
      </c>
    </row>
    <row r="123" spans="1:16" ht="19.5" customHeight="1">
      <c r="A123" s="171" t="s">
        <v>782</v>
      </c>
      <c r="B123" s="175">
        <v>46048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46046</v>
      </c>
      <c r="K123" s="171" t="s">
        <v>113</v>
      </c>
      <c r="L123" s="171" t="s">
        <v>114</v>
      </c>
      <c r="M123" s="178">
        <v>0.43</v>
      </c>
      <c r="N123" s="176"/>
      <c r="O123" s="176">
        <v>50</v>
      </c>
      <c r="P123" s="179">
        <v>-145.78</v>
      </c>
    </row>
    <row r="124" spans="1:16" ht="19.5" customHeight="1">
      <c r="A124" s="171" t="s">
        <v>782</v>
      </c>
      <c r="B124" s="175">
        <v>46048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1670</v>
      </c>
      <c r="J124" s="175">
        <v>46046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820</v>
      </c>
    </row>
    <row r="125" spans="1:16" ht="19.5" customHeight="1">
      <c r="A125" s="171" t="s">
        <v>782</v>
      </c>
      <c r="B125" s="175">
        <v>46048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1670</v>
      </c>
      <c r="J125" s="175">
        <v>46046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8.1999999999999993</v>
      </c>
    </row>
    <row r="126" spans="1:16" ht="19.5" customHeight="1">
      <c r="A126" s="171" t="s">
        <v>782</v>
      </c>
      <c r="B126" s="175">
        <v>46048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1670</v>
      </c>
      <c r="J126" s="175">
        <v>46046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841.8</v>
      </c>
    </row>
    <row r="127" spans="1:16" ht="19.5" customHeight="1">
      <c r="A127" s="171" t="s">
        <v>782</v>
      </c>
      <c r="B127" s="175">
        <v>46048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1670</v>
      </c>
      <c r="J127" s="175">
        <v>46046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-718.1</v>
      </c>
    </row>
    <row r="128" spans="1:16" ht="19.5" customHeight="1">
      <c r="A128" s="171" t="s">
        <v>782</v>
      </c>
      <c r="B128" s="175">
        <v>46048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1670</v>
      </c>
      <c r="J128" s="175">
        <v>46046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-8.25</v>
      </c>
    </row>
    <row r="129" spans="1:16" ht="19.5" customHeight="1">
      <c r="A129" s="171" t="s">
        <v>783</v>
      </c>
      <c r="B129" s="175">
        <v>46048</v>
      </c>
      <c r="C129" s="171" t="s">
        <v>110</v>
      </c>
      <c r="D129" s="171" t="s">
        <v>24</v>
      </c>
      <c r="E129" s="171" t="s">
        <v>77</v>
      </c>
      <c r="F129" s="171" t="s">
        <v>194</v>
      </c>
      <c r="G129" s="171" t="s">
        <v>177</v>
      </c>
      <c r="H129" s="176">
        <v>1</v>
      </c>
      <c r="I129" s="177">
        <v>4178</v>
      </c>
      <c r="J129" s="175">
        <v>46044</v>
      </c>
      <c r="K129" s="171" t="s">
        <v>113</v>
      </c>
      <c r="L129" s="171" t="s">
        <v>114</v>
      </c>
      <c r="M129" s="178">
        <v>0.43</v>
      </c>
      <c r="N129" s="176"/>
      <c r="O129" s="176">
        <v>54</v>
      </c>
      <c r="P129" s="179">
        <v>-265.36</v>
      </c>
    </row>
    <row r="130" spans="1:16" ht="19.5" customHeight="1">
      <c r="A130" s="171" t="s">
        <v>783</v>
      </c>
      <c r="B130" s="175">
        <v>46048</v>
      </c>
      <c r="C130" s="171" t="s">
        <v>127</v>
      </c>
      <c r="D130" s="171" t="s">
        <v>128</v>
      </c>
      <c r="E130" s="171" t="s">
        <v>77</v>
      </c>
      <c r="F130" s="171" t="s">
        <v>194</v>
      </c>
      <c r="G130" s="171" t="s">
        <v>177</v>
      </c>
      <c r="H130" s="176">
        <v>1</v>
      </c>
      <c r="I130" s="177">
        <v>4178</v>
      </c>
      <c r="J130" s="175">
        <v>46044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1773.33</v>
      </c>
    </row>
    <row r="131" spans="1:16" ht="19.5" customHeight="1">
      <c r="A131" s="171" t="s">
        <v>783</v>
      </c>
      <c r="B131" s="175">
        <v>46048</v>
      </c>
      <c r="C131" s="171" t="s">
        <v>127</v>
      </c>
      <c r="D131" s="171" t="s">
        <v>129</v>
      </c>
      <c r="E131" s="171" t="s">
        <v>77</v>
      </c>
      <c r="F131" s="171" t="s">
        <v>194</v>
      </c>
      <c r="G131" s="171" t="s">
        <v>177</v>
      </c>
      <c r="H131" s="176">
        <v>1</v>
      </c>
      <c r="I131" s="177">
        <v>4178</v>
      </c>
      <c r="J131" s="175">
        <v>46044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783</v>
      </c>
      <c r="B132" s="175">
        <v>46048</v>
      </c>
      <c r="C132" s="171" t="s">
        <v>127</v>
      </c>
      <c r="D132" s="171" t="s">
        <v>130</v>
      </c>
      <c r="E132" s="171" t="s">
        <v>77</v>
      </c>
      <c r="F132" s="171" t="s">
        <v>194</v>
      </c>
      <c r="G132" s="171" t="s">
        <v>177</v>
      </c>
      <c r="H132" s="176">
        <v>1</v>
      </c>
      <c r="I132" s="177">
        <v>4178</v>
      </c>
      <c r="J132" s="175">
        <v>46044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2404.67</v>
      </c>
    </row>
    <row r="133" spans="1:16" ht="19.5" customHeight="1">
      <c r="A133" s="171" t="s">
        <v>783</v>
      </c>
      <c r="B133" s="175">
        <v>46048</v>
      </c>
      <c r="C133" s="171" t="s">
        <v>131</v>
      </c>
      <c r="D133" s="171" t="s">
        <v>132</v>
      </c>
      <c r="E133" s="171" t="s">
        <v>77</v>
      </c>
      <c r="F133" s="171" t="s">
        <v>194</v>
      </c>
      <c r="G133" s="171" t="s">
        <v>177</v>
      </c>
      <c r="H133" s="176">
        <v>1</v>
      </c>
      <c r="I133" s="177">
        <v>4178</v>
      </c>
      <c r="J133" s="175">
        <v>46044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-1796.54</v>
      </c>
    </row>
    <row r="134" spans="1:16" ht="19.5" customHeight="1">
      <c r="A134" s="171" t="s">
        <v>783</v>
      </c>
      <c r="B134" s="175">
        <v>46048</v>
      </c>
      <c r="C134" s="171" t="s">
        <v>115</v>
      </c>
      <c r="D134" s="171" t="s">
        <v>116</v>
      </c>
      <c r="E134" s="171" t="s">
        <v>77</v>
      </c>
      <c r="F134" s="171" t="s">
        <v>194</v>
      </c>
      <c r="G134" s="171" t="s">
        <v>177</v>
      </c>
      <c r="H134" s="176">
        <v>1</v>
      </c>
      <c r="I134" s="177">
        <v>4178</v>
      </c>
      <c r="J134" s="175">
        <v>46044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-14.84</v>
      </c>
    </row>
    <row r="135" spans="1:16" ht="19.5" customHeight="1">
      <c r="A135" s="171" t="s">
        <v>784</v>
      </c>
      <c r="B135" s="175">
        <v>46048</v>
      </c>
      <c r="C135" s="171" t="s">
        <v>110</v>
      </c>
      <c r="D135" s="171" t="s">
        <v>24</v>
      </c>
      <c r="E135" s="171" t="s">
        <v>78</v>
      </c>
      <c r="F135" s="171" t="s">
        <v>176</v>
      </c>
      <c r="G135" s="171" t="s">
        <v>177</v>
      </c>
      <c r="H135" s="176">
        <v>1</v>
      </c>
      <c r="I135" s="177">
        <v>0</v>
      </c>
      <c r="J135" s="175">
        <v>46045</v>
      </c>
      <c r="K135" s="171" t="s">
        <v>113</v>
      </c>
      <c r="L135" s="171" t="s">
        <v>114</v>
      </c>
      <c r="M135" s="178">
        <v>0</v>
      </c>
      <c r="N135" s="176"/>
      <c r="O135" s="176">
        <v>51</v>
      </c>
      <c r="P135" s="179">
        <v>-56.94</v>
      </c>
    </row>
    <row r="136" spans="1:16" ht="19.5" customHeight="1">
      <c r="A136" s="171" t="s">
        <v>784</v>
      </c>
      <c r="B136" s="175">
        <v>46048</v>
      </c>
      <c r="C136" s="171" t="s">
        <v>110</v>
      </c>
      <c r="D136" s="171" t="s">
        <v>117</v>
      </c>
      <c r="E136" s="171" t="s">
        <v>78</v>
      </c>
      <c r="F136" s="171" t="s">
        <v>176</v>
      </c>
      <c r="G136" s="171" t="s">
        <v>177</v>
      </c>
      <c r="H136" s="176">
        <v>1</v>
      </c>
      <c r="I136" s="177">
        <v>0</v>
      </c>
      <c r="J136" s="175">
        <v>46045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0</v>
      </c>
    </row>
    <row r="137" spans="1:16" ht="19.5" customHeight="1">
      <c r="A137" s="171" t="s">
        <v>784</v>
      </c>
      <c r="B137" s="175">
        <v>46048</v>
      </c>
      <c r="C137" s="171" t="s">
        <v>110</v>
      </c>
      <c r="D137" s="171" t="s">
        <v>118</v>
      </c>
      <c r="E137" s="171" t="s">
        <v>78</v>
      </c>
      <c r="F137" s="171" t="s">
        <v>176</v>
      </c>
      <c r="G137" s="171" t="s">
        <v>177</v>
      </c>
      <c r="H137" s="176">
        <v>1</v>
      </c>
      <c r="I137" s="177">
        <v>0</v>
      </c>
      <c r="J137" s="175">
        <v>46045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-56.94</v>
      </c>
    </row>
    <row r="138" spans="1:16" ht="19.5" customHeight="1">
      <c r="A138" s="171" t="s">
        <v>785</v>
      </c>
      <c r="B138" s="175">
        <v>46048</v>
      </c>
      <c r="C138" s="171" t="s">
        <v>123</v>
      </c>
      <c r="D138" s="171" t="s">
        <v>376</v>
      </c>
      <c r="E138" s="171" t="s">
        <v>125</v>
      </c>
      <c r="F138" s="171" t="s">
        <v>125</v>
      </c>
      <c r="G138" s="171" t="s">
        <v>125</v>
      </c>
      <c r="H138" s="176">
        <v>0</v>
      </c>
      <c r="I138" s="177">
        <v>0</v>
      </c>
      <c r="J138" s="175">
        <v>46040</v>
      </c>
      <c r="K138" s="171" t="s">
        <v>125</v>
      </c>
      <c r="L138" s="171" t="s">
        <v>125</v>
      </c>
      <c r="M138" s="178">
        <v>0</v>
      </c>
      <c r="N138" s="176"/>
      <c r="O138" s="176"/>
      <c r="P138" s="179">
        <v>-1209.3</v>
      </c>
    </row>
    <row r="139" spans="1:16" ht="19.5" customHeight="1">
      <c r="A139" s="171" t="s">
        <v>697</v>
      </c>
      <c r="B139" s="175">
        <v>46048</v>
      </c>
      <c r="C139" s="171" t="s">
        <v>110</v>
      </c>
      <c r="D139" s="171" t="s">
        <v>117</v>
      </c>
      <c r="E139" s="171" t="s">
        <v>68</v>
      </c>
      <c r="F139" s="171" t="s">
        <v>698</v>
      </c>
      <c r="G139" s="171" t="s">
        <v>699</v>
      </c>
      <c r="H139" s="176">
        <v>1</v>
      </c>
      <c r="I139" s="177">
        <v>0</v>
      </c>
      <c r="J139" s="175">
        <v>46042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0</v>
      </c>
    </row>
    <row r="140" spans="1:16" ht="19.5" customHeight="1">
      <c r="A140" s="171" t="s">
        <v>697</v>
      </c>
      <c r="B140" s="175">
        <v>46048</v>
      </c>
      <c r="C140" s="171" t="s">
        <v>110</v>
      </c>
      <c r="D140" s="171" t="s">
        <v>118</v>
      </c>
      <c r="E140" s="171" t="s">
        <v>68</v>
      </c>
      <c r="F140" s="171" t="s">
        <v>698</v>
      </c>
      <c r="G140" s="171" t="s">
        <v>699</v>
      </c>
      <c r="H140" s="176">
        <v>1</v>
      </c>
      <c r="I140" s="177">
        <v>0</v>
      </c>
      <c r="J140" s="175">
        <v>46042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-56.94</v>
      </c>
    </row>
    <row r="141" spans="1:16" ht="19.5" customHeight="1">
      <c r="A141" s="171" t="s">
        <v>697</v>
      </c>
      <c r="B141" s="175">
        <v>46048</v>
      </c>
      <c r="C141" s="171" t="s">
        <v>115</v>
      </c>
      <c r="D141" s="171" t="s">
        <v>119</v>
      </c>
      <c r="E141" s="171" t="s">
        <v>68</v>
      </c>
      <c r="F141" s="171" t="s">
        <v>698</v>
      </c>
      <c r="G141" s="171" t="s">
        <v>699</v>
      </c>
      <c r="H141" s="176">
        <v>1</v>
      </c>
      <c r="I141" s="177">
        <v>0</v>
      </c>
      <c r="J141" s="175">
        <v>46042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-15</v>
      </c>
    </row>
    <row r="142" spans="1:16" ht="19.5" customHeight="1">
      <c r="A142" s="171" t="s">
        <v>697</v>
      </c>
      <c r="B142" s="175">
        <v>46048</v>
      </c>
      <c r="C142" s="171" t="s">
        <v>110</v>
      </c>
      <c r="D142" s="171" t="s">
        <v>24</v>
      </c>
      <c r="E142" s="171" t="s">
        <v>68</v>
      </c>
      <c r="F142" s="171" t="s">
        <v>698</v>
      </c>
      <c r="G142" s="171" t="s">
        <v>699</v>
      </c>
      <c r="H142" s="176">
        <v>1</v>
      </c>
      <c r="I142" s="177">
        <v>0</v>
      </c>
      <c r="J142" s="175">
        <v>46042</v>
      </c>
      <c r="K142" s="171" t="s">
        <v>113</v>
      </c>
      <c r="L142" s="171" t="s">
        <v>114</v>
      </c>
      <c r="M142" s="178">
        <v>0</v>
      </c>
      <c r="N142" s="176"/>
      <c r="O142" s="176">
        <v>52</v>
      </c>
      <c r="P142" s="179">
        <v>-56.94</v>
      </c>
    </row>
    <row r="143" spans="1:16" ht="19.5" customHeight="1">
      <c r="A143" s="171" t="s">
        <v>697</v>
      </c>
      <c r="B143" s="175">
        <v>46048</v>
      </c>
      <c r="C143" s="171" t="s">
        <v>115</v>
      </c>
      <c r="D143" s="171" t="s">
        <v>116</v>
      </c>
      <c r="E143" s="171" t="s">
        <v>68</v>
      </c>
      <c r="F143" s="171" t="s">
        <v>698</v>
      </c>
      <c r="G143" s="171" t="s">
        <v>699</v>
      </c>
      <c r="H143" s="176">
        <v>1</v>
      </c>
      <c r="I143" s="177">
        <v>0</v>
      </c>
      <c r="J143" s="175">
        <v>46042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-11.16</v>
      </c>
    </row>
    <row r="144" spans="1:16" ht="19.5" customHeight="1">
      <c r="A144" s="171" t="s">
        <v>786</v>
      </c>
      <c r="B144" s="175">
        <v>46048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46048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-5.82</v>
      </c>
    </row>
    <row r="145" spans="1:16" ht="19.5" customHeight="1">
      <c r="A145" s="171" t="s">
        <v>710</v>
      </c>
      <c r="B145" s="175">
        <v>46048</v>
      </c>
      <c r="C145" s="171" t="s">
        <v>151</v>
      </c>
      <c r="D145" s="171" t="s">
        <v>152</v>
      </c>
      <c r="E145" s="171" t="s">
        <v>125</v>
      </c>
      <c r="F145" s="171" t="s">
        <v>125</v>
      </c>
      <c r="G145" s="171" t="s">
        <v>125</v>
      </c>
      <c r="H145" s="176">
        <v>0</v>
      </c>
      <c r="I145" s="177">
        <v>0</v>
      </c>
      <c r="J145" s="175">
        <v>46048</v>
      </c>
      <c r="K145" s="171" t="s">
        <v>125</v>
      </c>
      <c r="L145" s="171" t="s">
        <v>125</v>
      </c>
      <c r="M145" s="178">
        <v>0</v>
      </c>
      <c r="N145" s="176"/>
      <c r="O145" s="176"/>
      <c r="P145" s="179">
        <v>-292.72000000000003</v>
      </c>
    </row>
    <row r="146" spans="1:16" ht="19.5" customHeight="1">
      <c r="A146" s="171" t="s">
        <v>671</v>
      </c>
      <c r="B146" s="175">
        <v>46048</v>
      </c>
      <c r="C146" s="171" t="s">
        <v>151</v>
      </c>
      <c r="D146" s="171" t="s">
        <v>152</v>
      </c>
      <c r="E146" s="171" t="s">
        <v>125</v>
      </c>
      <c r="F146" s="171" t="s">
        <v>125</v>
      </c>
      <c r="G146" s="171" t="s">
        <v>125</v>
      </c>
      <c r="H146" s="176">
        <v>0</v>
      </c>
      <c r="I146" s="177">
        <v>0</v>
      </c>
      <c r="J146" s="175">
        <v>46048</v>
      </c>
      <c r="K146" s="171" t="s">
        <v>125</v>
      </c>
      <c r="L146" s="171" t="s">
        <v>125</v>
      </c>
      <c r="M146" s="178">
        <v>0</v>
      </c>
      <c r="N146" s="176"/>
      <c r="O146" s="176"/>
      <c r="P146" s="179">
        <v>-262.37</v>
      </c>
    </row>
    <row r="147" spans="1:16" ht="19.5" customHeight="1">
      <c r="A147" s="171" t="s">
        <v>565</v>
      </c>
      <c r="B147" s="175">
        <v>46048</v>
      </c>
      <c r="C147" s="171" t="s">
        <v>151</v>
      </c>
      <c r="D147" s="171" t="s">
        <v>152</v>
      </c>
      <c r="E147" s="171" t="s">
        <v>125</v>
      </c>
      <c r="F147" s="171" t="s">
        <v>125</v>
      </c>
      <c r="G147" s="171" t="s">
        <v>125</v>
      </c>
      <c r="H147" s="176">
        <v>0</v>
      </c>
      <c r="I147" s="177">
        <v>0</v>
      </c>
      <c r="J147" s="175">
        <v>46048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-281.97000000000003</v>
      </c>
    </row>
    <row r="148" spans="1:16" ht="19.5" customHeight="1">
      <c r="A148" s="171" t="s">
        <v>180</v>
      </c>
      <c r="B148" s="175">
        <v>46048</v>
      </c>
      <c r="C148" s="171" t="s">
        <v>151</v>
      </c>
      <c r="D148" s="171" t="s">
        <v>152</v>
      </c>
      <c r="E148" s="171" t="s">
        <v>125</v>
      </c>
      <c r="F148" s="171" t="s">
        <v>125</v>
      </c>
      <c r="G148" s="171" t="s">
        <v>125</v>
      </c>
      <c r="H148" s="176">
        <v>0</v>
      </c>
      <c r="I148" s="177">
        <v>0</v>
      </c>
      <c r="J148" s="175">
        <v>46048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-691.87</v>
      </c>
    </row>
    <row r="149" spans="1:16" ht="19.5" customHeight="1">
      <c r="A149" s="171" t="s">
        <v>179</v>
      </c>
      <c r="B149" s="175">
        <v>46048</v>
      </c>
      <c r="C149" s="171" t="s">
        <v>151</v>
      </c>
      <c r="D149" s="171" t="s">
        <v>152</v>
      </c>
      <c r="E149" s="171" t="s">
        <v>125</v>
      </c>
      <c r="F149" s="171" t="s">
        <v>125</v>
      </c>
      <c r="G149" s="171" t="s">
        <v>125</v>
      </c>
      <c r="H149" s="176">
        <v>0</v>
      </c>
      <c r="I149" s="177">
        <v>0</v>
      </c>
      <c r="J149" s="175">
        <v>46048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-418.43</v>
      </c>
    </row>
    <row r="150" spans="1:16" ht="19.5" customHeight="1">
      <c r="A150" s="171" t="s">
        <v>150</v>
      </c>
      <c r="B150" s="175">
        <v>46048</v>
      </c>
      <c r="C150" s="171" t="s">
        <v>151</v>
      </c>
      <c r="D150" s="171" t="s">
        <v>152</v>
      </c>
      <c r="E150" s="171" t="s">
        <v>125</v>
      </c>
      <c r="F150" s="171" t="s">
        <v>125</v>
      </c>
      <c r="G150" s="171" t="s">
        <v>125</v>
      </c>
      <c r="H150" s="176">
        <v>0</v>
      </c>
      <c r="I150" s="177">
        <v>0</v>
      </c>
      <c r="J150" s="175">
        <v>46048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-1304.6300000000001</v>
      </c>
    </row>
    <row r="151" spans="1:16" ht="19.5" customHeight="1">
      <c r="A151" s="171" t="s">
        <v>155</v>
      </c>
      <c r="B151" s="175">
        <v>46048</v>
      </c>
      <c r="C151" s="171" t="s">
        <v>151</v>
      </c>
      <c r="D151" s="171" t="s">
        <v>156</v>
      </c>
      <c r="E151" s="171" t="s">
        <v>125</v>
      </c>
      <c r="F151" s="171" t="s">
        <v>125</v>
      </c>
      <c r="G151" s="171" t="s">
        <v>125</v>
      </c>
      <c r="H151" s="176">
        <v>0</v>
      </c>
      <c r="I151" s="177">
        <v>0</v>
      </c>
      <c r="J151" s="175">
        <v>46048</v>
      </c>
      <c r="K151" s="171" t="s">
        <v>125</v>
      </c>
      <c r="L151" s="171" t="s">
        <v>125</v>
      </c>
      <c r="M151" s="178">
        <v>0</v>
      </c>
      <c r="N151" s="176"/>
      <c r="O151" s="176"/>
      <c r="P151" s="179">
        <v>-3646.88</v>
      </c>
    </row>
    <row r="152" spans="1:16" ht="19.5" customHeight="1">
      <c r="A152" s="171" t="s">
        <v>787</v>
      </c>
      <c r="B152" s="175">
        <v>46049</v>
      </c>
      <c r="C152" s="171" t="s">
        <v>115</v>
      </c>
      <c r="D152" s="171" t="s">
        <v>135</v>
      </c>
      <c r="E152" s="171" t="s">
        <v>43</v>
      </c>
      <c r="F152" s="171" t="s">
        <v>481</v>
      </c>
      <c r="G152" s="171" t="s">
        <v>214</v>
      </c>
      <c r="H152" s="176">
        <v>1</v>
      </c>
      <c r="I152" s="177">
        <v>0</v>
      </c>
      <c r="J152" s="175">
        <v>46048</v>
      </c>
      <c r="K152" s="171" t="s">
        <v>125</v>
      </c>
      <c r="L152" s="171" t="s">
        <v>125</v>
      </c>
      <c r="M152" s="178">
        <v>0</v>
      </c>
      <c r="N152" s="176"/>
      <c r="O152" s="176"/>
      <c r="P152" s="179">
        <v>-17.43</v>
      </c>
    </row>
    <row r="153" spans="1:16" ht="19.5" customHeight="1">
      <c r="A153" s="171" t="s">
        <v>609</v>
      </c>
      <c r="B153" s="175">
        <v>46049</v>
      </c>
      <c r="C153" s="171" t="s">
        <v>110</v>
      </c>
      <c r="D153" s="171" t="s">
        <v>121</v>
      </c>
      <c r="E153" s="171" t="s">
        <v>78</v>
      </c>
      <c r="F153" s="171" t="s">
        <v>176</v>
      </c>
      <c r="G153" s="171" t="s">
        <v>177</v>
      </c>
      <c r="H153" s="176">
        <v>1</v>
      </c>
      <c r="I153" s="177">
        <v>0</v>
      </c>
      <c r="J153" s="175">
        <v>46039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609</v>
      </c>
      <c r="B154" s="175">
        <v>46049</v>
      </c>
      <c r="C154" s="171" t="s">
        <v>110</v>
      </c>
      <c r="D154" s="171" t="s">
        <v>118</v>
      </c>
      <c r="E154" s="171" t="s">
        <v>78</v>
      </c>
      <c r="F154" s="171" t="s">
        <v>176</v>
      </c>
      <c r="G154" s="171" t="s">
        <v>177</v>
      </c>
      <c r="H154" s="176">
        <v>1</v>
      </c>
      <c r="I154" s="177">
        <v>0</v>
      </c>
      <c r="J154" s="175">
        <v>46039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609</v>
      </c>
      <c r="B155" s="175">
        <v>46049</v>
      </c>
      <c r="C155" s="171" t="s">
        <v>115</v>
      </c>
      <c r="D155" s="171" t="s">
        <v>119</v>
      </c>
      <c r="E155" s="171" t="s">
        <v>78</v>
      </c>
      <c r="F155" s="171" t="s">
        <v>176</v>
      </c>
      <c r="G155" s="171" t="s">
        <v>177</v>
      </c>
      <c r="H155" s="176">
        <v>1</v>
      </c>
      <c r="I155" s="177">
        <v>0</v>
      </c>
      <c r="J155" s="175">
        <v>46039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788</v>
      </c>
      <c r="B156" s="175">
        <v>46049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46049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-14.81</v>
      </c>
    </row>
    <row r="157" spans="1:16" ht="19.5" customHeight="1">
      <c r="A157" s="171" t="s">
        <v>789</v>
      </c>
      <c r="B157" s="175">
        <v>46049</v>
      </c>
      <c r="C157" s="171" t="s">
        <v>115</v>
      </c>
      <c r="D157" s="171" t="s">
        <v>135</v>
      </c>
      <c r="E157" s="171" t="s">
        <v>38</v>
      </c>
      <c r="F157" s="171" t="s">
        <v>111</v>
      </c>
      <c r="G157" s="171" t="s">
        <v>112</v>
      </c>
      <c r="H157" s="176">
        <v>1</v>
      </c>
      <c r="I157" s="177">
        <v>0</v>
      </c>
      <c r="J157" s="175">
        <v>46049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-15.57</v>
      </c>
    </row>
    <row r="158" spans="1:16" ht="19.5" customHeight="1">
      <c r="A158" s="171" t="s">
        <v>790</v>
      </c>
      <c r="B158" s="175">
        <v>46049</v>
      </c>
      <c r="C158" s="171" t="s">
        <v>110</v>
      </c>
      <c r="D158" s="171" t="s">
        <v>24</v>
      </c>
      <c r="E158" s="171" t="s">
        <v>38</v>
      </c>
      <c r="F158" s="171" t="s">
        <v>111</v>
      </c>
      <c r="G158" s="171" t="s">
        <v>112</v>
      </c>
      <c r="H158" s="176">
        <v>1</v>
      </c>
      <c r="I158" s="177">
        <v>0</v>
      </c>
      <c r="J158" s="175">
        <v>46046</v>
      </c>
      <c r="K158" s="171" t="s">
        <v>113</v>
      </c>
      <c r="L158" s="171" t="s">
        <v>114</v>
      </c>
      <c r="M158" s="178">
        <v>0</v>
      </c>
      <c r="N158" s="176"/>
      <c r="O158" s="176">
        <v>50</v>
      </c>
      <c r="P158" s="179">
        <v>-46.77</v>
      </c>
    </row>
    <row r="159" spans="1:16" ht="19.5" customHeight="1">
      <c r="A159" s="171" t="s">
        <v>790</v>
      </c>
      <c r="B159" s="175">
        <v>46049</v>
      </c>
      <c r="C159" s="171" t="s">
        <v>115</v>
      </c>
      <c r="D159" s="171" t="s">
        <v>116</v>
      </c>
      <c r="E159" s="171" t="s">
        <v>38</v>
      </c>
      <c r="F159" s="171" t="s">
        <v>111</v>
      </c>
      <c r="G159" s="171" t="s">
        <v>112</v>
      </c>
      <c r="H159" s="176">
        <v>1</v>
      </c>
      <c r="I159" s="177">
        <v>0</v>
      </c>
      <c r="J159" s="175">
        <v>46046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-9.2899999999999991</v>
      </c>
    </row>
    <row r="160" spans="1:16" ht="19.5" customHeight="1">
      <c r="A160" s="171" t="s">
        <v>790</v>
      </c>
      <c r="B160" s="175">
        <v>46049</v>
      </c>
      <c r="C160" s="171" t="s">
        <v>110</v>
      </c>
      <c r="D160" s="171" t="s">
        <v>117</v>
      </c>
      <c r="E160" s="171" t="s">
        <v>38</v>
      </c>
      <c r="F160" s="171" t="s">
        <v>111</v>
      </c>
      <c r="G160" s="171" t="s">
        <v>112</v>
      </c>
      <c r="H160" s="176">
        <v>1</v>
      </c>
      <c r="I160" s="177">
        <v>0</v>
      </c>
      <c r="J160" s="175">
        <v>46046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0</v>
      </c>
    </row>
    <row r="161" spans="1:16" ht="19.5" customHeight="1">
      <c r="A161" s="171" t="s">
        <v>790</v>
      </c>
      <c r="B161" s="175">
        <v>46049</v>
      </c>
      <c r="C161" s="171" t="s">
        <v>110</v>
      </c>
      <c r="D161" s="171" t="s">
        <v>118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46046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-46.77</v>
      </c>
    </row>
    <row r="162" spans="1:16" ht="19.5" customHeight="1">
      <c r="A162" s="171" t="s">
        <v>790</v>
      </c>
      <c r="B162" s="175">
        <v>46049</v>
      </c>
      <c r="C162" s="171" t="s">
        <v>115</v>
      </c>
      <c r="D162" s="171" t="s">
        <v>119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46046</v>
      </c>
      <c r="K162" s="171" t="s">
        <v>113</v>
      </c>
      <c r="L162" s="171" t="s">
        <v>114</v>
      </c>
      <c r="M162" s="178">
        <v>0</v>
      </c>
      <c r="N162" s="176"/>
      <c r="O162" s="176"/>
      <c r="P162" s="179">
        <v>-15</v>
      </c>
    </row>
    <row r="163" spans="1:16" ht="19.5" customHeight="1">
      <c r="A163" s="171" t="s">
        <v>791</v>
      </c>
      <c r="B163" s="175">
        <v>46049</v>
      </c>
      <c r="C163" s="171" t="s">
        <v>110</v>
      </c>
      <c r="D163" s="171" t="s">
        <v>24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4940</v>
      </c>
      <c r="J163" s="175">
        <v>46039</v>
      </c>
      <c r="K163" s="171" t="s">
        <v>113</v>
      </c>
      <c r="L163" s="171" t="s">
        <v>114</v>
      </c>
      <c r="M163" s="178">
        <v>0.43</v>
      </c>
      <c r="N163" s="176"/>
      <c r="O163" s="176">
        <v>51</v>
      </c>
      <c r="P163" s="179">
        <v>-290.97000000000003</v>
      </c>
    </row>
    <row r="164" spans="1:16" ht="19.5" customHeight="1">
      <c r="A164" s="171" t="s">
        <v>791</v>
      </c>
      <c r="B164" s="175">
        <v>46049</v>
      </c>
      <c r="C164" s="171" t="s">
        <v>127</v>
      </c>
      <c r="D164" s="171" t="s">
        <v>128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4940</v>
      </c>
      <c r="J164" s="175">
        <v>46039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1889.73</v>
      </c>
    </row>
    <row r="165" spans="1:16" ht="19.5" customHeight="1">
      <c r="A165" s="171" t="s">
        <v>791</v>
      </c>
      <c r="B165" s="175">
        <v>46049</v>
      </c>
      <c r="C165" s="171" t="s">
        <v>127</v>
      </c>
      <c r="D165" s="171" t="s">
        <v>129</v>
      </c>
      <c r="E165" s="171" t="s">
        <v>78</v>
      </c>
      <c r="F165" s="171" t="s">
        <v>176</v>
      </c>
      <c r="G165" s="171" t="s">
        <v>177</v>
      </c>
      <c r="H165" s="176">
        <v>1</v>
      </c>
      <c r="I165" s="177">
        <v>4940</v>
      </c>
      <c r="J165" s="175">
        <v>46039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18.899999999999999</v>
      </c>
    </row>
    <row r="166" spans="1:16" ht="19.5" customHeight="1">
      <c r="A166" s="171" t="s">
        <v>791</v>
      </c>
      <c r="B166" s="175">
        <v>46049</v>
      </c>
      <c r="C166" s="171" t="s">
        <v>127</v>
      </c>
      <c r="D166" s="171" t="s">
        <v>130</v>
      </c>
      <c r="E166" s="171" t="s">
        <v>78</v>
      </c>
      <c r="F166" s="171" t="s">
        <v>176</v>
      </c>
      <c r="G166" s="171" t="s">
        <v>177</v>
      </c>
      <c r="H166" s="176">
        <v>1</v>
      </c>
      <c r="I166" s="177">
        <v>4940</v>
      </c>
      <c r="J166" s="175">
        <v>46039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3031.37</v>
      </c>
    </row>
    <row r="167" spans="1:16" ht="19.5" customHeight="1">
      <c r="A167" s="171" t="s">
        <v>791</v>
      </c>
      <c r="B167" s="175">
        <v>46049</v>
      </c>
      <c r="C167" s="171" t="s">
        <v>131</v>
      </c>
      <c r="D167" s="171" t="s">
        <v>132</v>
      </c>
      <c r="E167" s="171" t="s">
        <v>78</v>
      </c>
      <c r="F167" s="171" t="s">
        <v>176</v>
      </c>
      <c r="G167" s="171" t="s">
        <v>177</v>
      </c>
      <c r="H167" s="176">
        <v>1</v>
      </c>
      <c r="I167" s="177">
        <v>4940</v>
      </c>
      <c r="J167" s="175">
        <v>46039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-2124.1999999999998</v>
      </c>
    </row>
    <row r="168" spans="1:16" ht="19.5" customHeight="1">
      <c r="A168" s="171" t="s">
        <v>791</v>
      </c>
      <c r="B168" s="175">
        <v>46049</v>
      </c>
      <c r="C168" s="171" t="s">
        <v>115</v>
      </c>
      <c r="D168" s="171" t="s">
        <v>116</v>
      </c>
      <c r="E168" s="171" t="s">
        <v>78</v>
      </c>
      <c r="F168" s="171" t="s">
        <v>176</v>
      </c>
      <c r="G168" s="171" t="s">
        <v>177</v>
      </c>
      <c r="H168" s="176">
        <v>1</v>
      </c>
      <c r="I168" s="177">
        <v>4940</v>
      </c>
      <c r="J168" s="175">
        <v>46039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-12.06</v>
      </c>
    </row>
    <row r="169" spans="1:16" ht="19.5" customHeight="1">
      <c r="A169" s="171" t="s">
        <v>791</v>
      </c>
      <c r="B169" s="175">
        <v>46049</v>
      </c>
      <c r="C169" s="171" t="s">
        <v>115</v>
      </c>
      <c r="D169" s="171" t="s">
        <v>135</v>
      </c>
      <c r="E169" s="171" t="s">
        <v>78</v>
      </c>
      <c r="F169" s="171" t="s">
        <v>176</v>
      </c>
      <c r="G169" s="171" t="s">
        <v>177</v>
      </c>
      <c r="H169" s="176">
        <v>1</v>
      </c>
      <c r="I169" s="177">
        <v>0</v>
      </c>
      <c r="J169" s="175">
        <v>46039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-35.9</v>
      </c>
    </row>
    <row r="170" spans="1:16" ht="19.5" customHeight="1">
      <c r="A170" s="171" t="s">
        <v>792</v>
      </c>
      <c r="B170" s="175">
        <v>46049</v>
      </c>
      <c r="C170" s="171" t="s">
        <v>110</v>
      </c>
      <c r="D170" s="171" t="s">
        <v>24</v>
      </c>
      <c r="E170" s="171" t="s">
        <v>50</v>
      </c>
      <c r="F170" s="171" t="s">
        <v>413</v>
      </c>
      <c r="G170" s="171" t="s">
        <v>112</v>
      </c>
      <c r="H170" s="176">
        <v>1</v>
      </c>
      <c r="I170" s="177">
        <v>0</v>
      </c>
      <c r="J170" s="175">
        <v>46030</v>
      </c>
      <c r="K170" s="171" t="s">
        <v>113</v>
      </c>
      <c r="L170" s="171" t="s">
        <v>114</v>
      </c>
      <c r="M170" s="178">
        <v>0</v>
      </c>
      <c r="N170" s="176"/>
      <c r="O170" s="176">
        <v>46</v>
      </c>
      <c r="P170" s="179">
        <v>-46.77</v>
      </c>
    </row>
    <row r="171" spans="1:16" ht="19.5" customHeight="1">
      <c r="A171" s="171" t="s">
        <v>792</v>
      </c>
      <c r="B171" s="175">
        <v>46049</v>
      </c>
      <c r="C171" s="171" t="s">
        <v>115</v>
      </c>
      <c r="D171" s="171" t="s">
        <v>116</v>
      </c>
      <c r="E171" s="171" t="s">
        <v>50</v>
      </c>
      <c r="F171" s="171" t="s">
        <v>413</v>
      </c>
      <c r="G171" s="171" t="s">
        <v>112</v>
      </c>
      <c r="H171" s="176">
        <v>1</v>
      </c>
      <c r="I171" s="177">
        <v>0</v>
      </c>
      <c r="J171" s="175">
        <v>46030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-16.36</v>
      </c>
    </row>
    <row r="172" spans="1:16" ht="19.5" customHeight="1">
      <c r="A172" s="171" t="s">
        <v>792</v>
      </c>
      <c r="B172" s="175">
        <v>46049</v>
      </c>
      <c r="C172" s="171" t="s">
        <v>110</v>
      </c>
      <c r="D172" s="171" t="s">
        <v>117</v>
      </c>
      <c r="E172" s="171" t="s">
        <v>50</v>
      </c>
      <c r="F172" s="171" t="s">
        <v>413</v>
      </c>
      <c r="G172" s="171" t="s">
        <v>112</v>
      </c>
      <c r="H172" s="176">
        <v>1</v>
      </c>
      <c r="I172" s="177">
        <v>0</v>
      </c>
      <c r="J172" s="175">
        <v>46030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0</v>
      </c>
    </row>
    <row r="173" spans="1:16" ht="19.5" customHeight="1">
      <c r="A173" s="171" t="s">
        <v>792</v>
      </c>
      <c r="B173" s="175">
        <v>46049</v>
      </c>
      <c r="C173" s="171" t="s">
        <v>110</v>
      </c>
      <c r="D173" s="171" t="s">
        <v>118</v>
      </c>
      <c r="E173" s="171" t="s">
        <v>50</v>
      </c>
      <c r="F173" s="171" t="s">
        <v>413</v>
      </c>
      <c r="G173" s="171" t="s">
        <v>112</v>
      </c>
      <c r="H173" s="176">
        <v>1</v>
      </c>
      <c r="I173" s="177">
        <v>0</v>
      </c>
      <c r="J173" s="175">
        <v>46030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-46.77</v>
      </c>
    </row>
    <row r="174" spans="1:16" ht="19.5" customHeight="1">
      <c r="A174" s="171" t="s">
        <v>793</v>
      </c>
      <c r="B174" s="175">
        <v>46049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1670</v>
      </c>
      <c r="J174" s="175">
        <v>46038</v>
      </c>
      <c r="K174" s="171" t="s">
        <v>113</v>
      </c>
      <c r="L174" s="171" t="s">
        <v>114</v>
      </c>
      <c r="M174" s="178">
        <v>0.43</v>
      </c>
      <c r="N174" s="176"/>
      <c r="O174" s="176">
        <v>48</v>
      </c>
      <c r="P174" s="179">
        <v>-141.87</v>
      </c>
    </row>
    <row r="175" spans="1:16" ht="19.5" customHeight="1">
      <c r="A175" s="171" t="s">
        <v>793</v>
      </c>
      <c r="B175" s="175">
        <v>46049</v>
      </c>
      <c r="C175" s="171" t="s">
        <v>127</v>
      </c>
      <c r="D175" s="171" t="s">
        <v>128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1670</v>
      </c>
      <c r="J175" s="175">
        <v>46038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582.86</v>
      </c>
    </row>
    <row r="176" spans="1:16" ht="19.5" customHeight="1">
      <c r="A176" s="171" t="s">
        <v>793</v>
      </c>
      <c r="B176" s="175">
        <v>46049</v>
      </c>
      <c r="C176" s="171" t="s">
        <v>127</v>
      </c>
      <c r="D176" s="171" t="s">
        <v>129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1670</v>
      </c>
      <c r="J176" s="175">
        <v>46038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5.83</v>
      </c>
    </row>
    <row r="177" spans="1:16" ht="19.5" customHeight="1">
      <c r="A177" s="171" t="s">
        <v>793</v>
      </c>
      <c r="B177" s="175">
        <v>46049</v>
      </c>
      <c r="C177" s="171" t="s">
        <v>127</v>
      </c>
      <c r="D177" s="171" t="s">
        <v>130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1670</v>
      </c>
      <c r="J177" s="175">
        <v>46038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1081.31</v>
      </c>
    </row>
    <row r="178" spans="1:16" ht="19.5" customHeight="1">
      <c r="A178" s="171" t="s">
        <v>793</v>
      </c>
      <c r="B178" s="175">
        <v>46049</v>
      </c>
      <c r="C178" s="171" t="s">
        <v>131</v>
      </c>
      <c r="D178" s="171" t="s">
        <v>132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46038</v>
      </c>
      <c r="K178" s="171" t="s">
        <v>113</v>
      </c>
      <c r="L178" s="171" t="s">
        <v>114</v>
      </c>
      <c r="M178" s="178">
        <v>0.43</v>
      </c>
      <c r="N178" s="176"/>
      <c r="O178" s="176"/>
      <c r="P178" s="179">
        <v>-718.1</v>
      </c>
    </row>
    <row r="179" spans="1:16" ht="19.5" customHeight="1">
      <c r="A179" s="171" t="s">
        <v>793</v>
      </c>
      <c r="B179" s="175">
        <v>46049</v>
      </c>
      <c r="C179" s="171" t="s">
        <v>115</v>
      </c>
      <c r="D179" s="171" t="s">
        <v>116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46038</v>
      </c>
      <c r="K179" s="171" t="s">
        <v>113</v>
      </c>
      <c r="L179" s="171" t="s">
        <v>114</v>
      </c>
      <c r="M179" s="178">
        <v>0.43</v>
      </c>
      <c r="N179" s="176"/>
      <c r="O179" s="176"/>
      <c r="P179" s="179">
        <v>-10.55</v>
      </c>
    </row>
    <row r="180" spans="1:16" ht="19.5" customHeight="1">
      <c r="A180" s="171" t="s">
        <v>793</v>
      </c>
      <c r="B180" s="175">
        <v>46049</v>
      </c>
      <c r="C180" s="171" t="s">
        <v>115</v>
      </c>
      <c r="D180" s="171" t="s">
        <v>135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46038</v>
      </c>
      <c r="K180" s="171" t="s">
        <v>125</v>
      </c>
      <c r="L180" s="171" t="s">
        <v>125</v>
      </c>
      <c r="M180" s="178">
        <v>0</v>
      </c>
      <c r="N180" s="176"/>
      <c r="O180" s="176"/>
      <c r="P180" s="179">
        <v>-11.07</v>
      </c>
    </row>
    <row r="181" spans="1:16" ht="19.5" customHeight="1">
      <c r="A181" s="171" t="s">
        <v>794</v>
      </c>
      <c r="B181" s="175">
        <v>46049</v>
      </c>
      <c r="C181" s="171" t="s">
        <v>110</v>
      </c>
      <c r="D181" s="171" t="s">
        <v>24</v>
      </c>
      <c r="E181" s="171" t="s">
        <v>78</v>
      </c>
      <c r="F181" s="171" t="s">
        <v>176</v>
      </c>
      <c r="G181" s="171" t="s">
        <v>177</v>
      </c>
      <c r="H181" s="176">
        <v>1</v>
      </c>
      <c r="I181" s="177">
        <v>4940</v>
      </c>
      <c r="J181" s="175">
        <v>46046</v>
      </c>
      <c r="K181" s="171" t="s">
        <v>113</v>
      </c>
      <c r="L181" s="171" t="s">
        <v>114</v>
      </c>
      <c r="M181" s="178">
        <v>0.43</v>
      </c>
      <c r="N181" s="176"/>
      <c r="O181" s="176">
        <v>50</v>
      </c>
      <c r="P181" s="179">
        <v>-287.93</v>
      </c>
    </row>
    <row r="182" spans="1:16" ht="19.5" customHeight="1">
      <c r="A182" s="171" t="s">
        <v>794</v>
      </c>
      <c r="B182" s="175">
        <v>46049</v>
      </c>
      <c r="C182" s="171" t="s">
        <v>127</v>
      </c>
      <c r="D182" s="171" t="s">
        <v>128</v>
      </c>
      <c r="E182" s="171" t="s">
        <v>78</v>
      </c>
      <c r="F182" s="171" t="s">
        <v>176</v>
      </c>
      <c r="G182" s="171" t="s">
        <v>177</v>
      </c>
      <c r="H182" s="176">
        <v>1</v>
      </c>
      <c r="I182" s="177">
        <v>4940</v>
      </c>
      <c r="J182" s="175">
        <v>46046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1731.43</v>
      </c>
    </row>
    <row r="183" spans="1:16" ht="19.5" customHeight="1">
      <c r="A183" s="171" t="s">
        <v>794</v>
      </c>
      <c r="B183" s="175">
        <v>46049</v>
      </c>
      <c r="C183" s="171" t="s">
        <v>127</v>
      </c>
      <c r="D183" s="171" t="s">
        <v>129</v>
      </c>
      <c r="E183" s="171" t="s">
        <v>78</v>
      </c>
      <c r="F183" s="171" t="s">
        <v>176</v>
      </c>
      <c r="G183" s="171" t="s">
        <v>177</v>
      </c>
      <c r="H183" s="176">
        <v>1</v>
      </c>
      <c r="I183" s="177">
        <v>4940</v>
      </c>
      <c r="J183" s="175">
        <v>46046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17.309999999999999</v>
      </c>
    </row>
    <row r="184" spans="1:16" ht="19.5" customHeight="1">
      <c r="A184" s="171" t="s">
        <v>794</v>
      </c>
      <c r="B184" s="175">
        <v>46049</v>
      </c>
      <c r="C184" s="171" t="s">
        <v>127</v>
      </c>
      <c r="D184" s="171" t="s">
        <v>130</v>
      </c>
      <c r="E184" s="171" t="s">
        <v>78</v>
      </c>
      <c r="F184" s="171" t="s">
        <v>176</v>
      </c>
      <c r="G184" s="171" t="s">
        <v>177</v>
      </c>
      <c r="H184" s="176">
        <v>1</v>
      </c>
      <c r="I184" s="177">
        <v>4940</v>
      </c>
      <c r="J184" s="175">
        <v>46046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3191.26</v>
      </c>
    </row>
    <row r="185" spans="1:16" ht="19.5" customHeight="1">
      <c r="A185" s="171" t="s">
        <v>794</v>
      </c>
      <c r="B185" s="175">
        <v>46049</v>
      </c>
      <c r="C185" s="171" t="s">
        <v>131</v>
      </c>
      <c r="D185" s="171" t="s">
        <v>132</v>
      </c>
      <c r="E185" s="171" t="s">
        <v>78</v>
      </c>
      <c r="F185" s="171" t="s">
        <v>176</v>
      </c>
      <c r="G185" s="171" t="s">
        <v>177</v>
      </c>
      <c r="H185" s="176">
        <v>1</v>
      </c>
      <c r="I185" s="177">
        <v>4940</v>
      </c>
      <c r="J185" s="175">
        <v>46046</v>
      </c>
      <c r="K185" s="171" t="s">
        <v>113</v>
      </c>
      <c r="L185" s="171" t="s">
        <v>114</v>
      </c>
      <c r="M185" s="178">
        <v>0.43</v>
      </c>
      <c r="N185" s="176"/>
      <c r="O185" s="176"/>
      <c r="P185" s="179">
        <v>-2124.1999999999998</v>
      </c>
    </row>
    <row r="186" spans="1:16" ht="19.5" customHeight="1">
      <c r="A186" s="171" t="s">
        <v>794</v>
      </c>
      <c r="B186" s="175">
        <v>46049</v>
      </c>
      <c r="C186" s="171" t="s">
        <v>115</v>
      </c>
      <c r="D186" s="171" t="s">
        <v>116</v>
      </c>
      <c r="E186" s="171" t="s">
        <v>78</v>
      </c>
      <c r="F186" s="171" t="s">
        <v>176</v>
      </c>
      <c r="G186" s="171" t="s">
        <v>177</v>
      </c>
      <c r="H186" s="176">
        <v>1</v>
      </c>
      <c r="I186" s="177">
        <v>4940</v>
      </c>
      <c r="J186" s="175">
        <v>46046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-10.72</v>
      </c>
    </row>
    <row r="187" spans="1:16" ht="19.5" customHeight="1">
      <c r="A187" s="171" t="s">
        <v>794</v>
      </c>
      <c r="B187" s="175">
        <v>46049</v>
      </c>
      <c r="C187" s="171" t="s">
        <v>115</v>
      </c>
      <c r="D187" s="171" t="s">
        <v>135</v>
      </c>
      <c r="E187" s="171" t="s">
        <v>78</v>
      </c>
      <c r="F187" s="171" t="s">
        <v>176</v>
      </c>
      <c r="G187" s="171" t="s">
        <v>177</v>
      </c>
      <c r="H187" s="176">
        <v>1</v>
      </c>
      <c r="I187" s="177">
        <v>0</v>
      </c>
      <c r="J187" s="175">
        <v>46046</v>
      </c>
      <c r="K187" s="171" t="s">
        <v>125</v>
      </c>
      <c r="L187" s="171" t="s">
        <v>125</v>
      </c>
      <c r="M187" s="178">
        <v>0</v>
      </c>
      <c r="N187" s="176"/>
      <c r="O187" s="176"/>
      <c r="P187" s="179">
        <v>-32.9</v>
      </c>
    </row>
    <row r="188" spans="1:16" ht="19.5" customHeight="1">
      <c r="A188" s="171" t="s">
        <v>795</v>
      </c>
      <c r="B188" s="175">
        <v>46049</v>
      </c>
      <c r="C188" s="171" t="s">
        <v>110</v>
      </c>
      <c r="D188" s="171" t="s">
        <v>24</v>
      </c>
      <c r="E188" s="171" t="s">
        <v>53</v>
      </c>
      <c r="F188" s="171" t="s">
        <v>622</v>
      </c>
      <c r="G188" s="171" t="s">
        <v>623</v>
      </c>
      <c r="H188" s="176">
        <v>1</v>
      </c>
      <c r="I188" s="177">
        <v>3256</v>
      </c>
      <c r="J188" s="175">
        <v>46044</v>
      </c>
      <c r="K188" s="171" t="s">
        <v>113</v>
      </c>
      <c r="L188" s="171" t="s">
        <v>114</v>
      </c>
      <c r="M188" s="178">
        <v>0.43</v>
      </c>
      <c r="N188" s="176"/>
      <c r="O188" s="176">
        <v>54</v>
      </c>
      <c r="P188" s="179">
        <v>-229.22</v>
      </c>
    </row>
    <row r="189" spans="1:16" ht="19.5" customHeight="1">
      <c r="A189" s="171" t="s">
        <v>795</v>
      </c>
      <c r="B189" s="175">
        <v>46049</v>
      </c>
      <c r="C189" s="171" t="s">
        <v>127</v>
      </c>
      <c r="D189" s="171" t="s">
        <v>128</v>
      </c>
      <c r="E189" s="171" t="s">
        <v>53</v>
      </c>
      <c r="F189" s="171" t="s">
        <v>622</v>
      </c>
      <c r="G189" s="171" t="s">
        <v>623</v>
      </c>
      <c r="H189" s="176">
        <v>1</v>
      </c>
      <c r="I189" s="177">
        <v>3256</v>
      </c>
      <c r="J189" s="175">
        <v>46044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1854.03</v>
      </c>
    </row>
    <row r="190" spans="1:16" ht="19.5" customHeight="1">
      <c r="A190" s="171" t="s">
        <v>795</v>
      </c>
      <c r="B190" s="175">
        <v>46049</v>
      </c>
      <c r="C190" s="171" t="s">
        <v>127</v>
      </c>
      <c r="D190" s="171" t="s">
        <v>129</v>
      </c>
      <c r="E190" s="171" t="s">
        <v>53</v>
      </c>
      <c r="F190" s="171" t="s">
        <v>622</v>
      </c>
      <c r="G190" s="171" t="s">
        <v>623</v>
      </c>
      <c r="H190" s="176">
        <v>1</v>
      </c>
      <c r="I190" s="177">
        <v>3256</v>
      </c>
      <c r="J190" s="175">
        <v>46044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18.54</v>
      </c>
    </row>
    <row r="191" spans="1:16" ht="19.5" customHeight="1">
      <c r="A191" s="171" t="s">
        <v>795</v>
      </c>
      <c r="B191" s="175">
        <v>46049</v>
      </c>
      <c r="C191" s="171" t="s">
        <v>127</v>
      </c>
      <c r="D191" s="171" t="s">
        <v>130</v>
      </c>
      <c r="E191" s="171" t="s">
        <v>53</v>
      </c>
      <c r="F191" s="171" t="s">
        <v>622</v>
      </c>
      <c r="G191" s="171" t="s">
        <v>623</v>
      </c>
      <c r="H191" s="176">
        <v>1</v>
      </c>
      <c r="I191" s="177">
        <v>3256</v>
      </c>
      <c r="J191" s="175">
        <v>46044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1383.43</v>
      </c>
    </row>
    <row r="192" spans="1:16" ht="19.5" customHeight="1">
      <c r="A192" s="171" t="s">
        <v>795</v>
      </c>
      <c r="B192" s="175">
        <v>46049</v>
      </c>
      <c r="C192" s="171" t="s">
        <v>131</v>
      </c>
      <c r="D192" s="171" t="s">
        <v>132</v>
      </c>
      <c r="E192" s="171" t="s">
        <v>53</v>
      </c>
      <c r="F192" s="171" t="s">
        <v>622</v>
      </c>
      <c r="G192" s="171" t="s">
        <v>623</v>
      </c>
      <c r="H192" s="176">
        <v>1</v>
      </c>
      <c r="I192" s="177">
        <v>3256</v>
      </c>
      <c r="J192" s="175">
        <v>46044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-1400.08</v>
      </c>
    </row>
    <row r="193" spans="1:16" ht="19.5" customHeight="1">
      <c r="A193" s="171" t="s">
        <v>795</v>
      </c>
      <c r="B193" s="175">
        <v>46049</v>
      </c>
      <c r="C193" s="171" t="s">
        <v>115</v>
      </c>
      <c r="D193" s="171" t="s">
        <v>116</v>
      </c>
      <c r="E193" s="171" t="s">
        <v>53</v>
      </c>
      <c r="F193" s="171" t="s">
        <v>622</v>
      </c>
      <c r="G193" s="171" t="s">
        <v>623</v>
      </c>
      <c r="H193" s="176">
        <v>1</v>
      </c>
      <c r="I193" s="177">
        <v>3256</v>
      </c>
      <c r="J193" s="175">
        <v>46044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-15.68</v>
      </c>
    </row>
    <row r="194" spans="1:16" ht="19.5" customHeight="1">
      <c r="A194" s="171" t="s">
        <v>796</v>
      </c>
      <c r="B194" s="175">
        <v>46049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1670</v>
      </c>
      <c r="J194" s="175">
        <v>46040</v>
      </c>
      <c r="K194" s="171" t="s">
        <v>113</v>
      </c>
      <c r="L194" s="171" t="s">
        <v>114</v>
      </c>
      <c r="M194" s="178">
        <v>0.43</v>
      </c>
      <c r="N194" s="176"/>
      <c r="O194" s="176">
        <v>51</v>
      </c>
      <c r="P194" s="179">
        <v>-147.08000000000001</v>
      </c>
    </row>
    <row r="195" spans="1:16" ht="19.5" customHeight="1">
      <c r="A195" s="171" t="s">
        <v>796</v>
      </c>
      <c r="B195" s="175">
        <v>46049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1670</v>
      </c>
      <c r="J195" s="175">
        <v>46040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574.29</v>
      </c>
    </row>
    <row r="196" spans="1:16" ht="19.5" customHeight="1">
      <c r="A196" s="171" t="s">
        <v>796</v>
      </c>
      <c r="B196" s="175">
        <v>46049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1670</v>
      </c>
      <c r="J196" s="175">
        <v>46040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5.74</v>
      </c>
    </row>
    <row r="197" spans="1:16" ht="19.5" customHeight="1">
      <c r="A197" s="171" t="s">
        <v>796</v>
      </c>
      <c r="B197" s="175">
        <v>46049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1670</v>
      </c>
      <c r="J197" s="175">
        <v>46040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1089.97</v>
      </c>
    </row>
    <row r="198" spans="1:16" ht="19.5" customHeight="1">
      <c r="A198" s="171" t="s">
        <v>796</v>
      </c>
      <c r="B198" s="175">
        <v>46049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1670</v>
      </c>
      <c r="J198" s="175">
        <v>46040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-718.1</v>
      </c>
    </row>
    <row r="199" spans="1:16" ht="19.5" customHeight="1">
      <c r="A199" s="171" t="s">
        <v>796</v>
      </c>
      <c r="B199" s="175">
        <v>46049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1670</v>
      </c>
      <c r="J199" s="175">
        <v>46040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-9.58</v>
      </c>
    </row>
    <row r="200" spans="1:16" ht="19.5" customHeight="1">
      <c r="A200" s="171" t="s">
        <v>797</v>
      </c>
      <c r="B200" s="175">
        <v>46049</v>
      </c>
      <c r="C200" s="171" t="s">
        <v>507</v>
      </c>
      <c r="D200" s="171" t="s">
        <v>508</v>
      </c>
      <c r="E200" s="171" t="s">
        <v>78</v>
      </c>
      <c r="F200" s="171" t="s">
        <v>176</v>
      </c>
      <c r="G200" s="171" t="s">
        <v>177</v>
      </c>
      <c r="H200" s="176">
        <v>1</v>
      </c>
      <c r="I200" s="177">
        <v>0</v>
      </c>
      <c r="J200" s="175">
        <v>46041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-5</v>
      </c>
    </row>
    <row r="201" spans="1:16" ht="19.5" customHeight="1">
      <c r="A201" s="171" t="s">
        <v>797</v>
      </c>
      <c r="B201" s="175">
        <v>46049</v>
      </c>
      <c r="C201" s="171" t="s">
        <v>115</v>
      </c>
      <c r="D201" s="171" t="s">
        <v>510</v>
      </c>
      <c r="E201" s="171" t="s">
        <v>78</v>
      </c>
      <c r="F201" s="171" t="s">
        <v>176</v>
      </c>
      <c r="G201" s="171" t="s">
        <v>177</v>
      </c>
      <c r="H201" s="176">
        <v>1</v>
      </c>
      <c r="I201" s="177">
        <v>0</v>
      </c>
      <c r="J201" s="175">
        <v>46041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-10</v>
      </c>
    </row>
    <row r="202" spans="1:16" ht="19.5" customHeight="1">
      <c r="A202" s="171" t="s">
        <v>798</v>
      </c>
      <c r="B202" s="175">
        <v>46049</v>
      </c>
      <c r="C202" s="171" t="s">
        <v>110</v>
      </c>
      <c r="D202" s="171" t="s">
        <v>24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1670</v>
      </c>
      <c r="J202" s="175">
        <v>46046</v>
      </c>
      <c r="K202" s="171" t="s">
        <v>113</v>
      </c>
      <c r="L202" s="171" t="s">
        <v>114</v>
      </c>
      <c r="M202" s="178">
        <v>0.43</v>
      </c>
      <c r="N202" s="176"/>
      <c r="O202" s="176">
        <v>50</v>
      </c>
      <c r="P202" s="179">
        <v>-145.78</v>
      </c>
    </row>
    <row r="203" spans="1:16" ht="19.5" customHeight="1">
      <c r="A203" s="171" t="s">
        <v>798</v>
      </c>
      <c r="B203" s="175">
        <v>46049</v>
      </c>
      <c r="C203" s="171" t="s">
        <v>127</v>
      </c>
      <c r="D203" s="171" t="s">
        <v>128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1670</v>
      </c>
      <c r="J203" s="175">
        <v>46046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819.22</v>
      </c>
    </row>
    <row r="204" spans="1:16" ht="19.5" customHeight="1">
      <c r="A204" s="171" t="s">
        <v>798</v>
      </c>
      <c r="B204" s="175">
        <v>46049</v>
      </c>
      <c r="C204" s="171" t="s">
        <v>127</v>
      </c>
      <c r="D204" s="171" t="s">
        <v>129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1670</v>
      </c>
      <c r="J204" s="175">
        <v>46046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8.19</v>
      </c>
    </row>
    <row r="205" spans="1:16" ht="19.5" customHeight="1">
      <c r="A205" s="171" t="s">
        <v>798</v>
      </c>
      <c r="B205" s="175">
        <v>46049</v>
      </c>
      <c r="C205" s="171" t="s">
        <v>127</v>
      </c>
      <c r="D205" s="171" t="s">
        <v>130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1670</v>
      </c>
      <c r="J205" s="175">
        <v>46046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842.59</v>
      </c>
    </row>
    <row r="206" spans="1:16" ht="19.5" customHeight="1">
      <c r="A206" s="171" t="s">
        <v>798</v>
      </c>
      <c r="B206" s="175">
        <v>46049</v>
      </c>
      <c r="C206" s="171" t="s">
        <v>131</v>
      </c>
      <c r="D206" s="171" t="s">
        <v>132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1670</v>
      </c>
      <c r="J206" s="175">
        <v>46046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-718.1</v>
      </c>
    </row>
    <row r="207" spans="1:16" ht="19.5" customHeight="1">
      <c r="A207" s="171" t="s">
        <v>798</v>
      </c>
      <c r="B207" s="175">
        <v>46049</v>
      </c>
      <c r="C207" s="171" t="s">
        <v>115</v>
      </c>
      <c r="D207" s="171" t="s">
        <v>116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1670</v>
      </c>
      <c r="J207" s="175">
        <v>46046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-8.9499999999999993</v>
      </c>
    </row>
    <row r="208" spans="1:16" ht="19.5" customHeight="1">
      <c r="A208" s="171" t="s">
        <v>799</v>
      </c>
      <c r="B208" s="175">
        <v>46049</v>
      </c>
      <c r="C208" s="171" t="s">
        <v>110</v>
      </c>
      <c r="D208" s="171" t="s">
        <v>24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1670</v>
      </c>
      <c r="J208" s="175">
        <v>46039</v>
      </c>
      <c r="K208" s="171" t="s">
        <v>113</v>
      </c>
      <c r="L208" s="171" t="s">
        <v>114</v>
      </c>
      <c r="M208" s="178">
        <v>0.43</v>
      </c>
      <c r="N208" s="176"/>
      <c r="O208" s="176">
        <v>51</v>
      </c>
      <c r="P208" s="179">
        <v>-147.08000000000001</v>
      </c>
    </row>
    <row r="209" spans="1:16" ht="19.5" customHeight="1">
      <c r="A209" s="171" t="s">
        <v>799</v>
      </c>
      <c r="B209" s="175">
        <v>46049</v>
      </c>
      <c r="C209" s="171" t="s">
        <v>127</v>
      </c>
      <c r="D209" s="171" t="s">
        <v>128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1670</v>
      </c>
      <c r="J209" s="175">
        <v>46039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574.29</v>
      </c>
    </row>
    <row r="210" spans="1:16" ht="19.5" customHeight="1">
      <c r="A210" s="171" t="s">
        <v>799</v>
      </c>
      <c r="B210" s="175">
        <v>46049</v>
      </c>
      <c r="C210" s="171" t="s">
        <v>127</v>
      </c>
      <c r="D210" s="171" t="s">
        <v>129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1670</v>
      </c>
      <c r="J210" s="175">
        <v>46039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5.74</v>
      </c>
    </row>
    <row r="211" spans="1:16" ht="19.5" customHeight="1">
      <c r="A211" s="171" t="s">
        <v>799</v>
      </c>
      <c r="B211" s="175">
        <v>46049</v>
      </c>
      <c r="C211" s="171" t="s">
        <v>127</v>
      </c>
      <c r="D211" s="171" t="s">
        <v>130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1670</v>
      </c>
      <c r="J211" s="175">
        <v>46039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1089.97</v>
      </c>
    </row>
    <row r="212" spans="1:16" ht="19.5" customHeight="1">
      <c r="A212" s="171" t="s">
        <v>799</v>
      </c>
      <c r="B212" s="175">
        <v>46049</v>
      </c>
      <c r="C212" s="171" t="s">
        <v>131</v>
      </c>
      <c r="D212" s="171" t="s">
        <v>132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/>
      <c r="P212" s="179">
        <v>-718.1</v>
      </c>
    </row>
    <row r="213" spans="1:16" ht="19.5" customHeight="1">
      <c r="A213" s="171" t="s">
        <v>799</v>
      </c>
      <c r="B213" s="175">
        <v>46049</v>
      </c>
      <c r="C213" s="171" t="s">
        <v>115</v>
      </c>
      <c r="D213" s="171" t="s">
        <v>116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-0.77</v>
      </c>
    </row>
    <row r="214" spans="1:16" ht="19.5" customHeight="1">
      <c r="A214" s="171" t="s">
        <v>800</v>
      </c>
      <c r="B214" s="175">
        <v>46049</v>
      </c>
      <c r="C214" s="171" t="s">
        <v>110</v>
      </c>
      <c r="D214" s="171" t="s">
        <v>24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1687</v>
      </c>
      <c r="J214" s="175">
        <v>46048</v>
      </c>
      <c r="K214" s="171" t="s">
        <v>113</v>
      </c>
      <c r="L214" s="171" t="s">
        <v>114</v>
      </c>
      <c r="M214" s="178">
        <v>0.43</v>
      </c>
      <c r="N214" s="176"/>
      <c r="O214" s="176">
        <v>51</v>
      </c>
      <c r="P214" s="179">
        <v>-146.37</v>
      </c>
    </row>
    <row r="215" spans="1:16" ht="19.5" customHeight="1">
      <c r="A215" s="171" t="s">
        <v>800</v>
      </c>
      <c r="B215" s="175">
        <v>46049</v>
      </c>
      <c r="C215" s="171" t="s">
        <v>127</v>
      </c>
      <c r="D215" s="171" t="s">
        <v>128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1687</v>
      </c>
      <c r="J215" s="175">
        <v>46048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897.82</v>
      </c>
    </row>
    <row r="216" spans="1:16" ht="19.5" customHeight="1">
      <c r="A216" s="171" t="s">
        <v>800</v>
      </c>
      <c r="B216" s="175">
        <v>46049</v>
      </c>
      <c r="C216" s="171" t="s">
        <v>127</v>
      </c>
      <c r="D216" s="171" t="s">
        <v>129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1687</v>
      </c>
      <c r="J216" s="175">
        <v>46048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0</v>
      </c>
    </row>
    <row r="217" spans="1:16" ht="19.5" customHeight="1">
      <c r="A217" s="171" t="s">
        <v>800</v>
      </c>
      <c r="B217" s="175">
        <v>46049</v>
      </c>
      <c r="C217" s="171" t="s">
        <v>127</v>
      </c>
      <c r="D217" s="171" t="s">
        <v>130</v>
      </c>
      <c r="E217" s="171" t="s">
        <v>41</v>
      </c>
      <c r="F217" s="171" t="s">
        <v>138</v>
      </c>
      <c r="G217" s="171" t="s">
        <v>112</v>
      </c>
      <c r="H217" s="176">
        <v>1</v>
      </c>
      <c r="I217" s="177">
        <v>1687</v>
      </c>
      <c r="J217" s="175">
        <v>46048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789.18</v>
      </c>
    </row>
    <row r="218" spans="1:16" ht="19.5" customHeight="1">
      <c r="A218" s="171" t="s">
        <v>800</v>
      </c>
      <c r="B218" s="175">
        <v>46049</v>
      </c>
      <c r="C218" s="171" t="s">
        <v>131</v>
      </c>
      <c r="D218" s="171" t="s">
        <v>132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1687</v>
      </c>
      <c r="J218" s="175">
        <v>46048</v>
      </c>
      <c r="K218" s="171" t="s">
        <v>113</v>
      </c>
      <c r="L218" s="171" t="s">
        <v>114</v>
      </c>
      <c r="M218" s="178">
        <v>0.43</v>
      </c>
      <c r="N218" s="176"/>
      <c r="O218" s="176"/>
      <c r="P218" s="179">
        <v>-725.41</v>
      </c>
    </row>
    <row r="219" spans="1:16" ht="19.5" customHeight="1">
      <c r="A219" s="171" t="s">
        <v>800</v>
      </c>
      <c r="B219" s="175">
        <v>46049</v>
      </c>
      <c r="C219" s="171" t="s">
        <v>115</v>
      </c>
      <c r="D219" s="171" t="s">
        <v>116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1687</v>
      </c>
      <c r="J219" s="175">
        <v>46048</v>
      </c>
      <c r="K219" s="171" t="s">
        <v>113</v>
      </c>
      <c r="L219" s="171" t="s">
        <v>114</v>
      </c>
      <c r="M219" s="178">
        <v>0.43</v>
      </c>
      <c r="N219" s="176"/>
      <c r="O219" s="176"/>
      <c r="P219" s="179">
        <v>-7.93</v>
      </c>
    </row>
    <row r="220" spans="1:16" ht="19.5" customHeight="1">
      <c r="A220" s="171" t="s">
        <v>801</v>
      </c>
      <c r="B220" s="175">
        <v>46049</v>
      </c>
      <c r="C220" s="171" t="s">
        <v>507</v>
      </c>
      <c r="D220" s="171" t="s">
        <v>508</v>
      </c>
      <c r="E220" s="171" t="s">
        <v>71</v>
      </c>
      <c r="F220" s="171" t="s">
        <v>185</v>
      </c>
      <c r="G220" s="171" t="s">
        <v>177</v>
      </c>
      <c r="H220" s="176">
        <v>1</v>
      </c>
      <c r="I220" s="177">
        <v>0</v>
      </c>
      <c r="J220" s="175">
        <v>46047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-5</v>
      </c>
    </row>
    <row r="221" spans="1:16" ht="19.5" customHeight="1">
      <c r="A221" s="171" t="s">
        <v>801</v>
      </c>
      <c r="B221" s="175">
        <v>46049</v>
      </c>
      <c r="C221" s="171" t="s">
        <v>115</v>
      </c>
      <c r="D221" s="171" t="s">
        <v>510</v>
      </c>
      <c r="E221" s="171" t="s">
        <v>71</v>
      </c>
      <c r="F221" s="171" t="s">
        <v>185</v>
      </c>
      <c r="G221" s="171" t="s">
        <v>177</v>
      </c>
      <c r="H221" s="176">
        <v>1</v>
      </c>
      <c r="I221" s="177">
        <v>0</v>
      </c>
      <c r="J221" s="175">
        <v>46047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-10</v>
      </c>
    </row>
    <row r="222" spans="1:16" ht="19.5" customHeight="1">
      <c r="A222" s="171" t="s">
        <v>799</v>
      </c>
      <c r="B222" s="175">
        <v>46049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46039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-10.91</v>
      </c>
    </row>
    <row r="223" spans="1:16" ht="19.5" customHeight="1">
      <c r="A223" s="171" t="s">
        <v>802</v>
      </c>
      <c r="B223" s="175">
        <v>46049</v>
      </c>
      <c r="C223" s="171" t="s">
        <v>110</v>
      </c>
      <c r="D223" s="171" t="s">
        <v>24</v>
      </c>
      <c r="E223" s="171" t="s">
        <v>77</v>
      </c>
      <c r="F223" s="171" t="s">
        <v>194</v>
      </c>
      <c r="G223" s="171" t="s">
        <v>177</v>
      </c>
      <c r="H223" s="176">
        <v>1</v>
      </c>
      <c r="I223" s="177">
        <v>0</v>
      </c>
      <c r="J223" s="175">
        <v>46044</v>
      </c>
      <c r="K223" s="171" t="s">
        <v>113</v>
      </c>
      <c r="L223" s="171" t="s">
        <v>114</v>
      </c>
      <c r="M223" s="178">
        <v>0</v>
      </c>
      <c r="N223" s="176"/>
      <c r="O223" s="176">
        <v>54</v>
      </c>
      <c r="P223" s="179">
        <v>-56.94</v>
      </c>
    </row>
    <row r="224" spans="1:16" ht="19.5" customHeight="1">
      <c r="A224" s="171" t="s">
        <v>802</v>
      </c>
      <c r="B224" s="175">
        <v>46049</v>
      </c>
      <c r="C224" s="171" t="s">
        <v>115</v>
      </c>
      <c r="D224" s="171" t="s">
        <v>116</v>
      </c>
      <c r="E224" s="171" t="s">
        <v>77</v>
      </c>
      <c r="F224" s="171" t="s">
        <v>194</v>
      </c>
      <c r="G224" s="171" t="s">
        <v>177</v>
      </c>
      <c r="H224" s="176">
        <v>1</v>
      </c>
      <c r="I224" s="177">
        <v>0</v>
      </c>
      <c r="J224" s="175">
        <v>46044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-15.41</v>
      </c>
    </row>
    <row r="225" spans="1:16" ht="19.5" customHeight="1">
      <c r="A225" s="171" t="s">
        <v>802</v>
      </c>
      <c r="B225" s="175">
        <v>46049</v>
      </c>
      <c r="C225" s="171" t="s">
        <v>110</v>
      </c>
      <c r="D225" s="171" t="s">
        <v>117</v>
      </c>
      <c r="E225" s="171" t="s">
        <v>77</v>
      </c>
      <c r="F225" s="171" t="s">
        <v>194</v>
      </c>
      <c r="G225" s="171" t="s">
        <v>177</v>
      </c>
      <c r="H225" s="176">
        <v>1</v>
      </c>
      <c r="I225" s="177">
        <v>0</v>
      </c>
      <c r="J225" s="175">
        <v>46044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0</v>
      </c>
    </row>
    <row r="226" spans="1:16" ht="19.5" customHeight="1">
      <c r="A226" s="171" t="s">
        <v>802</v>
      </c>
      <c r="B226" s="175">
        <v>46049</v>
      </c>
      <c r="C226" s="171" t="s">
        <v>110</v>
      </c>
      <c r="D226" s="171" t="s">
        <v>118</v>
      </c>
      <c r="E226" s="171" t="s">
        <v>77</v>
      </c>
      <c r="F226" s="171" t="s">
        <v>194</v>
      </c>
      <c r="G226" s="171" t="s">
        <v>177</v>
      </c>
      <c r="H226" s="176">
        <v>1</v>
      </c>
      <c r="I226" s="177">
        <v>0</v>
      </c>
      <c r="J226" s="175">
        <v>46044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-56.94</v>
      </c>
    </row>
    <row r="227" spans="1:16" ht="19.5" customHeight="1">
      <c r="A227" s="171" t="s">
        <v>802</v>
      </c>
      <c r="B227" s="175">
        <v>46049</v>
      </c>
      <c r="C227" s="171" t="s">
        <v>115</v>
      </c>
      <c r="D227" s="171" t="s">
        <v>119</v>
      </c>
      <c r="E227" s="171" t="s">
        <v>77</v>
      </c>
      <c r="F227" s="171" t="s">
        <v>194</v>
      </c>
      <c r="G227" s="171" t="s">
        <v>177</v>
      </c>
      <c r="H227" s="176">
        <v>1</v>
      </c>
      <c r="I227" s="177">
        <v>0</v>
      </c>
      <c r="J227" s="175">
        <v>46044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-15</v>
      </c>
    </row>
    <row r="228" spans="1:16" ht="19.5" customHeight="1">
      <c r="A228" s="171" t="s">
        <v>803</v>
      </c>
      <c r="B228" s="175">
        <v>46049</v>
      </c>
      <c r="C228" s="171" t="s">
        <v>110</v>
      </c>
      <c r="D228" s="171" t="s">
        <v>24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1670</v>
      </c>
      <c r="J228" s="175">
        <v>46046</v>
      </c>
      <c r="K228" s="171" t="s">
        <v>113</v>
      </c>
      <c r="L228" s="171" t="s">
        <v>114</v>
      </c>
      <c r="M228" s="178">
        <v>0.43</v>
      </c>
      <c r="N228" s="176"/>
      <c r="O228" s="176">
        <v>50</v>
      </c>
      <c r="P228" s="179">
        <v>-145.78</v>
      </c>
    </row>
    <row r="229" spans="1:16" ht="19.5" customHeight="1">
      <c r="A229" s="171" t="s">
        <v>803</v>
      </c>
      <c r="B229" s="175">
        <v>46049</v>
      </c>
      <c r="C229" s="171" t="s">
        <v>127</v>
      </c>
      <c r="D229" s="171" t="s">
        <v>128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1670</v>
      </c>
      <c r="J229" s="175">
        <v>46046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800</v>
      </c>
    </row>
    <row r="230" spans="1:16" ht="19.5" customHeight="1">
      <c r="A230" s="171" t="s">
        <v>803</v>
      </c>
      <c r="B230" s="175">
        <v>46049</v>
      </c>
      <c r="C230" s="171" t="s">
        <v>127</v>
      </c>
      <c r="D230" s="171" t="s">
        <v>129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1670</v>
      </c>
      <c r="J230" s="175">
        <v>46046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8</v>
      </c>
    </row>
    <row r="231" spans="1:16" ht="19.5" customHeight="1">
      <c r="A231" s="171" t="s">
        <v>803</v>
      </c>
      <c r="B231" s="175">
        <v>46049</v>
      </c>
      <c r="C231" s="171" t="s">
        <v>127</v>
      </c>
      <c r="D231" s="171" t="s">
        <v>130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1670</v>
      </c>
      <c r="J231" s="175">
        <v>46046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862</v>
      </c>
    </row>
    <row r="232" spans="1:16" ht="19.5" customHeight="1">
      <c r="A232" s="171" t="s">
        <v>803</v>
      </c>
      <c r="B232" s="175">
        <v>46049</v>
      </c>
      <c r="C232" s="171" t="s">
        <v>131</v>
      </c>
      <c r="D232" s="171" t="s">
        <v>132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1670</v>
      </c>
      <c r="J232" s="175">
        <v>46046</v>
      </c>
      <c r="K232" s="171" t="s">
        <v>113</v>
      </c>
      <c r="L232" s="171" t="s">
        <v>114</v>
      </c>
      <c r="M232" s="178">
        <v>0.43</v>
      </c>
      <c r="N232" s="176"/>
      <c r="O232" s="176"/>
      <c r="P232" s="179">
        <v>-718.1</v>
      </c>
    </row>
    <row r="233" spans="1:16" ht="19.5" customHeight="1">
      <c r="A233" s="171" t="s">
        <v>803</v>
      </c>
      <c r="B233" s="175">
        <v>46049</v>
      </c>
      <c r="C233" s="171" t="s">
        <v>115</v>
      </c>
      <c r="D233" s="171" t="s">
        <v>116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1670</v>
      </c>
      <c r="J233" s="175">
        <v>46046</v>
      </c>
      <c r="K233" s="171" t="s">
        <v>113</v>
      </c>
      <c r="L233" s="171" t="s">
        <v>114</v>
      </c>
      <c r="M233" s="178">
        <v>0.43</v>
      </c>
      <c r="N233" s="176"/>
      <c r="O233" s="176"/>
      <c r="P233" s="179">
        <v>-7.19</v>
      </c>
    </row>
    <row r="234" spans="1:16" ht="19.5" customHeight="1">
      <c r="A234" s="171" t="s">
        <v>804</v>
      </c>
      <c r="B234" s="175">
        <v>46049</v>
      </c>
      <c r="C234" s="171" t="s">
        <v>110</v>
      </c>
      <c r="D234" s="171" t="s">
        <v>24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1670</v>
      </c>
      <c r="J234" s="175">
        <v>46045</v>
      </c>
      <c r="K234" s="171" t="s">
        <v>113</v>
      </c>
      <c r="L234" s="171" t="s">
        <v>114</v>
      </c>
      <c r="M234" s="178">
        <v>0.43</v>
      </c>
      <c r="N234" s="176"/>
      <c r="O234" s="176">
        <v>51</v>
      </c>
      <c r="P234" s="179">
        <v>-147.08000000000001</v>
      </c>
    </row>
    <row r="235" spans="1:16" ht="19.5" customHeight="1">
      <c r="A235" s="171" t="s">
        <v>804</v>
      </c>
      <c r="B235" s="175">
        <v>46049</v>
      </c>
      <c r="C235" s="171" t="s">
        <v>127</v>
      </c>
      <c r="D235" s="171" t="s">
        <v>128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1670</v>
      </c>
      <c r="J235" s="175">
        <v>46045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806.67</v>
      </c>
    </row>
    <row r="236" spans="1:16" ht="19.5" customHeight="1">
      <c r="A236" s="171" t="s">
        <v>804</v>
      </c>
      <c r="B236" s="175">
        <v>46049</v>
      </c>
      <c r="C236" s="171" t="s">
        <v>127</v>
      </c>
      <c r="D236" s="171" t="s">
        <v>129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1670</v>
      </c>
      <c r="J236" s="175">
        <v>46045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0</v>
      </c>
    </row>
    <row r="237" spans="1:16" ht="19.5" customHeight="1">
      <c r="A237" s="171" t="s">
        <v>804</v>
      </c>
      <c r="B237" s="175">
        <v>46049</v>
      </c>
      <c r="C237" s="171" t="s">
        <v>127</v>
      </c>
      <c r="D237" s="171" t="s">
        <v>130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1670</v>
      </c>
      <c r="J237" s="175">
        <v>46045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863.33</v>
      </c>
    </row>
    <row r="238" spans="1:16" ht="19.5" customHeight="1">
      <c r="A238" s="171" t="s">
        <v>804</v>
      </c>
      <c r="B238" s="175">
        <v>46049</v>
      </c>
      <c r="C238" s="171" t="s">
        <v>131</v>
      </c>
      <c r="D238" s="171" t="s">
        <v>132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1670</v>
      </c>
      <c r="J238" s="175">
        <v>46045</v>
      </c>
      <c r="K238" s="171" t="s">
        <v>113</v>
      </c>
      <c r="L238" s="171" t="s">
        <v>114</v>
      </c>
      <c r="M238" s="178">
        <v>0.43</v>
      </c>
      <c r="N238" s="176"/>
      <c r="O238" s="176"/>
      <c r="P238" s="179">
        <v>-718.1</v>
      </c>
    </row>
    <row r="239" spans="1:16" ht="19.5" customHeight="1">
      <c r="A239" s="171" t="s">
        <v>804</v>
      </c>
      <c r="B239" s="175">
        <v>46049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1670</v>
      </c>
      <c r="J239" s="175">
        <v>46045</v>
      </c>
      <c r="K239" s="171" t="s">
        <v>113</v>
      </c>
      <c r="L239" s="171" t="s">
        <v>114</v>
      </c>
      <c r="M239" s="178">
        <v>0.43</v>
      </c>
      <c r="N239" s="176"/>
      <c r="O239" s="176"/>
      <c r="P239" s="179">
        <v>-12.43</v>
      </c>
    </row>
    <row r="240" spans="1:16" ht="19.5" customHeight="1">
      <c r="A240" s="171" t="s">
        <v>805</v>
      </c>
      <c r="B240" s="175">
        <v>46049</v>
      </c>
      <c r="C240" s="171" t="s">
        <v>110</v>
      </c>
      <c r="D240" s="171" t="s">
        <v>24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46038</v>
      </c>
      <c r="K240" s="171" t="s">
        <v>113</v>
      </c>
      <c r="L240" s="171" t="s">
        <v>114</v>
      </c>
      <c r="M240" s="178">
        <v>0</v>
      </c>
      <c r="N240" s="176"/>
      <c r="O240" s="176">
        <v>48</v>
      </c>
      <c r="P240" s="179">
        <v>-46.77</v>
      </c>
    </row>
    <row r="241" spans="1:16" ht="19.5" customHeight="1">
      <c r="A241" s="171" t="s">
        <v>805</v>
      </c>
      <c r="B241" s="175">
        <v>46049</v>
      </c>
      <c r="C241" s="171" t="s">
        <v>115</v>
      </c>
      <c r="D241" s="171" t="s">
        <v>116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46038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-11.2</v>
      </c>
    </row>
    <row r="242" spans="1:16" ht="19.5" customHeight="1">
      <c r="A242" s="171" t="s">
        <v>805</v>
      </c>
      <c r="B242" s="175">
        <v>46049</v>
      </c>
      <c r="C242" s="171" t="s">
        <v>110</v>
      </c>
      <c r="D242" s="171" t="s">
        <v>117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46038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0</v>
      </c>
    </row>
    <row r="243" spans="1:16" ht="19.5" customHeight="1">
      <c r="A243" s="171" t="s">
        <v>805</v>
      </c>
      <c r="B243" s="175">
        <v>46049</v>
      </c>
      <c r="C243" s="171" t="s">
        <v>110</v>
      </c>
      <c r="D243" s="171" t="s">
        <v>118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46038</v>
      </c>
      <c r="K243" s="171" t="s">
        <v>113</v>
      </c>
      <c r="L243" s="171" t="s">
        <v>114</v>
      </c>
      <c r="M243" s="178">
        <v>0</v>
      </c>
      <c r="N243" s="176"/>
      <c r="O243" s="176"/>
      <c r="P243" s="179">
        <v>-46.77</v>
      </c>
    </row>
    <row r="244" spans="1:16" ht="19.5" customHeight="1">
      <c r="A244" s="171" t="s">
        <v>805</v>
      </c>
      <c r="B244" s="175">
        <v>46049</v>
      </c>
      <c r="C244" s="171" t="s">
        <v>115</v>
      </c>
      <c r="D244" s="171" t="s">
        <v>119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46038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-15</v>
      </c>
    </row>
    <row r="245" spans="1:16" ht="19.5" customHeight="1">
      <c r="A245" s="171" t="s">
        <v>806</v>
      </c>
      <c r="B245" s="175">
        <v>46049</v>
      </c>
      <c r="C245" s="171" t="s">
        <v>110</v>
      </c>
      <c r="D245" s="171" t="s">
        <v>24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46044</v>
      </c>
      <c r="K245" s="171" t="s">
        <v>113</v>
      </c>
      <c r="L245" s="171" t="s">
        <v>114</v>
      </c>
      <c r="M245" s="178">
        <v>0</v>
      </c>
      <c r="N245" s="176"/>
      <c r="O245" s="176">
        <v>54</v>
      </c>
      <c r="P245" s="179">
        <v>-46.77</v>
      </c>
    </row>
    <row r="246" spans="1:16" ht="19.5" customHeight="1">
      <c r="A246" s="171" t="s">
        <v>806</v>
      </c>
      <c r="B246" s="175">
        <v>46049</v>
      </c>
      <c r="C246" s="171" t="s">
        <v>115</v>
      </c>
      <c r="D246" s="171" t="s">
        <v>116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46044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-8.11</v>
      </c>
    </row>
    <row r="247" spans="1:16" ht="19.5" customHeight="1">
      <c r="A247" s="171" t="s">
        <v>806</v>
      </c>
      <c r="B247" s="175">
        <v>46049</v>
      </c>
      <c r="C247" s="171" t="s">
        <v>110</v>
      </c>
      <c r="D247" s="171" t="s">
        <v>117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46044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0</v>
      </c>
    </row>
    <row r="248" spans="1:16" ht="19.5" customHeight="1">
      <c r="A248" s="171" t="s">
        <v>806</v>
      </c>
      <c r="B248" s="175">
        <v>46049</v>
      </c>
      <c r="C248" s="171" t="s">
        <v>110</v>
      </c>
      <c r="D248" s="171" t="s">
        <v>118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46044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-46.77</v>
      </c>
    </row>
    <row r="249" spans="1:16" ht="19.5" customHeight="1">
      <c r="A249" s="171" t="s">
        <v>806</v>
      </c>
      <c r="B249" s="175">
        <v>46049</v>
      </c>
      <c r="C249" s="171" t="s">
        <v>115</v>
      </c>
      <c r="D249" s="171" t="s">
        <v>119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46044</v>
      </c>
      <c r="K249" s="171" t="s">
        <v>113</v>
      </c>
      <c r="L249" s="171" t="s">
        <v>114</v>
      </c>
      <c r="M249" s="178">
        <v>0</v>
      </c>
      <c r="N249" s="176"/>
      <c r="O249" s="176"/>
      <c r="P249" s="179">
        <v>-15</v>
      </c>
    </row>
    <row r="250" spans="1:16" ht="19.5" customHeight="1">
      <c r="A250" s="171" t="s">
        <v>642</v>
      </c>
      <c r="B250" s="175">
        <v>46049</v>
      </c>
      <c r="C250" s="171" t="s">
        <v>115</v>
      </c>
      <c r="D250" s="171" t="s">
        <v>135</v>
      </c>
      <c r="E250" s="171" t="s">
        <v>77</v>
      </c>
      <c r="F250" s="171" t="s">
        <v>194</v>
      </c>
      <c r="G250" s="171" t="s">
        <v>177</v>
      </c>
      <c r="H250" s="176">
        <v>1</v>
      </c>
      <c r="I250" s="177">
        <v>0</v>
      </c>
      <c r="J250" s="175">
        <v>46045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29.26</v>
      </c>
    </row>
    <row r="251" spans="1:16" ht="19.5" customHeight="1">
      <c r="A251" s="171" t="s">
        <v>807</v>
      </c>
      <c r="B251" s="175">
        <v>46049</v>
      </c>
      <c r="C251" s="171" t="s">
        <v>110</v>
      </c>
      <c r="D251" s="171" t="s">
        <v>24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46045</v>
      </c>
      <c r="K251" s="171" t="s">
        <v>113</v>
      </c>
      <c r="L251" s="171" t="s">
        <v>114</v>
      </c>
      <c r="M251" s="178">
        <v>0.43</v>
      </c>
      <c r="N251" s="176"/>
      <c r="O251" s="176">
        <v>51</v>
      </c>
      <c r="P251" s="179">
        <v>-147.08000000000001</v>
      </c>
    </row>
    <row r="252" spans="1:16" ht="19.5" customHeight="1">
      <c r="A252" s="171" t="s">
        <v>807</v>
      </c>
      <c r="B252" s="175">
        <v>46049</v>
      </c>
      <c r="C252" s="171" t="s">
        <v>127</v>
      </c>
      <c r="D252" s="171" t="s">
        <v>128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46045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846.67</v>
      </c>
    </row>
    <row r="253" spans="1:16" ht="19.5" customHeight="1">
      <c r="A253" s="171" t="s">
        <v>807</v>
      </c>
      <c r="B253" s="175">
        <v>46049</v>
      </c>
      <c r="C253" s="171" t="s">
        <v>127</v>
      </c>
      <c r="D253" s="171" t="s">
        <v>129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46045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0</v>
      </c>
    </row>
    <row r="254" spans="1:16" ht="19.5" customHeight="1">
      <c r="A254" s="171" t="s">
        <v>807</v>
      </c>
      <c r="B254" s="175">
        <v>46049</v>
      </c>
      <c r="C254" s="171" t="s">
        <v>127</v>
      </c>
      <c r="D254" s="171" t="s">
        <v>130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46045</v>
      </c>
      <c r="K254" s="171" t="s">
        <v>113</v>
      </c>
      <c r="L254" s="171" t="s">
        <v>114</v>
      </c>
      <c r="M254" s="178">
        <v>0</v>
      </c>
      <c r="N254" s="176"/>
      <c r="O254" s="176"/>
      <c r="P254" s="179">
        <v>823.33</v>
      </c>
    </row>
    <row r="255" spans="1:16" ht="19.5" customHeight="1">
      <c r="A255" s="171" t="s">
        <v>807</v>
      </c>
      <c r="B255" s="175">
        <v>46049</v>
      </c>
      <c r="C255" s="171" t="s">
        <v>131</v>
      </c>
      <c r="D255" s="171" t="s">
        <v>132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1670</v>
      </c>
      <c r="J255" s="175">
        <v>46045</v>
      </c>
      <c r="K255" s="171" t="s">
        <v>113</v>
      </c>
      <c r="L255" s="171" t="s">
        <v>114</v>
      </c>
      <c r="M255" s="178">
        <v>0.43</v>
      </c>
      <c r="N255" s="176"/>
      <c r="O255" s="176"/>
      <c r="P255" s="179">
        <v>-718.1</v>
      </c>
    </row>
    <row r="256" spans="1:16" ht="19.5" customHeight="1">
      <c r="A256" s="171" t="s">
        <v>808</v>
      </c>
      <c r="B256" s="175">
        <v>46049</v>
      </c>
      <c r="C256" s="171" t="s">
        <v>110</v>
      </c>
      <c r="D256" s="171" t="s">
        <v>24</v>
      </c>
      <c r="E256" s="171" t="s">
        <v>70</v>
      </c>
      <c r="F256" s="171" t="s">
        <v>509</v>
      </c>
      <c r="G256" s="171" t="s">
        <v>177</v>
      </c>
      <c r="H256" s="176">
        <v>1</v>
      </c>
      <c r="I256" s="177">
        <v>4506</v>
      </c>
      <c r="J256" s="175">
        <v>46047</v>
      </c>
      <c r="K256" s="171" t="s">
        <v>113</v>
      </c>
      <c r="L256" s="171" t="s">
        <v>114</v>
      </c>
      <c r="M256" s="178">
        <v>0.43</v>
      </c>
      <c r="N256" s="176"/>
      <c r="O256" s="176">
        <v>52</v>
      </c>
      <c r="P256" s="179">
        <v>-275.39</v>
      </c>
    </row>
    <row r="257" spans="1:16" ht="19.5" customHeight="1">
      <c r="A257" s="171" t="s">
        <v>808</v>
      </c>
      <c r="B257" s="175">
        <v>46049</v>
      </c>
      <c r="C257" s="171" t="s">
        <v>127</v>
      </c>
      <c r="D257" s="171" t="s">
        <v>128</v>
      </c>
      <c r="E257" s="171" t="s">
        <v>70</v>
      </c>
      <c r="F257" s="171" t="s">
        <v>509</v>
      </c>
      <c r="G257" s="171" t="s">
        <v>177</v>
      </c>
      <c r="H257" s="176">
        <v>1</v>
      </c>
      <c r="I257" s="177">
        <v>4506</v>
      </c>
      <c r="J257" s="175">
        <v>46047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2835.65</v>
      </c>
    </row>
    <row r="258" spans="1:16" ht="19.5" customHeight="1">
      <c r="A258" s="171" t="s">
        <v>808</v>
      </c>
      <c r="B258" s="175">
        <v>46049</v>
      </c>
      <c r="C258" s="171" t="s">
        <v>127</v>
      </c>
      <c r="D258" s="171" t="s">
        <v>129</v>
      </c>
      <c r="E258" s="171" t="s">
        <v>70</v>
      </c>
      <c r="F258" s="171" t="s">
        <v>509</v>
      </c>
      <c r="G258" s="171" t="s">
        <v>177</v>
      </c>
      <c r="H258" s="176">
        <v>1</v>
      </c>
      <c r="I258" s="177">
        <v>4506</v>
      </c>
      <c r="J258" s="175">
        <v>46047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28.36</v>
      </c>
    </row>
    <row r="259" spans="1:16" ht="19.5" customHeight="1">
      <c r="A259" s="171" t="s">
        <v>808</v>
      </c>
      <c r="B259" s="175">
        <v>46049</v>
      </c>
      <c r="C259" s="171" t="s">
        <v>127</v>
      </c>
      <c r="D259" s="171" t="s">
        <v>130</v>
      </c>
      <c r="E259" s="171" t="s">
        <v>70</v>
      </c>
      <c r="F259" s="171" t="s">
        <v>509</v>
      </c>
      <c r="G259" s="171" t="s">
        <v>177</v>
      </c>
      <c r="H259" s="176">
        <v>1</v>
      </c>
      <c r="I259" s="177">
        <v>4506</v>
      </c>
      <c r="J259" s="175">
        <v>46047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1641.99</v>
      </c>
    </row>
    <row r="260" spans="1:16" ht="19.5" customHeight="1">
      <c r="A260" s="171" t="s">
        <v>808</v>
      </c>
      <c r="B260" s="175">
        <v>46049</v>
      </c>
      <c r="C260" s="171" t="s">
        <v>131</v>
      </c>
      <c r="D260" s="171" t="s">
        <v>132</v>
      </c>
      <c r="E260" s="171" t="s">
        <v>70</v>
      </c>
      <c r="F260" s="171" t="s">
        <v>509</v>
      </c>
      <c r="G260" s="171" t="s">
        <v>177</v>
      </c>
      <c r="H260" s="176">
        <v>1</v>
      </c>
      <c r="I260" s="177">
        <v>4506</v>
      </c>
      <c r="J260" s="175">
        <v>46047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-1937.58</v>
      </c>
    </row>
    <row r="261" spans="1:16" ht="19.5" customHeight="1">
      <c r="A261" s="171" t="s">
        <v>809</v>
      </c>
      <c r="B261" s="175">
        <v>46049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46045</v>
      </c>
      <c r="K261" s="171" t="s">
        <v>113</v>
      </c>
      <c r="L261" s="171" t="s">
        <v>114</v>
      </c>
      <c r="M261" s="178">
        <v>0.43</v>
      </c>
      <c r="N261" s="176"/>
      <c r="O261" s="176">
        <v>51</v>
      </c>
      <c r="P261" s="179">
        <v>-147.08000000000001</v>
      </c>
    </row>
    <row r="262" spans="1:16" ht="19.5" customHeight="1">
      <c r="A262" s="171" t="s">
        <v>809</v>
      </c>
      <c r="B262" s="175">
        <v>46049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1670</v>
      </c>
      <c r="J262" s="175">
        <v>46045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727.62</v>
      </c>
    </row>
    <row r="263" spans="1:16" ht="19.5" customHeight="1">
      <c r="A263" s="171" t="s">
        <v>809</v>
      </c>
      <c r="B263" s="175">
        <v>46049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1670</v>
      </c>
      <c r="J263" s="175">
        <v>46045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7.28</v>
      </c>
    </row>
    <row r="264" spans="1:16" ht="19.5" customHeight="1">
      <c r="A264" s="171" t="s">
        <v>809</v>
      </c>
      <c r="B264" s="175">
        <v>46049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1670</v>
      </c>
      <c r="J264" s="175">
        <v>46045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935.1</v>
      </c>
    </row>
    <row r="265" spans="1:16" ht="19.5" customHeight="1">
      <c r="A265" s="171" t="s">
        <v>809</v>
      </c>
      <c r="B265" s="175">
        <v>46049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1670</v>
      </c>
      <c r="J265" s="175">
        <v>46045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-718.1</v>
      </c>
    </row>
    <row r="266" spans="1:16" ht="19.5" customHeight="1">
      <c r="A266" s="171" t="s">
        <v>809</v>
      </c>
      <c r="B266" s="175">
        <v>46049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1670</v>
      </c>
      <c r="J266" s="175">
        <v>46045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-9.33</v>
      </c>
    </row>
    <row r="267" spans="1:16" ht="19.5" customHeight="1">
      <c r="A267" s="171" t="s">
        <v>810</v>
      </c>
      <c r="B267" s="175">
        <v>46049</v>
      </c>
      <c r="C267" s="171" t="s">
        <v>110</v>
      </c>
      <c r="D267" s="171" t="s">
        <v>24</v>
      </c>
      <c r="E267" s="171" t="s">
        <v>39</v>
      </c>
      <c r="F267" s="171" t="s">
        <v>141</v>
      </c>
      <c r="G267" s="171" t="s">
        <v>112</v>
      </c>
      <c r="H267" s="176">
        <v>1</v>
      </c>
      <c r="I267" s="177">
        <v>1634</v>
      </c>
      <c r="J267" s="175">
        <v>46045</v>
      </c>
      <c r="K267" s="171" t="s">
        <v>113</v>
      </c>
      <c r="L267" s="171" t="s">
        <v>114</v>
      </c>
      <c r="M267" s="178">
        <v>0.43</v>
      </c>
      <c r="N267" s="176"/>
      <c r="O267" s="176">
        <v>51</v>
      </c>
      <c r="P267" s="179">
        <v>-145.69</v>
      </c>
    </row>
    <row r="268" spans="1:16" ht="19.5" customHeight="1">
      <c r="A268" s="171" t="s">
        <v>810</v>
      </c>
      <c r="B268" s="175">
        <v>46049</v>
      </c>
      <c r="C268" s="171" t="s">
        <v>127</v>
      </c>
      <c r="D268" s="171" t="s">
        <v>128</v>
      </c>
      <c r="E268" s="171" t="s">
        <v>39</v>
      </c>
      <c r="F268" s="171" t="s">
        <v>141</v>
      </c>
      <c r="G268" s="171" t="s">
        <v>112</v>
      </c>
      <c r="H268" s="176">
        <v>1</v>
      </c>
      <c r="I268" s="177">
        <v>1634</v>
      </c>
      <c r="J268" s="175">
        <v>46045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754.29</v>
      </c>
    </row>
    <row r="269" spans="1:16" ht="19.5" customHeight="1">
      <c r="A269" s="171" t="s">
        <v>810</v>
      </c>
      <c r="B269" s="175">
        <v>46049</v>
      </c>
      <c r="C269" s="171" t="s">
        <v>127</v>
      </c>
      <c r="D269" s="171" t="s">
        <v>129</v>
      </c>
      <c r="E269" s="171" t="s">
        <v>39</v>
      </c>
      <c r="F269" s="171" t="s">
        <v>141</v>
      </c>
      <c r="G269" s="171" t="s">
        <v>112</v>
      </c>
      <c r="H269" s="176">
        <v>1</v>
      </c>
      <c r="I269" s="177">
        <v>1634</v>
      </c>
      <c r="J269" s="175">
        <v>46045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7.54</v>
      </c>
    </row>
    <row r="270" spans="1:16" ht="19.5" customHeight="1">
      <c r="A270" s="171" t="s">
        <v>810</v>
      </c>
      <c r="B270" s="175">
        <v>46049</v>
      </c>
      <c r="C270" s="171" t="s">
        <v>127</v>
      </c>
      <c r="D270" s="171" t="s">
        <v>130</v>
      </c>
      <c r="E270" s="171" t="s">
        <v>39</v>
      </c>
      <c r="F270" s="171" t="s">
        <v>141</v>
      </c>
      <c r="G270" s="171" t="s">
        <v>112</v>
      </c>
      <c r="H270" s="176">
        <v>1</v>
      </c>
      <c r="I270" s="177">
        <v>1634</v>
      </c>
      <c r="J270" s="175">
        <v>46045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872.17</v>
      </c>
    </row>
    <row r="271" spans="1:16" ht="19.5" customHeight="1">
      <c r="A271" s="171" t="s">
        <v>810</v>
      </c>
      <c r="B271" s="175">
        <v>46049</v>
      </c>
      <c r="C271" s="171" t="s">
        <v>131</v>
      </c>
      <c r="D271" s="171" t="s">
        <v>132</v>
      </c>
      <c r="E271" s="171" t="s">
        <v>39</v>
      </c>
      <c r="F271" s="171" t="s">
        <v>141</v>
      </c>
      <c r="G271" s="171" t="s">
        <v>112</v>
      </c>
      <c r="H271" s="176">
        <v>1</v>
      </c>
      <c r="I271" s="177">
        <v>1634</v>
      </c>
      <c r="J271" s="175">
        <v>46045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-702.62</v>
      </c>
    </row>
    <row r="272" spans="1:16" ht="19.5" customHeight="1">
      <c r="A272" s="171" t="s">
        <v>810</v>
      </c>
      <c r="B272" s="175">
        <v>46049</v>
      </c>
      <c r="C272" s="171" t="s">
        <v>115</v>
      </c>
      <c r="D272" s="171" t="s">
        <v>116</v>
      </c>
      <c r="E272" s="171" t="s">
        <v>39</v>
      </c>
      <c r="F272" s="171" t="s">
        <v>141</v>
      </c>
      <c r="G272" s="171" t="s">
        <v>112</v>
      </c>
      <c r="H272" s="176">
        <v>1</v>
      </c>
      <c r="I272" s="177">
        <v>1634</v>
      </c>
      <c r="J272" s="175">
        <v>46045</v>
      </c>
      <c r="K272" s="171" t="s">
        <v>113</v>
      </c>
      <c r="L272" s="171" t="s">
        <v>114</v>
      </c>
      <c r="M272" s="178">
        <v>0.43</v>
      </c>
      <c r="N272" s="176"/>
      <c r="O272" s="176"/>
      <c r="P272" s="179">
        <v>-7.17</v>
      </c>
    </row>
    <row r="273" spans="1:16" ht="19.5" customHeight="1">
      <c r="A273" s="171" t="s">
        <v>811</v>
      </c>
      <c r="B273" s="175">
        <v>46049</v>
      </c>
      <c r="C273" s="171" t="s">
        <v>110</v>
      </c>
      <c r="D273" s="171" t="s">
        <v>24</v>
      </c>
      <c r="E273" s="171" t="s">
        <v>47</v>
      </c>
      <c r="F273" s="171" t="s">
        <v>430</v>
      </c>
      <c r="G273" s="171" t="s">
        <v>112</v>
      </c>
      <c r="H273" s="176">
        <v>1</v>
      </c>
      <c r="I273" s="177">
        <v>1306</v>
      </c>
      <c r="J273" s="175">
        <v>46048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-133.06</v>
      </c>
    </row>
    <row r="274" spans="1:16" ht="19.5" customHeight="1">
      <c r="A274" s="171" t="s">
        <v>811</v>
      </c>
      <c r="B274" s="175">
        <v>46049</v>
      </c>
      <c r="C274" s="171" t="s">
        <v>127</v>
      </c>
      <c r="D274" s="171" t="s">
        <v>128</v>
      </c>
      <c r="E274" s="171" t="s">
        <v>47</v>
      </c>
      <c r="F274" s="171" t="s">
        <v>430</v>
      </c>
      <c r="G274" s="171" t="s">
        <v>112</v>
      </c>
      <c r="H274" s="176">
        <v>1</v>
      </c>
      <c r="I274" s="177">
        <v>1306</v>
      </c>
      <c r="J274" s="175">
        <v>46048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652.38</v>
      </c>
    </row>
    <row r="275" spans="1:16" ht="19.5" customHeight="1">
      <c r="A275" s="171" t="s">
        <v>811</v>
      </c>
      <c r="B275" s="175">
        <v>46049</v>
      </c>
      <c r="C275" s="171" t="s">
        <v>127</v>
      </c>
      <c r="D275" s="171" t="s">
        <v>129</v>
      </c>
      <c r="E275" s="171" t="s">
        <v>47</v>
      </c>
      <c r="F275" s="171" t="s">
        <v>430</v>
      </c>
      <c r="G275" s="171" t="s">
        <v>112</v>
      </c>
      <c r="H275" s="176">
        <v>1</v>
      </c>
      <c r="I275" s="177">
        <v>1306</v>
      </c>
      <c r="J275" s="175">
        <v>46048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6.52</v>
      </c>
    </row>
    <row r="276" spans="1:16" ht="19.5" customHeight="1">
      <c r="A276" s="171" t="s">
        <v>811</v>
      </c>
      <c r="B276" s="175">
        <v>46049</v>
      </c>
      <c r="C276" s="171" t="s">
        <v>127</v>
      </c>
      <c r="D276" s="171" t="s">
        <v>130</v>
      </c>
      <c r="E276" s="171" t="s">
        <v>47</v>
      </c>
      <c r="F276" s="171" t="s">
        <v>430</v>
      </c>
      <c r="G276" s="171" t="s">
        <v>112</v>
      </c>
      <c r="H276" s="176">
        <v>1</v>
      </c>
      <c r="I276" s="177">
        <v>1306</v>
      </c>
      <c r="J276" s="175">
        <v>46048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647.1</v>
      </c>
    </row>
    <row r="277" spans="1:16" ht="19.5" customHeight="1">
      <c r="A277" s="171" t="s">
        <v>811</v>
      </c>
      <c r="B277" s="175">
        <v>46049</v>
      </c>
      <c r="C277" s="171" t="s">
        <v>131</v>
      </c>
      <c r="D277" s="171" t="s">
        <v>132</v>
      </c>
      <c r="E277" s="171" t="s">
        <v>47</v>
      </c>
      <c r="F277" s="171" t="s">
        <v>430</v>
      </c>
      <c r="G277" s="171" t="s">
        <v>112</v>
      </c>
      <c r="H277" s="176">
        <v>1</v>
      </c>
      <c r="I277" s="177">
        <v>1306</v>
      </c>
      <c r="J277" s="175">
        <v>46048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-561.58000000000004</v>
      </c>
    </row>
    <row r="278" spans="1:16" ht="19.5" customHeight="1">
      <c r="A278" s="171" t="s">
        <v>811</v>
      </c>
      <c r="B278" s="175">
        <v>46049</v>
      </c>
      <c r="C278" s="171" t="s">
        <v>115</v>
      </c>
      <c r="D278" s="171" t="s">
        <v>116</v>
      </c>
      <c r="E278" s="171" t="s">
        <v>47</v>
      </c>
      <c r="F278" s="171" t="s">
        <v>430</v>
      </c>
      <c r="G278" s="171" t="s">
        <v>112</v>
      </c>
      <c r="H278" s="176">
        <v>1</v>
      </c>
      <c r="I278" s="177">
        <v>1306</v>
      </c>
      <c r="J278" s="175">
        <v>46048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-8.0500000000000007</v>
      </c>
    </row>
    <row r="279" spans="1:16" ht="19.5" customHeight="1">
      <c r="A279" s="171" t="s">
        <v>809</v>
      </c>
      <c r="B279" s="175">
        <v>46049</v>
      </c>
      <c r="C279" s="171" t="s">
        <v>115</v>
      </c>
      <c r="D279" s="171" t="s">
        <v>135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0</v>
      </c>
      <c r="J279" s="175">
        <v>46045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-13.82</v>
      </c>
    </row>
    <row r="280" spans="1:16" ht="19.5" customHeight="1">
      <c r="A280" s="171" t="s">
        <v>810</v>
      </c>
      <c r="B280" s="175">
        <v>46049</v>
      </c>
      <c r="C280" s="171" t="s">
        <v>115</v>
      </c>
      <c r="D280" s="171" t="s">
        <v>135</v>
      </c>
      <c r="E280" s="171" t="s">
        <v>39</v>
      </c>
      <c r="F280" s="171" t="s">
        <v>141</v>
      </c>
      <c r="G280" s="171" t="s">
        <v>112</v>
      </c>
      <c r="H280" s="176">
        <v>1</v>
      </c>
      <c r="I280" s="177">
        <v>0</v>
      </c>
      <c r="J280" s="175">
        <v>46045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-14.33</v>
      </c>
    </row>
    <row r="281" spans="1:16" ht="19.5" customHeight="1">
      <c r="A281" s="171" t="s">
        <v>812</v>
      </c>
      <c r="B281" s="175">
        <v>46049</v>
      </c>
      <c r="C281" s="171" t="s">
        <v>110</v>
      </c>
      <c r="D281" s="171" t="s">
        <v>24</v>
      </c>
      <c r="E281" s="171" t="s">
        <v>77</v>
      </c>
      <c r="F281" s="171" t="s">
        <v>194</v>
      </c>
      <c r="G281" s="171" t="s">
        <v>177</v>
      </c>
      <c r="H281" s="176">
        <v>1</v>
      </c>
      <c r="I281" s="177">
        <v>0</v>
      </c>
      <c r="J281" s="175">
        <v>46046</v>
      </c>
      <c r="K281" s="171" t="s">
        <v>113</v>
      </c>
      <c r="L281" s="171" t="s">
        <v>114</v>
      </c>
      <c r="M281" s="178">
        <v>0</v>
      </c>
      <c r="N281" s="176"/>
      <c r="O281" s="176">
        <v>50</v>
      </c>
      <c r="P281" s="179">
        <v>-56.94</v>
      </c>
    </row>
    <row r="282" spans="1:16" ht="19.5" customHeight="1">
      <c r="A282" s="171" t="s">
        <v>812</v>
      </c>
      <c r="B282" s="175">
        <v>46049</v>
      </c>
      <c r="C282" s="171" t="s">
        <v>115</v>
      </c>
      <c r="D282" s="171" t="s">
        <v>116</v>
      </c>
      <c r="E282" s="171" t="s">
        <v>77</v>
      </c>
      <c r="F282" s="171" t="s">
        <v>194</v>
      </c>
      <c r="G282" s="171" t="s">
        <v>177</v>
      </c>
      <c r="H282" s="176">
        <v>1</v>
      </c>
      <c r="I282" s="177">
        <v>0</v>
      </c>
      <c r="J282" s="175">
        <v>46046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-14.3</v>
      </c>
    </row>
    <row r="283" spans="1:16" ht="19.5" customHeight="1">
      <c r="A283" s="171" t="s">
        <v>813</v>
      </c>
      <c r="B283" s="175">
        <v>46049</v>
      </c>
      <c r="C283" s="171" t="s">
        <v>110</v>
      </c>
      <c r="D283" s="171" t="s">
        <v>24</v>
      </c>
      <c r="E283" s="171" t="s">
        <v>42</v>
      </c>
      <c r="F283" s="171" t="s">
        <v>248</v>
      </c>
      <c r="G283" s="171" t="s">
        <v>112</v>
      </c>
      <c r="H283" s="176">
        <v>1</v>
      </c>
      <c r="I283" s="177">
        <v>1680</v>
      </c>
      <c r="J283" s="175">
        <v>46047</v>
      </c>
      <c r="K283" s="171" t="s">
        <v>113</v>
      </c>
      <c r="L283" s="171" t="s">
        <v>114</v>
      </c>
      <c r="M283" s="178">
        <v>0.43</v>
      </c>
      <c r="N283" s="176"/>
      <c r="O283" s="176">
        <v>52</v>
      </c>
      <c r="P283" s="179">
        <v>-147.99</v>
      </c>
    </row>
    <row r="284" spans="1:16" ht="19.5" customHeight="1">
      <c r="A284" s="171" t="s">
        <v>813</v>
      </c>
      <c r="B284" s="175">
        <v>46049</v>
      </c>
      <c r="C284" s="171" t="s">
        <v>127</v>
      </c>
      <c r="D284" s="171" t="s">
        <v>128</v>
      </c>
      <c r="E284" s="171" t="s">
        <v>42</v>
      </c>
      <c r="F284" s="171" t="s">
        <v>248</v>
      </c>
      <c r="G284" s="171" t="s">
        <v>112</v>
      </c>
      <c r="H284" s="176">
        <v>1</v>
      </c>
      <c r="I284" s="177">
        <v>1680</v>
      </c>
      <c r="J284" s="175">
        <v>46047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930.81</v>
      </c>
    </row>
    <row r="285" spans="1:16" ht="19.5" customHeight="1">
      <c r="A285" s="171" t="s">
        <v>813</v>
      </c>
      <c r="B285" s="175">
        <v>46049</v>
      </c>
      <c r="C285" s="171" t="s">
        <v>127</v>
      </c>
      <c r="D285" s="171" t="s">
        <v>129</v>
      </c>
      <c r="E285" s="171" t="s">
        <v>42</v>
      </c>
      <c r="F285" s="171" t="s">
        <v>248</v>
      </c>
      <c r="G285" s="171" t="s">
        <v>112</v>
      </c>
      <c r="H285" s="176">
        <v>1</v>
      </c>
      <c r="I285" s="177">
        <v>1680</v>
      </c>
      <c r="J285" s="175">
        <v>46047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9.31</v>
      </c>
    </row>
    <row r="286" spans="1:16" ht="19.5" customHeight="1">
      <c r="A286" s="171" t="s">
        <v>813</v>
      </c>
      <c r="B286" s="175">
        <v>46049</v>
      </c>
      <c r="C286" s="171" t="s">
        <v>127</v>
      </c>
      <c r="D286" s="171" t="s">
        <v>130</v>
      </c>
      <c r="E286" s="171" t="s">
        <v>42</v>
      </c>
      <c r="F286" s="171" t="s">
        <v>248</v>
      </c>
      <c r="G286" s="171" t="s">
        <v>112</v>
      </c>
      <c r="H286" s="176">
        <v>1</v>
      </c>
      <c r="I286" s="177">
        <v>1680</v>
      </c>
      <c r="J286" s="175">
        <v>46047</v>
      </c>
      <c r="K286" s="171" t="s">
        <v>113</v>
      </c>
      <c r="L286" s="171" t="s">
        <v>114</v>
      </c>
      <c r="M286" s="178">
        <v>0</v>
      </c>
      <c r="N286" s="176"/>
      <c r="O286" s="176"/>
      <c r="P286" s="179">
        <v>739.88</v>
      </c>
    </row>
    <row r="287" spans="1:16" ht="19.5" customHeight="1">
      <c r="A287" s="171" t="s">
        <v>813</v>
      </c>
      <c r="B287" s="175">
        <v>46049</v>
      </c>
      <c r="C287" s="171" t="s">
        <v>131</v>
      </c>
      <c r="D287" s="171" t="s">
        <v>132</v>
      </c>
      <c r="E287" s="171" t="s">
        <v>42</v>
      </c>
      <c r="F287" s="171" t="s">
        <v>248</v>
      </c>
      <c r="G287" s="171" t="s">
        <v>112</v>
      </c>
      <c r="H287" s="176">
        <v>1</v>
      </c>
      <c r="I287" s="177">
        <v>1680</v>
      </c>
      <c r="J287" s="175">
        <v>46047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-722.4</v>
      </c>
    </row>
    <row r="288" spans="1:16" ht="19.5" customHeight="1">
      <c r="A288" s="171" t="s">
        <v>813</v>
      </c>
      <c r="B288" s="175">
        <v>46049</v>
      </c>
      <c r="C288" s="171" t="s">
        <v>115</v>
      </c>
      <c r="D288" s="171" t="s">
        <v>116</v>
      </c>
      <c r="E288" s="171" t="s">
        <v>42</v>
      </c>
      <c r="F288" s="171" t="s">
        <v>248</v>
      </c>
      <c r="G288" s="171" t="s">
        <v>112</v>
      </c>
      <c r="H288" s="176">
        <v>1</v>
      </c>
      <c r="I288" s="177">
        <v>1680</v>
      </c>
      <c r="J288" s="175">
        <v>46047</v>
      </c>
      <c r="K288" s="171" t="s">
        <v>113</v>
      </c>
      <c r="L288" s="171" t="s">
        <v>114</v>
      </c>
      <c r="M288" s="178">
        <v>0.43</v>
      </c>
      <c r="N288" s="176"/>
      <c r="O288" s="176"/>
      <c r="P288" s="179">
        <v>-9.2799999999999994</v>
      </c>
    </row>
    <row r="289" spans="1:16" ht="19.5" customHeight="1">
      <c r="A289" s="171" t="s">
        <v>812</v>
      </c>
      <c r="B289" s="175">
        <v>46049</v>
      </c>
      <c r="C289" s="171" t="s">
        <v>110</v>
      </c>
      <c r="D289" s="171" t="s">
        <v>117</v>
      </c>
      <c r="E289" s="171" t="s">
        <v>77</v>
      </c>
      <c r="F289" s="171" t="s">
        <v>194</v>
      </c>
      <c r="G289" s="171" t="s">
        <v>177</v>
      </c>
      <c r="H289" s="176">
        <v>1</v>
      </c>
      <c r="I289" s="177">
        <v>0</v>
      </c>
      <c r="J289" s="175">
        <v>46046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0</v>
      </c>
    </row>
    <row r="290" spans="1:16" ht="19.5" customHeight="1">
      <c r="A290" s="171" t="s">
        <v>812</v>
      </c>
      <c r="B290" s="175">
        <v>46049</v>
      </c>
      <c r="C290" s="171" t="s">
        <v>110</v>
      </c>
      <c r="D290" s="171" t="s">
        <v>118</v>
      </c>
      <c r="E290" s="171" t="s">
        <v>77</v>
      </c>
      <c r="F290" s="171" t="s">
        <v>194</v>
      </c>
      <c r="G290" s="171" t="s">
        <v>177</v>
      </c>
      <c r="H290" s="176">
        <v>1</v>
      </c>
      <c r="I290" s="177">
        <v>0</v>
      </c>
      <c r="J290" s="175">
        <v>46046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-56.94</v>
      </c>
    </row>
    <row r="291" spans="1:16" ht="19.5" customHeight="1">
      <c r="A291" s="171" t="s">
        <v>812</v>
      </c>
      <c r="B291" s="175">
        <v>46049</v>
      </c>
      <c r="C291" s="171" t="s">
        <v>115</v>
      </c>
      <c r="D291" s="171" t="s">
        <v>119</v>
      </c>
      <c r="E291" s="171" t="s">
        <v>77</v>
      </c>
      <c r="F291" s="171" t="s">
        <v>194</v>
      </c>
      <c r="G291" s="171" t="s">
        <v>177</v>
      </c>
      <c r="H291" s="176">
        <v>1</v>
      </c>
      <c r="I291" s="177">
        <v>0</v>
      </c>
      <c r="J291" s="175">
        <v>46046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-15</v>
      </c>
    </row>
    <row r="292" spans="1:16" ht="19.5" customHeight="1">
      <c r="A292" s="171" t="s">
        <v>814</v>
      </c>
      <c r="B292" s="175">
        <v>46049</v>
      </c>
      <c r="C292" s="171" t="s">
        <v>110</v>
      </c>
      <c r="D292" s="171" t="s">
        <v>24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1670</v>
      </c>
      <c r="J292" s="175">
        <v>46046</v>
      </c>
      <c r="K292" s="171" t="s">
        <v>113</v>
      </c>
      <c r="L292" s="171" t="s">
        <v>114</v>
      </c>
      <c r="M292" s="178">
        <v>0.43</v>
      </c>
      <c r="N292" s="176"/>
      <c r="O292" s="176">
        <v>50</v>
      </c>
      <c r="P292" s="179">
        <v>-145.78</v>
      </c>
    </row>
    <row r="293" spans="1:16" ht="19.5" customHeight="1">
      <c r="A293" s="171" t="s">
        <v>814</v>
      </c>
      <c r="B293" s="175">
        <v>46049</v>
      </c>
      <c r="C293" s="171" t="s">
        <v>127</v>
      </c>
      <c r="D293" s="171" t="s">
        <v>128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1670</v>
      </c>
      <c r="J293" s="175">
        <v>46046</v>
      </c>
      <c r="K293" s="171" t="s">
        <v>113</v>
      </c>
      <c r="L293" s="171" t="s">
        <v>114</v>
      </c>
      <c r="M293" s="178">
        <v>0</v>
      </c>
      <c r="N293" s="176"/>
      <c r="O293" s="176"/>
      <c r="P293" s="179">
        <v>783.81</v>
      </c>
    </row>
    <row r="294" spans="1:16" ht="19.5" customHeight="1">
      <c r="A294" s="171" t="s">
        <v>814</v>
      </c>
      <c r="B294" s="175">
        <v>46049</v>
      </c>
      <c r="C294" s="171" t="s">
        <v>127</v>
      </c>
      <c r="D294" s="171" t="s">
        <v>129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1670</v>
      </c>
      <c r="J294" s="175">
        <v>46046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7.84</v>
      </c>
    </row>
    <row r="295" spans="1:16" ht="19.5" customHeight="1">
      <c r="A295" s="171" t="s">
        <v>814</v>
      </c>
      <c r="B295" s="175">
        <v>46049</v>
      </c>
      <c r="C295" s="171" t="s">
        <v>127</v>
      </c>
      <c r="D295" s="171" t="s">
        <v>130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1670</v>
      </c>
      <c r="J295" s="175">
        <v>46046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878.35</v>
      </c>
    </row>
    <row r="296" spans="1:16" ht="19.5" customHeight="1">
      <c r="A296" s="171" t="s">
        <v>814</v>
      </c>
      <c r="B296" s="175">
        <v>46049</v>
      </c>
      <c r="C296" s="171" t="s">
        <v>131</v>
      </c>
      <c r="D296" s="171" t="s">
        <v>132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46046</v>
      </c>
      <c r="K296" s="171" t="s">
        <v>113</v>
      </c>
      <c r="L296" s="171" t="s">
        <v>114</v>
      </c>
      <c r="M296" s="178">
        <v>0.43</v>
      </c>
      <c r="N296" s="176"/>
      <c r="O296" s="176"/>
      <c r="P296" s="179">
        <v>-718.1</v>
      </c>
    </row>
    <row r="297" spans="1:16" ht="19.5" customHeight="1">
      <c r="A297" s="171" t="s">
        <v>814</v>
      </c>
      <c r="B297" s="175">
        <v>46049</v>
      </c>
      <c r="C297" s="171" t="s">
        <v>115</v>
      </c>
      <c r="D297" s="171" t="s">
        <v>116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46046</v>
      </c>
      <c r="K297" s="171" t="s">
        <v>113</v>
      </c>
      <c r="L297" s="171" t="s">
        <v>114</v>
      </c>
      <c r="M297" s="178">
        <v>0.43</v>
      </c>
      <c r="N297" s="176"/>
      <c r="O297" s="176"/>
      <c r="P297" s="179">
        <v>-7.78</v>
      </c>
    </row>
    <row r="298" spans="1:16" ht="19.5" customHeight="1">
      <c r="A298" s="171" t="s">
        <v>815</v>
      </c>
      <c r="B298" s="175">
        <v>46049</v>
      </c>
      <c r="C298" s="171" t="s">
        <v>110</v>
      </c>
      <c r="D298" s="171" t="s">
        <v>24</v>
      </c>
      <c r="E298" s="171" t="s">
        <v>49</v>
      </c>
      <c r="F298" s="171" t="s">
        <v>490</v>
      </c>
      <c r="G298" s="171" t="s">
        <v>112</v>
      </c>
      <c r="H298" s="176">
        <v>1</v>
      </c>
      <c r="I298" s="177">
        <v>1429</v>
      </c>
      <c r="J298" s="175">
        <v>46045</v>
      </c>
      <c r="K298" s="171" t="s">
        <v>113</v>
      </c>
      <c r="L298" s="171" t="s">
        <v>114</v>
      </c>
      <c r="M298" s="178">
        <v>0.43</v>
      </c>
      <c r="N298" s="176"/>
      <c r="O298" s="176">
        <v>51</v>
      </c>
      <c r="P298" s="179">
        <v>-137.80000000000001</v>
      </c>
    </row>
    <row r="299" spans="1:16" ht="19.5" customHeight="1">
      <c r="A299" s="171" t="s">
        <v>815</v>
      </c>
      <c r="B299" s="175">
        <v>46049</v>
      </c>
      <c r="C299" s="171" t="s">
        <v>127</v>
      </c>
      <c r="D299" s="171" t="s">
        <v>128</v>
      </c>
      <c r="E299" s="171" t="s">
        <v>49</v>
      </c>
      <c r="F299" s="171" t="s">
        <v>490</v>
      </c>
      <c r="G299" s="171" t="s">
        <v>112</v>
      </c>
      <c r="H299" s="176">
        <v>1</v>
      </c>
      <c r="I299" s="177">
        <v>1429</v>
      </c>
      <c r="J299" s="175">
        <v>46045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808.45</v>
      </c>
    </row>
    <row r="300" spans="1:16" ht="19.5" customHeight="1">
      <c r="A300" s="171" t="s">
        <v>815</v>
      </c>
      <c r="B300" s="175">
        <v>46049</v>
      </c>
      <c r="C300" s="171" t="s">
        <v>127</v>
      </c>
      <c r="D300" s="171" t="s">
        <v>129</v>
      </c>
      <c r="E300" s="171" t="s">
        <v>49</v>
      </c>
      <c r="F300" s="171" t="s">
        <v>490</v>
      </c>
      <c r="G300" s="171" t="s">
        <v>112</v>
      </c>
      <c r="H300" s="176">
        <v>1</v>
      </c>
      <c r="I300" s="177">
        <v>1429</v>
      </c>
      <c r="J300" s="175">
        <v>46045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8.08</v>
      </c>
    </row>
    <row r="301" spans="1:16" ht="19.5" customHeight="1">
      <c r="A301" s="171" t="s">
        <v>815</v>
      </c>
      <c r="B301" s="175">
        <v>46049</v>
      </c>
      <c r="C301" s="171" t="s">
        <v>127</v>
      </c>
      <c r="D301" s="171" t="s">
        <v>130</v>
      </c>
      <c r="E301" s="171" t="s">
        <v>49</v>
      </c>
      <c r="F301" s="171" t="s">
        <v>490</v>
      </c>
      <c r="G301" s="171" t="s">
        <v>112</v>
      </c>
      <c r="H301" s="176">
        <v>1</v>
      </c>
      <c r="I301" s="177">
        <v>1429</v>
      </c>
      <c r="J301" s="175">
        <v>46045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612.47</v>
      </c>
    </row>
    <row r="302" spans="1:16" ht="19.5" customHeight="1">
      <c r="A302" s="171" t="s">
        <v>815</v>
      </c>
      <c r="B302" s="175">
        <v>46049</v>
      </c>
      <c r="C302" s="171" t="s">
        <v>131</v>
      </c>
      <c r="D302" s="171" t="s">
        <v>132</v>
      </c>
      <c r="E302" s="171" t="s">
        <v>49</v>
      </c>
      <c r="F302" s="171" t="s">
        <v>490</v>
      </c>
      <c r="G302" s="171" t="s">
        <v>112</v>
      </c>
      <c r="H302" s="176">
        <v>1</v>
      </c>
      <c r="I302" s="177">
        <v>1429</v>
      </c>
      <c r="J302" s="175">
        <v>46045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-614.47</v>
      </c>
    </row>
    <row r="303" spans="1:16" ht="19.5" customHeight="1">
      <c r="A303" s="171" t="s">
        <v>816</v>
      </c>
      <c r="B303" s="175">
        <v>46049</v>
      </c>
      <c r="C303" s="171" t="s">
        <v>110</v>
      </c>
      <c r="D303" s="171" t="s">
        <v>24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891</v>
      </c>
      <c r="J303" s="175">
        <v>46043</v>
      </c>
      <c r="K303" s="171" t="s">
        <v>113</v>
      </c>
      <c r="L303" s="171" t="s">
        <v>114</v>
      </c>
      <c r="M303" s="178">
        <v>0.43</v>
      </c>
      <c r="N303" s="176"/>
      <c r="O303" s="176">
        <v>52</v>
      </c>
      <c r="P303" s="179">
        <v>-117.45</v>
      </c>
    </row>
    <row r="304" spans="1:16" ht="19.5" customHeight="1">
      <c r="A304" s="171" t="s">
        <v>816</v>
      </c>
      <c r="B304" s="175">
        <v>46049</v>
      </c>
      <c r="C304" s="171" t="s">
        <v>127</v>
      </c>
      <c r="D304" s="171" t="s">
        <v>128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891</v>
      </c>
      <c r="J304" s="175">
        <v>46043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309.52</v>
      </c>
    </row>
    <row r="305" spans="1:16" ht="19.5" customHeight="1">
      <c r="A305" s="171" t="s">
        <v>816</v>
      </c>
      <c r="B305" s="175">
        <v>46049</v>
      </c>
      <c r="C305" s="171" t="s">
        <v>127</v>
      </c>
      <c r="D305" s="171" t="s">
        <v>129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891</v>
      </c>
      <c r="J305" s="175">
        <v>46043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3.1</v>
      </c>
    </row>
    <row r="306" spans="1:16" ht="19.5" customHeight="1">
      <c r="A306" s="171" t="s">
        <v>816</v>
      </c>
      <c r="B306" s="175">
        <v>46049</v>
      </c>
      <c r="C306" s="171" t="s">
        <v>127</v>
      </c>
      <c r="D306" s="171" t="s">
        <v>130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891</v>
      </c>
      <c r="J306" s="175">
        <v>46043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578.38</v>
      </c>
    </row>
    <row r="307" spans="1:16" ht="19.5" customHeight="1">
      <c r="A307" s="171" t="s">
        <v>816</v>
      </c>
      <c r="B307" s="175">
        <v>46049</v>
      </c>
      <c r="C307" s="171" t="s">
        <v>131</v>
      </c>
      <c r="D307" s="171" t="s">
        <v>132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891</v>
      </c>
      <c r="J307" s="175">
        <v>46043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-383.13</v>
      </c>
    </row>
    <row r="308" spans="1:16" ht="19.5" customHeight="1">
      <c r="A308" s="171" t="s">
        <v>816</v>
      </c>
      <c r="B308" s="175">
        <v>46049</v>
      </c>
      <c r="C308" s="171" t="s">
        <v>115</v>
      </c>
      <c r="D308" s="171" t="s">
        <v>116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891</v>
      </c>
      <c r="J308" s="175">
        <v>46043</v>
      </c>
      <c r="K308" s="171" t="s">
        <v>113</v>
      </c>
      <c r="L308" s="171" t="s">
        <v>114</v>
      </c>
      <c r="M308" s="178">
        <v>0.43</v>
      </c>
      <c r="N308" s="176"/>
      <c r="O308" s="176"/>
      <c r="P308" s="179">
        <v>-5.3</v>
      </c>
    </row>
    <row r="309" spans="1:16" ht="19.5" customHeight="1">
      <c r="A309" s="171" t="s">
        <v>816</v>
      </c>
      <c r="B309" s="175">
        <v>46049</v>
      </c>
      <c r="C309" s="171" t="s">
        <v>115</v>
      </c>
      <c r="D309" s="171" t="s">
        <v>135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46043</v>
      </c>
      <c r="K309" s="171" t="s">
        <v>125</v>
      </c>
      <c r="L309" s="171" t="s">
        <v>125</v>
      </c>
      <c r="M309" s="178">
        <v>0</v>
      </c>
      <c r="N309" s="176"/>
      <c r="O309" s="176"/>
      <c r="P309" s="179">
        <v>-5.88</v>
      </c>
    </row>
    <row r="310" spans="1:16" ht="19.5" customHeight="1">
      <c r="A310" s="171" t="s">
        <v>817</v>
      </c>
      <c r="B310" s="175">
        <v>46049</v>
      </c>
      <c r="C310" s="171" t="s">
        <v>110</v>
      </c>
      <c r="D310" s="171" t="s">
        <v>24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1670</v>
      </c>
      <c r="J310" s="175">
        <v>46047</v>
      </c>
      <c r="K310" s="171" t="s">
        <v>113</v>
      </c>
      <c r="L310" s="171" t="s">
        <v>114</v>
      </c>
      <c r="M310" s="178">
        <v>0.43</v>
      </c>
      <c r="N310" s="176"/>
      <c r="O310" s="176">
        <v>52</v>
      </c>
      <c r="P310" s="179">
        <v>-147.6</v>
      </c>
    </row>
    <row r="311" spans="1:16" ht="19.5" customHeight="1">
      <c r="A311" s="171" t="s">
        <v>817</v>
      </c>
      <c r="B311" s="175">
        <v>46049</v>
      </c>
      <c r="C311" s="171" t="s">
        <v>127</v>
      </c>
      <c r="D311" s="171" t="s">
        <v>128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1670</v>
      </c>
      <c r="J311" s="175">
        <v>46047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788.77</v>
      </c>
    </row>
    <row r="312" spans="1:16" ht="19.5" customHeight="1">
      <c r="A312" s="171" t="s">
        <v>817</v>
      </c>
      <c r="B312" s="175">
        <v>46049</v>
      </c>
      <c r="C312" s="171" t="s">
        <v>127</v>
      </c>
      <c r="D312" s="171" t="s">
        <v>129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1670</v>
      </c>
      <c r="J312" s="175">
        <v>46047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7.89</v>
      </c>
    </row>
    <row r="313" spans="1:16" ht="19.5" customHeight="1">
      <c r="A313" s="171" t="s">
        <v>817</v>
      </c>
      <c r="B313" s="175">
        <v>46049</v>
      </c>
      <c r="C313" s="171" t="s">
        <v>127</v>
      </c>
      <c r="D313" s="171" t="s">
        <v>130</v>
      </c>
      <c r="E313" s="171" t="s">
        <v>38</v>
      </c>
      <c r="F313" s="171" t="s">
        <v>111</v>
      </c>
      <c r="G313" s="171" t="s">
        <v>112</v>
      </c>
      <c r="H313" s="176">
        <v>1</v>
      </c>
      <c r="I313" s="177">
        <v>1670</v>
      </c>
      <c r="J313" s="175">
        <v>46047</v>
      </c>
      <c r="K313" s="171" t="s">
        <v>113</v>
      </c>
      <c r="L313" s="171" t="s">
        <v>114</v>
      </c>
      <c r="M313" s="178">
        <v>0</v>
      </c>
      <c r="N313" s="176"/>
      <c r="O313" s="176"/>
      <c r="P313" s="179">
        <v>873.34</v>
      </c>
    </row>
    <row r="314" spans="1:16" ht="19.5" customHeight="1">
      <c r="A314" s="171" t="s">
        <v>817</v>
      </c>
      <c r="B314" s="175">
        <v>46049</v>
      </c>
      <c r="C314" s="171" t="s">
        <v>131</v>
      </c>
      <c r="D314" s="171" t="s">
        <v>132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1670</v>
      </c>
      <c r="J314" s="175">
        <v>46047</v>
      </c>
      <c r="K314" s="171" t="s">
        <v>113</v>
      </c>
      <c r="L314" s="171" t="s">
        <v>114</v>
      </c>
      <c r="M314" s="178">
        <v>0.43</v>
      </c>
      <c r="N314" s="176"/>
      <c r="O314" s="176"/>
      <c r="P314" s="179">
        <v>-718.1</v>
      </c>
    </row>
    <row r="315" spans="1:16" ht="19.5" customHeight="1">
      <c r="A315" s="171" t="s">
        <v>817</v>
      </c>
      <c r="B315" s="175">
        <v>46049</v>
      </c>
      <c r="C315" s="171" t="s">
        <v>115</v>
      </c>
      <c r="D315" s="171" t="s">
        <v>116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1670</v>
      </c>
      <c r="J315" s="175">
        <v>46047</v>
      </c>
      <c r="K315" s="171" t="s">
        <v>113</v>
      </c>
      <c r="L315" s="171" t="s">
        <v>114</v>
      </c>
      <c r="M315" s="178">
        <v>0.43</v>
      </c>
      <c r="N315" s="176"/>
      <c r="O315" s="176"/>
      <c r="P315" s="179">
        <v>-9.76</v>
      </c>
    </row>
    <row r="316" spans="1:16" ht="19.5" customHeight="1">
      <c r="A316" s="171" t="s">
        <v>818</v>
      </c>
      <c r="B316" s="175">
        <v>46049</v>
      </c>
      <c r="C316" s="171" t="s">
        <v>115</v>
      </c>
      <c r="D316" s="171" t="s">
        <v>135</v>
      </c>
      <c r="E316" s="171" t="s">
        <v>50</v>
      </c>
      <c r="F316" s="171" t="s">
        <v>413</v>
      </c>
      <c r="G316" s="171" t="s">
        <v>112</v>
      </c>
      <c r="H316" s="176">
        <v>1</v>
      </c>
      <c r="I316" s="177">
        <v>0</v>
      </c>
      <c r="J316" s="175">
        <v>46049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-13.14</v>
      </c>
    </row>
    <row r="317" spans="1:16" ht="19.5" customHeight="1">
      <c r="A317" s="171" t="s">
        <v>818</v>
      </c>
      <c r="B317" s="175">
        <v>46049</v>
      </c>
      <c r="C317" s="171" t="s">
        <v>115</v>
      </c>
      <c r="D317" s="171" t="s">
        <v>135</v>
      </c>
      <c r="E317" s="171" t="s">
        <v>48</v>
      </c>
      <c r="F317" s="171" t="s">
        <v>198</v>
      </c>
      <c r="G317" s="171" t="s">
        <v>112</v>
      </c>
      <c r="H317" s="176">
        <v>1</v>
      </c>
      <c r="I317" s="177">
        <v>0</v>
      </c>
      <c r="J317" s="175">
        <v>46049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-11.24</v>
      </c>
    </row>
    <row r="318" spans="1:16" ht="19.5" customHeight="1">
      <c r="A318" s="171" t="s">
        <v>819</v>
      </c>
      <c r="B318" s="175">
        <v>46049</v>
      </c>
      <c r="C318" s="171" t="s">
        <v>115</v>
      </c>
      <c r="D318" s="171" t="s">
        <v>135</v>
      </c>
      <c r="E318" s="171" t="s">
        <v>79</v>
      </c>
      <c r="F318" s="171" t="s">
        <v>441</v>
      </c>
      <c r="G318" s="171" t="s">
        <v>177</v>
      </c>
      <c r="H318" s="176">
        <v>1</v>
      </c>
      <c r="I318" s="177">
        <v>0</v>
      </c>
      <c r="J318" s="175">
        <v>46049</v>
      </c>
      <c r="K318" s="171" t="s">
        <v>125</v>
      </c>
      <c r="L318" s="171" t="s">
        <v>125</v>
      </c>
      <c r="M318" s="178">
        <v>0</v>
      </c>
      <c r="N318" s="176"/>
      <c r="O318" s="176"/>
      <c r="P318" s="179">
        <v>-33.119999999999997</v>
      </c>
    </row>
    <row r="319" spans="1:16" ht="19.5" customHeight="1">
      <c r="A319" s="171" t="s">
        <v>710</v>
      </c>
      <c r="B319" s="175">
        <v>46049</v>
      </c>
      <c r="C319" s="171" t="s">
        <v>151</v>
      </c>
      <c r="D319" s="171" t="s">
        <v>152</v>
      </c>
      <c r="E319" s="171" t="s">
        <v>125</v>
      </c>
      <c r="F319" s="171" t="s">
        <v>125</v>
      </c>
      <c r="G319" s="171" t="s">
        <v>125</v>
      </c>
      <c r="H319" s="176">
        <v>0</v>
      </c>
      <c r="I319" s="177">
        <v>0</v>
      </c>
      <c r="J319" s="175">
        <v>46049</v>
      </c>
      <c r="K319" s="171" t="s">
        <v>125</v>
      </c>
      <c r="L319" s="171" t="s">
        <v>125</v>
      </c>
      <c r="M319" s="178">
        <v>0</v>
      </c>
      <c r="N319" s="176"/>
      <c r="O319" s="176"/>
      <c r="P319" s="179">
        <v>-146.47</v>
      </c>
    </row>
    <row r="320" spans="1:16" ht="19.5" customHeight="1">
      <c r="A320" s="171" t="s">
        <v>671</v>
      </c>
      <c r="B320" s="175">
        <v>46049</v>
      </c>
      <c r="C320" s="171" t="s">
        <v>151</v>
      </c>
      <c r="D320" s="171" t="s">
        <v>152</v>
      </c>
      <c r="E320" s="171" t="s">
        <v>125</v>
      </c>
      <c r="F320" s="171" t="s">
        <v>125</v>
      </c>
      <c r="G320" s="171" t="s">
        <v>125</v>
      </c>
      <c r="H320" s="176">
        <v>0</v>
      </c>
      <c r="I320" s="177">
        <v>0</v>
      </c>
      <c r="J320" s="175">
        <v>46049</v>
      </c>
      <c r="K320" s="171" t="s">
        <v>125</v>
      </c>
      <c r="L320" s="171" t="s">
        <v>125</v>
      </c>
      <c r="M320" s="178">
        <v>0</v>
      </c>
      <c r="N320" s="176"/>
      <c r="O320" s="176"/>
      <c r="P320" s="179">
        <v>-258.82</v>
      </c>
    </row>
    <row r="321" spans="1:16" ht="19.5" customHeight="1">
      <c r="A321" s="171" t="s">
        <v>565</v>
      </c>
      <c r="B321" s="175">
        <v>46049</v>
      </c>
      <c r="C321" s="171" t="s">
        <v>151</v>
      </c>
      <c r="D321" s="171" t="s">
        <v>152</v>
      </c>
      <c r="E321" s="171" t="s">
        <v>125</v>
      </c>
      <c r="F321" s="171" t="s">
        <v>125</v>
      </c>
      <c r="G321" s="171" t="s">
        <v>125</v>
      </c>
      <c r="H321" s="176">
        <v>0</v>
      </c>
      <c r="I321" s="177">
        <v>0</v>
      </c>
      <c r="J321" s="175">
        <v>46049</v>
      </c>
      <c r="K321" s="171" t="s">
        <v>125</v>
      </c>
      <c r="L321" s="171" t="s">
        <v>125</v>
      </c>
      <c r="M321" s="178">
        <v>0</v>
      </c>
      <c r="N321" s="176"/>
      <c r="O321" s="176"/>
      <c r="P321" s="179">
        <v>-276.13</v>
      </c>
    </row>
    <row r="322" spans="1:16" ht="19.5" customHeight="1">
      <c r="A322" s="171" t="s">
        <v>180</v>
      </c>
      <c r="B322" s="175">
        <v>46049</v>
      </c>
      <c r="C322" s="171" t="s">
        <v>151</v>
      </c>
      <c r="D322" s="171" t="s">
        <v>152</v>
      </c>
      <c r="E322" s="171" t="s">
        <v>125</v>
      </c>
      <c r="F322" s="171" t="s">
        <v>125</v>
      </c>
      <c r="G322" s="171" t="s">
        <v>125</v>
      </c>
      <c r="H322" s="176">
        <v>0</v>
      </c>
      <c r="I322" s="177">
        <v>0</v>
      </c>
      <c r="J322" s="175">
        <v>46049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-493.17</v>
      </c>
    </row>
    <row r="323" spans="1:16" ht="19.5" customHeight="1">
      <c r="A323" s="171" t="s">
        <v>179</v>
      </c>
      <c r="B323" s="175">
        <v>46049</v>
      </c>
      <c r="C323" s="171" t="s">
        <v>151</v>
      </c>
      <c r="D323" s="171" t="s">
        <v>152</v>
      </c>
      <c r="E323" s="171" t="s">
        <v>125</v>
      </c>
      <c r="F323" s="171" t="s">
        <v>125</v>
      </c>
      <c r="G323" s="171" t="s">
        <v>125</v>
      </c>
      <c r="H323" s="176">
        <v>0</v>
      </c>
      <c r="I323" s="177">
        <v>0</v>
      </c>
      <c r="J323" s="175">
        <v>46049</v>
      </c>
      <c r="K323" s="171" t="s">
        <v>125</v>
      </c>
      <c r="L323" s="171" t="s">
        <v>125</v>
      </c>
      <c r="M323" s="178">
        <v>0</v>
      </c>
      <c r="N323" s="176"/>
      <c r="O323" s="176"/>
      <c r="P323" s="179">
        <v>-71.05</v>
      </c>
    </row>
    <row r="324" spans="1:16" ht="19.5" customHeight="1">
      <c r="A324" s="171" t="s">
        <v>150</v>
      </c>
      <c r="B324" s="175">
        <v>46049</v>
      </c>
      <c r="C324" s="171" t="s">
        <v>151</v>
      </c>
      <c r="D324" s="171" t="s">
        <v>152</v>
      </c>
      <c r="E324" s="171" t="s">
        <v>125</v>
      </c>
      <c r="F324" s="171" t="s">
        <v>125</v>
      </c>
      <c r="G324" s="171" t="s">
        <v>125</v>
      </c>
      <c r="H324" s="176">
        <v>0</v>
      </c>
      <c r="I324" s="177">
        <v>0</v>
      </c>
      <c r="J324" s="175">
        <v>46049</v>
      </c>
      <c r="K324" s="171" t="s">
        <v>125</v>
      </c>
      <c r="L324" s="171" t="s">
        <v>125</v>
      </c>
      <c r="M324" s="178">
        <v>0</v>
      </c>
      <c r="N324" s="176"/>
      <c r="O324" s="176"/>
      <c r="P324" s="179">
        <v>-1335.1</v>
      </c>
    </row>
    <row r="325" spans="1:16" ht="19.5" customHeight="1">
      <c r="A325" s="171" t="s">
        <v>155</v>
      </c>
      <c r="B325" s="175">
        <v>46049</v>
      </c>
      <c r="C325" s="171" t="s">
        <v>151</v>
      </c>
      <c r="D325" s="171" t="s">
        <v>156</v>
      </c>
      <c r="E325" s="171" t="s">
        <v>125</v>
      </c>
      <c r="F325" s="171" t="s">
        <v>125</v>
      </c>
      <c r="G325" s="171" t="s">
        <v>125</v>
      </c>
      <c r="H325" s="176">
        <v>0</v>
      </c>
      <c r="I325" s="177">
        <v>0</v>
      </c>
      <c r="J325" s="175">
        <v>46049</v>
      </c>
      <c r="K325" s="171" t="s">
        <v>125</v>
      </c>
      <c r="L325" s="171" t="s">
        <v>125</v>
      </c>
      <c r="M325" s="178">
        <v>0</v>
      </c>
      <c r="N325" s="176"/>
      <c r="O325" s="176"/>
      <c r="P325" s="179">
        <v>-3765.54</v>
      </c>
    </row>
    <row r="326" spans="1:16" ht="19.5" customHeight="1">
      <c r="A326" s="171" t="s">
        <v>820</v>
      </c>
      <c r="B326" s="175">
        <v>46050</v>
      </c>
      <c r="C326" s="171" t="s">
        <v>110</v>
      </c>
      <c r="D326" s="171" t="s">
        <v>24</v>
      </c>
      <c r="E326" s="171" t="s">
        <v>76</v>
      </c>
      <c r="F326" s="171" t="s">
        <v>821</v>
      </c>
      <c r="G326" s="171" t="s">
        <v>177</v>
      </c>
      <c r="H326" s="176">
        <v>1</v>
      </c>
      <c r="I326" s="177">
        <v>0</v>
      </c>
      <c r="J326" s="175">
        <v>46046</v>
      </c>
      <c r="K326" s="171" t="s">
        <v>113</v>
      </c>
      <c r="L326" s="171" t="s">
        <v>114</v>
      </c>
      <c r="M326" s="178">
        <v>0</v>
      </c>
      <c r="N326" s="176"/>
      <c r="O326" s="176">
        <v>50</v>
      </c>
      <c r="P326" s="179">
        <v>-56.94</v>
      </c>
    </row>
    <row r="327" spans="1:16" ht="19.5" customHeight="1">
      <c r="A327" s="171" t="s">
        <v>820</v>
      </c>
      <c r="B327" s="175">
        <v>46050</v>
      </c>
      <c r="C327" s="171" t="s">
        <v>110</v>
      </c>
      <c r="D327" s="171" t="s">
        <v>117</v>
      </c>
      <c r="E327" s="171" t="s">
        <v>76</v>
      </c>
      <c r="F327" s="171" t="s">
        <v>821</v>
      </c>
      <c r="G327" s="171" t="s">
        <v>177</v>
      </c>
      <c r="H327" s="176">
        <v>1</v>
      </c>
      <c r="I327" s="177">
        <v>0</v>
      </c>
      <c r="J327" s="175">
        <v>46046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0</v>
      </c>
    </row>
    <row r="328" spans="1:16" ht="19.5" customHeight="1">
      <c r="A328" s="171" t="s">
        <v>820</v>
      </c>
      <c r="B328" s="175">
        <v>46050</v>
      </c>
      <c r="C328" s="171" t="s">
        <v>110</v>
      </c>
      <c r="D328" s="171" t="s">
        <v>118</v>
      </c>
      <c r="E328" s="171" t="s">
        <v>76</v>
      </c>
      <c r="F328" s="171" t="s">
        <v>821</v>
      </c>
      <c r="G328" s="171" t="s">
        <v>177</v>
      </c>
      <c r="H328" s="176">
        <v>1</v>
      </c>
      <c r="I328" s="177">
        <v>0</v>
      </c>
      <c r="J328" s="175">
        <v>46046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-56.94</v>
      </c>
    </row>
    <row r="329" spans="1:16" ht="19.5" customHeight="1">
      <c r="A329" s="171" t="s">
        <v>822</v>
      </c>
      <c r="B329" s="175">
        <v>46050</v>
      </c>
      <c r="C329" s="171" t="s">
        <v>115</v>
      </c>
      <c r="D329" s="171" t="s">
        <v>135</v>
      </c>
      <c r="E329" s="171" t="s">
        <v>38</v>
      </c>
      <c r="F329" s="171" t="s">
        <v>111</v>
      </c>
      <c r="G329" s="171" t="s">
        <v>112</v>
      </c>
      <c r="H329" s="176">
        <v>1</v>
      </c>
      <c r="I329" s="177">
        <v>0</v>
      </c>
      <c r="J329" s="175">
        <v>46050</v>
      </c>
      <c r="K329" s="171" t="s">
        <v>125</v>
      </c>
      <c r="L329" s="171" t="s">
        <v>125</v>
      </c>
      <c r="M329" s="178">
        <v>0</v>
      </c>
      <c r="N329" s="176"/>
      <c r="O329" s="176"/>
      <c r="P329" s="179">
        <v>-15.27</v>
      </c>
    </row>
    <row r="330" spans="1:16" ht="19.5" customHeight="1">
      <c r="A330" s="171" t="s">
        <v>823</v>
      </c>
      <c r="B330" s="175">
        <v>46050</v>
      </c>
      <c r="C330" s="171" t="s">
        <v>110</v>
      </c>
      <c r="D330" s="171" t="s">
        <v>24</v>
      </c>
      <c r="E330" s="171" t="s">
        <v>38</v>
      </c>
      <c r="F330" s="171" t="s">
        <v>111</v>
      </c>
      <c r="G330" s="171" t="s">
        <v>112</v>
      </c>
      <c r="H330" s="176">
        <v>1</v>
      </c>
      <c r="I330" s="177">
        <v>0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>
        <v>44</v>
      </c>
      <c r="P330" s="179">
        <v>-46.77</v>
      </c>
    </row>
    <row r="331" spans="1:16" ht="19.5" customHeight="1">
      <c r="A331" s="171" t="s">
        <v>823</v>
      </c>
      <c r="B331" s="175">
        <v>46050</v>
      </c>
      <c r="C331" s="171" t="s">
        <v>115</v>
      </c>
      <c r="D331" s="171" t="s">
        <v>116</v>
      </c>
      <c r="E331" s="171" t="s">
        <v>38</v>
      </c>
      <c r="F331" s="171" t="s">
        <v>111</v>
      </c>
      <c r="G331" s="171" t="s">
        <v>112</v>
      </c>
      <c r="H331" s="176">
        <v>1</v>
      </c>
      <c r="I331" s="177">
        <v>0</v>
      </c>
      <c r="J331" s="175">
        <v>46028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-6.99</v>
      </c>
    </row>
    <row r="332" spans="1:16" ht="19.5" customHeight="1">
      <c r="A332" s="171" t="s">
        <v>823</v>
      </c>
      <c r="B332" s="175">
        <v>46050</v>
      </c>
      <c r="C332" s="171" t="s">
        <v>110</v>
      </c>
      <c r="D332" s="171" t="s">
        <v>117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0</v>
      </c>
      <c r="J332" s="175">
        <v>46028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0</v>
      </c>
    </row>
    <row r="333" spans="1:16" ht="19.5" customHeight="1">
      <c r="A333" s="171" t="s">
        <v>823</v>
      </c>
      <c r="B333" s="175">
        <v>46050</v>
      </c>
      <c r="C333" s="171" t="s">
        <v>110</v>
      </c>
      <c r="D333" s="171" t="s">
        <v>118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0</v>
      </c>
      <c r="J333" s="175">
        <v>46028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-46.77</v>
      </c>
    </row>
    <row r="334" spans="1:16" ht="19.5" customHeight="1">
      <c r="A334" s="171" t="s">
        <v>824</v>
      </c>
      <c r="B334" s="175">
        <v>46050</v>
      </c>
      <c r="C334" s="171" t="s">
        <v>110</v>
      </c>
      <c r="D334" s="171" t="s">
        <v>24</v>
      </c>
      <c r="E334" s="171" t="s">
        <v>77</v>
      </c>
      <c r="F334" s="171" t="s">
        <v>194</v>
      </c>
      <c r="G334" s="171" t="s">
        <v>177</v>
      </c>
      <c r="H334" s="176">
        <v>1</v>
      </c>
      <c r="I334" s="177">
        <v>0</v>
      </c>
      <c r="J334" s="175">
        <v>46043</v>
      </c>
      <c r="K334" s="171" t="s">
        <v>113</v>
      </c>
      <c r="L334" s="171" t="s">
        <v>114</v>
      </c>
      <c r="M334" s="178">
        <v>0</v>
      </c>
      <c r="N334" s="176"/>
      <c r="O334" s="176">
        <v>52</v>
      </c>
      <c r="P334" s="179">
        <v>-56.94</v>
      </c>
    </row>
    <row r="335" spans="1:16" ht="19.5" customHeight="1">
      <c r="A335" s="171" t="s">
        <v>824</v>
      </c>
      <c r="B335" s="175">
        <v>46050</v>
      </c>
      <c r="C335" s="171" t="s">
        <v>115</v>
      </c>
      <c r="D335" s="171" t="s">
        <v>116</v>
      </c>
      <c r="E335" s="171" t="s">
        <v>77</v>
      </c>
      <c r="F335" s="171" t="s">
        <v>194</v>
      </c>
      <c r="G335" s="171" t="s">
        <v>177</v>
      </c>
      <c r="H335" s="176">
        <v>1</v>
      </c>
      <c r="I335" s="177">
        <v>0</v>
      </c>
      <c r="J335" s="175">
        <v>46043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-12.58</v>
      </c>
    </row>
    <row r="336" spans="1:16" ht="19.5" customHeight="1">
      <c r="A336" s="171" t="s">
        <v>824</v>
      </c>
      <c r="B336" s="175">
        <v>46050</v>
      </c>
      <c r="C336" s="171" t="s">
        <v>110</v>
      </c>
      <c r="D336" s="171" t="s">
        <v>117</v>
      </c>
      <c r="E336" s="171" t="s">
        <v>77</v>
      </c>
      <c r="F336" s="171" t="s">
        <v>194</v>
      </c>
      <c r="G336" s="171" t="s">
        <v>177</v>
      </c>
      <c r="H336" s="176">
        <v>1</v>
      </c>
      <c r="I336" s="177">
        <v>0</v>
      </c>
      <c r="J336" s="175">
        <v>46043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0</v>
      </c>
    </row>
    <row r="337" spans="1:16" ht="19.5" customHeight="1">
      <c r="A337" s="171" t="s">
        <v>824</v>
      </c>
      <c r="B337" s="175">
        <v>46050</v>
      </c>
      <c r="C337" s="171" t="s">
        <v>110</v>
      </c>
      <c r="D337" s="171" t="s">
        <v>118</v>
      </c>
      <c r="E337" s="171" t="s">
        <v>77</v>
      </c>
      <c r="F337" s="171" t="s">
        <v>194</v>
      </c>
      <c r="G337" s="171" t="s">
        <v>177</v>
      </c>
      <c r="H337" s="176">
        <v>1</v>
      </c>
      <c r="I337" s="177">
        <v>0</v>
      </c>
      <c r="J337" s="175">
        <v>46043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-56.94</v>
      </c>
    </row>
    <row r="338" spans="1:16" ht="19.5" customHeight="1">
      <c r="A338" s="171" t="s">
        <v>824</v>
      </c>
      <c r="B338" s="175">
        <v>46050</v>
      </c>
      <c r="C338" s="171" t="s">
        <v>115</v>
      </c>
      <c r="D338" s="171" t="s">
        <v>119</v>
      </c>
      <c r="E338" s="171" t="s">
        <v>77</v>
      </c>
      <c r="F338" s="171" t="s">
        <v>194</v>
      </c>
      <c r="G338" s="171" t="s">
        <v>177</v>
      </c>
      <c r="H338" s="176">
        <v>1</v>
      </c>
      <c r="I338" s="177">
        <v>0</v>
      </c>
      <c r="J338" s="175">
        <v>46043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-15</v>
      </c>
    </row>
    <row r="339" spans="1:16" ht="19.5" customHeight="1">
      <c r="A339" s="171" t="s">
        <v>825</v>
      </c>
      <c r="B339" s="175">
        <v>46050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46046</v>
      </c>
      <c r="K339" s="171" t="s">
        <v>113</v>
      </c>
      <c r="L339" s="171" t="s">
        <v>114</v>
      </c>
      <c r="M339" s="178">
        <v>0.43</v>
      </c>
      <c r="N339" s="176"/>
      <c r="O339" s="176">
        <v>50</v>
      </c>
      <c r="P339" s="179">
        <v>-145.78</v>
      </c>
    </row>
    <row r="340" spans="1:16" ht="19.5" customHeight="1">
      <c r="A340" s="171" t="s">
        <v>825</v>
      </c>
      <c r="B340" s="175">
        <v>46050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46046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908.57</v>
      </c>
    </row>
    <row r="341" spans="1:16" ht="19.5" customHeight="1">
      <c r="A341" s="171" t="s">
        <v>825</v>
      </c>
      <c r="B341" s="175">
        <v>46050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46046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825</v>
      </c>
      <c r="B342" s="175">
        <v>46050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46046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761.43</v>
      </c>
    </row>
    <row r="343" spans="1:16" ht="19.5" customHeight="1">
      <c r="A343" s="171" t="s">
        <v>825</v>
      </c>
      <c r="B343" s="175">
        <v>46050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46046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825</v>
      </c>
      <c r="B344" s="175">
        <v>46050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46046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-25</v>
      </c>
    </row>
    <row r="345" spans="1:16" ht="19.5" customHeight="1">
      <c r="A345" s="171" t="s">
        <v>826</v>
      </c>
      <c r="B345" s="175">
        <v>46050</v>
      </c>
      <c r="C345" s="171" t="s">
        <v>123</v>
      </c>
      <c r="D345" s="171" t="s">
        <v>376</v>
      </c>
      <c r="E345" s="171" t="s">
        <v>125</v>
      </c>
      <c r="F345" s="171" t="s">
        <v>125</v>
      </c>
      <c r="G345" s="171" t="s">
        <v>125</v>
      </c>
      <c r="H345" s="176">
        <v>0</v>
      </c>
      <c r="I345" s="177">
        <v>0</v>
      </c>
      <c r="J345" s="175">
        <v>46040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-1165.8</v>
      </c>
    </row>
    <row r="346" spans="1:16" ht="19.5" customHeight="1">
      <c r="A346" s="171" t="s">
        <v>827</v>
      </c>
      <c r="B346" s="175">
        <v>46050</v>
      </c>
      <c r="C346" s="171" t="s">
        <v>110</v>
      </c>
      <c r="D346" s="171" t="s">
        <v>24</v>
      </c>
      <c r="E346" s="171" t="s">
        <v>49</v>
      </c>
      <c r="F346" s="171" t="s">
        <v>490</v>
      </c>
      <c r="G346" s="171" t="s">
        <v>112</v>
      </c>
      <c r="H346" s="176">
        <v>1</v>
      </c>
      <c r="I346" s="177">
        <v>1429</v>
      </c>
      <c r="J346" s="175">
        <v>46048</v>
      </c>
      <c r="K346" s="171" t="s">
        <v>113</v>
      </c>
      <c r="L346" s="171" t="s">
        <v>114</v>
      </c>
      <c r="M346" s="178">
        <v>0.43</v>
      </c>
      <c r="N346" s="176"/>
      <c r="O346" s="176">
        <v>51</v>
      </c>
      <c r="P346" s="179">
        <v>-137.80000000000001</v>
      </c>
    </row>
    <row r="347" spans="1:16" ht="19.5" customHeight="1">
      <c r="A347" s="171" t="s">
        <v>827</v>
      </c>
      <c r="B347" s="175">
        <v>46050</v>
      </c>
      <c r="C347" s="171" t="s">
        <v>127</v>
      </c>
      <c r="D347" s="171" t="s">
        <v>128</v>
      </c>
      <c r="E347" s="171" t="s">
        <v>49</v>
      </c>
      <c r="F347" s="171" t="s">
        <v>490</v>
      </c>
      <c r="G347" s="171" t="s">
        <v>112</v>
      </c>
      <c r="H347" s="176">
        <v>1</v>
      </c>
      <c r="I347" s="177">
        <v>1429</v>
      </c>
      <c r="J347" s="175">
        <v>46048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668.87</v>
      </c>
    </row>
    <row r="348" spans="1:16" ht="19.5" customHeight="1">
      <c r="A348" s="171" t="s">
        <v>827</v>
      </c>
      <c r="B348" s="175">
        <v>46050</v>
      </c>
      <c r="C348" s="171" t="s">
        <v>127</v>
      </c>
      <c r="D348" s="171" t="s">
        <v>129</v>
      </c>
      <c r="E348" s="171" t="s">
        <v>49</v>
      </c>
      <c r="F348" s="171" t="s">
        <v>490</v>
      </c>
      <c r="G348" s="171" t="s">
        <v>112</v>
      </c>
      <c r="H348" s="176">
        <v>1</v>
      </c>
      <c r="I348" s="177">
        <v>1429</v>
      </c>
      <c r="J348" s="175">
        <v>46048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6.69</v>
      </c>
    </row>
    <row r="349" spans="1:16" ht="19.5" customHeight="1">
      <c r="A349" s="171" t="s">
        <v>827</v>
      </c>
      <c r="B349" s="175">
        <v>46050</v>
      </c>
      <c r="C349" s="171" t="s">
        <v>127</v>
      </c>
      <c r="D349" s="171" t="s">
        <v>130</v>
      </c>
      <c r="E349" s="171" t="s">
        <v>49</v>
      </c>
      <c r="F349" s="171" t="s">
        <v>490</v>
      </c>
      <c r="G349" s="171" t="s">
        <v>112</v>
      </c>
      <c r="H349" s="176">
        <v>1</v>
      </c>
      <c r="I349" s="177">
        <v>1429</v>
      </c>
      <c r="J349" s="175">
        <v>46048</v>
      </c>
      <c r="K349" s="171" t="s">
        <v>113</v>
      </c>
      <c r="L349" s="171" t="s">
        <v>114</v>
      </c>
      <c r="M349" s="178">
        <v>0</v>
      </c>
      <c r="N349" s="176"/>
      <c r="O349" s="176"/>
      <c r="P349" s="179">
        <v>753.44</v>
      </c>
    </row>
    <row r="350" spans="1:16" ht="19.5" customHeight="1">
      <c r="A350" s="171" t="s">
        <v>827</v>
      </c>
      <c r="B350" s="175">
        <v>46050</v>
      </c>
      <c r="C350" s="171" t="s">
        <v>131</v>
      </c>
      <c r="D350" s="171" t="s">
        <v>132</v>
      </c>
      <c r="E350" s="171" t="s">
        <v>49</v>
      </c>
      <c r="F350" s="171" t="s">
        <v>490</v>
      </c>
      <c r="G350" s="171" t="s">
        <v>112</v>
      </c>
      <c r="H350" s="176">
        <v>1</v>
      </c>
      <c r="I350" s="177">
        <v>1429</v>
      </c>
      <c r="J350" s="175">
        <v>46048</v>
      </c>
      <c r="K350" s="171" t="s">
        <v>113</v>
      </c>
      <c r="L350" s="171" t="s">
        <v>114</v>
      </c>
      <c r="M350" s="178">
        <v>0.43</v>
      </c>
      <c r="N350" s="176"/>
      <c r="O350" s="176"/>
      <c r="P350" s="179">
        <v>-614.47</v>
      </c>
    </row>
    <row r="351" spans="1:16" ht="19.5" customHeight="1">
      <c r="A351" s="171" t="s">
        <v>827</v>
      </c>
      <c r="B351" s="175">
        <v>46050</v>
      </c>
      <c r="C351" s="171" t="s">
        <v>115</v>
      </c>
      <c r="D351" s="171" t="s">
        <v>116</v>
      </c>
      <c r="E351" s="171" t="s">
        <v>49</v>
      </c>
      <c r="F351" s="171" t="s">
        <v>490</v>
      </c>
      <c r="G351" s="171" t="s">
        <v>112</v>
      </c>
      <c r="H351" s="176">
        <v>1</v>
      </c>
      <c r="I351" s="177">
        <v>1429</v>
      </c>
      <c r="J351" s="175">
        <v>46048</v>
      </c>
      <c r="K351" s="171" t="s">
        <v>113</v>
      </c>
      <c r="L351" s="171" t="s">
        <v>114</v>
      </c>
      <c r="M351" s="178">
        <v>0.43</v>
      </c>
      <c r="N351" s="176"/>
      <c r="O351" s="176"/>
      <c r="P351" s="179">
        <v>-7.74</v>
      </c>
    </row>
    <row r="352" spans="1:16" ht="19.5" customHeight="1">
      <c r="A352" s="171" t="s">
        <v>828</v>
      </c>
      <c r="B352" s="175">
        <v>46050</v>
      </c>
      <c r="C352" s="171" t="s">
        <v>110</v>
      </c>
      <c r="D352" s="171" t="s">
        <v>24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1670</v>
      </c>
      <c r="J352" s="175">
        <v>46044</v>
      </c>
      <c r="K352" s="171" t="s">
        <v>113</v>
      </c>
      <c r="L352" s="171" t="s">
        <v>114</v>
      </c>
      <c r="M352" s="178">
        <v>0.43</v>
      </c>
      <c r="N352" s="176"/>
      <c r="O352" s="176">
        <v>54</v>
      </c>
      <c r="P352" s="179">
        <v>-148.9</v>
      </c>
    </row>
    <row r="353" spans="1:16" ht="19.5" customHeight="1">
      <c r="A353" s="171" t="s">
        <v>828</v>
      </c>
      <c r="B353" s="175">
        <v>46050</v>
      </c>
      <c r="C353" s="171" t="s">
        <v>127</v>
      </c>
      <c r="D353" s="171" t="s">
        <v>128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1670</v>
      </c>
      <c r="J353" s="175">
        <v>46044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580</v>
      </c>
    </row>
    <row r="354" spans="1:16" ht="19.5" customHeight="1">
      <c r="A354" s="171" t="s">
        <v>828</v>
      </c>
      <c r="B354" s="175">
        <v>46050</v>
      </c>
      <c r="C354" s="171" t="s">
        <v>127</v>
      </c>
      <c r="D354" s="171" t="s">
        <v>129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1670</v>
      </c>
      <c r="J354" s="175">
        <v>46044</v>
      </c>
      <c r="K354" s="171" t="s">
        <v>113</v>
      </c>
      <c r="L354" s="171" t="s">
        <v>114</v>
      </c>
      <c r="M354" s="178">
        <v>0</v>
      </c>
      <c r="N354" s="176"/>
      <c r="O354" s="176"/>
      <c r="P354" s="179">
        <v>5.8</v>
      </c>
    </row>
    <row r="355" spans="1:16" ht="19.5" customHeight="1">
      <c r="A355" s="171" t="s">
        <v>828</v>
      </c>
      <c r="B355" s="175">
        <v>46050</v>
      </c>
      <c r="C355" s="171" t="s">
        <v>127</v>
      </c>
      <c r="D355" s="171" t="s">
        <v>130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1670</v>
      </c>
      <c r="J355" s="175">
        <v>46044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1084.2</v>
      </c>
    </row>
    <row r="356" spans="1:16" ht="19.5" customHeight="1">
      <c r="A356" s="171" t="s">
        <v>828</v>
      </c>
      <c r="B356" s="175">
        <v>46050</v>
      </c>
      <c r="C356" s="171" t="s">
        <v>131</v>
      </c>
      <c r="D356" s="171" t="s">
        <v>132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1670</v>
      </c>
      <c r="J356" s="175">
        <v>46044</v>
      </c>
      <c r="K356" s="171" t="s">
        <v>113</v>
      </c>
      <c r="L356" s="171" t="s">
        <v>114</v>
      </c>
      <c r="M356" s="178">
        <v>0.43</v>
      </c>
      <c r="N356" s="176"/>
      <c r="O356" s="176"/>
      <c r="P356" s="179">
        <v>-718.1</v>
      </c>
    </row>
    <row r="357" spans="1:16" ht="19.5" customHeight="1">
      <c r="A357" s="171" t="s">
        <v>828</v>
      </c>
      <c r="B357" s="175">
        <v>46050</v>
      </c>
      <c r="C357" s="171" t="s">
        <v>115</v>
      </c>
      <c r="D357" s="171" t="s">
        <v>116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1670</v>
      </c>
      <c r="J357" s="175">
        <v>46044</v>
      </c>
      <c r="K357" s="171" t="s">
        <v>113</v>
      </c>
      <c r="L357" s="171" t="s">
        <v>114</v>
      </c>
      <c r="M357" s="178">
        <v>0.43</v>
      </c>
      <c r="N357" s="176"/>
      <c r="O357" s="176"/>
      <c r="P357" s="179">
        <v>-12.62</v>
      </c>
    </row>
    <row r="358" spans="1:16" ht="19.5" customHeight="1">
      <c r="A358" s="171" t="s">
        <v>828</v>
      </c>
      <c r="B358" s="175">
        <v>46050</v>
      </c>
      <c r="C358" s="171" t="s">
        <v>115</v>
      </c>
      <c r="D358" s="171" t="s">
        <v>135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46044</v>
      </c>
      <c r="K358" s="171" t="s">
        <v>125</v>
      </c>
      <c r="L358" s="171" t="s">
        <v>125</v>
      </c>
      <c r="M358" s="178">
        <v>0</v>
      </c>
      <c r="N358" s="176"/>
      <c r="O358" s="176"/>
      <c r="P358" s="179">
        <v>-11.02</v>
      </c>
    </row>
    <row r="359" spans="1:16" ht="19.5" customHeight="1">
      <c r="A359" s="171" t="s">
        <v>829</v>
      </c>
      <c r="B359" s="175">
        <v>46050</v>
      </c>
      <c r="C359" s="171" t="s">
        <v>110</v>
      </c>
      <c r="D359" s="171" t="s">
        <v>24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46044</v>
      </c>
      <c r="K359" s="171" t="s">
        <v>113</v>
      </c>
      <c r="L359" s="171" t="s">
        <v>114</v>
      </c>
      <c r="M359" s="178">
        <v>0</v>
      </c>
      <c r="N359" s="176"/>
      <c r="O359" s="176">
        <v>54</v>
      </c>
      <c r="P359" s="179">
        <v>-46</v>
      </c>
    </row>
    <row r="360" spans="1:16" ht="19.5" customHeight="1">
      <c r="A360" s="171" t="s">
        <v>829</v>
      </c>
      <c r="B360" s="175">
        <v>46050</v>
      </c>
      <c r="C360" s="171" t="s">
        <v>115</v>
      </c>
      <c r="D360" s="171" t="s">
        <v>116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46044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-9.52</v>
      </c>
    </row>
    <row r="361" spans="1:16" ht="19.5" customHeight="1">
      <c r="A361" s="171" t="s">
        <v>829</v>
      </c>
      <c r="B361" s="175">
        <v>46050</v>
      </c>
      <c r="C361" s="171" t="s">
        <v>110</v>
      </c>
      <c r="D361" s="171" t="s">
        <v>117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46044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0</v>
      </c>
    </row>
    <row r="362" spans="1:16" ht="19.5" customHeight="1">
      <c r="A362" s="171" t="s">
        <v>829</v>
      </c>
      <c r="B362" s="175">
        <v>46050</v>
      </c>
      <c r="C362" s="171" t="s">
        <v>110</v>
      </c>
      <c r="D362" s="171" t="s">
        <v>118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46044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-46</v>
      </c>
    </row>
    <row r="363" spans="1:16" ht="19.5" customHeight="1">
      <c r="A363" s="171" t="s">
        <v>829</v>
      </c>
      <c r="B363" s="175">
        <v>46050</v>
      </c>
      <c r="C363" s="171" t="s">
        <v>115</v>
      </c>
      <c r="D363" s="171" t="s">
        <v>119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46044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-15</v>
      </c>
    </row>
    <row r="364" spans="1:16" ht="19.5" customHeight="1">
      <c r="A364" s="171" t="s">
        <v>830</v>
      </c>
      <c r="B364" s="175">
        <v>46050</v>
      </c>
      <c r="C364" s="171" t="s">
        <v>110</v>
      </c>
      <c r="D364" s="171" t="s">
        <v>24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1670</v>
      </c>
      <c r="J364" s="175">
        <v>46047</v>
      </c>
      <c r="K364" s="171" t="s">
        <v>113</v>
      </c>
      <c r="L364" s="171" t="s">
        <v>114</v>
      </c>
      <c r="M364" s="178">
        <v>0.43</v>
      </c>
      <c r="N364" s="176"/>
      <c r="O364" s="176">
        <v>52</v>
      </c>
      <c r="P364" s="179">
        <v>-147.6</v>
      </c>
    </row>
    <row r="365" spans="1:16" ht="19.5" customHeight="1">
      <c r="A365" s="171" t="s">
        <v>830</v>
      </c>
      <c r="B365" s="175">
        <v>46050</v>
      </c>
      <c r="C365" s="171" t="s">
        <v>127</v>
      </c>
      <c r="D365" s="171" t="s">
        <v>128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1670</v>
      </c>
      <c r="J365" s="175">
        <v>46047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795.24</v>
      </c>
    </row>
    <row r="366" spans="1:16" ht="19.5" customHeight="1">
      <c r="A366" s="171" t="s">
        <v>830</v>
      </c>
      <c r="B366" s="175">
        <v>46050</v>
      </c>
      <c r="C366" s="171" t="s">
        <v>127</v>
      </c>
      <c r="D366" s="171" t="s">
        <v>129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1670</v>
      </c>
      <c r="J366" s="175">
        <v>46047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0</v>
      </c>
    </row>
    <row r="367" spans="1:16" ht="19.5" customHeight="1">
      <c r="A367" s="171" t="s">
        <v>830</v>
      </c>
      <c r="B367" s="175">
        <v>46050</v>
      </c>
      <c r="C367" s="171" t="s">
        <v>127</v>
      </c>
      <c r="D367" s="171" t="s">
        <v>130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46047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874.76</v>
      </c>
    </row>
    <row r="368" spans="1:16" ht="19.5" customHeight="1">
      <c r="A368" s="171" t="s">
        <v>830</v>
      </c>
      <c r="B368" s="175">
        <v>46050</v>
      </c>
      <c r="C368" s="171" t="s">
        <v>131</v>
      </c>
      <c r="D368" s="171" t="s">
        <v>132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46047</v>
      </c>
      <c r="K368" s="171" t="s">
        <v>113</v>
      </c>
      <c r="L368" s="171" t="s">
        <v>114</v>
      </c>
      <c r="M368" s="178">
        <v>0.43</v>
      </c>
      <c r="N368" s="176"/>
      <c r="O368" s="176"/>
      <c r="P368" s="179">
        <v>-718.1</v>
      </c>
    </row>
    <row r="369" spans="1:16" ht="19.5" customHeight="1">
      <c r="A369" s="171" t="s">
        <v>830</v>
      </c>
      <c r="B369" s="175">
        <v>46050</v>
      </c>
      <c r="C369" s="171" t="s">
        <v>115</v>
      </c>
      <c r="D369" s="171" t="s">
        <v>116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46047</v>
      </c>
      <c r="K369" s="171" t="s">
        <v>113</v>
      </c>
      <c r="L369" s="171" t="s">
        <v>114</v>
      </c>
      <c r="M369" s="178">
        <v>0.43</v>
      </c>
      <c r="N369" s="176"/>
      <c r="O369" s="176"/>
      <c r="P369" s="179">
        <v>-25</v>
      </c>
    </row>
    <row r="370" spans="1:16" ht="19.5" customHeight="1">
      <c r="A370" s="171" t="s">
        <v>768</v>
      </c>
      <c r="B370" s="175">
        <v>46050</v>
      </c>
      <c r="C370" s="171" t="s">
        <v>115</v>
      </c>
      <c r="D370" s="171" t="s">
        <v>135</v>
      </c>
      <c r="E370" s="171" t="s">
        <v>77</v>
      </c>
      <c r="F370" s="171" t="s">
        <v>194</v>
      </c>
      <c r="G370" s="171" t="s">
        <v>177</v>
      </c>
      <c r="H370" s="176">
        <v>1</v>
      </c>
      <c r="I370" s="177">
        <v>0</v>
      </c>
      <c r="J370" s="175">
        <v>46048</v>
      </c>
      <c r="K370" s="171" t="s">
        <v>125</v>
      </c>
      <c r="L370" s="171" t="s">
        <v>125</v>
      </c>
      <c r="M370" s="178">
        <v>0</v>
      </c>
      <c r="N370" s="176"/>
      <c r="O370" s="176"/>
      <c r="P370" s="179">
        <v>11.03</v>
      </c>
    </row>
    <row r="371" spans="1:16" ht="19.5" customHeight="1">
      <c r="A371" s="171" t="s">
        <v>831</v>
      </c>
      <c r="B371" s="175">
        <v>46050</v>
      </c>
      <c r="C371" s="171" t="s">
        <v>110</v>
      </c>
      <c r="D371" s="171" t="s">
        <v>24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46042</v>
      </c>
      <c r="K371" s="171" t="s">
        <v>113</v>
      </c>
      <c r="L371" s="171" t="s">
        <v>114</v>
      </c>
      <c r="M371" s="178">
        <v>0</v>
      </c>
      <c r="N371" s="176"/>
      <c r="O371" s="176">
        <v>52</v>
      </c>
      <c r="P371" s="179">
        <v>-46.77</v>
      </c>
    </row>
    <row r="372" spans="1:16" ht="19.5" customHeight="1">
      <c r="A372" s="171" t="s">
        <v>831</v>
      </c>
      <c r="B372" s="175">
        <v>46050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46042</v>
      </c>
      <c r="K372" s="171" t="s">
        <v>113</v>
      </c>
      <c r="L372" s="171" t="s">
        <v>114</v>
      </c>
      <c r="M372" s="178">
        <v>0</v>
      </c>
      <c r="N372" s="176"/>
      <c r="O372" s="176"/>
      <c r="P372" s="179">
        <v>-8.23</v>
      </c>
    </row>
    <row r="373" spans="1:16" ht="19.5" customHeight="1">
      <c r="A373" s="171" t="s">
        <v>831</v>
      </c>
      <c r="B373" s="175">
        <v>46050</v>
      </c>
      <c r="C373" s="171" t="s">
        <v>110</v>
      </c>
      <c r="D373" s="171" t="s">
        <v>117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46042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0</v>
      </c>
    </row>
    <row r="374" spans="1:16" ht="19.5" customHeight="1">
      <c r="A374" s="171" t="s">
        <v>831</v>
      </c>
      <c r="B374" s="175">
        <v>46050</v>
      </c>
      <c r="C374" s="171" t="s">
        <v>110</v>
      </c>
      <c r="D374" s="171" t="s">
        <v>118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46042</v>
      </c>
      <c r="K374" s="171" t="s">
        <v>113</v>
      </c>
      <c r="L374" s="171" t="s">
        <v>114</v>
      </c>
      <c r="M374" s="178">
        <v>0</v>
      </c>
      <c r="N374" s="176"/>
      <c r="O374" s="176"/>
      <c r="P374" s="179">
        <v>-46.77</v>
      </c>
    </row>
    <row r="375" spans="1:16" ht="19.5" customHeight="1">
      <c r="A375" s="171" t="s">
        <v>831</v>
      </c>
      <c r="B375" s="175">
        <v>46050</v>
      </c>
      <c r="C375" s="171" t="s">
        <v>115</v>
      </c>
      <c r="D375" s="171" t="s">
        <v>119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46042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-15</v>
      </c>
    </row>
    <row r="376" spans="1:16" ht="19.5" customHeight="1">
      <c r="A376" s="171" t="s">
        <v>832</v>
      </c>
      <c r="B376" s="175">
        <v>46050</v>
      </c>
      <c r="C376" s="171" t="s">
        <v>110</v>
      </c>
      <c r="D376" s="171" t="s">
        <v>24</v>
      </c>
      <c r="E376" s="171" t="s">
        <v>44</v>
      </c>
      <c r="F376" s="171" t="s">
        <v>213</v>
      </c>
      <c r="G376" s="171" t="s">
        <v>214</v>
      </c>
      <c r="H376" s="176">
        <v>1</v>
      </c>
      <c r="I376" s="177">
        <v>0</v>
      </c>
      <c r="J376" s="175">
        <v>46039</v>
      </c>
      <c r="K376" s="171" t="s">
        <v>113</v>
      </c>
      <c r="L376" s="171" t="s">
        <v>114</v>
      </c>
      <c r="M376" s="178">
        <v>0</v>
      </c>
      <c r="N376" s="176"/>
      <c r="O376" s="176">
        <v>51</v>
      </c>
      <c r="P376" s="179">
        <v>-46.77</v>
      </c>
    </row>
    <row r="377" spans="1:16" ht="19.5" customHeight="1">
      <c r="A377" s="171" t="s">
        <v>832</v>
      </c>
      <c r="B377" s="175">
        <v>46050</v>
      </c>
      <c r="C377" s="171" t="s">
        <v>115</v>
      </c>
      <c r="D377" s="171" t="s">
        <v>116</v>
      </c>
      <c r="E377" s="171" t="s">
        <v>44</v>
      </c>
      <c r="F377" s="171" t="s">
        <v>213</v>
      </c>
      <c r="G377" s="171" t="s">
        <v>214</v>
      </c>
      <c r="H377" s="176">
        <v>1</v>
      </c>
      <c r="I377" s="177">
        <v>0</v>
      </c>
      <c r="J377" s="175">
        <v>46039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-11.3</v>
      </c>
    </row>
    <row r="378" spans="1:16" ht="19.5" customHeight="1">
      <c r="A378" s="171" t="s">
        <v>833</v>
      </c>
      <c r="B378" s="175">
        <v>46050</v>
      </c>
      <c r="C378" s="171" t="s">
        <v>110</v>
      </c>
      <c r="D378" s="171" t="s">
        <v>24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46039</v>
      </c>
      <c r="K378" s="171" t="s">
        <v>113</v>
      </c>
      <c r="L378" s="171" t="s">
        <v>114</v>
      </c>
      <c r="M378" s="178">
        <v>0</v>
      </c>
      <c r="N378" s="176"/>
      <c r="O378" s="176">
        <v>51</v>
      </c>
      <c r="P378" s="179">
        <v>-46.77</v>
      </c>
    </row>
    <row r="379" spans="1:16" ht="19.5" customHeight="1">
      <c r="A379" s="171" t="s">
        <v>833</v>
      </c>
      <c r="B379" s="175">
        <v>46050</v>
      </c>
      <c r="C379" s="171" t="s">
        <v>115</v>
      </c>
      <c r="D379" s="171" t="s">
        <v>116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46039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-9.67</v>
      </c>
    </row>
    <row r="380" spans="1:16" ht="19.5" customHeight="1">
      <c r="A380" s="171" t="s">
        <v>833</v>
      </c>
      <c r="B380" s="175">
        <v>46050</v>
      </c>
      <c r="C380" s="171" t="s">
        <v>110</v>
      </c>
      <c r="D380" s="171" t="s">
        <v>117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46039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0</v>
      </c>
    </row>
    <row r="381" spans="1:16" ht="19.5" customHeight="1">
      <c r="A381" s="171" t="s">
        <v>833</v>
      </c>
      <c r="B381" s="175">
        <v>46050</v>
      </c>
      <c r="C381" s="171" t="s">
        <v>110</v>
      </c>
      <c r="D381" s="171" t="s">
        <v>118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46039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-46.77</v>
      </c>
    </row>
    <row r="382" spans="1:16" ht="19.5" customHeight="1">
      <c r="A382" s="171" t="s">
        <v>833</v>
      </c>
      <c r="B382" s="175">
        <v>46050</v>
      </c>
      <c r="C382" s="171" t="s">
        <v>115</v>
      </c>
      <c r="D382" s="171" t="s">
        <v>119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46039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-15</v>
      </c>
    </row>
    <row r="383" spans="1:16" ht="19.5" customHeight="1">
      <c r="A383" s="171" t="s">
        <v>832</v>
      </c>
      <c r="B383" s="175">
        <v>46050</v>
      </c>
      <c r="C383" s="171" t="s">
        <v>110</v>
      </c>
      <c r="D383" s="171" t="s">
        <v>117</v>
      </c>
      <c r="E383" s="171" t="s">
        <v>44</v>
      </c>
      <c r="F383" s="171" t="s">
        <v>213</v>
      </c>
      <c r="G383" s="171" t="s">
        <v>214</v>
      </c>
      <c r="H383" s="176">
        <v>1</v>
      </c>
      <c r="I383" s="177">
        <v>0</v>
      </c>
      <c r="J383" s="175">
        <v>46039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0</v>
      </c>
    </row>
    <row r="384" spans="1:16" ht="19.5" customHeight="1">
      <c r="A384" s="171" t="s">
        <v>832</v>
      </c>
      <c r="B384" s="175">
        <v>46050</v>
      </c>
      <c r="C384" s="171" t="s">
        <v>110</v>
      </c>
      <c r="D384" s="171" t="s">
        <v>118</v>
      </c>
      <c r="E384" s="171" t="s">
        <v>44</v>
      </c>
      <c r="F384" s="171" t="s">
        <v>213</v>
      </c>
      <c r="G384" s="171" t="s">
        <v>214</v>
      </c>
      <c r="H384" s="176">
        <v>1</v>
      </c>
      <c r="I384" s="177">
        <v>0</v>
      </c>
      <c r="J384" s="175">
        <v>46039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-46.77</v>
      </c>
    </row>
    <row r="385" spans="1:16" ht="19.5" customHeight="1">
      <c r="A385" s="171" t="s">
        <v>832</v>
      </c>
      <c r="B385" s="175">
        <v>46050</v>
      </c>
      <c r="C385" s="171" t="s">
        <v>115</v>
      </c>
      <c r="D385" s="171" t="s">
        <v>119</v>
      </c>
      <c r="E385" s="171" t="s">
        <v>44</v>
      </c>
      <c r="F385" s="171" t="s">
        <v>213</v>
      </c>
      <c r="G385" s="171" t="s">
        <v>214</v>
      </c>
      <c r="H385" s="176">
        <v>1</v>
      </c>
      <c r="I385" s="177">
        <v>0</v>
      </c>
      <c r="J385" s="175">
        <v>46039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-15</v>
      </c>
    </row>
    <row r="386" spans="1:16" ht="19.5" customHeight="1">
      <c r="A386" s="171" t="s">
        <v>834</v>
      </c>
      <c r="B386" s="175">
        <v>46050</v>
      </c>
      <c r="C386" s="171" t="s">
        <v>110</v>
      </c>
      <c r="D386" s="171" t="s">
        <v>24</v>
      </c>
      <c r="E386" s="171" t="s">
        <v>77</v>
      </c>
      <c r="F386" s="171" t="s">
        <v>194</v>
      </c>
      <c r="G386" s="171" t="s">
        <v>177</v>
      </c>
      <c r="H386" s="176">
        <v>1</v>
      </c>
      <c r="I386" s="177">
        <v>4178</v>
      </c>
      <c r="J386" s="175">
        <v>46045</v>
      </c>
      <c r="K386" s="171" t="s">
        <v>113</v>
      </c>
      <c r="L386" s="171" t="s">
        <v>114</v>
      </c>
      <c r="M386" s="178">
        <v>0.43</v>
      </c>
      <c r="N386" s="176"/>
      <c r="O386" s="176">
        <v>51</v>
      </c>
      <c r="P386" s="179">
        <v>-261.63</v>
      </c>
    </row>
    <row r="387" spans="1:16" ht="19.5" customHeight="1">
      <c r="A387" s="171" t="s">
        <v>834</v>
      </c>
      <c r="B387" s="175">
        <v>46050</v>
      </c>
      <c r="C387" s="171" t="s">
        <v>127</v>
      </c>
      <c r="D387" s="171" t="s">
        <v>128</v>
      </c>
      <c r="E387" s="171" t="s">
        <v>77</v>
      </c>
      <c r="F387" s="171" t="s">
        <v>194</v>
      </c>
      <c r="G387" s="171" t="s">
        <v>177</v>
      </c>
      <c r="H387" s="176">
        <v>1</v>
      </c>
      <c r="I387" s="177">
        <v>4178</v>
      </c>
      <c r="J387" s="175">
        <v>46045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1603.81</v>
      </c>
    </row>
    <row r="388" spans="1:16" ht="19.5" customHeight="1">
      <c r="A388" s="171" t="s">
        <v>834</v>
      </c>
      <c r="B388" s="175">
        <v>46050</v>
      </c>
      <c r="C388" s="171" t="s">
        <v>127</v>
      </c>
      <c r="D388" s="171" t="s">
        <v>129</v>
      </c>
      <c r="E388" s="171" t="s">
        <v>77</v>
      </c>
      <c r="F388" s="171" t="s">
        <v>194</v>
      </c>
      <c r="G388" s="171" t="s">
        <v>177</v>
      </c>
      <c r="H388" s="176">
        <v>1</v>
      </c>
      <c r="I388" s="177">
        <v>4178</v>
      </c>
      <c r="J388" s="175">
        <v>46045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16.04</v>
      </c>
    </row>
    <row r="389" spans="1:16" ht="19.5" customHeight="1">
      <c r="A389" s="171" t="s">
        <v>834</v>
      </c>
      <c r="B389" s="175">
        <v>46050</v>
      </c>
      <c r="C389" s="171" t="s">
        <v>127</v>
      </c>
      <c r="D389" s="171" t="s">
        <v>130</v>
      </c>
      <c r="E389" s="171" t="s">
        <v>77</v>
      </c>
      <c r="F389" s="171" t="s">
        <v>194</v>
      </c>
      <c r="G389" s="171" t="s">
        <v>177</v>
      </c>
      <c r="H389" s="176">
        <v>1</v>
      </c>
      <c r="I389" s="177">
        <v>4178</v>
      </c>
      <c r="J389" s="175">
        <v>46045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2558.15</v>
      </c>
    </row>
    <row r="390" spans="1:16" ht="19.5" customHeight="1">
      <c r="A390" s="171" t="s">
        <v>834</v>
      </c>
      <c r="B390" s="175">
        <v>46050</v>
      </c>
      <c r="C390" s="171" t="s">
        <v>131</v>
      </c>
      <c r="D390" s="171" t="s">
        <v>132</v>
      </c>
      <c r="E390" s="171" t="s">
        <v>77</v>
      </c>
      <c r="F390" s="171" t="s">
        <v>194</v>
      </c>
      <c r="G390" s="171" t="s">
        <v>177</v>
      </c>
      <c r="H390" s="176">
        <v>1</v>
      </c>
      <c r="I390" s="177">
        <v>4178</v>
      </c>
      <c r="J390" s="175">
        <v>46045</v>
      </c>
      <c r="K390" s="171" t="s">
        <v>113</v>
      </c>
      <c r="L390" s="171" t="s">
        <v>114</v>
      </c>
      <c r="M390" s="178">
        <v>0.43</v>
      </c>
      <c r="N390" s="176"/>
      <c r="O390" s="176"/>
      <c r="P390" s="179">
        <v>-1796.54</v>
      </c>
    </row>
    <row r="391" spans="1:16" ht="19.5" customHeight="1">
      <c r="A391" s="171" t="s">
        <v>834</v>
      </c>
      <c r="B391" s="175">
        <v>46050</v>
      </c>
      <c r="C391" s="171" t="s">
        <v>115</v>
      </c>
      <c r="D391" s="171" t="s">
        <v>116</v>
      </c>
      <c r="E391" s="171" t="s">
        <v>77</v>
      </c>
      <c r="F391" s="171" t="s">
        <v>194</v>
      </c>
      <c r="G391" s="171" t="s">
        <v>177</v>
      </c>
      <c r="H391" s="176">
        <v>1</v>
      </c>
      <c r="I391" s="177">
        <v>4178</v>
      </c>
      <c r="J391" s="175">
        <v>46045</v>
      </c>
      <c r="K391" s="171" t="s">
        <v>113</v>
      </c>
      <c r="L391" s="171" t="s">
        <v>114</v>
      </c>
      <c r="M391" s="178">
        <v>0.43</v>
      </c>
      <c r="N391" s="176"/>
      <c r="O391" s="176"/>
      <c r="P391" s="179">
        <v>-13.16</v>
      </c>
    </row>
    <row r="392" spans="1:16" ht="19.5" customHeight="1">
      <c r="A392" s="171" t="s">
        <v>834</v>
      </c>
      <c r="B392" s="175">
        <v>46050</v>
      </c>
      <c r="C392" s="171" t="s">
        <v>115</v>
      </c>
      <c r="D392" s="171" t="s">
        <v>135</v>
      </c>
      <c r="E392" s="171" t="s">
        <v>77</v>
      </c>
      <c r="F392" s="171" t="s">
        <v>194</v>
      </c>
      <c r="G392" s="171" t="s">
        <v>177</v>
      </c>
      <c r="H392" s="176">
        <v>1</v>
      </c>
      <c r="I392" s="177">
        <v>0</v>
      </c>
      <c r="J392" s="175">
        <v>46045</v>
      </c>
      <c r="K392" s="171" t="s">
        <v>125</v>
      </c>
      <c r="L392" s="171" t="s">
        <v>125</v>
      </c>
      <c r="M392" s="178">
        <v>0</v>
      </c>
      <c r="N392" s="176"/>
      <c r="O392" s="176"/>
      <c r="P392" s="179">
        <v>-30.47</v>
      </c>
    </row>
    <row r="393" spans="1:16" ht="19.5" customHeight="1">
      <c r="A393" s="171" t="s">
        <v>835</v>
      </c>
      <c r="B393" s="175">
        <v>46050</v>
      </c>
      <c r="C393" s="171" t="s">
        <v>110</v>
      </c>
      <c r="D393" s="171" t="s">
        <v>24</v>
      </c>
      <c r="E393" s="171" t="s">
        <v>44</v>
      </c>
      <c r="F393" s="171" t="s">
        <v>213</v>
      </c>
      <c r="G393" s="171" t="s">
        <v>214</v>
      </c>
      <c r="H393" s="176">
        <v>1</v>
      </c>
      <c r="I393" s="177">
        <v>1778</v>
      </c>
      <c r="J393" s="175">
        <v>46048</v>
      </c>
      <c r="K393" s="171" t="s">
        <v>113</v>
      </c>
      <c r="L393" s="171" t="s">
        <v>114</v>
      </c>
      <c r="M393" s="178">
        <v>0.43</v>
      </c>
      <c r="N393" s="176"/>
      <c r="O393" s="176">
        <v>51</v>
      </c>
      <c r="P393" s="179">
        <v>-149.87</v>
      </c>
    </row>
    <row r="394" spans="1:16" ht="19.5" customHeight="1">
      <c r="A394" s="171" t="s">
        <v>835</v>
      </c>
      <c r="B394" s="175">
        <v>46050</v>
      </c>
      <c r="C394" s="171" t="s">
        <v>127</v>
      </c>
      <c r="D394" s="171" t="s">
        <v>128</v>
      </c>
      <c r="E394" s="171" t="s">
        <v>44</v>
      </c>
      <c r="F394" s="171" t="s">
        <v>213</v>
      </c>
      <c r="G394" s="171" t="s">
        <v>214</v>
      </c>
      <c r="H394" s="176">
        <v>1</v>
      </c>
      <c r="I394" s="177">
        <v>1778</v>
      </c>
      <c r="J394" s="175">
        <v>46048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722.17</v>
      </c>
    </row>
    <row r="395" spans="1:16" ht="19.5" customHeight="1">
      <c r="A395" s="171" t="s">
        <v>835</v>
      </c>
      <c r="B395" s="175">
        <v>46050</v>
      </c>
      <c r="C395" s="171" t="s">
        <v>127</v>
      </c>
      <c r="D395" s="171" t="s">
        <v>129</v>
      </c>
      <c r="E395" s="171" t="s">
        <v>44</v>
      </c>
      <c r="F395" s="171" t="s">
        <v>213</v>
      </c>
      <c r="G395" s="171" t="s">
        <v>214</v>
      </c>
      <c r="H395" s="176">
        <v>1</v>
      </c>
      <c r="I395" s="177">
        <v>1778</v>
      </c>
      <c r="J395" s="175">
        <v>46048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7.22</v>
      </c>
    </row>
    <row r="396" spans="1:16" ht="19.5" customHeight="1">
      <c r="A396" s="171" t="s">
        <v>835</v>
      </c>
      <c r="B396" s="175">
        <v>46050</v>
      </c>
      <c r="C396" s="171" t="s">
        <v>127</v>
      </c>
      <c r="D396" s="171" t="s">
        <v>130</v>
      </c>
      <c r="E396" s="171" t="s">
        <v>44</v>
      </c>
      <c r="F396" s="171" t="s">
        <v>213</v>
      </c>
      <c r="G396" s="171" t="s">
        <v>214</v>
      </c>
      <c r="H396" s="176">
        <v>1</v>
      </c>
      <c r="I396" s="177">
        <v>1778</v>
      </c>
      <c r="J396" s="175">
        <v>46048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1048.6099999999999</v>
      </c>
    </row>
    <row r="397" spans="1:16" ht="19.5" customHeight="1">
      <c r="A397" s="171" t="s">
        <v>835</v>
      </c>
      <c r="B397" s="175">
        <v>46050</v>
      </c>
      <c r="C397" s="171" t="s">
        <v>131</v>
      </c>
      <c r="D397" s="171" t="s">
        <v>132</v>
      </c>
      <c r="E397" s="171" t="s">
        <v>44</v>
      </c>
      <c r="F397" s="171" t="s">
        <v>213</v>
      </c>
      <c r="G397" s="171" t="s">
        <v>214</v>
      </c>
      <c r="H397" s="176">
        <v>1</v>
      </c>
      <c r="I397" s="177">
        <v>1778</v>
      </c>
      <c r="J397" s="175">
        <v>46048</v>
      </c>
      <c r="K397" s="171" t="s">
        <v>113</v>
      </c>
      <c r="L397" s="171" t="s">
        <v>114</v>
      </c>
      <c r="M397" s="178">
        <v>0.43</v>
      </c>
      <c r="N397" s="176"/>
      <c r="O397" s="176"/>
      <c r="P397" s="179">
        <v>-764.54</v>
      </c>
    </row>
    <row r="398" spans="1:16" ht="19.5" customHeight="1">
      <c r="A398" s="171" t="s">
        <v>836</v>
      </c>
      <c r="B398" s="175">
        <v>46050</v>
      </c>
      <c r="C398" s="171" t="s">
        <v>110</v>
      </c>
      <c r="D398" s="171" t="s">
        <v>24</v>
      </c>
      <c r="E398" s="171" t="s">
        <v>77</v>
      </c>
      <c r="F398" s="171" t="s">
        <v>194</v>
      </c>
      <c r="G398" s="171" t="s">
        <v>177</v>
      </c>
      <c r="H398" s="176">
        <v>1</v>
      </c>
      <c r="I398" s="177">
        <v>4178</v>
      </c>
      <c r="J398" s="175">
        <v>46044</v>
      </c>
      <c r="K398" s="171" t="s">
        <v>113</v>
      </c>
      <c r="L398" s="171" t="s">
        <v>114</v>
      </c>
      <c r="M398" s="178">
        <v>0.43</v>
      </c>
      <c r="N398" s="176"/>
      <c r="O398" s="176">
        <v>54</v>
      </c>
      <c r="P398" s="179">
        <v>-265.36</v>
      </c>
    </row>
    <row r="399" spans="1:16" ht="19.5" customHeight="1">
      <c r="A399" s="171" t="s">
        <v>836</v>
      </c>
      <c r="B399" s="175">
        <v>46050</v>
      </c>
      <c r="C399" s="171" t="s">
        <v>127</v>
      </c>
      <c r="D399" s="171" t="s">
        <v>128</v>
      </c>
      <c r="E399" s="171" t="s">
        <v>77</v>
      </c>
      <c r="F399" s="171" t="s">
        <v>194</v>
      </c>
      <c r="G399" s="171" t="s">
        <v>177</v>
      </c>
      <c r="H399" s="176">
        <v>1</v>
      </c>
      <c r="I399" s="177">
        <v>4178</v>
      </c>
      <c r="J399" s="175">
        <v>46044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1542.86</v>
      </c>
    </row>
    <row r="400" spans="1:16" ht="19.5" customHeight="1">
      <c r="A400" s="171" t="s">
        <v>836</v>
      </c>
      <c r="B400" s="175">
        <v>46050</v>
      </c>
      <c r="C400" s="171" t="s">
        <v>127</v>
      </c>
      <c r="D400" s="171" t="s">
        <v>129</v>
      </c>
      <c r="E400" s="171" t="s">
        <v>77</v>
      </c>
      <c r="F400" s="171" t="s">
        <v>194</v>
      </c>
      <c r="G400" s="171" t="s">
        <v>177</v>
      </c>
      <c r="H400" s="176">
        <v>1</v>
      </c>
      <c r="I400" s="177">
        <v>4178</v>
      </c>
      <c r="J400" s="175">
        <v>46044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15.43</v>
      </c>
    </row>
    <row r="401" spans="1:16" ht="19.5" customHeight="1">
      <c r="A401" s="171" t="s">
        <v>836</v>
      </c>
      <c r="B401" s="175">
        <v>46050</v>
      </c>
      <c r="C401" s="171" t="s">
        <v>127</v>
      </c>
      <c r="D401" s="171" t="s">
        <v>130</v>
      </c>
      <c r="E401" s="171" t="s">
        <v>77</v>
      </c>
      <c r="F401" s="171" t="s">
        <v>194</v>
      </c>
      <c r="G401" s="171" t="s">
        <v>177</v>
      </c>
      <c r="H401" s="176">
        <v>1</v>
      </c>
      <c r="I401" s="177">
        <v>4178</v>
      </c>
      <c r="J401" s="175">
        <v>46044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2619.71</v>
      </c>
    </row>
    <row r="402" spans="1:16" ht="19.5" customHeight="1">
      <c r="A402" s="171" t="s">
        <v>836</v>
      </c>
      <c r="B402" s="175">
        <v>46050</v>
      </c>
      <c r="C402" s="171" t="s">
        <v>131</v>
      </c>
      <c r="D402" s="171" t="s">
        <v>132</v>
      </c>
      <c r="E402" s="171" t="s">
        <v>77</v>
      </c>
      <c r="F402" s="171" t="s">
        <v>194</v>
      </c>
      <c r="G402" s="171" t="s">
        <v>177</v>
      </c>
      <c r="H402" s="176">
        <v>1</v>
      </c>
      <c r="I402" s="177">
        <v>4178</v>
      </c>
      <c r="J402" s="175">
        <v>46044</v>
      </c>
      <c r="K402" s="171" t="s">
        <v>113</v>
      </c>
      <c r="L402" s="171" t="s">
        <v>114</v>
      </c>
      <c r="M402" s="178">
        <v>0.43</v>
      </c>
      <c r="N402" s="176"/>
      <c r="O402" s="176"/>
      <c r="P402" s="179">
        <v>-1796.54</v>
      </c>
    </row>
    <row r="403" spans="1:16" ht="19.5" customHeight="1">
      <c r="A403" s="171" t="s">
        <v>836</v>
      </c>
      <c r="B403" s="175">
        <v>46050</v>
      </c>
      <c r="C403" s="171" t="s">
        <v>115</v>
      </c>
      <c r="D403" s="171" t="s">
        <v>116</v>
      </c>
      <c r="E403" s="171" t="s">
        <v>77</v>
      </c>
      <c r="F403" s="171" t="s">
        <v>194</v>
      </c>
      <c r="G403" s="171" t="s">
        <v>177</v>
      </c>
      <c r="H403" s="176">
        <v>1</v>
      </c>
      <c r="I403" s="177">
        <v>4178</v>
      </c>
      <c r="J403" s="175">
        <v>46044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-11.79</v>
      </c>
    </row>
    <row r="404" spans="1:16" ht="19.5" customHeight="1">
      <c r="A404" s="171" t="s">
        <v>836</v>
      </c>
      <c r="B404" s="175">
        <v>46050</v>
      </c>
      <c r="C404" s="171" t="s">
        <v>115</v>
      </c>
      <c r="D404" s="171" t="s">
        <v>135</v>
      </c>
      <c r="E404" s="171" t="s">
        <v>77</v>
      </c>
      <c r="F404" s="171" t="s">
        <v>194</v>
      </c>
      <c r="G404" s="171" t="s">
        <v>177</v>
      </c>
      <c r="H404" s="176">
        <v>1</v>
      </c>
      <c r="I404" s="177">
        <v>0</v>
      </c>
      <c r="J404" s="175">
        <v>46044</v>
      </c>
      <c r="K404" s="171" t="s">
        <v>125</v>
      </c>
      <c r="L404" s="171" t="s">
        <v>125</v>
      </c>
      <c r="M404" s="178">
        <v>0</v>
      </c>
      <c r="N404" s="176"/>
      <c r="O404" s="176"/>
      <c r="P404" s="179">
        <v>-29.31</v>
      </c>
    </row>
    <row r="405" spans="1:16" ht="19.5" customHeight="1">
      <c r="A405" s="171" t="s">
        <v>837</v>
      </c>
      <c r="B405" s="175">
        <v>46050</v>
      </c>
      <c r="C405" s="171" t="s">
        <v>110</v>
      </c>
      <c r="D405" s="171" t="s">
        <v>24</v>
      </c>
      <c r="E405" s="171" t="s">
        <v>49</v>
      </c>
      <c r="F405" s="171" t="s">
        <v>490</v>
      </c>
      <c r="G405" s="171" t="s">
        <v>112</v>
      </c>
      <c r="H405" s="176">
        <v>1</v>
      </c>
      <c r="I405" s="177">
        <v>1429</v>
      </c>
      <c r="J405" s="175">
        <v>46046</v>
      </c>
      <c r="K405" s="171" t="s">
        <v>113</v>
      </c>
      <c r="L405" s="171" t="s">
        <v>114</v>
      </c>
      <c r="M405" s="178">
        <v>0.43</v>
      </c>
      <c r="N405" s="176"/>
      <c r="O405" s="176">
        <v>50</v>
      </c>
      <c r="P405" s="179">
        <v>-136.62</v>
      </c>
    </row>
    <row r="406" spans="1:16" ht="19.5" customHeight="1">
      <c r="A406" s="171" t="s">
        <v>837</v>
      </c>
      <c r="B406" s="175">
        <v>46050</v>
      </c>
      <c r="C406" s="171" t="s">
        <v>127</v>
      </c>
      <c r="D406" s="171" t="s">
        <v>128</v>
      </c>
      <c r="E406" s="171" t="s">
        <v>49</v>
      </c>
      <c r="F406" s="171" t="s">
        <v>490</v>
      </c>
      <c r="G406" s="171" t="s">
        <v>112</v>
      </c>
      <c r="H406" s="176">
        <v>1</v>
      </c>
      <c r="I406" s="177">
        <v>1429</v>
      </c>
      <c r="J406" s="175">
        <v>46046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800</v>
      </c>
    </row>
    <row r="407" spans="1:16" ht="19.5" customHeight="1">
      <c r="A407" s="171" t="s">
        <v>837</v>
      </c>
      <c r="B407" s="175">
        <v>46050</v>
      </c>
      <c r="C407" s="171" t="s">
        <v>127</v>
      </c>
      <c r="D407" s="171" t="s">
        <v>129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1429</v>
      </c>
      <c r="J407" s="175">
        <v>46046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8</v>
      </c>
    </row>
    <row r="408" spans="1:16" ht="19.5" customHeight="1">
      <c r="A408" s="171" t="s">
        <v>837</v>
      </c>
      <c r="B408" s="175">
        <v>46050</v>
      </c>
      <c r="C408" s="171" t="s">
        <v>127</v>
      </c>
      <c r="D408" s="171" t="s">
        <v>130</v>
      </c>
      <c r="E408" s="171" t="s">
        <v>49</v>
      </c>
      <c r="F408" s="171" t="s">
        <v>490</v>
      </c>
      <c r="G408" s="171" t="s">
        <v>112</v>
      </c>
      <c r="H408" s="176">
        <v>1</v>
      </c>
      <c r="I408" s="177">
        <v>1429</v>
      </c>
      <c r="J408" s="175">
        <v>46046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621</v>
      </c>
    </row>
    <row r="409" spans="1:16" ht="19.5" customHeight="1">
      <c r="A409" s="171" t="s">
        <v>837</v>
      </c>
      <c r="B409" s="175">
        <v>46050</v>
      </c>
      <c r="C409" s="171" t="s">
        <v>131</v>
      </c>
      <c r="D409" s="171" t="s">
        <v>132</v>
      </c>
      <c r="E409" s="171" t="s">
        <v>49</v>
      </c>
      <c r="F409" s="171" t="s">
        <v>490</v>
      </c>
      <c r="G409" s="171" t="s">
        <v>112</v>
      </c>
      <c r="H409" s="176">
        <v>1</v>
      </c>
      <c r="I409" s="177">
        <v>1429</v>
      </c>
      <c r="J409" s="175">
        <v>46046</v>
      </c>
      <c r="K409" s="171" t="s">
        <v>113</v>
      </c>
      <c r="L409" s="171" t="s">
        <v>114</v>
      </c>
      <c r="M409" s="178">
        <v>0.43</v>
      </c>
      <c r="N409" s="176"/>
      <c r="O409" s="176"/>
      <c r="P409" s="179">
        <v>-614.47</v>
      </c>
    </row>
    <row r="410" spans="1:16" ht="19.5" customHeight="1">
      <c r="A410" s="171" t="s">
        <v>837</v>
      </c>
      <c r="B410" s="175">
        <v>46050</v>
      </c>
      <c r="C410" s="171" t="s">
        <v>115</v>
      </c>
      <c r="D410" s="171" t="s">
        <v>116</v>
      </c>
      <c r="E410" s="171" t="s">
        <v>49</v>
      </c>
      <c r="F410" s="171" t="s">
        <v>490</v>
      </c>
      <c r="G410" s="171" t="s">
        <v>112</v>
      </c>
      <c r="H410" s="176">
        <v>1</v>
      </c>
      <c r="I410" s="177">
        <v>1429</v>
      </c>
      <c r="J410" s="175">
        <v>46046</v>
      </c>
      <c r="K410" s="171" t="s">
        <v>113</v>
      </c>
      <c r="L410" s="171" t="s">
        <v>114</v>
      </c>
      <c r="M410" s="178">
        <v>0.43</v>
      </c>
      <c r="N410" s="176"/>
      <c r="O410" s="176"/>
      <c r="P410" s="179">
        <v>-6.47</v>
      </c>
    </row>
    <row r="411" spans="1:16" ht="19.5" customHeight="1">
      <c r="A411" s="171" t="s">
        <v>838</v>
      </c>
      <c r="B411" s="175">
        <v>46050</v>
      </c>
      <c r="C411" s="171" t="s">
        <v>110</v>
      </c>
      <c r="D411" s="171" t="s">
        <v>24</v>
      </c>
      <c r="E411" s="171" t="s">
        <v>78</v>
      </c>
      <c r="F411" s="171" t="s">
        <v>176</v>
      </c>
      <c r="G411" s="171" t="s">
        <v>177</v>
      </c>
      <c r="H411" s="176">
        <v>1</v>
      </c>
      <c r="I411" s="177">
        <v>0</v>
      </c>
      <c r="J411" s="175">
        <v>46046</v>
      </c>
      <c r="K411" s="171" t="s">
        <v>113</v>
      </c>
      <c r="L411" s="171" t="s">
        <v>114</v>
      </c>
      <c r="M411" s="178">
        <v>0</v>
      </c>
      <c r="N411" s="176"/>
      <c r="O411" s="176">
        <v>50</v>
      </c>
      <c r="P411" s="179">
        <v>-56.94</v>
      </c>
    </row>
    <row r="412" spans="1:16" ht="19.5" customHeight="1">
      <c r="A412" s="171" t="s">
        <v>838</v>
      </c>
      <c r="B412" s="175">
        <v>46050</v>
      </c>
      <c r="C412" s="171" t="s">
        <v>115</v>
      </c>
      <c r="D412" s="171" t="s">
        <v>116</v>
      </c>
      <c r="E412" s="171" t="s">
        <v>78</v>
      </c>
      <c r="F412" s="171" t="s">
        <v>176</v>
      </c>
      <c r="G412" s="171" t="s">
        <v>177</v>
      </c>
      <c r="H412" s="176">
        <v>1</v>
      </c>
      <c r="I412" s="177">
        <v>0</v>
      </c>
      <c r="J412" s="175">
        <v>46046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-12.05</v>
      </c>
    </row>
    <row r="413" spans="1:16" ht="19.5" customHeight="1">
      <c r="A413" s="171" t="s">
        <v>838</v>
      </c>
      <c r="B413" s="175">
        <v>46050</v>
      </c>
      <c r="C413" s="171" t="s">
        <v>110</v>
      </c>
      <c r="D413" s="171" t="s">
        <v>117</v>
      </c>
      <c r="E413" s="171" t="s">
        <v>78</v>
      </c>
      <c r="F413" s="171" t="s">
        <v>176</v>
      </c>
      <c r="G413" s="171" t="s">
        <v>177</v>
      </c>
      <c r="H413" s="176">
        <v>1</v>
      </c>
      <c r="I413" s="177">
        <v>0</v>
      </c>
      <c r="J413" s="175">
        <v>46046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838</v>
      </c>
      <c r="B414" s="175">
        <v>46050</v>
      </c>
      <c r="C414" s="171" t="s">
        <v>110</v>
      </c>
      <c r="D414" s="171" t="s">
        <v>118</v>
      </c>
      <c r="E414" s="171" t="s">
        <v>78</v>
      </c>
      <c r="F414" s="171" t="s">
        <v>176</v>
      </c>
      <c r="G414" s="171" t="s">
        <v>177</v>
      </c>
      <c r="H414" s="176">
        <v>1</v>
      </c>
      <c r="I414" s="177">
        <v>0</v>
      </c>
      <c r="J414" s="175">
        <v>46046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-56.94</v>
      </c>
    </row>
    <row r="415" spans="1:16" ht="19.5" customHeight="1">
      <c r="A415" s="171" t="s">
        <v>838</v>
      </c>
      <c r="B415" s="175">
        <v>46050</v>
      </c>
      <c r="C415" s="171" t="s">
        <v>115</v>
      </c>
      <c r="D415" s="171" t="s">
        <v>119</v>
      </c>
      <c r="E415" s="171" t="s">
        <v>78</v>
      </c>
      <c r="F415" s="171" t="s">
        <v>176</v>
      </c>
      <c r="G415" s="171" t="s">
        <v>177</v>
      </c>
      <c r="H415" s="176">
        <v>1</v>
      </c>
      <c r="I415" s="177">
        <v>0</v>
      </c>
      <c r="J415" s="175">
        <v>46046</v>
      </c>
      <c r="K415" s="171" t="s">
        <v>113</v>
      </c>
      <c r="L415" s="171" t="s">
        <v>114</v>
      </c>
      <c r="M415" s="178">
        <v>0</v>
      </c>
      <c r="N415" s="176"/>
      <c r="O415" s="176"/>
      <c r="P415" s="179">
        <v>-15</v>
      </c>
    </row>
    <row r="416" spans="1:16" ht="19.5" customHeight="1">
      <c r="A416" s="171" t="s">
        <v>837</v>
      </c>
      <c r="B416" s="175">
        <v>46050</v>
      </c>
      <c r="C416" s="171" t="s">
        <v>115</v>
      </c>
      <c r="D416" s="171" t="s">
        <v>135</v>
      </c>
      <c r="E416" s="171" t="s">
        <v>49</v>
      </c>
      <c r="F416" s="171" t="s">
        <v>490</v>
      </c>
      <c r="G416" s="171" t="s">
        <v>112</v>
      </c>
      <c r="H416" s="176">
        <v>1</v>
      </c>
      <c r="I416" s="177">
        <v>0</v>
      </c>
      <c r="J416" s="175">
        <v>46046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-15.2</v>
      </c>
    </row>
    <row r="417" spans="1:16" ht="19.5" customHeight="1">
      <c r="A417" s="171" t="s">
        <v>839</v>
      </c>
      <c r="B417" s="175">
        <v>46050</v>
      </c>
      <c r="C417" s="171" t="s">
        <v>507</v>
      </c>
      <c r="D417" s="171" t="s">
        <v>508</v>
      </c>
      <c r="E417" s="171" t="s">
        <v>71</v>
      </c>
      <c r="F417" s="171" t="s">
        <v>185</v>
      </c>
      <c r="G417" s="171" t="s">
        <v>177</v>
      </c>
      <c r="H417" s="176">
        <v>1</v>
      </c>
      <c r="I417" s="177">
        <v>0</v>
      </c>
      <c r="J417" s="175">
        <v>46044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-5</v>
      </c>
    </row>
    <row r="418" spans="1:16" ht="19.5" customHeight="1">
      <c r="A418" s="171" t="s">
        <v>839</v>
      </c>
      <c r="B418" s="175">
        <v>46050</v>
      </c>
      <c r="C418" s="171" t="s">
        <v>115</v>
      </c>
      <c r="D418" s="171" t="s">
        <v>510</v>
      </c>
      <c r="E418" s="171" t="s">
        <v>71</v>
      </c>
      <c r="F418" s="171" t="s">
        <v>185</v>
      </c>
      <c r="G418" s="171" t="s">
        <v>177</v>
      </c>
      <c r="H418" s="176">
        <v>1</v>
      </c>
      <c r="I418" s="177">
        <v>0</v>
      </c>
      <c r="J418" s="175">
        <v>46044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-10</v>
      </c>
    </row>
    <row r="419" spans="1:16" ht="19.5" customHeight="1">
      <c r="A419" s="171" t="s">
        <v>840</v>
      </c>
      <c r="B419" s="175">
        <v>46050</v>
      </c>
      <c r="C419" s="171" t="s">
        <v>110</v>
      </c>
      <c r="D419" s="171" t="s">
        <v>24</v>
      </c>
      <c r="E419" s="171" t="s">
        <v>44</v>
      </c>
      <c r="F419" s="171" t="s">
        <v>213</v>
      </c>
      <c r="G419" s="171" t="s">
        <v>214</v>
      </c>
      <c r="H419" s="176">
        <v>1</v>
      </c>
      <c r="I419" s="177">
        <v>1815</v>
      </c>
      <c r="J419" s="175">
        <v>46047</v>
      </c>
      <c r="K419" s="171" t="s">
        <v>113</v>
      </c>
      <c r="L419" s="171" t="s">
        <v>114</v>
      </c>
      <c r="M419" s="178">
        <v>0.43</v>
      </c>
      <c r="N419" s="176"/>
      <c r="O419" s="176">
        <v>52</v>
      </c>
      <c r="P419" s="179">
        <v>-151.84</v>
      </c>
    </row>
    <row r="420" spans="1:16" ht="19.5" customHeight="1">
      <c r="A420" s="171" t="s">
        <v>840</v>
      </c>
      <c r="B420" s="175">
        <v>46050</v>
      </c>
      <c r="C420" s="171" t="s">
        <v>127</v>
      </c>
      <c r="D420" s="171" t="s">
        <v>128</v>
      </c>
      <c r="E420" s="171" t="s">
        <v>44</v>
      </c>
      <c r="F420" s="171" t="s">
        <v>213</v>
      </c>
      <c r="G420" s="171" t="s">
        <v>214</v>
      </c>
      <c r="H420" s="176">
        <v>1</v>
      </c>
      <c r="I420" s="177">
        <v>1815</v>
      </c>
      <c r="J420" s="175">
        <v>46047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749.52</v>
      </c>
    </row>
    <row r="421" spans="1:16" ht="19.5" customHeight="1">
      <c r="A421" s="171" t="s">
        <v>840</v>
      </c>
      <c r="B421" s="175">
        <v>46050</v>
      </c>
      <c r="C421" s="171" t="s">
        <v>127</v>
      </c>
      <c r="D421" s="171" t="s">
        <v>129</v>
      </c>
      <c r="E421" s="171" t="s">
        <v>44</v>
      </c>
      <c r="F421" s="171" t="s">
        <v>213</v>
      </c>
      <c r="G421" s="171" t="s">
        <v>214</v>
      </c>
      <c r="H421" s="176">
        <v>1</v>
      </c>
      <c r="I421" s="177">
        <v>1815</v>
      </c>
      <c r="J421" s="175">
        <v>46047</v>
      </c>
      <c r="K421" s="171" t="s">
        <v>113</v>
      </c>
      <c r="L421" s="171" t="s">
        <v>114</v>
      </c>
      <c r="M421" s="178">
        <v>0</v>
      </c>
      <c r="N421" s="176"/>
      <c r="O421" s="176"/>
      <c r="P421" s="179">
        <v>7.5</v>
      </c>
    </row>
    <row r="422" spans="1:16" ht="19.5" customHeight="1">
      <c r="A422" s="171" t="s">
        <v>840</v>
      </c>
      <c r="B422" s="175">
        <v>46050</v>
      </c>
      <c r="C422" s="171" t="s">
        <v>127</v>
      </c>
      <c r="D422" s="171" t="s">
        <v>130</v>
      </c>
      <c r="E422" s="171" t="s">
        <v>44</v>
      </c>
      <c r="F422" s="171" t="s">
        <v>213</v>
      </c>
      <c r="G422" s="171" t="s">
        <v>214</v>
      </c>
      <c r="H422" s="176">
        <v>1</v>
      </c>
      <c r="I422" s="177">
        <v>1815</v>
      </c>
      <c r="J422" s="175">
        <v>46047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1057.98</v>
      </c>
    </row>
    <row r="423" spans="1:16" ht="19.5" customHeight="1">
      <c r="A423" s="171" t="s">
        <v>840</v>
      </c>
      <c r="B423" s="175">
        <v>46050</v>
      </c>
      <c r="C423" s="171" t="s">
        <v>131</v>
      </c>
      <c r="D423" s="171" t="s">
        <v>132</v>
      </c>
      <c r="E423" s="171" t="s">
        <v>44</v>
      </c>
      <c r="F423" s="171" t="s">
        <v>213</v>
      </c>
      <c r="G423" s="171" t="s">
        <v>214</v>
      </c>
      <c r="H423" s="176">
        <v>1</v>
      </c>
      <c r="I423" s="177">
        <v>1815</v>
      </c>
      <c r="J423" s="175">
        <v>46047</v>
      </c>
      <c r="K423" s="171" t="s">
        <v>113</v>
      </c>
      <c r="L423" s="171" t="s">
        <v>114</v>
      </c>
      <c r="M423" s="178">
        <v>0.43</v>
      </c>
      <c r="N423" s="176"/>
      <c r="O423" s="176"/>
      <c r="P423" s="179">
        <v>-780.45</v>
      </c>
    </row>
    <row r="424" spans="1:16" ht="19.5" customHeight="1">
      <c r="A424" s="171" t="s">
        <v>840</v>
      </c>
      <c r="B424" s="175">
        <v>46050</v>
      </c>
      <c r="C424" s="171" t="s">
        <v>115</v>
      </c>
      <c r="D424" s="171" t="s">
        <v>116</v>
      </c>
      <c r="E424" s="171" t="s">
        <v>44</v>
      </c>
      <c r="F424" s="171" t="s">
        <v>213</v>
      </c>
      <c r="G424" s="171" t="s">
        <v>214</v>
      </c>
      <c r="H424" s="176">
        <v>1</v>
      </c>
      <c r="I424" s="177">
        <v>1815</v>
      </c>
      <c r="J424" s="175">
        <v>46047</v>
      </c>
      <c r="K424" s="171" t="s">
        <v>113</v>
      </c>
      <c r="L424" s="171" t="s">
        <v>114</v>
      </c>
      <c r="M424" s="178">
        <v>0.43</v>
      </c>
      <c r="N424" s="176"/>
      <c r="O424" s="176"/>
      <c r="P424" s="179">
        <v>-15.15</v>
      </c>
    </row>
    <row r="425" spans="1:16" ht="19.5" customHeight="1">
      <c r="A425" s="171" t="s">
        <v>841</v>
      </c>
      <c r="B425" s="175">
        <v>46050</v>
      </c>
      <c r="C425" s="171" t="s">
        <v>110</v>
      </c>
      <c r="D425" s="171" t="s">
        <v>24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0</v>
      </c>
      <c r="J425" s="175">
        <v>46046</v>
      </c>
      <c r="K425" s="171" t="s">
        <v>113</v>
      </c>
      <c r="L425" s="171" t="s">
        <v>114</v>
      </c>
      <c r="M425" s="178">
        <v>0</v>
      </c>
      <c r="N425" s="176"/>
      <c r="O425" s="176">
        <v>50</v>
      </c>
      <c r="P425" s="179">
        <v>-46.77</v>
      </c>
    </row>
    <row r="426" spans="1:16" ht="19.5" customHeight="1">
      <c r="A426" s="171" t="s">
        <v>841</v>
      </c>
      <c r="B426" s="175">
        <v>46050</v>
      </c>
      <c r="C426" s="171" t="s">
        <v>110</v>
      </c>
      <c r="D426" s="171" t="s">
        <v>117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0</v>
      </c>
      <c r="J426" s="175">
        <v>46046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841</v>
      </c>
      <c r="B427" s="175">
        <v>46050</v>
      </c>
      <c r="C427" s="171" t="s">
        <v>110</v>
      </c>
      <c r="D427" s="171" t="s">
        <v>118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0</v>
      </c>
      <c r="J427" s="175">
        <v>46046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-46.77</v>
      </c>
    </row>
    <row r="428" spans="1:16" ht="19.5" customHeight="1">
      <c r="A428" s="171" t="s">
        <v>840</v>
      </c>
      <c r="B428" s="175">
        <v>46050</v>
      </c>
      <c r="C428" s="171" t="s">
        <v>115</v>
      </c>
      <c r="D428" s="171" t="s">
        <v>135</v>
      </c>
      <c r="E428" s="171" t="s">
        <v>44</v>
      </c>
      <c r="F428" s="171" t="s">
        <v>213</v>
      </c>
      <c r="G428" s="171" t="s">
        <v>214</v>
      </c>
      <c r="H428" s="176">
        <v>1</v>
      </c>
      <c r="I428" s="177">
        <v>0</v>
      </c>
      <c r="J428" s="175">
        <v>46047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-14.24</v>
      </c>
    </row>
    <row r="429" spans="1:16" ht="19.5" customHeight="1">
      <c r="A429" s="171" t="s">
        <v>842</v>
      </c>
      <c r="B429" s="175">
        <v>46050</v>
      </c>
      <c r="C429" s="171" t="s">
        <v>115</v>
      </c>
      <c r="D429" s="171" t="s">
        <v>135</v>
      </c>
      <c r="E429" s="171" t="s">
        <v>79</v>
      </c>
      <c r="F429" s="171" t="s">
        <v>441</v>
      </c>
      <c r="G429" s="171" t="s">
        <v>177</v>
      </c>
      <c r="H429" s="176">
        <v>1</v>
      </c>
      <c r="I429" s="177">
        <v>0</v>
      </c>
      <c r="J429" s="175">
        <v>46050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-12.76</v>
      </c>
    </row>
    <row r="430" spans="1:16" ht="19.5" customHeight="1">
      <c r="A430" s="171" t="s">
        <v>843</v>
      </c>
      <c r="B430" s="175">
        <v>46050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1800</v>
      </c>
      <c r="J430" s="175">
        <v>46050</v>
      </c>
      <c r="K430" s="171" t="s">
        <v>113</v>
      </c>
      <c r="L430" s="171" t="s">
        <v>114</v>
      </c>
      <c r="M430" s="178">
        <v>0.43</v>
      </c>
      <c r="N430" s="176"/>
      <c r="O430" s="176">
        <v>50</v>
      </c>
      <c r="P430" s="179">
        <v>-150.72</v>
      </c>
    </row>
    <row r="431" spans="1:16" ht="19.5" customHeight="1">
      <c r="A431" s="171" t="s">
        <v>843</v>
      </c>
      <c r="B431" s="175">
        <v>46050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1800</v>
      </c>
      <c r="J431" s="175">
        <v>46050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803.81</v>
      </c>
    </row>
    <row r="432" spans="1:16" ht="19.5" customHeight="1">
      <c r="A432" s="171" t="s">
        <v>843</v>
      </c>
      <c r="B432" s="175">
        <v>46050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1800</v>
      </c>
      <c r="J432" s="175">
        <v>46050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8.0399999999999991</v>
      </c>
    </row>
    <row r="433" spans="1:16" ht="19.5" customHeight="1">
      <c r="A433" s="171" t="s">
        <v>843</v>
      </c>
      <c r="B433" s="175">
        <v>46050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1800</v>
      </c>
      <c r="J433" s="175">
        <v>46050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988.15</v>
      </c>
    </row>
    <row r="434" spans="1:16" ht="19.5" customHeight="1">
      <c r="A434" s="171" t="s">
        <v>843</v>
      </c>
      <c r="B434" s="175">
        <v>46050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1800</v>
      </c>
      <c r="J434" s="175">
        <v>46050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-774</v>
      </c>
    </row>
    <row r="435" spans="1:16" ht="19.5" customHeight="1">
      <c r="A435" s="171" t="s">
        <v>843</v>
      </c>
      <c r="B435" s="175">
        <v>46050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1800</v>
      </c>
      <c r="J435" s="175">
        <v>46050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-15.95</v>
      </c>
    </row>
    <row r="436" spans="1:16" ht="19.5" customHeight="1">
      <c r="A436" s="171" t="s">
        <v>844</v>
      </c>
      <c r="B436" s="175">
        <v>46050</v>
      </c>
      <c r="C436" s="171" t="s">
        <v>110</v>
      </c>
      <c r="D436" s="171" t="s">
        <v>24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1670</v>
      </c>
      <c r="J436" s="175">
        <v>46048</v>
      </c>
      <c r="K436" s="171" t="s">
        <v>113</v>
      </c>
      <c r="L436" s="171" t="s">
        <v>114</v>
      </c>
      <c r="M436" s="178">
        <v>0.43</v>
      </c>
      <c r="N436" s="176"/>
      <c r="O436" s="176">
        <v>51</v>
      </c>
      <c r="P436" s="179">
        <v>-145.72</v>
      </c>
    </row>
    <row r="437" spans="1:16" ht="19.5" customHeight="1">
      <c r="A437" s="171" t="s">
        <v>844</v>
      </c>
      <c r="B437" s="175">
        <v>46050</v>
      </c>
      <c r="C437" s="171" t="s">
        <v>127</v>
      </c>
      <c r="D437" s="171" t="s">
        <v>128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1670</v>
      </c>
      <c r="J437" s="175">
        <v>46048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785.78</v>
      </c>
    </row>
    <row r="438" spans="1:16" ht="19.5" customHeight="1">
      <c r="A438" s="171" t="s">
        <v>844</v>
      </c>
      <c r="B438" s="175">
        <v>46050</v>
      </c>
      <c r="C438" s="171" t="s">
        <v>127</v>
      </c>
      <c r="D438" s="171" t="s">
        <v>129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1670</v>
      </c>
      <c r="J438" s="175">
        <v>46048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7.86</v>
      </c>
    </row>
    <row r="439" spans="1:16" ht="19.5" customHeight="1">
      <c r="A439" s="171" t="s">
        <v>844</v>
      </c>
      <c r="B439" s="175">
        <v>46050</v>
      </c>
      <c r="C439" s="171" t="s">
        <v>127</v>
      </c>
      <c r="D439" s="171" t="s">
        <v>130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1670</v>
      </c>
      <c r="J439" s="175">
        <v>46048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876.36</v>
      </c>
    </row>
    <row r="440" spans="1:16" ht="19.5" customHeight="1">
      <c r="A440" s="171" t="s">
        <v>844</v>
      </c>
      <c r="B440" s="175">
        <v>46050</v>
      </c>
      <c r="C440" s="171" t="s">
        <v>131</v>
      </c>
      <c r="D440" s="171" t="s">
        <v>132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1670</v>
      </c>
      <c r="J440" s="175">
        <v>46048</v>
      </c>
      <c r="K440" s="171" t="s">
        <v>113</v>
      </c>
      <c r="L440" s="171" t="s">
        <v>114</v>
      </c>
      <c r="M440" s="178">
        <v>0.43</v>
      </c>
      <c r="N440" s="176"/>
      <c r="O440" s="176"/>
      <c r="P440" s="179">
        <v>-718.1</v>
      </c>
    </row>
    <row r="441" spans="1:16" ht="19.5" customHeight="1">
      <c r="A441" s="171" t="s">
        <v>844</v>
      </c>
      <c r="B441" s="175">
        <v>46050</v>
      </c>
      <c r="C441" s="171" t="s">
        <v>115</v>
      </c>
      <c r="D441" s="171" t="s">
        <v>116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1670</v>
      </c>
      <c r="J441" s="175">
        <v>46048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-8.2899999999999991</v>
      </c>
    </row>
    <row r="442" spans="1:16" ht="19.5" customHeight="1">
      <c r="A442" s="171" t="s">
        <v>845</v>
      </c>
      <c r="B442" s="175">
        <v>46050</v>
      </c>
      <c r="C442" s="171" t="s">
        <v>110</v>
      </c>
      <c r="D442" s="171" t="s">
        <v>24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1670</v>
      </c>
      <c r="J442" s="175">
        <v>46049</v>
      </c>
      <c r="K442" s="171" t="s">
        <v>113</v>
      </c>
      <c r="L442" s="171" t="s">
        <v>114</v>
      </c>
      <c r="M442" s="178">
        <v>0.43</v>
      </c>
      <c r="N442" s="176"/>
      <c r="O442" s="176">
        <v>51</v>
      </c>
      <c r="P442" s="179">
        <v>-147.08000000000001</v>
      </c>
    </row>
    <row r="443" spans="1:16" ht="19.5" customHeight="1">
      <c r="A443" s="171" t="s">
        <v>845</v>
      </c>
      <c r="B443" s="175">
        <v>46050</v>
      </c>
      <c r="C443" s="171" t="s">
        <v>127</v>
      </c>
      <c r="D443" s="171" t="s">
        <v>128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1670</v>
      </c>
      <c r="J443" s="175">
        <v>46049</v>
      </c>
      <c r="K443" s="171" t="s">
        <v>113</v>
      </c>
      <c r="L443" s="171" t="s">
        <v>114</v>
      </c>
      <c r="M443" s="178">
        <v>0</v>
      </c>
      <c r="N443" s="176"/>
      <c r="O443" s="176"/>
      <c r="P443" s="179">
        <v>779.36</v>
      </c>
    </row>
    <row r="444" spans="1:16" ht="19.5" customHeight="1">
      <c r="A444" s="171" t="s">
        <v>845</v>
      </c>
      <c r="B444" s="175">
        <v>46050</v>
      </c>
      <c r="C444" s="171" t="s">
        <v>127</v>
      </c>
      <c r="D444" s="171" t="s">
        <v>129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1670</v>
      </c>
      <c r="J444" s="175">
        <v>46049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7.79</v>
      </c>
    </row>
    <row r="445" spans="1:16" ht="19.5" customHeight="1">
      <c r="A445" s="171" t="s">
        <v>845</v>
      </c>
      <c r="B445" s="175">
        <v>46050</v>
      </c>
      <c r="C445" s="171" t="s">
        <v>127</v>
      </c>
      <c r="D445" s="171" t="s">
        <v>130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1670</v>
      </c>
      <c r="J445" s="175">
        <v>46049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882.85</v>
      </c>
    </row>
    <row r="446" spans="1:16" ht="19.5" customHeight="1">
      <c r="A446" s="171" t="s">
        <v>845</v>
      </c>
      <c r="B446" s="175">
        <v>46050</v>
      </c>
      <c r="C446" s="171" t="s">
        <v>131</v>
      </c>
      <c r="D446" s="171" t="s">
        <v>132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1670</v>
      </c>
      <c r="J446" s="175">
        <v>46049</v>
      </c>
      <c r="K446" s="171" t="s">
        <v>113</v>
      </c>
      <c r="L446" s="171" t="s">
        <v>114</v>
      </c>
      <c r="M446" s="178">
        <v>0.43</v>
      </c>
      <c r="N446" s="176"/>
      <c r="O446" s="176"/>
      <c r="P446" s="179">
        <v>-718.1</v>
      </c>
    </row>
    <row r="447" spans="1:16" ht="19.5" customHeight="1">
      <c r="A447" s="171" t="s">
        <v>845</v>
      </c>
      <c r="B447" s="175">
        <v>46050</v>
      </c>
      <c r="C447" s="171" t="s">
        <v>115</v>
      </c>
      <c r="D447" s="171" t="s">
        <v>116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1670</v>
      </c>
      <c r="J447" s="175">
        <v>46049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-8.4600000000000009</v>
      </c>
    </row>
    <row r="448" spans="1:16" ht="19.5" customHeight="1">
      <c r="A448" s="171" t="s">
        <v>801</v>
      </c>
      <c r="B448" s="175">
        <v>46050</v>
      </c>
      <c r="C448" s="171" t="s">
        <v>110</v>
      </c>
      <c r="D448" s="171" t="s">
        <v>24</v>
      </c>
      <c r="E448" s="171" t="s">
        <v>71</v>
      </c>
      <c r="F448" s="171" t="s">
        <v>185</v>
      </c>
      <c r="G448" s="171" t="s">
        <v>177</v>
      </c>
      <c r="H448" s="176">
        <v>1</v>
      </c>
      <c r="I448" s="177">
        <v>0</v>
      </c>
      <c r="J448" s="175">
        <v>46047</v>
      </c>
      <c r="K448" s="171" t="s">
        <v>113</v>
      </c>
      <c r="L448" s="171" t="s">
        <v>114</v>
      </c>
      <c r="M448" s="178">
        <v>0</v>
      </c>
      <c r="N448" s="176"/>
      <c r="O448" s="176">
        <v>52</v>
      </c>
      <c r="P448" s="179">
        <v>-56.94</v>
      </c>
    </row>
    <row r="449" spans="1:16" ht="19.5" customHeight="1">
      <c r="A449" s="171" t="s">
        <v>801</v>
      </c>
      <c r="B449" s="175">
        <v>46050</v>
      </c>
      <c r="C449" s="171" t="s">
        <v>115</v>
      </c>
      <c r="D449" s="171" t="s">
        <v>116</v>
      </c>
      <c r="E449" s="171" t="s">
        <v>71</v>
      </c>
      <c r="F449" s="171" t="s">
        <v>185</v>
      </c>
      <c r="G449" s="171" t="s">
        <v>177</v>
      </c>
      <c r="H449" s="176">
        <v>1</v>
      </c>
      <c r="I449" s="177">
        <v>0</v>
      </c>
      <c r="J449" s="175">
        <v>46047</v>
      </c>
      <c r="K449" s="171" t="s">
        <v>113</v>
      </c>
      <c r="L449" s="171" t="s">
        <v>114</v>
      </c>
      <c r="M449" s="178">
        <v>0</v>
      </c>
      <c r="N449" s="176"/>
      <c r="O449" s="176"/>
      <c r="P449" s="179">
        <v>-12.58</v>
      </c>
    </row>
    <row r="450" spans="1:16" ht="19.5" customHeight="1">
      <c r="A450" s="171" t="s">
        <v>801</v>
      </c>
      <c r="B450" s="175">
        <v>46050</v>
      </c>
      <c r="C450" s="171" t="s">
        <v>110</v>
      </c>
      <c r="D450" s="171" t="s">
        <v>117</v>
      </c>
      <c r="E450" s="171" t="s">
        <v>71</v>
      </c>
      <c r="F450" s="171" t="s">
        <v>185</v>
      </c>
      <c r="G450" s="171" t="s">
        <v>177</v>
      </c>
      <c r="H450" s="176">
        <v>1</v>
      </c>
      <c r="I450" s="177">
        <v>0</v>
      </c>
      <c r="J450" s="175">
        <v>46047</v>
      </c>
      <c r="K450" s="171" t="s">
        <v>113</v>
      </c>
      <c r="L450" s="171" t="s">
        <v>114</v>
      </c>
      <c r="M450" s="178">
        <v>0</v>
      </c>
      <c r="N450" s="176"/>
      <c r="O450" s="176"/>
      <c r="P450" s="179">
        <v>0</v>
      </c>
    </row>
    <row r="451" spans="1:16" ht="19.5" customHeight="1">
      <c r="A451" s="171" t="s">
        <v>801</v>
      </c>
      <c r="B451" s="175">
        <v>46050</v>
      </c>
      <c r="C451" s="171" t="s">
        <v>110</v>
      </c>
      <c r="D451" s="171" t="s">
        <v>118</v>
      </c>
      <c r="E451" s="171" t="s">
        <v>71</v>
      </c>
      <c r="F451" s="171" t="s">
        <v>185</v>
      </c>
      <c r="G451" s="171" t="s">
        <v>177</v>
      </c>
      <c r="H451" s="176">
        <v>1</v>
      </c>
      <c r="I451" s="177">
        <v>0</v>
      </c>
      <c r="J451" s="175">
        <v>46047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-56.94</v>
      </c>
    </row>
    <row r="452" spans="1:16" ht="19.5" customHeight="1">
      <c r="A452" s="171" t="s">
        <v>801</v>
      </c>
      <c r="B452" s="175">
        <v>46050</v>
      </c>
      <c r="C452" s="171" t="s">
        <v>115</v>
      </c>
      <c r="D452" s="171" t="s">
        <v>119</v>
      </c>
      <c r="E452" s="171" t="s">
        <v>71</v>
      </c>
      <c r="F452" s="171" t="s">
        <v>185</v>
      </c>
      <c r="G452" s="171" t="s">
        <v>177</v>
      </c>
      <c r="H452" s="176">
        <v>1</v>
      </c>
      <c r="I452" s="177">
        <v>0</v>
      </c>
      <c r="J452" s="175">
        <v>46047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-15</v>
      </c>
    </row>
    <row r="453" spans="1:16" ht="19.5" customHeight="1">
      <c r="A453" s="171" t="s">
        <v>819</v>
      </c>
      <c r="B453" s="175">
        <v>46050</v>
      </c>
      <c r="C453" s="171" t="s">
        <v>115</v>
      </c>
      <c r="D453" s="171" t="s">
        <v>135</v>
      </c>
      <c r="E453" s="171" t="s">
        <v>79</v>
      </c>
      <c r="F453" s="171" t="s">
        <v>441</v>
      </c>
      <c r="G453" s="171" t="s">
        <v>177</v>
      </c>
      <c r="H453" s="176">
        <v>1</v>
      </c>
      <c r="I453" s="177">
        <v>0</v>
      </c>
      <c r="J453" s="175">
        <v>46049</v>
      </c>
      <c r="K453" s="171" t="s">
        <v>125</v>
      </c>
      <c r="L453" s="171" t="s">
        <v>125</v>
      </c>
      <c r="M453" s="178">
        <v>0</v>
      </c>
      <c r="N453" s="176"/>
      <c r="O453" s="176"/>
      <c r="P453" s="179">
        <v>33.119999999999997</v>
      </c>
    </row>
    <row r="454" spans="1:16" ht="19.5" customHeight="1">
      <c r="A454" s="171" t="s">
        <v>846</v>
      </c>
      <c r="B454" s="175">
        <v>46050</v>
      </c>
      <c r="C454" s="171" t="s">
        <v>110</v>
      </c>
      <c r="D454" s="171" t="s">
        <v>24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46035</v>
      </c>
      <c r="K454" s="171" t="s">
        <v>113</v>
      </c>
      <c r="L454" s="171" t="s">
        <v>114</v>
      </c>
      <c r="M454" s="178">
        <v>0</v>
      </c>
      <c r="N454" s="176"/>
      <c r="O454" s="176">
        <v>46</v>
      </c>
      <c r="P454" s="179">
        <v>-46</v>
      </c>
    </row>
    <row r="455" spans="1:16" ht="19.5" customHeight="1">
      <c r="A455" s="171" t="s">
        <v>846</v>
      </c>
      <c r="B455" s="175">
        <v>46050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46035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-9.44</v>
      </c>
    </row>
    <row r="456" spans="1:16" ht="19.5" customHeight="1">
      <c r="A456" s="171" t="s">
        <v>846</v>
      </c>
      <c r="B456" s="175">
        <v>46050</v>
      </c>
      <c r="C456" s="171" t="s">
        <v>110</v>
      </c>
      <c r="D456" s="171" t="s">
        <v>117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0</v>
      </c>
      <c r="J456" s="175">
        <v>46035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0</v>
      </c>
    </row>
    <row r="457" spans="1:16" ht="19.5" customHeight="1">
      <c r="A457" s="171" t="s">
        <v>846</v>
      </c>
      <c r="B457" s="175">
        <v>46050</v>
      </c>
      <c r="C457" s="171" t="s">
        <v>110</v>
      </c>
      <c r="D457" s="171" t="s">
        <v>118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46035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-46</v>
      </c>
    </row>
    <row r="458" spans="1:16" ht="19.5" customHeight="1">
      <c r="A458" s="171" t="s">
        <v>846</v>
      </c>
      <c r="B458" s="175">
        <v>46050</v>
      </c>
      <c r="C458" s="171" t="s">
        <v>115</v>
      </c>
      <c r="D458" s="171" t="s">
        <v>119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-15</v>
      </c>
    </row>
    <row r="459" spans="1:16" ht="19.5" customHeight="1">
      <c r="A459" s="171" t="s">
        <v>847</v>
      </c>
      <c r="B459" s="175">
        <v>46050</v>
      </c>
      <c r="C459" s="171" t="s">
        <v>110</v>
      </c>
      <c r="D459" s="171" t="s">
        <v>24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0</v>
      </c>
      <c r="J459" s="175">
        <v>46039</v>
      </c>
      <c r="K459" s="171" t="s">
        <v>113</v>
      </c>
      <c r="L459" s="171" t="s">
        <v>114</v>
      </c>
      <c r="M459" s="178">
        <v>0</v>
      </c>
      <c r="N459" s="176"/>
      <c r="O459" s="176">
        <v>51</v>
      </c>
      <c r="P459" s="179">
        <v>-56.94</v>
      </c>
    </row>
    <row r="460" spans="1:16" ht="19.5" customHeight="1">
      <c r="A460" s="171" t="s">
        <v>847</v>
      </c>
      <c r="B460" s="175">
        <v>46050</v>
      </c>
      <c r="C460" s="171" t="s">
        <v>115</v>
      </c>
      <c r="D460" s="171" t="s">
        <v>116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0</v>
      </c>
      <c r="J460" s="175">
        <v>46039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-14.38</v>
      </c>
    </row>
    <row r="461" spans="1:16" ht="19.5" customHeight="1">
      <c r="A461" s="171" t="s">
        <v>847</v>
      </c>
      <c r="B461" s="175">
        <v>46050</v>
      </c>
      <c r="C461" s="171" t="s">
        <v>110</v>
      </c>
      <c r="D461" s="171" t="s">
        <v>117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0</v>
      </c>
      <c r="J461" s="175">
        <v>46039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0</v>
      </c>
    </row>
    <row r="462" spans="1:16" ht="19.5" customHeight="1">
      <c r="A462" s="171" t="s">
        <v>847</v>
      </c>
      <c r="B462" s="175">
        <v>46050</v>
      </c>
      <c r="C462" s="171" t="s">
        <v>110</v>
      </c>
      <c r="D462" s="171" t="s">
        <v>118</v>
      </c>
      <c r="E462" s="171" t="s">
        <v>77</v>
      </c>
      <c r="F462" s="171" t="s">
        <v>194</v>
      </c>
      <c r="G462" s="171" t="s">
        <v>177</v>
      </c>
      <c r="H462" s="176">
        <v>1</v>
      </c>
      <c r="I462" s="177">
        <v>0</v>
      </c>
      <c r="J462" s="175">
        <v>46039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-56.94</v>
      </c>
    </row>
    <row r="463" spans="1:16" ht="19.5" customHeight="1">
      <c r="A463" s="171" t="s">
        <v>847</v>
      </c>
      <c r="B463" s="175">
        <v>46050</v>
      </c>
      <c r="C463" s="171" t="s">
        <v>115</v>
      </c>
      <c r="D463" s="171" t="s">
        <v>119</v>
      </c>
      <c r="E463" s="171" t="s">
        <v>77</v>
      </c>
      <c r="F463" s="171" t="s">
        <v>194</v>
      </c>
      <c r="G463" s="171" t="s">
        <v>177</v>
      </c>
      <c r="H463" s="176">
        <v>1</v>
      </c>
      <c r="I463" s="177">
        <v>0</v>
      </c>
      <c r="J463" s="175">
        <v>46039</v>
      </c>
      <c r="K463" s="171" t="s">
        <v>113</v>
      </c>
      <c r="L463" s="171" t="s">
        <v>114</v>
      </c>
      <c r="M463" s="178">
        <v>0</v>
      </c>
      <c r="N463" s="176"/>
      <c r="O463" s="176"/>
      <c r="P463" s="179">
        <v>-15</v>
      </c>
    </row>
    <row r="464" spans="1:16" ht="19.5" customHeight="1">
      <c r="A464" s="171" t="s">
        <v>671</v>
      </c>
      <c r="B464" s="175">
        <v>46050</v>
      </c>
      <c r="C464" s="171" t="s">
        <v>151</v>
      </c>
      <c r="D464" s="171" t="s">
        <v>152</v>
      </c>
      <c r="E464" s="171" t="s">
        <v>125</v>
      </c>
      <c r="F464" s="171" t="s">
        <v>125</v>
      </c>
      <c r="G464" s="171" t="s">
        <v>125</v>
      </c>
      <c r="H464" s="176">
        <v>0</v>
      </c>
      <c r="I464" s="177">
        <v>0</v>
      </c>
      <c r="J464" s="175">
        <v>46050</v>
      </c>
      <c r="K464" s="171" t="s">
        <v>125</v>
      </c>
      <c r="L464" s="171" t="s">
        <v>125</v>
      </c>
      <c r="M464" s="178">
        <v>0</v>
      </c>
      <c r="N464" s="176"/>
      <c r="O464" s="176"/>
      <c r="P464" s="179">
        <v>-276.76</v>
      </c>
    </row>
    <row r="465" spans="1:16" ht="19.5" customHeight="1">
      <c r="A465" s="171" t="s">
        <v>565</v>
      </c>
      <c r="B465" s="175">
        <v>46050</v>
      </c>
      <c r="C465" s="171" t="s">
        <v>151</v>
      </c>
      <c r="D465" s="171" t="s">
        <v>152</v>
      </c>
      <c r="E465" s="171" t="s">
        <v>125</v>
      </c>
      <c r="F465" s="171" t="s">
        <v>125</v>
      </c>
      <c r="G465" s="171" t="s">
        <v>125</v>
      </c>
      <c r="H465" s="176">
        <v>0</v>
      </c>
      <c r="I465" s="177">
        <v>0</v>
      </c>
      <c r="J465" s="175">
        <v>46050</v>
      </c>
      <c r="K465" s="171" t="s">
        <v>125</v>
      </c>
      <c r="L465" s="171" t="s">
        <v>125</v>
      </c>
      <c r="M465" s="178">
        <v>0</v>
      </c>
      <c r="N465" s="176"/>
      <c r="O465" s="176"/>
      <c r="P465" s="179">
        <v>-284.49</v>
      </c>
    </row>
    <row r="466" spans="1:16" ht="19.5" customHeight="1">
      <c r="A466" s="171" t="s">
        <v>180</v>
      </c>
      <c r="B466" s="175">
        <v>46050</v>
      </c>
      <c r="C466" s="171" t="s">
        <v>151</v>
      </c>
      <c r="D466" s="171" t="s">
        <v>152</v>
      </c>
      <c r="E466" s="171" t="s">
        <v>125</v>
      </c>
      <c r="F466" s="171" t="s">
        <v>125</v>
      </c>
      <c r="G466" s="171" t="s">
        <v>125</v>
      </c>
      <c r="H466" s="176">
        <v>0</v>
      </c>
      <c r="I466" s="177">
        <v>0</v>
      </c>
      <c r="J466" s="175">
        <v>46050</v>
      </c>
      <c r="K466" s="171" t="s">
        <v>125</v>
      </c>
      <c r="L466" s="171" t="s">
        <v>125</v>
      </c>
      <c r="M466" s="178">
        <v>0</v>
      </c>
      <c r="N466" s="176"/>
      <c r="O466" s="176"/>
      <c r="P466" s="179">
        <v>-490.03</v>
      </c>
    </row>
    <row r="467" spans="1:16" ht="19.5" customHeight="1">
      <c r="A467" s="171" t="s">
        <v>150</v>
      </c>
      <c r="B467" s="175">
        <v>46050</v>
      </c>
      <c r="C467" s="171" t="s">
        <v>151</v>
      </c>
      <c r="D467" s="171" t="s">
        <v>152</v>
      </c>
      <c r="E467" s="171" t="s">
        <v>125</v>
      </c>
      <c r="F467" s="171" t="s">
        <v>125</v>
      </c>
      <c r="G467" s="171" t="s">
        <v>125</v>
      </c>
      <c r="H467" s="176">
        <v>0</v>
      </c>
      <c r="I467" s="177">
        <v>0</v>
      </c>
      <c r="J467" s="175">
        <v>46050</v>
      </c>
      <c r="K467" s="171" t="s">
        <v>125</v>
      </c>
      <c r="L467" s="171" t="s">
        <v>125</v>
      </c>
      <c r="M467" s="178">
        <v>0</v>
      </c>
      <c r="N467" s="176"/>
      <c r="O467" s="176"/>
      <c r="P467" s="179">
        <v>-1240.1500000000001</v>
      </c>
    </row>
    <row r="468" spans="1:16" ht="19.5" customHeight="1">
      <c r="A468" s="171" t="s">
        <v>155</v>
      </c>
      <c r="B468" s="175">
        <v>46050</v>
      </c>
      <c r="C468" s="171" t="s">
        <v>151</v>
      </c>
      <c r="D468" s="171" t="s">
        <v>156</v>
      </c>
      <c r="E468" s="171" t="s">
        <v>125</v>
      </c>
      <c r="F468" s="171" t="s">
        <v>125</v>
      </c>
      <c r="G468" s="171" t="s">
        <v>125</v>
      </c>
      <c r="H468" s="176">
        <v>0</v>
      </c>
      <c r="I468" s="177">
        <v>0</v>
      </c>
      <c r="J468" s="175">
        <v>46050</v>
      </c>
      <c r="K468" s="171" t="s">
        <v>125</v>
      </c>
      <c r="L468" s="171" t="s">
        <v>125</v>
      </c>
      <c r="M468" s="178">
        <v>0</v>
      </c>
      <c r="N468" s="176"/>
      <c r="O468" s="176"/>
      <c r="P468" s="179">
        <v>-2458.87</v>
      </c>
    </row>
    <row r="469" spans="1:16" ht="19.5" customHeight="1">
      <c r="A469" s="171" t="s">
        <v>848</v>
      </c>
      <c r="B469" s="175">
        <v>46051</v>
      </c>
      <c r="C469" s="171" t="s">
        <v>110</v>
      </c>
      <c r="D469" s="171" t="s">
        <v>117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0</v>
      </c>
      <c r="J469" s="175">
        <v>46044</v>
      </c>
      <c r="K469" s="171" t="s">
        <v>113</v>
      </c>
      <c r="L469" s="171" t="s">
        <v>114</v>
      </c>
      <c r="M469" s="178">
        <v>0</v>
      </c>
      <c r="N469" s="176"/>
      <c r="O469" s="176"/>
      <c r="P469" s="179">
        <v>0</v>
      </c>
    </row>
    <row r="470" spans="1:16" ht="19.5" customHeight="1">
      <c r="A470" s="171" t="s">
        <v>848</v>
      </c>
      <c r="B470" s="175">
        <v>46051</v>
      </c>
      <c r="C470" s="171" t="s">
        <v>110</v>
      </c>
      <c r="D470" s="171" t="s">
        <v>118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46044</v>
      </c>
      <c r="K470" s="171" t="s">
        <v>113</v>
      </c>
      <c r="L470" s="171" t="s">
        <v>114</v>
      </c>
      <c r="M470" s="178">
        <v>0</v>
      </c>
      <c r="N470" s="176"/>
      <c r="O470" s="176"/>
      <c r="P470" s="179">
        <v>-46.77</v>
      </c>
    </row>
    <row r="471" spans="1:16" ht="19.5" customHeight="1">
      <c r="A471" s="171" t="s">
        <v>848</v>
      </c>
      <c r="B471" s="175">
        <v>46051</v>
      </c>
      <c r="C471" s="171" t="s">
        <v>115</v>
      </c>
      <c r="D471" s="171" t="s">
        <v>119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46044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-15</v>
      </c>
    </row>
    <row r="472" spans="1:16" ht="19.5" customHeight="1">
      <c r="A472" s="171" t="s">
        <v>848</v>
      </c>
      <c r="B472" s="175">
        <v>46051</v>
      </c>
      <c r="C472" s="171" t="s">
        <v>110</v>
      </c>
      <c r="D472" s="171" t="s">
        <v>24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46044</v>
      </c>
      <c r="K472" s="171" t="s">
        <v>113</v>
      </c>
      <c r="L472" s="171" t="s">
        <v>114</v>
      </c>
      <c r="M472" s="178">
        <v>0</v>
      </c>
      <c r="N472" s="176"/>
      <c r="O472" s="176">
        <v>54</v>
      </c>
      <c r="P472" s="179">
        <v>-46.77</v>
      </c>
    </row>
    <row r="473" spans="1:16" ht="19.5" customHeight="1">
      <c r="A473" s="171" t="s">
        <v>848</v>
      </c>
      <c r="B473" s="175">
        <v>46051</v>
      </c>
      <c r="C473" s="171" t="s">
        <v>115</v>
      </c>
      <c r="D473" s="171" t="s">
        <v>116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46044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-12.93</v>
      </c>
    </row>
    <row r="474" spans="1:16" ht="19.5" customHeight="1">
      <c r="A474" s="171" t="s">
        <v>849</v>
      </c>
      <c r="B474" s="175">
        <v>46051</v>
      </c>
      <c r="C474" s="171" t="s">
        <v>110</v>
      </c>
      <c r="D474" s="171" t="s">
        <v>24</v>
      </c>
      <c r="E474" s="171" t="s">
        <v>77</v>
      </c>
      <c r="F474" s="171" t="s">
        <v>194</v>
      </c>
      <c r="G474" s="171" t="s">
        <v>177</v>
      </c>
      <c r="H474" s="176">
        <v>1</v>
      </c>
      <c r="I474" s="177">
        <v>4178</v>
      </c>
      <c r="J474" s="175">
        <v>46037</v>
      </c>
      <c r="K474" s="171" t="s">
        <v>113</v>
      </c>
      <c r="L474" s="171" t="s">
        <v>114</v>
      </c>
      <c r="M474" s="178">
        <v>0.43</v>
      </c>
      <c r="N474" s="176"/>
      <c r="O474" s="176">
        <v>43</v>
      </c>
      <c r="P474" s="179">
        <v>-216.44</v>
      </c>
    </row>
    <row r="475" spans="1:16" ht="19.5" customHeight="1">
      <c r="A475" s="171" t="s">
        <v>849</v>
      </c>
      <c r="B475" s="175">
        <v>46051</v>
      </c>
      <c r="C475" s="171" t="s">
        <v>127</v>
      </c>
      <c r="D475" s="171" t="s">
        <v>128</v>
      </c>
      <c r="E475" s="171" t="s">
        <v>77</v>
      </c>
      <c r="F475" s="171" t="s">
        <v>194</v>
      </c>
      <c r="G475" s="171" t="s">
        <v>177</v>
      </c>
      <c r="H475" s="176">
        <v>1</v>
      </c>
      <c r="I475" s="177">
        <v>4178</v>
      </c>
      <c r="J475" s="175">
        <v>46037</v>
      </c>
      <c r="K475" s="171" t="s">
        <v>113</v>
      </c>
      <c r="L475" s="171" t="s">
        <v>114</v>
      </c>
      <c r="M475" s="178">
        <v>0</v>
      </c>
      <c r="N475" s="176"/>
      <c r="O475" s="176"/>
      <c r="P475" s="179">
        <v>1587.06</v>
      </c>
    </row>
    <row r="476" spans="1:16" ht="19.5" customHeight="1">
      <c r="A476" s="171" t="s">
        <v>849</v>
      </c>
      <c r="B476" s="175">
        <v>46051</v>
      </c>
      <c r="C476" s="171" t="s">
        <v>127</v>
      </c>
      <c r="D476" s="171" t="s">
        <v>129</v>
      </c>
      <c r="E476" s="171" t="s">
        <v>77</v>
      </c>
      <c r="F476" s="171" t="s">
        <v>194</v>
      </c>
      <c r="G476" s="171" t="s">
        <v>177</v>
      </c>
      <c r="H476" s="176">
        <v>1</v>
      </c>
      <c r="I476" s="177">
        <v>4178</v>
      </c>
      <c r="J476" s="175">
        <v>46037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15.87</v>
      </c>
    </row>
    <row r="477" spans="1:16" ht="19.5" customHeight="1">
      <c r="A477" s="171" t="s">
        <v>849</v>
      </c>
      <c r="B477" s="175">
        <v>46051</v>
      </c>
      <c r="C477" s="171" t="s">
        <v>127</v>
      </c>
      <c r="D477" s="171" t="s">
        <v>130</v>
      </c>
      <c r="E477" s="171" t="s">
        <v>77</v>
      </c>
      <c r="F477" s="171" t="s">
        <v>194</v>
      </c>
      <c r="G477" s="171" t="s">
        <v>177</v>
      </c>
      <c r="H477" s="176">
        <v>1</v>
      </c>
      <c r="I477" s="177">
        <v>4178</v>
      </c>
      <c r="J477" s="175">
        <v>46037</v>
      </c>
      <c r="K477" s="171" t="s">
        <v>113</v>
      </c>
      <c r="L477" s="171" t="s">
        <v>114</v>
      </c>
      <c r="M477" s="178">
        <v>0</v>
      </c>
      <c r="N477" s="176"/>
      <c r="O477" s="176"/>
      <c r="P477" s="179">
        <v>2575.0700000000002</v>
      </c>
    </row>
    <row r="478" spans="1:16" ht="19.5" customHeight="1">
      <c r="A478" s="171" t="s">
        <v>849</v>
      </c>
      <c r="B478" s="175">
        <v>46051</v>
      </c>
      <c r="C478" s="171" t="s">
        <v>131</v>
      </c>
      <c r="D478" s="171" t="s">
        <v>132</v>
      </c>
      <c r="E478" s="171" t="s">
        <v>77</v>
      </c>
      <c r="F478" s="171" t="s">
        <v>194</v>
      </c>
      <c r="G478" s="171" t="s">
        <v>177</v>
      </c>
      <c r="H478" s="176">
        <v>1</v>
      </c>
      <c r="I478" s="177">
        <v>4178</v>
      </c>
      <c r="J478" s="175">
        <v>46037</v>
      </c>
      <c r="K478" s="171" t="s">
        <v>113</v>
      </c>
      <c r="L478" s="171" t="s">
        <v>114</v>
      </c>
      <c r="M478" s="178">
        <v>0.43</v>
      </c>
      <c r="N478" s="176"/>
      <c r="O478" s="176"/>
      <c r="P478" s="179">
        <v>-1796.54</v>
      </c>
    </row>
    <row r="479" spans="1:16" ht="19.5" customHeight="1">
      <c r="A479" s="171" t="s">
        <v>849</v>
      </c>
      <c r="B479" s="175">
        <v>46051</v>
      </c>
      <c r="C479" s="171" t="s">
        <v>115</v>
      </c>
      <c r="D479" s="171" t="s">
        <v>116</v>
      </c>
      <c r="E479" s="171" t="s">
        <v>77</v>
      </c>
      <c r="F479" s="171" t="s">
        <v>194</v>
      </c>
      <c r="G479" s="171" t="s">
        <v>177</v>
      </c>
      <c r="H479" s="176">
        <v>1</v>
      </c>
      <c r="I479" s="177">
        <v>4178</v>
      </c>
      <c r="J479" s="175">
        <v>46037</v>
      </c>
      <c r="K479" s="171" t="s">
        <v>113</v>
      </c>
      <c r="L479" s="171" t="s">
        <v>114</v>
      </c>
      <c r="M479" s="178">
        <v>0.43</v>
      </c>
      <c r="N479" s="176"/>
      <c r="O479" s="176"/>
      <c r="P479" s="179">
        <v>-16.59</v>
      </c>
    </row>
    <row r="480" spans="1:16" ht="19.5" customHeight="1">
      <c r="A480" s="171" t="s">
        <v>849</v>
      </c>
      <c r="B480" s="175">
        <v>46051</v>
      </c>
      <c r="C480" s="171" t="s">
        <v>115</v>
      </c>
      <c r="D480" s="171" t="s">
        <v>135</v>
      </c>
      <c r="E480" s="171" t="s">
        <v>77</v>
      </c>
      <c r="F480" s="171" t="s">
        <v>194</v>
      </c>
      <c r="G480" s="171" t="s">
        <v>177</v>
      </c>
      <c r="H480" s="176">
        <v>1</v>
      </c>
      <c r="I480" s="177">
        <v>0</v>
      </c>
      <c r="J480" s="175">
        <v>46037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-30.15</v>
      </c>
    </row>
    <row r="481" spans="1:16" ht="19.5" customHeight="1">
      <c r="A481" s="171" t="s">
        <v>850</v>
      </c>
      <c r="B481" s="175">
        <v>46051</v>
      </c>
      <c r="C481" s="171" t="s">
        <v>110</v>
      </c>
      <c r="D481" s="171" t="s">
        <v>24</v>
      </c>
      <c r="E481" s="171" t="s">
        <v>44</v>
      </c>
      <c r="F481" s="171" t="s">
        <v>213</v>
      </c>
      <c r="G481" s="171" t="s">
        <v>214</v>
      </c>
      <c r="H481" s="176">
        <v>1</v>
      </c>
      <c r="I481" s="177">
        <v>0</v>
      </c>
      <c r="J481" s="175">
        <v>46039</v>
      </c>
      <c r="K481" s="171" t="s">
        <v>113</v>
      </c>
      <c r="L481" s="171" t="s">
        <v>114</v>
      </c>
      <c r="M481" s="178">
        <v>0</v>
      </c>
      <c r="N481" s="176"/>
      <c r="O481" s="176">
        <v>51</v>
      </c>
      <c r="P481" s="179">
        <v>-46</v>
      </c>
    </row>
    <row r="482" spans="1:16" ht="19.5" customHeight="1">
      <c r="A482" s="171" t="s">
        <v>850</v>
      </c>
      <c r="B482" s="175">
        <v>46051</v>
      </c>
      <c r="C482" s="171" t="s">
        <v>110</v>
      </c>
      <c r="D482" s="171" t="s">
        <v>117</v>
      </c>
      <c r="E482" s="171" t="s">
        <v>44</v>
      </c>
      <c r="F482" s="171" t="s">
        <v>213</v>
      </c>
      <c r="G482" s="171" t="s">
        <v>214</v>
      </c>
      <c r="H482" s="176">
        <v>1</v>
      </c>
      <c r="I482" s="177">
        <v>0</v>
      </c>
      <c r="J482" s="175">
        <v>46039</v>
      </c>
      <c r="K482" s="171" t="s">
        <v>113</v>
      </c>
      <c r="L482" s="171" t="s">
        <v>114</v>
      </c>
      <c r="M482" s="178">
        <v>0</v>
      </c>
      <c r="N482" s="176"/>
      <c r="O482" s="176"/>
      <c r="P482" s="179">
        <v>0</v>
      </c>
    </row>
    <row r="483" spans="1:16" ht="19.5" customHeight="1">
      <c r="A483" s="171" t="s">
        <v>850</v>
      </c>
      <c r="B483" s="175">
        <v>46051</v>
      </c>
      <c r="C483" s="171" t="s">
        <v>110</v>
      </c>
      <c r="D483" s="171" t="s">
        <v>118</v>
      </c>
      <c r="E483" s="171" t="s">
        <v>44</v>
      </c>
      <c r="F483" s="171" t="s">
        <v>213</v>
      </c>
      <c r="G483" s="171" t="s">
        <v>214</v>
      </c>
      <c r="H483" s="176">
        <v>1</v>
      </c>
      <c r="I483" s="177">
        <v>0</v>
      </c>
      <c r="J483" s="175">
        <v>46039</v>
      </c>
      <c r="K483" s="171" t="s">
        <v>113</v>
      </c>
      <c r="L483" s="171" t="s">
        <v>114</v>
      </c>
      <c r="M483" s="178">
        <v>0</v>
      </c>
      <c r="N483" s="176"/>
      <c r="O483" s="176"/>
      <c r="P483" s="179">
        <v>-46</v>
      </c>
    </row>
    <row r="484" spans="1:16" ht="19.5" customHeight="1">
      <c r="A484" s="171" t="s">
        <v>851</v>
      </c>
      <c r="B484" s="175">
        <v>46051</v>
      </c>
      <c r="C484" s="171" t="s">
        <v>110</v>
      </c>
      <c r="D484" s="171" t="s">
        <v>24</v>
      </c>
      <c r="E484" s="171" t="s">
        <v>78</v>
      </c>
      <c r="F484" s="171" t="s">
        <v>176</v>
      </c>
      <c r="G484" s="171" t="s">
        <v>177</v>
      </c>
      <c r="H484" s="176">
        <v>1</v>
      </c>
      <c r="I484" s="177">
        <v>4940</v>
      </c>
      <c r="J484" s="175">
        <v>46040</v>
      </c>
      <c r="K484" s="171" t="s">
        <v>113</v>
      </c>
      <c r="L484" s="171" t="s">
        <v>114</v>
      </c>
      <c r="M484" s="178">
        <v>0.43</v>
      </c>
      <c r="N484" s="176"/>
      <c r="O484" s="176">
        <v>51</v>
      </c>
      <c r="P484" s="179">
        <v>-290.97000000000003</v>
      </c>
    </row>
    <row r="485" spans="1:16" ht="19.5" customHeight="1">
      <c r="A485" s="171" t="s">
        <v>851</v>
      </c>
      <c r="B485" s="175">
        <v>46051</v>
      </c>
      <c r="C485" s="171" t="s">
        <v>127</v>
      </c>
      <c r="D485" s="171" t="s">
        <v>128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1918.1</v>
      </c>
    </row>
    <row r="486" spans="1:16" ht="19.5" customHeight="1">
      <c r="A486" s="171" t="s">
        <v>851</v>
      </c>
      <c r="B486" s="175">
        <v>46051</v>
      </c>
      <c r="C486" s="171" t="s">
        <v>127</v>
      </c>
      <c r="D486" s="171" t="s">
        <v>129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19.18</v>
      </c>
    </row>
    <row r="487" spans="1:16" ht="19.5" customHeight="1">
      <c r="A487" s="171" t="s">
        <v>851</v>
      </c>
      <c r="B487" s="175">
        <v>46051</v>
      </c>
      <c r="C487" s="171" t="s">
        <v>127</v>
      </c>
      <c r="D487" s="171" t="s">
        <v>130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3002.72</v>
      </c>
    </row>
    <row r="488" spans="1:16" ht="19.5" customHeight="1">
      <c r="A488" s="171" t="s">
        <v>851</v>
      </c>
      <c r="B488" s="175">
        <v>46051</v>
      </c>
      <c r="C488" s="171" t="s">
        <v>131</v>
      </c>
      <c r="D488" s="171" t="s">
        <v>132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-2124.1999999999998</v>
      </c>
    </row>
    <row r="489" spans="1:16" ht="19.5" customHeight="1">
      <c r="A489" s="171" t="s">
        <v>851</v>
      </c>
      <c r="B489" s="175">
        <v>46051</v>
      </c>
      <c r="C489" s="171" t="s">
        <v>115</v>
      </c>
      <c r="D489" s="171" t="s">
        <v>116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-1.26</v>
      </c>
    </row>
    <row r="490" spans="1:16" ht="19.5" customHeight="1">
      <c r="A490" s="171" t="s">
        <v>851</v>
      </c>
      <c r="B490" s="175">
        <v>46051</v>
      </c>
      <c r="C490" s="171" t="s">
        <v>115</v>
      </c>
      <c r="D490" s="171" t="s">
        <v>135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0</v>
      </c>
      <c r="J490" s="175">
        <v>46040</v>
      </c>
      <c r="K490" s="171" t="s">
        <v>125</v>
      </c>
      <c r="L490" s="171" t="s">
        <v>125</v>
      </c>
      <c r="M490" s="178">
        <v>0</v>
      </c>
      <c r="N490" s="176"/>
      <c r="O490" s="176"/>
      <c r="P490" s="179">
        <v>-36.44</v>
      </c>
    </row>
    <row r="491" spans="1:16" ht="19.5" customHeight="1">
      <c r="A491" s="171" t="s">
        <v>852</v>
      </c>
      <c r="B491" s="175">
        <v>46051</v>
      </c>
      <c r="C491" s="171" t="s">
        <v>110</v>
      </c>
      <c r="D491" s="171" t="s">
        <v>24</v>
      </c>
      <c r="E491" s="171" t="s">
        <v>76</v>
      </c>
      <c r="F491" s="171" t="s">
        <v>821</v>
      </c>
      <c r="G491" s="171" t="s">
        <v>177</v>
      </c>
      <c r="H491" s="176">
        <v>1</v>
      </c>
      <c r="I491" s="177">
        <v>0</v>
      </c>
      <c r="J491" s="175">
        <v>46041</v>
      </c>
      <c r="K491" s="171" t="s">
        <v>113</v>
      </c>
      <c r="L491" s="171" t="s">
        <v>114</v>
      </c>
      <c r="M491" s="178">
        <v>0</v>
      </c>
      <c r="N491" s="176"/>
      <c r="O491" s="176">
        <v>53</v>
      </c>
      <c r="P491" s="179">
        <v>-56.94</v>
      </c>
    </row>
    <row r="492" spans="1:16" ht="19.5" customHeight="1">
      <c r="A492" s="171" t="s">
        <v>852</v>
      </c>
      <c r="B492" s="175">
        <v>46051</v>
      </c>
      <c r="C492" s="171" t="s">
        <v>115</v>
      </c>
      <c r="D492" s="171" t="s">
        <v>116</v>
      </c>
      <c r="E492" s="171" t="s">
        <v>76</v>
      </c>
      <c r="F492" s="171" t="s">
        <v>821</v>
      </c>
      <c r="G492" s="171" t="s">
        <v>177</v>
      </c>
      <c r="H492" s="176">
        <v>1</v>
      </c>
      <c r="I492" s="177">
        <v>0</v>
      </c>
      <c r="J492" s="175">
        <v>46041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-13.23</v>
      </c>
    </row>
    <row r="493" spans="1:16" ht="19.5" customHeight="1">
      <c r="A493" s="171" t="s">
        <v>852</v>
      </c>
      <c r="B493" s="175">
        <v>46051</v>
      </c>
      <c r="C493" s="171" t="s">
        <v>110</v>
      </c>
      <c r="D493" s="171" t="s">
        <v>117</v>
      </c>
      <c r="E493" s="171" t="s">
        <v>76</v>
      </c>
      <c r="F493" s="171" t="s">
        <v>821</v>
      </c>
      <c r="G493" s="171" t="s">
        <v>177</v>
      </c>
      <c r="H493" s="176">
        <v>1</v>
      </c>
      <c r="I493" s="177">
        <v>0</v>
      </c>
      <c r="J493" s="175">
        <v>46041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0</v>
      </c>
    </row>
    <row r="494" spans="1:16" ht="19.5" customHeight="1">
      <c r="A494" s="171" t="s">
        <v>852</v>
      </c>
      <c r="B494" s="175">
        <v>46051</v>
      </c>
      <c r="C494" s="171" t="s">
        <v>110</v>
      </c>
      <c r="D494" s="171" t="s">
        <v>118</v>
      </c>
      <c r="E494" s="171" t="s">
        <v>76</v>
      </c>
      <c r="F494" s="171" t="s">
        <v>821</v>
      </c>
      <c r="G494" s="171" t="s">
        <v>177</v>
      </c>
      <c r="H494" s="176">
        <v>1</v>
      </c>
      <c r="I494" s="177">
        <v>0</v>
      </c>
      <c r="J494" s="175">
        <v>46041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-56.94</v>
      </c>
    </row>
    <row r="495" spans="1:16" ht="19.5" customHeight="1">
      <c r="A495" s="171" t="s">
        <v>852</v>
      </c>
      <c r="B495" s="175">
        <v>46051</v>
      </c>
      <c r="C495" s="171" t="s">
        <v>115</v>
      </c>
      <c r="D495" s="171" t="s">
        <v>119</v>
      </c>
      <c r="E495" s="171" t="s">
        <v>76</v>
      </c>
      <c r="F495" s="171" t="s">
        <v>821</v>
      </c>
      <c r="G495" s="171" t="s">
        <v>177</v>
      </c>
      <c r="H495" s="176">
        <v>1</v>
      </c>
      <c r="I495" s="177">
        <v>0</v>
      </c>
      <c r="J495" s="175">
        <v>46041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-15</v>
      </c>
    </row>
    <row r="496" spans="1:16" ht="19.5" customHeight="1">
      <c r="A496" s="171" t="s">
        <v>853</v>
      </c>
      <c r="B496" s="175">
        <v>46051</v>
      </c>
      <c r="C496" s="171" t="s">
        <v>115</v>
      </c>
      <c r="D496" s="171" t="s">
        <v>135</v>
      </c>
      <c r="E496" s="171" t="s">
        <v>77</v>
      </c>
      <c r="F496" s="171" t="s">
        <v>194</v>
      </c>
      <c r="G496" s="171" t="s">
        <v>177</v>
      </c>
      <c r="H496" s="176">
        <v>1</v>
      </c>
      <c r="I496" s="177">
        <v>0</v>
      </c>
      <c r="J496" s="175">
        <v>46051</v>
      </c>
      <c r="K496" s="171" t="s">
        <v>125</v>
      </c>
      <c r="L496" s="171" t="s">
        <v>125</v>
      </c>
      <c r="M496" s="178">
        <v>0</v>
      </c>
      <c r="N496" s="176"/>
      <c r="O496" s="176"/>
      <c r="P496" s="179">
        <v>-27.49</v>
      </c>
    </row>
    <row r="497" spans="1:16" ht="19.5" customHeight="1">
      <c r="A497" s="171" t="s">
        <v>854</v>
      </c>
      <c r="B497" s="175">
        <v>46051</v>
      </c>
      <c r="C497" s="171" t="s">
        <v>110</v>
      </c>
      <c r="D497" s="171" t="s">
        <v>24</v>
      </c>
      <c r="E497" s="171" t="s">
        <v>44</v>
      </c>
      <c r="F497" s="171" t="s">
        <v>213</v>
      </c>
      <c r="G497" s="171" t="s">
        <v>214</v>
      </c>
      <c r="H497" s="176">
        <v>1</v>
      </c>
      <c r="I497" s="177">
        <v>1815</v>
      </c>
      <c r="J497" s="175">
        <v>46047</v>
      </c>
      <c r="K497" s="171" t="s">
        <v>113</v>
      </c>
      <c r="L497" s="171" t="s">
        <v>114</v>
      </c>
      <c r="M497" s="178">
        <v>0.43</v>
      </c>
      <c r="N497" s="176"/>
      <c r="O497" s="176">
        <v>52</v>
      </c>
      <c r="P497" s="179">
        <v>-153.21</v>
      </c>
    </row>
    <row r="498" spans="1:16" ht="19.5" customHeight="1">
      <c r="A498" s="171" t="s">
        <v>854</v>
      </c>
      <c r="B498" s="175">
        <v>46051</v>
      </c>
      <c r="C498" s="171" t="s">
        <v>127</v>
      </c>
      <c r="D498" s="171" t="s">
        <v>128</v>
      </c>
      <c r="E498" s="171" t="s">
        <v>44</v>
      </c>
      <c r="F498" s="171" t="s">
        <v>213</v>
      </c>
      <c r="G498" s="171" t="s">
        <v>214</v>
      </c>
      <c r="H498" s="176">
        <v>1</v>
      </c>
      <c r="I498" s="177">
        <v>1815</v>
      </c>
      <c r="J498" s="175">
        <v>46047</v>
      </c>
      <c r="K498" s="171" t="s">
        <v>113</v>
      </c>
      <c r="L498" s="171" t="s">
        <v>114</v>
      </c>
      <c r="M498" s="178">
        <v>0</v>
      </c>
      <c r="N498" s="176"/>
      <c r="O498" s="176"/>
      <c r="P498" s="179">
        <v>708.57</v>
      </c>
    </row>
    <row r="499" spans="1:16" ht="19.5" customHeight="1">
      <c r="A499" s="171" t="s">
        <v>854</v>
      </c>
      <c r="B499" s="175">
        <v>46051</v>
      </c>
      <c r="C499" s="171" t="s">
        <v>127</v>
      </c>
      <c r="D499" s="171" t="s">
        <v>129</v>
      </c>
      <c r="E499" s="171" t="s">
        <v>44</v>
      </c>
      <c r="F499" s="171" t="s">
        <v>213</v>
      </c>
      <c r="G499" s="171" t="s">
        <v>214</v>
      </c>
      <c r="H499" s="176">
        <v>1</v>
      </c>
      <c r="I499" s="177">
        <v>1815</v>
      </c>
      <c r="J499" s="175">
        <v>46047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7.09</v>
      </c>
    </row>
    <row r="500" spans="1:16" ht="19.5" customHeight="1">
      <c r="A500" s="171" t="s">
        <v>854</v>
      </c>
      <c r="B500" s="175">
        <v>46051</v>
      </c>
      <c r="C500" s="171" t="s">
        <v>127</v>
      </c>
      <c r="D500" s="171" t="s">
        <v>130</v>
      </c>
      <c r="E500" s="171" t="s">
        <v>44</v>
      </c>
      <c r="F500" s="171" t="s">
        <v>213</v>
      </c>
      <c r="G500" s="171" t="s">
        <v>214</v>
      </c>
      <c r="H500" s="176">
        <v>1</v>
      </c>
      <c r="I500" s="177">
        <v>1815</v>
      </c>
      <c r="J500" s="175">
        <v>46047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1099.3399999999999</v>
      </c>
    </row>
    <row r="501" spans="1:16" ht="19.5" customHeight="1">
      <c r="A501" s="171" t="s">
        <v>854</v>
      </c>
      <c r="B501" s="175">
        <v>46051</v>
      </c>
      <c r="C501" s="171" t="s">
        <v>131</v>
      </c>
      <c r="D501" s="171" t="s">
        <v>132</v>
      </c>
      <c r="E501" s="171" t="s">
        <v>44</v>
      </c>
      <c r="F501" s="171" t="s">
        <v>213</v>
      </c>
      <c r="G501" s="171" t="s">
        <v>214</v>
      </c>
      <c r="H501" s="176">
        <v>1</v>
      </c>
      <c r="I501" s="177">
        <v>1815</v>
      </c>
      <c r="J501" s="175">
        <v>46047</v>
      </c>
      <c r="K501" s="171" t="s">
        <v>113</v>
      </c>
      <c r="L501" s="171" t="s">
        <v>114</v>
      </c>
      <c r="M501" s="178">
        <v>0.43</v>
      </c>
      <c r="N501" s="176"/>
      <c r="O501" s="176"/>
      <c r="P501" s="179">
        <v>-780.45</v>
      </c>
    </row>
    <row r="502" spans="1:16" ht="19.5" customHeight="1">
      <c r="A502" s="171" t="s">
        <v>854</v>
      </c>
      <c r="B502" s="175">
        <v>46051</v>
      </c>
      <c r="C502" s="171" t="s">
        <v>115</v>
      </c>
      <c r="D502" s="171" t="s">
        <v>116</v>
      </c>
      <c r="E502" s="171" t="s">
        <v>44</v>
      </c>
      <c r="F502" s="171" t="s">
        <v>213</v>
      </c>
      <c r="G502" s="171" t="s">
        <v>214</v>
      </c>
      <c r="H502" s="176">
        <v>1</v>
      </c>
      <c r="I502" s="177">
        <v>1815</v>
      </c>
      <c r="J502" s="175">
        <v>46047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-23.95</v>
      </c>
    </row>
    <row r="503" spans="1:16" ht="19.5" customHeight="1">
      <c r="A503" s="171" t="s">
        <v>855</v>
      </c>
      <c r="B503" s="175">
        <v>46051</v>
      </c>
      <c r="C503" s="171" t="s">
        <v>115</v>
      </c>
      <c r="D503" s="171" t="s">
        <v>135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0</v>
      </c>
      <c r="J503" s="175">
        <v>46051</v>
      </c>
      <c r="K503" s="171" t="s">
        <v>125</v>
      </c>
      <c r="L503" s="171" t="s">
        <v>125</v>
      </c>
      <c r="M503" s="178">
        <v>0</v>
      </c>
      <c r="N503" s="176"/>
      <c r="O503" s="176"/>
      <c r="P503" s="179">
        <v>-14.21</v>
      </c>
    </row>
    <row r="504" spans="1:16" ht="19.5" customHeight="1">
      <c r="A504" s="171" t="s">
        <v>854</v>
      </c>
      <c r="B504" s="175">
        <v>46051</v>
      </c>
      <c r="C504" s="171" t="s">
        <v>115</v>
      </c>
      <c r="D504" s="171" t="s">
        <v>135</v>
      </c>
      <c r="E504" s="171" t="s">
        <v>44</v>
      </c>
      <c r="F504" s="171" t="s">
        <v>213</v>
      </c>
      <c r="G504" s="171" t="s">
        <v>214</v>
      </c>
      <c r="H504" s="176">
        <v>1</v>
      </c>
      <c r="I504" s="177">
        <v>0</v>
      </c>
      <c r="J504" s="175">
        <v>46047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-13.46</v>
      </c>
    </row>
    <row r="505" spans="1:16" ht="19.5" customHeight="1">
      <c r="A505" s="171" t="s">
        <v>856</v>
      </c>
      <c r="B505" s="175">
        <v>46051</v>
      </c>
      <c r="C505" s="171" t="s">
        <v>110</v>
      </c>
      <c r="D505" s="171" t="s">
        <v>24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46026</v>
      </c>
      <c r="K505" s="171" t="s">
        <v>113</v>
      </c>
      <c r="L505" s="171" t="s">
        <v>114</v>
      </c>
      <c r="M505" s="178">
        <v>0.43</v>
      </c>
      <c r="N505" s="176"/>
      <c r="O505" s="176">
        <v>37</v>
      </c>
      <c r="P505" s="179">
        <v>-99.56</v>
      </c>
    </row>
    <row r="506" spans="1:16" ht="19.5" customHeight="1">
      <c r="A506" s="171" t="s">
        <v>856</v>
      </c>
      <c r="B506" s="175">
        <v>46051</v>
      </c>
      <c r="C506" s="171" t="s">
        <v>127</v>
      </c>
      <c r="D506" s="171" t="s">
        <v>128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46026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594.29</v>
      </c>
    </row>
    <row r="507" spans="1:16" ht="19.5" customHeight="1">
      <c r="A507" s="171" t="s">
        <v>856</v>
      </c>
      <c r="B507" s="175">
        <v>46051</v>
      </c>
      <c r="C507" s="171" t="s">
        <v>127</v>
      </c>
      <c r="D507" s="171" t="s">
        <v>129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46026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5.94</v>
      </c>
    </row>
    <row r="508" spans="1:16" ht="19.5" customHeight="1">
      <c r="A508" s="171" t="s">
        <v>856</v>
      </c>
      <c r="B508" s="175">
        <v>46051</v>
      </c>
      <c r="C508" s="171" t="s">
        <v>127</v>
      </c>
      <c r="D508" s="171" t="s">
        <v>130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1704</v>
      </c>
      <c r="J508" s="175">
        <v>46026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1103.77</v>
      </c>
    </row>
    <row r="509" spans="1:16" ht="19.5" customHeight="1">
      <c r="A509" s="171" t="s">
        <v>856</v>
      </c>
      <c r="B509" s="175">
        <v>46051</v>
      </c>
      <c r="C509" s="171" t="s">
        <v>131</v>
      </c>
      <c r="D509" s="171" t="s">
        <v>132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1704</v>
      </c>
      <c r="J509" s="175">
        <v>46026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-732.72</v>
      </c>
    </row>
    <row r="510" spans="1:16" ht="19.5" customHeight="1">
      <c r="A510" s="171" t="s">
        <v>856</v>
      </c>
      <c r="B510" s="175">
        <v>46051</v>
      </c>
      <c r="C510" s="171" t="s">
        <v>115</v>
      </c>
      <c r="D510" s="171" t="s">
        <v>116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1704</v>
      </c>
      <c r="J510" s="175">
        <v>46026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-17.25</v>
      </c>
    </row>
    <row r="511" spans="1:16" ht="19.5" customHeight="1">
      <c r="A511" s="171" t="s">
        <v>857</v>
      </c>
      <c r="B511" s="175">
        <v>46051</v>
      </c>
      <c r="C511" s="171" t="s">
        <v>110</v>
      </c>
      <c r="D511" s="171" t="s">
        <v>24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1670</v>
      </c>
      <c r="J511" s="175">
        <v>46048</v>
      </c>
      <c r="K511" s="171" t="s">
        <v>113</v>
      </c>
      <c r="L511" s="171" t="s">
        <v>114</v>
      </c>
      <c r="M511" s="178">
        <v>0.43</v>
      </c>
      <c r="N511" s="176"/>
      <c r="O511" s="176">
        <v>51</v>
      </c>
      <c r="P511" s="179">
        <v>-147.08000000000001</v>
      </c>
    </row>
    <row r="512" spans="1:16" ht="19.5" customHeight="1">
      <c r="A512" s="171" t="s">
        <v>857</v>
      </c>
      <c r="B512" s="175">
        <v>46051</v>
      </c>
      <c r="C512" s="171" t="s">
        <v>127</v>
      </c>
      <c r="D512" s="171" t="s">
        <v>128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1670</v>
      </c>
      <c r="J512" s="175">
        <v>46048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785.78</v>
      </c>
    </row>
    <row r="513" spans="1:16" ht="19.5" customHeight="1">
      <c r="A513" s="171" t="s">
        <v>857</v>
      </c>
      <c r="B513" s="175">
        <v>46051</v>
      </c>
      <c r="C513" s="171" t="s">
        <v>127</v>
      </c>
      <c r="D513" s="171" t="s">
        <v>129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1670</v>
      </c>
      <c r="J513" s="175">
        <v>46048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7.86</v>
      </c>
    </row>
    <row r="514" spans="1:16" ht="19.5" customHeight="1">
      <c r="A514" s="171" t="s">
        <v>857</v>
      </c>
      <c r="B514" s="175">
        <v>46051</v>
      </c>
      <c r="C514" s="171" t="s">
        <v>127</v>
      </c>
      <c r="D514" s="171" t="s">
        <v>130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1670</v>
      </c>
      <c r="J514" s="175">
        <v>46048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876.36</v>
      </c>
    </row>
    <row r="515" spans="1:16" ht="19.5" customHeight="1">
      <c r="A515" s="171" t="s">
        <v>857</v>
      </c>
      <c r="B515" s="175">
        <v>46051</v>
      </c>
      <c r="C515" s="171" t="s">
        <v>131</v>
      </c>
      <c r="D515" s="171" t="s">
        <v>132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1670</v>
      </c>
      <c r="J515" s="175">
        <v>46048</v>
      </c>
      <c r="K515" s="171" t="s">
        <v>113</v>
      </c>
      <c r="L515" s="171" t="s">
        <v>114</v>
      </c>
      <c r="M515" s="178">
        <v>0.43</v>
      </c>
      <c r="N515" s="176"/>
      <c r="O515" s="176"/>
      <c r="P515" s="179">
        <v>-718.1</v>
      </c>
    </row>
    <row r="516" spans="1:16" ht="19.5" customHeight="1">
      <c r="A516" s="171" t="s">
        <v>857</v>
      </c>
      <c r="B516" s="175">
        <v>46051</v>
      </c>
      <c r="C516" s="171" t="s">
        <v>115</v>
      </c>
      <c r="D516" s="171" t="s">
        <v>116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1670</v>
      </c>
      <c r="J516" s="175">
        <v>46048</v>
      </c>
      <c r="K516" s="171" t="s">
        <v>113</v>
      </c>
      <c r="L516" s="171" t="s">
        <v>114</v>
      </c>
      <c r="M516" s="178">
        <v>0.43</v>
      </c>
      <c r="N516" s="176"/>
      <c r="O516" s="176"/>
      <c r="P516" s="179">
        <v>-15.68</v>
      </c>
    </row>
    <row r="517" spans="1:16" ht="19.5" customHeight="1">
      <c r="A517" s="171" t="s">
        <v>858</v>
      </c>
      <c r="B517" s="175">
        <v>46051</v>
      </c>
      <c r="C517" s="171" t="s">
        <v>115</v>
      </c>
      <c r="D517" s="171" t="s">
        <v>135</v>
      </c>
      <c r="E517" s="171" t="s">
        <v>77</v>
      </c>
      <c r="F517" s="171" t="s">
        <v>194</v>
      </c>
      <c r="G517" s="171" t="s">
        <v>177</v>
      </c>
      <c r="H517" s="176">
        <v>1</v>
      </c>
      <c r="I517" s="177">
        <v>0</v>
      </c>
      <c r="J517" s="175">
        <v>46051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-27.38</v>
      </c>
    </row>
    <row r="518" spans="1:16" ht="19.5" customHeight="1">
      <c r="A518" s="171" t="s">
        <v>859</v>
      </c>
      <c r="B518" s="175">
        <v>46051</v>
      </c>
      <c r="C518" s="171" t="s">
        <v>110</v>
      </c>
      <c r="D518" s="171" t="s">
        <v>24</v>
      </c>
      <c r="E518" s="171" t="s">
        <v>45</v>
      </c>
      <c r="F518" s="171" t="s">
        <v>162</v>
      </c>
      <c r="G518" s="171" t="s">
        <v>163</v>
      </c>
      <c r="H518" s="176">
        <v>1</v>
      </c>
      <c r="I518" s="177">
        <v>0</v>
      </c>
      <c r="J518" s="175">
        <v>46048</v>
      </c>
      <c r="K518" s="171" t="s">
        <v>113</v>
      </c>
      <c r="L518" s="171" t="s">
        <v>114</v>
      </c>
      <c r="M518" s="178">
        <v>0</v>
      </c>
      <c r="N518" s="176"/>
      <c r="O518" s="176">
        <v>51</v>
      </c>
      <c r="P518" s="179">
        <v>-46.77</v>
      </c>
    </row>
    <row r="519" spans="1:16" ht="19.5" customHeight="1">
      <c r="A519" s="171" t="s">
        <v>859</v>
      </c>
      <c r="B519" s="175">
        <v>46051</v>
      </c>
      <c r="C519" s="171" t="s">
        <v>115</v>
      </c>
      <c r="D519" s="171" t="s">
        <v>116</v>
      </c>
      <c r="E519" s="171" t="s">
        <v>45</v>
      </c>
      <c r="F519" s="171" t="s">
        <v>162</v>
      </c>
      <c r="G519" s="171" t="s">
        <v>163</v>
      </c>
      <c r="H519" s="176">
        <v>1</v>
      </c>
      <c r="I519" s="177">
        <v>0</v>
      </c>
      <c r="J519" s="175">
        <v>46048</v>
      </c>
      <c r="K519" s="171" t="s">
        <v>113</v>
      </c>
      <c r="L519" s="171" t="s">
        <v>114</v>
      </c>
      <c r="M519" s="178">
        <v>0</v>
      </c>
      <c r="N519" s="176"/>
      <c r="O519" s="176"/>
      <c r="P519" s="179">
        <v>-8.18</v>
      </c>
    </row>
    <row r="520" spans="1:16" ht="19.5" customHeight="1">
      <c r="A520" s="171" t="s">
        <v>859</v>
      </c>
      <c r="B520" s="175">
        <v>46051</v>
      </c>
      <c r="C520" s="171" t="s">
        <v>110</v>
      </c>
      <c r="D520" s="171" t="s">
        <v>117</v>
      </c>
      <c r="E520" s="171" t="s">
        <v>45</v>
      </c>
      <c r="F520" s="171" t="s">
        <v>162</v>
      </c>
      <c r="G520" s="171" t="s">
        <v>163</v>
      </c>
      <c r="H520" s="176">
        <v>1</v>
      </c>
      <c r="I520" s="177">
        <v>0</v>
      </c>
      <c r="J520" s="175">
        <v>46048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0</v>
      </c>
    </row>
    <row r="521" spans="1:16" ht="19.5" customHeight="1">
      <c r="A521" s="171" t="s">
        <v>859</v>
      </c>
      <c r="B521" s="175">
        <v>46051</v>
      </c>
      <c r="C521" s="171" t="s">
        <v>110</v>
      </c>
      <c r="D521" s="171" t="s">
        <v>118</v>
      </c>
      <c r="E521" s="171" t="s">
        <v>45</v>
      </c>
      <c r="F521" s="171" t="s">
        <v>162</v>
      </c>
      <c r="G521" s="171" t="s">
        <v>163</v>
      </c>
      <c r="H521" s="176">
        <v>1</v>
      </c>
      <c r="I521" s="177">
        <v>0</v>
      </c>
      <c r="J521" s="175">
        <v>46048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-46.77</v>
      </c>
    </row>
    <row r="522" spans="1:16" ht="19.5" customHeight="1">
      <c r="A522" s="171" t="s">
        <v>859</v>
      </c>
      <c r="B522" s="175">
        <v>46051</v>
      </c>
      <c r="C522" s="171" t="s">
        <v>115</v>
      </c>
      <c r="D522" s="171" t="s">
        <v>119</v>
      </c>
      <c r="E522" s="171" t="s">
        <v>45</v>
      </c>
      <c r="F522" s="171" t="s">
        <v>162</v>
      </c>
      <c r="G522" s="171" t="s">
        <v>163</v>
      </c>
      <c r="H522" s="176">
        <v>1</v>
      </c>
      <c r="I522" s="177">
        <v>0</v>
      </c>
      <c r="J522" s="175">
        <v>46048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-15</v>
      </c>
    </row>
    <row r="523" spans="1:16" ht="19.5" customHeight="1">
      <c r="A523" s="171" t="s">
        <v>860</v>
      </c>
      <c r="B523" s="175">
        <v>46051</v>
      </c>
      <c r="C523" s="171" t="s">
        <v>110</v>
      </c>
      <c r="D523" s="171" t="s">
        <v>24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46043</v>
      </c>
      <c r="K523" s="171" t="s">
        <v>113</v>
      </c>
      <c r="L523" s="171" t="s">
        <v>114</v>
      </c>
      <c r="M523" s="178">
        <v>0.43</v>
      </c>
      <c r="N523" s="176"/>
      <c r="O523" s="176">
        <v>52</v>
      </c>
      <c r="P523" s="179">
        <v>-147.6</v>
      </c>
    </row>
    <row r="524" spans="1:16" ht="19.5" customHeight="1">
      <c r="A524" s="171" t="s">
        <v>860</v>
      </c>
      <c r="B524" s="175">
        <v>46051</v>
      </c>
      <c r="C524" s="171" t="s">
        <v>127</v>
      </c>
      <c r="D524" s="171" t="s">
        <v>128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46043</v>
      </c>
      <c r="K524" s="171" t="s">
        <v>113</v>
      </c>
      <c r="L524" s="171" t="s">
        <v>114</v>
      </c>
      <c r="M524" s="178">
        <v>0</v>
      </c>
      <c r="N524" s="176"/>
      <c r="O524" s="176"/>
      <c r="P524" s="179">
        <v>578.1</v>
      </c>
    </row>
    <row r="525" spans="1:16" ht="19.5" customHeight="1">
      <c r="A525" s="171" t="s">
        <v>860</v>
      </c>
      <c r="B525" s="175">
        <v>46051</v>
      </c>
      <c r="C525" s="171" t="s">
        <v>127</v>
      </c>
      <c r="D525" s="171" t="s">
        <v>129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1670</v>
      </c>
      <c r="J525" s="175">
        <v>46043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5.78</v>
      </c>
    </row>
    <row r="526" spans="1:16" ht="19.5" customHeight="1">
      <c r="A526" s="171" t="s">
        <v>860</v>
      </c>
      <c r="B526" s="175">
        <v>46051</v>
      </c>
      <c r="C526" s="171" t="s">
        <v>127</v>
      </c>
      <c r="D526" s="171" t="s">
        <v>130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1670</v>
      </c>
      <c r="J526" s="175">
        <v>46043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1086.1199999999999</v>
      </c>
    </row>
    <row r="527" spans="1:16" ht="19.5" customHeight="1">
      <c r="A527" s="171" t="s">
        <v>860</v>
      </c>
      <c r="B527" s="175">
        <v>46051</v>
      </c>
      <c r="C527" s="171" t="s">
        <v>131</v>
      </c>
      <c r="D527" s="171" t="s">
        <v>132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1670</v>
      </c>
      <c r="J527" s="175">
        <v>46043</v>
      </c>
      <c r="K527" s="171" t="s">
        <v>113</v>
      </c>
      <c r="L527" s="171" t="s">
        <v>114</v>
      </c>
      <c r="M527" s="178">
        <v>0.43</v>
      </c>
      <c r="N527" s="176"/>
      <c r="O527" s="176"/>
      <c r="P527" s="179">
        <v>-718.1</v>
      </c>
    </row>
    <row r="528" spans="1:16" ht="19.5" customHeight="1">
      <c r="A528" s="171" t="s">
        <v>861</v>
      </c>
      <c r="B528" s="175">
        <v>46051</v>
      </c>
      <c r="C528" s="171" t="s">
        <v>110</v>
      </c>
      <c r="D528" s="171" t="s">
        <v>24</v>
      </c>
      <c r="E528" s="171" t="s">
        <v>42</v>
      </c>
      <c r="F528" s="171" t="s">
        <v>248</v>
      </c>
      <c r="G528" s="171" t="s">
        <v>112</v>
      </c>
      <c r="H528" s="176">
        <v>1</v>
      </c>
      <c r="I528" s="177">
        <v>1680</v>
      </c>
      <c r="J528" s="175">
        <v>46039</v>
      </c>
      <c r="K528" s="171" t="s">
        <v>113</v>
      </c>
      <c r="L528" s="171" t="s">
        <v>114</v>
      </c>
      <c r="M528" s="178">
        <v>0.43</v>
      </c>
      <c r="N528" s="176"/>
      <c r="O528" s="176">
        <v>51</v>
      </c>
      <c r="P528" s="179">
        <v>-147.46</v>
      </c>
    </row>
    <row r="529" spans="1:16" ht="19.5" customHeight="1">
      <c r="A529" s="171" t="s">
        <v>861</v>
      </c>
      <c r="B529" s="175">
        <v>46051</v>
      </c>
      <c r="C529" s="171" t="s">
        <v>127</v>
      </c>
      <c r="D529" s="171" t="s">
        <v>128</v>
      </c>
      <c r="E529" s="171" t="s">
        <v>42</v>
      </c>
      <c r="F529" s="171" t="s">
        <v>248</v>
      </c>
      <c r="G529" s="171" t="s">
        <v>112</v>
      </c>
      <c r="H529" s="176">
        <v>1</v>
      </c>
      <c r="I529" s="177">
        <v>1680</v>
      </c>
      <c r="J529" s="175">
        <v>46039</v>
      </c>
      <c r="K529" s="171" t="s">
        <v>113</v>
      </c>
      <c r="L529" s="171" t="s">
        <v>114</v>
      </c>
      <c r="M529" s="178">
        <v>0</v>
      </c>
      <c r="N529" s="176"/>
      <c r="O529" s="176"/>
      <c r="P529" s="179">
        <v>905.71</v>
      </c>
    </row>
    <row r="530" spans="1:16" ht="19.5" customHeight="1">
      <c r="A530" s="171" t="s">
        <v>861</v>
      </c>
      <c r="B530" s="175">
        <v>46051</v>
      </c>
      <c r="C530" s="171" t="s">
        <v>127</v>
      </c>
      <c r="D530" s="171" t="s">
        <v>129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46039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9.06</v>
      </c>
    </row>
    <row r="531" spans="1:16" ht="19.5" customHeight="1">
      <c r="A531" s="171" t="s">
        <v>861</v>
      </c>
      <c r="B531" s="175">
        <v>46051</v>
      </c>
      <c r="C531" s="171" t="s">
        <v>127</v>
      </c>
      <c r="D531" s="171" t="s">
        <v>130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46039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765.23</v>
      </c>
    </row>
    <row r="532" spans="1:16" ht="19.5" customHeight="1">
      <c r="A532" s="171" t="s">
        <v>861</v>
      </c>
      <c r="B532" s="175">
        <v>46051</v>
      </c>
      <c r="C532" s="171" t="s">
        <v>131</v>
      </c>
      <c r="D532" s="171" t="s">
        <v>132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46039</v>
      </c>
      <c r="K532" s="171" t="s">
        <v>113</v>
      </c>
      <c r="L532" s="171" t="s">
        <v>114</v>
      </c>
      <c r="M532" s="178">
        <v>0.43</v>
      </c>
      <c r="N532" s="176"/>
      <c r="O532" s="176"/>
      <c r="P532" s="179">
        <v>-722.4</v>
      </c>
    </row>
    <row r="533" spans="1:16" ht="19.5" customHeight="1">
      <c r="A533" s="171" t="s">
        <v>861</v>
      </c>
      <c r="B533" s="175">
        <v>46051</v>
      </c>
      <c r="C533" s="171" t="s">
        <v>115</v>
      </c>
      <c r="D533" s="171" t="s">
        <v>116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46039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-11.57</v>
      </c>
    </row>
    <row r="534" spans="1:16" ht="19.5" customHeight="1">
      <c r="A534" s="171" t="s">
        <v>862</v>
      </c>
      <c r="B534" s="175">
        <v>46051</v>
      </c>
      <c r="C534" s="171" t="s">
        <v>110</v>
      </c>
      <c r="D534" s="171" t="s">
        <v>24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1800</v>
      </c>
      <c r="J534" s="175">
        <v>46050</v>
      </c>
      <c r="K534" s="171" t="s">
        <v>113</v>
      </c>
      <c r="L534" s="171" t="s">
        <v>114</v>
      </c>
      <c r="M534" s="178">
        <v>0.43</v>
      </c>
      <c r="N534" s="176"/>
      <c r="O534" s="176">
        <v>50</v>
      </c>
      <c r="P534" s="179">
        <v>-150.72</v>
      </c>
    </row>
    <row r="535" spans="1:16" ht="19.5" customHeight="1">
      <c r="A535" s="171" t="s">
        <v>862</v>
      </c>
      <c r="B535" s="175">
        <v>46051</v>
      </c>
      <c r="C535" s="171" t="s">
        <v>127</v>
      </c>
      <c r="D535" s="171" t="s">
        <v>128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1800</v>
      </c>
      <c r="J535" s="175">
        <v>46050</v>
      </c>
      <c r="K535" s="171" t="s">
        <v>113</v>
      </c>
      <c r="L535" s="171" t="s">
        <v>114</v>
      </c>
      <c r="M535" s="178">
        <v>0</v>
      </c>
      <c r="N535" s="176"/>
      <c r="O535" s="176"/>
      <c r="P535" s="179">
        <v>724.33</v>
      </c>
    </row>
    <row r="536" spans="1:16" ht="19.5" customHeight="1">
      <c r="A536" s="171" t="s">
        <v>862</v>
      </c>
      <c r="B536" s="175">
        <v>46051</v>
      </c>
      <c r="C536" s="171" t="s">
        <v>127</v>
      </c>
      <c r="D536" s="171" t="s">
        <v>129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1800</v>
      </c>
      <c r="J536" s="175">
        <v>46050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7.24</v>
      </c>
    </row>
    <row r="537" spans="1:16" ht="19.5" customHeight="1">
      <c r="A537" s="171" t="s">
        <v>862</v>
      </c>
      <c r="B537" s="175">
        <v>46051</v>
      </c>
      <c r="C537" s="171" t="s">
        <v>127</v>
      </c>
      <c r="D537" s="171" t="s">
        <v>130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1800</v>
      </c>
      <c r="J537" s="175">
        <v>46050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1068.43</v>
      </c>
    </row>
    <row r="538" spans="1:16" ht="19.5" customHeight="1">
      <c r="A538" s="171" t="s">
        <v>862</v>
      </c>
      <c r="B538" s="175">
        <v>46051</v>
      </c>
      <c r="C538" s="171" t="s">
        <v>131</v>
      </c>
      <c r="D538" s="171" t="s">
        <v>132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1800</v>
      </c>
      <c r="J538" s="175">
        <v>46050</v>
      </c>
      <c r="K538" s="171" t="s">
        <v>113</v>
      </c>
      <c r="L538" s="171" t="s">
        <v>114</v>
      </c>
      <c r="M538" s="178">
        <v>0.43</v>
      </c>
      <c r="N538" s="176"/>
      <c r="O538" s="176"/>
      <c r="P538" s="179">
        <v>-774</v>
      </c>
    </row>
    <row r="539" spans="1:16" ht="19.5" customHeight="1">
      <c r="A539" s="171" t="s">
        <v>862</v>
      </c>
      <c r="B539" s="175">
        <v>46051</v>
      </c>
      <c r="C539" s="171" t="s">
        <v>115</v>
      </c>
      <c r="D539" s="171" t="s">
        <v>116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1800</v>
      </c>
      <c r="J539" s="175">
        <v>46050</v>
      </c>
      <c r="K539" s="171" t="s">
        <v>113</v>
      </c>
      <c r="L539" s="171" t="s">
        <v>114</v>
      </c>
      <c r="M539" s="178">
        <v>0.43</v>
      </c>
      <c r="N539" s="176"/>
      <c r="O539" s="176"/>
      <c r="P539" s="179">
        <v>-8.01</v>
      </c>
    </row>
    <row r="540" spans="1:16" ht="19.5" customHeight="1">
      <c r="A540" s="171" t="s">
        <v>862</v>
      </c>
      <c r="B540" s="175">
        <v>46051</v>
      </c>
      <c r="C540" s="171" t="s">
        <v>115</v>
      </c>
      <c r="D540" s="171" t="s">
        <v>135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0</v>
      </c>
      <c r="J540" s="175">
        <v>46050</v>
      </c>
      <c r="K540" s="171" t="s">
        <v>125</v>
      </c>
      <c r="L540" s="171" t="s">
        <v>125</v>
      </c>
      <c r="M540" s="178">
        <v>0</v>
      </c>
      <c r="N540" s="176"/>
      <c r="O540" s="176"/>
      <c r="P540" s="179">
        <v>-13.76</v>
      </c>
    </row>
    <row r="541" spans="1:16" ht="19.5" customHeight="1">
      <c r="A541" s="171" t="s">
        <v>863</v>
      </c>
      <c r="B541" s="175">
        <v>46051</v>
      </c>
      <c r="C541" s="171" t="s">
        <v>110</v>
      </c>
      <c r="D541" s="171" t="s">
        <v>24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46048</v>
      </c>
      <c r="K541" s="171" t="s">
        <v>113</v>
      </c>
      <c r="L541" s="171" t="s">
        <v>114</v>
      </c>
      <c r="M541" s="178">
        <v>0.43</v>
      </c>
      <c r="N541" s="176"/>
      <c r="O541" s="176">
        <v>51</v>
      </c>
      <c r="P541" s="179">
        <v>-142.03</v>
      </c>
    </row>
    <row r="542" spans="1:16" ht="19.5" customHeight="1">
      <c r="A542" s="171" t="s">
        <v>863</v>
      </c>
      <c r="B542" s="175">
        <v>46051</v>
      </c>
      <c r="C542" s="171" t="s">
        <v>127</v>
      </c>
      <c r="D542" s="171" t="s">
        <v>128</v>
      </c>
      <c r="E542" s="171" t="s">
        <v>43</v>
      </c>
      <c r="F542" s="171" t="s">
        <v>481</v>
      </c>
      <c r="G542" s="171" t="s">
        <v>214</v>
      </c>
      <c r="H542" s="176">
        <v>1</v>
      </c>
      <c r="I542" s="177">
        <v>1539</v>
      </c>
      <c r="J542" s="175">
        <v>46048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917.22</v>
      </c>
    </row>
    <row r="543" spans="1:16" ht="19.5" customHeight="1">
      <c r="A543" s="171" t="s">
        <v>863</v>
      </c>
      <c r="B543" s="175">
        <v>46051</v>
      </c>
      <c r="C543" s="171" t="s">
        <v>127</v>
      </c>
      <c r="D543" s="171" t="s">
        <v>129</v>
      </c>
      <c r="E543" s="171" t="s">
        <v>43</v>
      </c>
      <c r="F543" s="171" t="s">
        <v>481</v>
      </c>
      <c r="G543" s="171" t="s">
        <v>214</v>
      </c>
      <c r="H543" s="176">
        <v>1</v>
      </c>
      <c r="I543" s="177">
        <v>1539</v>
      </c>
      <c r="J543" s="175">
        <v>46048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9.17</v>
      </c>
    </row>
    <row r="544" spans="1:16" ht="19.5" customHeight="1">
      <c r="A544" s="171" t="s">
        <v>863</v>
      </c>
      <c r="B544" s="175">
        <v>46051</v>
      </c>
      <c r="C544" s="171" t="s">
        <v>127</v>
      </c>
      <c r="D544" s="171" t="s">
        <v>130</v>
      </c>
      <c r="E544" s="171" t="s">
        <v>43</v>
      </c>
      <c r="F544" s="171" t="s">
        <v>481</v>
      </c>
      <c r="G544" s="171" t="s">
        <v>214</v>
      </c>
      <c r="H544" s="176">
        <v>1</v>
      </c>
      <c r="I544" s="177">
        <v>1539</v>
      </c>
      <c r="J544" s="175">
        <v>46048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612.61</v>
      </c>
    </row>
    <row r="545" spans="1:16" ht="19.5" customHeight="1">
      <c r="A545" s="171" t="s">
        <v>863</v>
      </c>
      <c r="B545" s="175">
        <v>46051</v>
      </c>
      <c r="C545" s="171" t="s">
        <v>131</v>
      </c>
      <c r="D545" s="171" t="s">
        <v>132</v>
      </c>
      <c r="E545" s="171" t="s">
        <v>43</v>
      </c>
      <c r="F545" s="171" t="s">
        <v>481</v>
      </c>
      <c r="G545" s="171" t="s">
        <v>214</v>
      </c>
      <c r="H545" s="176">
        <v>1</v>
      </c>
      <c r="I545" s="177">
        <v>1539</v>
      </c>
      <c r="J545" s="175">
        <v>46048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-661.77</v>
      </c>
    </row>
    <row r="546" spans="1:16" ht="19.5" customHeight="1">
      <c r="A546" s="171" t="s">
        <v>863</v>
      </c>
      <c r="B546" s="175">
        <v>46051</v>
      </c>
      <c r="C546" s="171" t="s">
        <v>115</v>
      </c>
      <c r="D546" s="171" t="s">
        <v>116</v>
      </c>
      <c r="E546" s="171" t="s">
        <v>43</v>
      </c>
      <c r="F546" s="171" t="s">
        <v>481</v>
      </c>
      <c r="G546" s="171" t="s">
        <v>214</v>
      </c>
      <c r="H546" s="176">
        <v>1</v>
      </c>
      <c r="I546" s="177">
        <v>1539</v>
      </c>
      <c r="J546" s="175">
        <v>46048</v>
      </c>
      <c r="K546" s="171" t="s">
        <v>113</v>
      </c>
      <c r="L546" s="171" t="s">
        <v>114</v>
      </c>
      <c r="M546" s="178">
        <v>0.43</v>
      </c>
      <c r="N546" s="176"/>
      <c r="O546" s="176"/>
      <c r="P546" s="179">
        <v>-8.19</v>
      </c>
    </row>
    <row r="547" spans="1:16" ht="19.5" customHeight="1">
      <c r="A547" s="171" t="s">
        <v>864</v>
      </c>
      <c r="B547" s="175">
        <v>46051</v>
      </c>
      <c r="C547" s="171" t="s">
        <v>110</v>
      </c>
      <c r="D547" s="171" t="s">
        <v>24</v>
      </c>
      <c r="E547" s="171" t="s">
        <v>44</v>
      </c>
      <c r="F547" s="171" t="s">
        <v>213</v>
      </c>
      <c r="G547" s="171" t="s">
        <v>214</v>
      </c>
      <c r="H547" s="176">
        <v>1</v>
      </c>
      <c r="I547" s="177">
        <v>1778</v>
      </c>
      <c r="J547" s="175">
        <v>46048</v>
      </c>
      <c r="K547" s="171" t="s">
        <v>113</v>
      </c>
      <c r="L547" s="171" t="s">
        <v>114</v>
      </c>
      <c r="M547" s="178">
        <v>0.43</v>
      </c>
      <c r="N547" s="176"/>
      <c r="O547" s="176">
        <v>51</v>
      </c>
      <c r="P547" s="179">
        <v>-151.22999999999999</v>
      </c>
    </row>
    <row r="548" spans="1:16" ht="19.5" customHeight="1">
      <c r="A548" s="171" t="s">
        <v>864</v>
      </c>
      <c r="B548" s="175">
        <v>46051</v>
      </c>
      <c r="C548" s="171" t="s">
        <v>127</v>
      </c>
      <c r="D548" s="171" t="s">
        <v>128</v>
      </c>
      <c r="E548" s="171" t="s">
        <v>44</v>
      </c>
      <c r="F548" s="171" t="s">
        <v>213</v>
      </c>
      <c r="G548" s="171" t="s">
        <v>214</v>
      </c>
      <c r="H548" s="176">
        <v>1</v>
      </c>
      <c r="I548" s="177">
        <v>1778</v>
      </c>
      <c r="J548" s="175">
        <v>46048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694.29</v>
      </c>
    </row>
    <row r="549" spans="1:16" ht="19.5" customHeight="1">
      <c r="A549" s="171" t="s">
        <v>864</v>
      </c>
      <c r="B549" s="175">
        <v>46051</v>
      </c>
      <c r="C549" s="171" t="s">
        <v>127</v>
      </c>
      <c r="D549" s="171" t="s">
        <v>129</v>
      </c>
      <c r="E549" s="171" t="s">
        <v>44</v>
      </c>
      <c r="F549" s="171" t="s">
        <v>213</v>
      </c>
      <c r="G549" s="171" t="s">
        <v>214</v>
      </c>
      <c r="H549" s="176">
        <v>1</v>
      </c>
      <c r="I549" s="177">
        <v>1778</v>
      </c>
      <c r="J549" s="175">
        <v>46048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6.94</v>
      </c>
    </row>
    <row r="550" spans="1:16" ht="19.5" customHeight="1">
      <c r="A550" s="171" t="s">
        <v>864</v>
      </c>
      <c r="B550" s="175">
        <v>46051</v>
      </c>
      <c r="C550" s="171" t="s">
        <v>127</v>
      </c>
      <c r="D550" s="171" t="s">
        <v>130</v>
      </c>
      <c r="E550" s="171" t="s">
        <v>44</v>
      </c>
      <c r="F550" s="171" t="s">
        <v>213</v>
      </c>
      <c r="G550" s="171" t="s">
        <v>214</v>
      </c>
      <c r="H550" s="176">
        <v>1</v>
      </c>
      <c r="I550" s="177">
        <v>1778</v>
      </c>
      <c r="J550" s="175">
        <v>46048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1076.77</v>
      </c>
    </row>
    <row r="551" spans="1:16" ht="19.5" customHeight="1">
      <c r="A551" s="171" t="s">
        <v>864</v>
      </c>
      <c r="B551" s="175">
        <v>46051</v>
      </c>
      <c r="C551" s="171" t="s">
        <v>131</v>
      </c>
      <c r="D551" s="171" t="s">
        <v>132</v>
      </c>
      <c r="E551" s="171" t="s">
        <v>44</v>
      </c>
      <c r="F551" s="171" t="s">
        <v>213</v>
      </c>
      <c r="G551" s="171" t="s">
        <v>214</v>
      </c>
      <c r="H551" s="176">
        <v>1</v>
      </c>
      <c r="I551" s="177">
        <v>1778</v>
      </c>
      <c r="J551" s="175">
        <v>46048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-764.54</v>
      </c>
    </row>
    <row r="552" spans="1:16" ht="19.5" customHeight="1">
      <c r="A552" s="171" t="s">
        <v>864</v>
      </c>
      <c r="B552" s="175">
        <v>46051</v>
      </c>
      <c r="C552" s="171" t="s">
        <v>115</v>
      </c>
      <c r="D552" s="171" t="s">
        <v>116</v>
      </c>
      <c r="E552" s="171" t="s">
        <v>44</v>
      </c>
      <c r="F552" s="171" t="s">
        <v>213</v>
      </c>
      <c r="G552" s="171" t="s">
        <v>214</v>
      </c>
      <c r="H552" s="176">
        <v>1</v>
      </c>
      <c r="I552" s="177">
        <v>1778</v>
      </c>
      <c r="J552" s="175">
        <v>46048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-9.31</v>
      </c>
    </row>
    <row r="553" spans="1:16" ht="19.5" customHeight="1">
      <c r="A553" s="171" t="s">
        <v>865</v>
      </c>
      <c r="B553" s="175">
        <v>46051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0</v>
      </c>
      <c r="J553" s="175">
        <v>46046</v>
      </c>
      <c r="K553" s="171" t="s">
        <v>113</v>
      </c>
      <c r="L553" s="171" t="s">
        <v>114</v>
      </c>
      <c r="M553" s="178">
        <v>0</v>
      </c>
      <c r="N553" s="176"/>
      <c r="O553" s="176">
        <v>50</v>
      </c>
      <c r="P553" s="179">
        <v>-46.77</v>
      </c>
    </row>
    <row r="554" spans="1:16" ht="19.5" customHeight="1">
      <c r="A554" s="171" t="s">
        <v>865</v>
      </c>
      <c r="B554" s="175">
        <v>46051</v>
      </c>
      <c r="C554" s="171" t="s">
        <v>115</v>
      </c>
      <c r="D554" s="171" t="s">
        <v>116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0</v>
      </c>
      <c r="J554" s="175">
        <v>46046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-19.46</v>
      </c>
    </row>
    <row r="555" spans="1:16" ht="19.5" customHeight="1">
      <c r="A555" s="171" t="s">
        <v>865</v>
      </c>
      <c r="B555" s="175">
        <v>46051</v>
      </c>
      <c r="C555" s="171" t="s">
        <v>110</v>
      </c>
      <c r="D555" s="171" t="s">
        <v>117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0</v>
      </c>
      <c r="J555" s="175">
        <v>46046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0</v>
      </c>
    </row>
    <row r="556" spans="1:16" ht="19.5" customHeight="1">
      <c r="A556" s="171" t="s">
        <v>865</v>
      </c>
      <c r="B556" s="175">
        <v>46051</v>
      </c>
      <c r="C556" s="171" t="s">
        <v>110</v>
      </c>
      <c r="D556" s="171" t="s">
        <v>118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0</v>
      </c>
      <c r="J556" s="175">
        <v>46046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-46.77</v>
      </c>
    </row>
    <row r="557" spans="1:16" ht="19.5" customHeight="1">
      <c r="A557" s="171" t="s">
        <v>865</v>
      </c>
      <c r="B557" s="175">
        <v>46051</v>
      </c>
      <c r="C557" s="171" t="s">
        <v>115</v>
      </c>
      <c r="D557" s="171" t="s">
        <v>119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0</v>
      </c>
      <c r="J557" s="175">
        <v>46046</v>
      </c>
      <c r="K557" s="171" t="s">
        <v>113</v>
      </c>
      <c r="L557" s="171" t="s">
        <v>114</v>
      </c>
      <c r="M557" s="178">
        <v>0</v>
      </c>
      <c r="N557" s="176"/>
      <c r="O557" s="176"/>
      <c r="P557" s="179">
        <v>-15</v>
      </c>
    </row>
    <row r="558" spans="1:16" ht="19.5" customHeight="1">
      <c r="A558" s="171" t="s">
        <v>826</v>
      </c>
      <c r="B558" s="175">
        <v>46051</v>
      </c>
      <c r="C558" s="171" t="s">
        <v>123</v>
      </c>
      <c r="D558" s="171" t="s">
        <v>124</v>
      </c>
      <c r="E558" s="171" t="s">
        <v>125</v>
      </c>
      <c r="F558" s="171" t="s">
        <v>125</v>
      </c>
      <c r="G558" s="171" t="s">
        <v>125</v>
      </c>
      <c r="H558" s="176">
        <v>0</v>
      </c>
      <c r="I558" s="177">
        <v>0</v>
      </c>
      <c r="J558" s="175">
        <v>46051</v>
      </c>
      <c r="K558" s="171" t="s">
        <v>125</v>
      </c>
      <c r="L558" s="171" t="s">
        <v>125</v>
      </c>
      <c r="M558" s="178">
        <v>0</v>
      </c>
      <c r="N558" s="176"/>
      <c r="O558" s="176"/>
      <c r="P558" s="179">
        <v>-800</v>
      </c>
    </row>
    <row r="559" spans="1:16" ht="19.5" customHeight="1">
      <c r="A559" s="171" t="s">
        <v>785</v>
      </c>
      <c r="B559" s="175">
        <v>46051</v>
      </c>
      <c r="C559" s="171" t="s">
        <v>123</v>
      </c>
      <c r="D559" s="171" t="s">
        <v>124</v>
      </c>
      <c r="E559" s="171" t="s">
        <v>125</v>
      </c>
      <c r="F559" s="171" t="s">
        <v>125</v>
      </c>
      <c r="G559" s="171" t="s">
        <v>125</v>
      </c>
      <c r="H559" s="176">
        <v>0</v>
      </c>
      <c r="I559" s="177">
        <v>0</v>
      </c>
      <c r="J559" s="175">
        <v>46051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-800</v>
      </c>
    </row>
    <row r="560" spans="1:16" ht="19.5" customHeight="1">
      <c r="A560" s="171" t="s">
        <v>866</v>
      </c>
      <c r="B560" s="175">
        <v>46051</v>
      </c>
      <c r="C560" s="171" t="s">
        <v>110</v>
      </c>
      <c r="D560" s="171" t="s">
        <v>24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1670</v>
      </c>
      <c r="J560" s="175">
        <v>46048</v>
      </c>
      <c r="K560" s="171" t="s">
        <v>113</v>
      </c>
      <c r="L560" s="171" t="s">
        <v>114</v>
      </c>
      <c r="M560" s="178">
        <v>0.43</v>
      </c>
      <c r="N560" s="176"/>
      <c r="O560" s="176">
        <v>51</v>
      </c>
      <c r="P560" s="179">
        <v>-147.08000000000001</v>
      </c>
    </row>
    <row r="561" spans="1:16" ht="19.5" customHeight="1">
      <c r="A561" s="171" t="s">
        <v>866</v>
      </c>
      <c r="B561" s="175">
        <v>46051</v>
      </c>
      <c r="C561" s="171" t="s">
        <v>127</v>
      </c>
      <c r="D561" s="171" t="s">
        <v>128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1670</v>
      </c>
      <c r="J561" s="175">
        <v>46048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753.33</v>
      </c>
    </row>
    <row r="562" spans="1:16" ht="19.5" customHeight="1">
      <c r="A562" s="171" t="s">
        <v>866</v>
      </c>
      <c r="B562" s="175">
        <v>46051</v>
      </c>
      <c r="C562" s="171" t="s">
        <v>127</v>
      </c>
      <c r="D562" s="171" t="s">
        <v>129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1670</v>
      </c>
      <c r="J562" s="175">
        <v>46048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7.53</v>
      </c>
    </row>
    <row r="563" spans="1:16" ht="19.5" customHeight="1">
      <c r="A563" s="171" t="s">
        <v>866</v>
      </c>
      <c r="B563" s="175">
        <v>46051</v>
      </c>
      <c r="C563" s="171" t="s">
        <v>127</v>
      </c>
      <c r="D563" s="171" t="s">
        <v>130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1670</v>
      </c>
      <c r="J563" s="175">
        <v>46048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909.14</v>
      </c>
    </row>
    <row r="564" spans="1:16" ht="19.5" customHeight="1">
      <c r="A564" s="171" t="s">
        <v>866</v>
      </c>
      <c r="B564" s="175">
        <v>46051</v>
      </c>
      <c r="C564" s="171" t="s">
        <v>131</v>
      </c>
      <c r="D564" s="171" t="s">
        <v>132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1670</v>
      </c>
      <c r="J564" s="175">
        <v>46048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-718.1</v>
      </c>
    </row>
    <row r="565" spans="1:16" ht="19.5" customHeight="1">
      <c r="A565" s="171" t="s">
        <v>866</v>
      </c>
      <c r="B565" s="175">
        <v>46051</v>
      </c>
      <c r="C565" s="171" t="s">
        <v>115</v>
      </c>
      <c r="D565" s="171" t="s">
        <v>116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1670</v>
      </c>
      <c r="J565" s="175">
        <v>46048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-11.15</v>
      </c>
    </row>
    <row r="566" spans="1:16" ht="19.5" customHeight="1">
      <c r="A566" s="171" t="s">
        <v>866</v>
      </c>
      <c r="B566" s="175">
        <v>46051</v>
      </c>
      <c r="C566" s="171" t="s">
        <v>115</v>
      </c>
      <c r="D566" s="171" t="s">
        <v>135</v>
      </c>
      <c r="E566" s="171" t="s">
        <v>38</v>
      </c>
      <c r="F566" s="171" t="s">
        <v>111</v>
      </c>
      <c r="G566" s="171" t="s">
        <v>112</v>
      </c>
      <c r="H566" s="176">
        <v>1</v>
      </c>
      <c r="I566" s="177">
        <v>0</v>
      </c>
      <c r="J566" s="175">
        <v>46048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-14.31</v>
      </c>
    </row>
    <row r="567" spans="1:16" ht="19.5" customHeight="1">
      <c r="A567" s="171" t="s">
        <v>867</v>
      </c>
      <c r="B567" s="175">
        <v>46051</v>
      </c>
      <c r="C567" s="171" t="s">
        <v>110</v>
      </c>
      <c r="D567" s="171" t="s">
        <v>24</v>
      </c>
      <c r="E567" s="171" t="s">
        <v>38</v>
      </c>
      <c r="F567" s="171" t="s">
        <v>111</v>
      </c>
      <c r="G567" s="171" t="s">
        <v>112</v>
      </c>
      <c r="H567" s="176">
        <v>1</v>
      </c>
      <c r="I567" s="177">
        <v>0</v>
      </c>
      <c r="J567" s="175">
        <v>46045</v>
      </c>
      <c r="K567" s="171" t="s">
        <v>113</v>
      </c>
      <c r="L567" s="171" t="s">
        <v>114</v>
      </c>
      <c r="M567" s="178">
        <v>0</v>
      </c>
      <c r="N567" s="176"/>
      <c r="O567" s="176">
        <v>51</v>
      </c>
      <c r="P567" s="179">
        <v>-46.77</v>
      </c>
    </row>
    <row r="568" spans="1:16" ht="19.5" customHeight="1">
      <c r="A568" s="171" t="s">
        <v>867</v>
      </c>
      <c r="B568" s="175">
        <v>46051</v>
      </c>
      <c r="C568" s="171" t="s">
        <v>115</v>
      </c>
      <c r="D568" s="171" t="s">
        <v>116</v>
      </c>
      <c r="E568" s="171" t="s">
        <v>38</v>
      </c>
      <c r="F568" s="171" t="s">
        <v>111</v>
      </c>
      <c r="G568" s="171" t="s">
        <v>112</v>
      </c>
      <c r="H568" s="176">
        <v>1</v>
      </c>
      <c r="I568" s="177">
        <v>0</v>
      </c>
      <c r="J568" s="175">
        <v>46045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-15.22</v>
      </c>
    </row>
    <row r="569" spans="1:16" ht="19.5" customHeight="1">
      <c r="A569" s="171" t="s">
        <v>867</v>
      </c>
      <c r="B569" s="175">
        <v>46051</v>
      </c>
      <c r="C569" s="171" t="s">
        <v>110</v>
      </c>
      <c r="D569" s="171" t="s">
        <v>117</v>
      </c>
      <c r="E569" s="171" t="s">
        <v>38</v>
      </c>
      <c r="F569" s="171" t="s">
        <v>111</v>
      </c>
      <c r="G569" s="171" t="s">
        <v>112</v>
      </c>
      <c r="H569" s="176">
        <v>1</v>
      </c>
      <c r="I569" s="177">
        <v>0</v>
      </c>
      <c r="J569" s="175">
        <v>46045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0</v>
      </c>
    </row>
    <row r="570" spans="1:16" ht="19.5" customHeight="1">
      <c r="A570" s="171" t="s">
        <v>867</v>
      </c>
      <c r="B570" s="175">
        <v>46051</v>
      </c>
      <c r="C570" s="171" t="s">
        <v>110</v>
      </c>
      <c r="D570" s="171" t="s">
        <v>118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46045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-46.77</v>
      </c>
    </row>
    <row r="571" spans="1:16" ht="19.5" customHeight="1">
      <c r="A571" s="171" t="s">
        <v>867</v>
      </c>
      <c r="B571" s="175">
        <v>46051</v>
      </c>
      <c r="C571" s="171" t="s">
        <v>115</v>
      </c>
      <c r="D571" s="171" t="s">
        <v>119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46045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-15</v>
      </c>
    </row>
    <row r="572" spans="1:16" ht="19.5" customHeight="1">
      <c r="A572" s="171" t="s">
        <v>868</v>
      </c>
      <c r="B572" s="175">
        <v>46051</v>
      </c>
      <c r="C572" s="171" t="s">
        <v>110</v>
      </c>
      <c r="D572" s="171" t="s">
        <v>24</v>
      </c>
      <c r="E572" s="171" t="s">
        <v>77</v>
      </c>
      <c r="F572" s="171" t="s">
        <v>194</v>
      </c>
      <c r="G572" s="171" t="s">
        <v>177</v>
      </c>
      <c r="H572" s="176">
        <v>1</v>
      </c>
      <c r="I572" s="177">
        <v>0</v>
      </c>
      <c r="J572" s="175">
        <v>46047</v>
      </c>
      <c r="K572" s="171" t="s">
        <v>113</v>
      </c>
      <c r="L572" s="171" t="s">
        <v>114</v>
      </c>
      <c r="M572" s="178">
        <v>0</v>
      </c>
      <c r="N572" s="176"/>
      <c r="O572" s="176">
        <v>52</v>
      </c>
      <c r="P572" s="179">
        <v>-56.94</v>
      </c>
    </row>
    <row r="573" spans="1:16" ht="19.5" customHeight="1">
      <c r="A573" s="171" t="s">
        <v>868</v>
      </c>
      <c r="B573" s="175">
        <v>46051</v>
      </c>
      <c r="C573" s="171" t="s">
        <v>115</v>
      </c>
      <c r="D573" s="171" t="s">
        <v>116</v>
      </c>
      <c r="E573" s="171" t="s">
        <v>77</v>
      </c>
      <c r="F573" s="171" t="s">
        <v>194</v>
      </c>
      <c r="G573" s="171" t="s">
        <v>177</v>
      </c>
      <c r="H573" s="176">
        <v>1</v>
      </c>
      <c r="I573" s="177">
        <v>0</v>
      </c>
      <c r="J573" s="175">
        <v>46047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-14.48</v>
      </c>
    </row>
    <row r="574" spans="1:16" ht="19.5" customHeight="1">
      <c r="A574" s="171" t="s">
        <v>868</v>
      </c>
      <c r="B574" s="175">
        <v>46051</v>
      </c>
      <c r="C574" s="171" t="s">
        <v>110</v>
      </c>
      <c r="D574" s="171" t="s">
        <v>117</v>
      </c>
      <c r="E574" s="171" t="s">
        <v>77</v>
      </c>
      <c r="F574" s="171" t="s">
        <v>194</v>
      </c>
      <c r="G574" s="171" t="s">
        <v>177</v>
      </c>
      <c r="H574" s="176">
        <v>1</v>
      </c>
      <c r="I574" s="177">
        <v>0</v>
      </c>
      <c r="J574" s="175">
        <v>46047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0</v>
      </c>
    </row>
    <row r="575" spans="1:16" ht="19.5" customHeight="1">
      <c r="A575" s="171" t="s">
        <v>868</v>
      </c>
      <c r="B575" s="175">
        <v>46051</v>
      </c>
      <c r="C575" s="171" t="s">
        <v>110</v>
      </c>
      <c r="D575" s="171" t="s">
        <v>118</v>
      </c>
      <c r="E575" s="171" t="s">
        <v>77</v>
      </c>
      <c r="F575" s="171" t="s">
        <v>194</v>
      </c>
      <c r="G575" s="171" t="s">
        <v>177</v>
      </c>
      <c r="H575" s="176">
        <v>1</v>
      </c>
      <c r="I575" s="177">
        <v>0</v>
      </c>
      <c r="J575" s="175">
        <v>46047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-56.94</v>
      </c>
    </row>
    <row r="576" spans="1:16" ht="19.5" customHeight="1">
      <c r="A576" s="171" t="s">
        <v>868</v>
      </c>
      <c r="B576" s="175">
        <v>46051</v>
      </c>
      <c r="C576" s="171" t="s">
        <v>115</v>
      </c>
      <c r="D576" s="171" t="s">
        <v>119</v>
      </c>
      <c r="E576" s="171" t="s">
        <v>77</v>
      </c>
      <c r="F576" s="171" t="s">
        <v>194</v>
      </c>
      <c r="G576" s="171" t="s">
        <v>177</v>
      </c>
      <c r="H576" s="176">
        <v>1</v>
      </c>
      <c r="I576" s="177">
        <v>0</v>
      </c>
      <c r="J576" s="175">
        <v>46047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-15</v>
      </c>
    </row>
    <row r="577" spans="1:16" ht="19.5" customHeight="1">
      <c r="A577" s="171" t="s">
        <v>869</v>
      </c>
      <c r="B577" s="175">
        <v>46051</v>
      </c>
      <c r="C577" s="171" t="s">
        <v>110</v>
      </c>
      <c r="D577" s="171" t="s">
        <v>24</v>
      </c>
      <c r="E577" s="171" t="s">
        <v>41</v>
      </c>
      <c r="F577" s="171" t="s">
        <v>138</v>
      </c>
      <c r="G577" s="171" t="s">
        <v>112</v>
      </c>
      <c r="H577" s="176">
        <v>1</v>
      </c>
      <c r="I577" s="177">
        <v>1800</v>
      </c>
      <c r="J577" s="175">
        <v>46050</v>
      </c>
      <c r="K577" s="171" t="s">
        <v>113</v>
      </c>
      <c r="L577" s="171" t="s">
        <v>114</v>
      </c>
      <c r="M577" s="178">
        <v>0.43</v>
      </c>
      <c r="N577" s="176"/>
      <c r="O577" s="176">
        <v>50</v>
      </c>
      <c r="P577" s="179">
        <v>-150.72</v>
      </c>
    </row>
    <row r="578" spans="1:16" ht="19.5" customHeight="1">
      <c r="A578" s="171" t="s">
        <v>869</v>
      </c>
      <c r="B578" s="175">
        <v>46051</v>
      </c>
      <c r="C578" s="171" t="s">
        <v>127</v>
      </c>
      <c r="D578" s="171" t="s">
        <v>128</v>
      </c>
      <c r="E578" s="171" t="s">
        <v>41</v>
      </c>
      <c r="F578" s="171" t="s">
        <v>138</v>
      </c>
      <c r="G578" s="171" t="s">
        <v>112</v>
      </c>
      <c r="H578" s="176">
        <v>1</v>
      </c>
      <c r="I578" s="177">
        <v>1800</v>
      </c>
      <c r="J578" s="175">
        <v>46050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839.05</v>
      </c>
    </row>
    <row r="579" spans="1:16" ht="19.5" customHeight="1">
      <c r="A579" s="171" t="s">
        <v>869</v>
      </c>
      <c r="B579" s="175">
        <v>46051</v>
      </c>
      <c r="C579" s="171" t="s">
        <v>127</v>
      </c>
      <c r="D579" s="171" t="s">
        <v>129</v>
      </c>
      <c r="E579" s="171" t="s">
        <v>41</v>
      </c>
      <c r="F579" s="171" t="s">
        <v>138</v>
      </c>
      <c r="G579" s="171" t="s">
        <v>112</v>
      </c>
      <c r="H579" s="176">
        <v>1</v>
      </c>
      <c r="I579" s="177">
        <v>1800</v>
      </c>
      <c r="J579" s="175">
        <v>46050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8.39</v>
      </c>
    </row>
    <row r="580" spans="1:16" ht="19.5" customHeight="1">
      <c r="A580" s="171" t="s">
        <v>869</v>
      </c>
      <c r="B580" s="175">
        <v>46051</v>
      </c>
      <c r="C580" s="171" t="s">
        <v>127</v>
      </c>
      <c r="D580" s="171" t="s">
        <v>130</v>
      </c>
      <c r="E580" s="171" t="s">
        <v>41</v>
      </c>
      <c r="F580" s="171" t="s">
        <v>138</v>
      </c>
      <c r="G580" s="171" t="s">
        <v>112</v>
      </c>
      <c r="H580" s="176">
        <v>1</v>
      </c>
      <c r="I580" s="177">
        <v>1800</v>
      </c>
      <c r="J580" s="175">
        <v>46050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952.56</v>
      </c>
    </row>
    <row r="581" spans="1:16" ht="19.5" customHeight="1">
      <c r="A581" s="171" t="s">
        <v>869</v>
      </c>
      <c r="B581" s="175">
        <v>46051</v>
      </c>
      <c r="C581" s="171" t="s">
        <v>131</v>
      </c>
      <c r="D581" s="171" t="s">
        <v>132</v>
      </c>
      <c r="E581" s="171" t="s">
        <v>41</v>
      </c>
      <c r="F581" s="171" t="s">
        <v>138</v>
      </c>
      <c r="G581" s="171" t="s">
        <v>112</v>
      </c>
      <c r="H581" s="176">
        <v>1</v>
      </c>
      <c r="I581" s="177">
        <v>1800</v>
      </c>
      <c r="J581" s="175">
        <v>46050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-774</v>
      </c>
    </row>
    <row r="582" spans="1:16" ht="19.5" customHeight="1">
      <c r="A582" s="171" t="s">
        <v>869</v>
      </c>
      <c r="B582" s="175">
        <v>46051</v>
      </c>
      <c r="C582" s="171" t="s">
        <v>115</v>
      </c>
      <c r="D582" s="171" t="s">
        <v>116</v>
      </c>
      <c r="E582" s="171" t="s">
        <v>41</v>
      </c>
      <c r="F582" s="171" t="s">
        <v>138</v>
      </c>
      <c r="G582" s="171" t="s">
        <v>112</v>
      </c>
      <c r="H582" s="176">
        <v>1</v>
      </c>
      <c r="I582" s="177">
        <v>1800</v>
      </c>
      <c r="J582" s="175">
        <v>46050</v>
      </c>
      <c r="K582" s="171" t="s">
        <v>113</v>
      </c>
      <c r="L582" s="171" t="s">
        <v>114</v>
      </c>
      <c r="M582" s="178">
        <v>0.43</v>
      </c>
      <c r="N582" s="176"/>
      <c r="O582" s="176"/>
      <c r="P582" s="179">
        <v>-10.4</v>
      </c>
    </row>
    <row r="583" spans="1:16" ht="19.5" customHeight="1">
      <c r="A583" s="171" t="s">
        <v>869</v>
      </c>
      <c r="B583" s="175">
        <v>46051</v>
      </c>
      <c r="C583" s="171" t="s">
        <v>115</v>
      </c>
      <c r="D583" s="171" t="s">
        <v>135</v>
      </c>
      <c r="E583" s="171" t="s">
        <v>41</v>
      </c>
      <c r="F583" s="171" t="s">
        <v>138</v>
      </c>
      <c r="G583" s="171" t="s">
        <v>112</v>
      </c>
      <c r="H583" s="176">
        <v>1</v>
      </c>
      <c r="I583" s="177">
        <v>0</v>
      </c>
      <c r="J583" s="175">
        <v>46050</v>
      </c>
      <c r="K583" s="171" t="s">
        <v>125</v>
      </c>
      <c r="L583" s="171" t="s">
        <v>125</v>
      </c>
      <c r="M583" s="178">
        <v>0</v>
      </c>
      <c r="N583" s="176"/>
      <c r="O583" s="176"/>
      <c r="P583" s="179">
        <v>-15.94</v>
      </c>
    </row>
    <row r="584" spans="1:16" ht="19.5" customHeight="1">
      <c r="A584" s="171" t="s">
        <v>870</v>
      </c>
      <c r="B584" s="175">
        <v>46051</v>
      </c>
      <c r="C584" s="171" t="s">
        <v>110</v>
      </c>
      <c r="D584" s="171" t="s">
        <v>24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46045</v>
      </c>
      <c r="K584" s="171" t="s">
        <v>113</v>
      </c>
      <c r="L584" s="171" t="s">
        <v>114</v>
      </c>
      <c r="M584" s="178">
        <v>0.43</v>
      </c>
      <c r="N584" s="176"/>
      <c r="O584" s="176">
        <v>51</v>
      </c>
      <c r="P584" s="179">
        <v>-147.08000000000001</v>
      </c>
    </row>
    <row r="585" spans="1:16" ht="19.5" customHeight="1">
      <c r="A585" s="171" t="s">
        <v>870</v>
      </c>
      <c r="B585" s="175">
        <v>46051</v>
      </c>
      <c r="C585" s="171" t="s">
        <v>127</v>
      </c>
      <c r="D585" s="171" t="s">
        <v>128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1670</v>
      </c>
      <c r="J585" s="175">
        <v>46045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728.57</v>
      </c>
    </row>
    <row r="586" spans="1:16" ht="19.5" customHeight="1">
      <c r="A586" s="171" t="s">
        <v>870</v>
      </c>
      <c r="B586" s="175">
        <v>46051</v>
      </c>
      <c r="C586" s="171" t="s">
        <v>127</v>
      </c>
      <c r="D586" s="171" t="s">
        <v>129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1670</v>
      </c>
      <c r="J586" s="175">
        <v>46045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7.29</v>
      </c>
    </row>
    <row r="587" spans="1:16" ht="19.5" customHeight="1">
      <c r="A587" s="171" t="s">
        <v>870</v>
      </c>
      <c r="B587" s="175">
        <v>46051</v>
      </c>
      <c r="C587" s="171" t="s">
        <v>127</v>
      </c>
      <c r="D587" s="171" t="s">
        <v>130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1670</v>
      </c>
      <c r="J587" s="175">
        <v>46045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934.14</v>
      </c>
    </row>
    <row r="588" spans="1:16" ht="19.5" customHeight="1">
      <c r="A588" s="171" t="s">
        <v>870</v>
      </c>
      <c r="B588" s="175">
        <v>46051</v>
      </c>
      <c r="C588" s="171" t="s">
        <v>131</v>
      </c>
      <c r="D588" s="171" t="s">
        <v>132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1670</v>
      </c>
      <c r="J588" s="175">
        <v>46045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-718.1</v>
      </c>
    </row>
    <row r="589" spans="1:16" ht="19.5" customHeight="1">
      <c r="A589" s="171" t="s">
        <v>870</v>
      </c>
      <c r="B589" s="175">
        <v>46051</v>
      </c>
      <c r="C589" s="171" t="s">
        <v>115</v>
      </c>
      <c r="D589" s="171" t="s">
        <v>116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1670</v>
      </c>
      <c r="J589" s="175">
        <v>46045</v>
      </c>
      <c r="K589" s="171" t="s">
        <v>113</v>
      </c>
      <c r="L589" s="171" t="s">
        <v>114</v>
      </c>
      <c r="M589" s="178">
        <v>0.43</v>
      </c>
      <c r="N589" s="176"/>
      <c r="O589" s="176"/>
      <c r="P589" s="179">
        <v>-8.68</v>
      </c>
    </row>
    <row r="590" spans="1:16" ht="19.5" customHeight="1">
      <c r="A590" s="171" t="s">
        <v>871</v>
      </c>
      <c r="B590" s="175">
        <v>46051</v>
      </c>
      <c r="C590" s="171" t="s">
        <v>110</v>
      </c>
      <c r="D590" s="171" t="s">
        <v>24</v>
      </c>
      <c r="E590" s="171" t="s">
        <v>44</v>
      </c>
      <c r="F590" s="171" t="s">
        <v>213</v>
      </c>
      <c r="G590" s="171" t="s">
        <v>214</v>
      </c>
      <c r="H590" s="176">
        <v>1</v>
      </c>
      <c r="I590" s="177">
        <v>1815</v>
      </c>
      <c r="J590" s="175">
        <v>46045</v>
      </c>
      <c r="K590" s="171" t="s">
        <v>113</v>
      </c>
      <c r="L590" s="171" t="s">
        <v>114</v>
      </c>
      <c r="M590" s="178">
        <v>0.43</v>
      </c>
      <c r="N590" s="176"/>
      <c r="O590" s="176">
        <v>51</v>
      </c>
      <c r="P590" s="179">
        <v>-151.30000000000001</v>
      </c>
    </row>
    <row r="591" spans="1:16" ht="19.5" customHeight="1">
      <c r="A591" s="171" t="s">
        <v>871</v>
      </c>
      <c r="B591" s="175">
        <v>46051</v>
      </c>
      <c r="C591" s="171" t="s">
        <v>127</v>
      </c>
      <c r="D591" s="171" t="s">
        <v>128</v>
      </c>
      <c r="E591" s="171" t="s">
        <v>44</v>
      </c>
      <c r="F591" s="171" t="s">
        <v>213</v>
      </c>
      <c r="G591" s="171" t="s">
        <v>214</v>
      </c>
      <c r="H591" s="176">
        <v>1</v>
      </c>
      <c r="I591" s="177">
        <v>1815</v>
      </c>
      <c r="J591" s="175">
        <v>46045</v>
      </c>
      <c r="K591" s="171" t="s">
        <v>113</v>
      </c>
      <c r="L591" s="171" t="s">
        <v>114</v>
      </c>
      <c r="M591" s="178">
        <v>0</v>
      </c>
      <c r="N591" s="176"/>
      <c r="O591" s="176"/>
      <c r="P591" s="179">
        <v>699.05</v>
      </c>
    </row>
    <row r="592" spans="1:16" ht="19.5" customHeight="1">
      <c r="A592" s="171" t="s">
        <v>871</v>
      </c>
      <c r="B592" s="175">
        <v>46051</v>
      </c>
      <c r="C592" s="171" t="s">
        <v>127</v>
      </c>
      <c r="D592" s="171" t="s">
        <v>129</v>
      </c>
      <c r="E592" s="171" t="s">
        <v>44</v>
      </c>
      <c r="F592" s="171" t="s">
        <v>213</v>
      </c>
      <c r="G592" s="171" t="s">
        <v>214</v>
      </c>
      <c r="H592" s="176">
        <v>1</v>
      </c>
      <c r="I592" s="177">
        <v>1815</v>
      </c>
      <c r="J592" s="175">
        <v>46045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6.99</v>
      </c>
    </row>
    <row r="593" spans="1:16" ht="19.5" customHeight="1">
      <c r="A593" s="171" t="s">
        <v>871</v>
      </c>
      <c r="B593" s="175">
        <v>46051</v>
      </c>
      <c r="C593" s="171" t="s">
        <v>127</v>
      </c>
      <c r="D593" s="171" t="s">
        <v>130</v>
      </c>
      <c r="E593" s="171" t="s">
        <v>44</v>
      </c>
      <c r="F593" s="171" t="s">
        <v>213</v>
      </c>
      <c r="G593" s="171" t="s">
        <v>214</v>
      </c>
      <c r="H593" s="176">
        <v>1</v>
      </c>
      <c r="I593" s="177">
        <v>1815</v>
      </c>
      <c r="J593" s="175">
        <v>46045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1108.96</v>
      </c>
    </row>
    <row r="594" spans="1:16" ht="19.5" customHeight="1">
      <c r="A594" s="171" t="s">
        <v>871</v>
      </c>
      <c r="B594" s="175">
        <v>46051</v>
      </c>
      <c r="C594" s="171" t="s">
        <v>131</v>
      </c>
      <c r="D594" s="171" t="s">
        <v>132</v>
      </c>
      <c r="E594" s="171" t="s">
        <v>44</v>
      </c>
      <c r="F594" s="171" t="s">
        <v>213</v>
      </c>
      <c r="G594" s="171" t="s">
        <v>214</v>
      </c>
      <c r="H594" s="176">
        <v>1</v>
      </c>
      <c r="I594" s="177">
        <v>1815</v>
      </c>
      <c r="J594" s="175">
        <v>46045</v>
      </c>
      <c r="K594" s="171" t="s">
        <v>113</v>
      </c>
      <c r="L594" s="171" t="s">
        <v>114</v>
      </c>
      <c r="M594" s="178">
        <v>0.43</v>
      </c>
      <c r="N594" s="176"/>
      <c r="O594" s="176"/>
      <c r="P594" s="179">
        <v>-780.45</v>
      </c>
    </row>
    <row r="595" spans="1:16" ht="19.5" customHeight="1">
      <c r="A595" s="171" t="s">
        <v>871</v>
      </c>
      <c r="B595" s="175">
        <v>46051</v>
      </c>
      <c r="C595" s="171" t="s">
        <v>115</v>
      </c>
      <c r="D595" s="171" t="s">
        <v>116</v>
      </c>
      <c r="E595" s="171" t="s">
        <v>44</v>
      </c>
      <c r="F595" s="171" t="s">
        <v>213</v>
      </c>
      <c r="G595" s="171" t="s">
        <v>214</v>
      </c>
      <c r="H595" s="176">
        <v>1</v>
      </c>
      <c r="I595" s="177">
        <v>1815</v>
      </c>
      <c r="J595" s="175">
        <v>46045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-13.67</v>
      </c>
    </row>
    <row r="596" spans="1:16" ht="19.5" customHeight="1">
      <c r="A596" s="171" t="s">
        <v>870</v>
      </c>
      <c r="B596" s="175">
        <v>46051</v>
      </c>
      <c r="C596" s="171" t="s">
        <v>115</v>
      </c>
      <c r="D596" s="171" t="s">
        <v>135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0</v>
      </c>
      <c r="J596" s="175">
        <v>46045</v>
      </c>
      <c r="K596" s="171" t="s">
        <v>125</v>
      </c>
      <c r="L596" s="171" t="s">
        <v>125</v>
      </c>
      <c r="M596" s="178">
        <v>0</v>
      </c>
      <c r="N596" s="176"/>
      <c r="O596" s="176"/>
      <c r="P596" s="179">
        <v>-13.84</v>
      </c>
    </row>
    <row r="597" spans="1:16" ht="19.5" customHeight="1">
      <c r="A597" s="171" t="s">
        <v>872</v>
      </c>
      <c r="B597" s="175">
        <v>46051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46051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-14.24</v>
      </c>
    </row>
    <row r="598" spans="1:16" ht="19.5" customHeight="1">
      <c r="A598" s="171" t="s">
        <v>873</v>
      </c>
      <c r="B598" s="175">
        <v>46051</v>
      </c>
      <c r="C598" s="171" t="s">
        <v>110</v>
      </c>
      <c r="D598" s="171" t="s">
        <v>24</v>
      </c>
      <c r="E598" s="171" t="s">
        <v>78</v>
      </c>
      <c r="F598" s="171" t="s">
        <v>176</v>
      </c>
      <c r="G598" s="171" t="s">
        <v>177</v>
      </c>
      <c r="H598" s="176">
        <v>1</v>
      </c>
      <c r="I598" s="177">
        <v>4940</v>
      </c>
      <c r="J598" s="175">
        <v>46046</v>
      </c>
      <c r="K598" s="171" t="s">
        <v>113</v>
      </c>
      <c r="L598" s="171" t="s">
        <v>114</v>
      </c>
      <c r="M598" s="178">
        <v>0.43</v>
      </c>
      <c r="N598" s="176"/>
      <c r="O598" s="176">
        <v>50</v>
      </c>
      <c r="P598" s="179">
        <v>-287.93</v>
      </c>
    </row>
    <row r="599" spans="1:16" ht="19.5" customHeight="1">
      <c r="A599" s="171" t="s">
        <v>873</v>
      </c>
      <c r="B599" s="175">
        <v>46051</v>
      </c>
      <c r="C599" s="171" t="s">
        <v>127</v>
      </c>
      <c r="D599" s="171" t="s">
        <v>128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4940</v>
      </c>
      <c r="J599" s="175">
        <v>46046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1688.34</v>
      </c>
    </row>
    <row r="600" spans="1:16" ht="19.5" customHeight="1">
      <c r="A600" s="171" t="s">
        <v>873</v>
      </c>
      <c r="B600" s="175">
        <v>46051</v>
      </c>
      <c r="C600" s="171" t="s">
        <v>127</v>
      </c>
      <c r="D600" s="171" t="s">
        <v>129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4940</v>
      </c>
      <c r="J600" s="175">
        <v>46046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16.88</v>
      </c>
    </row>
    <row r="601" spans="1:16" ht="19.5" customHeight="1">
      <c r="A601" s="171" t="s">
        <v>873</v>
      </c>
      <c r="B601" s="175">
        <v>46051</v>
      </c>
      <c r="C601" s="171" t="s">
        <v>127</v>
      </c>
      <c r="D601" s="171" t="s">
        <v>130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4940</v>
      </c>
      <c r="J601" s="175">
        <v>46046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3234.78</v>
      </c>
    </row>
    <row r="602" spans="1:16" ht="19.5" customHeight="1">
      <c r="A602" s="171" t="s">
        <v>873</v>
      </c>
      <c r="B602" s="175">
        <v>46051</v>
      </c>
      <c r="C602" s="171" t="s">
        <v>131</v>
      </c>
      <c r="D602" s="171" t="s">
        <v>132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4940</v>
      </c>
      <c r="J602" s="175">
        <v>46046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-2124.1999999999998</v>
      </c>
    </row>
    <row r="603" spans="1:16" ht="19.5" customHeight="1">
      <c r="A603" s="171" t="s">
        <v>873</v>
      </c>
      <c r="B603" s="175">
        <v>46051</v>
      </c>
      <c r="C603" s="171" t="s">
        <v>115</v>
      </c>
      <c r="D603" s="171" t="s">
        <v>116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4940</v>
      </c>
      <c r="J603" s="175">
        <v>46046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-17.48</v>
      </c>
    </row>
    <row r="604" spans="1:16" ht="19.5" customHeight="1">
      <c r="A604" s="171" t="s">
        <v>873</v>
      </c>
      <c r="B604" s="175">
        <v>46051</v>
      </c>
      <c r="C604" s="171" t="s">
        <v>115</v>
      </c>
      <c r="D604" s="171" t="s">
        <v>135</v>
      </c>
      <c r="E604" s="171" t="s">
        <v>78</v>
      </c>
      <c r="F604" s="171" t="s">
        <v>176</v>
      </c>
      <c r="G604" s="171" t="s">
        <v>177</v>
      </c>
      <c r="H604" s="176">
        <v>1</v>
      </c>
      <c r="I604" s="177">
        <v>0</v>
      </c>
      <c r="J604" s="175">
        <v>46046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-32.08</v>
      </c>
    </row>
    <row r="605" spans="1:16" ht="19.5" customHeight="1">
      <c r="A605" s="171" t="s">
        <v>874</v>
      </c>
      <c r="B605" s="175">
        <v>46051</v>
      </c>
      <c r="C605" s="171" t="s">
        <v>110</v>
      </c>
      <c r="D605" s="171" t="s">
        <v>24</v>
      </c>
      <c r="E605" s="171" t="s">
        <v>77</v>
      </c>
      <c r="F605" s="171" t="s">
        <v>194</v>
      </c>
      <c r="G605" s="171" t="s">
        <v>177</v>
      </c>
      <c r="H605" s="176">
        <v>1</v>
      </c>
      <c r="I605" s="177">
        <v>0</v>
      </c>
      <c r="J605" s="175">
        <v>46045</v>
      </c>
      <c r="K605" s="171" t="s">
        <v>113</v>
      </c>
      <c r="L605" s="171" t="s">
        <v>114</v>
      </c>
      <c r="M605" s="178">
        <v>0</v>
      </c>
      <c r="N605" s="176"/>
      <c r="O605" s="176">
        <v>51</v>
      </c>
      <c r="P605" s="179">
        <v>-56.94</v>
      </c>
    </row>
    <row r="606" spans="1:16" ht="19.5" customHeight="1">
      <c r="A606" s="171" t="s">
        <v>874</v>
      </c>
      <c r="B606" s="175">
        <v>46051</v>
      </c>
      <c r="C606" s="171" t="s">
        <v>115</v>
      </c>
      <c r="D606" s="171" t="s">
        <v>116</v>
      </c>
      <c r="E606" s="171" t="s">
        <v>77</v>
      </c>
      <c r="F606" s="171" t="s">
        <v>194</v>
      </c>
      <c r="G606" s="171" t="s">
        <v>177</v>
      </c>
      <c r="H606" s="176">
        <v>1</v>
      </c>
      <c r="I606" s="177">
        <v>0</v>
      </c>
      <c r="J606" s="175">
        <v>46045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-20.43</v>
      </c>
    </row>
    <row r="607" spans="1:16" ht="19.5" customHeight="1">
      <c r="A607" s="171" t="s">
        <v>874</v>
      </c>
      <c r="B607" s="175">
        <v>46051</v>
      </c>
      <c r="C607" s="171" t="s">
        <v>110</v>
      </c>
      <c r="D607" s="171" t="s">
        <v>117</v>
      </c>
      <c r="E607" s="171" t="s">
        <v>77</v>
      </c>
      <c r="F607" s="171" t="s">
        <v>194</v>
      </c>
      <c r="G607" s="171" t="s">
        <v>177</v>
      </c>
      <c r="H607" s="176">
        <v>1</v>
      </c>
      <c r="I607" s="177">
        <v>0</v>
      </c>
      <c r="J607" s="175">
        <v>46045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874</v>
      </c>
      <c r="B608" s="175">
        <v>46051</v>
      </c>
      <c r="C608" s="171" t="s">
        <v>110</v>
      </c>
      <c r="D608" s="171" t="s">
        <v>118</v>
      </c>
      <c r="E608" s="171" t="s">
        <v>77</v>
      </c>
      <c r="F608" s="171" t="s">
        <v>194</v>
      </c>
      <c r="G608" s="171" t="s">
        <v>177</v>
      </c>
      <c r="H608" s="176">
        <v>1</v>
      </c>
      <c r="I608" s="177">
        <v>0</v>
      </c>
      <c r="J608" s="175">
        <v>46045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-56.94</v>
      </c>
    </row>
    <row r="609" spans="1:16" ht="19.5" customHeight="1">
      <c r="A609" s="171" t="s">
        <v>874</v>
      </c>
      <c r="B609" s="175">
        <v>46051</v>
      </c>
      <c r="C609" s="171" t="s">
        <v>115</v>
      </c>
      <c r="D609" s="171" t="s">
        <v>119</v>
      </c>
      <c r="E609" s="171" t="s">
        <v>77</v>
      </c>
      <c r="F609" s="171" t="s">
        <v>194</v>
      </c>
      <c r="G609" s="171" t="s">
        <v>177</v>
      </c>
      <c r="H609" s="176">
        <v>1</v>
      </c>
      <c r="I609" s="177">
        <v>0</v>
      </c>
      <c r="J609" s="175">
        <v>46045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639</v>
      </c>
      <c r="B610" s="175">
        <v>46051</v>
      </c>
      <c r="C610" s="171" t="s">
        <v>115</v>
      </c>
      <c r="D610" s="171" t="s">
        <v>135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14.51</v>
      </c>
    </row>
    <row r="611" spans="1:16" ht="19.5" customHeight="1">
      <c r="A611" s="171" t="s">
        <v>671</v>
      </c>
      <c r="B611" s="175">
        <v>46051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46051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-531.16</v>
      </c>
    </row>
    <row r="612" spans="1:16" ht="19.5" customHeight="1">
      <c r="A612" s="171" t="s">
        <v>565</v>
      </c>
      <c r="B612" s="175">
        <v>46051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46051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-297.36</v>
      </c>
    </row>
    <row r="613" spans="1:16" ht="19.5" customHeight="1">
      <c r="A613" s="171" t="s">
        <v>150</v>
      </c>
      <c r="B613" s="175">
        <v>46051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46051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-1265.21</v>
      </c>
    </row>
    <row r="614" spans="1:16" ht="19.5" customHeight="1">
      <c r="A614" s="171" t="s">
        <v>155</v>
      </c>
      <c r="B614" s="175">
        <v>46051</v>
      </c>
      <c r="C614" s="171" t="s">
        <v>151</v>
      </c>
      <c r="D614" s="171" t="s">
        <v>156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46051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-3375.5</v>
      </c>
    </row>
    <row r="615" spans="1:16" ht="19.5" customHeight="1">
      <c r="A615" s="171" t="s">
        <v>180</v>
      </c>
      <c r="B615" s="175">
        <v>46051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46051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-124.88</v>
      </c>
    </row>
    <row r="616" spans="1:16" ht="19.5" customHeight="1">
      <c r="A616" s="171" t="s">
        <v>875</v>
      </c>
      <c r="B616" s="175">
        <v>46052</v>
      </c>
      <c r="C616" s="171" t="s">
        <v>110</v>
      </c>
      <c r="D616" s="171" t="s">
        <v>24</v>
      </c>
      <c r="E616" s="171" t="s">
        <v>78</v>
      </c>
      <c r="F616" s="171" t="s">
        <v>176</v>
      </c>
      <c r="G616" s="171" t="s">
        <v>177</v>
      </c>
      <c r="H616" s="176">
        <v>1</v>
      </c>
      <c r="I616" s="177">
        <v>0</v>
      </c>
      <c r="J616" s="175">
        <v>46046</v>
      </c>
      <c r="K616" s="171" t="s">
        <v>113</v>
      </c>
      <c r="L616" s="171" t="s">
        <v>114</v>
      </c>
      <c r="M616" s="178">
        <v>0</v>
      </c>
      <c r="N616" s="176"/>
      <c r="O616" s="176">
        <v>50</v>
      </c>
      <c r="P616" s="179">
        <v>-56.94</v>
      </c>
    </row>
    <row r="617" spans="1:16" ht="19.5" customHeight="1">
      <c r="A617" s="171" t="s">
        <v>875</v>
      </c>
      <c r="B617" s="175">
        <v>46052</v>
      </c>
      <c r="C617" s="171" t="s">
        <v>110</v>
      </c>
      <c r="D617" s="171" t="s">
        <v>117</v>
      </c>
      <c r="E617" s="171" t="s">
        <v>78</v>
      </c>
      <c r="F617" s="171" t="s">
        <v>176</v>
      </c>
      <c r="G617" s="171" t="s">
        <v>177</v>
      </c>
      <c r="H617" s="176">
        <v>1</v>
      </c>
      <c r="I617" s="177">
        <v>0</v>
      </c>
      <c r="J617" s="175">
        <v>46046</v>
      </c>
      <c r="K617" s="171" t="s">
        <v>113</v>
      </c>
      <c r="L617" s="171" t="s">
        <v>114</v>
      </c>
      <c r="M617" s="178">
        <v>0</v>
      </c>
      <c r="N617" s="176"/>
      <c r="O617" s="176"/>
      <c r="P617" s="179">
        <v>0</v>
      </c>
    </row>
    <row r="618" spans="1:16" ht="19.5" customHeight="1">
      <c r="A618" s="171" t="s">
        <v>875</v>
      </c>
      <c r="B618" s="175">
        <v>46052</v>
      </c>
      <c r="C618" s="171" t="s">
        <v>110</v>
      </c>
      <c r="D618" s="171" t="s">
        <v>118</v>
      </c>
      <c r="E618" s="171" t="s">
        <v>78</v>
      </c>
      <c r="F618" s="171" t="s">
        <v>176</v>
      </c>
      <c r="G618" s="171" t="s">
        <v>177</v>
      </c>
      <c r="H618" s="176">
        <v>1</v>
      </c>
      <c r="I618" s="177">
        <v>0</v>
      </c>
      <c r="J618" s="175">
        <v>46046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-56.94</v>
      </c>
    </row>
    <row r="619" spans="1:16" ht="19.5" customHeight="1">
      <c r="A619" s="171" t="s">
        <v>876</v>
      </c>
      <c r="B619" s="175">
        <v>46052</v>
      </c>
      <c r="C619" s="171" t="s">
        <v>110</v>
      </c>
      <c r="D619" s="171" t="s">
        <v>24</v>
      </c>
      <c r="E619" s="171" t="s">
        <v>78</v>
      </c>
      <c r="F619" s="171" t="s">
        <v>176</v>
      </c>
      <c r="G619" s="171" t="s">
        <v>177</v>
      </c>
      <c r="H619" s="176">
        <v>1</v>
      </c>
      <c r="I619" s="177">
        <v>0</v>
      </c>
      <c r="J619" s="175">
        <v>46037</v>
      </c>
      <c r="K619" s="171" t="s">
        <v>113</v>
      </c>
      <c r="L619" s="171" t="s">
        <v>114</v>
      </c>
      <c r="M619" s="178">
        <v>0</v>
      </c>
      <c r="N619" s="176"/>
      <c r="O619" s="176">
        <v>43</v>
      </c>
      <c r="P619" s="179">
        <v>-56.94</v>
      </c>
    </row>
    <row r="620" spans="1:16" ht="19.5" customHeight="1">
      <c r="A620" s="171" t="s">
        <v>876</v>
      </c>
      <c r="B620" s="175">
        <v>46052</v>
      </c>
      <c r="C620" s="171" t="s">
        <v>115</v>
      </c>
      <c r="D620" s="171" t="s">
        <v>116</v>
      </c>
      <c r="E620" s="171" t="s">
        <v>78</v>
      </c>
      <c r="F620" s="171" t="s">
        <v>176</v>
      </c>
      <c r="G620" s="171" t="s">
        <v>177</v>
      </c>
      <c r="H620" s="176">
        <v>1</v>
      </c>
      <c r="I620" s="177">
        <v>0</v>
      </c>
      <c r="J620" s="175">
        <v>46037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-13.43</v>
      </c>
    </row>
    <row r="621" spans="1:16" ht="19.5" customHeight="1">
      <c r="A621" s="171" t="s">
        <v>876</v>
      </c>
      <c r="B621" s="175">
        <v>46052</v>
      </c>
      <c r="C621" s="171" t="s">
        <v>110</v>
      </c>
      <c r="D621" s="171" t="s">
        <v>117</v>
      </c>
      <c r="E621" s="171" t="s">
        <v>78</v>
      </c>
      <c r="F621" s="171" t="s">
        <v>176</v>
      </c>
      <c r="G621" s="171" t="s">
        <v>177</v>
      </c>
      <c r="H621" s="176">
        <v>1</v>
      </c>
      <c r="I621" s="177">
        <v>0</v>
      </c>
      <c r="J621" s="175">
        <v>46037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0</v>
      </c>
    </row>
    <row r="622" spans="1:16" ht="19.5" customHeight="1">
      <c r="A622" s="171" t="s">
        <v>876</v>
      </c>
      <c r="B622" s="175">
        <v>46052</v>
      </c>
      <c r="C622" s="171" t="s">
        <v>110</v>
      </c>
      <c r="D622" s="171" t="s">
        <v>118</v>
      </c>
      <c r="E622" s="171" t="s">
        <v>78</v>
      </c>
      <c r="F622" s="171" t="s">
        <v>176</v>
      </c>
      <c r="G622" s="171" t="s">
        <v>177</v>
      </c>
      <c r="H622" s="176">
        <v>1</v>
      </c>
      <c r="I622" s="177">
        <v>0</v>
      </c>
      <c r="J622" s="175">
        <v>46037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-56.94</v>
      </c>
    </row>
    <row r="623" spans="1:16" ht="19.5" customHeight="1">
      <c r="A623" s="171" t="s">
        <v>876</v>
      </c>
      <c r="B623" s="175">
        <v>46052</v>
      </c>
      <c r="C623" s="171" t="s">
        <v>115</v>
      </c>
      <c r="D623" s="171" t="s">
        <v>119</v>
      </c>
      <c r="E623" s="171" t="s">
        <v>78</v>
      </c>
      <c r="F623" s="171" t="s">
        <v>176</v>
      </c>
      <c r="G623" s="171" t="s">
        <v>177</v>
      </c>
      <c r="H623" s="176">
        <v>1</v>
      </c>
      <c r="I623" s="177">
        <v>0</v>
      </c>
      <c r="J623" s="175">
        <v>46037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-15</v>
      </c>
    </row>
    <row r="624" spans="1:16" ht="19.5" customHeight="1">
      <c r="A624" s="171" t="s">
        <v>877</v>
      </c>
      <c r="B624" s="175">
        <v>46052</v>
      </c>
      <c r="C624" s="171" t="s">
        <v>110</v>
      </c>
      <c r="D624" s="171" t="s">
        <v>24</v>
      </c>
      <c r="E624" s="171" t="s">
        <v>78</v>
      </c>
      <c r="F624" s="171" t="s">
        <v>176</v>
      </c>
      <c r="G624" s="171" t="s">
        <v>177</v>
      </c>
      <c r="H624" s="176">
        <v>1</v>
      </c>
      <c r="I624" s="177">
        <v>0</v>
      </c>
      <c r="J624" s="175">
        <v>46045</v>
      </c>
      <c r="K624" s="171" t="s">
        <v>113</v>
      </c>
      <c r="L624" s="171" t="s">
        <v>114</v>
      </c>
      <c r="M624" s="178">
        <v>0</v>
      </c>
      <c r="N624" s="176"/>
      <c r="O624" s="176">
        <v>51</v>
      </c>
      <c r="P624" s="179">
        <v>-56.94</v>
      </c>
    </row>
    <row r="625" spans="1:16" ht="19.5" customHeight="1">
      <c r="A625" s="171" t="s">
        <v>877</v>
      </c>
      <c r="B625" s="175">
        <v>46052</v>
      </c>
      <c r="C625" s="171" t="s">
        <v>115</v>
      </c>
      <c r="D625" s="171" t="s">
        <v>116</v>
      </c>
      <c r="E625" s="171" t="s">
        <v>78</v>
      </c>
      <c r="F625" s="171" t="s">
        <v>176</v>
      </c>
      <c r="G625" s="171" t="s">
        <v>177</v>
      </c>
      <c r="H625" s="176">
        <v>1</v>
      </c>
      <c r="I625" s="177">
        <v>0</v>
      </c>
      <c r="J625" s="175">
        <v>46045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-14.6</v>
      </c>
    </row>
    <row r="626" spans="1:16" ht="19.5" customHeight="1">
      <c r="A626" s="171" t="s">
        <v>877</v>
      </c>
      <c r="B626" s="175">
        <v>46052</v>
      </c>
      <c r="C626" s="171" t="s">
        <v>110</v>
      </c>
      <c r="D626" s="171" t="s">
        <v>117</v>
      </c>
      <c r="E626" s="171" t="s">
        <v>78</v>
      </c>
      <c r="F626" s="171" t="s">
        <v>176</v>
      </c>
      <c r="G626" s="171" t="s">
        <v>177</v>
      </c>
      <c r="H626" s="176">
        <v>1</v>
      </c>
      <c r="I626" s="177">
        <v>0</v>
      </c>
      <c r="J626" s="175">
        <v>46045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0</v>
      </c>
    </row>
    <row r="627" spans="1:16" ht="19.5" customHeight="1">
      <c r="A627" s="171" t="s">
        <v>877</v>
      </c>
      <c r="B627" s="175">
        <v>46052</v>
      </c>
      <c r="C627" s="171" t="s">
        <v>110</v>
      </c>
      <c r="D627" s="171" t="s">
        <v>118</v>
      </c>
      <c r="E627" s="171" t="s">
        <v>78</v>
      </c>
      <c r="F627" s="171" t="s">
        <v>176</v>
      </c>
      <c r="G627" s="171" t="s">
        <v>177</v>
      </c>
      <c r="H627" s="176">
        <v>1</v>
      </c>
      <c r="I627" s="177">
        <v>0</v>
      </c>
      <c r="J627" s="175">
        <v>46045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-56.94</v>
      </c>
    </row>
    <row r="628" spans="1:16" ht="19.5" customHeight="1">
      <c r="A628" s="171" t="s">
        <v>877</v>
      </c>
      <c r="B628" s="175">
        <v>46052</v>
      </c>
      <c r="C628" s="171" t="s">
        <v>115</v>
      </c>
      <c r="D628" s="171" t="s">
        <v>119</v>
      </c>
      <c r="E628" s="171" t="s">
        <v>78</v>
      </c>
      <c r="F628" s="171" t="s">
        <v>176</v>
      </c>
      <c r="G628" s="171" t="s">
        <v>177</v>
      </c>
      <c r="H628" s="176">
        <v>1</v>
      </c>
      <c r="I628" s="177">
        <v>0</v>
      </c>
      <c r="J628" s="175">
        <v>46045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-15</v>
      </c>
    </row>
    <row r="629" spans="1:16" ht="19.5" customHeight="1">
      <c r="A629" s="171" t="s">
        <v>878</v>
      </c>
      <c r="B629" s="175">
        <v>46052</v>
      </c>
      <c r="C629" s="171" t="s">
        <v>110</v>
      </c>
      <c r="D629" s="171" t="s">
        <v>24</v>
      </c>
      <c r="E629" s="171" t="s">
        <v>38</v>
      </c>
      <c r="F629" s="171" t="s">
        <v>111</v>
      </c>
      <c r="G629" s="171" t="s">
        <v>112</v>
      </c>
      <c r="H629" s="176">
        <v>1</v>
      </c>
      <c r="I629" s="177">
        <v>0</v>
      </c>
      <c r="J629" s="175">
        <v>46046</v>
      </c>
      <c r="K629" s="171" t="s">
        <v>113</v>
      </c>
      <c r="L629" s="171" t="s">
        <v>114</v>
      </c>
      <c r="M629" s="178">
        <v>0</v>
      </c>
      <c r="N629" s="176"/>
      <c r="O629" s="176">
        <v>50</v>
      </c>
      <c r="P629" s="179">
        <v>-46.77</v>
      </c>
    </row>
    <row r="630" spans="1:16" ht="19.5" customHeight="1">
      <c r="A630" s="171" t="s">
        <v>878</v>
      </c>
      <c r="B630" s="175">
        <v>46052</v>
      </c>
      <c r="C630" s="171" t="s">
        <v>115</v>
      </c>
      <c r="D630" s="171" t="s">
        <v>116</v>
      </c>
      <c r="E630" s="171" t="s">
        <v>38</v>
      </c>
      <c r="F630" s="171" t="s">
        <v>111</v>
      </c>
      <c r="G630" s="171" t="s">
        <v>112</v>
      </c>
      <c r="H630" s="176">
        <v>1</v>
      </c>
      <c r="I630" s="177">
        <v>0</v>
      </c>
      <c r="J630" s="175">
        <v>46046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-10.45</v>
      </c>
    </row>
    <row r="631" spans="1:16" ht="19.5" customHeight="1">
      <c r="A631" s="171" t="s">
        <v>878</v>
      </c>
      <c r="B631" s="175">
        <v>46052</v>
      </c>
      <c r="C631" s="171" t="s">
        <v>110</v>
      </c>
      <c r="D631" s="171" t="s">
        <v>117</v>
      </c>
      <c r="E631" s="171" t="s">
        <v>38</v>
      </c>
      <c r="F631" s="171" t="s">
        <v>111</v>
      </c>
      <c r="G631" s="171" t="s">
        <v>112</v>
      </c>
      <c r="H631" s="176">
        <v>1</v>
      </c>
      <c r="I631" s="177">
        <v>0</v>
      </c>
      <c r="J631" s="175">
        <v>46046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0</v>
      </c>
    </row>
    <row r="632" spans="1:16" ht="19.5" customHeight="1">
      <c r="A632" s="171" t="s">
        <v>878</v>
      </c>
      <c r="B632" s="175">
        <v>46052</v>
      </c>
      <c r="C632" s="171" t="s">
        <v>110</v>
      </c>
      <c r="D632" s="171" t="s">
        <v>118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113</v>
      </c>
      <c r="L632" s="171" t="s">
        <v>114</v>
      </c>
      <c r="M632" s="178">
        <v>0</v>
      </c>
      <c r="N632" s="176"/>
      <c r="O632" s="176"/>
      <c r="P632" s="179">
        <v>-46.77</v>
      </c>
    </row>
    <row r="633" spans="1:16" ht="19.5" customHeight="1">
      <c r="A633" s="171" t="s">
        <v>878</v>
      </c>
      <c r="B633" s="175">
        <v>46052</v>
      </c>
      <c r="C633" s="171" t="s">
        <v>115</v>
      </c>
      <c r="D633" s="171" t="s">
        <v>119</v>
      </c>
      <c r="E633" s="171" t="s">
        <v>38</v>
      </c>
      <c r="F633" s="171" t="s">
        <v>111</v>
      </c>
      <c r="G633" s="171" t="s">
        <v>112</v>
      </c>
      <c r="H633" s="176">
        <v>1</v>
      </c>
      <c r="I633" s="177">
        <v>0</v>
      </c>
      <c r="J633" s="175">
        <v>46046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-15</v>
      </c>
    </row>
    <row r="634" spans="1:16" ht="19.5" customHeight="1">
      <c r="A634" s="171" t="s">
        <v>879</v>
      </c>
      <c r="B634" s="175">
        <v>46052</v>
      </c>
      <c r="C634" s="171" t="s">
        <v>110</v>
      </c>
      <c r="D634" s="171" t="s">
        <v>24</v>
      </c>
      <c r="E634" s="171" t="s">
        <v>77</v>
      </c>
      <c r="F634" s="171" t="s">
        <v>194</v>
      </c>
      <c r="G634" s="171" t="s">
        <v>177</v>
      </c>
      <c r="H634" s="176">
        <v>1</v>
      </c>
      <c r="I634" s="177">
        <v>0</v>
      </c>
      <c r="J634" s="175">
        <v>46050</v>
      </c>
      <c r="K634" s="171" t="s">
        <v>113</v>
      </c>
      <c r="L634" s="171" t="s">
        <v>114</v>
      </c>
      <c r="M634" s="178">
        <v>0</v>
      </c>
      <c r="N634" s="176"/>
      <c r="O634" s="176">
        <v>50</v>
      </c>
      <c r="P634" s="179">
        <v>-56.94</v>
      </c>
    </row>
    <row r="635" spans="1:16" ht="19.5" customHeight="1">
      <c r="A635" s="171" t="s">
        <v>879</v>
      </c>
      <c r="B635" s="175">
        <v>46052</v>
      </c>
      <c r="C635" s="171" t="s">
        <v>110</v>
      </c>
      <c r="D635" s="171" t="s">
        <v>117</v>
      </c>
      <c r="E635" s="171" t="s">
        <v>77</v>
      </c>
      <c r="F635" s="171" t="s">
        <v>194</v>
      </c>
      <c r="G635" s="171" t="s">
        <v>177</v>
      </c>
      <c r="H635" s="176">
        <v>1</v>
      </c>
      <c r="I635" s="177">
        <v>0</v>
      </c>
      <c r="J635" s="175">
        <v>46050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0</v>
      </c>
    </row>
    <row r="636" spans="1:16" ht="19.5" customHeight="1">
      <c r="A636" s="171" t="s">
        <v>879</v>
      </c>
      <c r="B636" s="175">
        <v>46052</v>
      </c>
      <c r="C636" s="171" t="s">
        <v>110</v>
      </c>
      <c r="D636" s="171" t="s">
        <v>118</v>
      </c>
      <c r="E636" s="171" t="s">
        <v>77</v>
      </c>
      <c r="F636" s="171" t="s">
        <v>194</v>
      </c>
      <c r="G636" s="171" t="s">
        <v>177</v>
      </c>
      <c r="H636" s="176">
        <v>1</v>
      </c>
      <c r="I636" s="177">
        <v>0</v>
      </c>
      <c r="J636" s="175">
        <v>46050</v>
      </c>
      <c r="K636" s="171" t="s">
        <v>113</v>
      </c>
      <c r="L636" s="171" t="s">
        <v>114</v>
      </c>
      <c r="M636" s="178">
        <v>0</v>
      </c>
      <c r="N636" s="176"/>
      <c r="O636" s="176"/>
      <c r="P636" s="179">
        <v>-56.94</v>
      </c>
    </row>
    <row r="637" spans="1:16" ht="19.5" customHeight="1">
      <c r="A637" s="171" t="s">
        <v>880</v>
      </c>
      <c r="B637" s="175">
        <v>46052</v>
      </c>
      <c r="C637" s="171" t="s">
        <v>110</v>
      </c>
      <c r="D637" s="171" t="s">
        <v>24</v>
      </c>
      <c r="E637" s="171" t="s">
        <v>77</v>
      </c>
      <c r="F637" s="171" t="s">
        <v>194</v>
      </c>
      <c r="G637" s="171" t="s">
        <v>177</v>
      </c>
      <c r="H637" s="176">
        <v>1</v>
      </c>
      <c r="I637" s="177">
        <v>0</v>
      </c>
      <c r="J637" s="175">
        <v>46046</v>
      </c>
      <c r="K637" s="171" t="s">
        <v>113</v>
      </c>
      <c r="L637" s="171" t="s">
        <v>114</v>
      </c>
      <c r="M637" s="178">
        <v>0</v>
      </c>
      <c r="N637" s="176"/>
      <c r="O637" s="176">
        <v>50</v>
      </c>
      <c r="P637" s="179">
        <v>-56.94</v>
      </c>
    </row>
    <row r="638" spans="1:16" ht="19.5" customHeight="1">
      <c r="A638" s="171" t="s">
        <v>880</v>
      </c>
      <c r="B638" s="175">
        <v>46052</v>
      </c>
      <c r="C638" s="171" t="s">
        <v>115</v>
      </c>
      <c r="D638" s="171" t="s">
        <v>116</v>
      </c>
      <c r="E638" s="171" t="s">
        <v>77</v>
      </c>
      <c r="F638" s="171" t="s">
        <v>194</v>
      </c>
      <c r="G638" s="171" t="s">
        <v>177</v>
      </c>
      <c r="H638" s="176">
        <v>1</v>
      </c>
      <c r="I638" s="177">
        <v>0</v>
      </c>
      <c r="J638" s="175">
        <v>46046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-12.37</v>
      </c>
    </row>
    <row r="639" spans="1:16" ht="19.5" customHeight="1">
      <c r="A639" s="171" t="s">
        <v>880</v>
      </c>
      <c r="B639" s="175">
        <v>46052</v>
      </c>
      <c r="C639" s="171" t="s">
        <v>110</v>
      </c>
      <c r="D639" s="171" t="s">
        <v>117</v>
      </c>
      <c r="E639" s="171" t="s">
        <v>77</v>
      </c>
      <c r="F639" s="171" t="s">
        <v>194</v>
      </c>
      <c r="G639" s="171" t="s">
        <v>177</v>
      </c>
      <c r="H639" s="176">
        <v>1</v>
      </c>
      <c r="I639" s="177">
        <v>0</v>
      </c>
      <c r="J639" s="175">
        <v>46046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0</v>
      </c>
    </row>
    <row r="640" spans="1:16" ht="19.5" customHeight="1">
      <c r="A640" s="171" t="s">
        <v>880</v>
      </c>
      <c r="B640" s="175">
        <v>46052</v>
      </c>
      <c r="C640" s="171" t="s">
        <v>110</v>
      </c>
      <c r="D640" s="171" t="s">
        <v>118</v>
      </c>
      <c r="E640" s="171" t="s">
        <v>77</v>
      </c>
      <c r="F640" s="171" t="s">
        <v>194</v>
      </c>
      <c r="G640" s="171" t="s">
        <v>177</v>
      </c>
      <c r="H640" s="176">
        <v>1</v>
      </c>
      <c r="I640" s="177">
        <v>0</v>
      </c>
      <c r="J640" s="175">
        <v>46046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-56.94</v>
      </c>
    </row>
    <row r="641" spans="1:16" ht="19.5" customHeight="1">
      <c r="A641" s="171" t="s">
        <v>880</v>
      </c>
      <c r="B641" s="175">
        <v>46052</v>
      </c>
      <c r="C641" s="171" t="s">
        <v>115</v>
      </c>
      <c r="D641" s="171" t="s">
        <v>119</v>
      </c>
      <c r="E641" s="171" t="s">
        <v>77</v>
      </c>
      <c r="F641" s="171" t="s">
        <v>194</v>
      </c>
      <c r="G641" s="171" t="s">
        <v>177</v>
      </c>
      <c r="H641" s="176">
        <v>1</v>
      </c>
      <c r="I641" s="177">
        <v>0</v>
      </c>
      <c r="J641" s="175">
        <v>46046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-15</v>
      </c>
    </row>
    <row r="642" spans="1:16" ht="19.5" customHeight="1">
      <c r="A642" s="171" t="s">
        <v>881</v>
      </c>
      <c r="B642" s="175">
        <v>46052</v>
      </c>
      <c r="C642" s="171" t="s">
        <v>110</v>
      </c>
      <c r="D642" s="171" t="s">
        <v>24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46046</v>
      </c>
      <c r="K642" s="171" t="s">
        <v>113</v>
      </c>
      <c r="L642" s="171" t="s">
        <v>114</v>
      </c>
      <c r="M642" s="178">
        <v>0</v>
      </c>
      <c r="N642" s="176"/>
      <c r="O642" s="176">
        <v>50</v>
      </c>
      <c r="P642" s="179">
        <v>-46.77</v>
      </c>
    </row>
    <row r="643" spans="1:16" ht="19.5" customHeight="1">
      <c r="A643" s="171" t="s">
        <v>881</v>
      </c>
      <c r="B643" s="175">
        <v>46052</v>
      </c>
      <c r="C643" s="171" t="s">
        <v>115</v>
      </c>
      <c r="D643" s="171" t="s">
        <v>116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0</v>
      </c>
      <c r="J643" s="175">
        <v>46046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-19.77</v>
      </c>
    </row>
    <row r="644" spans="1:16" ht="19.5" customHeight="1">
      <c r="A644" s="171" t="s">
        <v>881</v>
      </c>
      <c r="B644" s="175">
        <v>46052</v>
      </c>
      <c r="C644" s="171" t="s">
        <v>110</v>
      </c>
      <c r="D644" s="171" t="s">
        <v>117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0</v>
      </c>
      <c r="J644" s="175">
        <v>46046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0</v>
      </c>
    </row>
    <row r="645" spans="1:16" ht="19.5" customHeight="1">
      <c r="A645" s="171" t="s">
        <v>881</v>
      </c>
      <c r="B645" s="175">
        <v>46052</v>
      </c>
      <c r="C645" s="171" t="s">
        <v>110</v>
      </c>
      <c r="D645" s="171" t="s">
        <v>118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0</v>
      </c>
      <c r="J645" s="175">
        <v>46046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-46.77</v>
      </c>
    </row>
    <row r="646" spans="1:16" ht="19.5" customHeight="1">
      <c r="A646" s="171" t="s">
        <v>881</v>
      </c>
      <c r="B646" s="175">
        <v>46052</v>
      </c>
      <c r="C646" s="171" t="s">
        <v>115</v>
      </c>
      <c r="D646" s="171" t="s">
        <v>119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0</v>
      </c>
      <c r="J646" s="175">
        <v>46046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-15</v>
      </c>
    </row>
    <row r="647" spans="1:16" ht="19.5" customHeight="1">
      <c r="A647" s="171" t="s">
        <v>882</v>
      </c>
      <c r="B647" s="175">
        <v>46052</v>
      </c>
      <c r="C647" s="171" t="s">
        <v>110</v>
      </c>
      <c r="D647" s="171" t="s">
        <v>24</v>
      </c>
      <c r="E647" s="171" t="s">
        <v>77</v>
      </c>
      <c r="F647" s="171" t="s">
        <v>194</v>
      </c>
      <c r="G647" s="171" t="s">
        <v>177</v>
      </c>
      <c r="H647" s="176">
        <v>1</v>
      </c>
      <c r="I647" s="177">
        <v>4136</v>
      </c>
      <c r="J647" s="175">
        <v>46050</v>
      </c>
      <c r="K647" s="171" t="s">
        <v>113</v>
      </c>
      <c r="L647" s="171" t="s">
        <v>114</v>
      </c>
      <c r="M647" s="178">
        <v>0.43</v>
      </c>
      <c r="N647" s="176"/>
      <c r="O647" s="176">
        <v>50</v>
      </c>
      <c r="P647" s="179">
        <v>-257.38</v>
      </c>
    </row>
    <row r="648" spans="1:16" ht="19.5" customHeight="1">
      <c r="A648" s="171" t="s">
        <v>882</v>
      </c>
      <c r="B648" s="175">
        <v>46052</v>
      </c>
      <c r="C648" s="171" t="s">
        <v>127</v>
      </c>
      <c r="D648" s="171" t="s">
        <v>128</v>
      </c>
      <c r="E648" s="171" t="s">
        <v>77</v>
      </c>
      <c r="F648" s="171" t="s">
        <v>194</v>
      </c>
      <c r="G648" s="171" t="s">
        <v>177</v>
      </c>
      <c r="H648" s="176">
        <v>1</v>
      </c>
      <c r="I648" s="177">
        <v>4136</v>
      </c>
      <c r="J648" s="175">
        <v>46050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1439.92</v>
      </c>
    </row>
    <row r="649" spans="1:16" ht="19.5" customHeight="1">
      <c r="A649" s="171" t="s">
        <v>882</v>
      </c>
      <c r="B649" s="175">
        <v>46052</v>
      </c>
      <c r="C649" s="171" t="s">
        <v>127</v>
      </c>
      <c r="D649" s="171" t="s">
        <v>129</v>
      </c>
      <c r="E649" s="171" t="s">
        <v>77</v>
      </c>
      <c r="F649" s="171" t="s">
        <v>194</v>
      </c>
      <c r="G649" s="171" t="s">
        <v>177</v>
      </c>
      <c r="H649" s="176">
        <v>1</v>
      </c>
      <c r="I649" s="177">
        <v>4136</v>
      </c>
      <c r="J649" s="175">
        <v>46050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14.4</v>
      </c>
    </row>
    <row r="650" spans="1:16" ht="19.5" customHeight="1">
      <c r="A650" s="171" t="s">
        <v>882</v>
      </c>
      <c r="B650" s="175">
        <v>46052</v>
      </c>
      <c r="C650" s="171" t="s">
        <v>127</v>
      </c>
      <c r="D650" s="171" t="s">
        <v>130</v>
      </c>
      <c r="E650" s="171" t="s">
        <v>77</v>
      </c>
      <c r="F650" s="171" t="s">
        <v>194</v>
      </c>
      <c r="G650" s="171" t="s">
        <v>177</v>
      </c>
      <c r="H650" s="176">
        <v>1</v>
      </c>
      <c r="I650" s="177">
        <v>4136</v>
      </c>
      <c r="J650" s="175">
        <v>46050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2681.68</v>
      </c>
    </row>
    <row r="651" spans="1:16" ht="19.5" customHeight="1">
      <c r="A651" s="171" t="s">
        <v>882</v>
      </c>
      <c r="B651" s="175">
        <v>46052</v>
      </c>
      <c r="C651" s="171" t="s">
        <v>131</v>
      </c>
      <c r="D651" s="171" t="s">
        <v>132</v>
      </c>
      <c r="E651" s="171" t="s">
        <v>77</v>
      </c>
      <c r="F651" s="171" t="s">
        <v>194</v>
      </c>
      <c r="G651" s="171" t="s">
        <v>177</v>
      </c>
      <c r="H651" s="176">
        <v>1</v>
      </c>
      <c r="I651" s="177">
        <v>4136</v>
      </c>
      <c r="J651" s="175">
        <v>46050</v>
      </c>
      <c r="K651" s="171" t="s">
        <v>113</v>
      </c>
      <c r="L651" s="171" t="s">
        <v>114</v>
      </c>
      <c r="M651" s="178">
        <v>0.43</v>
      </c>
      <c r="N651" s="176"/>
      <c r="O651" s="176"/>
      <c r="P651" s="179">
        <v>-1778.48</v>
      </c>
    </row>
    <row r="652" spans="1:16" ht="19.5" customHeight="1">
      <c r="A652" s="171" t="s">
        <v>882</v>
      </c>
      <c r="B652" s="175">
        <v>46052</v>
      </c>
      <c r="C652" s="171" t="s">
        <v>115</v>
      </c>
      <c r="D652" s="171" t="s">
        <v>116</v>
      </c>
      <c r="E652" s="171" t="s">
        <v>77</v>
      </c>
      <c r="F652" s="171" t="s">
        <v>194</v>
      </c>
      <c r="G652" s="171" t="s">
        <v>177</v>
      </c>
      <c r="H652" s="176">
        <v>1</v>
      </c>
      <c r="I652" s="177">
        <v>4136</v>
      </c>
      <c r="J652" s="175">
        <v>46050</v>
      </c>
      <c r="K652" s="171" t="s">
        <v>113</v>
      </c>
      <c r="L652" s="171" t="s">
        <v>114</v>
      </c>
      <c r="M652" s="178">
        <v>0.43</v>
      </c>
      <c r="N652" s="176"/>
      <c r="O652" s="176"/>
      <c r="P652" s="179">
        <v>-14.79</v>
      </c>
    </row>
    <row r="653" spans="1:16" ht="19.5" customHeight="1">
      <c r="A653" s="171" t="s">
        <v>883</v>
      </c>
      <c r="B653" s="175">
        <v>46052</v>
      </c>
      <c r="C653" s="171" t="s">
        <v>110</v>
      </c>
      <c r="D653" s="171" t="s">
        <v>24</v>
      </c>
      <c r="E653" s="171" t="s">
        <v>38</v>
      </c>
      <c r="F653" s="171" t="s">
        <v>111</v>
      </c>
      <c r="G653" s="171" t="s">
        <v>112</v>
      </c>
      <c r="H653" s="176">
        <v>1</v>
      </c>
      <c r="I653" s="177">
        <v>1800</v>
      </c>
      <c r="J653" s="175">
        <v>46050</v>
      </c>
      <c r="K653" s="171" t="s">
        <v>113</v>
      </c>
      <c r="L653" s="171" t="s">
        <v>114</v>
      </c>
      <c r="M653" s="178">
        <v>0.43</v>
      </c>
      <c r="N653" s="176"/>
      <c r="O653" s="176">
        <v>50</v>
      </c>
      <c r="P653" s="179">
        <v>-150.72</v>
      </c>
    </row>
    <row r="654" spans="1:16" ht="19.5" customHeight="1">
      <c r="A654" s="171" t="s">
        <v>883</v>
      </c>
      <c r="B654" s="175">
        <v>46052</v>
      </c>
      <c r="C654" s="171" t="s">
        <v>127</v>
      </c>
      <c r="D654" s="171" t="s">
        <v>128</v>
      </c>
      <c r="E654" s="171" t="s">
        <v>38</v>
      </c>
      <c r="F654" s="171" t="s">
        <v>111</v>
      </c>
      <c r="G654" s="171" t="s">
        <v>112</v>
      </c>
      <c r="H654" s="176">
        <v>1</v>
      </c>
      <c r="I654" s="177">
        <v>1800</v>
      </c>
      <c r="J654" s="175">
        <v>46050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749.52</v>
      </c>
    </row>
    <row r="655" spans="1:16" ht="19.5" customHeight="1">
      <c r="A655" s="171" t="s">
        <v>883</v>
      </c>
      <c r="B655" s="175">
        <v>46052</v>
      </c>
      <c r="C655" s="171" t="s">
        <v>127</v>
      </c>
      <c r="D655" s="171" t="s">
        <v>129</v>
      </c>
      <c r="E655" s="171" t="s">
        <v>38</v>
      </c>
      <c r="F655" s="171" t="s">
        <v>111</v>
      </c>
      <c r="G655" s="171" t="s">
        <v>112</v>
      </c>
      <c r="H655" s="176">
        <v>1</v>
      </c>
      <c r="I655" s="177">
        <v>1800</v>
      </c>
      <c r="J655" s="175">
        <v>46050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7.5</v>
      </c>
    </row>
    <row r="656" spans="1:16" ht="19.5" customHeight="1">
      <c r="A656" s="171" t="s">
        <v>883</v>
      </c>
      <c r="B656" s="175">
        <v>46052</v>
      </c>
      <c r="C656" s="171" t="s">
        <v>127</v>
      </c>
      <c r="D656" s="171" t="s">
        <v>130</v>
      </c>
      <c r="E656" s="171" t="s">
        <v>38</v>
      </c>
      <c r="F656" s="171" t="s">
        <v>111</v>
      </c>
      <c r="G656" s="171" t="s">
        <v>112</v>
      </c>
      <c r="H656" s="176">
        <v>1</v>
      </c>
      <c r="I656" s="177">
        <v>1800</v>
      </c>
      <c r="J656" s="175">
        <v>46050</v>
      </c>
      <c r="K656" s="171" t="s">
        <v>113</v>
      </c>
      <c r="L656" s="171" t="s">
        <v>114</v>
      </c>
      <c r="M656" s="178">
        <v>0</v>
      </c>
      <c r="N656" s="176"/>
      <c r="O656" s="176"/>
      <c r="P656" s="179">
        <v>1042.98</v>
      </c>
    </row>
    <row r="657" spans="1:16" ht="19.5" customHeight="1">
      <c r="A657" s="171" t="s">
        <v>883</v>
      </c>
      <c r="B657" s="175">
        <v>46052</v>
      </c>
      <c r="C657" s="171" t="s">
        <v>131</v>
      </c>
      <c r="D657" s="171" t="s">
        <v>132</v>
      </c>
      <c r="E657" s="171" t="s">
        <v>38</v>
      </c>
      <c r="F657" s="171" t="s">
        <v>111</v>
      </c>
      <c r="G657" s="171" t="s">
        <v>112</v>
      </c>
      <c r="H657" s="176">
        <v>1</v>
      </c>
      <c r="I657" s="177">
        <v>1800</v>
      </c>
      <c r="J657" s="175">
        <v>46050</v>
      </c>
      <c r="K657" s="171" t="s">
        <v>113</v>
      </c>
      <c r="L657" s="171" t="s">
        <v>114</v>
      </c>
      <c r="M657" s="178">
        <v>0.43</v>
      </c>
      <c r="N657" s="176"/>
      <c r="O657" s="176"/>
      <c r="P657" s="179">
        <v>-774</v>
      </c>
    </row>
    <row r="658" spans="1:16" ht="19.5" customHeight="1">
      <c r="A658" s="171" t="s">
        <v>883</v>
      </c>
      <c r="B658" s="175">
        <v>46052</v>
      </c>
      <c r="C658" s="171" t="s">
        <v>115</v>
      </c>
      <c r="D658" s="171" t="s">
        <v>116</v>
      </c>
      <c r="E658" s="171" t="s">
        <v>38</v>
      </c>
      <c r="F658" s="171" t="s">
        <v>111</v>
      </c>
      <c r="G658" s="171" t="s">
        <v>112</v>
      </c>
      <c r="H658" s="176">
        <v>1</v>
      </c>
      <c r="I658" s="177">
        <v>1800</v>
      </c>
      <c r="J658" s="175">
        <v>46050</v>
      </c>
      <c r="K658" s="171" t="s">
        <v>113</v>
      </c>
      <c r="L658" s="171" t="s">
        <v>114</v>
      </c>
      <c r="M658" s="178">
        <v>0.43</v>
      </c>
      <c r="N658" s="176"/>
      <c r="O658" s="176"/>
      <c r="P658" s="179">
        <v>-18.14</v>
      </c>
    </row>
    <row r="659" spans="1:16" ht="19.5" customHeight="1">
      <c r="A659" s="171" t="s">
        <v>882</v>
      </c>
      <c r="B659" s="175">
        <v>46052</v>
      </c>
      <c r="C659" s="171" t="s">
        <v>115</v>
      </c>
      <c r="D659" s="171" t="s">
        <v>135</v>
      </c>
      <c r="E659" s="171" t="s">
        <v>77</v>
      </c>
      <c r="F659" s="171" t="s">
        <v>194</v>
      </c>
      <c r="G659" s="171" t="s">
        <v>177</v>
      </c>
      <c r="H659" s="176">
        <v>1</v>
      </c>
      <c r="I659" s="177">
        <v>0</v>
      </c>
      <c r="J659" s="175">
        <v>46050</v>
      </c>
      <c r="K659" s="171" t="s">
        <v>125</v>
      </c>
      <c r="L659" s="171" t="s">
        <v>125</v>
      </c>
      <c r="M659" s="178">
        <v>0</v>
      </c>
      <c r="N659" s="176"/>
      <c r="O659" s="176"/>
      <c r="P659" s="179">
        <v>-27.36</v>
      </c>
    </row>
    <row r="660" spans="1:16" ht="19.5" customHeight="1">
      <c r="A660" s="171" t="s">
        <v>883</v>
      </c>
      <c r="B660" s="175">
        <v>46052</v>
      </c>
      <c r="C660" s="171" t="s">
        <v>115</v>
      </c>
      <c r="D660" s="171" t="s">
        <v>135</v>
      </c>
      <c r="E660" s="171" t="s">
        <v>38</v>
      </c>
      <c r="F660" s="171" t="s">
        <v>111</v>
      </c>
      <c r="G660" s="171" t="s">
        <v>112</v>
      </c>
      <c r="H660" s="176">
        <v>1</v>
      </c>
      <c r="I660" s="177">
        <v>0</v>
      </c>
      <c r="J660" s="175">
        <v>46050</v>
      </c>
      <c r="K660" s="171" t="s">
        <v>125</v>
      </c>
      <c r="L660" s="171" t="s">
        <v>125</v>
      </c>
      <c r="M660" s="178">
        <v>0</v>
      </c>
      <c r="N660" s="176"/>
      <c r="O660" s="176"/>
      <c r="P660" s="179">
        <v>-14.24</v>
      </c>
    </row>
    <row r="661" spans="1:16" ht="19.5" customHeight="1">
      <c r="A661" s="171" t="s">
        <v>884</v>
      </c>
      <c r="B661" s="175">
        <v>46052</v>
      </c>
      <c r="C661" s="171" t="s">
        <v>110</v>
      </c>
      <c r="D661" s="171" t="s">
        <v>24</v>
      </c>
      <c r="E661" s="171" t="s">
        <v>38</v>
      </c>
      <c r="F661" s="171" t="s">
        <v>111</v>
      </c>
      <c r="G661" s="171" t="s">
        <v>112</v>
      </c>
      <c r="H661" s="176">
        <v>1</v>
      </c>
      <c r="I661" s="177">
        <v>1670</v>
      </c>
      <c r="J661" s="175">
        <v>46038</v>
      </c>
      <c r="K661" s="171" t="s">
        <v>113</v>
      </c>
      <c r="L661" s="171" t="s">
        <v>114</v>
      </c>
      <c r="M661" s="178">
        <v>0.43</v>
      </c>
      <c r="N661" s="176"/>
      <c r="O661" s="176">
        <v>48</v>
      </c>
      <c r="P661" s="179">
        <v>-141.87</v>
      </c>
    </row>
    <row r="662" spans="1:16" ht="19.5" customHeight="1">
      <c r="A662" s="171" t="s">
        <v>884</v>
      </c>
      <c r="B662" s="175">
        <v>46052</v>
      </c>
      <c r="C662" s="171" t="s">
        <v>127</v>
      </c>
      <c r="D662" s="171" t="s">
        <v>128</v>
      </c>
      <c r="E662" s="171" t="s">
        <v>38</v>
      </c>
      <c r="F662" s="171" t="s">
        <v>111</v>
      </c>
      <c r="G662" s="171" t="s">
        <v>112</v>
      </c>
      <c r="H662" s="176">
        <v>1</v>
      </c>
      <c r="I662" s="177">
        <v>1670</v>
      </c>
      <c r="J662" s="175">
        <v>46038</v>
      </c>
      <c r="K662" s="171" t="s">
        <v>113</v>
      </c>
      <c r="L662" s="171" t="s">
        <v>114</v>
      </c>
      <c r="M662" s="178">
        <v>0</v>
      </c>
      <c r="N662" s="176"/>
      <c r="O662" s="176"/>
      <c r="P662" s="179">
        <v>573.74</v>
      </c>
    </row>
    <row r="663" spans="1:16" ht="19.5" customHeight="1">
      <c r="A663" s="171" t="s">
        <v>884</v>
      </c>
      <c r="B663" s="175">
        <v>46052</v>
      </c>
      <c r="C663" s="171" t="s">
        <v>127</v>
      </c>
      <c r="D663" s="171" t="s">
        <v>129</v>
      </c>
      <c r="E663" s="171" t="s">
        <v>38</v>
      </c>
      <c r="F663" s="171" t="s">
        <v>111</v>
      </c>
      <c r="G663" s="171" t="s">
        <v>112</v>
      </c>
      <c r="H663" s="176">
        <v>1</v>
      </c>
      <c r="I663" s="177">
        <v>1670</v>
      </c>
      <c r="J663" s="175">
        <v>46038</v>
      </c>
      <c r="K663" s="171" t="s">
        <v>113</v>
      </c>
      <c r="L663" s="171" t="s">
        <v>114</v>
      </c>
      <c r="M663" s="178">
        <v>0</v>
      </c>
      <c r="N663" s="176"/>
      <c r="O663" s="176"/>
      <c r="P663" s="179">
        <v>5.74</v>
      </c>
    </row>
    <row r="664" spans="1:16" ht="19.5" customHeight="1">
      <c r="A664" s="171" t="s">
        <v>884</v>
      </c>
      <c r="B664" s="175">
        <v>46052</v>
      </c>
      <c r="C664" s="171" t="s">
        <v>127</v>
      </c>
      <c r="D664" s="171" t="s">
        <v>130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46038</v>
      </c>
      <c r="K664" s="171" t="s">
        <v>113</v>
      </c>
      <c r="L664" s="171" t="s">
        <v>114</v>
      </c>
      <c r="M664" s="178">
        <v>0</v>
      </c>
      <c r="N664" s="176"/>
      <c r="O664" s="176"/>
      <c r="P664" s="179">
        <v>1090.52</v>
      </c>
    </row>
    <row r="665" spans="1:16" ht="19.5" customHeight="1">
      <c r="A665" s="171" t="s">
        <v>884</v>
      </c>
      <c r="B665" s="175">
        <v>46052</v>
      </c>
      <c r="C665" s="171" t="s">
        <v>131</v>
      </c>
      <c r="D665" s="171" t="s">
        <v>132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46038</v>
      </c>
      <c r="K665" s="171" t="s">
        <v>113</v>
      </c>
      <c r="L665" s="171" t="s">
        <v>114</v>
      </c>
      <c r="M665" s="178">
        <v>0.43</v>
      </c>
      <c r="N665" s="176"/>
      <c r="O665" s="176"/>
      <c r="P665" s="179">
        <v>-718.1</v>
      </c>
    </row>
    <row r="666" spans="1:16" ht="19.5" customHeight="1">
      <c r="A666" s="171" t="s">
        <v>884</v>
      </c>
      <c r="B666" s="175">
        <v>46052</v>
      </c>
      <c r="C666" s="171" t="s">
        <v>115</v>
      </c>
      <c r="D666" s="171" t="s">
        <v>116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46038</v>
      </c>
      <c r="K666" s="171" t="s">
        <v>113</v>
      </c>
      <c r="L666" s="171" t="s">
        <v>114</v>
      </c>
      <c r="M666" s="178">
        <v>0.43</v>
      </c>
      <c r="N666" s="176"/>
      <c r="O666" s="176"/>
      <c r="P666" s="179">
        <v>-7.46</v>
      </c>
    </row>
    <row r="667" spans="1:16" ht="19.5" customHeight="1">
      <c r="A667" s="171" t="s">
        <v>884</v>
      </c>
      <c r="B667" s="175">
        <v>46052</v>
      </c>
      <c r="C667" s="171" t="s">
        <v>115</v>
      </c>
      <c r="D667" s="171" t="s">
        <v>135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0</v>
      </c>
      <c r="J667" s="175">
        <v>46038</v>
      </c>
      <c r="K667" s="171" t="s">
        <v>125</v>
      </c>
      <c r="L667" s="171" t="s">
        <v>125</v>
      </c>
      <c r="M667" s="178">
        <v>0</v>
      </c>
      <c r="N667" s="176"/>
      <c r="O667" s="176"/>
      <c r="P667" s="179">
        <v>-10.9</v>
      </c>
    </row>
    <row r="668" spans="1:16" ht="19.5" customHeight="1">
      <c r="A668" s="171" t="s">
        <v>885</v>
      </c>
      <c r="B668" s="175">
        <v>46052</v>
      </c>
      <c r="C668" s="171" t="s">
        <v>110</v>
      </c>
      <c r="D668" s="171" t="s">
        <v>24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46045</v>
      </c>
      <c r="K668" s="171" t="s">
        <v>113</v>
      </c>
      <c r="L668" s="171" t="s">
        <v>114</v>
      </c>
      <c r="M668" s="178">
        <v>0.43</v>
      </c>
      <c r="N668" s="176"/>
      <c r="O668" s="176">
        <v>51</v>
      </c>
      <c r="P668" s="179">
        <v>-145.72</v>
      </c>
    </row>
    <row r="669" spans="1:16" ht="19.5" customHeight="1">
      <c r="A669" s="171" t="s">
        <v>885</v>
      </c>
      <c r="B669" s="175">
        <v>46052</v>
      </c>
      <c r="C669" s="171" t="s">
        <v>127</v>
      </c>
      <c r="D669" s="171" t="s">
        <v>128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46045</v>
      </c>
      <c r="K669" s="171" t="s">
        <v>113</v>
      </c>
      <c r="L669" s="171" t="s">
        <v>114</v>
      </c>
      <c r="M669" s="178">
        <v>0</v>
      </c>
      <c r="N669" s="176"/>
      <c r="O669" s="176"/>
      <c r="P669" s="179">
        <v>792.38</v>
      </c>
    </row>
    <row r="670" spans="1:16" ht="19.5" customHeight="1">
      <c r="A670" s="171" t="s">
        <v>885</v>
      </c>
      <c r="B670" s="175">
        <v>46052</v>
      </c>
      <c r="C670" s="171" t="s">
        <v>127</v>
      </c>
      <c r="D670" s="171" t="s">
        <v>129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1670</v>
      </c>
      <c r="J670" s="175">
        <v>46045</v>
      </c>
      <c r="K670" s="171" t="s">
        <v>113</v>
      </c>
      <c r="L670" s="171" t="s">
        <v>114</v>
      </c>
      <c r="M670" s="178">
        <v>0</v>
      </c>
      <c r="N670" s="176"/>
      <c r="O670" s="176"/>
      <c r="P670" s="179">
        <v>7.92</v>
      </c>
    </row>
    <row r="671" spans="1:16" ht="19.5" customHeight="1">
      <c r="A671" s="171" t="s">
        <v>885</v>
      </c>
      <c r="B671" s="175">
        <v>46052</v>
      </c>
      <c r="C671" s="171" t="s">
        <v>127</v>
      </c>
      <c r="D671" s="171" t="s">
        <v>130</v>
      </c>
      <c r="E671" s="171" t="s">
        <v>38</v>
      </c>
      <c r="F671" s="171" t="s">
        <v>111</v>
      </c>
      <c r="G671" s="171" t="s">
        <v>112</v>
      </c>
      <c r="H671" s="176">
        <v>1</v>
      </c>
      <c r="I671" s="177">
        <v>1670</v>
      </c>
      <c r="J671" s="175">
        <v>46045</v>
      </c>
      <c r="K671" s="171" t="s">
        <v>113</v>
      </c>
      <c r="L671" s="171" t="s">
        <v>114</v>
      </c>
      <c r="M671" s="178">
        <v>0</v>
      </c>
      <c r="N671" s="176"/>
      <c r="O671" s="176"/>
      <c r="P671" s="179">
        <v>869.7</v>
      </c>
    </row>
    <row r="672" spans="1:16" ht="19.5" customHeight="1">
      <c r="A672" s="171" t="s">
        <v>885</v>
      </c>
      <c r="B672" s="175">
        <v>46052</v>
      </c>
      <c r="C672" s="171" t="s">
        <v>131</v>
      </c>
      <c r="D672" s="171" t="s">
        <v>132</v>
      </c>
      <c r="E672" s="171" t="s">
        <v>38</v>
      </c>
      <c r="F672" s="171" t="s">
        <v>111</v>
      </c>
      <c r="G672" s="171" t="s">
        <v>112</v>
      </c>
      <c r="H672" s="176">
        <v>1</v>
      </c>
      <c r="I672" s="177">
        <v>1670</v>
      </c>
      <c r="J672" s="175">
        <v>46045</v>
      </c>
      <c r="K672" s="171" t="s">
        <v>113</v>
      </c>
      <c r="L672" s="171" t="s">
        <v>114</v>
      </c>
      <c r="M672" s="178">
        <v>0.43</v>
      </c>
      <c r="N672" s="176"/>
      <c r="O672" s="176"/>
      <c r="P672" s="179">
        <v>-718.1</v>
      </c>
    </row>
    <row r="673" spans="1:16" ht="19.5" customHeight="1">
      <c r="A673" s="171" t="s">
        <v>885</v>
      </c>
      <c r="B673" s="175">
        <v>46052</v>
      </c>
      <c r="C673" s="171" t="s">
        <v>115</v>
      </c>
      <c r="D673" s="171" t="s">
        <v>116</v>
      </c>
      <c r="E673" s="171" t="s">
        <v>38</v>
      </c>
      <c r="F673" s="171" t="s">
        <v>111</v>
      </c>
      <c r="G673" s="171" t="s">
        <v>112</v>
      </c>
      <c r="H673" s="176">
        <v>1</v>
      </c>
      <c r="I673" s="177">
        <v>1670</v>
      </c>
      <c r="J673" s="175">
        <v>46045</v>
      </c>
      <c r="K673" s="171" t="s">
        <v>113</v>
      </c>
      <c r="L673" s="171" t="s">
        <v>114</v>
      </c>
      <c r="M673" s="178">
        <v>0.43</v>
      </c>
      <c r="N673" s="176"/>
      <c r="O673" s="176"/>
      <c r="P673" s="179">
        <v>-8.5399999999999991</v>
      </c>
    </row>
    <row r="674" spans="1:16" ht="19.5" customHeight="1">
      <c r="A674" s="171" t="s">
        <v>886</v>
      </c>
      <c r="B674" s="175">
        <v>46052</v>
      </c>
      <c r="C674" s="171" t="s">
        <v>115</v>
      </c>
      <c r="D674" s="171" t="s">
        <v>135</v>
      </c>
      <c r="E674" s="171" t="s">
        <v>42</v>
      </c>
      <c r="F674" s="171" t="s">
        <v>248</v>
      </c>
      <c r="G674" s="171" t="s">
        <v>112</v>
      </c>
      <c r="H674" s="176">
        <v>1</v>
      </c>
      <c r="I674" s="177">
        <v>0</v>
      </c>
      <c r="J674" s="175">
        <v>46052</v>
      </c>
      <c r="K674" s="171" t="s">
        <v>125</v>
      </c>
      <c r="L674" s="171" t="s">
        <v>125</v>
      </c>
      <c r="M674" s="178">
        <v>0</v>
      </c>
      <c r="N674" s="176"/>
      <c r="O674" s="176"/>
      <c r="P674" s="179">
        <v>-16.09</v>
      </c>
    </row>
    <row r="675" spans="1:16" ht="19.5" customHeight="1">
      <c r="A675" s="171" t="s">
        <v>885</v>
      </c>
      <c r="B675" s="175">
        <v>46052</v>
      </c>
      <c r="C675" s="171" t="s">
        <v>115</v>
      </c>
      <c r="D675" s="171" t="s">
        <v>135</v>
      </c>
      <c r="E675" s="171" t="s">
        <v>38</v>
      </c>
      <c r="F675" s="171" t="s">
        <v>111</v>
      </c>
      <c r="G675" s="171" t="s">
        <v>112</v>
      </c>
      <c r="H675" s="176">
        <v>1</v>
      </c>
      <c r="I675" s="177">
        <v>0</v>
      </c>
      <c r="J675" s="175">
        <v>46045</v>
      </c>
      <c r="K675" s="171" t="s">
        <v>125</v>
      </c>
      <c r="L675" s="171" t="s">
        <v>125</v>
      </c>
      <c r="M675" s="178">
        <v>0</v>
      </c>
      <c r="N675" s="176"/>
      <c r="O675" s="176"/>
      <c r="P675" s="179">
        <v>-15.06</v>
      </c>
    </row>
    <row r="676" spans="1:16" ht="19.5" customHeight="1">
      <c r="A676" s="171" t="s">
        <v>887</v>
      </c>
      <c r="B676" s="175">
        <v>46052</v>
      </c>
      <c r="C676" s="171" t="s">
        <v>110</v>
      </c>
      <c r="D676" s="171" t="s">
        <v>24</v>
      </c>
      <c r="E676" s="171" t="s">
        <v>78</v>
      </c>
      <c r="F676" s="171" t="s">
        <v>176</v>
      </c>
      <c r="G676" s="171" t="s">
        <v>177</v>
      </c>
      <c r="H676" s="176">
        <v>1</v>
      </c>
      <c r="I676" s="177">
        <v>4940</v>
      </c>
      <c r="J676" s="175">
        <v>46046</v>
      </c>
      <c r="K676" s="171" t="s">
        <v>113</v>
      </c>
      <c r="L676" s="171" t="s">
        <v>114</v>
      </c>
      <c r="M676" s="178">
        <v>0.43</v>
      </c>
      <c r="N676" s="176"/>
      <c r="O676" s="176">
        <v>50</v>
      </c>
      <c r="P676" s="179">
        <v>-287.93</v>
      </c>
    </row>
    <row r="677" spans="1:16" ht="19.5" customHeight="1">
      <c r="A677" s="171" t="s">
        <v>887</v>
      </c>
      <c r="B677" s="175">
        <v>46052</v>
      </c>
      <c r="C677" s="171" t="s">
        <v>127</v>
      </c>
      <c r="D677" s="171" t="s">
        <v>128</v>
      </c>
      <c r="E677" s="171" t="s">
        <v>78</v>
      </c>
      <c r="F677" s="171" t="s">
        <v>176</v>
      </c>
      <c r="G677" s="171" t="s">
        <v>177</v>
      </c>
      <c r="H677" s="176">
        <v>1</v>
      </c>
      <c r="I677" s="177">
        <v>4940</v>
      </c>
      <c r="J677" s="175">
        <v>46046</v>
      </c>
      <c r="K677" s="171" t="s">
        <v>113</v>
      </c>
      <c r="L677" s="171" t="s">
        <v>114</v>
      </c>
      <c r="M677" s="178">
        <v>0</v>
      </c>
      <c r="N677" s="176"/>
      <c r="O677" s="176"/>
      <c r="P677" s="179">
        <v>1731.43</v>
      </c>
    </row>
    <row r="678" spans="1:16" ht="19.5" customHeight="1">
      <c r="A678" s="171" t="s">
        <v>887</v>
      </c>
      <c r="B678" s="175">
        <v>46052</v>
      </c>
      <c r="C678" s="171" t="s">
        <v>127</v>
      </c>
      <c r="D678" s="171" t="s">
        <v>129</v>
      </c>
      <c r="E678" s="171" t="s">
        <v>78</v>
      </c>
      <c r="F678" s="171" t="s">
        <v>176</v>
      </c>
      <c r="G678" s="171" t="s">
        <v>177</v>
      </c>
      <c r="H678" s="176">
        <v>1</v>
      </c>
      <c r="I678" s="177">
        <v>4940</v>
      </c>
      <c r="J678" s="175">
        <v>46046</v>
      </c>
      <c r="K678" s="171" t="s">
        <v>113</v>
      </c>
      <c r="L678" s="171" t="s">
        <v>114</v>
      </c>
      <c r="M678" s="178">
        <v>0</v>
      </c>
      <c r="N678" s="176"/>
      <c r="O678" s="176"/>
      <c r="P678" s="179">
        <v>17.309999999999999</v>
      </c>
    </row>
    <row r="679" spans="1:16" ht="19.5" customHeight="1">
      <c r="A679" s="171" t="s">
        <v>887</v>
      </c>
      <c r="B679" s="175">
        <v>46052</v>
      </c>
      <c r="C679" s="171" t="s">
        <v>127</v>
      </c>
      <c r="D679" s="171" t="s">
        <v>130</v>
      </c>
      <c r="E679" s="171" t="s">
        <v>78</v>
      </c>
      <c r="F679" s="171" t="s">
        <v>176</v>
      </c>
      <c r="G679" s="171" t="s">
        <v>177</v>
      </c>
      <c r="H679" s="176">
        <v>1</v>
      </c>
      <c r="I679" s="177">
        <v>4940</v>
      </c>
      <c r="J679" s="175">
        <v>46046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3191.26</v>
      </c>
    </row>
    <row r="680" spans="1:16" ht="19.5" customHeight="1">
      <c r="A680" s="171" t="s">
        <v>887</v>
      </c>
      <c r="B680" s="175">
        <v>46052</v>
      </c>
      <c r="C680" s="171" t="s">
        <v>131</v>
      </c>
      <c r="D680" s="171" t="s">
        <v>132</v>
      </c>
      <c r="E680" s="171" t="s">
        <v>78</v>
      </c>
      <c r="F680" s="171" t="s">
        <v>176</v>
      </c>
      <c r="G680" s="171" t="s">
        <v>177</v>
      </c>
      <c r="H680" s="176">
        <v>1</v>
      </c>
      <c r="I680" s="177">
        <v>4940</v>
      </c>
      <c r="J680" s="175">
        <v>46046</v>
      </c>
      <c r="K680" s="171" t="s">
        <v>113</v>
      </c>
      <c r="L680" s="171" t="s">
        <v>114</v>
      </c>
      <c r="M680" s="178">
        <v>0.43</v>
      </c>
      <c r="N680" s="176"/>
      <c r="O680" s="176"/>
      <c r="P680" s="179">
        <v>-2124.1999999999998</v>
      </c>
    </row>
    <row r="681" spans="1:16" ht="19.5" customHeight="1">
      <c r="A681" s="171" t="s">
        <v>887</v>
      </c>
      <c r="B681" s="175">
        <v>46052</v>
      </c>
      <c r="C681" s="171" t="s">
        <v>115</v>
      </c>
      <c r="D681" s="171" t="s">
        <v>116</v>
      </c>
      <c r="E681" s="171" t="s">
        <v>78</v>
      </c>
      <c r="F681" s="171" t="s">
        <v>176</v>
      </c>
      <c r="G681" s="171" t="s">
        <v>177</v>
      </c>
      <c r="H681" s="176">
        <v>1</v>
      </c>
      <c r="I681" s="177">
        <v>4940</v>
      </c>
      <c r="J681" s="175">
        <v>46046</v>
      </c>
      <c r="K681" s="171" t="s">
        <v>113</v>
      </c>
      <c r="L681" s="171" t="s">
        <v>114</v>
      </c>
      <c r="M681" s="178">
        <v>0.43</v>
      </c>
      <c r="N681" s="176"/>
      <c r="O681" s="176"/>
      <c r="P681" s="179">
        <v>-12.12</v>
      </c>
    </row>
    <row r="682" spans="1:16" ht="19.5" customHeight="1">
      <c r="A682" s="171" t="s">
        <v>887</v>
      </c>
      <c r="B682" s="175">
        <v>46052</v>
      </c>
      <c r="C682" s="171" t="s">
        <v>115</v>
      </c>
      <c r="D682" s="171" t="s">
        <v>135</v>
      </c>
      <c r="E682" s="171" t="s">
        <v>78</v>
      </c>
      <c r="F682" s="171" t="s">
        <v>176</v>
      </c>
      <c r="G682" s="171" t="s">
        <v>177</v>
      </c>
      <c r="H682" s="176">
        <v>1</v>
      </c>
      <c r="I682" s="177">
        <v>0</v>
      </c>
      <c r="J682" s="175">
        <v>46046</v>
      </c>
      <c r="K682" s="171" t="s">
        <v>125</v>
      </c>
      <c r="L682" s="171" t="s">
        <v>125</v>
      </c>
      <c r="M682" s="178">
        <v>0</v>
      </c>
      <c r="N682" s="176"/>
      <c r="O682" s="176"/>
      <c r="P682" s="179">
        <v>-32.9</v>
      </c>
    </row>
    <row r="683" spans="1:16" ht="19.5" customHeight="1">
      <c r="A683" s="171" t="s">
        <v>888</v>
      </c>
      <c r="B683" s="175">
        <v>46052</v>
      </c>
      <c r="C683" s="171" t="s">
        <v>115</v>
      </c>
      <c r="D683" s="171" t="s">
        <v>135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0</v>
      </c>
      <c r="J683" s="175">
        <v>46052</v>
      </c>
      <c r="K683" s="171" t="s">
        <v>125</v>
      </c>
      <c r="L683" s="171" t="s">
        <v>125</v>
      </c>
      <c r="M683" s="178">
        <v>0</v>
      </c>
      <c r="N683" s="176"/>
      <c r="O683" s="176"/>
      <c r="P683" s="179">
        <v>-14.92</v>
      </c>
    </row>
    <row r="684" spans="1:16" ht="19.5" customHeight="1">
      <c r="A684" s="171" t="s">
        <v>889</v>
      </c>
      <c r="B684" s="175">
        <v>46052</v>
      </c>
      <c r="C684" s="171" t="s">
        <v>110</v>
      </c>
      <c r="D684" s="171" t="s">
        <v>24</v>
      </c>
      <c r="E684" s="171" t="s">
        <v>77</v>
      </c>
      <c r="F684" s="171" t="s">
        <v>194</v>
      </c>
      <c r="G684" s="171" t="s">
        <v>177</v>
      </c>
      <c r="H684" s="176">
        <v>1</v>
      </c>
      <c r="I684" s="177">
        <v>0</v>
      </c>
      <c r="J684" s="175">
        <v>46048</v>
      </c>
      <c r="K684" s="171" t="s">
        <v>113</v>
      </c>
      <c r="L684" s="171" t="s">
        <v>114</v>
      </c>
      <c r="M684" s="178">
        <v>0</v>
      </c>
      <c r="N684" s="176"/>
      <c r="O684" s="176">
        <v>51</v>
      </c>
      <c r="P684" s="179">
        <v>-56.94</v>
      </c>
    </row>
    <row r="685" spans="1:16" ht="19.5" customHeight="1">
      <c r="A685" s="171" t="s">
        <v>889</v>
      </c>
      <c r="B685" s="175">
        <v>46052</v>
      </c>
      <c r="C685" s="171" t="s">
        <v>115</v>
      </c>
      <c r="D685" s="171" t="s">
        <v>116</v>
      </c>
      <c r="E685" s="171" t="s">
        <v>77</v>
      </c>
      <c r="F685" s="171" t="s">
        <v>194</v>
      </c>
      <c r="G685" s="171" t="s">
        <v>177</v>
      </c>
      <c r="H685" s="176">
        <v>1</v>
      </c>
      <c r="I685" s="177">
        <v>0</v>
      </c>
      <c r="J685" s="175">
        <v>46048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-12.88</v>
      </c>
    </row>
    <row r="686" spans="1:16" ht="19.5" customHeight="1">
      <c r="A686" s="171" t="s">
        <v>889</v>
      </c>
      <c r="B686" s="175">
        <v>46052</v>
      </c>
      <c r="C686" s="171" t="s">
        <v>110</v>
      </c>
      <c r="D686" s="171" t="s">
        <v>117</v>
      </c>
      <c r="E686" s="171" t="s">
        <v>77</v>
      </c>
      <c r="F686" s="171" t="s">
        <v>194</v>
      </c>
      <c r="G686" s="171" t="s">
        <v>177</v>
      </c>
      <c r="H686" s="176">
        <v>1</v>
      </c>
      <c r="I686" s="177">
        <v>0</v>
      </c>
      <c r="J686" s="175">
        <v>46048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0</v>
      </c>
    </row>
    <row r="687" spans="1:16" ht="19.5" customHeight="1">
      <c r="A687" s="171" t="s">
        <v>889</v>
      </c>
      <c r="B687" s="175">
        <v>46052</v>
      </c>
      <c r="C687" s="171" t="s">
        <v>110</v>
      </c>
      <c r="D687" s="171" t="s">
        <v>118</v>
      </c>
      <c r="E687" s="171" t="s">
        <v>77</v>
      </c>
      <c r="F687" s="171" t="s">
        <v>194</v>
      </c>
      <c r="G687" s="171" t="s">
        <v>177</v>
      </c>
      <c r="H687" s="176">
        <v>1</v>
      </c>
      <c r="I687" s="177">
        <v>0</v>
      </c>
      <c r="J687" s="175">
        <v>46048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-56.94</v>
      </c>
    </row>
    <row r="688" spans="1:16" ht="19.5" customHeight="1">
      <c r="A688" s="171" t="s">
        <v>889</v>
      </c>
      <c r="B688" s="175">
        <v>46052</v>
      </c>
      <c r="C688" s="171" t="s">
        <v>115</v>
      </c>
      <c r="D688" s="171" t="s">
        <v>119</v>
      </c>
      <c r="E688" s="171" t="s">
        <v>77</v>
      </c>
      <c r="F688" s="171" t="s">
        <v>194</v>
      </c>
      <c r="G688" s="171" t="s">
        <v>177</v>
      </c>
      <c r="H688" s="176">
        <v>1</v>
      </c>
      <c r="I688" s="177">
        <v>0</v>
      </c>
      <c r="J688" s="175">
        <v>46048</v>
      </c>
      <c r="K688" s="171" t="s">
        <v>113</v>
      </c>
      <c r="L688" s="171" t="s">
        <v>114</v>
      </c>
      <c r="M688" s="178">
        <v>0</v>
      </c>
      <c r="N688" s="176"/>
      <c r="O688" s="176"/>
      <c r="P688" s="179">
        <v>-15</v>
      </c>
    </row>
    <row r="689" spans="1:16" ht="19.5" customHeight="1">
      <c r="A689" s="171" t="s">
        <v>890</v>
      </c>
      <c r="B689" s="175">
        <v>46052</v>
      </c>
      <c r="C689" s="171" t="s">
        <v>110</v>
      </c>
      <c r="D689" s="171" t="s">
        <v>24</v>
      </c>
      <c r="E689" s="171" t="s">
        <v>77</v>
      </c>
      <c r="F689" s="171" t="s">
        <v>194</v>
      </c>
      <c r="G689" s="171" t="s">
        <v>177</v>
      </c>
      <c r="H689" s="176">
        <v>1</v>
      </c>
      <c r="I689" s="177">
        <v>4178</v>
      </c>
      <c r="J689" s="175">
        <v>46049</v>
      </c>
      <c r="K689" s="171" t="s">
        <v>113</v>
      </c>
      <c r="L689" s="171" t="s">
        <v>114</v>
      </c>
      <c r="M689" s="178">
        <v>0.43</v>
      </c>
      <c r="N689" s="176"/>
      <c r="O689" s="176">
        <v>51</v>
      </c>
      <c r="P689" s="179">
        <v>-261.63</v>
      </c>
    </row>
    <row r="690" spans="1:16" ht="19.5" customHeight="1">
      <c r="A690" s="171" t="s">
        <v>890</v>
      </c>
      <c r="B690" s="175">
        <v>46052</v>
      </c>
      <c r="C690" s="171" t="s">
        <v>127</v>
      </c>
      <c r="D690" s="171" t="s">
        <v>128</v>
      </c>
      <c r="E690" s="171" t="s">
        <v>77</v>
      </c>
      <c r="F690" s="171" t="s">
        <v>194</v>
      </c>
      <c r="G690" s="171" t="s">
        <v>177</v>
      </c>
      <c r="H690" s="176">
        <v>1</v>
      </c>
      <c r="I690" s="177">
        <v>4178</v>
      </c>
      <c r="J690" s="175">
        <v>46049</v>
      </c>
      <c r="K690" s="171" t="s">
        <v>113</v>
      </c>
      <c r="L690" s="171" t="s">
        <v>114</v>
      </c>
      <c r="M690" s="178">
        <v>0</v>
      </c>
      <c r="N690" s="176"/>
      <c r="O690" s="176"/>
      <c r="P690" s="179">
        <v>1591.43</v>
      </c>
    </row>
    <row r="691" spans="1:16" ht="19.5" customHeight="1">
      <c r="A691" s="171" t="s">
        <v>890</v>
      </c>
      <c r="B691" s="175">
        <v>46052</v>
      </c>
      <c r="C691" s="171" t="s">
        <v>127</v>
      </c>
      <c r="D691" s="171" t="s">
        <v>129</v>
      </c>
      <c r="E691" s="171" t="s">
        <v>77</v>
      </c>
      <c r="F691" s="171" t="s">
        <v>194</v>
      </c>
      <c r="G691" s="171" t="s">
        <v>177</v>
      </c>
      <c r="H691" s="176">
        <v>1</v>
      </c>
      <c r="I691" s="177">
        <v>4178</v>
      </c>
      <c r="J691" s="175">
        <v>46049</v>
      </c>
      <c r="K691" s="171" t="s">
        <v>113</v>
      </c>
      <c r="L691" s="171" t="s">
        <v>114</v>
      </c>
      <c r="M691" s="178">
        <v>0</v>
      </c>
      <c r="N691" s="176"/>
      <c r="O691" s="176"/>
      <c r="P691" s="179">
        <v>0</v>
      </c>
    </row>
    <row r="692" spans="1:16" ht="19.5" customHeight="1">
      <c r="A692" s="171" t="s">
        <v>890</v>
      </c>
      <c r="B692" s="175">
        <v>46052</v>
      </c>
      <c r="C692" s="171" t="s">
        <v>127</v>
      </c>
      <c r="D692" s="171" t="s">
        <v>130</v>
      </c>
      <c r="E692" s="171" t="s">
        <v>77</v>
      </c>
      <c r="F692" s="171" t="s">
        <v>194</v>
      </c>
      <c r="G692" s="171" t="s">
        <v>177</v>
      </c>
      <c r="H692" s="176">
        <v>1</v>
      </c>
      <c r="I692" s="177">
        <v>4178</v>
      </c>
      <c r="J692" s="175">
        <v>46049</v>
      </c>
      <c r="K692" s="171" t="s">
        <v>113</v>
      </c>
      <c r="L692" s="171" t="s">
        <v>114</v>
      </c>
      <c r="M692" s="178">
        <v>0</v>
      </c>
      <c r="N692" s="176"/>
      <c r="O692" s="176"/>
      <c r="P692" s="179">
        <v>2586.5700000000002</v>
      </c>
    </row>
    <row r="693" spans="1:16" ht="19.5" customHeight="1">
      <c r="A693" s="171" t="s">
        <v>890</v>
      </c>
      <c r="B693" s="175">
        <v>46052</v>
      </c>
      <c r="C693" s="171" t="s">
        <v>131</v>
      </c>
      <c r="D693" s="171" t="s">
        <v>132</v>
      </c>
      <c r="E693" s="171" t="s">
        <v>77</v>
      </c>
      <c r="F693" s="171" t="s">
        <v>194</v>
      </c>
      <c r="G693" s="171" t="s">
        <v>177</v>
      </c>
      <c r="H693" s="176">
        <v>1</v>
      </c>
      <c r="I693" s="177">
        <v>4178</v>
      </c>
      <c r="J693" s="175">
        <v>46049</v>
      </c>
      <c r="K693" s="171" t="s">
        <v>113</v>
      </c>
      <c r="L693" s="171" t="s">
        <v>114</v>
      </c>
      <c r="M693" s="178">
        <v>0.43</v>
      </c>
      <c r="N693" s="176"/>
      <c r="O693" s="176"/>
      <c r="P693" s="179">
        <v>-1796.54</v>
      </c>
    </row>
    <row r="694" spans="1:16" ht="19.5" customHeight="1">
      <c r="A694" s="171" t="s">
        <v>890</v>
      </c>
      <c r="B694" s="175">
        <v>46052</v>
      </c>
      <c r="C694" s="171" t="s">
        <v>115</v>
      </c>
      <c r="D694" s="171" t="s">
        <v>116</v>
      </c>
      <c r="E694" s="171" t="s">
        <v>77</v>
      </c>
      <c r="F694" s="171" t="s">
        <v>194</v>
      </c>
      <c r="G694" s="171" t="s">
        <v>177</v>
      </c>
      <c r="H694" s="176">
        <v>1</v>
      </c>
      <c r="I694" s="177">
        <v>4178</v>
      </c>
      <c r="J694" s="175">
        <v>46049</v>
      </c>
      <c r="K694" s="171" t="s">
        <v>113</v>
      </c>
      <c r="L694" s="171" t="s">
        <v>114</v>
      </c>
      <c r="M694" s="178">
        <v>0.43</v>
      </c>
      <c r="N694" s="176"/>
      <c r="O694" s="176"/>
      <c r="P694" s="179">
        <v>-22.2</v>
      </c>
    </row>
    <row r="695" spans="1:16" ht="19.5" customHeight="1">
      <c r="A695" s="171" t="s">
        <v>891</v>
      </c>
      <c r="B695" s="175">
        <v>46052</v>
      </c>
      <c r="C695" s="171" t="s">
        <v>110</v>
      </c>
      <c r="D695" s="171" t="s">
        <v>24</v>
      </c>
      <c r="E695" s="171" t="s">
        <v>42</v>
      </c>
      <c r="F695" s="171" t="s">
        <v>248</v>
      </c>
      <c r="G695" s="171" t="s">
        <v>112</v>
      </c>
      <c r="H695" s="176">
        <v>1</v>
      </c>
      <c r="I695" s="177">
        <v>1680</v>
      </c>
      <c r="J695" s="175">
        <v>46049</v>
      </c>
      <c r="K695" s="171" t="s">
        <v>113</v>
      </c>
      <c r="L695" s="171" t="s">
        <v>114</v>
      </c>
      <c r="M695" s="178">
        <v>0.43</v>
      </c>
      <c r="N695" s="176"/>
      <c r="O695" s="176">
        <v>51</v>
      </c>
      <c r="P695" s="179">
        <v>-147.46</v>
      </c>
    </row>
    <row r="696" spans="1:16" ht="19.5" customHeight="1">
      <c r="A696" s="171" t="s">
        <v>891</v>
      </c>
      <c r="B696" s="175">
        <v>46052</v>
      </c>
      <c r="C696" s="171" t="s">
        <v>127</v>
      </c>
      <c r="D696" s="171" t="s">
        <v>128</v>
      </c>
      <c r="E696" s="171" t="s">
        <v>42</v>
      </c>
      <c r="F696" s="171" t="s">
        <v>248</v>
      </c>
      <c r="G696" s="171" t="s">
        <v>112</v>
      </c>
      <c r="H696" s="176">
        <v>1</v>
      </c>
      <c r="I696" s="177">
        <v>1680</v>
      </c>
      <c r="J696" s="175">
        <v>46049</v>
      </c>
      <c r="K696" s="171" t="s">
        <v>113</v>
      </c>
      <c r="L696" s="171" t="s">
        <v>114</v>
      </c>
      <c r="M696" s="178">
        <v>0</v>
      </c>
      <c r="N696" s="176"/>
      <c r="O696" s="176"/>
      <c r="P696" s="179">
        <v>844.11</v>
      </c>
    </row>
    <row r="697" spans="1:16" ht="19.5" customHeight="1">
      <c r="A697" s="171" t="s">
        <v>891</v>
      </c>
      <c r="B697" s="175">
        <v>46052</v>
      </c>
      <c r="C697" s="171" t="s">
        <v>127</v>
      </c>
      <c r="D697" s="171" t="s">
        <v>129</v>
      </c>
      <c r="E697" s="171" t="s">
        <v>42</v>
      </c>
      <c r="F697" s="171" t="s">
        <v>248</v>
      </c>
      <c r="G697" s="171" t="s">
        <v>112</v>
      </c>
      <c r="H697" s="176">
        <v>1</v>
      </c>
      <c r="I697" s="177">
        <v>1680</v>
      </c>
      <c r="J697" s="175">
        <v>46049</v>
      </c>
      <c r="K697" s="171" t="s">
        <v>113</v>
      </c>
      <c r="L697" s="171" t="s">
        <v>114</v>
      </c>
      <c r="M697" s="178">
        <v>0</v>
      </c>
      <c r="N697" s="176"/>
      <c r="O697" s="176"/>
      <c r="P697" s="179">
        <v>8.44</v>
      </c>
    </row>
    <row r="698" spans="1:16" ht="19.5" customHeight="1">
      <c r="A698" s="171" t="s">
        <v>891</v>
      </c>
      <c r="B698" s="175">
        <v>46052</v>
      </c>
      <c r="C698" s="171" t="s">
        <v>127</v>
      </c>
      <c r="D698" s="171" t="s">
        <v>130</v>
      </c>
      <c r="E698" s="171" t="s">
        <v>42</v>
      </c>
      <c r="F698" s="171" t="s">
        <v>248</v>
      </c>
      <c r="G698" s="171" t="s">
        <v>112</v>
      </c>
      <c r="H698" s="176">
        <v>1</v>
      </c>
      <c r="I698" s="177">
        <v>1680</v>
      </c>
      <c r="J698" s="175">
        <v>46049</v>
      </c>
      <c r="K698" s="171" t="s">
        <v>113</v>
      </c>
      <c r="L698" s="171" t="s">
        <v>114</v>
      </c>
      <c r="M698" s="178">
        <v>0</v>
      </c>
      <c r="N698" s="176"/>
      <c r="O698" s="176"/>
      <c r="P698" s="179">
        <v>827.45</v>
      </c>
    </row>
    <row r="699" spans="1:16" ht="19.5" customHeight="1">
      <c r="A699" s="171" t="s">
        <v>891</v>
      </c>
      <c r="B699" s="175">
        <v>46052</v>
      </c>
      <c r="C699" s="171" t="s">
        <v>131</v>
      </c>
      <c r="D699" s="171" t="s">
        <v>132</v>
      </c>
      <c r="E699" s="171" t="s">
        <v>42</v>
      </c>
      <c r="F699" s="171" t="s">
        <v>248</v>
      </c>
      <c r="G699" s="171" t="s">
        <v>112</v>
      </c>
      <c r="H699" s="176">
        <v>1</v>
      </c>
      <c r="I699" s="177">
        <v>1680</v>
      </c>
      <c r="J699" s="175">
        <v>46049</v>
      </c>
      <c r="K699" s="171" t="s">
        <v>113</v>
      </c>
      <c r="L699" s="171" t="s">
        <v>114</v>
      </c>
      <c r="M699" s="178">
        <v>0.43</v>
      </c>
      <c r="N699" s="176"/>
      <c r="O699" s="176"/>
      <c r="P699" s="179">
        <v>-722.4</v>
      </c>
    </row>
    <row r="700" spans="1:16" ht="19.5" customHeight="1">
      <c r="A700" s="171" t="s">
        <v>891</v>
      </c>
      <c r="B700" s="175">
        <v>46052</v>
      </c>
      <c r="C700" s="171" t="s">
        <v>115</v>
      </c>
      <c r="D700" s="171" t="s">
        <v>116</v>
      </c>
      <c r="E700" s="171" t="s">
        <v>42</v>
      </c>
      <c r="F700" s="171" t="s">
        <v>248</v>
      </c>
      <c r="G700" s="171" t="s">
        <v>112</v>
      </c>
      <c r="H700" s="176">
        <v>1</v>
      </c>
      <c r="I700" s="177">
        <v>1680</v>
      </c>
      <c r="J700" s="175">
        <v>46049</v>
      </c>
      <c r="K700" s="171" t="s">
        <v>113</v>
      </c>
      <c r="L700" s="171" t="s">
        <v>114</v>
      </c>
      <c r="M700" s="178">
        <v>0.43</v>
      </c>
      <c r="N700" s="176"/>
      <c r="O700" s="176"/>
      <c r="P700" s="179">
        <v>-8.1300000000000008</v>
      </c>
    </row>
    <row r="701" spans="1:16" ht="19.5" customHeight="1">
      <c r="A701" s="171" t="s">
        <v>892</v>
      </c>
      <c r="B701" s="175">
        <v>46052</v>
      </c>
      <c r="C701" s="171" t="s">
        <v>110</v>
      </c>
      <c r="D701" s="171" t="s">
        <v>24</v>
      </c>
      <c r="E701" s="171" t="s">
        <v>68</v>
      </c>
      <c r="F701" s="171" t="s">
        <v>698</v>
      </c>
      <c r="G701" s="171" t="s">
        <v>699</v>
      </c>
      <c r="H701" s="176">
        <v>1</v>
      </c>
      <c r="I701" s="177">
        <v>3372</v>
      </c>
      <c r="J701" s="175">
        <v>46048</v>
      </c>
      <c r="K701" s="171" t="s">
        <v>113</v>
      </c>
      <c r="L701" s="171" t="s">
        <v>114</v>
      </c>
      <c r="M701" s="178">
        <v>0.43</v>
      </c>
      <c r="N701" s="176"/>
      <c r="O701" s="176">
        <v>51</v>
      </c>
      <c r="P701" s="179">
        <v>-230.6</v>
      </c>
    </row>
    <row r="702" spans="1:16" ht="19.5" customHeight="1">
      <c r="A702" s="171" t="s">
        <v>892</v>
      </c>
      <c r="B702" s="175">
        <v>46052</v>
      </c>
      <c r="C702" s="171" t="s">
        <v>127</v>
      </c>
      <c r="D702" s="171" t="s">
        <v>128</v>
      </c>
      <c r="E702" s="171" t="s">
        <v>68</v>
      </c>
      <c r="F702" s="171" t="s">
        <v>698</v>
      </c>
      <c r="G702" s="171" t="s">
        <v>699</v>
      </c>
      <c r="H702" s="176">
        <v>1</v>
      </c>
      <c r="I702" s="177">
        <v>3372</v>
      </c>
      <c r="J702" s="175">
        <v>46048</v>
      </c>
      <c r="K702" s="171" t="s">
        <v>113</v>
      </c>
      <c r="L702" s="171" t="s">
        <v>114</v>
      </c>
      <c r="M702" s="178">
        <v>0</v>
      </c>
      <c r="N702" s="176"/>
      <c r="O702" s="176"/>
      <c r="P702" s="179">
        <v>1975.26</v>
      </c>
    </row>
    <row r="703" spans="1:16" ht="19.5" customHeight="1">
      <c r="A703" s="171" t="s">
        <v>892</v>
      </c>
      <c r="B703" s="175">
        <v>46052</v>
      </c>
      <c r="C703" s="171" t="s">
        <v>127</v>
      </c>
      <c r="D703" s="171" t="s">
        <v>129</v>
      </c>
      <c r="E703" s="171" t="s">
        <v>68</v>
      </c>
      <c r="F703" s="171" t="s">
        <v>698</v>
      </c>
      <c r="G703" s="171" t="s">
        <v>699</v>
      </c>
      <c r="H703" s="176">
        <v>1</v>
      </c>
      <c r="I703" s="177">
        <v>3372</v>
      </c>
      <c r="J703" s="175">
        <v>46048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0</v>
      </c>
    </row>
    <row r="704" spans="1:16" ht="19.5" customHeight="1">
      <c r="A704" s="171" t="s">
        <v>892</v>
      </c>
      <c r="B704" s="175">
        <v>46052</v>
      </c>
      <c r="C704" s="171" t="s">
        <v>127</v>
      </c>
      <c r="D704" s="171" t="s">
        <v>130</v>
      </c>
      <c r="E704" s="171" t="s">
        <v>68</v>
      </c>
      <c r="F704" s="171" t="s">
        <v>698</v>
      </c>
      <c r="G704" s="171" t="s">
        <v>699</v>
      </c>
      <c r="H704" s="176">
        <v>1</v>
      </c>
      <c r="I704" s="177">
        <v>3372</v>
      </c>
      <c r="J704" s="175">
        <v>46048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1396.74</v>
      </c>
    </row>
    <row r="705" spans="1:16" ht="19.5" customHeight="1">
      <c r="A705" s="171" t="s">
        <v>892</v>
      </c>
      <c r="B705" s="175">
        <v>46052</v>
      </c>
      <c r="C705" s="171" t="s">
        <v>131</v>
      </c>
      <c r="D705" s="171" t="s">
        <v>132</v>
      </c>
      <c r="E705" s="171" t="s">
        <v>68</v>
      </c>
      <c r="F705" s="171" t="s">
        <v>698</v>
      </c>
      <c r="G705" s="171" t="s">
        <v>699</v>
      </c>
      <c r="H705" s="176">
        <v>1</v>
      </c>
      <c r="I705" s="177">
        <v>3372</v>
      </c>
      <c r="J705" s="175">
        <v>46048</v>
      </c>
      <c r="K705" s="171" t="s">
        <v>113</v>
      </c>
      <c r="L705" s="171" t="s">
        <v>114</v>
      </c>
      <c r="M705" s="178">
        <v>0.43</v>
      </c>
      <c r="N705" s="176"/>
      <c r="O705" s="176"/>
      <c r="P705" s="179">
        <v>-1449.96</v>
      </c>
    </row>
    <row r="706" spans="1:16" ht="19.5" customHeight="1">
      <c r="A706" s="171" t="s">
        <v>892</v>
      </c>
      <c r="B706" s="175">
        <v>46052</v>
      </c>
      <c r="C706" s="171" t="s">
        <v>115</v>
      </c>
      <c r="D706" s="171" t="s">
        <v>116</v>
      </c>
      <c r="E706" s="171" t="s">
        <v>68</v>
      </c>
      <c r="F706" s="171" t="s">
        <v>698</v>
      </c>
      <c r="G706" s="171" t="s">
        <v>699</v>
      </c>
      <c r="H706" s="176">
        <v>1</v>
      </c>
      <c r="I706" s="177">
        <v>3372</v>
      </c>
      <c r="J706" s="175">
        <v>46048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-10.63</v>
      </c>
    </row>
    <row r="707" spans="1:16" ht="19.5" customHeight="1">
      <c r="A707" s="171" t="s">
        <v>891</v>
      </c>
      <c r="B707" s="175">
        <v>46052</v>
      </c>
      <c r="C707" s="171" t="s">
        <v>115</v>
      </c>
      <c r="D707" s="171" t="s">
        <v>135</v>
      </c>
      <c r="E707" s="171" t="s">
        <v>42</v>
      </c>
      <c r="F707" s="171" t="s">
        <v>248</v>
      </c>
      <c r="G707" s="171" t="s">
        <v>112</v>
      </c>
      <c r="H707" s="176">
        <v>1</v>
      </c>
      <c r="I707" s="177">
        <v>0</v>
      </c>
      <c r="J707" s="175">
        <v>46049</v>
      </c>
      <c r="K707" s="171" t="s">
        <v>125</v>
      </c>
      <c r="L707" s="171" t="s">
        <v>125</v>
      </c>
      <c r="M707" s="178">
        <v>0</v>
      </c>
      <c r="N707" s="176"/>
      <c r="O707" s="176"/>
      <c r="P707" s="179">
        <v>-16.04</v>
      </c>
    </row>
    <row r="708" spans="1:16" ht="19.5" customHeight="1">
      <c r="A708" s="171" t="s">
        <v>892</v>
      </c>
      <c r="B708" s="175">
        <v>46052</v>
      </c>
      <c r="C708" s="171" t="s">
        <v>115</v>
      </c>
      <c r="D708" s="171" t="s">
        <v>135</v>
      </c>
      <c r="E708" s="171" t="s">
        <v>68</v>
      </c>
      <c r="F708" s="171" t="s">
        <v>698</v>
      </c>
      <c r="G708" s="171" t="s">
        <v>699</v>
      </c>
      <c r="H708" s="176">
        <v>1</v>
      </c>
      <c r="I708" s="177">
        <v>0</v>
      </c>
      <c r="J708" s="175">
        <v>46048</v>
      </c>
      <c r="K708" s="171" t="s">
        <v>125</v>
      </c>
      <c r="L708" s="171" t="s">
        <v>125</v>
      </c>
      <c r="M708" s="178">
        <v>0</v>
      </c>
      <c r="N708" s="176"/>
      <c r="O708" s="176"/>
      <c r="P708" s="179">
        <v>-17.38</v>
      </c>
    </row>
    <row r="709" spans="1:16" ht="19.5" customHeight="1">
      <c r="A709" s="171" t="s">
        <v>761</v>
      </c>
      <c r="B709" s="175">
        <v>46052</v>
      </c>
      <c r="C709" s="171" t="s">
        <v>308</v>
      </c>
      <c r="D709" s="171" t="s">
        <v>419</v>
      </c>
      <c r="E709" s="171" t="s">
        <v>48</v>
      </c>
      <c r="F709" s="171" t="s">
        <v>198</v>
      </c>
      <c r="G709" s="171" t="s">
        <v>112</v>
      </c>
      <c r="H709" s="176">
        <v>1</v>
      </c>
      <c r="I709" s="177">
        <v>-971</v>
      </c>
      <c r="J709" s="175">
        <v>46044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-509.52</v>
      </c>
    </row>
    <row r="710" spans="1:16" ht="19.5" customHeight="1">
      <c r="A710" s="171" t="s">
        <v>761</v>
      </c>
      <c r="B710" s="175">
        <v>46052</v>
      </c>
      <c r="C710" s="171" t="s">
        <v>308</v>
      </c>
      <c r="D710" s="171" t="s">
        <v>129</v>
      </c>
      <c r="E710" s="171" t="s">
        <v>48</v>
      </c>
      <c r="F710" s="171" t="s">
        <v>198</v>
      </c>
      <c r="G710" s="171" t="s">
        <v>112</v>
      </c>
      <c r="H710" s="176">
        <v>1</v>
      </c>
      <c r="I710" s="177">
        <v>-971</v>
      </c>
      <c r="J710" s="175">
        <v>46044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0</v>
      </c>
    </row>
    <row r="711" spans="1:16" ht="19.5" customHeight="1">
      <c r="A711" s="171" t="s">
        <v>761</v>
      </c>
      <c r="B711" s="175">
        <v>46052</v>
      </c>
      <c r="C711" s="171" t="s">
        <v>308</v>
      </c>
      <c r="D711" s="171" t="s">
        <v>130</v>
      </c>
      <c r="E711" s="171" t="s">
        <v>48</v>
      </c>
      <c r="F711" s="171" t="s">
        <v>198</v>
      </c>
      <c r="G711" s="171" t="s">
        <v>112</v>
      </c>
      <c r="H711" s="176">
        <v>1</v>
      </c>
      <c r="I711" s="177">
        <v>-971</v>
      </c>
      <c r="J711" s="175">
        <v>46044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-461.48</v>
      </c>
    </row>
    <row r="712" spans="1:16" ht="19.5" customHeight="1">
      <c r="A712" s="171" t="s">
        <v>761</v>
      </c>
      <c r="B712" s="175">
        <v>46052</v>
      </c>
      <c r="C712" s="171" t="s">
        <v>131</v>
      </c>
      <c r="D712" s="171" t="s">
        <v>420</v>
      </c>
      <c r="E712" s="171" t="s">
        <v>48</v>
      </c>
      <c r="F712" s="171" t="s">
        <v>198</v>
      </c>
      <c r="G712" s="171" t="s">
        <v>112</v>
      </c>
      <c r="H712" s="176">
        <v>1</v>
      </c>
      <c r="I712" s="177">
        <v>-971</v>
      </c>
      <c r="J712" s="175">
        <v>46044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417.53</v>
      </c>
    </row>
    <row r="713" spans="1:16" ht="19.5" customHeight="1">
      <c r="A713" s="171" t="s">
        <v>633</v>
      </c>
      <c r="B713" s="175">
        <v>46052</v>
      </c>
      <c r="C713" s="171" t="s">
        <v>115</v>
      </c>
      <c r="D713" s="171" t="s">
        <v>135</v>
      </c>
      <c r="E713" s="171" t="s">
        <v>48</v>
      </c>
      <c r="F713" s="171" t="s">
        <v>198</v>
      </c>
      <c r="G713" s="171" t="s">
        <v>112</v>
      </c>
      <c r="H713" s="176">
        <v>1</v>
      </c>
      <c r="I713" s="177">
        <v>0</v>
      </c>
      <c r="J713" s="175">
        <v>46044</v>
      </c>
      <c r="K713" s="171" t="s">
        <v>125</v>
      </c>
      <c r="L713" s="171" t="s">
        <v>125</v>
      </c>
      <c r="M713" s="178">
        <v>0</v>
      </c>
      <c r="N713" s="176"/>
      <c r="O713" s="176"/>
      <c r="P713" s="179">
        <v>3.41</v>
      </c>
    </row>
    <row r="714" spans="1:16" ht="19.5" customHeight="1">
      <c r="A714" s="171" t="s">
        <v>893</v>
      </c>
      <c r="B714" s="175">
        <v>46052</v>
      </c>
      <c r="C714" s="171" t="s">
        <v>110</v>
      </c>
      <c r="D714" s="171" t="s">
        <v>24</v>
      </c>
      <c r="E714" s="171" t="s">
        <v>70</v>
      </c>
      <c r="F714" s="171" t="s">
        <v>509</v>
      </c>
      <c r="G714" s="171" t="s">
        <v>177</v>
      </c>
      <c r="H714" s="176">
        <v>1</v>
      </c>
      <c r="I714" s="177">
        <v>0</v>
      </c>
      <c r="J714" s="175">
        <v>46047</v>
      </c>
      <c r="K714" s="171" t="s">
        <v>113</v>
      </c>
      <c r="L714" s="171" t="s">
        <v>114</v>
      </c>
      <c r="M714" s="178">
        <v>0</v>
      </c>
      <c r="N714" s="176"/>
      <c r="O714" s="176">
        <v>52</v>
      </c>
      <c r="P714" s="179">
        <v>-56.94</v>
      </c>
    </row>
    <row r="715" spans="1:16" ht="19.5" customHeight="1">
      <c r="A715" s="171" t="s">
        <v>893</v>
      </c>
      <c r="B715" s="175">
        <v>46052</v>
      </c>
      <c r="C715" s="171" t="s">
        <v>115</v>
      </c>
      <c r="D715" s="171" t="s">
        <v>116</v>
      </c>
      <c r="E715" s="171" t="s">
        <v>70</v>
      </c>
      <c r="F715" s="171" t="s">
        <v>509</v>
      </c>
      <c r="G715" s="171" t="s">
        <v>177</v>
      </c>
      <c r="H715" s="176">
        <v>1</v>
      </c>
      <c r="I715" s="177">
        <v>0</v>
      </c>
      <c r="J715" s="175">
        <v>46047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-13.11</v>
      </c>
    </row>
    <row r="716" spans="1:16" ht="19.5" customHeight="1">
      <c r="A716" s="171" t="s">
        <v>893</v>
      </c>
      <c r="B716" s="175">
        <v>46052</v>
      </c>
      <c r="C716" s="171" t="s">
        <v>110</v>
      </c>
      <c r="D716" s="171" t="s">
        <v>117</v>
      </c>
      <c r="E716" s="171" t="s">
        <v>70</v>
      </c>
      <c r="F716" s="171" t="s">
        <v>509</v>
      </c>
      <c r="G716" s="171" t="s">
        <v>177</v>
      </c>
      <c r="H716" s="176">
        <v>1</v>
      </c>
      <c r="I716" s="177">
        <v>0</v>
      </c>
      <c r="J716" s="175">
        <v>46047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893</v>
      </c>
      <c r="B717" s="175">
        <v>46052</v>
      </c>
      <c r="C717" s="171" t="s">
        <v>110</v>
      </c>
      <c r="D717" s="171" t="s">
        <v>118</v>
      </c>
      <c r="E717" s="171" t="s">
        <v>70</v>
      </c>
      <c r="F717" s="171" t="s">
        <v>509</v>
      </c>
      <c r="G717" s="171" t="s">
        <v>177</v>
      </c>
      <c r="H717" s="176">
        <v>1</v>
      </c>
      <c r="I717" s="177">
        <v>0</v>
      </c>
      <c r="J717" s="175">
        <v>46047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-56.94</v>
      </c>
    </row>
    <row r="718" spans="1:16" ht="19.5" customHeight="1">
      <c r="A718" s="171" t="s">
        <v>893</v>
      </c>
      <c r="B718" s="175">
        <v>46052</v>
      </c>
      <c r="C718" s="171" t="s">
        <v>115</v>
      </c>
      <c r="D718" s="171" t="s">
        <v>119</v>
      </c>
      <c r="E718" s="171" t="s">
        <v>70</v>
      </c>
      <c r="F718" s="171" t="s">
        <v>509</v>
      </c>
      <c r="G718" s="171" t="s">
        <v>177</v>
      </c>
      <c r="H718" s="176">
        <v>1</v>
      </c>
      <c r="I718" s="177">
        <v>0</v>
      </c>
      <c r="J718" s="175">
        <v>46047</v>
      </c>
      <c r="K718" s="171" t="s">
        <v>113</v>
      </c>
      <c r="L718" s="171" t="s">
        <v>114</v>
      </c>
      <c r="M718" s="178">
        <v>0</v>
      </c>
      <c r="N718" s="176"/>
      <c r="O718" s="176"/>
      <c r="P718" s="179">
        <v>-15</v>
      </c>
    </row>
    <row r="719" spans="1:16" ht="19.5" customHeight="1">
      <c r="A719" s="171" t="s">
        <v>894</v>
      </c>
      <c r="B719" s="175">
        <v>46052</v>
      </c>
      <c r="C719" s="171" t="s">
        <v>110</v>
      </c>
      <c r="D719" s="171" t="s">
        <v>24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1800</v>
      </c>
      <c r="J719" s="175">
        <v>46051</v>
      </c>
      <c r="K719" s="171" t="s">
        <v>113</v>
      </c>
      <c r="L719" s="171" t="s">
        <v>114</v>
      </c>
      <c r="M719" s="178">
        <v>0.43</v>
      </c>
      <c r="N719" s="176"/>
      <c r="O719" s="176">
        <v>48</v>
      </c>
      <c r="P719" s="179">
        <v>-146.61000000000001</v>
      </c>
    </row>
    <row r="720" spans="1:16" ht="19.5" customHeight="1">
      <c r="A720" s="171" t="s">
        <v>894</v>
      </c>
      <c r="B720" s="175">
        <v>46052</v>
      </c>
      <c r="C720" s="171" t="s">
        <v>127</v>
      </c>
      <c r="D720" s="171" t="s">
        <v>128</v>
      </c>
      <c r="E720" s="171" t="s">
        <v>38</v>
      </c>
      <c r="F720" s="171" t="s">
        <v>111</v>
      </c>
      <c r="G720" s="171" t="s">
        <v>112</v>
      </c>
      <c r="H720" s="176">
        <v>1</v>
      </c>
      <c r="I720" s="177">
        <v>1800</v>
      </c>
      <c r="J720" s="175">
        <v>46051</v>
      </c>
      <c r="K720" s="171" t="s">
        <v>113</v>
      </c>
      <c r="L720" s="171" t="s">
        <v>114</v>
      </c>
      <c r="M720" s="178">
        <v>0</v>
      </c>
      <c r="N720" s="176"/>
      <c r="O720" s="176"/>
      <c r="P720" s="179">
        <v>745.97</v>
      </c>
    </row>
    <row r="721" spans="1:16" ht="19.5" customHeight="1">
      <c r="A721" s="171" t="s">
        <v>894</v>
      </c>
      <c r="B721" s="175">
        <v>46052</v>
      </c>
      <c r="C721" s="171" t="s">
        <v>127</v>
      </c>
      <c r="D721" s="171" t="s">
        <v>129</v>
      </c>
      <c r="E721" s="171" t="s">
        <v>38</v>
      </c>
      <c r="F721" s="171" t="s">
        <v>111</v>
      </c>
      <c r="G721" s="171" t="s">
        <v>112</v>
      </c>
      <c r="H721" s="176">
        <v>1</v>
      </c>
      <c r="I721" s="177">
        <v>1800</v>
      </c>
      <c r="J721" s="175">
        <v>46051</v>
      </c>
      <c r="K721" s="171" t="s">
        <v>113</v>
      </c>
      <c r="L721" s="171" t="s">
        <v>114</v>
      </c>
      <c r="M721" s="178">
        <v>0</v>
      </c>
      <c r="N721" s="176"/>
      <c r="O721" s="176"/>
      <c r="P721" s="179">
        <v>7.46</v>
      </c>
    </row>
    <row r="722" spans="1:16" ht="19.5" customHeight="1">
      <c r="A722" s="171" t="s">
        <v>894</v>
      </c>
      <c r="B722" s="175">
        <v>46052</v>
      </c>
      <c r="C722" s="171" t="s">
        <v>127</v>
      </c>
      <c r="D722" s="171" t="s">
        <v>130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1800</v>
      </c>
      <c r="J722" s="175">
        <v>46051</v>
      </c>
      <c r="K722" s="171" t="s">
        <v>113</v>
      </c>
      <c r="L722" s="171" t="s">
        <v>114</v>
      </c>
      <c r="M722" s="178">
        <v>0</v>
      </c>
      <c r="N722" s="176"/>
      <c r="O722" s="176"/>
      <c r="P722" s="179">
        <v>1046.57</v>
      </c>
    </row>
    <row r="723" spans="1:16" ht="19.5" customHeight="1">
      <c r="A723" s="171" t="s">
        <v>894</v>
      </c>
      <c r="B723" s="175">
        <v>46052</v>
      </c>
      <c r="C723" s="171" t="s">
        <v>131</v>
      </c>
      <c r="D723" s="171" t="s">
        <v>132</v>
      </c>
      <c r="E723" s="171" t="s">
        <v>38</v>
      </c>
      <c r="F723" s="171" t="s">
        <v>111</v>
      </c>
      <c r="G723" s="171" t="s">
        <v>112</v>
      </c>
      <c r="H723" s="176">
        <v>1</v>
      </c>
      <c r="I723" s="177">
        <v>1800</v>
      </c>
      <c r="J723" s="175">
        <v>46051</v>
      </c>
      <c r="K723" s="171" t="s">
        <v>113</v>
      </c>
      <c r="L723" s="171" t="s">
        <v>114</v>
      </c>
      <c r="M723" s="178">
        <v>0.43</v>
      </c>
      <c r="N723" s="176"/>
      <c r="O723" s="176"/>
      <c r="P723" s="179">
        <v>-774</v>
      </c>
    </row>
    <row r="724" spans="1:16" ht="19.5" customHeight="1">
      <c r="A724" s="171" t="s">
        <v>894</v>
      </c>
      <c r="B724" s="175">
        <v>46052</v>
      </c>
      <c r="C724" s="171" t="s">
        <v>115</v>
      </c>
      <c r="D724" s="171" t="s">
        <v>116</v>
      </c>
      <c r="E724" s="171" t="s">
        <v>38</v>
      </c>
      <c r="F724" s="171" t="s">
        <v>111</v>
      </c>
      <c r="G724" s="171" t="s">
        <v>112</v>
      </c>
      <c r="H724" s="176">
        <v>1</v>
      </c>
      <c r="I724" s="177">
        <v>1800</v>
      </c>
      <c r="J724" s="175">
        <v>46051</v>
      </c>
      <c r="K724" s="171" t="s">
        <v>113</v>
      </c>
      <c r="L724" s="171" t="s">
        <v>114</v>
      </c>
      <c r="M724" s="178">
        <v>0.43</v>
      </c>
      <c r="N724" s="176"/>
      <c r="O724" s="176"/>
      <c r="P724" s="179">
        <v>-9.24</v>
      </c>
    </row>
    <row r="725" spans="1:16" ht="19.5" customHeight="1">
      <c r="A725" s="171" t="s">
        <v>895</v>
      </c>
      <c r="B725" s="175">
        <v>46052</v>
      </c>
      <c r="C725" s="171" t="s">
        <v>110</v>
      </c>
      <c r="D725" s="171" t="s">
        <v>24</v>
      </c>
      <c r="E725" s="171" t="s">
        <v>62</v>
      </c>
      <c r="F725" s="171" t="s">
        <v>896</v>
      </c>
      <c r="G725" s="171" t="s">
        <v>177</v>
      </c>
      <c r="H725" s="176">
        <v>1</v>
      </c>
      <c r="I725" s="177">
        <v>0</v>
      </c>
      <c r="J725" s="175">
        <v>46048</v>
      </c>
      <c r="K725" s="171" t="s">
        <v>113</v>
      </c>
      <c r="L725" s="171" t="s">
        <v>114</v>
      </c>
      <c r="M725" s="178">
        <v>0</v>
      </c>
      <c r="N725" s="176"/>
      <c r="O725" s="176">
        <v>51</v>
      </c>
      <c r="P725" s="179">
        <v>-56.94</v>
      </c>
    </row>
    <row r="726" spans="1:16" ht="19.5" customHeight="1">
      <c r="A726" s="171" t="s">
        <v>895</v>
      </c>
      <c r="B726" s="175">
        <v>46052</v>
      </c>
      <c r="C726" s="171" t="s">
        <v>115</v>
      </c>
      <c r="D726" s="171" t="s">
        <v>116</v>
      </c>
      <c r="E726" s="171" t="s">
        <v>62</v>
      </c>
      <c r="F726" s="171" t="s">
        <v>896</v>
      </c>
      <c r="G726" s="171" t="s">
        <v>177</v>
      </c>
      <c r="H726" s="176">
        <v>1</v>
      </c>
      <c r="I726" s="177">
        <v>0</v>
      </c>
      <c r="J726" s="175">
        <v>46048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-13.46</v>
      </c>
    </row>
    <row r="727" spans="1:16" ht="19.5" customHeight="1">
      <c r="A727" s="171" t="s">
        <v>897</v>
      </c>
      <c r="B727" s="175">
        <v>46052</v>
      </c>
      <c r="C727" s="171" t="s">
        <v>110</v>
      </c>
      <c r="D727" s="171" t="s">
        <v>24</v>
      </c>
      <c r="E727" s="171" t="s">
        <v>63</v>
      </c>
      <c r="F727" s="171" t="s">
        <v>898</v>
      </c>
      <c r="G727" s="171" t="s">
        <v>177</v>
      </c>
      <c r="H727" s="176">
        <v>1</v>
      </c>
      <c r="I727" s="177">
        <v>0</v>
      </c>
      <c r="J727" s="175">
        <v>46041</v>
      </c>
      <c r="K727" s="171" t="s">
        <v>113</v>
      </c>
      <c r="L727" s="171" t="s">
        <v>114</v>
      </c>
      <c r="M727" s="178">
        <v>0</v>
      </c>
      <c r="N727" s="176"/>
      <c r="O727" s="176">
        <v>53</v>
      </c>
      <c r="P727" s="179">
        <v>-56.94</v>
      </c>
    </row>
    <row r="728" spans="1:16" ht="19.5" customHeight="1">
      <c r="A728" s="171" t="s">
        <v>897</v>
      </c>
      <c r="B728" s="175">
        <v>46052</v>
      </c>
      <c r="C728" s="171" t="s">
        <v>115</v>
      </c>
      <c r="D728" s="171" t="s">
        <v>116</v>
      </c>
      <c r="E728" s="171" t="s">
        <v>63</v>
      </c>
      <c r="F728" s="171" t="s">
        <v>898</v>
      </c>
      <c r="G728" s="171" t="s">
        <v>177</v>
      </c>
      <c r="H728" s="176">
        <v>1</v>
      </c>
      <c r="I728" s="177">
        <v>0</v>
      </c>
      <c r="J728" s="175">
        <v>46041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-11.96</v>
      </c>
    </row>
    <row r="729" spans="1:16" ht="19.5" customHeight="1">
      <c r="A729" s="171" t="s">
        <v>899</v>
      </c>
      <c r="B729" s="175">
        <v>46052</v>
      </c>
      <c r="C729" s="171" t="s">
        <v>110</v>
      </c>
      <c r="D729" s="171" t="s">
        <v>24</v>
      </c>
      <c r="E729" s="171" t="s">
        <v>78</v>
      </c>
      <c r="F729" s="171" t="s">
        <v>176</v>
      </c>
      <c r="G729" s="171" t="s">
        <v>177</v>
      </c>
      <c r="H729" s="176">
        <v>1</v>
      </c>
      <c r="I729" s="177">
        <v>0</v>
      </c>
      <c r="J729" s="175">
        <v>46041</v>
      </c>
      <c r="K729" s="171" t="s">
        <v>113</v>
      </c>
      <c r="L729" s="171" t="s">
        <v>114</v>
      </c>
      <c r="M729" s="178">
        <v>0</v>
      </c>
      <c r="N729" s="176"/>
      <c r="O729" s="176">
        <v>53</v>
      </c>
      <c r="P729" s="179">
        <v>-56.94</v>
      </c>
    </row>
    <row r="730" spans="1:16" ht="19.5" customHeight="1">
      <c r="A730" s="171" t="s">
        <v>899</v>
      </c>
      <c r="B730" s="175">
        <v>46052</v>
      </c>
      <c r="C730" s="171" t="s">
        <v>115</v>
      </c>
      <c r="D730" s="171" t="s">
        <v>116</v>
      </c>
      <c r="E730" s="171" t="s">
        <v>78</v>
      </c>
      <c r="F730" s="171" t="s">
        <v>176</v>
      </c>
      <c r="G730" s="171" t="s">
        <v>177</v>
      </c>
      <c r="H730" s="176">
        <v>1</v>
      </c>
      <c r="I730" s="177">
        <v>0</v>
      </c>
      <c r="J730" s="175">
        <v>46041</v>
      </c>
      <c r="K730" s="171" t="s">
        <v>113</v>
      </c>
      <c r="L730" s="171" t="s">
        <v>114</v>
      </c>
      <c r="M730" s="178">
        <v>0</v>
      </c>
      <c r="N730" s="176"/>
      <c r="O730" s="176"/>
      <c r="P730" s="179">
        <v>-11.96</v>
      </c>
    </row>
    <row r="731" spans="1:16" ht="19.5" customHeight="1">
      <c r="A731" s="171" t="s">
        <v>897</v>
      </c>
      <c r="B731" s="175">
        <v>46052</v>
      </c>
      <c r="C731" s="171" t="s">
        <v>110</v>
      </c>
      <c r="D731" s="171" t="s">
        <v>117</v>
      </c>
      <c r="E731" s="171" t="s">
        <v>63</v>
      </c>
      <c r="F731" s="171" t="s">
        <v>898</v>
      </c>
      <c r="G731" s="171" t="s">
        <v>177</v>
      </c>
      <c r="H731" s="176">
        <v>1</v>
      </c>
      <c r="I731" s="177">
        <v>0</v>
      </c>
      <c r="J731" s="175">
        <v>46041</v>
      </c>
      <c r="K731" s="171" t="s">
        <v>113</v>
      </c>
      <c r="L731" s="171" t="s">
        <v>114</v>
      </c>
      <c r="M731" s="178">
        <v>0</v>
      </c>
      <c r="N731" s="176"/>
      <c r="O731" s="176"/>
      <c r="P731" s="179">
        <v>0</v>
      </c>
    </row>
    <row r="732" spans="1:16" ht="19.5" customHeight="1">
      <c r="A732" s="171" t="s">
        <v>897</v>
      </c>
      <c r="B732" s="175">
        <v>46052</v>
      </c>
      <c r="C732" s="171" t="s">
        <v>110</v>
      </c>
      <c r="D732" s="171" t="s">
        <v>118</v>
      </c>
      <c r="E732" s="171" t="s">
        <v>63</v>
      </c>
      <c r="F732" s="171" t="s">
        <v>898</v>
      </c>
      <c r="G732" s="171" t="s">
        <v>177</v>
      </c>
      <c r="H732" s="176">
        <v>1</v>
      </c>
      <c r="I732" s="177">
        <v>0</v>
      </c>
      <c r="J732" s="175">
        <v>46041</v>
      </c>
      <c r="K732" s="171" t="s">
        <v>113</v>
      </c>
      <c r="L732" s="171" t="s">
        <v>114</v>
      </c>
      <c r="M732" s="178">
        <v>0</v>
      </c>
      <c r="N732" s="176"/>
      <c r="O732" s="176"/>
      <c r="P732" s="179">
        <v>-56.94</v>
      </c>
    </row>
    <row r="733" spans="1:16" ht="19.5" customHeight="1">
      <c r="A733" s="171" t="s">
        <v>897</v>
      </c>
      <c r="B733" s="175">
        <v>46052</v>
      </c>
      <c r="C733" s="171" t="s">
        <v>115</v>
      </c>
      <c r="D733" s="171" t="s">
        <v>119</v>
      </c>
      <c r="E733" s="171" t="s">
        <v>63</v>
      </c>
      <c r="F733" s="171" t="s">
        <v>898</v>
      </c>
      <c r="G733" s="171" t="s">
        <v>177</v>
      </c>
      <c r="H733" s="176">
        <v>1</v>
      </c>
      <c r="I733" s="177">
        <v>0</v>
      </c>
      <c r="J733" s="175">
        <v>46041</v>
      </c>
      <c r="K733" s="171" t="s">
        <v>113</v>
      </c>
      <c r="L733" s="171" t="s">
        <v>114</v>
      </c>
      <c r="M733" s="178">
        <v>0</v>
      </c>
      <c r="N733" s="176"/>
      <c r="O733" s="176"/>
      <c r="P733" s="179">
        <v>-15</v>
      </c>
    </row>
    <row r="734" spans="1:16" ht="19.5" customHeight="1">
      <c r="A734" s="171" t="s">
        <v>895</v>
      </c>
      <c r="B734" s="175">
        <v>46052</v>
      </c>
      <c r="C734" s="171" t="s">
        <v>110</v>
      </c>
      <c r="D734" s="171" t="s">
        <v>117</v>
      </c>
      <c r="E734" s="171" t="s">
        <v>62</v>
      </c>
      <c r="F734" s="171" t="s">
        <v>896</v>
      </c>
      <c r="G734" s="171" t="s">
        <v>177</v>
      </c>
      <c r="H734" s="176">
        <v>1</v>
      </c>
      <c r="I734" s="177">
        <v>0</v>
      </c>
      <c r="J734" s="175">
        <v>46048</v>
      </c>
      <c r="K734" s="171" t="s">
        <v>113</v>
      </c>
      <c r="L734" s="171" t="s">
        <v>114</v>
      </c>
      <c r="M734" s="178">
        <v>0</v>
      </c>
      <c r="N734" s="176"/>
      <c r="O734" s="176"/>
      <c r="P734" s="179">
        <v>0</v>
      </c>
    </row>
    <row r="735" spans="1:16" ht="19.5" customHeight="1">
      <c r="A735" s="171" t="s">
        <v>895</v>
      </c>
      <c r="B735" s="175">
        <v>46052</v>
      </c>
      <c r="C735" s="171" t="s">
        <v>110</v>
      </c>
      <c r="D735" s="171" t="s">
        <v>118</v>
      </c>
      <c r="E735" s="171" t="s">
        <v>62</v>
      </c>
      <c r="F735" s="171" t="s">
        <v>896</v>
      </c>
      <c r="G735" s="171" t="s">
        <v>177</v>
      </c>
      <c r="H735" s="176">
        <v>1</v>
      </c>
      <c r="I735" s="177">
        <v>0</v>
      </c>
      <c r="J735" s="175">
        <v>46048</v>
      </c>
      <c r="K735" s="171" t="s">
        <v>113</v>
      </c>
      <c r="L735" s="171" t="s">
        <v>114</v>
      </c>
      <c r="M735" s="178">
        <v>0</v>
      </c>
      <c r="N735" s="176"/>
      <c r="O735" s="176"/>
      <c r="P735" s="179">
        <v>-56.94</v>
      </c>
    </row>
    <row r="736" spans="1:16" ht="19.5" customHeight="1">
      <c r="A736" s="171" t="s">
        <v>895</v>
      </c>
      <c r="B736" s="175">
        <v>46052</v>
      </c>
      <c r="C736" s="171" t="s">
        <v>115</v>
      </c>
      <c r="D736" s="171" t="s">
        <v>119</v>
      </c>
      <c r="E736" s="171" t="s">
        <v>62</v>
      </c>
      <c r="F736" s="171" t="s">
        <v>896</v>
      </c>
      <c r="G736" s="171" t="s">
        <v>177</v>
      </c>
      <c r="H736" s="176">
        <v>1</v>
      </c>
      <c r="I736" s="177">
        <v>0</v>
      </c>
      <c r="J736" s="175">
        <v>46048</v>
      </c>
      <c r="K736" s="171" t="s">
        <v>113</v>
      </c>
      <c r="L736" s="171" t="s">
        <v>114</v>
      </c>
      <c r="M736" s="178">
        <v>0</v>
      </c>
      <c r="N736" s="176"/>
      <c r="O736" s="176"/>
      <c r="P736" s="179">
        <v>-15</v>
      </c>
    </row>
    <row r="737" spans="1:16" ht="19.5" customHeight="1">
      <c r="A737" s="171" t="s">
        <v>899</v>
      </c>
      <c r="B737" s="175">
        <v>46052</v>
      </c>
      <c r="C737" s="171" t="s">
        <v>110</v>
      </c>
      <c r="D737" s="171" t="s">
        <v>117</v>
      </c>
      <c r="E737" s="171" t="s">
        <v>78</v>
      </c>
      <c r="F737" s="171" t="s">
        <v>176</v>
      </c>
      <c r="G737" s="171" t="s">
        <v>177</v>
      </c>
      <c r="H737" s="176">
        <v>1</v>
      </c>
      <c r="I737" s="177">
        <v>0</v>
      </c>
      <c r="J737" s="175">
        <v>46041</v>
      </c>
      <c r="K737" s="171" t="s">
        <v>113</v>
      </c>
      <c r="L737" s="171" t="s">
        <v>114</v>
      </c>
      <c r="M737" s="178">
        <v>0</v>
      </c>
      <c r="N737" s="176"/>
      <c r="O737" s="176"/>
      <c r="P737" s="179">
        <v>0</v>
      </c>
    </row>
    <row r="738" spans="1:16" ht="19.5" customHeight="1">
      <c r="A738" s="171" t="s">
        <v>899</v>
      </c>
      <c r="B738" s="175">
        <v>46052</v>
      </c>
      <c r="C738" s="171" t="s">
        <v>110</v>
      </c>
      <c r="D738" s="171" t="s">
        <v>118</v>
      </c>
      <c r="E738" s="171" t="s">
        <v>78</v>
      </c>
      <c r="F738" s="171" t="s">
        <v>176</v>
      </c>
      <c r="G738" s="171" t="s">
        <v>177</v>
      </c>
      <c r="H738" s="176">
        <v>1</v>
      </c>
      <c r="I738" s="177">
        <v>0</v>
      </c>
      <c r="J738" s="175">
        <v>46041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-56.94</v>
      </c>
    </row>
    <row r="739" spans="1:16" ht="19.5" customHeight="1">
      <c r="A739" s="171" t="s">
        <v>899</v>
      </c>
      <c r="B739" s="175">
        <v>46052</v>
      </c>
      <c r="C739" s="171" t="s">
        <v>115</v>
      </c>
      <c r="D739" s="171" t="s">
        <v>119</v>
      </c>
      <c r="E739" s="171" t="s">
        <v>78</v>
      </c>
      <c r="F739" s="171" t="s">
        <v>176</v>
      </c>
      <c r="G739" s="171" t="s">
        <v>177</v>
      </c>
      <c r="H739" s="176">
        <v>1</v>
      </c>
      <c r="I739" s="177">
        <v>0</v>
      </c>
      <c r="J739" s="175">
        <v>46041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-15</v>
      </c>
    </row>
    <row r="740" spans="1:16" ht="19.5" customHeight="1">
      <c r="A740" s="171" t="s">
        <v>900</v>
      </c>
      <c r="B740" s="175">
        <v>46052</v>
      </c>
      <c r="C740" s="171" t="s">
        <v>110</v>
      </c>
      <c r="D740" s="171" t="s">
        <v>24</v>
      </c>
      <c r="E740" s="171" t="s">
        <v>38</v>
      </c>
      <c r="F740" s="171" t="s">
        <v>111</v>
      </c>
      <c r="G740" s="171" t="s">
        <v>112</v>
      </c>
      <c r="H740" s="176">
        <v>1</v>
      </c>
      <c r="I740" s="177">
        <v>1800</v>
      </c>
      <c r="J740" s="175">
        <v>46049</v>
      </c>
      <c r="K740" s="171" t="s">
        <v>113</v>
      </c>
      <c r="L740" s="171" t="s">
        <v>114</v>
      </c>
      <c r="M740" s="178">
        <v>0.43</v>
      </c>
      <c r="N740" s="176"/>
      <c r="O740" s="176">
        <v>51</v>
      </c>
      <c r="P740" s="179">
        <v>-152.08000000000001</v>
      </c>
    </row>
    <row r="741" spans="1:16" ht="19.5" customHeight="1">
      <c r="A741" s="171" t="s">
        <v>900</v>
      </c>
      <c r="B741" s="175">
        <v>46052</v>
      </c>
      <c r="C741" s="171" t="s">
        <v>127</v>
      </c>
      <c r="D741" s="171" t="s">
        <v>128</v>
      </c>
      <c r="E741" s="171" t="s">
        <v>38</v>
      </c>
      <c r="F741" s="171" t="s">
        <v>111</v>
      </c>
      <c r="G741" s="171" t="s">
        <v>112</v>
      </c>
      <c r="H741" s="176">
        <v>1</v>
      </c>
      <c r="I741" s="177">
        <v>1800</v>
      </c>
      <c r="J741" s="175">
        <v>46049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803.81</v>
      </c>
    </row>
    <row r="742" spans="1:16" ht="19.5" customHeight="1">
      <c r="A742" s="171" t="s">
        <v>900</v>
      </c>
      <c r="B742" s="175">
        <v>46052</v>
      </c>
      <c r="C742" s="171" t="s">
        <v>127</v>
      </c>
      <c r="D742" s="171" t="s">
        <v>129</v>
      </c>
      <c r="E742" s="171" t="s">
        <v>38</v>
      </c>
      <c r="F742" s="171" t="s">
        <v>111</v>
      </c>
      <c r="G742" s="171" t="s">
        <v>112</v>
      </c>
      <c r="H742" s="176">
        <v>1</v>
      </c>
      <c r="I742" s="177">
        <v>1800</v>
      </c>
      <c r="J742" s="175">
        <v>46049</v>
      </c>
      <c r="K742" s="171" t="s">
        <v>113</v>
      </c>
      <c r="L742" s="171" t="s">
        <v>114</v>
      </c>
      <c r="M742" s="178">
        <v>0</v>
      </c>
      <c r="N742" s="176"/>
      <c r="O742" s="176"/>
      <c r="P742" s="179">
        <v>8.0399999999999991</v>
      </c>
    </row>
    <row r="743" spans="1:16" ht="19.5" customHeight="1">
      <c r="A743" s="171" t="s">
        <v>900</v>
      </c>
      <c r="B743" s="175">
        <v>46052</v>
      </c>
      <c r="C743" s="171" t="s">
        <v>127</v>
      </c>
      <c r="D743" s="171" t="s">
        <v>130</v>
      </c>
      <c r="E743" s="171" t="s">
        <v>38</v>
      </c>
      <c r="F743" s="171" t="s">
        <v>111</v>
      </c>
      <c r="G743" s="171" t="s">
        <v>112</v>
      </c>
      <c r="H743" s="176">
        <v>1</v>
      </c>
      <c r="I743" s="177">
        <v>1800</v>
      </c>
      <c r="J743" s="175">
        <v>46049</v>
      </c>
      <c r="K743" s="171" t="s">
        <v>113</v>
      </c>
      <c r="L743" s="171" t="s">
        <v>114</v>
      </c>
      <c r="M743" s="178">
        <v>0</v>
      </c>
      <c r="N743" s="176"/>
      <c r="O743" s="176"/>
      <c r="P743" s="179">
        <v>988.15</v>
      </c>
    </row>
    <row r="744" spans="1:16" ht="19.5" customHeight="1">
      <c r="A744" s="171" t="s">
        <v>900</v>
      </c>
      <c r="B744" s="175">
        <v>46052</v>
      </c>
      <c r="C744" s="171" t="s">
        <v>131</v>
      </c>
      <c r="D744" s="171" t="s">
        <v>132</v>
      </c>
      <c r="E744" s="171" t="s">
        <v>38</v>
      </c>
      <c r="F744" s="171" t="s">
        <v>111</v>
      </c>
      <c r="G744" s="171" t="s">
        <v>112</v>
      </c>
      <c r="H744" s="176">
        <v>1</v>
      </c>
      <c r="I744" s="177">
        <v>1800</v>
      </c>
      <c r="J744" s="175">
        <v>46049</v>
      </c>
      <c r="K744" s="171" t="s">
        <v>113</v>
      </c>
      <c r="L744" s="171" t="s">
        <v>114</v>
      </c>
      <c r="M744" s="178">
        <v>0.43</v>
      </c>
      <c r="N744" s="176"/>
      <c r="O744" s="176"/>
      <c r="P744" s="179">
        <v>-774</v>
      </c>
    </row>
    <row r="745" spans="1:16" ht="19.5" customHeight="1">
      <c r="A745" s="171" t="s">
        <v>900</v>
      </c>
      <c r="B745" s="175">
        <v>46052</v>
      </c>
      <c r="C745" s="171" t="s">
        <v>115</v>
      </c>
      <c r="D745" s="171" t="s">
        <v>116</v>
      </c>
      <c r="E745" s="171" t="s">
        <v>38</v>
      </c>
      <c r="F745" s="171" t="s">
        <v>111</v>
      </c>
      <c r="G745" s="171" t="s">
        <v>112</v>
      </c>
      <c r="H745" s="176">
        <v>1</v>
      </c>
      <c r="I745" s="177">
        <v>1800</v>
      </c>
      <c r="J745" s="175">
        <v>46049</v>
      </c>
      <c r="K745" s="171" t="s">
        <v>113</v>
      </c>
      <c r="L745" s="171" t="s">
        <v>114</v>
      </c>
      <c r="M745" s="178">
        <v>0.43</v>
      </c>
      <c r="N745" s="176"/>
      <c r="O745" s="176"/>
      <c r="P745" s="179">
        <v>-13.43</v>
      </c>
    </row>
    <row r="746" spans="1:16" ht="19.5" customHeight="1">
      <c r="A746" s="171" t="s">
        <v>894</v>
      </c>
      <c r="B746" s="175">
        <v>46052</v>
      </c>
      <c r="C746" s="171" t="s">
        <v>115</v>
      </c>
      <c r="D746" s="171" t="s">
        <v>135</v>
      </c>
      <c r="E746" s="171" t="s">
        <v>38</v>
      </c>
      <c r="F746" s="171" t="s">
        <v>111</v>
      </c>
      <c r="G746" s="171" t="s">
        <v>112</v>
      </c>
      <c r="H746" s="176">
        <v>1</v>
      </c>
      <c r="I746" s="177">
        <v>0</v>
      </c>
      <c r="J746" s="175">
        <v>46051</v>
      </c>
      <c r="K746" s="171" t="s">
        <v>125</v>
      </c>
      <c r="L746" s="171" t="s">
        <v>125</v>
      </c>
      <c r="M746" s="178">
        <v>0</v>
      </c>
      <c r="N746" s="176"/>
      <c r="O746" s="176"/>
      <c r="P746" s="179">
        <v>-14.17</v>
      </c>
    </row>
    <row r="747" spans="1:16" ht="19.5" customHeight="1">
      <c r="A747" s="171" t="s">
        <v>901</v>
      </c>
      <c r="B747" s="175">
        <v>46052</v>
      </c>
      <c r="C747" s="171" t="s">
        <v>110</v>
      </c>
      <c r="D747" s="171" t="s">
        <v>24</v>
      </c>
      <c r="E747" s="171" t="s">
        <v>38</v>
      </c>
      <c r="F747" s="171" t="s">
        <v>111</v>
      </c>
      <c r="G747" s="171" t="s">
        <v>112</v>
      </c>
      <c r="H747" s="176">
        <v>1</v>
      </c>
      <c r="I747" s="177">
        <v>1670</v>
      </c>
      <c r="J747" s="175">
        <v>46045</v>
      </c>
      <c r="K747" s="171" t="s">
        <v>113</v>
      </c>
      <c r="L747" s="171" t="s">
        <v>114</v>
      </c>
      <c r="M747" s="178">
        <v>0.43</v>
      </c>
      <c r="N747" s="176"/>
      <c r="O747" s="176">
        <v>51</v>
      </c>
      <c r="P747" s="179">
        <v>-147.08000000000001</v>
      </c>
    </row>
    <row r="748" spans="1:16" ht="19.5" customHeight="1">
      <c r="A748" s="171" t="s">
        <v>901</v>
      </c>
      <c r="B748" s="175">
        <v>46052</v>
      </c>
      <c r="C748" s="171" t="s">
        <v>127</v>
      </c>
      <c r="D748" s="171" t="s">
        <v>128</v>
      </c>
      <c r="E748" s="171" t="s">
        <v>38</v>
      </c>
      <c r="F748" s="171" t="s">
        <v>111</v>
      </c>
      <c r="G748" s="171" t="s">
        <v>112</v>
      </c>
      <c r="H748" s="176">
        <v>1</v>
      </c>
      <c r="I748" s="177">
        <v>1670</v>
      </c>
      <c r="J748" s="175">
        <v>46045</v>
      </c>
      <c r="K748" s="171" t="s">
        <v>113</v>
      </c>
      <c r="L748" s="171" t="s">
        <v>114</v>
      </c>
      <c r="M748" s="178">
        <v>0</v>
      </c>
      <c r="N748" s="176"/>
      <c r="O748" s="176"/>
      <c r="P748" s="179">
        <v>799.05</v>
      </c>
    </row>
    <row r="749" spans="1:16" ht="19.5" customHeight="1">
      <c r="A749" s="171" t="s">
        <v>901</v>
      </c>
      <c r="B749" s="175">
        <v>46052</v>
      </c>
      <c r="C749" s="171" t="s">
        <v>127</v>
      </c>
      <c r="D749" s="171" t="s">
        <v>129</v>
      </c>
      <c r="E749" s="171" t="s">
        <v>38</v>
      </c>
      <c r="F749" s="171" t="s">
        <v>111</v>
      </c>
      <c r="G749" s="171" t="s">
        <v>112</v>
      </c>
      <c r="H749" s="176">
        <v>1</v>
      </c>
      <c r="I749" s="177">
        <v>1670</v>
      </c>
      <c r="J749" s="175">
        <v>46045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0</v>
      </c>
    </row>
    <row r="750" spans="1:16" ht="19.5" customHeight="1">
      <c r="A750" s="171" t="s">
        <v>901</v>
      </c>
      <c r="B750" s="175">
        <v>46052</v>
      </c>
      <c r="C750" s="171" t="s">
        <v>127</v>
      </c>
      <c r="D750" s="171" t="s">
        <v>130</v>
      </c>
      <c r="E750" s="171" t="s">
        <v>38</v>
      </c>
      <c r="F750" s="171" t="s">
        <v>111</v>
      </c>
      <c r="G750" s="171" t="s">
        <v>112</v>
      </c>
      <c r="H750" s="176">
        <v>1</v>
      </c>
      <c r="I750" s="177">
        <v>1670</v>
      </c>
      <c r="J750" s="175">
        <v>46045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870.95</v>
      </c>
    </row>
    <row r="751" spans="1:16" ht="19.5" customHeight="1">
      <c r="A751" s="171" t="s">
        <v>901</v>
      </c>
      <c r="B751" s="175">
        <v>46052</v>
      </c>
      <c r="C751" s="171" t="s">
        <v>131</v>
      </c>
      <c r="D751" s="171" t="s">
        <v>132</v>
      </c>
      <c r="E751" s="171" t="s">
        <v>38</v>
      </c>
      <c r="F751" s="171" t="s">
        <v>111</v>
      </c>
      <c r="G751" s="171" t="s">
        <v>112</v>
      </c>
      <c r="H751" s="176">
        <v>1</v>
      </c>
      <c r="I751" s="177">
        <v>1670</v>
      </c>
      <c r="J751" s="175">
        <v>46045</v>
      </c>
      <c r="K751" s="171" t="s">
        <v>113</v>
      </c>
      <c r="L751" s="171" t="s">
        <v>114</v>
      </c>
      <c r="M751" s="178">
        <v>0.43</v>
      </c>
      <c r="N751" s="176"/>
      <c r="O751" s="176"/>
      <c r="P751" s="179">
        <v>-718.1</v>
      </c>
    </row>
    <row r="752" spans="1:16" ht="19.5" customHeight="1">
      <c r="A752" s="171" t="s">
        <v>901</v>
      </c>
      <c r="B752" s="175">
        <v>46052</v>
      </c>
      <c r="C752" s="171" t="s">
        <v>115</v>
      </c>
      <c r="D752" s="171" t="s">
        <v>116</v>
      </c>
      <c r="E752" s="171" t="s">
        <v>38</v>
      </c>
      <c r="F752" s="171" t="s">
        <v>111</v>
      </c>
      <c r="G752" s="171" t="s">
        <v>112</v>
      </c>
      <c r="H752" s="176">
        <v>1</v>
      </c>
      <c r="I752" s="177">
        <v>1670</v>
      </c>
      <c r="J752" s="175">
        <v>46045</v>
      </c>
      <c r="K752" s="171" t="s">
        <v>113</v>
      </c>
      <c r="L752" s="171" t="s">
        <v>114</v>
      </c>
      <c r="M752" s="178">
        <v>0.43</v>
      </c>
      <c r="N752" s="176"/>
      <c r="O752" s="176"/>
      <c r="P752" s="179">
        <v>-10.27</v>
      </c>
    </row>
    <row r="753" spans="1:16" ht="19.5" customHeight="1">
      <c r="A753" s="171" t="s">
        <v>900</v>
      </c>
      <c r="B753" s="175">
        <v>46052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46049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-15.27</v>
      </c>
    </row>
    <row r="754" spans="1:16" ht="19.5" customHeight="1">
      <c r="A754" s="171" t="s">
        <v>902</v>
      </c>
      <c r="B754" s="175">
        <v>46052</v>
      </c>
      <c r="C754" s="171" t="s">
        <v>110</v>
      </c>
      <c r="D754" s="171" t="s">
        <v>24</v>
      </c>
      <c r="E754" s="171" t="s">
        <v>38</v>
      </c>
      <c r="F754" s="171" t="s">
        <v>111</v>
      </c>
      <c r="G754" s="171" t="s">
        <v>112</v>
      </c>
      <c r="H754" s="176">
        <v>1</v>
      </c>
      <c r="I754" s="177">
        <v>1670</v>
      </c>
      <c r="J754" s="175">
        <v>46049</v>
      </c>
      <c r="K754" s="171" t="s">
        <v>113</v>
      </c>
      <c r="L754" s="171" t="s">
        <v>114</v>
      </c>
      <c r="M754" s="178">
        <v>0.43</v>
      </c>
      <c r="N754" s="176"/>
      <c r="O754" s="176">
        <v>51</v>
      </c>
      <c r="P754" s="179">
        <v>-147.08000000000001</v>
      </c>
    </row>
    <row r="755" spans="1:16" ht="19.5" customHeight="1">
      <c r="A755" s="171" t="s">
        <v>902</v>
      </c>
      <c r="B755" s="175">
        <v>46052</v>
      </c>
      <c r="C755" s="171" t="s">
        <v>127</v>
      </c>
      <c r="D755" s="171" t="s">
        <v>128</v>
      </c>
      <c r="E755" s="171" t="s">
        <v>38</v>
      </c>
      <c r="F755" s="171" t="s">
        <v>111</v>
      </c>
      <c r="G755" s="171" t="s">
        <v>112</v>
      </c>
      <c r="H755" s="176">
        <v>1</v>
      </c>
      <c r="I755" s="177">
        <v>1670</v>
      </c>
      <c r="J755" s="175">
        <v>46049</v>
      </c>
      <c r="K755" s="171" t="s">
        <v>113</v>
      </c>
      <c r="L755" s="171" t="s">
        <v>114</v>
      </c>
      <c r="M755" s="178">
        <v>0</v>
      </c>
      <c r="N755" s="176"/>
      <c r="O755" s="176"/>
      <c r="P755" s="179">
        <v>819.22</v>
      </c>
    </row>
    <row r="756" spans="1:16" ht="19.5" customHeight="1">
      <c r="A756" s="171" t="s">
        <v>902</v>
      </c>
      <c r="B756" s="175">
        <v>46052</v>
      </c>
      <c r="C756" s="171" t="s">
        <v>127</v>
      </c>
      <c r="D756" s="171" t="s">
        <v>129</v>
      </c>
      <c r="E756" s="171" t="s">
        <v>38</v>
      </c>
      <c r="F756" s="171" t="s">
        <v>111</v>
      </c>
      <c r="G756" s="171" t="s">
        <v>112</v>
      </c>
      <c r="H756" s="176">
        <v>1</v>
      </c>
      <c r="I756" s="177">
        <v>1670</v>
      </c>
      <c r="J756" s="175">
        <v>46049</v>
      </c>
      <c r="K756" s="171" t="s">
        <v>113</v>
      </c>
      <c r="L756" s="171" t="s">
        <v>114</v>
      </c>
      <c r="M756" s="178">
        <v>0</v>
      </c>
      <c r="N756" s="176"/>
      <c r="O756" s="176"/>
      <c r="P756" s="179">
        <v>8.19</v>
      </c>
    </row>
    <row r="757" spans="1:16" ht="19.5" customHeight="1">
      <c r="A757" s="171" t="s">
        <v>902</v>
      </c>
      <c r="B757" s="175">
        <v>46052</v>
      </c>
      <c r="C757" s="171" t="s">
        <v>127</v>
      </c>
      <c r="D757" s="171" t="s">
        <v>130</v>
      </c>
      <c r="E757" s="171" t="s">
        <v>38</v>
      </c>
      <c r="F757" s="171" t="s">
        <v>111</v>
      </c>
      <c r="G757" s="171" t="s">
        <v>112</v>
      </c>
      <c r="H757" s="176">
        <v>1</v>
      </c>
      <c r="I757" s="177">
        <v>1670</v>
      </c>
      <c r="J757" s="175">
        <v>46049</v>
      </c>
      <c r="K757" s="171" t="s">
        <v>113</v>
      </c>
      <c r="L757" s="171" t="s">
        <v>114</v>
      </c>
      <c r="M757" s="178">
        <v>0</v>
      </c>
      <c r="N757" s="176"/>
      <c r="O757" s="176"/>
      <c r="P757" s="179">
        <v>842.59</v>
      </c>
    </row>
    <row r="758" spans="1:16" ht="19.5" customHeight="1">
      <c r="A758" s="171" t="s">
        <v>902</v>
      </c>
      <c r="B758" s="175">
        <v>46052</v>
      </c>
      <c r="C758" s="171" t="s">
        <v>131</v>
      </c>
      <c r="D758" s="171" t="s">
        <v>132</v>
      </c>
      <c r="E758" s="171" t="s">
        <v>38</v>
      </c>
      <c r="F758" s="171" t="s">
        <v>111</v>
      </c>
      <c r="G758" s="171" t="s">
        <v>112</v>
      </c>
      <c r="H758" s="176">
        <v>1</v>
      </c>
      <c r="I758" s="177">
        <v>1670</v>
      </c>
      <c r="J758" s="175">
        <v>46049</v>
      </c>
      <c r="K758" s="171" t="s">
        <v>113</v>
      </c>
      <c r="L758" s="171" t="s">
        <v>114</v>
      </c>
      <c r="M758" s="178">
        <v>0.43</v>
      </c>
      <c r="N758" s="176"/>
      <c r="O758" s="176"/>
      <c r="P758" s="179">
        <v>-718.1</v>
      </c>
    </row>
    <row r="759" spans="1:16" ht="19.5" customHeight="1">
      <c r="A759" s="171" t="s">
        <v>902</v>
      </c>
      <c r="B759" s="175">
        <v>46052</v>
      </c>
      <c r="C759" s="171" t="s">
        <v>115</v>
      </c>
      <c r="D759" s="171" t="s">
        <v>116</v>
      </c>
      <c r="E759" s="171" t="s">
        <v>38</v>
      </c>
      <c r="F759" s="171" t="s">
        <v>111</v>
      </c>
      <c r="G759" s="171" t="s">
        <v>112</v>
      </c>
      <c r="H759" s="176">
        <v>1</v>
      </c>
      <c r="I759" s="177">
        <v>1670</v>
      </c>
      <c r="J759" s="175">
        <v>46049</v>
      </c>
      <c r="K759" s="171" t="s">
        <v>113</v>
      </c>
      <c r="L759" s="171" t="s">
        <v>114</v>
      </c>
      <c r="M759" s="178">
        <v>0.43</v>
      </c>
      <c r="N759" s="176"/>
      <c r="O759" s="176"/>
      <c r="P759" s="179">
        <v>-18.079999999999998</v>
      </c>
    </row>
    <row r="760" spans="1:16" ht="19.5" customHeight="1">
      <c r="A760" s="171" t="s">
        <v>903</v>
      </c>
      <c r="B760" s="175">
        <v>46052</v>
      </c>
      <c r="C760" s="171" t="s">
        <v>115</v>
      </c>
      <c r="D760" s="171" t="s">
        <v>135</v>
      </c>
      <c r="E760" s="171" t="s">
        <v>68</v>
      </c>
      <c r="F760" s="171" t="s">
        <v>698</v>
      </c>
      <c r="G760" s="171" t="s">
        <v>699</v>
      </c>
      <c r="H760" s="176">
        <v>1</v>
      </c>
      <c r="I760" s="177">
        <v>0</v>
      </c>
      <c r="J760" s="175">
        <v>46052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-44.96</v>
      </c>
    </row>
    <row r="761" spans="1:16" ht="19.5" customHeight="1">
      <c r="A761" s="171" t="s">
        <v>904</v>
      </c>
      <c r="B761" s="175">
        <v>46052</v>
      </c>
      <c r="C761" s="171" t="s">
        <v>110</v>
      </c>
      <c r="D761" s="171" t="s">
        <v>24</v>
      </c>
      <c r="E761" s="171" t="s">
        <v>38</v>
      </c>
      <c r="F761" s="171" t="s">
        <v>111</v>
      </c>
      <c r="G761" s="171" t="s">
        <v>112</v>
      </c>
      <c r="H761" s="176">
        <v>1</v>
      </c>
      <c r="I761" s="177">
        <v>1670</v>
      </c>
      <c r="J761" s="175">
        <v>46046</v>
      </c>
      <c r="K761" s="171" t="s">
        <v>113</v>
      </c>
      <c r="L761" s="171" t="s">
        <v>114</v>
      </c>
      <c r="M761" s="178">
        <v>0.43</v>
      </c>
      <c r="N761" s="176"/>
      <c r="O761" s="176">
        <v>50</v>
      </c>
      <c r="P761" s="179">
        <v>-145.78</v>
      </c>
    </row>
    <row r="762" spans="1:16" ht="19.5" customHeight="1">
      <c r="A762" s="171" t="s">
        <v>904</v>
      </c>
      <c r="B762" s="175">
        <v>46052</v>
      </c>
      <c r="C762" s="171" t="s">
        <v>127</v>
      </c>
      <c r="D762" s="171" t="s">
        <v>128</v>
      </c>
      <c r="E762" s="171" t="s">
        <v>38</v>
      </c>
      <c r="F762" s="171" t="s">
        <v>111</v>
      </c>
      <c r="G762" s="171" t="s">
        <v>112</v>
      </c>
      <c r="H762" s="176">
        <v>1</v>
      </c>
      <c r="I762" s="177">
        <v>1670</v>
      </c>
      <c r="J762" s="175">
        <v>46046</v>
      </c>
      <c r="K762" s="171" t="s">
        <v>113</v>
      </c>
      <c r="L762" s="171" t="s">
        <v>114</v>
      </c>
      <c r="M762" s="178">
        <v>0</v>
      </c>
      <c r="N762" s="176"/>
      <c r="O762" s="176"/>
      <c r="P762" s="179">
        <v>748.57</v>
      </c>
    </row>
    <row r="763" spans="1:16" ht="19.5" customHeight="1">
      <c r="A763" s="171" t="s">
        <v>904</v>
      </c>
      <c r="B763" s="175">
        <v>46052</v>
      </c>
      <c r="C763" s="171" t="s">
        <v>127</v>
      </c>
      <c r="D763" s="171" t="s">
        <v>129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1670</v>
      </c>
      <c r="J763" s="175">
        <v>46046</v>
      </c>
      <c r="K763" s="171" t="s">
        <v>113</v>
      </c>
      <c r="L763" s="171" t="s">
        <v>114</v>
      </c>
      <c r="M763" s="178">
        <v>0</v>
      </c>
      <c r="N763" s="176"/>
      <c r="O763" s="176"/>
      <c r="P763" s="179">
        <v>7.49</v>
      </c>
    </row>
    <row r="764" spans="1:16" ht="19.5" customHeight="1">
      <c r="A764" s="171" t="s">
        <v>904</v>
      </c>
      <c r="B764" s="175">
        <v>46052</v>
      </c>
      <c r="C764" s="171" t="s">
        <v>127</v>
      </c>
      <c r="D764" s="171" t="s">
        <v>130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1670</v>
      </c>
      <c r="J764" s="175">
        <v>46046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913.94</v>
      </c>
    </row>
    <row r="765" spans="1:16" ht="19.5" customHeight="1">
      <c r="A765" s="171" t="s">
        <v>904</v>
      </c>
      <c r="B765" s="175">
        <v>46052</v>
      </c>
      <c r="C765" s="171" t="s">
        <v>131</v>
      </c>
      <c r="D765" s="171" t="s">
        <v>132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1670</v>
      </c>
      <c r="J765" s="175">
        <v>46046</v>
      </c>
      <c r="K765" s="171" t="s">
        <v>113</v>
      </c>
      <c r="L765" s="171" t="s">
        <v>114</v>
      </c>
      <c r="M765" s="178">
        <v>0.43</v>
      </c>
      <c r="N765" s="176"/>
      <c r="O765" s="176"/>
      <c r="P765" s="179">
        <v>-718.1</v>
      </c>
    </row>
    <row r="766" spans="1:16" ht="19.5" customHeight="1">
      <c r="A766" s="171" t="s">
        <v>904</v>
      </c>
      <c r="B766" s="175">
        <v>46052</v>
      </c>
      <c r="C766" s="171" t="s">
        <v>115</v>
      </c>
      <c r="D766" s="171" t="s">
        <v>116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1670</v>
      </c>
      <c r="J766" s="175">
        <v>46046</v>
      </c>
      <c r="K766" s="171" t="s">
        <v>113</v>
      </c>
      <c r="L766" s="171" t="s">
        <v>114</v>
      </c>
      <c r="M766" s="178">
        <v>0.43</v>
      </c>
      <c r="N766" s="176"/>
      <c r="O766" s="176"/>
      <c r="P766" s="179">
        <v>-21.4</v>
      </c>
    </row>
    <row r="767" spans="1:16" ht="19.5" customHeight="1">
      <c r="A767" s="171" t="s">
        <v>905</v>
      </c>
      <c r="B767" s="175">
        <v>46052</v>
      </c>
      <c r="C767" s="171" t="s">
        <v>110</v>
      </c>
      <c r="D767" s="171" t="s">
        <v>24</v>
      </c>
      <c r="E767" s="171" t="s">
        <v>42</v>
      </c>
      <c r="F767" s="171" t="s">
        <v>248</v>
      </c>
      <c r="G767" s="171" t="s">
        <v>112</v>
      </c>
      <c r="H767" s="176">
        <v>1</v>
      </c>
      <c r="I767" s="177">
        <v>0</v>
      </c>
      <c r="J767" s="175">
        <v>46048</v>
      </c>
      <c r="K767" s="171" t="s">
        <v>113</v>
      </c>
      <c r="L767" s="171" t="s">
        <v>114</v>
      </c>
      <c r="M767" s="178">
        <v>0</v>
      </c>
      <c r="N767" s="176"/>
      <c r="O767" s="176">
        <v>51</v>
      </c>
      <c r="P767" s="179">
        <v>-46.77</v>
      </c>
    </row>
    <row r="768" spans="1:16" ht="19.5" customHeight="1">
      <c r="A768" s="171" t="s">
        <v>905</v>
      </c>
      <c r="B768" s="175">
        <v>46052</v>
      </c>
      <c r="C768" s="171" t="s">
        <v>115</v>
      </c>
      <c r="D768" s="171" t="s">
        <v>116</v>
      </c>
      <c r="E768" s="171" t="s">
        <v>42</v>
      </c>
      <c r="F768" s="171" t="s">
        <v>248</v>
      </c>
      <c r="G768" s="171" t="s">
        <v>112</v>
      </c>
      <c r="H768" s="176">
        <v>1</v>
      </c>
      <c r="I768" s="177">
        <v>0</v>
      </c>
      <c r="J768" s="175">
        <v>46048</v>
      </c>
      <c r="K768" s="171" t="s">
        <v>113</v>
      </c>
      <c r="L768" s="171" t="s">
        <v>114</v>
      </c>
      <c r="M768" s="178">
        <v>0</v>
      </c>
      <c r="N768" s="176"/>
      <c r="O768" s="176"/>
      <c r="P768" s="179">
        <v>-11.51</v>
      </c>
    </row>
    <row r="769" spans="1:16" ht="19.5" customHeight="1">
      <c r="A769" s="171" t="s">
        <v>906</v>
      </c>
      <c r="B769" s="175">
        <v>46052</v>
      </c>
      <c r="C769" s="171" t="s">
        <v>110</v>
      </c>
      <c r="D769" s="171" t="s">
        <v>24</v>
      </c>
      <c r="E769" s="171" t="s">
        <v>38</v>
      </c>
      <c r="F769" s="171" t="s">
        <v>111</v>
      </c>
      <c r="G769" s="171" t="s">
        <v>112</v>
      </c>
      <c r="H769" s="176">
        <v>1</v>
      </c>
      <c r="I769" s="177">
        <v>1670</v>
      </c>
      <c r="J769" s="175">
        <v>46047</v>
      </c>
      <c r="K769" s="171" t="s">
        <v>113</v>
      </c>
      <c r="L769" s="171" t="s">
        <v>114</v>
      </c>
      <c r="M769" s="178">
        <v>0.43</v>
      </c>
      <c r="N769" s="176"/>
      <c r="O769" s="176">
        <v>52</v>
      </c>
      <c r="P769" s="179">
        <v>-147.6</v>
      </c>
    </row>
    <row r="770" spans="1:16" ht="19.5" customHeight="1">
      <c r="A770" s="171" t="s">
        <v>906</v>
      </c>
      <c r="B770" s="175">
        <v>46052</v>
      </c>
      <c r="C770" s="171" t="s">
        <v>127</v>
      </c>
      <c r="D770" s="171" t="s">
        <v>128</v>
      </c>
      <c r="E770" s="171" t="s">
        <v>38</v>
      </c>
      <c r="F770" s="171" t="s">
        <v>111</v>
      </c>
      <c r="G770" s="171" t="s">
        <v>112</v>
      </c>
      <c r="H770" s="176">
        <v>1</v>
      </c>
      <c r="I770" s="177">
        <v>1670</v>
      </c>
      <c r="J770" s="175">
        <v>46047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789.52</v>
      </c>
    </row>
    <row r="771" spans="1:16" ht="19.5" customHeight="1">
      <c r="A771" s="171" t="s">
        <v>906</v>
      </c>
      <c r="B771" s="175">
        <v>46052</v>
      </c>
      <c r="C771" s="171" t="s">
        <v>127</v>
      </c>
      <c r="D771" s="171" t="s">
        <v>129</v>
      </c>
      <c r="E771" s="171" t="s">
        <v>38</v>
      </c>
      <c r="F771" s="171" t="s">
        <v>111</v>
      </c>
      <c r="G771" s="171" t="s">
        <v>112</v>
      </c>
      <c r="H771" s="176">
        <v>1</v>
      </c>
      <c r="I771" s="177">
        <v>1670</v>
      </c>
      <c r="J771" s="175">
        <v>46047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7.9</v>
      </c>
    </row>
    <row r="772" spans="1:16" ht="19.5" customHeight="1">
      <c r="A772" s="171" t="s">
        <v>906</v>
      </c>
      <c r="B772" s="175">
        <v>46052</v>
      </c>
      <c r="C772" s="171" t="s">
        <v>127</v>
      </c>
      <c r="D772" s="171" t="s">
        <v>130</v>
      </c>
      <c r="E772" s="171" t="s">
        <v>38</v>
      </c>
      <c r="F772" s="171" t="s">
        <v>111</v>
      </c>
      <c r="G772" s="171" t="s">
        <v>112</v>
      </c>
      <c r="H772" s="176">
        <v>1</v>
      </c>
      <c r="I772" s="177">
        <v>1670</v>
      </c>
      <c r="J772" s="175">
        <v>46047</v>
      </c>
      <c r="K772" s="171" t="s">
        <v>113</v>
      </c>
      <c r="L772" s="171" t="s">
        <v>114</v>
      </c>
      <c r="M772" s="178">
        <v>0</v>
      </c>
      <c r="N772" s="176"/>
      <c r="O772" s="176"/>
      <c r="P772" s="179">
        <v>872.58</v>
      </c>
    </row>
    <row r="773" spans="1:16" ht="19.5" customHeight="1">
      <c r="A773" s="171" t="s">
        <v>906</v>
      </c>
      <c r="B773" s="175">
        <v>46052</v>
      </c>
      <c r="C773" s="171" t="s">
        <v>131</v>
      </c>
      <c r="D773" s="171" t="s">
        <v>132</v>
      </c>
      <c r="E773" s="171" t="s">
        <v>38</v>
      </c>
      <c r="F773" s="171" t="s">
        <v>111</v>
      </c>
      <c r="G773" s="171" t="s">
        <v>112</v>
      </c>
      <c r="H773" s="176">
        <v>1</v>
      </c>
      <c r="I773" s="177">
        <v>1670</v>
      </c>
      <c r="J773" s="175">
        <v>46047</v>
      </c>
      <c r="K773" s="171" t="s">
        <v>113</v>
      </c>
      <c r="L773" s="171" t="s">
        <v>114</v>
      </c>
      <c r="M773" s="178">
        <v>0.43</v>
      </c>
      <c r="N773" s="176"/>
      <c r="O773" s="176"/>
      <c r="P773" s="179">
        <v>-718.1</v>
      </c>
    </row>
    <row r="774" spans="1:16" ht="19.5" customHeight="1">
      <c r="A774" s="171" t="s">
        <v>906</v>
      </c>
      <c r="B774" s="175">
        <v>46052</v>
      </c>
      <c r="C774" s="171" t="s">
        <v>115</v>
      </c>
      <c r="D774" s="171" t="s">
        <v>116</v>
      </c>
      <c r="E774" s="171" t="s">
        <v>38</v>
      </c>
      <c r="F774" s="171" t="s">
        <v>111</v>
      </c>
      <c r="G774" s="171" t="s">
        <v>112</v>
      </c>
      <c r="H774" s="176">
        <v>1</v>
      </c>
      <c r="I774" s="177">
        <v>1670</v>
      </c>
      <c r="J774" s="175">
        <v>46047</v>
      </c>
      <c r="K774" s="171" t="s">
        <v>113</v>
      </c>
      <c r="L774" s="171" t="s">
        <v>114</v>
      </c>
      <c r="M774" s="178">
        <v>0.43</v>
      </c>
      <c r="N774" s="176"/>
      <c r="O774" s="176"/>
      <c r="P774" s="179">
        <v>-25</v>
      </c>
    </row>
    <row r="775" spans="1:16" ht="19.5" customHeight="1">
      <c r="A775" s="171" t="s">
        <v>905</v>
      </c>
      <c r="B775" s="175">
        <v>46052</v>
      </c>
      <c r="C775" s="171" t="s">
        <v>110</v>
      </c>
      <c r="D775" s="171" t="s">
        <v>117</v>
      </c>
      <c r="E775" s="171" t="s">
        <v>42</v>
      </c>
      <c r="F775" s="171" t="s">
        <v>248</v>
      </c>
      <c r="G775" s="171" t="s">
        <v>112</v>
      </c>
      <c r="H775" s="176">
        <v>1</v>
      </c>
      <c r="I775" s="177">
        <v>0</v>
      </c>
      <c r="J775" s="175">
        <v>46048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905</v>
      </c>
      <c r="B776" s="175">
        <v>46052</v>
      </c>
      <c r="C776" s="171" t="s">
        <v>110</v>
      </c>
      <c r="D776" s="171" t="s">
        <v>118</v>
      </c>
      <c r="E776" s="171" t="s">
        <v>42</v>
      </c>
      <c r="F776" s="171" t="s">
        <v>248</v>
      </c>
      <c r="G776" s="171" t="s">
        <v>112</v>
      </c>
      <c r="H776" s="176">
        <v>1</v>
      </c>
      <c r="I776" s="177">
        <v>0</v>
      </c>
      <c r="J776" s="175">
        <v>46048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-46.77</v>
      </c>
    </row>
    <row r="777" spans="1:16" ht="19.5" customHeight="1">
      <c r="A777" s="171" t="s">
        <v>905</v>
      </c>
      <c r="B777" s="175">
        <v>46052</v>
      </c>
      <c r="C777" s="171" t="s">
        <v>115</v>
      </c>
      <c r="D777" s="171" t="s">
        <v>119</v>
      </c>
      <c r="E777" s="171" t="s">
        <v>42</v>
      </c>
      <c r="F777" s="171" t="s">
        <v>248</v>
      </c>
      <c r="G777" s="171" t="s">
        <v>112</v>
      </c>
      <c r="H777" s="176">
        <v>1</v>
      </c>
      <c r="I777" s="177">
        <v>0</v>
      </c>
      <c r="J777" s="175">
        <v>46048</v>
      </c>
      <c r="K777" s="171" t="s">
        <v>113</v>
      </c>
      <c r="L777" s="171" t="s">
        <v>114</v>
      </c>
      <c r="M777" s="178">
        <v>0</v>
      </c>
      <c r="N777" s="176"/>
      <c r="O777" s="176"/>
      <c r="P777" s="179">
        <v>-15</v>
      </c>
    </row>
    <row r="778" spans="1:16" ht="19.5" customHeight="1">
      <c r="A778" s="171" t="s">
        <v>904</v>
      </c>
      <c r="B778" s="175">
        <v>46052</v>
      </c>
      <c r="C778" s="171" t="s">
        <v>115</v>
      </c>
      <c r="D778" s="171" t="s">
        <v>135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0</v>
      </c>
      <c r="J778" s="175">
        <v>46046</v>
      </c>
      <c r="K778" s="171" t="s">
        <v>125</v>
      </c>
      <c r="L778" s="171" t="s">
        <v>125</v>
      </c>
      <c r="M778" s="178">
        <v>0</v>
      </c>
      <c r="N778" s="176"/>
      <c r="O778" s="176"/>
      <c r="P778" s="179">
        <v>-14.22</v>
      </c>
    </row>
    <row r="779" spans="1:16" ht="19.5" customHeight="1">
      <c r="A779" s="171" t="s">
        <v>907</v>
      </c>
      <c r="B779" s="175">
        <v>46052</v>
      </c>
      <c r="C779" s="171" t="s">
        <v>110</v>
      </c>
      <c r="D779" s="171" t="s">
        <v>24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1670</v>
      </c>
      <c r="J779" s="175">
        <v>46049</v>
      </c>
      <c r="K779" s="171" t="s">
        <v>113</v>
      </c>
      <c r="L779" s="171" t="s">
        <v>114</v>
      </c>
      <c r="M779" s="178">
        <v>0.43</v>
      </c>
      <c r="N779" s="176"/>
      <c r="O779" s="176">
        <v>51</v>
      </c>
      <c r="P779" s="179">
        <v>-147.08000000000001</v>
      </c>
    </row>
    <row r="780" spans="1:16" ht="19.5" customHeight="1">
      <c r="A780" s="171" t="s">
        <v>907</v>
      </c>
      <c r="B780" s="175">
        <v>46052</v>
      </c>
      <c r="C780" s="171" t="s">
        <v>127</v>
      </c>
      <c r="D780" s="171" t="s">
        <v>128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1670</v>
      </c>
      <c r="J780" s="175">
        <v>46049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783.81</v>
      </c>
    </row>
    <row r="781" spans="1:16" ht="19.5" customHeight="1">
      <c r="A781" s="171" t="s">
        <v>907</v>
      </c>
      <c r="B781" s="175">
        <v>46052</v>
      </c>
      <c r="C781" s="171" t="s">
        <v>127</v>
      </c>
      <c r="D781" s="171" t="s">
        <v>129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1670</v>
      </c>
      <c r="J781" s="175">
        <v>46049</v>
      </c>
      <c r="K781" s="171" t="s">
        <v>113</v>
      </c>
      <c r="L781" s="171" t="s">
        <v>114</v>
      </c>
      <c r="M781" s="178">
        <v>0</v>
      </c>
      <c r="N781" s="176"/>
      <c r="O781" s="176"/>
      <c r="P781" s="179">
        <v>7.84</v>
      </c>
    </row>
    <row r="782" spans="1:16" ht="19.5" customHeight="1">
      <c r="A782" s="171" t="s">
        <v>907</v>
      </c>
      <c r="B782" s="175">
        <v>46052</v>
      </c>
      <c r="C782" s="171" t="s">
        <v>127</v>
      </c>
      <c r="D782" s="171" t="s">
        <v>130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1670</v>
      </c>
      <c r="J782" s="175">
        <v>46049</v>
      </c>
      <c r="K782" s="171" t="s">
        <v>113</v>
      </c>
      <c r="L782" s="171" t="s">
        <v>114</v>
      </c>
      <c r="M782" s="178">
        <v>0</v>
      </c>
      <c r="N782" s="176"/>
      <c r="O782" s="176"/>
      <c r="P782" s="179">
        <v>878.35</v>
      </c>
    </row>
    <row r="783" spans="1:16" ht="19.5" customHeight="1">
      <c r="A783" s="171" t="s">
        <v>907</v>
      </c>
      <c r="B783" s="175">
        <v>46052</v>
      </c>
      <c r="C783" s="171" t="s">
        <v>131</v>
      </c>
      <c r="D783" s="171" t="s">
        <v>132</v>
      </c>
      <c r="E783" s="171" t="s">
        <v>38</v>
      </c>
      <c r="F783" s="171" t="s">
        <v>111</v>
      </c>
      <c r="G783" s="171" t="s">
        <v>112</v>
      </c>
      <c r="H783" s="176">
        <v>1</v>
      </c>
      <c r="I783" s="177">
        <v>1670</v>
      </c>
      <c r="J783" s="175">
        <v>46049</v>
      </c>
      <c r="K783" s="171" t="s">
        <v>113</v>
      </c>
      <c r="L783" s="171" t="s">
        <v>114</v>
      </c>
      <c r="M783" s="178">
        <v>0.43</v>
      </c>
      <c r="N783" s="176"/>
      <c r="O783" s="176"/>
      <c r="P783" s="179">
        <v>-718.1</v>
      </c>
    </row>
    <row r="784" spans="1:16" ht="19.5" customHeight="1">
      <c r="A784" s="171" t="s">
        <v>907</v>
      </c>
      <c r="B784" s="175">
        <v>46052</v>
      </c>
      <c r="C784" s="171" t="s">
        <v>115</v>
      </c>
      <c r="D784" s="171" t="s">
        <v>116</v>
      </c>
      <c r="E784" s="171" t="s">
        <v>38</v>
      </c>
      <c r="F784" s="171" t="s">
        <v>111</v>
      </c>
      <c r="G784" s="171" t="s">
        <v>112</v>
      </c>
      <c r="H784" s="176">
        <v>1</v>
      </c>
      <c r="I784" s="177">
        <v>1670</v>
      </c>
      <c r="J784" s="175">
        <v>46049</v>
      </c>
      <c r="K784" s="171" t="s">
        <v>113</v>
      </c>
      <c r="L784" s="171" t="s">
        <v>114</v>
      </c>
      <c r="M784" s="178">
        <v>0.43</v>
      </c>
      <c r="N784" s="176"/>
      <c r="O784" s="176"/>
      <c r="P784" s="179">
        <v>-15.76</v>
      </c>
    </row>
    <row r="785" spans="1:16" ht="19.5" customHeight="1">
      <c r="A785" s="171" t="s">
        <v>906</v>
      </c>
      <c r="B785" s="175">
        <v>46052</v>
      </c>
      <c r="C785" s="171" t="s">
        <v>115</v>
      </c>
      <c r="D785" s="171" t="s">
        <v>135</v>
      </c>
      <c r="E785" s="171" t="s">
        <v>38</v>
      </c>
      <c r="F785" s="171" t="s">
        <v>111</v>
      </c>
      <c r="G785" s="171" t="s">
        <v>112</v>
      </c>
      <c r="H785" s="176">
        <v>1</v>
      </c>
      <c r="I785" s="177">
        <v>0</v>
      </c>
      <c r="J785" s="175">
        <v>46047</v>
      </c>
      <c r="K785" s="171" t="s">
        <v>125</v>
      </c>
      <c r="L785" s="171" t="s">
        <v>125</v>
      </c>
      <c r="M785" s="178">
        <v>0</v>
      </c>
      <c r="N785" s="176"/>
      <c r="O785" s="176"/>
      <c r="P785" s="179">
        <v>-15</v>
      </c>
    </row>
    <row r="786" spans="1:16" ht="19.5" customHeight="1">
      <c r="A786" s="171" t="s">
        <v>907</v>
      </c>
      <c r="B786" s="175">
        <v>46052</v>
      </c>
      <c r="C786" s="171" t="s">
        <v>115</v>
      </c>
      <c r="D786" s="171" t="s">
        <v>135</v>
      </c>
      <c r="E786" s="171" t="s">
        <v>38</v>
      </c>
      <c r="F786" s="171" t="s">
        <v>111</v>
      </c>
      <c r="G786" s="171" t="s">
        <v>112</v>
      </c>
      <c r="H786" s="176">
        <v>1</v>
      </c>
      <c r="I786" s="177">
        <v>0</v>
      </c>
      <c r="J786" s="175">
        <v>46049</v>
      </c>
      <c r="K786" s="171" t="s">
        <v>125</v>
      </c>
      <c r="L786" s="171" t="s">
        <v>125</v>
      </c>
      <c r="M786" s="178">
        <v>0</v>
      </c>
      <c r="N786" s="176"/>
      <c r="O786" s="176"/>
      <c r="P786" s="179">
        <v>-14.89</v>
      </c>
    </row>
    <row r="787" spans="1:16" ht="19.5" customHeight="1">
      <c r="A787" s="171" t="s">
        <v>908</v>
      </c>
      <c r="B787" s="175">
        <v>46052</v>
      </c>
      <c r="C787" s="171" t="s">
        <v>110</v>
      </c>
      <c r="D787" s="171" t="s">
        <v>24</v>
      </c>
      <c r="E787" s="171" t="s">
        <v>77</v>
      </c>
      <c r="F787" s="171" t="s">
        <v>194</v>
      </c>
      <c r="G787" s="171" t="s">
        <v>177</v>
      </c>
      <c r="H787" s="176">
        <v>1</v>
      </c>
      <c r="I787" s="177">
        <v>4178</v>
      </c>
      <c r="J787" s="175">
        <v>46048</v>
      </c>
      <c r="K787" s="171" t="s">
        <v>113</v>
      </c>
      <c r="L787" s="171" t="s">
        <v>114</v>
      </c>
      <c r="M787" s="178">
        <v>0.43</v>
      </c>
      <c r="N787" s="176"/>
      <c r="O787" s="176">
        <v>51</v>
      </c>
      <c r="P787" s="179">
        <v>-261.63</v>
      </c>
    </row>
    <row r="788" spans="1:16" ht="19.5" customHeight="1">
      <c r="A788" s="171" t="s">
        <v>908</v>
      </c>
      <c r="B788" s="175">
        <v>46052</v>
      </c>
      <c r="C788" s="171" t="s">
        <v>127</v>
      </c>
      <c r="D788" s="171" t="s">
        <v>128</v>
      </c>
      <c r="E788" s="171" t="s">
        <v>77</v>
      </c>
      <c r="F788" s="171" t="s">
        <v>194</v>
      </c>
      <c r="G788" s="171" t="s">
        <v>177</v>
      </c>
      <c r="H788" s="176">
        <v>1</v>
      </c>
      <c r="I788" s="177">
        <v>4178</v>
      </c>
      <c r="J788" s="175">
        <v>46048</v>
      </c>
      <c r="K788" s="171" t="s">
        <v>113</v>
      </c>
      <c r="L788" s="171" t="s">
        <v>114</v>
      </c>
      <c r="M788" s="178">
        <v>0</v>
      </c>
      <c r="N788" s="176"/>
      <c r="O788" s="176"/>
      <c r="P788" s="179">
        <v>1461.98</v>
      </c>
    </row>
    <row r="789" spans="1:16" ht="19.5" customHeight="1">
      <c r="A789" s="171" t="s">
        <v>908</v>
      </c>
      <c r="B789" s="175">
        <v>46052</v>
      </c>
      <c r="C789" s="171" t="s">
        <v>127</v>
      </c>
      <c r="D789" s="171" t="s">
        <v>129</v>
      </c>
      <c r="E789" s="171" t="s">
        <v>77</v>
      </c>
      <c r="F789" s="171" t="s">
        <v>194</v>
      </c>
      <c r="G789" s="171" t="s">
        <v>177</v>
      </c>
      <c r="H789" s="176">
        <v>1</v>
      </c>
      <c r="I789" s="177">
        <v>4178</v>
      </c>
      <c r="J789" s="175">
        <v>46048</v>
      </c>
      <c r="K789" s="171" t="s">
        <v>113</v>
      </c>
      <c r="L789" s="171" t="s">
        <v>114</v>
      </c>
      <c r="M789" s="178">
        <v>0</v>
      </c>
      <c r="N789" s="176"/>
      <c r="O789" s="176"/>
      <c r="P789" s="179">
        <v>14.62</v>
      </c>
    </row>
    <row r="790" spans="1:16" ht="19.5" customHeight="1">
      <c r="A790" s="171" t="s">
        <v>908</v>
      </c>
      <c r="B790" s="175">
        <v>46052</v>
      </c>
      <c r="C790" s="171" t="s">
        <v>127</v>
      </c>
      <c r="D790" s="171" t="s">
        <v>130</v>
      </c>
      <c r="E790" s="171" t="s">
        <v>77</v>
      </c>
      <c r="F790" s="171" t="s">
        <v>194</v>
      </c>
      <c r="G790" s="171" t="s">
        <v>177</v>
      </c>
      <c r="H790" s="176">
        <v>1</v>
      </c>
      <c r="I790" s="177">
        <v>4178</v>
      </c>
      <c r="J790" s="175">
        <v>46048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2701.4</v>
      </c>
    </row>
    <row r="791" spans="1:16" ht="19.5" customHeight="1">
      <c r="A791" s="171" t="s">
        <v>908</v>
      </c>
      <c r="B791" s="175">
        <v>46052</v>
      </c>
      <c r="C791" s="171" t="s">
        <v>131</v>
      </c>
      <c r="D791" s="171" t="s">
        <v>132</v>
      </c>
      <c r="E791" s="171" t="s">
        <v>77</v>
      </c>
      <c r="F791" s="171" t="s">
        <v>194</v>
      </c>
      <c r="G791" s="171" t="s">
        <v>177</v>
      </c>
      <c r="H791" s="176">
        <v>1</v>
      </c>
      <c r="I791" s="177">
        <v>4178</v>
      </c>
      <c r="J791" s="175">
        <v>46048</v>
      </c>
      <c r="K791" s="171" t="s">
        <v>113</v>
      </c>
      <c r="L791" s="171" t="s">
        <v>114</v>
      </c>
      <c r="M791" s="178">
        <v>0.43</v>
      </c>
      <c r="N791" s="176"/>
      <c r="O791" s="176"/>
      <c r="P791" s="179">
        <v>-1796.54</v>
      </c>
    </row>
    <row r="792" spans="1:16" ht="19.5" customHeight="1">
      <c r="A792" s="171" t="s">
        <v>908</v>
      </c>
      <c r="B792" s="175">
        <v>46052</v>
      </c>
      <c r="C792" s="171" t="s">
        <v>115</v>
      </c>
      <c r="D792" s="171" t="s">
        <v>116</v>
      </c>
      <c r="E792" s="171" t="s">
        <v>77</v>
      </c>
      <c r="F792" s="171" t="s">
        <v>194</v>
      </c>
      <c r="G792" s="171" t="s">
        <v>177</v>
      </c>
      <c r="H792" s="176">
        <v>1</v>
      </c>
      <c r="I792" s="177">
        <v>4178</v>
      </c>
      <c r="J792" s="175">
        <v>46048</v>
      </c>
      <c r="K792" s="171" t="s">
        <v>113</v>
      </c>
      <c r="L792" s="171" t="s">
        <v>114</v>
      </c>
      <c r="M792" s="178">
        <v>0.43</v>
      </c>
      <c r="N792" s="176"/>
      <c r="O792" s="176"/>
      <c r="P792" s="179">
        <v>-13.71</v>
      </c>
    </row>
    <row r="793" spans="1:16" ht="19.5" customHeight="1">
      <c r="A793" s="171" t="s">
        <v>909</v>
      </c>
      <c r="B793" s="175">
        <v>46052</v>
      </c>
      <c r="C793" s="171" t="s">
        <v>110</v>
      </c>
      <c r="D793" s="171" t="s">
        <v>24</v>
      </c>
      <c r="E793" s="171" t="s">
        <v>41</v>
      </c>
      <c r="F793" s="171" t="s">
        <v>138</v>
      </c>
      <c r="G793" s="171" t="s">
        <v>112</v>
      </c>
      <c r="H793" s="176">
        <v>1</v>
      </c>
      <c r="I793" s="177">
        <v>1687</v>
      </c>
      <c r="J793" s="175">
        <v>46048</v>
      </c>
      <c r="K793" s="171" t="s">
        <v>113</v>
      </c>
      <c r="L793" s="171" t="s">
        <v>114</v>
      </c>
      <c r="M793" s="178">
        <v>0.43</v>
      </c>
      <c r="N793" s="176"/>
      <c r="O793" s="176">
        <v>51</v>
      </c>
      <c r="P793" s="179">
        <v>-147.72999999999999</v>
      </c>
    </row>
    <row r="794" spans="1:16" ht="19.5" customHeight="1">
      <c r="A794" s="171" t="s">
        <v>909</v>
      </c>
      <c r="B794" s="175">
        <v>46052</v>
      </c>
      <c r="C794" s="171" t="s">
        <v>127</v>
      </c>
      <c r="D794" s="171" t="s">
        <v>128</v>
      </c>
      <c r="E794" s="171" t="s">
        <v>41</v>
      </c>
      <c r="F794" s="171" t="s">
        <v>138</v>
      </c>
      <c r="G794" s="171" t="s">
        <v>112</v>
      </c>
      <c r="H794" s="176">
        <v>1</v>
      </c>
      <c r="I794" s="177">
        <v>1687</v>
      </c>
      <c r="J794" s="175">
        <v>46048</v>
      </c>
      <c r="K794" s="171" t="s">
        <v>113</v>
      </c>
      <c r="L794" s="171" t="s">
        <v>114</v>
      </c>
      <c r="M794" s="178">
        <v>0</v>
      </c>
      <c r="N794" s="176"/>
      <c r="O794" s="176"/>
      <c r="P794" s="179">
        <v>883.81</v>
      </c>
    </row>
    <row r="795" spans="1:16" ht="19.5" customHeight="1">
      <c r="A795" s="171" t="s">
        <v>909</v>
      </c>
      <c r="B795" s="175">
        <v>46052</v>
      </c>
      <c r="C795" s="171" t="s">
        <v>127</v>
      </c>
      <c r="D795" s="171" t="s">
        <v>129</v>
      </c>
      <c r="E795" s="171" t="s">
        <v>41</v>
      </c>
      <c r="F795" s="171" t="s">
        <v>138</v>
      </c>
      <c r="G795" s="171" t="s">
        <v>112</v>
      </c>
      <c r="H795" s="176">
        <v>1</v>
      </c>
      <c r="I795" s="177">
        <v>1687</v>
      </c>
      <c r="J795" s="175">
        <v>46048</v>
      </c>
      <c r="K795" s="171" t="s">
        <v>113</v>
      </c>
      <c r="L795" s="171" t="s">
        <v>114</v>
      </c>
      <c r="M795" s="178">
        <v>0</v>
      </c>
      <c r="N795" s="176"/>
      <c r="O795" s="176"/>
      <c r="P795" s="179">
        <v>8.84</v>
      </c>
    </row>
    <row r="796" spans="1:16" ht="19.5" customHeight="1">
      <c r="A796" s="171" t="s">
        <v>909</v>
      </c>
      <c r="B796" s="175">
        <v>46052</v>
      </c>
      <c r="C796" s="171" t="s">
        <v>127</v>
      </c>
      <c r="D796" s="171" t="s">
        <v>130</v>
      </c>
      <c r="E796" s="171" t="s">
        <v>41</v>
      </c>
      <c r="F796" s="171" t="s">
        <v>138</v>
      </c>
      <c r="G796" s="171" t="s">
        <v>112</v>
      </c>
      <c r="H796" s="176">
        <v>1</v>
      </c>
      <c r="I796" s="177">
        <v>1687</v>
      </c>
      <c r="J796" s="175">
        <v>46048</v>
      </c>
      <c r="K796" s="171" t="s">
        <v>113</v>
      </c>
      <c r="L796" s="171" t="s">
        <v>114</v>
      </c>
      <c r="M796" s="178">
        <v>0</v>
      </c>
      <c r="N796" s="176"/>
      <c r="O796" s="176"/>
      <c r="P796" s="179">
        <v>794.35</v>
      </c>
    </row>
    <row r="797" spans="1:16" ht="19.5" customHeight="1">
      <c r="A797" s="171" t="s">
        <v>909</v>
      </c>
      <c r="B797" s="175">
        <v>46052</v>
      </c>
      <c r="C797" s="171" t="s">
        <v>131</v>
      </c>
      <c r="D797" s="171" t="s">
        <v>132</v>
      </c>
      <c r="E797" s="171" t="s">
        <v>41</v>
      </c>
      <c r="F797" s="171" t="s">
        <v>138</v>
      </c>
      <c r="G797" s="171" t="s">
        <v>112</v>
      </c>
      <c r="H797" s="176">
        <v>1</v>
      </c>
      <c r="I797" s="177">
        <v>1687</v>
      </c>
      <c r="J797" s="175">
        <v>46048</v>
      </c>
      <c r="K797" s="171" t="s">
        <v>113</v>
      </c>
      <c r="L797" s="171" t="s">
        <v>114</v>
      </c>
      <c r="M797" s="178">
        <v>0.43</v>
      </c>
      <c r="N797" s="176"/>
      <c r="O797" s="176"/>
      <c r="P797" s="179">
        <v>-725.41</v>
      </c>
    </row>
    <row r="798" spans="1:16" ht="19.5" customHeight="1">
      <c r="A798" s="171" t="s">
        <v>909</v>
      </c>
      <c r="B798" s="175">
        <v>46052</v>
      </c>
      <c r="C798" s="171" t="s">
        <v>115</v>
      </c>
      <c r="D798" s="171" t="s">
        <v>116</v>
      </c>
      <c r="E798" s="171" t="s">
        <v>41</v>
      </c>
      <c r="F798" s="171" t="s">
        <v>138</v>
      </c>
      <c r="G798" s="171" t="s">
        <v>112</v>
      </c>
      <c r="H798" s="176">
        <v>1</v>
      </c>
      <c r="I798" s="177">
        <v>1687</v>
      </c>
      <c r="J798" s="175">
        <v>46048</v>
      </c>
      <c r="K798" s="171" t="s">
        <v>113</v>
      </c>
      <c r="L798" s="171" t="s">
        <v>114</v>
      </c>
      <c r="M798" s="178">
        <v>0.43</v>
      </c>
      <c r="N798" s="176"/>
      <c r="O798" s="176"/>
      <c r="P798" s="179">
        <v>-10.220000000000001</v>
      </c>
    </row>
    <row r="799" spans="1:16" ht="19.5" customHeight="1">
      <c r="A799" s="171" t="s">
        <v>908</v>
      </c>
      <c r="B799" s="175">
        <v>46052</v>
      </c>
      <c r="C799" s="171" t="s">
        <v>115</v>
      </c>
      <c r="D799" s="171" t="s">
        <v>135</v>
      </c>
      <c r="E799" s="171" t="s">
        <v>77</v>
      </c>
      <c r="F799" s="171" t="s">
        <v>194</v>
      </c>
      <c r="G799" s="171" t="s">
        <v>177</v>
      </c>
      <c r="H799" s="176">
        <v>1</v>
      </c>
      <c r="I799" s="177">
        <v>0</v>
      </c>
      <c r="J799" s="175">
        <v>46048</v>
      </c>
      <c r="K799" s="171" t="s">
        <v>125</v>
      </c>
      <c r="L799" s="171" t="s">
        <v>125</v>
      </c>
      <c r="M799" s="178">
        <v>0</v>
      </c>
      <c r="N799" s="176"/>
      <c r="O799" s="176"/>
      <c r="P799" s="179">
        <v>-27.78</v>
      </c>
    </row>
    <row r="800" spans="1:16" ht="19.5" customHeight="1">
      <c r="A800" s="171" t="s">
        <v>910</v>
      </c>
      <c r="B800" s="175">
        <v>46052</v>
      </c>
      <c r="C800" s="171" t="s">
        <v>110</v>
      </c>
      <c r="D800" s="171" t="s">
        <v>24</v>
      </c>
      <c r="E800" s="171" t="s">
        <v>79</v>
      </c>
      <c r="F800" s="171" t="s">
        <v>441</v>
      </c>
      <c r="G800" s="171" t="s">
        <v>177</v>
      </c>
      <c r="H800" s="176">
        <v>1</v>
      </c>
      <c r="I800" s="177">
        <v>4178</v>
      </c>
      <c r="J800" s="175">
        <v>46048</v>
      </c>
      <c r="K800" s="171" t="s">
        <v>113</v>
      </c>
      <c r="L800" s="171" t="s">
        <v>114</v>
      </c>
      <c r="M800" s="178">
        <v>0.43</v>
      </c>
      <c r="N800" s="176"/>
      <c r="O800" s="176">
        <v>51</v>
      </c>
      <c r="P800" s="179">
        <v>-261.63</v>
      </c>
    </row>
    <row r="801" spans="1:16" ht="19.5" customHeight="1">
      <c r="A801" s="171" t="s">
        <v>910</v>
      </c>
      <c r="B801" s="175">
        <v>46052</v>
      </c>
      <c r="C801" s="171" t="s">
        <v>127</v>
      </c>
      <c r="D801" s="171" t="s">
        <v>128</v>
      </c>
      <c r="E801" s="171" t="s">
        <v>79</v>
      </c>
      <c r="F801" s="171" t="s">
        <v>441</v>
      </c>
      <c r="G801" s="171" t="s">
        <v>177</v>
      </c>
      <c r="H801" s="176">
        <v>1</v>
      </c>
      <c r="I801" s="177">
        <v>4178</v>
      </c>
      <c r="J801" s="175">
        <v>46048</v>
      </c>
      <c r="K801" s="171" t="s">
        <v>113</v>
      </c>
      <c r="L801" s="171" t="s">
        <v>114</v>
      </c>
      <c r="M801" s="178">
        <v>0</v>
      </c>
      <c r="N801" s="176"/>
      <c r="O801" s="176"/>
      <c r="P801" s="179">
        <v>1455.06</v>
      </c>
    </row>
    <row r="802" spans="1:16" ht="19.5" customHeight="1">
      <c r="A802" s="171" t="s">
        <v>910</v>
      </c>
      <c r="B802" s="175">
        <v>46052</v>
      </c>
      <c r="C802" s="171" t="s">
        <v>127</v>
      </c>
      <c r="D802" s="171" t="s">
        <v>129</v>
      </c>
      <c r="E802" s="171" t="s">
        <v>79</v>
      </c>
      <c r="F802" s="171" t="s">
        <v>441</v>
      </c>
      <c r="G802" s="171" t="s">
        <v>177</v>
      </c>
      <c r="H802" s="176">
        <v>1</v>
      </c>
      <c r="I802" s="177">
        <v>4178</v>
      </c>
      <c r="J802" s="175">
        <v>46048</v>
      </c>
      <c r="K802" s="171" t="s">
        <v>113</v>
      </c>
      <c r="L802" s="171" t="s">
        <v>114</v>
      </c>
      <c r="M802" s="178">
        <v>0</v>
      </c>
      <c r="N802" s="176"/>
      <c r="O802" s="176"/>
      <c r="P802" s="179">
        <v>14.55</v>
      </c>
    </row>
    <row r="803" spans="1:16" ht="19.5" customHeight="1">
      <c r="A803" s="171" t="s">
        <v>910</v>
      </c>
      <c r="B803" s="175">
        <v>46052</v>
      </c>
      <c r="C803" s="171" t="s">
        <v>127</v>
      </c>
      <c r="D803" s="171" t="s">
        <v>130</v>
      </c>
      <c r="E803" s="171" t="s">
        <v>79</v>
      </c>
      <c r="F803" s="171" t="s">
        <v>441</v>
      </c>
      <c r="G803" s="171" t="s">
        <v>177</v>
      </c>
      <c r="H803" s="176">
        <v>1</v>
      </c>
      <c r="I803" s="177">
        <v>4178</v>
      </c>
      <c r="J803" s="175">
        <v>46048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2708.39</v>
      </c>
    </row>
    <row r="804" spans="1:16" ht="19.5" customHeight="1">
      <c r="A804" s="171" t="s">
        <v>910</v>
      </c>
      <c r="B804" s="175">
        <v>46052</v>
      </c>
      <c r="C804" s="171" t="s">
        <v>131</v>
      </c>
      <c r="D804" s="171" t="s">
        <v>132</v>
      </c>
      <c r="E804" s="171" t="s">
        <v>79</v>
      </c>
      <c r="F804" s="171" t="s">
        <v>441</v>
      </c>
      <c r="G804" s="171" t="s">
        <v>177</v>
      </c>
      <c r="H804" s="176">
        <v>1</v>
      </c>
      <c r="I804" s="177">
        <v>4178</v>
      </c>
      <c r="J804" s="175">
        <v>46048</v>
      </c>
      <c r="K804" s="171" t="s">
        <v>113</v>
      </c>
      <c r="L804" s="171" t="s">
        <v>114</v>
      </c>
      <c r="M804" s="178">
        <v>0.43</v>
      </c>
      <c r="N804" s="176"/>
      <c r="O804" s="176"/>
      <c r="P804" s="179">
        <v>-1796.54</v>
      </c>
    </row>
    <row r="805" spans="1:16" ht="19.5" customHeight="1">
      <c r="A805" s="171" t="s">
        <v>910</v>
      </c>
      <c r="B805" s="175">
        <v>46052</v>
      </c>
      <c r="C805" s="171" t="s">
        <v>115</v>
      </c>
      <c r="D805" s="171" t="s">
        <v>116</v>
      </c>
      <c r="E805" s="171" t="s">
        <v>79</v>
      </c>
      <c r="F805" s="171" t="s">
        <v>441</v>
      </c>
      <c r="G805" s="171" t="s">
        <v>177</v>
      </c>
      <c r="H805" s="176">
        <v>1</v>
      </c>
      <c r="I805" s="177">
        <v>4178</v>
      </c>
      <c r="J805" s="175">
        <v>46048</v>
      </c>
      <c r="K805" s="171" t="s">
        <v>113</v>
      </c>
      <c r="L805" s="171" t="s">
        <v>114</v>
      </c>
      <c r="M805" s="178">
        <v>0.43</v>
      </c>
      <c r="N805" s="176"/>
      <c r="O805" s="176"/>
      <c r="P805" s="179">
        <v>-13.79</v>
      </c>
    </row>
    <row r="806" spans="1:16" ht="19.5" customHeight="1">
      <c r="A806" s="171" t="s">
        <v>909</v>
      </c>
      <c r="B806" s="175">
        <v>46052</v>
      </c>
      <c r="C806" s="171" t="s">
        <v>115</v>
      </c>
      <c r="D806" s="171" t="s">
        <v>135</v>
      </c>
      <c r="E806" s="171" t="s">
        <v>41</v>
      </c>
      <c r="F806" s="171" t="s">
        <v>138</v>
      </c>
      <c r="G806" s="171" t="s">
        <v>112</v>
      </c>
      <c r="H806" s="176">
        <v>1</v>
      </c>
      <c r="I806" s="177">
        <v>0</v>
      </c>
      <c r="J806" s="175">
        <v>46048</v>
      </c>
      <c r="K806" s="171" t="s">
        <v>125</v>
      </c>
      <c r="L806" s="171" t="s">
        <v>125</v>
      </c>
      <c r="M806" s="178">
        <v>0</v>
      </c>
      <c r="N806" s="176"/>
      <c r="O806" s="176"/>
      <c r="P806" s="179">
        <v>-16.79</v>
      </c>
    </row>
    <row r="807" spans="1:16" ht="19.5" customHeight="1">
      <c r="A807" s="171" t="s">
        <v>911</v>
      </c>
      <c r="B807" s="175">
        <v>46052</v>
      </c>
      <c r="C807" s="171" t="s">
        <v>110</v>
      </c>
      <c r="D807" s="171" t="s">
        <v>24</v>
      </c>
      <c r="E807" s="171" t="s">
        <v>42</v>
      </c>
      <c r="F807" s="171" t="s">
        <v>248</v>
      </c>
      <c r="G807" s="171" t="s">
        <v>112</v>
      </c>
      <c r="H807" s="176">
        <v>1</v>
      </c>
      <c r="I807" s="177">
        <v>0</v>
      </c>
      <c r="J807" s="175">
        <v>46044</v>
      </c>
      <c r="K807" s="171" t="s">
        <v>113</v>
      </c>
      <c r="L807" s="171" t="s">
        <v>114</v>
      </c>
      <c r="M807" s="178">
        <v>0</v>
      </c>
      <c r="N807" s="176"/>
      <c r="O807" s="176">
        <v>54</v>
      </c>
      <c r="P807" s="179">
        <v>-46.77</v>
      </c>
    </row>
    <row r="808" spans="1:16" ht="19.5" customHeight="1">
      <c r="A808" s="171" t="s">
        <v>911</v>
      </c>
      <c r="B808" s="175">
        <v>46052</v>
      </c>
      <c r="C808" s="171" t="s">
        <v>115</v>
      </c>
      <c r="D808" s="171" t="s">
        <v>116</v>
      </c>
      <c r="E808" s="171" t="s">
        <v>42</v>
      </c>
      <c r="F808" s="171" t="s">
        <v>248</v>
      </c>
      <c r="G808" s="171" t="s">
        <v>112</v>
      </c>
      <c r="H808" s="176">
        <v>1</v>
      </c>
      <c r="I808" s="177">
        <v>0</v>
      </c>
      <c r="J808" s="175">
        <v>46044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-7.98</v>
      </c>
    </row>
    <row r="809" spans="1:16" ht="19.5" customHeight="1">
      <c r="A809" s="171" t="s">
        <v>912</v>
      </c>
      <c r="B809" s="175">
        <v>46052</v>
      </c>
      <c r="C809" s="171" t="s">
        <v>110</v>
      </c>
      <c r="D809" s="171" t="s">
        <v>24</v>
      </c>
      <c r="E809" s="171" t="s">
        <v>38</v>
      </c>
      <c r="F809" s="171" t="s">
        <v>111</v>
      </c>
      <c r="G809" s="171" t="s">
        <v>112</v>
      </c>
      <c r="H809" s="176">
        <v>1</v>
      </c>
      <c r="I809" s="177">
        <v>1670</v>
      </c>
      <c r="J809" s="175">
        <v>46041</v>
      </c>
      <c r="K809" s="171" t="s">
        <v>113</v>
      </c>
      <c r="L809" s="171" t="s">
        <v>114</v>
      </c>
      <c r="M809" s="178">
        <v>0.43</v>
      </c>
      <c r="N809" s="176"/>
      <c r="O809" s="176">
        <v>53</v>
      </c>
      <c r="P809" s="179">
        <v>-147.01</v>
      </c>
    </row>
    <row r="810" spans="1:16" ht="19.5" customHeight="1">
      <c r="A810" s="171" t="s">
        <v>912</v>
      </c>
      <c r="B810" s="175">
        <v>46052</v>
      </c>
      <c r="C810" s="171" t="s">
        <v>127</v>
      </c>
      <c r="D810" s="171" t="s">
        <v>128</v>
      </c>
      <c r="E810" s="171" t="s">
        <v>38</v>
      </c>
      <c r="F810" s="171" t="s">
        <v>111</v>
      </c>
      <c r="G810" s="171" t="s">
        <v>112</v>
      </c>
      <c r="H810" s="176">
        <v>1</v>
      </c>
      <c r="I810" s="177">
        <v>1670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616.19000000000005</v>
      </c>
    </row>
    <row r="811" spans="1:16" ht="19.5" customHeight="1">
      <c r="A811" s="171" t="s">
        <v>912</v>
      </c>
      <c r="B811" s="175">
        <v>46052</v>
      </c>
      <c r="C811" s="171" t="s">
        <v>127</v>
      </c>
      <c r="D811" s="171" t="s">
        <v>129</v>
      </c>
      <c r="E811" s="171" t="s">
        <v>38</v>
      </c>
      <c r="F811" s="171" t="s">
        <v>111</v>
      </c>
      <c r="G811" s="171" t="s">
        <v>112</v>
      </c>
      <c r="H811" s="176">
        <v>1</v>
      </c>
      <c r="I811" s="177">
        <v>1670</v>
      </c>
      <c r="J811" s="175">
        <v>46041</v>
      </c>
      <c r="K811" s="171" t="s">
        <v>113</v>
      </c>
      <c r="L811" s="171" t="s">
        <v>114</v>
      </c>
      <c r="M811" s="178">
        <v>0</v>
      </c>
      <c r="N811" s="176"/>
      <c r="O811" s="176"/>
      <c r="P811" s="179">
        <v>6.16</v>
      </c>
    </row>
    <row r="812" spans="1:16" ht="19.5" customHeight="1">
      <c r="A812" s="171" t="s">
        <v>912</v>
      </c>
      <c r="B812" s="175">
        <v>46052</v>
      </c>
      <c r="C812" s="171" t="s">
        <v>127</v>
      </c>
      <c r="D812" s="171" t="s">
        <v>130</v>
      </c>
      <c r="E812" s="171" t="s">
        <v>38</v>
      </c>
      <c r="F812" s="171" t="s">
        <v>111</v>
      </c>
      <c r="G812" s="171" t="s">
        <v>112</v>
      </c>
      <c r="H812" s="176">
        <v>1</v>
      </c>
      <c r="I812" s="177">
        <v>1670</v>
      </c>
      <c r="J812" s="175">
        <v>46041</v>
      </c>
      <c r="K812" s="171" t="s">
        <v>113</v>
      </c>
      <c r="L812" s="171" t="s">
        <v>114</v>
      </c>
      <c r="M812" s="178">
        <v>0</v>
      </c>
      <c r="N812" s="176"/>
      <c r="O812" s="176"/>
      <c r="P812" s="179">
        <v>1047.6500000000001</v>
      </c>
    </row>
    <row r="813" spans="1:16" ht="19.5" customHeight="1">
      <c r="A813" s="171" t="s">
        <v>912</v>
      </c>
      <c r="B813" s="175">
        <v>46052</v>
      </c>
      <c r="C813" s="171" t="s">
        <v>131</v>
      </c>
      <c r="D813" s="171" t="s">
        <v>132</v>
      </c>
      <c r="E813" s="171" t="s">
        <v>38</v>
      </c>
      <c r="F813" s="171" t="s">
        <v>111</v>
      </c>
      <c r="G813" s="171" t="s">
        <v>112</v>
      </c>
      <c r="H813" s="176">
        <v>1</v>
      </c>
      <c r="I813" s="177">
        <v>1670</v>
      </c>
      <c r="J813" s="175">
        <v>46041</v>
      </c>
      <c r="K813" s="171" t="s">
        <v>113</v>
      </c>
      <c r="L813" s="171" t="s">
        <v>114</v>
      </c>
      <c r="M813" s="178">
        <v>0.43</v>
      </c>
      <c r="N813" s="176"/>
      <c r="O813" s="176"/>
      <c r="P813" s="179">
        <v>-718.1</v>
      </c>
    </row>
    <row r="814" spans="1:16" ht="19.5" customHeight="1">
      <c r="A814" s="171" t="s">
        <v>912</v>
      </c>
      <c r="B814" s="175">
        <v>46052</v>
      </c>
      <c r="C814" s="171" t="s">
        <v>115</v>
      </c>
      <c r="D814" s="171" t="s">
        <v>116</v>
      </c>
      <c r="E814" s="171" t="s">
        <v>38</v>
      </c>
      <c r="F814" s="171" t="s">
        <v>111</v>
      </c>
      <c r="G814" s="171" t="s">
        <v>112</v>
      </c>
      <c r="H814" s="176">
        <v>1</v>
      </c>
      <c r="I814" s="177">
        <v>1670</v>
      </c>
      <c r="J814" s="175">
        <v>46041</v>
      </c>
      <c r="K814" s="171" t="s">
        <v>113</v>
      </c>
      <c r="L814" s="171" t="s">
        <v>114</v>
      </c>
      <c r="M814" s="178">
        <v>0.43</v>
      </c>
      <c r="N814" s="176"/>
      <c r="O814" s="176"/>
      <c r="P814" s="179">
        <v>-9.0500000000000007</v>
      </c>
    </row>
    <row r="815" spans="1:16" ht="19.5" customHeight="1">
      <c r="A815" s="171" t="s">
        <v>911</v>
      </c>
      <c r="B815" s="175">
        <v>46052</v>
      </c>
      <c r="C815" s="171" t="s">
        <v>110</v>
      </c>
      <c r="D815" s="171" t="s">
        <v>117</v>
      </c>
      <c r="E815" s="171" t="s">
        <v>42</v>
      </c>
      <c r="F815" s="171" t="s">
        <v>248</v>
      </c>
      <c r="G815" s="171" t="s">
        <v>112</v>
      </c>
      <c r="H815" s="176">
        <v>1</v>
      </c>
      <c r="I815" s="177">
        <v>0</v>
      </c>
      <c r="J815" s="175">
        <v>46044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0</v>
      </c>
    </row>
    <row r="816" spans="1:16" ht="19.5" customHeight="1">
      <c r="A816" s="171" t="s">
        <v>911</v>
      </c>
      <c r="B816" s="175">
        <v>46052</v>
      </c>
      <c r="C816" s="171" t="s">
        <v>110</v>
      </c>
      <c r="D816" s="171" t="s">
        <v>118</v>
      </c>
      <c r="E816" s="171" t="s">
        <v>42</v>
      </c>
      <c r="F816" s="171" t="s">
        <v>248</v>
      </c>
      <c r="G816" s="171" t="s">
        <v>112</v>
      </c>
      <c r="H816" s="176">
        <v>1</v>
      </c>
      <c r="I816" s="177">
        <v>0</v>
      </c>
      <c r="J816" s="175">
        <v>46044</v>
      </c>
      <c r="K816" s="171" t="s">
        <v>113</v>
      </c>
      <c r="L816" s="171" t="s">
        <v>114</v>
      </c>
      <c r="M816" s="178">
        <v>0</v>
      </c>
      <c r="N816" s="176"/>
      <c r="O816" s="176"/>
      <c r="P816" s="179">
        <v>-46.77</v>
      </c>
    </row>
    <row r="817" spans="1:16" ht="19.5" customHeight="1">
      <c r="A817" s="171" t="s">
        <v>911</v>
      </c>
      <c r="B817" s="175">
        <v>46052</v>
      </c>
      <c r="C817" s="171" t="s">
        <v>115</v>
      </c>
      <c r="D817" s="171" t="s">
        <v>119</v>
      </c>
      <c r="E817" s="171" t="s">
        <v>42</v>
      </c>
      <c r="F817" s="171" t="s">
        <v>248</v>
      </c>
      <c r="G817" s="171" t="s">
        <v>112</v>
      </c>
      <c r="H817" s="176">
        <v>1</v>
      </c>
      <c r="I817" s="177">
        <v>0</v>
      </c>
      <c r="J817" s="175">
        <v>46044</v>
      </c>
      <c r="K817" s="171" t="s">
        <v>113</v>
      </c>
      <c r="L817" s="171" t="s">
        <v>114</v>
      </c>
      <c r="M817" s="178">
        <v>0</v>
      </c>
      <c r="N817" s="176"/>
      <c r="O817" s="176"/>
      <c r="P817" s="179">
        <v>-15</v>
      </c>
    </row>
    <row r="818" spans="1:16" ht="19.5" customHeight="1">
      <c r="A818" s="171" t="s">
        <v>912</v>
      </c>
      <c r="B818" s="175">
        <v>46052</v>
      </c>
      <c r="C818" s="171" t="s">
        <v>115</v>
      </c>
      <c r="D818" s="171" t="s">
        <v>135</v>
      </c>
      <c r="E818" s="171" t="s">
        <v>38</v>
      </c>
      <c r="F818" s="171" t="s">
        <v>111</v>
      </c>
      <c r="G818" s="171" t="s">
        <v>112</v>
      </c>
      <c r="H818" s="176">
        <v>1</v>
      </c>
      <c r="I818" s="177">
        <v>0</v>
      </c>
      <c r="J818" s="175">
        <v>46041</v>
      </c>
      <c r="K818" s="171" t="s">
        <v>125</v>
      </c>
      <c r="L818" s="171" t="s">
        <v>125</v>
      </c>
      <c r="M818" s="178">
        <v>0</v>
      </c>
      <c r="N818" s="176"/>
      <c r="O818" s="176"/>
      <c r="P818" s="179">
        <v>-11.71</v>
      </c>
    </row>
    <row r="819" spans="1:16" ht="19.5" customHeight="1">
      <c r="A819" s="171" t="s">
        <v>913</v>
      </c>
      <c r="B819" s="175">
        <v>46052</v>
      </c>
      <c r="C819" s="171" t="s">
        <v>507</v>
      </c>
      <c r="D819" s="171" t="s">
        <v>508</v>
      </c>
      <c r="E819" s="171" t="s">
        <v>77</v>
      </c>
      <c r="F819" s="171" t="s">
        <v>194</v>
      </c>
      <c r="G819" s="171" t="s">
        <v>177</v>
      </c>
      <c r="H819" s="176">
        <v>1</v>
      </c>
      <c r="I819" s="177">
        <v>0</v>
      </c>
      <c r="J819" s="175">
        <v>46050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-5</v>
      </c>
    </row>
    <row r="820" spans="1:16" ht="19.5" customHeight="1">
      <c r="A820" s="171" t="s">
        <v>913</v>
      </c>
      <c r="B820" s="175">
        <v>46052</v>
      </c>
      <c r="C820" s="171" t="s">
        <v>115</v>
      </c>
      <c r="D820" s="171" t="s">
        <v>510</v>
      </c>
      <c r="E820" s="171" t="s">
        <v>77</v>
      </c>
      <c r="F820" s="171" t="s">
        <v>194</v>
      </c>
      <c r="G820" s="171" t="s">
        <v>177</v>
      </c>
      <c r="H820" s="176">
        <v>1</v>
      </c>
      <c r="I820" s="177">
        <v>0</v>
      </c>
      <c r="J820" s="175">
        <v>46050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-10</v>
      </c>
    </row>
    <row r="821" spans="1:16" ht="19.5" customHeight="1">
      <c r="A821" s="171" t="s">
        <v>914</v>
      </c>
      <c r="B821" s="175">
        <v>46052</v>
      </c>
      <c r="C821" s="171" t="s">
        <v>115</v>
      </c>
      <c r="D821" s="171" t="s">
        <v>135</v>
      </c>
      <c r="E821" s="171" t="s">
        <v>40</v>
      </c>
      <c r="F821" s="171" t="s">
        <v>149</v>
      </c>
      <c r="G821" s="171" t="s">
        <v>112</v>
      </c>
      <c r="H821" s="176">
        <v>1</v>
      </c>
      <c r="I821" s="177">
        <v>0</v>
      </c>
      <c r="J821" s="175">
        <v>46052</v>
      </c>
      <c r="K821" s="171" t="s">
        <v>125</v>
      </c>
      <c r="L821" s="171" t="s">
        <v>125</v>
      </c>
      <c r="M821" s="178">
        <v>0</v>
      </c>
      <c r="N821" s="176"/>
      <c r="O821" s="176"/>
      <c r="P821" s="179">
        <v>-18.420000000000002</v>
      </c>
    </row>
    <row r="822" spans="1:16" ht="19.5" customHeight="1">
      <c r="A822" s="171" t="s">
        <v>915</v>
      </c>
      <c r="B822" s="175">
        <v>46052</v>
      </c>
      <c r="C822" s="171" t="s">
        <v>115</v>
      </c>
      <c r="D822" s="171" t="s">
        <v>135</v>
      </c>
      <c r="E822" s="171" t="s">
        <v>38</v>
      </c>
      <c r="F822" s="171" t="s">
        <v>111</v>
      </c>
      <c r="G822" s="171" t="s">
        <v>112</v>
      </c>
      <c r="H822" s="176">
        <v>1</v>
      </c>
      <c r="I822" s="177">
        <v>0</v>
      </c>
      <c r="J822" s="175">
        <v>46052</v>
      </c>
      <c r="K822" s="171" t="s">
        <v>125</v>
      </c>
      <c r="L822" s="171" t="s">
        <v>125</v>
      </c>
      <c r="M822" s="178">
        <v>0</v>
      </c>
      <c r="N822" s="176"/>
      <c r="O822" s="176"/>
      <c r="P822" s="179">
        <v>-15.61</v>
      </c>
    </row>
    <row r="823" spans="1:16" ht="19.5" customHeight="1">
      <c r="A823" s="171" t="s">
        <v>671</v>
      </c>
      <c r="B823" s="175">
        <v>46052</v>
      </c>
      <c r="C823" s="171" t="s">
        <v>151</v>
      </c>
      <c r="D823" s="171" t="s">
        <v>152</v>
      </c>
      <c r="E823" s="171" t="s">
        <v>125</v>
      </c>
      <c r="F823" s="171" t="s">
        <v>125</v>
      </c>
      <c r="G823" s="171" t="s">
        <v>125</v>
      </c>
      <c r="H823" s="176">
        <v>0</v>
      </c>
      <c r="I823" s="177">
        <v>0</v>
      </c>
      <c r="J823" s="175">
        <v>46052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-264.49</v>
      </c>
    </row>
    <row r="824" spans="1:16" ht="19.5" customHeight="1">
      <c r="A824" s="171" t="s">
        <v>565</v>
      </c>
      <c r="B824" s="175">
        <v>46052</v>
      </c>
      <c r="C824" s="171" t="s">
        <v>151</v>
      </c>
      <c r="D824" s="171" t="s">
        <v>152</v>
      </c>
      <c r="E824" s="171" t="s">
        <v>125</v>
      </c>
      <c r="F824" s="171" t="s">
        <v>125</v>
      </c>
      <c r="G824" s="171" t="s">
        <v>125</v>
      </c>
      <c r="H824" s="176">
        <v>0</v>
      </c>
      <c r="I824" s="177">
        <v>0</v>
      </c>
      <c r="J824" s="175">
        <v>46052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-293</v>
      </c>
    </row>
    <row r="825" spans="1:16" ht="19.5" customHeight="1">
      <c r="A825" s="171" t="s">
        <v>180</v>
      </c>
      <c r="B825" s="175">
        <v>46052</v>
      </c>
      <c r="C825" s="171" t="s">
        <v>151</v>
      </c>
      <c r="D825" s="171" t="s">
        <v>152</v>
      </c>
      <c r="E825" s="171" t="s">
        <v>125</v>
      </c>
      <c r="F825" s="171" t="s">
        <v>125</v>
      </c>
      <c r="G825" s="171" t="s">
        <v>125</v>
      </c>
      <c r="H825" s="176">
        <v>0</v>
      </c>
      <c r="I825" s="177">
        <v>0</v>
      </c>
      <c r="J825" s="175">
        <v>46052</v>
      </c>
      <c r="K825" s="171" t="s">
        <v>125</v>
      </c>
      <c r="L825" s="171" t="s">
        <v>125</v>
      </c>
      <c r="M825" s="178">
        <v>0</v>
      </c>
      <c r="N825" s="176"/>
      <c r="O825" s="176"/>
      <c r="P825" s="179">
        <v>-359.37</v>
      </c>
    </row>
    <row r="826" spans="1:16" ht="19.5" customHeight="1">
      <c r="A826" s="171" t="s">
        <v>150</v>
      </c>
      <c r="B826" s="175">
        <v>46052</v>
      </c>
      <c r="C826" s="171" t="s">
        <v>151</v>
      </c>
      <c r="D826" s="171" t="s">
        <v>152</v>
      </c>
      <c r="E826" s="171" t="s">
        <v>125</v>
      </c>
      <c r="F826" s="171" t="s">
        <v>125</v>
      </c>
      <c r="G826" s="171" t="s">
        <v>125</v>
      </c>
      <c r="H826" s="176">
        <v>0</v>
      </c>
      <c r="I826" s="177">
        <v>0</v>
      </c>
      <c r="J826" s="175">
        <v>46052</v>
      </c>
      <c r="K826" s="171" t="s">
        <v>125</v>
      </c>
      <c r="L826" s="171" t="s">
        <v>125</v>
      </c>
      <c r="M826" s="178">
        <v>0</v>
      </c>
      <c r="N826" s="176"/>
      <c r="O826" s="176"/>
      <c r="P826" s="179">
        <v>-1291.5999999999999</v>
      </c>
    </row>
    <row r="827" spans="1:16" ht="19.5" customHeight="1">
      <c r="A827" s="171" t="s">
        <v>155</v>
      </c>
      <c r="B827" s="175">
        <v>46052</v>
      </c>
      <c r="C827" s="171" t="s">
        <v>151</v>
      </c>
      <c r="D827" s="171" t="s">
        <v>156</v>
      </c>
      <c r="E827" s="171" t="s">
        <v>125</v>
      </c>
      <c r="F827" s="171" t="s">
        <v>125</v>
      </c>
      <c r="G827" s="171" t="s">
        <v>125</v>
      </c>
      <c r="H827" s="176">
        <v>0</v>
      </c>
      <c r="I827" s="177">
        <v>0</v>
      </c>
      <c r="J827" s="175">
        <v>46052</v>
      </c>
      <c r="K827" s="171" t="s">
        <v>125</v>
      </c>
      <c r="L827" s="171" t="s">
        <v>125</v>
      </c>
      <c r="M827" s="178">
        <v>0</v>
      </c>
      <c r="N827" s="176"/>
      <c r="O827" s="176"/>
      <c r="P827" s="179">
        <v>-4467.51</v>
      </c>
    </row>
    <row r="828" spans="1:16" ht="19.5" customHeight="1">
      <c r="A828" s="171" t="s">
        <v>916</v>
      </c>
      <c r="B828" s="175">
        <v>46053</v>
      </c>
      <c r="C828" s="171" t="s">
        <v>110</v>
      </c>
      <c r="D828" s="171" t="s">
        <v>24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0</v>
      </c>
      <c r="J828" s="175">
        <v>46046</v>
      </c>
      <c r="K828" s="171" t="s">
        <v>113</v>
      </c>
      <c r="L828" s="171" t="s">
        <v>114</v>
      </c>
      <c r="M828" s="178">
        <v>0</v>
      </c>
      <c r="N828" s="176"/>
      <c r="O828" s="176">
        <v>50</v>
      </c>
      <c r="P828" s="179">
        <v>-46.77</v>
      </c>
    </row>
    <row r="829" spans="1:16" ht="19.5" customHeight="1">
      <c r="A829" s="171" t="s">
        <v>916</v>
      </c>
      <c r="B829" s="175">
        <v>46053</v>
      </c>
      <c r="C829" s="171" t="s">
        <v>115</v>
      </c>
      <c r="D829" s="171" t="s">
        <v>116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0</v>
      </c>
      <c r="J829" s="175">
        <v>46046</v>
      </c>
      <c r="K829" s="171" t="s">
        <v>113</v>
      </c>
      <c r="L829" s="171" t="s">
        <v>114</v>
      </c>
      <c r="M829" s="178">
        <v>0</v>
      </c>
      <c r="N829" s="176"/>
      <c r="O829" s="176"/>
      <c r="P829" s="179">
        <v>-9.51</v>
      </c>
    </row>
    <row r="830" spans="1:16" ht="19.5" customHeight="1">
      <c r="A830" s="171" t="s">
        <v>916</v>
      </c>
      <c r="B830" s="175">
        <v>46053</v>
      </c>
      <c r="C830" s="171" t="s">
        <v>110</v>
      </c>
      <c r="D830" s="171" t="s">
        <v>117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0</v>
      </c>
      <c r="J830" s="175">
        <v>46046</v>
      </c>
      <c r="K830" s="171" t="s">
        <v>113</v>
      </c>
      <c r="L830" s="171" t="s">
        <v>114</v>
      </c>
      <c r="M830" s="178">
        <v>0</v>
      </c>
      <c r="N830" s="176"/>
      <c r="O830" s="176"/>
      <c r="P830" s="179">
        <v>0</v>
      </c>
    </row>
    <row r="831" spans="1:16" ht="19.5" customHeight="1">
      <c r="A831" s="171" t="s">
        <v>916</v>
      </c>
      <c r="B831" s="175">
        <v>46053</v>
      </c>
      <c r="C831" s="171" t="s">
        <v>110</v>
      </c>
      <c r="D831" s="171" t="s">
        <v>118</v>
      </c>
      <c r="E831" s="171" t="s">
        <v>38</v>
      </c>
      <c r="F831" s="171" t="s">
        <v>111</v>
      </c>
      <c r="G831" s="171" t="s">
        <v>112</v>
      </c>
      <c r="H831" s="176">
        <v>1</v>
      </c>
      <c r="I831" s="177">
        <v>0</v>
      </c>
      <c r="J831" s="175">
        <v>46046</v>
      </c>
      <c r="K831" s="171" t="s">
        <v>113</v>
      </c>
      <c r="L831" s="171" t="s">
        <v>114</v>
      </c>
      <c r="M831" s="178">
        <v>0</v>
      </c>
      <c r="N831" s="176"/>
      <c r="O831" s="176"/>
      <c r="P831" s="179">
        <v>-46.77</v>
      </c>
    </row>
    <row r="832" spans="1:16" ht="19.5" customHeight="1">
      <c r="A832" s="171" t="s">
        <v>916</v>
      </c>
      <c r="B832" s="175">
        <v>46053</v>
      </c>
      <c r="C832" s="171" t="s">
        <v>115</v>
      </c>
      <c r="D832" s="171" t="s">
        <v>119</v>
      </c>
      <c r="E832" s="171" t="s">
        <v>38</v>
      </c>
      <c r="F832" s="171" t="s">
        <v>111</v>
      </c>
      <c r="G832" s="171" t="s">
        <v>112</v>
      </c>
      <c r="H832" s="176">
        <v>1</v>
      </c>
      <c r="I832" s="177">
        <v>0</v>
      </c>
      <c r="J832" s="175">
        <v>46046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-15</v>
      </c>
    </row>
    <row r="833" spans="1:16" ht="19.5" customHeight="1">
      <c r="A833" s="171" t="s">
        <v>917</v>
      </c>
      <c r="B833" s="175">
        <v>46053</v>
      </c>
      <c r="C833" s="171" t="s">
        <v>110</v>
      </c>
      <c r="D833" s="171" t="s">
        <v>24</v>
      </c>
      <c r="E833" s="171" t="s">
        <v>49</v>
      </c>
      <c r="F833" s="171" t="s">
        <v>490</v>
      </c>
      <c r="G833" s="171" t="s">
        <v>112</v>
      </c>
      <c r="H833" s="176">
        <v>1</v>
      </c>
      <c r="I833" s="177">
        <v>0</v>
      </c>
      <c r="J833" s="175">
        <v>46049</v>
      </c>
      <c r="K833" s="171" t="s">
        <v>113</v>
      </c>
      <c r="L833" s="171" t="s">
        <v>114</v>
      </c>
      <c r="M833" s="178">
        <v>0</v>
      </c>
      <c r="N833" s="176"/>
      <c r="O833" s="176">
        <v>51</v>
      </c>
      <c r="P833" s="179">
        <v>-46.77</v>
      </c>
    </row>
    <row r="834" spans="1:16" ht="19.5" customHeight="1">
      <c r="A834" s="171" t="s">
        <v>917</v>
      </c>
      <c r="B834" s="175">
        <v>46053</v>
      </c>
      <c r="C834" s="171" t="s">
        <v>115</v>
      </c>
      <c r="D834" s="171" t="s">
        <v>116</v>
      </c>
      <c r="E834" s="171" t="s">
        <v>49</v>
      </c>
      <c r="F834" s="171" t="s">
        <v>490</v>
      </c>
      <c r="G834" s="171" t="s">
        <v>112</v>
      </c>
      <c r="H834" s="176">
        <v>1</v>
      </c>
      <c r="I834" s="177">
        <v>0</v>
      </c>
      <c r="J834" s="175">
        <v>46049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-14.32</v>
      </c>
    </row>
    <row r="835" spans="1:16" ht="19.5" customHeight="1">
      <c r="A835" s="171" t="s">
        <v>917</v>
      </c>
      <c r="B835" s="175">
        <v>46053</v>
      </c>
      <c r="C835" s="171" t="s">
        <v>110</v>
      </c>
      <c r="D835" s="171" t="s">
        <v>117</v>
      </c>
      <c r="E835" s="171" t="s">
        <v>49</v>
      </c>
      <c r="F835" s="171" t="s">
        <v>490</v>
      </c>
      <c r="G835" s="171" t="s">
        <v>112</v>
      </c>
      <c r="H835" s="176">
        <v>1</v>
      </c>
      <c r="I835" s="177">
        <v>0</v>
      </c>
      <c r="J835" s="175">
        <v>46049</v>
      </c>
      <c r="K835" s="171" t="s">
        <v>113</v>
      </c>
      <c r="L835" s="171" t="s">
        <v>114</v>
      </c>
      <c r="M835" s="178">
        <v>0</v>
      </c>
      <c r="N835" s="176"/>
      <c r="O835" s="176"/>
      <c r="P835" s="179">
        <v>0</v>
      </c>
    </row>
    <row r="836" spans="1:16" ht="19.5" customHeight="1">
      <c r="A836" s="171" t="s">
        <v>917</v>
      </c>
      <c r="B836" s="175">
        <v>46053</v>
      </c>
      <c r="C836" s="171" t="s">
        <v>110</v>
      </c>
      <c r="D836" s="171" t="s">
        <v>118</v>
      </c>
      <c r="E836" s="171" t="s">
        <v>49</v>
      </c>
      <c r="F836" s="171" t="s">
        <v>490</v>
      </c>
      <c r="G836" s="171" t="s">
        <v>112</v>
      </c>
      <c r="H836" s="176">
        <v>1</v>
      </c>
      <c r="I836" s="177">
        <v>0</v>
      </c>
      <c r="J836" s="175">
        <v>46049</v>
      </c>
      <c r="K836" s="171" t="s">
        <v>113</v>
      </c>
      <c r="L836" s="171" t="s">
        <v>114</v>
      </c>
      <c r="M836" s="178">
        <v>0</v>
      </c>
      <c r="N836" s="176"/>
      <c r="O836" s="176"/>
      <c r="P836" s="179">
        <v>-46.77</v>
      </c>
    </row>
    <row r="837" spans="1:16" ht="19.5" customHeight="1">
      <c r="A837" s="171" t="s">
        <v>917</v>
      </c>
      <c r="B837" s="175">
        <v>46053</v>
      </c>
      <c r="C837" s="171" t="s">
        <v>115</v>
      </c>
      <c r="D837" s="171" t="s">
        <v>119</v>
      </c>
      <c r="E837" s="171" t="s">
        <v>49</v>
      </c>
      <c r="F837" s="171" t="s">
        <v>490</v>
      </c>
      <c r="G837" s="171" t="s">
        <v>112</v>
      </c>
      <c r="H837" s="176">
        <v>1</v>
      </c>
      <c r="I837" s="177">
        <v>0</v>
      </c>
      <c r="J837" s="175">
        <v>46049</v>
      </c>
      <c r="K837" s="171" t="s">
        <v>113</v>
      </c>
      <c r="L837" s="171" t="s">
        <v>114</v>
      </c>
      <c r="M837" s="178">
        <v>0</v>
      </c>
      <c r="N837" s="176"/>
      <c r="O837" s="176"/>
      <c r="P837" s="179">
        <v>-15</v>
      </c>
    </row>
    <row r="838" spans="1:16" ht="19.5" customHeight="1">
      <c r="A838" s="171" t="s">
        <v>918</v>
      </c>
      <c r="B838" s="175">
        <v>46053</v>
      </c>
      <c r="C838" s="171" t="s">
        <v>115</v>
      </c>
      <c r="D838" s="171" t="s">
        <v>135</v>
      </c>
      <c r="E838" s="171" t="s">
        <v>38</v>
      </c>
      <c r="F838" s="171" t="s">
        <v>111</v>
      </c>
      <c r="G838" s="171" t="s">
        <v>112</v>
      </c>
      <c r="H838" s="176">
        <v>1</v>
      </c>
      <c r="I838" s="177">
        <v>0</v>
      </c>
      <c r="J838" s="175">
        <v>46053</v>
      </c>
      <c r="K838" s="171" t="s">
        <v>125</v>
      </c>
      <c r="L838" s="171" t="s">
        <v>125</v>
      </c>
      <c r="M838" s="178">
        <v>0</v>
      </c>
      <c r="N838" s="176"/>
      <c r="O838" s="176"/>
      <c r="P838" s="179">
        <v>-15.69</v>
      </c>
    </row>
    <row r="839" spans="1:16" ht="19.5" customHeight="1">
      <c r="A839" s="171" t="s">
        <v>919</v>
      </c>
      <c r="B839" s="175">
        <v>46053</v>
      </c>
      <c r="C839" s="171" t="s">
        <v>110</v>
      </c>
      <c r="D839" s="171" t="s">
        <v>117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0</v>
      </c>
      <c r="J839" s="175">
        <v>46046</v>
      </c>
      <c r="K839" s="171" t="s">
        <v>113</v>
      </c>
      <c r="L839" s="171" t="s">
        <v>114</v>
      </c>
      <c r="M839" s="178">
        <v>0</v>
      </c>
      <c r="N839" s="176"/>
      <c r="O839" s="176"/>
      <c r="P839" s="179">
        <v>0</v>
      </c>
    </row>
    <row r="840" spans="1:16" ht="19.5" customHeight="1">
      <c r="A840" s="171" t="s">
        <v>919</v>
      </c>
      <c r="B840" s="175">
        <v>46053</v>
      </c>
      <c r="C840" s="171" t="s">
        <v>110</v>
      </c>
      <c r="D840" s="171" t="s">
        <v>118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0</v>
      </c>
      <c r="J840" s="175">
        <v>46046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-46.77</v>
      </c>
    </row>
    <row r="841" spans="1:16" ht="19.5" customHeight="1">
      <c r="A841" s="171" t="s">
        <v>919</v>
      </c>
      <c r="B841" s="175">
        <v>46053</v>
      </c>
      <c r="C841" s="171" t="s">
        <v>110</v>
      </c>
      <c r="D841" s="171" t="s">
        <v>24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0</v>
      </c>
      <c r="J841" s="175">
        <v>46046</v>
      </c>
      <c r="K841" s="171" t="s">
        <v>113</v>
      </c>
      <c r="L841" s="171" t="s">
        <v>114</v>
      </c>
      <c r="M841" s="178">
        <v>0</v>
      </c>
      <c r="N841" s="176"/>
      <c r="O841" s="176">
        <v>50</v>
      </c>
      <c r="P841" s="179">
        <v>-46.77</v>
      </c>
    </row>
    <row r="842" spans="1:16" ht="19.5" customHeight="1">
      <c r="A842" s="171" t="s">
        <v>919</v>
      </c>
      <c r="B842" s="175">
        <v>46053</v>
      </c>
      <c r="C842" s="171" t="s">
        <v>115</v>
      </c>
      <c r="D842" s="171" t="s">
        <v>116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0</v>
      </c>
      <c r="J842" s="175">
        <v>46046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-10.119999999999999</v>
      </c>
    </row>
    <row r="843" spans="1:16" ht="19.5" customHeight="1">
      <c r="A843" s="171" t="s">
        <v>920</v>
      </c>
      <c r="B843" s="175">
        <v>46053</v>
      </c>
      <c r="C843" s="171" t="s">
        <v>110</v>
      </c>
      <c r="D843" s="171" t="s">
        <v>117</v>
      </c>
      <c r="E843" s="171" t="s">
        <v>78</v>
      </c>
      <c r="F843" s="171" t="s">
        <v>176</v>
      </c>
      <c r="G843" s="171" t="s">
        <v>177</v>
      </c>
      <c r="H843" s="176">
        <v>1</v>
      </c>
      <c r="I843" s="177">
        <v>0</v>
      </c>
      <c r="J843" s="175">
        <v>46046</v>
      </c>
      <c r="K843" s="171" t="s">
        <v>113</v>
      </c>
      <c r="L843" s="171" t="s">
        <v>114</v>
      </c>
      <c r="M843" s="178">
        <v>0</v>
      </c>
      <c r="N843" s="176"/>
      <c r="O843" s="176"/>
      <c r="P843" s="179">
        <v>0</v>
      </c>
    </row>
    <row r="844" spans="1:16" ht="19.5" customHeight="1">
      <c r="A844" s="171" t="s">
        <v>920</v>
      </c>
      <c r="B844" s="175">
        <v>46053</v>
      </c>
      <c r="C844" s="171" t="s">
        <v>110</v>
      </c>
      <c r="D844" s="171" t="s">
        <v>118</v>
      </c>
      <c r="E844" s="171" t="s">
        <v>78</v>
      </c>
      <c r="F844" s="171" t="s">
        <v>176</v>
      </c>
      <c r="G844" s="171" t="s">
        <v>177</v>
      </c>
      <c r="H844" s="176">
        <v>1</v>
      </c>
      <c r="I844" s="177">
        <v>0</v>
      </c>
      <c r="J844" s="175">
        <v>46046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-56.94</v>
      </c>
    </row>
    <row r="845" spans="1:16" ht="19.5" customHeight="1">
      <c r="A845" s="171" t="s">
        <v>920</v>
      </c>
      <c r="B845" s="175">
        <v>46053</v>
      </c>
      <c r="C845" s="171" t="s">
        <v>110</v>
      </c>
      <c r="D845" s="171" t="s">
        <v>24</v>
      </c>
      <c r="E845" s="171" t="s">
        <v>78</v>
      </c>
      <c r="F845" s="171" t="s">
        <v>176</v>
      </c>
      <c r="G845" s="171" t="s">
        <v>177</v>
      </c>
      <c r="H845" s="176">
        <v>1</v>
      </c>
      <c r="I845" s="177">
        <v>0</v>
      </c>
      <c r="J845" s="175">
        <v>46046</v>
      </c>
      <c r="K845" s="171" t="s">
        <v>113</v>
      </c>
      <c r="L845" s="171" t="s">
        <v>114</v>
      </c>
      <c r="M845" s="178">
        <v>0</v>
      </c>
      <c r="N845" s="176"/>
      <c r="O845" s="176">
        <v>50</v>
      </c>
      <c r="P845" s="179">
        <v>-56.94</v>
      </c>
    </row>
    <row r="846" spans="1:16" ht="19.5" customHeight="1">
      <c r="A846" s="171" t="s">
        <v>920</v>
      </c>
      <c r="B846" s="175">
        <v>46053</v>
      </c>
      <c r="C846" s="171" t="s">
        <v>115</v>
      </c>
      <c r="D846" s="171" t="s">
        <v>116</v>
      </c>
      <c r="E846" s="171" t="s">
        <v>78</v>
      </c>
      <c r="F846" s="171" t="s">
        <v>176</v>
      </c>
      <c r="G846" s="171" t="s">
        <v>177</v>
      </c>
      <c r="H846" s="176">
        <v>1</v>
      </c>
      <c r="I846" s="177">
        <v>0</v>
      </c>
      <c r="J846" s="175">
        <v>46046</v>
      </c>
      <c r="K846" s="171" t="s">
        <v>113</v>
      </c>
      <c r="L846" s="171" t="s">
        <v>114</v>
      </c>
      <c r="M846" s="178">
        <v>0</v>
      </c>
      <c r="N846" s="176"/>
      <c r="O846" s="176"/>
      <c r="P846" s="179">
        <v>-11.61</v>
      </c>
    </row>
    <row r="847" spans="1:16" ht="19.5" customHeight="1">
      <c r="A847" s="171" t="s">
        <v>921</v>
      </c>
      <c r="B847" s="175">
        <v>46053</v>
      </c>
      <c r="C847" s="171" t="s">
        <v>110</v>
      </c>
      <c r="D847" s="171" t="s">
        <v>117</v>
      </c>
      <c r="E847" s="171" t="s">
        <v>43</v>
      </c>
      <c r="F847" s="171" t="s">
        <v>481</v>
      </c>
      <c r="G847" s="171" t="s">
        <v>214</v>
      </c>
      <c r="H847" s="176">
        <v>1</v>
      </c>
      <c r="I847" s="177">
        <v>0</v>
      </c>
      <c r="J847" s="175">
        <v>46045</v>
      </c>
      <c r="K847" s="171" t="s">
        <v>113</v>
      </c>
      <c r="L847" s="171" t="s">
        <v>114</v>
      </c>
      <c r="M847" s="178">
        <v>0</v>
      </c>
      <c r="N847" s="176"/>
      <c r="O847" s="176"/>
      <c r="P847" s="179">
        <v>0</v>
      </c>
    </row>
    <row r="848" spans="1:16" ht="19.5" customHeight="1">
      <c r="A848" s="171" t="s">
        <v>921</v>
      </c>
      <c r="B848" s="175">
        <v>46053</v>
      </c>
      <c r="C848" s="171" t="s">
        <v>110</v>
      </c>
      <c r="D848" s="171" t="s">
        <v>118</v>
      </c>
      <c r="E848" s="171" t="s">
        <v>43</v>
      </c>
      <c r="F848" s="171" t="s">
        <v>481</v>
      </c>
      <c r="G848" s="171" t="s">
        <v>214</v>
      </c>
      <c r="H848" s="176">
        <v>1</v>
      </c>
      <c r="I848" s="177">
        <v>0</v>
      </c>
      <c r="J848" s="175">
        <v>46045</v>
      </c>
      <c r="K848" s="171" t="s">
        <v>113</v>
      </c>
      <c r="L848" s="171" t="s">
        <v>114</v>
      </c>
      <c r="M848" s="178">
        <v>0</v>
      </c>
      <c r="N848" s="176"/>
      <c r="O848" s="176"/>
      <c r="P848" s="179">
        <v>-46.77</v>
      </c>
    </row>
    <row r="849" spans="1:16" ht="19.5" customHeight="1">
      <c r="A849" s="171" t="s">
        <v>921</v>
      </c>
      <c r="B849" s="175">
        <v>46053</v>
      </c>
      <c r="C849" s="171" t="s">
        <v>115</v>
      </c>
      <c r="D849" s="171" t="s">
        <v>119</v>
      </c>
      <c r="E849" s="171" t="s">
        <v>43</v>
      </c>
      <c r="F849" s="171" t="s">
        <v>481</v>
      </c>
      <c r="G849" s="171" t="s">
        <v>214</v>
      </c>
      <c r="H849" s="176">
        <v>1</v>
      </c>
      <c r="I849" s="177">
        <v>0</v>
      </c>
      <c r="J849" s="175">
        <v>46045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-15</v>
      </c>
    </row>
    <row r="850" spans="1:16" ht="19.5" customHeight="1">
      <c r="A850" s="171" t="s">
        <v>921</v>
      </c>
      <c r="B850" s="175">
        <v>46053</v>
      </c>
      <c r="C850" s="171" t="s">
        <v>110</v>
      </c>
      <c r="D850" s="171" t="s">
        <v>24</v>
      </c>
      <c r="E850" s="171" t="s">
        <v>43</v>
      </c>
      <c r="F850" s="171" t="s">
        <v>481</v>
      </c>
      <c r="G850" s="171" t="s">
        <v>214</v>
      </c>
      <c r="H850" s="176">
        <v>1</v>
      </c>
      <c r="I850" s="177">
        <v>0</v>
      </c>
      <c r="J850" s="175">
        <v>46045</v>
      </c>
      <c r="K850" s="171" t="s">
        <v>113</v>
      </c>
      <c r="L850" s="171" t="s">
        <v>114</v>
      </c>
      <c r="M850" s="178">
        <v>0</v>
      </c>
      <c r="N850" s="176"/>
      <c r="O850" s="176">
        <v>51</v>
      </c>
      <c r="P850" s="179">
        <v>-46.77</v>
      </c>
    </row>
    <row r="851" spans="1:16" ht="19.5" customHeight="1">
      <c r="A851" s="171" t="s">
        <v>921</v>
      </c>
      <c r="B851" s="175">
        <v>46053</v>
      </c>
      <c r="C851" s="171" t="s">
        <v>115</v>
      </c>
      <c r="D851" s="171" t="s">
        <v>116</v>
      </c>
      <c r="E851" s="171" t="s">
        <v>43</v>
      </c>
      <c r="F851" s="171" t="s">
        <v>481</v>
      </c>
      <c r="G851" s="171" t="s">
        <v>214</v>
      </c>
      <c r="H851" s="176">
        <v>1</v>
      </c>
      <c r="I851" s="177">
        <v>0</v>
      </c>
      <c r="J851" s="175">
        <v>46045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-9.8800000000000008</v>
      </c>
    </row>
    <row r="852" spans="1:16" ht="19.5" customHeight="1">
      <c r="A852" s="171" t="s">
        <v>922</v>
      </c>
      <c r="B852" s="175">
        <v>46053</v>
      </c>
      <c r="C852" s="171" t="s">
        <v>110</v>
      </c>
      <c r="D852" s="171" t="s">
        <v>117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0</v>
      </c>
      <c r="J852" s="175">
        <v>46047</v>
      </c>
      <c r="K852" s="171" t="s">
        <v>113</v>
      </c>
      <c r="L852" s="171" t="s">
        <v>114</v>
      </c>
      <c r="M852" s="178">
        <v>0</v>
      </c>
      <c r="N852" s="176"/>
      <c r="O852" s="176"/>
      <c r="P852" s="179">
        <v>0</v>
      </c>
    </row>
    <row r="853" spans="1:16" ht="19.5" customHeight="1">
      <c r="A853" s="171" t="s">
        <v>922</v>
      </c>
      <c r="B853" s="175">
        <v>46053</v>
      </c>
      <c r="C853" s="171" t="s">
        <v>110</v>
      </c>
      <c r="D853" s="171" t="s">
        <v>118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0</v>
      </c>
      <c r="J853" s="175">
        <v>46047</v>
      </c>
      <c r="K853" s="171" t="s">
        <v>113</v>
      </c>
      <c r="L853" s="171" t="s">
        <v>114</v>
      </c>
      <c r="M853" s="178">
        <v>0</v>
      </c>
      <c r="N853" s="176"/>
      <c r="O853" s="176"/>
      <c r="P853" s="179">
        <v>-46.77</v>
      </c>
    </row>
    <row r="854" spans="1:16" ht="19.5" customHeight="1">
      <c r="A854" s="171" t="s">
        <v>922</v>
      </c>
      <c r="B854" s="175">
        <v>46053</v>
      </c>
      <c r="C854" s="171" t="s">
        <v>115</v>
      </c>
      <c r="D854" s="171" t="s">
        <v>119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0</v>
      </c>
      <c r="J854" s="175">
        <v>46047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-15</v>
      </c>
    </row>
    <row r="855" spans="1:16" ht="19.5" customHeight="1">
      <c r="A855" s="171" t="s">
        <v>922</v>
      </c>
      <c r="B855" s="175">
        <v>46053</v>
      </c>
      <c r="C855" s="171" t="s">
        <v>110</v>
      </c>
      <c r="D855" s="171" t="s">
        <v>24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0</v>
      </c>
      <c r="J855" s="175">
        <v>46047</v>
      </c>
      <c r="K855" s="171" t="s">
        <v>113</v>
      </c>
      <c r="L855" s="171" t="s">
        <v>114</v>
      </c>
      <c r="M855" s="178">
        <v>0</v>
      </c>
      <c r="N855" s="176"/>
      <c r="O855" s="176">
        <v>52</v>
      </c>
      <c r="P855" s="179">
        <v>-46.77</v>
      </c>
    </row>
    <row r="856" spans="1:16" ht="19.5" customHeight="1">
      <c r="A856" s="171" t="s">
        <v>922</v>
      </c>
      <c r="B856" s="175">
        <v>46053</v>
      </c>
      <c r="C856" s="171" t="s">
        <v>115</v>
      </c>
      <c r="D856" s="171" t="s">
        <v>116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0</v>
      </c>
      <c r="J856" s="175">
        <v>46047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-8.7100000000000009</v>
      </c>
    </row>
    <row r="857" spans="1:16" ht="19.5" customHeight="1">
      <c r="A857" s="171" t="s">
        <v>923</v>
      </c>
      <c r="B857" s="175">
        <v>46053</v>
      </c>
      <c r="C857" s="171" t="s">
        <v>115</v>
      </c>
      <c r="D857" s="171" t="s">
        <v>135</v>
      </c>
      <c r="E857" s="171" t="s">
        <v>38</v>
      </c>
      <c r="F857" s="171" t="s">
        <v>111</v>
      </c>
      <c r="G857" s="171" t="s">
        <v>112</v>
      </c>
      <c r="H857" s="176">
        <v>1</v>
      </c>
      <c r="I857" s="177">
        <v>0</v>
      </c>
      <c r="J857" s="175">
        <v>46053</v>
      </c>
      <c r="K857" s="171" t="s">
        <v>125</v>
      </c>
      <c r="L857" s="171" t="s">
        <v>125</v>
      </c>
      <c r="M857" s="178">
        <v>0</v>
      </c>
      <c r="N857" s="176"/>
      <c r="O857" s="176"/>
      <c r="P857" s="179">
        <v>-5.47</v>
      </c>
    </row>
    <row r="858" spans="1:16" ht="19.5" customHeight="1">
      <c r="A858" s="171" t="s">
        <v>924</v>
      </c>
      <c r="B858" s="175">
        <v>46053</v>
      </c>
      <c r="C858" s="171" t="s">
        <v>110</v>
      </c>
      <c r="D858" s="171" t="s">
        <v>24</v>
      </c>
      <c r="E858" s="171" t="s">
        <v>38</v>
      </c>
      <c r="F858" s="171" t="s">
        <v>111</v>
      </c>
      <c r="G858" s="171" t="s">
        <v>112</v>
      </c>
      <c r="H858" s="176">
        <v>1</v>
      </c>
      <c r="I858" s="177">
        <v>0</v>
      </c>
      <c r="J858" s="175">
        <v>46032</v>
      </c>
      <c r="K858" s="171" t="s">
        <v>113</v>
      </c>
      <c r="L858" s="171" t="s">
        <v>114</v>
      </c>
      <c r="M858" s="178">
        <v>0</v>
      </c>
      <c r="N858" s="176"/>
      <c r="O858" s="176">
        <v>47</v>
      </c>
      <c r="P858" s="179">
        <v>-46.77</v>
      </c>
    </row>
    <row r="859" spans="1:16" ht="19.5" customHeight="1">
      <c r="A859" s="171" t="s">
        <v>924</v>
      </c>
      <c r="B859" s="175">
        <v>46053</v>
      </c>
      <c r="C859" s="171" t="s">
        <v>115</v>
      </c>
      <c r="D859" s="171" t="s">
        <v>116</v>
      </c>
      <c r="E859" s="171" t="s">
        <v>38</v>
      </c>
      <c r="F859" s="171" t="s">
        <v>111</v>
      </c>
      <c r="G859" s="171" t="s">
        <v>112</v>
      </c>
      <c r="H859" s="176">
        <v>1</v>
      </c>
      <c r="I859" s="177">
        <v>0</v>
      </c>
      <c r="J859" s="175">
        <v>46032</v>
      </c>
      <c r="K859" s="171" t="s">
        <v>113</v>
      </c>
      <c r="L859" s="171" t="s">
        <v>114</v>
      </c>
      <c r="M859" s="178">
        <v>0</v>
      </c>
      <c r="N859" s="176"/>
      <c r="O859" s="176"/>
      <c r="P859" s="179">
        <v>-16.98</v>
      </c>
    </row>
    <row r="860" spans="1:16" ht="19.5" customHeight="1">
      <c r="A860" s="171" t="s">
        <v>924</v>
      </c>
      <c r="B860" s="175">
        <v>46053</v>
      </c>
      <c r="C860" s="171" t="s">
        <v>110</v>
      </c>
      <c r="D860" s="171" t="s">
        <v>117</v>
      </c>
      <c r="E860" s="171" t="s">
        <v>38</v>
      </c>
      <c r="F860" s="171" t="s">
        <v>111</v>
      </c>
      <c r="G860" s="171" t="s">
        <v>112</v>
      </c>
      <c r="H860" s="176">
        <v>1</v>
      </c>
      <c r="I860" s="177">
        <v>0</v>
      </c>
      <c r="J860" s="175">
        <v>46032</v>
      </c>
      <c r="K860" s="171" t="s">
        <v>113</v>
      </c>
      <c r="L860" s="171" t="s">
        <v>114</v>
      </c>
      <c r="M860" s="178">
        <v>0</v>
      </c>
      <c r="N860" s="176"/>
      <c r="O860" s="176"/>
      <c r="P860" s="179">
        <v>0</v>
      </c>
    </row>
    <row r="861" spans="1:16" ht="19.5" customHeight="1">
      <c r="A861" s="171" t="s">
        <v>924</v>
      </c>
      <c r="B861" s="175">
        <v>46053</v>
      </c>
      <c r="C861" s="171" t="s">
        <v>110</v>
      </c>
      <c r="D861" s="171" t="s">
        <v>118</v>
      </c>
      <c r="E861" s="171" t="s">
        <v>38</v>
      </c>
      <c r="F861" s="171" t="s">
        <v>111</v>
      </c>
      <c r="G861" s="171" t="s">
        <v>112</v>
      </c>
      <c r="H861" s="176">
        <v>1</v>
      </c>
      <c r="I861" s="177">
        <v>0</v>
      </c>
      <c r="J861" s="175">
        <v>46032</v>
      </c>
      <c r="K861" s="171" t="s">
        <v>113</v>
      </c>
      <c r="L861" s="171" t="s">
        <v>114</v>
      </c>
      <c r="M861" s="178">
        <v>0</v>
      </c>
      <c r="N861" s="176"/>
      <c r="O861" s="176"/>
      <c r="P861" s="179">
        <v>-46.77</v>
      </c>
    </row>
    <row r="862" spans="1:16" ht="19.5" customHeight="1">
      <c r="A862" s="171" t="s">
        <v>925</v>
      </c>
      <c r="B862" s="175">
        <v>46053</v>
      </c>
      <c r="C862" s="171" t="s">
        <v>110</v>
      </c>
      <c r="D862" s="171" t="s">
        <v>24</v>
      </c>
      <c r="E862" s="171" t="s">
        <v>38</v>
      </c>
      <c r="F862" s="171" t="s">
        <v>111</v>
      </c>
      <c r="G862" s="171" t="s">
        <v>112</v>
      </c>
      <c r="H862" s="176">
        <v>1</v>
      </c>
      <c r="I862" s="177">
        <v>0</v>
      </c>
      <c r="J862" s="175">
        <v>46046</v>
      </c>
      <c r="K862" s="171" t="s">
        <v>113</v>
      </c>
      <c r="L862" s="171" t="s">
        <v>114</v>
      </c>
      <c r="M862" s="178">
        <v>0</v>
      </c>
      <c r="N862" s="176"/>
      <c r="O862" s="176">
        <v>50</v>
      </c>
      <c r="P862" s="179">
        <v>-46.77</v>
      </c>
    </row>
    <row r="863" spans="1:16" ht="19.5" customHeight="1">
      <c r="A863" s="171" t="s">
        <v>925</v>
      </c>
      <c r="B863" s="175">
        <v>46053</v>
      </c>
      <c r="C863" s="171" t="s">
        <v>115</v>
      </c>
      <c r="D863" s="171" t="s">
        <v>116</v>
      </c>
      <c r="E863" s="171" t="s">
        <v>38</v>
      </c>
      <c r="F863" s="171" t="s">
        <v>111</v>
      </c>
      <c r="G863" s="171" t="s">
        <v>112</v>
      </c>
      <c r="H863" s="176">
        <v>1</v>
      </c>
      <c r="I863" s="177">
        <v>0</v>
      </c>
      <c r="J863" s="175">
        <v>46046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-11.01</v>
      </c>
    </row>
    <row r="864" spans="1:16" ht="19.5" customHeight="1">
      <c r="A864" s="171" t="s">
        <v>925</v>
      </c>
      <c r="B864" s="175">
        <v>46053</v>
      </c>
      <c r="C864" s="171" t="s">
        <v>110</v>
      </c>
      <c r="D864" s="171" t="s">
        <v>117</v>
      </c>
      <c r="E864" s="171" t="s">
        <v>38</v>
      </c>
      <c r="F864" s="171" t="s">
        <v>111</v>
      </c>
      <c r="G864" s="171" t="s">
        <v>112</v>
      </c>
      <c r="H864" s="176">
        <v>1</v>
      </c>
      <c r="I864" s="177">
        <v>0</v>
      </c>
      <c r="J864" s="175">
        <v>46046</v>
      </c>
      <c r="K864" s="171" t="s">
        <v>113</v>
      </c>
      <c r="L864" s="171" t="s">
        <v>114</v>
      </c>
      <c r="M864" s="178">
        <v>0</v>
      </c>
      <c r="N864" s="176"/>
      <c r="O864" s="176"/>
      <c r="P864" s="179">
        <v>0</v>
      </c>
    </row>
    <row r="865" spans="1:16" ht="19.5" customHeight="1">
      <c r="A865" s="171" t="s">
        <v>925</v>
      </c>
      <c r="B865" s="175">
        <v>46053</v>
      </c>
      <c r="C865" s="171" t="s">
        <v>110</v>
      </c>
      <c r="D865" s="171" t="s">
        <v>118</v>
      </c>
      <c r="E865" s="171" t="s">
        <v>38</v>
      </c>
      <c r="F865" s="171" t="s">
        <v>111</v>
      </c>
      <c r="G865" s="171" t="s">
        <v>112</v>
      </c>
      <c r="H865" s="176">
        <v>1</v>
      </c>
      <c r="I865" s="177">
        <v>0</v>
      </c>
      <c r="J865" s="175">
        <v>46046</v>
      </c>
      <c r="K865" s="171" t="s">
        <v>113</v>
      </c>
      <c r="L865" s="171" t="s">
        <v>114</v>
      </c>
      <c r="M865" s="178">
        <v>0</v>
      </c>
      <c r="N865" s="176"/>
      <c r="O865" s="176"/>
      <c r="P865" s="179">
        <v>-46.77</v>
      </c>
    </row>
    <row r="866" spans="1:16" ht="19.5" customHeight="1">
      <c r="A866" s="171" t="s">
        <v>925</v>
      </c>
      <c r="B866" s="175">
        <v>46053</v>
      </c>
      <c r="C866" s="171" t="s">
        <v>115</v>
      </c>
      <c r="D866" s="171" t="s">
        <v>119</v>
      </c>
      <c r="E866" s="171" t="s">
        <v>38</v>
      </c>
      <c r="F866" s="171" t="s">
        <v>111</v>
      </c>
      <c r="G866" s="171" t="s">
        <v>112</v>
      </c>
      <c r="H866" s="176">
        <v>1</v>
      </c>
      <c r="I866" s="177">
        <v>0</v>
      </c>
      <c r="J866" s="175">
        <v>46046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-15</v>
      </c>
    </row>
    <row r="867" spans="1:16" ht="19.5" customHeight="1">
      <c r="A867" s="171" t="s">
        <v>926</v>
      </c>
      <c r="B867" s="175">
        <v>46053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1800</v>
      </c>
      <c r="J867" s="175">
        <v>46051</v>
      </c>
      <c r="K867" s="171" t="s">
        <v>113</v>
      </c>
      <c r="L867" s="171" t="s">
        <v>114</v>
      </c>
      <c r="M867" s="178">
        <v>0.43</v>
      </c>
      <c r="N867" s="176"/>
      <c r="O867" s="176">
        <v>48</v>
      </c>
      <c r="P867" s="179">
        <v>-146.61000000000001</v>
      </c>
    </row>
    <row r="868" spans="1:16" ht="19.5" customHeight="1">
      <c r="A868" s="171" t="s">
        <v>926</v>
      </c>
      <c r="B868" s="175">
        <v>46053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1800</v>
      </c>
      <c r="J868" s="175">
        <v>46051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748.1</v>
      </c>
    </row>
    <row r="869" spans="1:16" ht="19.5" customHeight="1">
      <c r="A869" s="171" t="s">
        <v>926</v>
      </c>
      <c r="B869" s="175">
        <v>46053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1800</v>
      </c>
      <c r="J869" s="175">
        <v>46051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7.48</v>
      </c>
    </row>
    <row r="870" spans="1:16" ht="19.5" customHeight="1">
      <c r="A870" s="171" t="s">
        <v>926</v>
      </c>
      <c r="B870" s="175">
        <v>46053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1800</v>
      </c>
      <c r="J870" s="175">
        <v>46051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1044.42</v>
      </c>
    </row>
    <row r="871" spans="1:16" ht="19.5" customHeight="1">
      <c r="A871" s="171" t="s">
        <v>926</v>
      </c>
      <c r="B871" s="175">
        <v>46053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1800</v>
      </c>
      <c r="J871" s="175">
        <v>46051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-774</v>
      </c>
    </row>
    <row r="872" spans="1:16" ht="19.5" customHeight="1">
      <c r="A872" s="171" t="s">
        <v>926</v>
      </c>
      <c r="B872" s="175">
        <v>46053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1800</v>
      </c>
      <c r="J872" s="175">
        <v>46051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-9.5399999999999991</v>
      </c>
    </row>
    <row r="873" spans="1:16" ht="19.5" customHeight="1">
      <c r="A873" s="171" t="s">
        <v>927</v>
      </c>
      <c r="B873" s="175">
        <v>46053</v>
      </c>
      <c r="C873" s="171" t="s">
        <v>110</v>
      </c>
      <c r="D873" s="171" t="s">
        <v>24</v>
      </c>
      <c r="E873" s="171" t="s">
        <v>38</v>
      </c>
      <c r="F873" s="171" t="s">
        <v>111</v>
      </c>
      <c r="G873" s="171" t="s">
        <v>112</v>
      </c>
      <c r="H873" s="176">
        <v>1</v>
      </c>
      <c r="I873" s="177">
        <v>1800</v>
      </c>
      <c r="J873" s="175">
        <v>46051</v>
      </c>
      <c r="K873" s="171" t="s">
        <v>113</v>
      </c>
      <c r="L873" s="171" t="s">
        <v>114</v>
      </c>
      <c r="M873" s="178">
        <v>0.43</v>
      </c>
      <c r="N873" s="176"/>
      <c r="O873" s="176">
        <v>48</v>
      </c>
      <c r="P873" s="179">
        <v>-146.61000000000001</v>
      </c>
    </row>
    <row r="874" spans="1:16" ht="19.5" customHeight="1">
      <c r="A874" s="171" t="s">
        <v>927</v>
      </c>
      <c r="B874" s="175">
        <v>46053</v>
      </c>
      <c r="C874" s="171" t="s">
        <v>127</v>
      </c>
      <c r="D874" s="171" t="s">
        <v>128</v>
      </c>
      <c r="E874" s="171" t="s">
        <v>38</v>
      </c>
      <c r="F874" s="171" t="s">
        <v>111</v>
      </c>
      <c r="G874" s="171" t="s">
        <v>112</v>
      </c>
      <c r="H874" s="176">
        <v>1</v>
      </c>
      <c r="I874" s="177">
        <v>1800</v>
      </c>
      <c r="J874" s="175">
        <v>46051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749.52</v>
      </c>
    </row>
    <row r="875" spans="1:16" ht="19.5" customHeight="1">
      <c r="A875" s="171" t="s">
        <v>927</v>
      </c>
      <c r="B875" s="175">
        <v>46053</v>
      </c>
      <c r="C875" s="171" t="s">
        <v>127</v>
      </c>
      <c r="D875" s="171" t="s">
        <v>129</v>
      </c>
      <c r="E875" s="171" t="s">
        <v>38</v>
      </c>
      <c r="F875" s="171" t="s">
        <v>111</v>
      </c>
      <c r="G875" s="171" t="s">
        <v>112</v>
      </c>
      <c r="H875" s="176">
        <v>1</v>
      </c>
      <c r="I875" s="177">
        <v>1800</v>
      </c>
      <c r="J875" s="175">
        <v>46051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7.5</v>
      </c>
    </row>
    <row r="876" spans="1:16" ht="19.5" customHeight="1">
      <c r="A876" s="171" t="s">
        <v>927</v>
      </c>
      <c r="B876" s="175">
        <v>46053</v>
      </c>
      <c r="C876" s="171" t="s">
        <v>127</v>
      </c>
      <c r="D876" s="171" t="s">
        <v>130</v>
      </c>
      <c r="E876" s="171" t="s">
        <v>38</v>
      </c>
      <c r="F876" s="171" t="s">
        <v>111</v>
      </c>
      <c r="G876" s="171" t="s">
        <v>112</v>
      </c>
      <c r="H876" s="176">
        <v>1</v>
      </c>
      <c r="I876" s="177">
        <v>1800</v>
      </c>
      <c r="J876" s="175">
        <v>46051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1042.98</v>
      </c>
    </row>
    <row r="877" spans="1:16" ht="19.5" customHeight="1">
      <c r="A877" s="171" t="s">
        <v>927</v>
      </c>
      <c r="B877" s="175">
        <v>46053</v>
      </c>
      <c r="C877" s="171" t="s">
        <v>131</v>
      </c>
      <c r="D877" s="171" t="s">
        <v>132</v>
      </c>
      <c r="E877" s="171" t="s">
        <v>38</v>
      </c>
      <c r="F877" s="171" t="s">
        <v>111</v>
      </c>
      <c r="G877" s="171" t="s">
        <v>112</v>
      </c>
      <c r="H877" s="176">
        <v>1</v>
      </c>
      <c r="I877" s="177">
        <v>1800</v>
      </c>
      <c r="J877" s="175">
        <v>46051</v>
      </c>
      <c r="K877" s="171" t="s">
        <v>113</v>
      </c>
      <c r="L877" s="171" t="s">
        <v>114</v>
      </c>
      <c r="M877" s="178">
        <v>0.43</v>
      </c>
      <c r="N877" s="176"/>
      <c r="O877" s="176"/>
      <c r="P877" s="179">
        <v>-774</v>
      </c>
    </row>
    <row r="878" spans="1:16" ht="19.5" customHeight="1">
      <c r="A878" s="171" t="s">
        <v>927</v>
      </c>
      <c r="B878" s="175">
        <v>46053</v>
      </c>
      <c r="C878" s="171" t="s">
        <v>115</v>
      </c>
      <c r="D878" s="171" t="s">
        <v>116</v>
      </c>
      <c r="E878" s="171" t="s">
        <v>38</v>
      </c>
      <c r="F878" s="171" t="s">
        <v>111</v>
      </c>
      <c r="G878" s="171" t="s">
        <v>112</v>
      </c>
      <c r="H878" s="176">
        <v>1</v>
      </c>
      <c r="I878" s="177">
        <v>1800</v>
      </c>
      <c r="J878" s="175">
        <v>46051</v>
      </c>
      <c r="K878" s="171" t="s">
        <v>113</v>
      </c>
      <c r="L878" s="171" t="s">
        <v>114</v>
      </c>
      <c r="M878" s="178">
        <v>0.43</v>
      </c>
      <c r="N878" s="176"/>
      <c r="O878" s="176"/>
      <c r="P878" s="179">
        <v>-11.27</v>
      </c>
    </row>
    <row r="879" spans="1:16" ht="19.5" customHeight="1">
      <c r="A879" s="171" t="s">
        <v>845</v>
      </c>
      <c r="B879" s="175">
        <v>46053</v>
      </c>
      <c r="C879" s="171" t="s">
        <v>308</v>
      </c>
      <c r="D879" s="171" t="s">
        <v>419</v>
      </c>
      <c r="E879" s="171" t="s">
        <v>38</v>
      </c>
      <c r="F879" s="171" t="s">
        <v>111</v>
      </c>
      <c r="G879" s="171" t="s">
        <v>112</v>
      </c>
      <c r="H879" s="176">
        <v>1</v>
      </c>
      <c r="I879" s="177">
        <v>-1670</v>
      </c>
      <c r="J879" s="175">
        <v>46049</v>
      </c>
      <c r="K879" s="171" t="s">
        <v>113</v>
      </c>
      <c r="L879" s="171" t="s">
        <v>114</v>
      </c>
      <c r="M879" s="178">
        <v>0</v>
      </c>
      <c r="N879" s="176"/>
      <c r="O879" s="176"/>
      <c r="P879" s="179">
        <v>-779.36</v>
      </c>
    </row>
    <row r="880" spans="1:16" ht="19.5" customHeight="1">
      <c r="A880" s="171" t="s">
        <v>845</v>
      </c>
      <c r="B880" s="175">
        <v>46053</v>
      </c>
      <c r="C880" s="171" t="s">
        <v>308</v>
      </c>
      <c r="D880" s="171" t="s">
        <v>129</v>
      </c>
      <c r="E880" s="171" t="s">
        <v>38</v>
      </c>
      <c r="F880" s="171" t="s">
        <v>111</v>
      </c>
      <c r="G880" s="171" t="s">
        <v>112</v>
      </c>
      <c r="H880" s="176">
        <v>1</v>
      </c>
      <c r="I880" s="177">
        <v>-1670</v>
      </c>
      <c r="J880" s="175">
        <v>46049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-7.79</v>
      </c>
    </row>
    <row r="881" spans="1:16" ht="19.5" customHeight="1">
      <c r="A881" s="171" t="s">
        <v>845</v>
      </c>
      <c r="B881" s="175">
        <v>46053</v>
      </c>
      <c r="C881" s="171" t="s">
        <v>308</v>
      </c>
      <c r="D881" s="171" t="s">
        <v>130</v>
      </c>
      <c r="E881" s="171" t="s">
        <v>38</v>
      </c>
      <c r="F881" s="171" t="s">
        <v>111</v>
      </c>
      <c r="G881" s="171" t="s">
        <v>112</v>
      </c>
      <c r="H881" s="176">
        <v>1</v>
      </c>
      <c r="I881" s="177">
        <v>-1670</v>
      </c>
      <c r="J881" s="175">
        <v>46049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-882.85</v>
      </c>
    </row>
    <row r="882" spans="1:16" ht="19.5" customHeight="1">
      <c r="A882" s="171" t="s">
        <v>845</v>
      </c>
      <c r="B882" s="175">
        <v>46053</v>
      </c>
      <c r="C882" s="171" t="s">
        <v>131</v>
      </c>
      <c r="D882" s="171" t="s">
        <v>420</v>
      </c>
      <c r="E882" s="171" t="s">
        <v>38</v>
      </c>
      <c r="F882" s="171" t="s">
        <v>111</v>
      </c>
      <c r="G882" s="171" t="s">
        <v>112</v>
      </c>
      <c r="H882" s="176">
        <v>1</v>
      </c>
      <c r="I882" s="177">
        <v>-1670</v>
      </c>
      <c r="J882" s="175">
        <v>46049</v>
      </c>
      <c r="K882" s="171" t="s">
        <v>113</v>
      </c>
      <c r="L882" s="171" t="s">
        <v>114</v>
      </c>
      <c r="M882" s="178">
        <v>0.43</v>
      </c>
      <c r="N882" s="176"/>
      <c r="O882" s="176"/>
      <c r="P882" s="179">
        <v>718.1</v>
      </c>
    </row>
    <row r="883" spans="1:16" ht="19.5" customHeight="1">
      <c r="A883" s="171" t="s">
        <v>788</v>
      </c>
      <c r="B883" s="175">
        <v>46053</v>
      </c>
      <c r="C883" s="171" t="s">
        <v>115</v>
      </c>
      <c r="D883" s="171" t="s">
        <v>135</v>
      </c>
      <c r="E883" s="171" t="s">
        <v>38</v>
      </c>
      <c r="F883" s="171" t="s">
        <v>111</v>
      </c>
      <c r="G883" s="171" t="s">
        <v>112</v>
      </c>
      <c r="H883" s="176">
        <v>1</v>
      </c>
      <c r="I883" s="177">
        <v>0</v>
      </c>
      <c r="J883" s="175">
        <v>46049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14.81</v>
      </c>
    </row>
    <row r="884" spans="1:16" ht="19.5" customHeight="1">
      <c r="A884" s="171" t="s">
        <v>928</v>
      </c>
      <c r="B884" s="175">
        <v>46053</v>
      </c>
      <c r="C884" s="171" t="s">
        <v>110</v>
      </c>
      <c r="D884" s="171" t="s">
        <v>24</v>
      </c>
      <c r="E884" s="171" t="s">
        <v>38</v>
      </c>
      <c r="F884" s="171" t="s">
        <v>111</v>
      </c>
      <c r="G884" s="171" t="s">
        <v>112</v>
      </c>
      <c r="H884" s="176">
        <v>1</v>
      </c>
      <c r="I884" s="177">
        <v>1800</v>
      </c>
      <c r="J884" s="175">
        <v>46052</v>
      </c>
      <c r="K884" s="171" t="s">
        <v>113</v>
      </c>
      <c r="L884" s="171" t="s">
        <v>114</v>
      </c>
      <c r="M884" s="178">
        <v>0.43</v>
      </c>
      <c r="N884" s="176"/>
      <c r="O884" s="176">
        <v>49</v>
      </c>
      <c r="P884" s="179">
        <v>-149.35</v>
      </c>
    </row>
    <row r="885" spans="1:16" ht="19.5" customHeight="1">
      <c r="A885" s="171" t="s">
        <v>928</v>
      </c>
      <c r="B885" s="175">
        <v>46053</v>
      </c>
      <c r="C885" s="171" t="s">
        <v>127</v>
      </c>
      <c r="D885" s="171" t="s">
        <v>128</v>
      </c>
      <c r="E885" s="171" t="s">
        <v>38</v>
      </c>
      <c r="F885" s="171" t="s">
        <v>111</v>
      </c>
      <c r="G885" s="171" t="s">
        <v>112</v>
      </c>
      <c r="H885" s="176">
        <v>1</v>
      </c>
      <c r="I885" s="177">
        <v>1800</v>
      </c>
      <c r="J885" s="175">
        <v>46052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785.17</v>
      </c>
    </row>
    <row r="886" spans="1:16" ht="19.5" customHeight="1">
      <c r="A886" s="171" t="s">
        <v>928</v>
      </c>
      <c r="B886" s="175">
        <v>46053</v>
      </c>
      <c r="C886" s="171" t="s">
        <v>127</v>
      </c>
      <c r="D886" s="171" t="s">
        <v>129</v>
      </c>
      <c r="E886" s="171" t="s">
        <v>38</v>
      </c>
      <c r="F886" s="171" t="s">
        <v>111</v>
      </c>
      <c r="G886" s="171" t="s">
        <v>112</v>
      </c>
      <c r="H886" s="176">
        <v>1</v>
      </c>
      <c r="I886" s="177">
        <v>1800</v>
      </c>
      <c r="J886" s="175">
        <v>46052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7.85</v>
      </c>
    </row>
    <row r="887" spans="1:16" ht="19.5" customHeight="1">
      <c r="A887" s="171" t="s">
        <v>928</v>
      </c>
      <c r="B887" s="175">
        <v>46053</v>
      </c>
      <c r="C887" s="171" t="s">
        <v>127</v>
      </c>
      <c r="D887" s="171" t="s">
        <v>130</v>
      </c>
      <c r="E887" s="171" t="s">
        <v>38</v>
      </c>
      <c r="F887" s="171" t="s">
        <v>111</v>
      </c>
      <c r="G887" s="171" t="s">
        <v>112</v>
      </c>
      <c r="H887" s="176">
        <v>1</v>
      </c>
      <c r="I887" s="177">
        <v>1800</v>
      </c>
      <c r="J887" s="175">
        <v>46052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1006.98</v>
      </c>
    </row>
    <row r="888" spans="1:16" ht="19.5" customHeight="1">
      <c r="A888" s="171" t="s">
        <v>928</v>
      </c>
      <c r="B888" s="175">
        <v>46053</v>
      </c>
      <c r="C888" s="171" t="s">
        <v>131</v>
      </c>
      <c r="D888" s="171" t="s">
        <v>132</v>
      </c>
      <c r="E888" s="171" t="s">
        <v>38</v>
      </c>
      <c r="F888" s="171" t="s">
        <v>111</v>
      </c>
      <c r="G888" s="171" t="s">
        <v>112</v>
      </c>
      <c r="H888" s="176">
        <v>1</v>
      </c>
      <c r="I888" s="177">
        <v>1800</v>
      </c>
      <c r="J888" s="175">
        <v>46052</v>
      </c>
      <c r="K888" s="171" t="s">
        <v>113</v>
      </c>
      <c r="L888" s="171" t="s">
        <v>114</v>
      </c>
      <c r="M888" s="178">
        <v>0.43</v>
      </c>
      <c r="N888" s="176"/>
      <c r="O888" s="176"/>
      <c r="P888" s="179">
        <v>-774</v>
      </c>
    </row>
    <row r="889" spans="1:16" ht="19.5" customHeight="1">
      <c r="A889" s="171" t="s">
        <v>928</v>
      </c>
      <c r="B889" s="175">
        <v>46053</v>
      </c>
      <c r="C889" s="171" t="s">
        <v>115</v>
      </c>
      <c r="D889" s="171" t="s">
        <v>116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1800</v>
      </c>
      <c r="J889" s="175">
        <v>46052</v>
      </c>
      <c r="K889" s="171" t="s">
        <v>113</v>
      </c>
      <c r="L889" s="171" t="s">
        <v>114</v>
      </c>
      <c r="M889" s="178">
        <v>0.43</v>
      </c>
      <c r="N889" s="176"/>
      <c r="O889" s="176"/>
      <c r="P889" s="179">
        <v>-9.23</v>
      </c>
    </row>
    <row r="890" spans="1:16" ht="19.5" customHeight="1">
      <c r="A890" s="171" t="s">
        <v>929</v>
      </c>
      <c r="B890" s="175">
        <v>46053</v>
      </c>
      <c r="C890" s="171" t="s">
        <v>110</v>
      </c>
      <c r="D890" s="171" t="s">
        <v>24</v>
      </c>
      <c r="E890" s="171" t="s">
        <v>77</v>
      </c>
      <c r="F890" s="171" t="s">
        <v>194</v>
      </c>
      <c r="G890" s="171" t="s">
        <v>177</v>
      </c>
      <c r="H890" s="176">
        <v>1</v>
      </c>
      <c r="I890" s="177">
        <v>4178</v>
      </c>
      <c r="J890" s="175">
        <v>46046</v>
      </c>
      <c r="K890" s="171" t="s">
        <v>113</v>
      </c>
      <c r="L890" s="171" t="s">
        <v>114</v>
      </c>
      <c r="M890" s="178">
        <v>0.43</v>
      </c>
      <c r="N890" s="176"/>
      <c r="O890" s="176">
        <v>50</v>
      </c>
      <c r="P890" s="179">
        <v>-258.97000000000003</v>
      </c>
    </row>
    <row r="891" spans="1:16" ht="19.5" customHeight="1">
      <c r="A891" s="171" t="s">
        <v>929</v>
      </c>
      <c r="B891" s="175">
        <v>46053</v>
      </c>
      <c r="C891" s="171" t="s">
        <v>127</v>
      </c>
      <c r="D891" s="171" t="s">
        <v>128</v>
      </c>
      <c r="E891" s="171" t="s">
        <v>77</v>
      </c>
      <c r="F891" s="171" t="s">
        <v>194</v>
      </c>
      <c r="G891" s="171" t="s">
        <v>177</v>
      </c>
      <c r="H891" s="176">
        <v>1</v>
      </c>
      <c r="I891" s="177">
        <v>4178</v>
      </c>
      <c r="J891" s="175">
        <v>46046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1618.1</v>
      </c>
    </row>
    <row r="892" spans="1:16" ht="19.5" customHeight="1">
      <c r="A892" s="171" t="s">
        <v>929</v>
      </c>
      <c r="B892" s="175">
        <v>46053</v>
      </c>
      <c r="C892" s="171" t="s">
        <v>127</v>
      </c>
      <c r="D892" s="171" t="s">
        <v>129</v>
      </c>
      <c r="E892" s="171" t="s">
        <v>77</v>
      </c>
      <c r="F892" s="171" t="s">
        <v>194</v>
      </c>
      <c r="G892" s="171" t="s">
        <v>177</v>
      </c>
      <c r="H892" s="176">
        <v>1</v>
      </c>
      <c r="I892" s="177">
        <v>4178</v>
      </c>
      <c r="J892" s="175">
        <v>46046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16.18</v>
      </c>
    </row>
    <row r="893" spans="1:16" ht="19.5" customHeight="1">
      <c r="A893" s="171" t="s">
        <v>929</v>
      </c>
      <c r="B893" s="175">
        <v>46053</v>
      </c>
      <c r="C893" s="171" t="s">
        <v>127</v>
      </c>
      <c r="D893" s="171" t="s">
        <v>130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46046</v>
      </c>
      <c r="K893" s="171" t="s">
        <v>113</v>
      </c>
      <c r="L893" s="171" t="s">
        <v>114</v>
      </c>
      <c r="M893" s="178">
        <v>0</v>
      </c>
      <c r="N893" s="176"/>
      <c r="O893" s="176"/>
      <c r="P893" s="179">
        <v>2543.7199999999998</v>
      </c>
    </row>
    <row r="894" spans="1:16" ht="19.5" customHeight="1">
      <c r="A894" s="171" t="s">
        <v>929</v>
      </c>
      <c r="B894" s="175">
        <v>46053</v>
      </c>
      <c r="C894" s="171" t="s">
        <v>131</v>
      </c>
      <c r="D894" s="171" t="s">
        <v>132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46046</v>
      </c>
      <c r="K894" s="171" t="s">
        <v>113</v>
      </c>
      <c r="L894" s="171" t="s">
        <v>114</v>
      </c>
      <c r="M894" s="178">
        <v>0.43</v>
      </c>
      <c r="N894" s="176"/>
      <c r="O894" s="176"/>
      <c r="P894" s="179">
        <v>-1796.54</v>
      </c>
    </row>
    <row r="895" spans="1:16" ht="19.5" customHeight="1">
      <c r="A895" s="171" t="s">
        <v>929</v>
      </c>
      <c r="B895" s="175">
        <v>46053</v>
      </c>
      <c r="C895" s="171" t="s">
        <v>115</v>
      </c>
      <c r="D895" s="171" t="s">
        <v>116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46046</v>
      </c>
      <c r="K895" s="171" t="s">
        <v>113</v>
      </c>
      <c r="L895" s="171" t="s">
        <v>114</v>
      </c>
      <c r="M895" s="178">
        <v>0.43</v>
      </c>
      <c r="N895" s="176"/>
      <c r="O895" s="176"/>
      <c r="P895" s="179">
        <v>-16.7</v>
      </c>
    </row>
    <row r="896" spans="1:16" ht="19.5" customHeight="1">
      <c r="A896" s="171" t="s">
        <v>930</v>
      </c>
      <c r="B896" s="175">
        <v>46053</v>
      </c>
      <c r="C896" s="171" t="s">
        <v>110</v>
      </c>
      <c r="D896" s="171" t="s">
        <v>24</v>
      </c>
      <c r="E896" s="171" t="s">
        <v>44</v>
      </c>
      <c r="F896" s="171" t="s">
        <v>213</v>
      </c>
      <c r="G896" s="171" t="s">
        <v>214</v>
      </c>
      <c r="H896" s="176">
        <v>1</v>
      </c>
      <c r="I896" s="177">
        <v>1778</v>
      </c>
      <c r="J896" s="175">
        <v>46051</v>
      </c>
      <c r="K896" s="171" t="s">
        <v>113</v>
      </c>
      <c r="L896" s="171" t="s">
        <v>114</v>
      </c>
      <c r="M896" s="178">
        <v>0.43</v>
      </c>
      <c r="N896" s="176"/>
      <c r="O896" s="176">
        <v>48</v>
      </c>
      <c r="P896" s="179">
        <v>-145.81</v>
      </c>
    </row>
    <row r="897" spans="1:16" ht="19.5" customHeight="1">
      <c r="A897" s="171" t="s">
        <v>930</v>
      </c>
      <c r="B897" s="175">
        <v>46053</v>
      </c>
      <c r="C897" s="171" t="s">
        <v>127</v>
      </c>
      <c r="D897" s="171" t="s">
        <v>128</v>
      </c>
      <c r="E897" s="171" t="s">
        <v>44</v>
      </c>
      <c r="F897" s="171" t="s">
        <v>213</v>
      </c>
      <c r="G897" s="171" t="s">
        <v>214</v>
      </c>
      <c r="H897" s="176">
        <v>1</v>
      </c>
      <c r="I897" s="177">
        <v>1778</v>
      </c>
      <c r="J897" s="175">
        <v>46051</v>
      </c>
      <c r="K897" s="171" t="s">
        <v>113</v>
      </c>
      <c r="L897" s="171" t="s">
        <v>114</v>
      </c>
      <c r="M897" s="178">
        <v>0</v>
      </c>
      <c r="N897" s="176"/>
      <c r="O897" s="176"/>
      <c r="P897" s="179">
        <v>662.88</v>
      </c>
    </row>
    <row r="898" spans="1:16" ht="19.5" customHeight="1">
      <c r="A898" s="171" t="s">
        <v>930</v>
      </c>
      <c r="B898" s="175">
        <v>46053</v>
      </c>
      <c r="C898" s="171" t="s">
        <v>127</v>
      </c>
      <c r="D898" s="171" t="s">
        <v>129</v>
      </c>
      <c r="E898" s="171" t="s">
        <v>44</v>
      </c>
      <c r="F898" s="171" t="s">
        <v>213</v>
      </c>
      <c r="G898" s="171" t="s">
        <v>214</v>
      </c>
      <c r="H898" s="176">
        <v>1</v>
      </c>
      <c r="I898" s="177">
        <v>1778</v>
      </c>
      <c r="J898" s="175">
        <v>46051</v>
      </c>
      <c r="K898" s="171" t="s">
        <v>113</v>
      </c>
      <c r="L898" s="171" t="s">
        <v>114</v>
      </c>
      <c r="M898" s="178">
        <v>0</v>
      </c>
      <c r="N898" s="176"/>
      <c r="O898" s="176"/>
      <c r="P898" s="179">
        <v>6.63</v>
      </c>
    </row>
    <row r="899" spans="1:16" ht="19.5" customHeight="1">
      <c r="A899" s="171" t="s">
        <v>930</v>
      </c>
      <c r="B899" s="175">
        <v>46053</v>
      </c>
      <c r="C899" s="171" t="s">
        <v>127</v>
      </c>
      <c r="D899" s="171" t="s">
        <v>130</v>
      </c>
      <c r="E899" s="171" t="s">
        <v>44</v>
      </c>
      <c r="F899" s="171" t="s">
        <v>213</v>
      </c>
      <c r="G899" s="171" t="s">
        <v>214</v>
      </c>
      <c r="H899" s="176">
        <v>1</v>
      </c>
      <c r="I899" s="177">
        <v>1778</v>
      </c>
      <c r="J899" s="175">
        <v>46051</v>
      </c>
      <c r="K899" s="171" t="s">
        <v>113</v>
      </c>
      <c r="L899" s="171" t="s">
        <v>114</v>
      </c>
      <c r="M899" s="178">
        <v>0</v>
      </c>
      <c r="N899" s="176"/>
      <c r="O899" s="176"/>
      <c r="P899" s="179">
        <v>1108.49</v>
      </c>
    </row>
    <row r="900" spans="1:16" ht="19.5" customHeight="1">
      <c r="A900" s="171" t="s">
        <v>930</v>
      </c>
      <c r="B900" s="175">
        <v>46053</v>
      </c>
      <c r="C900" s="171" t="s">
        <v>131</v>
      </c>
      <c r="D900" s="171" t="s">
        <v>132</v>
      </c>
      <c r="E900" s="171" t="s">
        <v>44</v>
      </c>
      <c r="F900" s="171" t="s">
        <v>213</v>
      </c>
      <c r="G900" s="171" t="s">
        <v>214</v>
      </c>
      <c r="H900" s="176">
        <v>1</v>
      </c>
      <c r="I900" s="177">
        <v>1778</v>
      </c>
      <c r="J900" s="175">
        <v>46051</v>
      </c>
      <c r="K900" s="171" t="s">
        <v>113</v>
      </c>
      <c r="L900" s="171" t="s">
        <v>114</v>
      </c>
      <c r="M900" s="178">
        <v>0.43</v>
      </c>
      <c r="N900" s="176"/>
      <c r="O900" s="176"/>
      <c r="P900" s="179">
        <v>-764.54</v>
      </c>
    </row>
    <row r="901" spans="1:16" ht="19.5" customHeight="1">
      <c r="A901" s="171" t="s">
        <v>930</v>
      </c>
      <c r="B901" s="175">
        <v>46053</v>
      </c>
      <c r="C901" s="171" t="s">
        <v>115</v>
      </c>
      <c r="D901" s="171" t="s">
        <v>116</v>
      </c>
      <c r="E901" s="171" t="s">
        <v>44</v>
      </c>
      <c r="F901" s="171" t="s">
        <v>213</v>
      </c>
      <c r="G901" s="171" t="s">
        <v>214</v>
      </c>
      <c r="H901" s="176">
        <v>1</v>
      </c>
      <c r="I901" s="177">
        <v>1778</v>
      </c>
      <c r="J901" s="175">
        <v>46051</v>
      </c>
      <c r="K901" s="171" t="s">
        <v>113</v>
      </c>
      <c r="L901" s="171" t="s">
        <v>114</v>
      </c>
      <c r="M901" s="178">
        <v>0.43</v>
      </c>
      <c r="N901" s="176"/>
      <c r="O901" s="176"/>
      <c r="P901" s="179">
        <v>-9.4</v>
      </c>
    </row>
    <row r="902" spans="1:16" ht="19.5" customHeight="1">
      <c r="A902" s="171" t="s">
        <v>931</v>
      </c>
      <c r="B902" s="175">
        <v>46053</v>
      </c>
      <c r="C902" s="171" t="s">
        <v>110</v>
      </c>
      <c r="D902" s="171" t="s">
        <v>24</v>
      </c>
      <c r="E902" s="171" t="s">
        <v>48</v>
      </c>
      <c r="F902" s="171" t="s">
        <v>198</v>
      </c>
      <c r="G902" s="171" t="s">
        <v>112</v>
      </c>
      <c r="H902" s="176">
        <v>1</v>
      </c>
      <c r="I902" s="177">
        <v>1359</v>
      </c>
      <c r="J902" s="175">
        <v>46047</v>
      </c>
      <c r="K902" s="171" t="s">
        <v>113</v>
      </c>
      <c r="L902" s="171" t="s">
        <v>114</v>
      </c>
      <c r="M902" s="178">
        <v>0.43</v>
      </c>
      <c r="N902" s="176"/>
      <c r="O902" s="176">
        <v>52</v>
      </c>
      <c r="P902" s="179">
        <v>-135.56</v>
      </c>
    </row>
    <row r="903" spans="1:16" ht="19.5" customHeight="1">
      <c r="A903" s="171" t="s">
        <v>931</v>
      </c>
      <c r="B903" s="175">
        <v>46053</v>
      </c>
      <c r="C903" s="171" t="s">
        <v>127</v>
      </c>
      <c r="D903" s="171" t="s">
        <v>128</v>
      </c>
      <c r="E903" s="171" t="s">
        <v>48</v>
      </c>
      <c r="F903" s="171" t="s">
        <v>198</v>
      </c>
      <c r="G903" s="171" t="s">
        <v>112</v>
      </c>
      <c r="H903" s="176">
        <v>1</v>
      </c>
      <c r="I903" s="177">
        <v>1359</v>
      </c>
      <c r="J903" s="175">
        <v>46047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631.78</v>
      </c>
    </row>
    <row r="904" spans="1:16" ht="19.5" customHeight="1">
      <c r="A904" s="171" t="s">
        <v>931</v>
      </c>
      <c r="B904" s="175">
        <v>46053</v>
      </c>
      <c r="C904" s="171" t="s">
        <v>127</v>
      </c>
      <c r="D904" s="171" t="s">
        <v>129</v>
      </c>
      <c r="E904" s="171" t="s">
        <v>48</v>
      </c>
      <c r="F904" s="171" t="s">
        <v>198</v>
      </c>
      <c r="G904" s="171" t="s">
        <v>112</v>
      </c>
      <c r="H904" s="176">
        <v>1</v>
      </c>
      <c r="I904" s="177">
        <v>1359</v>
      </c>
      <c r="J904" s="175">
        <v>46047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6.32</v>
      </c>
    </row>
    <row r="905" spans="1:16" ht="19.5" customHeight="1">
      <c r="A905" s="171" t="s">
        <v>931</v>
      </c>
      <c r="B905" s="175">
        <v>46053</v>
      </c>
      <c r="C905" s="171" t="s">
        <v>127</v>
      </c>
      <c r="D905" s="171" t="s">
        <v>130</v>
      </c>
      <c r="E905" s="171" t="s">
        <v>48</v>
      </c>
      <c r="F905" s="171" t="s">
        <v>198</v>
      </c>
      <c r="G905" s="171" t="s">
        <v>112</v>
      </c>
      <c r="H905" s="176">
        <v>1</v>
      </c>
      <c r="I905" s="177">
        <v>1359</v>
      </c>
      <c r="J905" s="175">
        <v>46047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720.9</v>
      </c>
    </row>
    <row r="906" spans="1:16" ht="19.5" customHeight="1">
      <c r="A906" s="171" t="s">
        <v>931</v>
      </c>
      <c r="B906" s="175">
        <v>46053</v>
      </c>
      <c r="C906" s="171" t="s">
        <v>131</v>
      </c>
      <c r="D906" s="171" t="s">
        <v>132</v>
      </c>
      <c r="E906" s="171" t="s">
        <v>48</v>
      </c>
      <c r="F906" s="171" t="s">
        <v>198</v>
      </c>
      <c r="G906" s="171" t="s">
        <v>112</v>
      </c>
      <c r="H906" s="176">
        <v>1</v>
      </c>
      <c r="I906" s="177">
        <v>1359</v>
      </c>
      <c r="J906" s="175">
        <v>46047</v>
      </c>
      <c r="K906" s="171" t="s">
        <v>113</v>
      </c>
      <c r="L906" s="171" t="s">
        <v>114</v>
      </c>
      <c r="M906" s="178">
        <v>0.43</v>
      </c>
      <c r="N906" s="176"/>
      <c r="O906" s="176"/>
      <c r="P906" s="179">
        <v>-584.37</v>
      </c>
    </row>
    <row r="907" spans="1:16" ht="19.5" customHeight="1">
      <c r="A907" s="171" t="s">
        <v>931</v>
      </c>
      <c r="B907" s="175">
        <v>46053</v>
      </c>
      <c r="C907" s="171" t="s">
        <v>115</v>
      </c>
      <c r="D907" s="171" t="s">
        <v>116</v>
      </c>
      <c r="E907" s="171" t="s">
        <v>48</v>
      </c>
      <c r="F907" s="171" t="s">
        <v>198</v>
      </c>
      <c r="G907" s="171" t="s">
        <v>112</v>
      </c>
      <c r="H907" s="176">
        <v>1</v>
      </c>
      <c r="I907" s="177">
        <v>1359</v>
      </c>
      <c r="J907" s="175">
        <v>46047</v>
      </c>
      <c r="K907" s="171" t="s">
        <v>113</v>
      </c>
      <c r="L907" s="171" t="s">
        <v>114</v>
      </c>
      <c r="M907" s="178">
        <v>0.43</v>
      </c>
      <c r="N907" s="176"/>
      <c r="O907" s="176"/>
      <c r="P907" s="179">
        <v>-25</v>
      </c>
    </row>
    <row r="908" spans="1:16" ht="19.5" customHeight="1">
      <c r="A908" s="171" t="s">
        <v>930</v>
      </c>
      <c r="B908" s="175">
        <v>46053</v>
      </c>
      <c r="C908" s="171" t="s">
        <v>115</v>
      </c>
      <c r="D908" s="171" t="s">
        <v>135</v>
      </c>
      <c r="E908" s="171" t="s">
        <v>44</v>
      </c>
      <c r="F908" s="171" t="s">
        <v>213</v>
      </c>
      <c r="G908" s="171" t="s">
        <v>214</v>
      </c>
      <c r="H908" s="176">
        <v>1</v>
      </c>
      <c r="I908" s="177">
        <v>0</v>
      </c>
      <c r="J908" s="175">
        <v>46051</v>
      </c>
      <c r="K908" s="171" t="s">
        <v>125</v>
      </c>
      <c r="L908" s="171" t="s">
        <v>125</v>
      </c>
      <c r="M908" s="178">
        <v>0</v>
      </c>
      <c r="N908" s="176"/>
      <c r="O908" s="176"/>
      <c r="P908" s="179">
        <v>-12.59</v>
      </c>
    </row>
    <row r="909" spans="1:16" ht="19.5" customHeight="1">
      <c r="A909" s="171" t="s">
        <v>931</v>
      </c>
      <c r="B909" s="175">
        <v>46053</v>
      </c>
      <c r="C909" s="171" t="s">
        <v>115</v>
      </c>
      <c r="D909" s="171" t="s">
        <v>135</v>
      </c>
      <c r="E909" s="171" t="s">
        <v>48</v>
      </c>
      <c r="F909" s="171" t="s">
        <v>198</v>
      </c>
      <c r="G909" s="171" t="s">
        <v>112</v>
      </c>
      <c r="H909" s="176">
        <v>1</v>
      </c>
      <c r="I909" s="177">
        <v>0</v>
      </c>
      <c r="J909" s="175">
        <v>46047</v>
      </c>
      <c r="K909" s="171" t="s">
        <v>125</v>
      </c>
      <c r="L909" s="171" t="s">
        <v>125</v>
      </c>
      <c r="M909" s="178">
        <v>0</v>
      </c>
      <c r="N909" s="176"/>
      <c r="O909" s="176"/>
      <c r="P909" s="179">
        <v>-12</v>
      </c>
    </row>
    <row r="910" spans="1:16" ht="19.5" customHeight="1">
      <c r="A910" s="171" t="s">
        <v>932</v>
      </c>
      <c r="B910" s="175">
        <v>46053</v>
      </c>
      <c r="C910" s="171" t="s">
        <v>110</v>
      </c>
      <c r="D910" s="171" t="s">
        <v>24</v>
      </c>
      <c r="E910" s="171" t="s">
        <v>42</v>
      </c>
      <c r="F910" s="171" t="s">
        <v>248</v>
      </c>
      <c r="G910" s="171" t="s">
        <v>112</v>
      </c>
      <c r="H910" s="176">
        <v>1</v>
      </c>
      <c r="I910" s="177">
        <v>1800</v>
      </c>
      <c r="J910" s="175">
        <v>46052</v>
      </c>
      <c r="K910" s="171" t="s">
        <v>113</v>
      </c>
      <c r="L910" s="171" t="s">
        <v>114</v>
      </c>
      <c r="M910" s="178">
        <v>0.43</v>
      </c>
      <c r="N910" s="176"/>
      <c r="O910" s="176">
        <v>49</v>
      </c>
      <c r="P910" s="179">
        <v>-149.35</v>
      </c>
    </row>
    <row r="911" spans="1:16" ht="19.5" customHeight="1">
      <c r="A911" s="171" t="s">
        <v>932</v>
      </c>
      <c r="B911" s="175">
        <v>46053</v>
      </c>
      <c r="C911" s="171" t="s">
        <v>127</v>
      </c>
      <c r="D911" s="171" t="s">
        <v>128</v>
      </c>
      <c r="E911" s="171" t="s">
        <v>42</v>
      </c>
      <c r="F911" s="171" t="s">
        <v>248</v>
      </c>
      <c r="G911" s="171" t="s">
        <v>112</v>
      </c>
      <c r="H911" s="176">
        <v>1</v>
      </c>
      <c r="I911" s="177">
        <v>1800</v>
      </c>
      <c r="J911" s="175">
        <v>46052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846.59</v>
      </c>
    </row>
    <row r="912" spans="1:16" ht="19.5" customHeight="1">
      <c r="A912" s="171" t="s">
        <v>932</v>
      </c>
      <c r="B912" s="175">
        <v>46053</v>
      </c>
      <c r="C912" s="171" t="s">
        <v>127</v>
      </c>
      <c r="D912" s="171" t="s">
        <v>129</v>
      </c>
      <c r="E912" s="171" t="s">
        <v>42</v>
      </c>
      <c r="F912" s="171" t="s">
        <v>248</v>
      </c>
      <c r="G912" s="171" t="s">
        <v>112</v>
      </c>
      <c r="H912" s="176">
        <v>1</v>
      </c>
      <c r="I912" s="177">
        <v>1800</v>
      </c>
      <c r="J912" s="175">
        <v>46052</v>
      </c>
      <c r="K912" s="171" t="s">
        <v>113</v>
      </c>
      <c r="L912" s="171" t="s">
        <v>114</v>
      </c>
      <c r="M912" s="178">
        <v>0</v>
      </c>
      <c r="N912" s="176"/>
      <c r="O912" s="176"/>
      <c r="P912" s="179">
        <v>8.4700000000000006</v>
      </c>
    </row>
    <row r="913" spans="1:16" ht="19.5" customHeight="1">
      <c r="A913" s="171" t="s">
        <v>932</v>
      </c>
      <c r="B913" s="175">
        <v>46053</v>
      </c>
      <c r="C913" s="171" t="s">
        <v>127</v>
      </c>
      <c r="D913" s="171" t="s">
        <v>130</v>
      </c>
      <c r="E913" s="171" t="s">
        <v>42</v>
      </c>
      <c r="F913" s="171" t="s">
        <v>248</v>
      </c>
      <c r="G913" s="171" t="s">
        <v>112</v>
      </c>
      <c r="H913" s="176">
        <v>1</v>
      </c>
      <c r="I913" s="177">
        <v>1800</v>
      </c>
      <c r="J913" s="175">
        <v>46052</v>
      </c>
      <c r="K913" s="171" t="s">
        <v>113</v>
      </c>
      <c r="L913" s="171" t="s">
        <v>114</v>
      </c>
      <c r="M913" s="178">
        <v>0</v>
      </c>
      <c r="N913" s="176"/>
      <c r="O913" s="176"/>
      <c r="P913" s="179">
        <v>944.94</v>
      </c>
    </row>
    <row r="914" spans="1:16" ht="19.5" customHeight="1">
      <c r="A914" s="171" t="s">
        <v>932</v>
      </c>
      <c r="B914" s="175">
        <v>46053</v>
      </c>
      <c r="C914" s="171" t="s">
        <v>131</v>
      </c>
      <c r="D914" s="171" t="s">
        <v>132</v>
      </c>
      <c r="E914" s="171" t="s">
        <v>42</v>
      </c>
      <c r="F914" s="171" t="s">
        <v>248</v>
      </c>
      <c r="G914" s="171" t="s">
        <v>112</v>
      </c>
      <c r="H914" s="176">
        <v>1</v>
      </c>
      <c r="I914" s="177">
        <v>1800</v>
      </c>
      <c r="J914" s="175">
        <v>46052</v>
      </c>
      <c r="K914" s="171" t="s">
        <v>113</v>
      </c>
      <c r="L914" s="171" t="s">
        <v>114</v>
      </c>
      <c r="M914" s="178">
        <v>0.43</v>
      </c>
      <c r="N914" s="176"/>
      <c r="O914" s="176"/>
      <c r="P914" s="179">
        <v>-774</v>
      </c>
    </row>
    <row r="915" spans="1:16" ht="19.5" customHeight="1">
      <c r="A915" s="171" t="s">
        <v>932</v>
      </c>
      <c r="B915" s="175">
        <v>46053</v>
      </c>
      <c r="C915" s="171" t="s">
        <v>115</v>
      </c>
      <c r="D915" s="171" t="s">
        <v>116</v>
      </c>
      <c r="E915" s="171" t="s">
        <v>42</v>
      </c>
      <c r="F915" s="171" t="s">
        <v>248</v>
      </c>
      <c r="G915" s="171" t="s">
        <v>112</v>
      </c>
      <c r="H915" s="176">
        <v>1</v>
      </c>
      <c r="I915" s="177">
        <v>1800</v>
      </c>
      <c r="J915" s="175">
        <v>46052</v>
      </c>
      <c r="K915" s="171" t="s">
        <v>113</v>
      </c>
      <c r="L915" s="171" t="s">
        <v>114</v>
      </c>
      <c r="M915" s="178">
        <v>0.43</v>
      </c>
      <c r="N915" s="176"/>
      <c r="O915" s="176"/>
      <c r="P915" s="179">
        <v>-12.54</v>
      </c>
    </row>
    <row r="916" spans="1:16" ht="19.5" customHeight="1">
      <c r="A916" s="171" t="s">
        <v>864</v>
      </c>
      <c r="B916" s="175">
        <v>46053</v>
      </c>
      <c r="C916" s="171" t="s">
        <v>308</v>
      </c>
      <c r="D916" s="171" t="s">
        <v>419</v>
      </c>
      <c r="E916" s="171" t="s">
        <v>44</v>
      </c>
      <c r="F916" s="171" t="s">
        <v>213</v>
      </c>
      <c r="G916" s="171" t="s">
        <v>214</v>
      </c>
      <c r="H916" s="176">
        <v>1</v>
      </c>
      <c r="I916" s="177">
        <v>-1778</v>
      </c>
      <c r="J916" s="175">
        <v>46048</v>
      </c>
      <c r="K916" s="171" t="s">
        <v>113</v>
      </c>
      <c r="L916" s="171" t="s">
        <v>114</v>
      </c>
      <c r="M916" s="178">
        <v>0</v>
      </c>
      <c r="N916" s="176"/>
      <c r="O916" s="176"/>
      <c r="P916" s="179">
        <v>-694.29</v>
      </c>
    </row>
    <row r="917" spans="1:16" ht="19.5" customHeight="1">
      <c r="A917" s="171" t="s">
        <v>864</v>
      </c>
      <c r="B917" s="175">
        <v>46053</v>
      </c>
      <c r="C917" s="171" t="s">
        <v>308</v>
      </c>
      <c r="D917" s="171" t="s">
        <v>129</v>
      </c>
      <c r="E917" s="171" t="s">
        <v>44</v>
      </c>
      <c r="F917" s="171" t="s">
        <v>213</v>
      </c>
      <c r="G917" s="171" t="s">
        <v>214</v>
      </c>
      <c r="H917" s="176">
        <v>1</v>
      </c>
      <c r="I917" s="177">
        <v>-1778</v>
      </c>
      <c r="J917" s="175">
        <v>46048</v>
      </c>
      <c r="K917" s="171" t="s">
        <v>113</v>
      </c>
      <c r="L917" s="171" t="s">
        <v>114</v>
      </c>
      <c r="M917" s="178">
        <v>0</v>
      </c>
      <c r="N917" s="176"/>
      <c r="O917" s="176"/>
      <c r="P917" s="179">
        <v>-6.94</v>
      </c>
    </row>
    <row r="918" spans="1:16" ht="19.5" customHeight="1">
      <c r="A918" s="171" t="s">
        <v>864</v>
      </c>
      <c r="B918" s="175">
        <v>46053</v>
      </c>
      <c r="C918" s="171" t="s">
        <v>308</v>
      </c>
      <c r="D918" s="171" t="s">
        <v>130</v>
      </c>
      <c r="E918" s="171" t="s">
        <v>44</v>
      </c>
      <c r="F918" s="171" t="s">
        <v>213</v>
      </c>
      <c r="G918" s="171" t="s">
        <v>214</v>
      </c>
      <c r="H918" s="176">
        <v>1</v>
      </c>
      <c r="I918" s="177">
        <v>-1778</v>
      </c>
      <c r="J918" s="175">
        <v>46048</v>
      </c>
      <c r="K918" s="171" t="s">
        <v>113</v>
      </c>
      <c r="L918" s="171" t="s">
        <v>114</v>
      </c>
      <c r="M918" s="178">
        <v>0</v>
      </c>
      <c r="N918" s="176"/>
      <c r="O918" s="176"/>
      <c r="P918" s="179">
        <v>-1076.77</v>
      </c>
    </row>
    <row r="919" spans="1:16" ht="19.5" customHeight="1">
      <c r="A919" s="171" t="s">
        <v>864</v>
      </c>
      <c r="B919" s="175">
        <v>46053</v>
      </c>
      <c r="C919" s="171" t="s">
        <v>131</v>
      </c>
      <c r="D919" s="171" t="s">
        <v>420</v>
      </c>
      <c r="E919" s="171" t="s">
        <v>44</v>
      </c>
      <c r="F919" s="171" t="s">
        <v>213</v>
      </c>
      <c r="G919" s="171" t="s">
        <v>214</v>
      </c>
      <c r="H919" s="176">
        <v>1</v>
      </c>
      <c r="I919" s="177">
        <v>-1778</v>
      </c>
      <c r="J919" s="175">
        <v>46048</v>
      </c>
      <c r="K919" s="171" t="s">
        <v>113</v>
      </c>
      <c r="L919" s="171" t="s">
        <v>114</v>
      </c>
      <c r="M919" s="178">
        <v>0.43</v>
      </c>
      <c r="N919" s="176"/>
      <c r="O919" s="176"/>
      <c r="P919" s="179">
        <v>764.54</v>
      </c>
    </row>
    <row r="920" spans="1:16" ht="19.5" customHeight="1">
      <c r="A920" s="171" t="s">
        <v>774</v>
      </c>
      <c r="B920" s="175">
        <v>46053</v>
      </c>
      <c r="C920" s="171" t="s">
        <v>115</v>
      </c>
      <c r="D920" s="171" t="s">
        <v>135</v>
      </c>
      <c r="E920" s="171" t="s">
        <v>44</v>
      </c>
      <c r="F920" s="171" t="s">
        <v>213</v>
      </c>
      <c r="G920" s="171" t="s">
        <v>214</v>
      </c>
      <c r="H920" s="176">
        <v>1</v>
      </c>
      <c r="I920" s="177">
        <v>0</v>
      </c>
      <c r="J920" s="175">
        <v>46048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13.19</v>
      </c>
    </row>
    <row r="921" spans="1:16" ht="19.5" customHeight="1">
      <c r="A921" s="171" t="s">
        <v>933</v>
      </c>
      <c r="B921" s="175">
        <v>46053</v>
      </c>
      <c r="C921" s="171" t="s">
        <v>110</v>
      </c>
      <c r="D921" s="171" t="s">
        <v>24</v>
      </c>
      <c r="E921" s="171" t="s">
        <v>77</v>
      </c>
      <c r="F921" s="171" t="s">
        <v>194</v>
      </c>
      <c r="G921" s="171" t="s">
        <v>177</v>
      </c>
      <c r="H921" s="176">
        <v>1</v>
      </c>
      <c r="I921" s="177">
        <v>5412</v>
      </c>
      <c r="J921" s="175">
        <v>46052</v>
      </c>
      <c r="K921" s="171" t="s">
        <v>113</v>
      </c>
      <c r="L921" s="171" t="s">
        <v>114</v>
      </c>
      <c r="M921" s="178">
        <v>0.43</v>
      </c>
      <c r="N921" s="176"/>
      <c r="O921" s="176">
        <v>49</v>
      </c>
      <c r="P921" s="179">
        <v>-302.60000000000002</v>
      </c>
    </row>
    <row r="922" spans="1:16" ht="19.5" customHeight="1">
      <c r="A922" s="171" t="s">
        <v>933</v>
      </c>
      <c r="B922" s="175">
        <v>46053</v>
      </c>
      <c r="C922" s="171" t="s">
        <v>127</v>
      </c>
      <c r="D922" s="171" t="s">
        <v>128</v>
      </c>
      <c r="E922" s="171" t="s">
        <v>77</v>
      </c>
      <c r="F922" s="171" t="s">
        <v>194</v>
      </c>
      <c r="G922" s="171" t="s">
        <v>177</v>
      </c>
      <c r="H922" s="176">
        <v>1</v>
      </c>
      <c r="I922" s="177">
        <v>5412</v>
      </c>
      <c r="J922" s="175">
        <v>46052</v>
      </c>
      <c r="K922" s="171" t="s">
        <v>113</v>
      </c>
      <c r="L922" s="171" t="s">
        <v>114</v>
      </c>
      <c r="M922" s="178">
        <v>0</v>
      </c>
      <c r="N922" s="176"/>
      <c r="O922" s="176"/>
      <c r="P922" s="179">
        <v>2052.13</v>
      </c>
    </row>
    <row r="923" spans="1:16" ht="19.5" customHeight="1">
      <c r="A923" s="171" t="s">
        <v>933</v>
      </c>
      <c r="B923" s="175">
        <v>46053</v>
      </c>
      <c r="C923" s="171" t="s">
        <v>127</v>
      </c>
      <c r="D923" s="171" t="s">
        <v>129</v>
      </c>
      <c r="E923" s="171" t="s">
        <v>77</v>
      </c>
      <c r="F923" s="171" t="s">
        <v>194</v>
      </c>
      <c r="G923" s="171" t="s">
        <v>177</v>
      </c>
      <c r="H923" s="176">
        <v>1</v>
      </c>
      <c r="I923" s="177">
        <v>5412</v>
      </c>
      <c r="J923" s="175">
        <v>46052</v>
      </c>
      <c r="K923" s="171" t="s">
        <v>113</v>
      </c>
      <c r="L923" s="171" t="s">
        <v>114</v>
      </c>
      <c r="M923" s="178">
        <v>0</v>
      </c>
      <c r="N923" s="176"/>
      <c r="O923" s="176"/>
      <c r="P923" s="179">
        <v>0</v>
      </c>
    </row>
    <row r="924" spans="1:16" ht="19.5" customHeight="1">
      <c r="A924" s="171" t="s">
        <v>933</v>
      </c>
      <c r="B924" s="175">
        <v>46053</v>
      </c>
      <c r="C924" s="171" t="s">
        <v>127</v>
      </c>
      <c r="D924" s="171" t="s">
        <v>130</v>
      </c>
      <c r="E924" s="171" t="s">
        <v>77</v>
      </c>
      <c r="F924" s="171" t="s">
        <v>194</v>
      </c>
      <c r="G924" s="171" t="s">
        <v>177</v>
      </c>
      <c r="H924" s="176">
        <v>1</v>
      </c>
      <c r="I924" s="177">
        <v>5412</v>
      </c>
      <c r="J924" s="175">
        <v>46052</v>
      </c>
      <c r="K924" s="171" t="s">
        <v>113</v>
      </c>
      <c r="L924" s="171" t="s">
        <v>114</v>
      </c>
      <c r="M924" s="178">
        <v>0</v>
      </c>
      <c r="N924" s="176"/>
      <c r="O924" s="176"/>
      <c r="P924" s="179">
        <v>3359.87</v>
      </c>
    </row>
    <row r="925" spans="1:16" ht="19.5" customHeight="1">
      <c r="A925" s="171" t="s">
        <v>933</v>
      </c>
      <c r="B925" s="175">
        <v>46053</v>
      </c>
      <c r="C925" s="171" t="s">
        <v>131</v>
      </c>
      <c r="D925" s="171" t="s">
        <v>132</v>
      </c>
      <c r="E925" s="171" t="s">
        <v>77</v>
      </c>
      <c r="F925" s="171" t="s">
        <v>194</v>
      </c>
      <c r="G925" s="171" t="s">
        <v>177</v>
      </c>
      <c r="H925" s="176">
        <v>1</v>
      </c>
      <c r="I925" s="177">
        <v>5412</v>
      </c>
      <c r="J925" s="175">
        <v>46052</v>
      </c>
      <c r="K925" s="171" t="s">
        <v>113</v>
      </c>
      <c r="L925" s="171" t="s">
        <v>114</v>
      </c>
      <c r="M925" s="178">
        <v>0.43</v>
      </c>
      <c r="N925" s="176"/>
      <c r="O925" s="176"/>
      <c r="P925" s="179">
        <v>-2327.16</v>
      </c>
    </row>
    <row r="926" spans="1:16" ht="19.5" customHeight="1">
      <c r="A926" s="171" t="s">
        <v>933</v>
      </c>
      <c r="B926" s="175">
        <v>46053</v>
      </c>
      <c r="C926" s="171" t="s">
        <v>115</v>
      </c>
      <c r="D926" s="171" t="s">
        <v>116</v>
      </c>
      <c r="E926" s="171" t="s">
        <v>77</v>
      </c>
      <c r="F926" s="171" t="s">
        <v>194</v>
      </c>
      <c r="G926" s="171" t="s">
        <v>177</v>
      </c>
      <c r="H926" s="176">
        <v>1</v>
      </c>
      <c r="I926" s="177">
        <v>5412</v>
      </c>
      <c r="J926" s="175">
        <v>46052</v>
      </c>
      <c r="K926" s="171" t="s">
        <v>113</v>
      </c>
      <c r="L926" s="171" t="s">
        <v>114</v>
      </c>
      <c r="M926" s="178">
        <v>0.43</v>
      </c>
      <c r="N926" s="176"/>
      <c r="O926" s="176"/>
      <c r="P926" s="179">
        <v>-11.14</v>
      </c>
    </row>
    <row r="927" spans="1:16" ht="19.5" customHeight="1">
      <c r="A927" s="171" t="s">
        <v>933</v>
      </c>
      <c r="B927" s="175">
        <v>46053</v>
      </c>
      <c r="C927" s="171" t="s">
        <v>115</v>
      </c>
      <c r="D927" s="171" t="s">
        <v>135</v>
      </c>
      <c r="E927" s="171" t="s">
        <v>77</v>
      </c>
      <c r="F927" s="171" t="s">
        <v>194</v>
      </c>
      <c r="G927" s="171" t="s">
        <v>177</v>
      </c>
      <c r="H927" s="176">
        <v>1</v>
      </c>
      <c r="I927" s="177">
        <v>0</v>
      </c>
      <c r="J927" s="175">
        <v>46052</v>
      </c>
      <c r="K927" s="171" t="s">
        <v>125</v>
      </c>
      <c r="L927" s="171" t="s">
        <v>125</v>
      </c>
      <c r="M927" s="178">
        <v>0</v>
      </c>
      <c r="N927" s="176"/>
      <c r="O927" s="176"/>
      <c r="P927" s="179">
        <v>-19.079999999999998</v>
      </c>
    </row>
    <row r="928" spans="1:16" ht="19.5" customHeight="1">
      <c r="A928" s="171" t="s">
        <v>934</v>
      </c>
      <c r="B928" s="175">
        <v>46053</v>
      </c>
      <c r="C928" s="171" t="s">
        <v>110</v>
      </c>
      <c r="D928" s="171" t="s">
        <v>24</v>
      </c>
      <c r="E928" s="171" t="s">
        <v>38</v>
      </c>
      <c r="F928" s="171" t="s">
        <v>111</v>
      </c>
      <c r="G928" s="171" t="s">
        <v>112</v>
      </c>
      <c r="H928" s="176">
        <v>1</v>
      </c>
      <c r="I928" s="177">
        <v>1800</v>
      </c>
      <c r="J928" s="175">
        <v>46051</v>
      </c>
      <c r="K928" s="171" t="s">
        <v>113</v>
      </c>
      <c r="L928" s="171" t="s">
        <v>114</v>
      </c>
      <c r="M928" s="178">
        <v>0.43</v>
      </c>
      <c r="N928" s="176"/>
      <c r="O928" s="176">
        <v>48</v>
      </c>
      <c r="P928" s="179">
        <v>-146.61000000000001</v>
      </c>
    </row>
    <row r="929" spans="1:16" ht="19.5" customHeight="1">
      <c r="A929" s="171" t="s">
        <v>934</v>
      </c>
      <c r="B929" s="175">
        <v>46053</v>
      </c>
      <c r="C929" s="171" t="s">
        <v>127</v>
      </c>
      <c r="D929" s="171" t="s">
        <v>128</v>
      </c>
      <c r="E929" s="171" t="s">
        <v>38</v>
      </c>
      <c r="F929" s="171" t="s">
        <v>111</v>
      </c>
      <c r="G929" s="171" t="s">
        <v>112</v>
      </c>
      <c r="H929" s="176">
        <v>1</v>
      </c>
      <c r="I929" s="177">
        <v>1800</v>
      </c>
      <c r="J929" s="175">
        <v>46051</v>
      </c>
      <c r="K929" s="171" t="s">
        <v>113</v>
      </c>
      <c r="L929" s="171" t="s">
        <v>114</v>
      </c>
      <c r="M929" s="178">
        <v>0</v>
      </c>
      <c r="N929" s="176"/>
      <c r="O929" s="176"/>
      <c r="P929" s="179">
        <v>755.24</v>
      </c>
    </row>
    <row r="930" spans="1:16" ht="19.5" customHeight="1">
      <c r="A930" s="171" t="s">
        <v>934</v>
      </c>
      <c r="B930" s="175">
        <v>46053</v>
      </c>
      <c r="C930" s="171" t="s">
        <v>127</v>
      </c>
      <c r="D930" s="171" t="s">
        <v>129</v>
      </c>
      <c r="E930" s="171" t="s">
        <v>38</v>
      </c>
      <c r="F930" s="171" t="s">
        <v>111</v>
      </c>
      <c r="G930" s="171" t="s">
        <v>112</v>
      </c>
      <c r="H930" s="176">
        <v>1</v>
      </c>
      <c r="I930" s="177">
        <v>1800</v>
      </c>
      <c r="J930" s="175">
        <v>46051</v>
      </c>
      <c r="K930" s="171" t="s">
        <v>113</v>
      </c>
      <c r="L930" s="171" t="s">
        <v>114</v>
      </c>
      <c r="M930" s="178">
        <v>0</v>
      </c>
      <c r="N930" s="176"/>
      <c r="O930" s="176"/>
      <c r="P930" s="179">
        <v>7.55</v>
      </c>
    </row>
    <row r="931" spans="1:16" ht="19.5" customHeight="1">
      <c r="A931" s="171" t="s">
        <v>934</v>
      </c>
      <c r="B931" s="175">
        <v>46053</v>
      </c>
      <c r="C931" s="171" t="s">
        <v>127</v>
      </c>
      <c r="D931" s="171" t="s">
        <v>130</v>
      </c>
      <c r="E931" s="171" t="s">
        <v>38</v>
      </c>
      <c r="F931" s="171" t="s">
        <v>111</v>
      </c>
      <c r="G931" s="171" t="s">
        <v>112</v>
      </c>
      <c r="H931" s="176">
        <v>1</v>
      </c>
      <c r="I931" s="177">
        <v>1800</v>
      </c>
      <c r="J931" s="175">
        <v>46051</v>
      </c>
      <c r="K931" s="171" t="s">
        <v>113</v>
      </c>
      <c r="L931" s="171" t="s">
        <v>114</v>
      </c>
      <c r="M931" s="178">
        <v>0</v>
      </c>
      <c r="N931" s="176"/>
      <c r="O931" s="176"/>
      <c r="P931" s="179">
        <v>1037.21</v>
      </c>
    </row>
    <row r="932" spans="1:16" ht="19.5" customHeight="1">
      <c r="A932" s="171" t="s">
        <v>934</v>
      </c>
      <c r="B932" s="175">
        <v>46053</v>
      </c>
      <c r="C932" s="171" t="s">
        <v>131</v>
      </c>
      <c r="D932" s="171" t="s">
        <v>132</v>
      </c>
      <c r="E932" s="171" t="s">
        <v>38</v>
      </c>
      <c r="F932" s="171" t="s">
        <v>111</v>
      </c>
      <c r="G932" s="171" t="s">
        <v>112</v>
      </c>
      <c r="H932" s="176">
        <v>1</v>
      </c>
      <c r="I932" s="177">
        <v>1800</v>
      </c>
      <c r="J932" s="175">
        <v>46051</v>
      </c>
      <c r="K932" s="171" t="s">
        <v>113</v>
      </c>
      <c r="L932" s="171" t="s">
        <v>114</v>
      </c>
      <c r="M932" s="178">
        <v>0.43</v>
      </c>
      <c r="N932" s="176"/>
      <c r="O932" s="176"/>
      <c r="P932" s="179">
        <v>-774</v>
      </c>
    </row>
    <row r="933" spans="1:16" ht="19.5" customHeight="1">
      <c r="A933" s="171" t="s">
        <v>934</v>
      </c>
      <c r="B933" s="175">
        <v>46053</v>
      </c>
      <c r="C933" s="171" t="s">
        <v>115</v>
      </c>
      <c r="D933" s="171" t="s">
        <v>116</v>
      </c>
      <c r="E933" s="171" t="s">
        <v>38</v>
      </c>
      <c r="F933" s="171" t="s">
        <v>111</v>
      </c>
      <c r="G933" s="171" t="s">
        <v>112</v>
      </c>
      <c r="H933" s="176">
        <v>1</v>
      </c>
      <c r="I933" s="177">
        <v>1800</v>
      </c>
      <c r="J933" s="175">
        <v>46051</v>
      </c>
      <c r="K933" s="171" t="s">
        <v>113</v>
      </c>
      <c r="L933" s="171" t="s">
        <v>114</v>
      </c>
      <c r="M933" s="178">
        <v>0.43</v>
      </c>
      <c r="N933" s="176"/>
      <c r="O933" s="176"/>
      <c r="P933" s="179">
        <v>-13.64</v>
      </c>
    </row>
    <row r="934" spans="1:16" ht="19.5" customHeight="1">
      <c r="A934" s="171" t="s">
        <v>935</v>
      </c>
      <c r="B934" s="175">
        <v>46053</v>
      </c>
      <c r="C934" s="171" t="s">
        <v>110</v>
      </c>
      <c r="D934" s="171" t="s">
        <v>24</v>
      </c>
      <c r="E934" s="171" t="s">
        <v>68</v>
      </c>
      <c r="F934" s="171" t="s">
        <v>698</v>
      </c>
      <c r="G934" s="171" t="s">
        <v>699</v>
      </c>
      <c r="H934" s="176">
        <v>1</v>
      </c>
      <c r="I934" s="177">
        <v>4300</v>
      </c>
      <c r="J934" s="175">
        <v>46052</v>
      </c>
      <c r="K934" s="171" t="s">
        <v>113</v>
      </c>
      <c r="L934" s="171" t="s">
        <v>114</v>
      </c>
      <c r="M934" s="178">
        <v>0.43</v>
      </c>
      <c r="N934" s="176"/>
      <c r="O934" s="176">
        <v>49</v>
      </c>
      <c r="P934" s="179">
        <v>-260.89999999999998</v>
      </c>
    </row>
    <row r="935" spans="1:16" ht="19.5" customHeight="1">
      <c r="A935" s="171" t="s">
        <v>935</v>
      </c>
      <c r="B935" s="175">
        <v>46053</v>
      </c>
      <c r="C935" s="171" t="s">
        <v>127</v>
      </c>
      <c r="D935" s="171" t="s">
        <v>128</v>
      </c>
      <c r="E935" s="171" t="s">
        <v>68</v>
      </c>
      <c r="F935" s="171" t="s">
        <v>698</v>
      </c>
      <c r="G935" s="171" t="s">
        <v>699</v>
      </c>
      <c r="H935" s="176">
        <v>1</v>
      </c>
      <c r="I935" s="177">
        <v>4300</v>
      </c>
      <c r="J935" s="175">
        <v>46052</v>
      </c>
      <c r="K935" s="171" t="s">
        <v>113</v>
      </c>
      <c r="L935" s="171" t="s">
        <v>114</v>
      </c>
      <c r="M935" s="178">
        <v>0</v>
      </c>
      <c r="N935" s="176"/>
      <c r="O935" s="176"/>
      <c r="P935" s="179">
        <v>2366.13</v>
      </c>
    </row>
    <row r="936" spans="1:16" ht="19.5" customHeight="1">
      <c r="A936" s="171" t="s">
        <v>935</v>
      </c>
      <c r="B936" s="175">
        <v>46053</v>
      </c>
      <c r="C936" s="171" t="s">
        <v>127</v>
      </c>
      <c r="D936" s="171" t="s">
        <v>129</v>
      </c>
      <c r="E936" s="171" t="s">
        <v>68</v>
      </c>
      <c r="F936" s="171" t="s">
        <v>698</v>
      </c>
      <c r="G936" s="171" t="s">
        <v>699</v>
      </c>
      <c r="H936" s="176">
        <v>1</v>
      </c>
      <c r="I936" s="177">
        <v>4300</v>
      </c>
      <c r="J936" s="175">
        <v>46052</v>
      </c>
      <c r="K936" s="171" t="s">
        <v>113</v>
      </c>
      <c r="L936" s="171" t="s">
        <v>114</v>
      </c>
      <c r="M936" s="178">
        <v>0</v>
      </c>
      <c r="N936" s="176"/>
      <c r="O936" s="176"/>
      <c r="P936" s="179">
        <v>23.66</v>
      </c>
    </row>
    <row r="937" spans="1:16" ht="19.5" customHeight="1">
      <c r="A937" s="171" t="s">
        <v>935</v>
      </c>
      <c r="B937" s="175">
        <v>46053</v>
      </c>
      <c r="C937" s="171" t="s">
        <v>127</v>
      </c>
      <c r="D937" s="171" t="s">
        <v>130</v>
      </c>
      <c r="E937" s="171" t="s">
        <v>68</v>
      </c>
      <c r="F937" s="171" t="s">
        <v>698</v>
      </c>
      <c r="G937" s="171" t="s">
        <v>699</v>
      </c>
      <c r="H937" s="176">
        <v>1</v>
      </c>
      <c r="I937" s="177">
        <v>4300</v>
      </c>
      <c r="J937" s="175">
        <v>46052</v>
      </c>
      <c r="K937" s="171" t="s">
        <v>113</v>
      </c>
      <c r="L937" s="171" t="s">
        <v>114</v>
      </c>
      <c r="M937" s="178">
        <v>0</v>
      </c>
      <c r="N937" s="176"/>
      <c r="O937" s="176"/>
      <c r="P937" s="179">
        <v>1910.21</v>
      </c>
    </row>
    <row r="938" spans="1:16" ht="19.5" customHeight="1">
      <c r="A938" s="171" t="s">
        <v>935</v>
      </c>
      <c r="B938" s="175">
        <v>46053</v>
      </c>
      <c r="C938" s="171" t="s">
        <v>131</v>
      </c>
      <c r="D938" s="171" t="s">
        <v>132</v>
      </c>
      <c r="E938" s="171" t="s">
        <v>68</v>
      </c>
      <c r="F938" s="171" t="s">
        <v>698</v>
      </c>
      <c r="G938" s="171" t="s">
        <v>699</v>
      </c>
      <c r="H938" s="176">
        <v>1</v>
      </c>
      <c r="I938" s="177">
        <v>4300</v>
      </c>
      <c r="J938" s="175">
        <v>46052</v>
      </c>
      <c r="K938" s="171" t="s">
        <v>113</v>
      </c>
      <c r="L938" s="171" t="s">
        <v>114</v>
      </c>
      <c r="M938" s="178">
        <v>0.43</v>
      </c>
      <c r="N938" s="176"/>
      <c r="O938" s="176"/>
      <c r="P938" s="179">
        <v>-1849</v>
      </c>
    </row>
    <row r="939" spans="1:16" ht="19.5" customHeight="1">
      <c r="A939" s="171" t="s">
        <v>935</v>
      </c>
      <c r="B939" s="175">
        <v>46053</v>
      </c>
      <c r="C939" s="171" t="s">
        <v>115</v>
      </c>
      <c r="D939" s="171" t="s">
        <v>116</v>
      </c>
      <c r="E939" s="171" t="s">
        <v>68</v>
      </c>
      <c r="F939" s="171" t="s">
        <v>698</v>
      </c>
      <c r="G939" s="171" t="s">
        <v>699</v>
      </c>
      <c r="H939" s="176">
        <v>1</v>
      </c>
      <c r="I939" s="177">
        <v>4300</v>
      </c>
      <c r="J939" s="175">
        <v>46052</v>
      </c>
      <c r="K939" s="171" t="s">
        <v>113</v>
      </c>
      <c r="L939" s="171" t="s">
        <v>114</v>
      </c>
      <c r="M939" s="178">
        <v>0.43</v>
      </c>
      <c r="N939" s="176"/>
      <c r="O939" s="176"/>
      <c r="P939" s="179">
        <v>-14.34</v>
      </c>
    </row>
    <row r="940" spans="1:16" ht="19.5" customHeight="1">
      <c r="A940" s="171" t="s">
        <v>934</v>
      </c>
      <c r="B940" s="175">
        <v>46053</v>
      </c>
      <c r="C940" s="171" t="s">
        <v>115</v>
      </c>
      <c r="D940" s="171" t="s">
        <v>135</v>
      </c>
      <c r="E940" s="171" t="s">
        <v>38</v>
      </c>
      <c r="F940" s="171" t="s">
        <v>111</v>
      </c>
      <c r="G940" s="171" t="s">
        <v>112</v>
      </c>
      <c r="H940" s="176">
        <v>1</v>
      </c>
      <c r="I940" s="177">
        <v>0</v>
      </c>
      <c r="J940" s="175">
        <v>46051</v>
      </c>
      <c r="K940" s="171" t="s">
        <v>125</v>
      </c>
      <c r="L940" s="171" t="s">
        <v>125</v>
      </c>
      <c r="M940" s="178">
        <v>0</v>
      </c>
      <c r="N940" s="176"/>
      <c r="O940" s="176"/>
      <c r="P940" s="179">
        <v>-14.35</v>
      </c>
    </row>
    <row r="941" spans="1:16" ht="19.5" customHeight="1">
      <c r="A941" s="171" t="s">
        <v>936</v>
      </c>
      <c r="B941" s="175">
        <v>46053</v>
      </c>
      <c r="C941" s="171" t="s">
        <v>110</v>
      </c>
      <c r="D941" s="171" t="s">
        <v>24</v>
      </c>
      <c r="E941" s="171" t="s">
        <v>38</v>
      </c>
      <c r="F941" s="171" t="s">
        <v>111</v>
      </c>
      <c r="G941" s="171" t="s">
        <v>112</v>
      </c>
      <c r="H941" s="176">
        <v>1</v>
      </c>
      <c r="I941" s="177">
        <v>1800</v>
      </c>
      <c r="J941" s="175">
        <v>46051</v>
      </c>
      <c r="K941" s="171" t="s">
        <v>113</v>
      </c>
      <c r="L941" s="171" t="s">
        <v>114</v>
      </c>
      <c r="M941" s="178">
        <v>0.43</v>
      </c>
      <c r="N941" s="176"/>
      <c r="O941" s="176">
        <v>48</v>
      </c>
      <c r="P941" s="179">
        <v>-146.61000000000001</v>
      </c>
    </row>
    <row r="942" spans="1:16" ht="19.5" customHeight="1">
      <c r="A942" s="171" t="s">
        <v>936</v>
      </c>
      <c r="B942" s="175">
        <v>46053</v>
      </c>
      <c r="C942" s="171" t="s">
        <v>127</v>
      </c>
      <c r="D942" s="171" t="s">
        <v>128</v>
      </c>
      <c r="E942" s="171" t="s">
        <v>38</v>
      </c>
      <c r="F942" s="171" t="s">
        <v>111</v>
      </c>
      <c r="G942" s="171" t="s">
        <v>112</v>
      </c>
      <c r="H942" s="176">
        <v>1</v>
      </c>
      <c r="I942" s="177">
        <v>1800</v>
      </c>
      <c r="J942" s="175">
        <v>46051</v>
      </c>
      <c r="K942" s="171" t="s">
        <v>113</v>
      </c>
      <c r="L942" s="171" t="s">
        <v>114</v>
      </c>
      <c r="M942" s="178">
        <v>0</v>
      </c>
      <c r="N942" s="176"/>
      <c r="O942" s="176"/>
      <c r="P942" s="179">
        <v>677.14</v>
      </c>
    </row>
    <row r="943" spans="1:16" ht="19.5" customHeight="1">
      <c r="A943" s="171" t="s">
        <v>936</v>
      </c>
      <c r="B943" s="175">
        <v>46053</v>
      </c>
      <c r="C943" s="171" t="s">
        <v>127</v>
      </c>
      <c r="D943" s="171" t="s">
        <v>129</v>
      </c>
      <c r="E943" s="171" t="s">
        <v>38</v>
      </c>
      <c r="F943" s="171" t="s">
        <v>111</v>
      </c>
      <c r="G943" s="171" t="s">
        <v>112</v>
      </c>
      <c r="H943" s="176">
        <v>1</v>
      </c>
      <c r="I943" s="177">
        <v>1800</v>
      </c>
      <c r="J943" s="175">
        <v>46051</v>
      </c>
      <c r="K943" s="171" t="s">
        <v>113</v>
      </c>
      <c r="L943" s="171" t="s">
        <v>114</v>
      </c>
      <c r="M943" s="178">
        <v>0</v>
      </c>
      <c r="N943" s="176"/>
      <c r="O943" s="176"/>
      <c r="P943" s="179">
        <v>6.77</v>
      </c>
    </row>
    <row r="944" spans="1:16" ht="19.5" customHeight="1">
      <c r="A944" s="171" t="s">
        <v>936</v>
      </c>
      <c r="B944" s="175">
        <v>46053</v>
      </c>
      <c r="C944" s="171" t="s">
        <v>127</v>
      </c>
      <c r="D944" s="171" t="s">
        <v>130</v>
      </c>
      <c r="E944" s="171" t="s">
        <v>38</v>
      </c>
      <c r="F944" s="171" t="s">
        <v>111</v>
      </c>
      <c r="G944" s="171" t="s">
        <v>112</v>
      </c>
      <c r="H944" s="176">
        <v>1</v>
      </c>
      <c r="I944" s="177">
        <v>1800</v>
      </c>
      <c r="J944" s="175">
        <v>46051</v>
      </c>
      <c r="K944" s="171" t="s">
        <v>113</v>
      </c>
      <c r="L944" s="171" t="s">
        <v>114</v>
      </c>
      <c r="M944" s="178">
        <v>0</v>
      </c>
      <c r="N944" s="176"/>
      <c r="O944" s="176"/>
      <c r="P944" s="179">
        <v>1116.0899999999999</v>
      </c>
    </row>
    <row r="945" spans="1:16" ht="19.5" customHeight="1">
      <c r="A945" s="171" t="s">
        <v>936</v>
      </c>
      <c r="B945" s="175">
        <v>46053</v>
      </c>
      <c r="C945" s="171" t="s">
        <v>131</v>
      </c>
      <c r="D945" s="171" t="s">
        <v>132</v>
      </c>
      <c r="E945" s="171" t="s">
        <v>38</v>
      </c>
      <c r="F945" s="171" t="s">
        <v>111</v>
      </c>
      <c r="G945" s="171" t="s">
        <v>112</v>
      </c>
      <c r="H945" s="176">
        <v>1</v>
      </c>
      <c r="I945" s="177">
        <v>1800</v>
      </c>
      <c r="J945" s="175">
        <v>46051</v>
      </c>
      <c r="K945" s="171" t="s">
        <v>113</v>
      </c>
      <c r="L945" s="171" t="s">
        <v>114</v>
      </c>
      <c r="M945" s="178">
        <v>0.43</v>
      </c>
      <c r="N945" s="176"/>
      <c r="O945" s="176"/>
      <c r="P945" s="179">
        <v>-774</v>
      </c>
    </row>
    <row r="946" spans="1:16" ht="19.5" customHeight="1">
      <c r="A946" s="171" t="s">
        <v>936</v>
      </c>
      <c r="B946" s="175">
        <v>46053</v>
      </c>
      <c r="C946" s="171" t="s">
        <v>115</v>
      </c>
      <c r="D946" s="171" t="s">
        <v>116</v>
      </c>
      <c r="E946" s="171" t="s">
        <v>38</v>
      </c>
      <c r="F946" s="171" t="s">
        <v>111</v>
      </c>
      <c r="G946" s="171" t="s">
        <v>112</v>
      </c>
      <c r="H946" s="176">
        <v>1</v>
      </c>
      <c r="I946" s="177">
        <v>1800</v>
      </c>
      <c r="J946" s="175">
        <v>46051</v>
      </c>
      <c r="K946" s="171" t="s">
        <v>113</v>
      </c>
      <c r="L946" s="171" t="s">
        <v>114</v>
      </c>
      <c r="M946" s="178">
        <v>0.43</v>
      </c>
      <c r="N946" s="176"/>
      <c r="O946" s="176"/>
      <c r="P946" s="179">
        <v>-25</v>
      </c>
    </row>
    <row r="947" spans="1:16" ht="19.5" customHeight="1">
      <c r="A947" s="171" t="s">
        <v>936</v>
      </c>
      <c r="B947" s="175">
        <v>46053</v>
      </c>
      <c r="C947" s="171" t="s">
        <v>115</v>
      </c>
      <c r="D947" s="171" t="s">
        <v>135</v>
      </c>
      <c r="E947" s="171" t="s">
        <v>38</v>
      </c>
      <c r="F947" s="171" t="s">
        <v>111</v>
      </c>
      <c r="G947" s="171" t="s">
        <v>112</v>
      </c>
      <c r="H947" s="176">
        <v>1</v>
      </c>
      <c r="I947" s="177">
        <v>0</v>
      </c>
      <c r="J947" s="175">
        <v>46051</v>
      </c>
      <c r="K947" s="171" t="s">
        <v>125</v>
      </c>
      <c r="L947" s="171" t="s">
        <v>125</v>
      </c>
      <c r="M947" s="178">
        <v>0</v>
      </c>
      <c r="N947" s="176"/>
      <c r="O947" s="176"/>
      <c r="P947" s="179">
        <v>-12.87</v>
      </c>
    </row>
    <row r="948" spans="1:16" ht="19.5" customHeight="1">
      <c r="A948" s="171" t="s">
        <v>937</v>
      </c>
      <c r="B948" s="175">
        <v>46053</v>
      </c>
      <c r="C948" s="171" t="s">
        <v>507</v>
      </c>
      <c r="D948" s="171" t="s">
        <v>508</v>
      </c>
      <c r="E948" s="171" t="s">
        <v>77</v>
      </c>
      <c r="F948" s="171" t="s">
        <v>194</v>
      </c>
      <c r="G948" s="171" t="s">
        <v>177</v>
      </c>
      <c r="H948" s="176">
        <v>1</v>
      </c>
      <c r="I948" s="177">
        <v>0</v>
      </c>
      <c r="J948" s="175">
        <v>46050</v>
      </c>
      <c r="K948" s="171" t="s">
        <v>113</v>
      </c>
      <c r="L948" s="171" t="s">
        <v>114</v>
      </c>
      <c r="M948" s="178">
        <v>0</v>
      </c>
      <c r="N948" s="176"/>
      <c r="O948" s="176"/>
      <c r="P948" s="179">
        <v>-5</v>
      </c>
    </row>
    <row r="949" spans="1:16" ht="19.5" customHeight="1">
      <c r="A949" s="171" t="s">
        <v>937</v>
      </c>
      <c r="B949" s="175">
        <v>46053</v>
      </c>
      <c r="C949" s="171" t="s">
        <v>115</v>
      </c>
      <c r="D949" s="171" t="s">
        <v>510</v>
      </c>
      <c r="E949" s="171" t="s">
        <v>77</v>
      </c>
      <c r="F949" s="171" t="s">
        <v>194</v>
      </c>
      <c r="G949" s="171" t="s">
        <v>177</v>
      </c>
      <c r="H949" s="176">
        <v>1</v>
      </c>
      <c r="I949" s="177">
        <v>0</v>
      </c>
      <c r="J949" s="175">
        <v>46050</v>
      </c>
      <c r="K949" s="171" t="s">
        <v>113</v>
      </c>
      <c r="L949" s="171" t="s">
        <v>114</v>
      </c>
      <c r="M949" s="178">
        <v>0</v>
      </c>
      <c r="N949" s="176"/>
      <c r="O949" s="176"/>
      <c r="P949" s="179">
        <v>-10</v>
      </c>
    </row>
    <row r="950" spans="1:16" ht="19.5" customHeight="1">
      <c r="A950" s="171" t="s">
        <v>938</v>
      </c>
      <c r="B950" s="175">
        <v>46053</v>
      </c>
      <c r="C950" s="171" t="s">
        <v>115</v>
      </c>
      <c r="D950" s="171" t="s">
        <v>135</v>
      </c>
      <c r="E950" s="171" t="s">
        <v>75</v>
      </c>
      <c r="F950" s="171" t="s">
        <v>474</v>
      </c>
      <c r="G950" s="171" t="s">
        <v>177</v>
      </c>
      <c r="H950" s="176">
        <v>1</v>
      </c>
      <c r="I950" s="177">
        <v>0</v>
      </c>
      <c r="J950" s="175">
        <v>46053</v>
      </c>
      <c r="K950" s="171" t="s">
        <v>125</v>
      </c>
      <c r="L950" s="171" t="s">
        <v>125</v>
      </c>
      <c r="M950" s="178">
        <v>0</v>
      </c>
      <c r="N950" s="176"/>
      <c r="O950" s="176"/>
      <c r="P950" s="179">
        <v>-37.29</v>
      </c>
    </row>
    <row r="951" spans="1:16" ht="19.5" customHeight="1">
      <c r="A951" s="171" t="s">
        <v>938</v>
      </c>
      <c r="B951" s="175">
        <v>46053</v>
      </c>
      <c r="C951" s="171" t="s">
        <v>115</v>
      </c>
      <c r="D951" s="171" t="s">
        <v>135</v>
      </c>
      <c r="E951" s="171" t="s">
        <v>75</v>
      </c>
      <c r="F951" s="171" t="s">
        <v>474</v>
      </c>
      <c r="G951" s="171" t="s">
        <v>177</v>
      </c>
      <c r="H951" s="176">
        <v>1</v>
      </c>
      <c r="I951" s="177">
        <v>0</v>
      </c>
      <c r="J951" s="175">
        <v>46053</v>
      </c>
      <c r="K951" s="171" t="s">
        <v>125</v>
      </c>
      <c r="L951" s="171" t="s">
        <v>125</v>
      </c>
      <c r="M951" s="178">
        <v>0</v>
      </c>
      <c r="N951" s="176"/>
      <c r="O951" s="176"/>
      <c r="P951" s="179">
        <v>37.29</v>
      </c>
    </row>
    <row r="952" spans="1:16" ht="19.5" customHeight="1">
      <c r="A952" s="171" t="s">
        <v>939</v>
      </c>
      <c r="B952" s="175">
        <v>46053</v>
      </c>
      <c r="C952" s="171" t="s">
        <v>110</v>
      </c>
      <c r="D952" s="171" t="s">
        <v>117</v>
      </c>
      <c r="E952" s="171" t="s">
        <v>77</v>
      </c>
      <c r="F952" s="171" t="s">
        <v>194</v>
      </c>
      <c r="G952" s="171" t="s">
        <v>177</v>
      </c>
      <c r="H952" s="176">
        <v>1</v>
      </c>
      <c r="I952" s="177">
        <v>0</v>
      </c>
      <c r="J952" s="175">
        <v>46051</v>
      </c>
      <c r="K952" s="171" t="s">
        <v>113</v>
      </c>
      <c r="L952" s="171" t="s">
        <v>114</v>
      </c>
      <c r="M952" s="178">
        <v>0</v>
      </c>
      <c r="N952" s="176"/>
      <c r="O952" s="176"/>
      <c r="P952" s="179">
        <v>0</v>
      </c>
    </row>
    <row r="953" spans="1:16" ht="19.5" customHeight="1">
      <c r="A953" s="171" t="s">
        <v>939</v>
      </c>
      <c r="B953" s="175">
        <v>46053</v>
      </c>
      <c r="C953" s="171" t="s">
        <v>110</v>
      </c>
      <c r="D953" s="171" t="s">
        <v>118</v>
      </c>
      <c r="E953" s="171" t="s">
        <v>77</v>
      </c>
      <c r="F953" s="171" t="s">
        <v>194</v>
      </c>
      <c r="G953" s="171" t="s">
        <v>177</v>
      </c>
      <c r="H953" s="176">
        <v>1</v>
      </c>
      <c r="I953" s="177">
        <v>0</v>
      </c>
      <c r="J953" s="175">
        <v>46051</v>
      </c>
      <c r="K953" s="171" t="s">
        <v>113</v>
      </c>
      <c r="L953" s="171" t="s">
        <v>114</v>
      </c>
      <c r="M953" s="178">
        <v>0</v>
      </c>
      <c r="N953" s="176"/>
      <c r="O953" s="176"/>
      <c r="P953" s="179">
        <v>-56.94</v>
      </c>
    </row>
    <row r="954" spans="1:16" ht="19.5" customHeight="1">
      <c r="A954" s="171" t="s">
        <v>939</v>
      </c>
      <c r="B954" s="175">
        <v>46053</v>
      </c>
      <c r="C954" s="171" t="s">
        <v>115</v>
      </c>
      <c r="D954" s="171" t="s">
        <v>119</v>
      </c>
      <c r="E954" s="171" t="s">
        <v>77</v>
      </c>
      <c r="F954" s="171" t="s">
        <v>194</v>
      </c>
      <c r="G954" s="171" t="s">
        <v>177</v>
      </c>
      <c r="H954" s="176">
        <v>1</v>
      </c>
      <c r="I954" s="177">
        <v>0</v>
      </c>
      <c r="J954" s="175">
        <v>46051</v>
      </c>
      <c r="K954" s="171" t="s">
        <v>113</v>
      </c>
      <c r="L954" s="171" t="s">
        <v>114</v>
      </c>
      <c r="M954" s="178">
        <v>0</v>
      </c>
      <c r="N954" s="176"/>
      <c r="O954" s="176"/>
      <c r="P954" s="179">
        <v>-15</v>
      </c>
    </row>
    <row r="955" spans="1:16" ht="19.5" customHeight="1">
      <c r="A955" s="171" t="s">
        <v>939</v>
      </c>
      <c r="B955" s="175">
        <v>46053</v>
      </c>
      <c r="C955" s="171" t="s">
        <v>110</v>
      </c>
      <c r="D955" s="171" t="s">
        <v>24</v>
      </c>
      <c r="E955" s="171" t="s">
        <v>77</v>
      </c>
      <c r="F955" s="171" t="s">
        <v>194</v>
      </c>
      <c r="G955" s="171" t="s">
        <v>177</v>
      </c>
      <c r="H955" s="176">
        <v>1</v>
      </c>
      <c r="I955" s="177">
        <v>0</v>
      </c>
      <c r="J955" s="175">
        <v>46051</v>
      </c>
      <c r="K955" s="171" t="s">
        <v>113</v>
      </c>
      <c r="L955" s="171" t="s">
        <v>114</v>
      </c>
      <c r="M955" s="178">
        <v>0</v>
      </c>
      <c r="N955" s="176"/>
      <c r="O955" s="176">
        <v>48</v>
      </c>
      <c r="P955" s="179">
        <v>-56.94</v>
      </c>
    </row>
    <row r="956" spans="1:16" ht="19.5" customHeight="1">
      <c r="A956" s="171" t="s">
        <v>939</v>
      </c>
      <c r="B956" s="175">
        <v>46053</v>
      </c>
      <c r="C956" s="171" t="s">
        <v>115</v>
      </c>
      <c r="D956" s="171" t="s">
        <v>116</v>
      </c>
      <c r="E956" s="171" t="s">
        <v>77</v>
      </c>
      <c r="F956" s="171" t="s">
        <v>194</v>
      </c>
      <c r="G956" s="171" t="s">
        <v>177</v>
      </c>
      <c r="H956" s="176">
        <v>1</v>
      </c>
      <c r="I956" s="177">
        <v>0</v>
      </c>
      <c r="J956" s="175">
        <v>46051</v>
      </c>
      <c r="K956" s="171" t="s">
        <v>113</v>
      </c>
      <c r="L956" s="171" t="s">
        <v>114</v>
      </c>
      <c r="M956" s="178">
        <v>0</v>
      </c>
      <c r="N956" s="176"/>
      <c r="O956" s="176"/>
      <c r="P956" s="179">
        <v>-16.84</v>
      </c>
    </row>
    <row r="957" spans="1:16" ht="19.5" customHeight="1">
      <c r="A957" s="171" t="s">
        <v>940</v>
      </c>
      <c r="B957" s="175">
        <v>46053</v>
      </c>
      <c r="C957" s="171" t="s">
        <v>110</v>
      </c>
      <c r="D957" s="171" t="s">
        <v>24</v>
      </c>
      <c r="E957" s="171" t="s">
        <v>68</v>
      </c>
      <c r="F957" s="171" t="s">
        <v>698</v>
      </c>
      <c r="G957" s="171" t="s">
        <v>699</v>
      </c>
      <c r="H957" s="176">
        <v>1</v>
      </c>
      <c r="I957" s="177">
        <v>0</v>
      </c>
      <c r="J957" s="175">
        <v>46045</v>
      </c>
      <c r="K957" s="171" t="s">
        <v>113</v>
      </c>
      <c r="L957" s="171" t="s">
        <v>114</v>
      </c>
      <c r="M957" s="178">
        <v>0</v>
      </c>
      <c r="N957" s="176"/>
      <c r="O957" s="176">
        <v>51</v>
      </c>
      <c r="P957" s="179">
        <v>-56.94</v>
      </c>
    </row>
    <row r="958" spans="1:16" ht="19.5" customHeight="1">
      <c r="A958" s="171" t="s">
        <v>940</v>
      </c>
      <c r="B958" s="175">
        <v>46053</v>
      </c>
      <c r="C958" s="171" t="s">
        <v>115</v>
      </c>
      <c r="D958" s="171" t="s">
        <v>116</v>
      </c>
      <c r="E958" s="171" t="s">
        <v>68</v>
      </c>
      <c r="F958" s="171" t="s">
        <v>698</v>
      </c>
      <c r="G958" s="171" t="s">
        <v>699</v>
      </c>
      <c r="H958" s="176">
        <v>1</v>
      </c>
      <c r="I958" s="177">
        <v>0</v>
      </c>
      <c r="J958" s="175">
        <v>46045</v>
      </c>
      <c r="K958" s="171" t="s">
        <v>113</v>
      </c>
      <c r="L958" s="171" t="s">
        <v>114</v>
      </c>
      <c r="M958" s="178">
        <v>0</v>
      </c>
      <c r="N958" s="176"/>
      <c r="O958" s="176"/>
      <c r="P958" s="179">
        <v>-10.31</v>
      </c>
    </row>
    <row r="959" spans="1:16" ht="19.5" customHeight="1">
      <c r="A959" s="171" t="s">
        <v>940</v>
      </c>
      <c r="B959" s="175">
        <v>46053</v>
      </c>
      <c r="C959" s="171" t="s">
        <v>110</v>
      </c>
      <c r="D959" s="171" t="s">
        <v>117</v>
      </c>
      <c r="E959" s="171" t="s">
        <v>68</v>
      </c>
      <c r="F959" s="171" t="s">
        <v>698</v>
      </c>
      <c r="G959" s="171" t="s">
        <v>699</v>
      </c>
      <c r="H959" s="176">
        <v>1</v>
      </c>
      <c r="I959" s="177">
        <v>0</v>
      </c>
      <c r="J959" s="175">
        <v>46045</v>
      </c>
      <c r="K959" s="171" t="s">
        <v>113</v>
      </c>
      <c r="L959" s="171" t="s">
        <v>114</v>
      </c>
      <c r="M959" s="178">
        <v>0</v>
      </c>
      <c r="N959" s="176"/>
      <c r="O959" s="176"/>
      <c r="P959" s="179">
        <v>0</v>
      </c>
    </row>
    <row r="960" spans="1:16" ht="19.5" customHeight="1">
      <c r="A960" s="171" t="s">
        <v>940</v>
      </c>
      <c r="B960" s="175">
        <v>46053</v>
      </c>
      <c r="C960" s="171" t="s">
        <v>110</v>
      </c>
      <c r="D960" s="171" t="s">
        <v>118</v>
      </c>
      <c r="E960" s="171" t="s">
        <v>68</v>
      </c>
      <c r="F960" s="171" t="s">
        <v>698</v>
      </c>
      <c r="G960" s="171" t="s">
        <v>699</v>
      </c>
      <c r="H960" s="176">
        <v>1</v>
      </c>
      <c r="I960" s="177">
        <v>0</v>
      </c>
      <c r="J960" s="175">
        <v>46045</v>
      </c>
      <c r="K960" s="171" t="s">
        <v>113</v>
      </c>
      <c r="L960" s="171" t="s">
        <v>114</v>
      </c>
      <c r="M960" s="178">
        <v>0</v>
      </c>
      <c r="N960" s="176"/>
      <c r="O960" s="176"/>
      <c r="P960" s="179">
        <v>-56.94</v>
      </c>
    </row>
    <row r="961" spans="1:16" ht="19.5" customHeight="1">
      <c r="A961" s="171" t="s">
        <v>940</v>
      </c>
      <c r="B961" s="175">
        <v>46053</v>
      </c>
      <c r="C961" s="171" t="s">
        <v>115</v>
      </c>
      <c r="D961" s="171" t="s">
        <v>119</v>
      </c>
      <c r="E961" s="171" t="s">
        <v>68</v>
      </c>
      <c r="F961" s="171" t="s">
        <v>698</v>
      </c>
      <c r="G961" s="171" t="s">
        <v>699</v>
      </c>
      <c r="H961" s="176">
        <v>1</v>
      </c>
      <c r="I961" s="177">
        <v>0</v>
      </c>
      <c r="J961" s="175">
        <v>46045</v>
      </c>
      <c r="K961" s="171" t="s">
        <v>113</v>
      </c>
      <c r="L961" s="171" t="s">
        <v>114</v>
      </c>
      <c r="M961" s="178">
        <v>0</v>
      </c>
      <c r="N961" s="176"/>
      <c r="O961" s="176"/>
      <c r="P961" s="179">
        <v>-15</v>
      </c>
    </row>
    <row r="962" spans="1:16" ht="19.5" customHeight="1">
      <c r="A962" s="171" t="s">
        <v>671</v>
      </c>
      <c r="B962" s="175">
        <v>46053</v>
      </c>
      <c r="C962" s="171" t="s">
        <v>151</v>
      </c>
      <c r="D962" s="171" t="s">
        <v>152</v>
      </c>
      <c r="E962" s="171" t="s">
        <v>125</v>
      </c>
      <c r="F962" s="171" t="s">
        <v>125</v>
      </c>
      <c r="G962" s="171" t="s">
        <v>125</v>
      </c>
      <c r="H962" s="176">
        <v>0</v>
      </c>
      <c r="I962" s="177">
        <v>0</v>
      </c>
      <c r="J962" s="175">
        <v>46053</v>
      </c>
      <c r="K962" s="171" t="s">
        <v>125</v>
      </c>
      <c r="L962" s="171" t="s">
        <v>125</v>
      </c>
      <c r="M962" s="178">
        <v>0</v>
      </c>
      <c r="N962" s="176"/>
      <c r="O962" s="176"/>
      <c r="P962" s="179">
        <v>-287.79000000000002</v>
      </c>
    </row>
    <row r="963" spans="1:16" ht="19.5" customHeight="1">
      <c r="A963" s="171" t="s">
        <v>565</v>
      </c>
      <c r="B963" s="175">
        <v>46053</v>
      </c>
      <c r="C963" s="171" t="s">
        <v>151</v>
      </c>
      <c r="D963" s="171" t="s">
        <v>152</v>
      </c>
      <c r="E963" s="171" t="s">
        <v>125</v>
      </c>
      <c r="F963" s="171" t="s">
        <v>125</v>
      </c>
      <c r="G963" s="171" t="s">
        <v>125</v>
      </c>
      <c r="H963" s="176">
        <v>0</v>
      </c>
      <c r="I963" s="177">
        <v>0</v>
      </c>
      <c r="J963" s="175">
        <v>46053</v>
      </c>
      <c r="K963" s="171" t="s">
        <v>125</v>
      </c>
      <c r="L963" s="171" t="s">
        <v>125</v>
      </c>
      <c r="M963" s="178">
        <v>0</v>
      </c>
      <c r="N963" s="176"/>
      <c r="O963" s="176"/>
      <c r="P963" s="179">
        <v>-299.77</v>
      </c>
    </row>
    <row r="964" spans="1:16" ht="19.5" customHeight="1">
      <c r="A964" s="171" t="s">
        <v>180</v>
      </c>
      <c r="B964" s="175">
        <v>46053</v>
      </c>
      <c r="C964" s="171" t="s">
        <v>151</v>
      </c>
      <c r="D964" s="171" t="s">
        <v>152</v>
      </c>
      <c r="E964" s="171" t="s">
        <v>125</v>
      </c>
      <c r="F964" s="171" t="s">
        <v>125</v>
      </c>
      <c r="G964" s="171" t="s">
        <v>125</v>
      </c>
      <c r="H964" s="176">
        <v>0</v>
      </c>
      <c r="I964" s="177">
        <v>0</v>
      </c>
      <c r="J964" s="175">
        <v>46053</v>
      </c>
      <c r="K964" s="171" t="s">
        <v>125</v>
      </c>
      <c r="L964" s="171" t="s">
        <v>125</v>
      </c>
      <c r="M964" s="178">
        <v>0</v>
      </c>
      <c r="N964" s="176"/>
      <c r="O964" s="176"/>
      <c r="P964" s="179">
        <v>-58.78</v>
      </c>
    </row>
    <row r="965" spans="1:16" ht="19.5" customHeight="1">
      <c r="A965" s="171" t="s">
        <v>150</v>
      </c>
      <c r="B965" s="175">
        <v>46053</v>
      </c>
      <c r="C965" s="171" t="s">
        <v>151</v>
      </c>
      <c r="D965" s="171" t="s">
        <v>152</v>
      </c>
      <c r="E965" s="171" t="s">
        <v>125</v>
      </c>
      <c r="F965" s="171" t="s">
        <v>125</v>
      </c>
      <c r="G965" s="171" t="s">
        <v>125</v>
      </c>
      <c r="H965" s="176">
        <v>0</v>
      </c>
      <c r="I965" s="177">
        <v>0</v>
      </c>
      <c r="J965" s="175">
        <v>46053</v>
      </c>
      <c r="K965" s="171" t="s">
        <v>125</v>
      </c>
      <c r="L965" s="171" t="s">
        <v>125</v>
      </c>
      <c r="M965" s="178">
        <v>0</v>
      </c>
      <c r="N965" s="176"/>
      <c r="O965" s="176"/>
      <c r="P965" s="179">
        <v>-1300.46</v>
      </c>
    </row>
    <row r="966" spans="1:16" ht="19.5" customHeight="1">
      <c r="A966" s="171" t="s">
        <v>155</v>
      </c>
      <c r="B966" s="175">
        <v>46053</v>
      </c>
      <c r="C966" s="171" t="s">
        <v>151</v>
      </c>
      <c r="D966" s="171" t="s">
        <v>156</v>
      </c>
      <c r="E966" s="171" t="s">
        <v>125</v>
      </c>
      <c r="F966" s="171" t="s">
        <v>125</v>
      </c>
      <c r="G966" s="171" t="s">
        <v>125</v>
      </c>
      <c r="H966" s="176">
        <v>0</v>
      </c>
      <c r="I966" s="177">
        <v>0</v>
      </c>
      <c r="J966" s="175">
        <v>46053</v>
      </c>
      <c r="K966" s="171" t="s">
        <v>125</v>
      </c>
      <c r="L966" s="171" t="s">
        <v>125</v>
      </c>
      <c r="M966" s="178">
        <v>0</v>
      </c>
      <c r="N966" s="176"/>
      <c r="O966" s="176"/>
      <c r="P966" s="179">
        <v>-540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E9C94-8BA8-4ADE-AA95-F84B6514BA02}">
  <dimension ref="A1:P921"/>
  <sheetViews>
    <sheetView workbookViewId="0">
      <selection sqref="A1:XFD104857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544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545</v>
      </c>
      <c r="B3" s="175">
        <v>46041</v>
      </c>
      <c r="C3" s="171" t="s">
        <v>110</v>
      </c>
      <c r="D3" s="171" t="s">
        <v>117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46027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545</v>
      </c>
      <c r="B4" s="175">
        <v>46041</v>
      </c>
      <c r="C4" s="171" t="s">
        <v>110</v>
      </c>
      <c r="D4" s="171" t="s">
        <v>118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46027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545</v>
      </c>
      <c r="B5" s="175">
        <v>46041</v>
      </c>
      <c r="C5" s="171" t="s">
        <v>115</v>
      </c>
      <c r="D5" s="171" t="s">
        <v>119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46027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545</v>
      </c>
      <c r="B6" s="175">
        <v>46041</v>
      </c>
      <c r="C6" s="171" t="s">
        <v>110</v>
      </c>
      <c r="D6" s="171" t="s">
        <v>24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46027</v>
      </c>
      <c r="K6" s="171" t="s">
        <v>113</v>
      </c>
      <c r="L6" s="171" t="s">
        <v>114</v>
      </c>
      <c r="M6" s="178">
        <v>0</v>
      </c>
      <c r="N6" s="176"/>
      <c r="O6" s="176">
        <v>41</v>
      </c>
      <c r="P6" s="179">
        <v>-46.77</v>
      </c>
    </row>
    <row r="7" spans="1:16" ht="19.5" customHeight="1">
      <c r="A7" s="171" t="s">
        <v>545</v>
      </c>
      <c r="B7" s="175">
        <v>46041</v>
      </c>
      <c r="C7" s="171" t="s">
        <v>115</v>
      </c>
      <c r="D7" s="171" t="s">
        <v>116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46027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-8.83</v>
      </c>
    </row>
    <row r="8" spans="1:16" ht="19.5" customHeight="1">
      <c r="A8" s="171" t="s">
        <v>546</v>
      </c>
      <c r="B8" s="175">
        <v>46041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46041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-5.43</v>
      </c>
    </row>
    <row r="9" spans="1:16" ht="19.5" customHeight="1">
      <c r="A9" s="171" t="s">
        <v>547</v>
      </c>
      <c r="B9" s="175">
        <v>46041</v>
      </c>
      <c r="C9" s="171" t="s">
        <v>110</v>
      </c>
      <c r="D9" s="171" t="s">
        <v>24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46035</v>
      </c>
      <c r="K9" s="171" t="s">
        <v>113</v>
      </c>
      <c r="L9" s="171" t="s">
        <v>114</v>
      </c>
      <c r="M9" s="178">
        <v>0</v>
      </c>
      <c r="N9" s="176"/>
      <c r="O9" s="176">
        <v>46</v>
      </c>
      <c r="P9" s="179">
        <v>-46.77</v>
      </c>
    </row>
    <row r="10" spans="1:16" ht="19.5" customHeight="1">
      <c r="A10" s="171" t="s">
        <v>547</v>
      </c>
      <c r="B10" s="175">
        <v>46041</v>
      </c>
      <c r="C10" s="171" t="s">
        <v>115</v>
      </c>
      <c r="D10" s="171" t="s">
        <v>116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46035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-7.96</v>
      </c>
    </row>
    <row r="11" spans="1:16" ht="19.5" customHeight="1">
      <c r="A11" s="171" t="s">
        <v>547</v>
      </c>
      <c r="B11" s="175">
        <v>46041</v>
      </c>
      <c r="C11" s="171" t="s">
        <v>110</v>
      </c>
      <c r="D11" s="171" t="s">
        <v>117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46035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0</v>
      </c>
    </row>
    <row r="12" spans="1:16" ht="19.5" customHeight="1">
      <c r="A12" s="171" t="s">
        <v>547</v>
      </c>
      <c r="B12" s="175">
        <v>46041</v>
      </c>
      <c r="C12" s="171" t="s">
        <v>110</v>
      </c>
      <c r="D12" s="171" t="s">
        <v>118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46035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-46.77</v>
      </c>
    </row>
    <row r="13" spans="1:16" ht="19.5" customHeight="1">
      <c r="A13" s="171" t="s">
        <v>547</v>
      </c>
      <c r="B13" s="175">
        <v>46041</v>
      </c>
      <c r="C13" s="171" t="s">
        <v>115</v>
      </c>
      <c r="D13" s="171" t="s">
        <v>119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46035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-15</v>
      </c>
    </row>
    <row r="14" spans="1:16" ht="19.5" customHeight="1">
      <c r="A14" s="171" t="s">
        <v>548</v>
      </c>
      <c r="B14" s="175">
        <v>46041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46028</v>
      </c>
      <c r="K14" s="171" t="s">
        <v>113</v>
      </c>
      <c r="L14" s="171" t="s">
        <v>114</v>
      </c>
      <c r="M14" s="178">
        <v>0</v>
      </c>
      <c r="N14" s="176"/>
      <c r="O14" s="176">
        <v>44</v>
      </c>
      <c r="P14" s="179">
        <v>-46.77</v>
      </c>
    </row>
    <row r="15" spans="1:16" ht="19.5" customHeight="1">
      <c r="A15" s="171" t="s">
        <v>548</v>
      </c>
      <c r="B15" s="175">
        <v>46041</v>
      </c>
      <c r="C15" s="171" t="s">
        <v>115</v>
      </c>
      <c r="D15" s="171" t="s">
        <v>116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46028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-10.81</v>
      </c>
    </row>
    <row r="16" spans="1:16" ht="19.5" customHeight="1">
      <c r="A16" s="171" t="s">
        <v>548</v>
      </c>
      <c r="B16" s="175">
        <v>46041</v>
      </c>
      <c r="C16" s="171" t="s">
        <v>110</v>
      </c>
      <c r="D16" s="171" t="s">
        <v>117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46028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548</v>
      </c>
      <c r="B17" s="175">
        <v>46041</v>
      </c>
      <c r="C17" s="171" t="s">
        <v>110</v>
      </c>
      <c r="D17" s="171" t="s">
        <v>118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0</v>
      </c>
      <c r="J17" s="175">
        <v>46028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-46.77</v>
      </c>
    </row>
    <row r="18" spans="1:16" ht="19.5" customHeight="1">
      <c r="A18" s="171" t="s">
        <v>548</v>
      </c>
      <c r="B18" s="175">
        <v>46041</v>
      </c>
      <c r="C18" s="171" t="s">
        <v>115</v>
      </c>
      <c r="D18" s="171" t="s">
        <v>119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/>
      <c r="P18" s="179">
        <v>-15</v>
      </c>
    </row>
    <row r="19" spans="1:16" ht="19.5" customHeight="1">
      <c r="A19" s="171" t="s">
        <v>549</v>
      </c>
      <c r="B19" s="175">
        <v>46041</v>
      </c>
      <c r="C19" s="171" t="s">
        <v>115</v>
      </c>
      <c r="D19" s="171" t="s">
        <v>135</v>
      </c>
      <c r="E19" s="171" t="s">
        <v>42</v>
      </c>
      <c r="F19" s="171" t="s">
        <v>248</v>
      </c>
      <c r="G19" s="171" t="s">
        <v>112</v>
      </c>
      <c r="H19" s="176">
        <v>1</v>
      </c>
      <c r="I19" s="177">
        <v>0</v>
      </c>
      <c r="J19" s="175">
        <v>46041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-16.579999999999998</v>
      </c>
    </row>
    <row r="20" spans="1:16" ht="19.5" customHeight="1">
      <c r="A20" s="171" t="s">
        <v>550</v>
      </c>
      <c r="B20" s="175">
        <v>46041</v>
      </c>
      <c r="C20" s="171" t="s">
        <v>110</v>
      </c>
      <c r="D20" s="171" t="s">
        <v>24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1670</v>
      </c>
      <c r="J20" s="175">
        <v>46040</v>
      </c>
      <c r="K20" s="171" t="s">
        <v>113</v>
      </c>
      <c r="L20" s="171" t="s">
        <v>114</v>
      </c>
      <c r="M20" s="178">
        <v>0.43</v>
      </c>
      <c r="N20" s="176"/>
      <c r="O20" s="176">
        <v>51</v>
      </c>
      <c r="P20" s="179">
        <v>-147.08000000000001</v>
      </c>
    </row>
    <row r="21" spans="1:16" ht="19.5" customHeight="1">
      <c r="A21" s="171" t="s">
        <v>550</v>
      </c>
      <c r="B21" s="175">
        <v>46041</v>
      </c>
      <c r="C21" s="171" t="s">
        <v>127</v>
      </c>
      <c r="D21" s="171" t="s">
        <v>128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1670</v>
      </c>
      <c r="J21" s="175">
        <v>46040</v>
      </c>
      <c r="K21" s="171" t="s">
        <v>113</v>
      </c>
      <c r="L21" s="171" t="s">
        <v>114</v>
      </c>
      <c r="M21" s="178">
        <v>0</v>
      </c>
      <c r="N21" s="176"/>
      <c r="O21" s="176"/>
      <c r="P21" s="179">
        <v>574.29</v>
      </c>
    </row>
    <row r="22" spans="1:16" ht="19.5" customHeight="1">
      <c r="A22" s="171" t="s">
        <v>550</v>
      </c>
      <c r="B22" s="175">
        <v>46041</v>
      </c>
      <c r="C22" s="171" t="s">
        <v>127</v>
      </c>
      <c r="D22" s="171" t="s">
        <v>129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1670</v>
      </c>
      <c r="J22" s="175">
        <v>46040</v>
      </c>
      <c r="K22" s="171" t="s">
        <v>113</v>
      </c>
      <c r="L22" s="171" t="s">
        <v>114</v>
      </c>
      <c r="M22" s="178">
        <v>0</v>
      </c>
      <c r="N22" s="176"/>
      <c r="O22" s="176"/>
      <c r="P22" s="179">
        <v>5.74</v>
      </c>
    </row>
    <row r="23" spans="1:16" ht="19.5" customHeight="1">
      <c r="A23" s="171" t="s">
        <v>550</v>
      </c>
      <c r="B23" s="175">
        <v>46041</v>
      </c>
      <c r="C23" s="171" t="s">
        <v>127</v>
      </c>
      <c r="D23" s="171" t="s">
        <v>130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1670</v>
      </c>
      <c r="J23" s="175">
        <v>46040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1089.97</v>
      </c>
    </row>
    <row r="24" spans="1:16" ht="19.5" customHeight="1">
      <c r="A24" s="171" t="s">
        <v>550</v>
      </c>
      <c r="B24" s="175">
        <v>46041</v>
      </c>
      <c r="C24" s="171" t="s">
        <v>131</v>
      </c>
      <c r="D24" s="171" t="s">
        <v>132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1670</v>
      </c>
      <c r="J24" s="175">
        <v>46040</v>
      </c>
      <c r="K24" s="171" t="s">
        <v>113</v>
      </c>
      <c r="L24" s="171" t="s">
        <v>114</v>
      </c>
      <c r="M24" s="178">
        <v>0.43</v>
      </c>
      <c r="N24" s="176"/>
      <c r="O24" s="176"/>
      <c r="P24" s="179">
        <v>-718.1</v>
      </c>
    </row>
    <row r="25" spans="1:16" ht="19.5" customHeight="1">
      <c r="A25" s="171" t="s">
        <v>550</v>
      </c>
      <c r="B25" s="175">
        <v>46041</v>
      </c>
      <c r="C25" s="171" t="s">
        <v>115</v>
      </c>
      <c r="D25" s="171" t="s">
        <v>116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1670</v>
      </c>
      <c r="J25" s="175">
        <v>46040</v>
      </c>
      <c r="K25" s="171" t="s">
        <v>113</v>
      </c>
      <c r="L25" s="171" t="s">
        <v>114</v>
      </c>
      <c r="M25" s="178">
        <v>0.43</v>
      </c>
      <c r="N25" s="176"/>
      <c r="O25" s="176"/>
      <c r="P25" s="179">
        <v>-9.94</v>
      </c>
    </row>
    <row r="26" spans="1:16" ht="19.5" customHeight="1">
      <c r="A26" s="171" t="s">
        <v>551</v>
      </c>
      <c r="B26" s="175">
        <v>46041</v>
      </c>
      <c r="C26" s="171" t="s">
        <v>110</v>
      </c>
      <c r="D26" s="171" t="s">
        <v>24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46036</v>
      </c>
      <c r="K26" s="171" t="s">
        <v>113</v>
      </c>
      <c r="L26" s="171" t="s">
        <v>114</v>
      </c>
      <c r="M26" s="178">
        <v>0</v>
      </c>
      <c r="N26" s="176"/>
      <c r="O26" s="176">
        <v>44</v>
      </c>
      <c r="P26" s="179">
        <v>-46.77</v>
      </c>
    </row>
    <row r="27" spans="1:16" ht="19.5" customHeight="1">
      <c r="A27" s="171" t="s">
        <v>551</v>
      </c>
      <c r="B27" s="175">
        <v>46041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46036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-11.03</v>
      </c>
    </row>
    <row r="28" spans="1:16" ht="19.5" customHeight="1">
      <c r="A28" s="171" t="s">
        <v>551</v>
      </c>
      <c r="B28" s="175">
        <v>46041</v>
      </c>
      <c r="C28" s="171" t="s">
        <v>110</v>
      </c>
      <c r="D28" s="171" t="s">
        <v>117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46036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0</v>
      </c>
    </row>
    <row r="29" spans="1:16" ht="19.5" customHeight="1">
      <c r="A29" s="171" t="s">
        <v>551</v>
      </c>
      <c r="B29" s="175">
        <v>46041</v>
      </c>
      <c r="C29" s="171" t="s">
        <v>110</v>
      </c>
      <c r="D29" s="171" t="s">
        <v>118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46036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-46.77</v>
      </c>
    </row>
    <row r="30" spans="1:16" ht="19.5" customHeight="1">
      <c r="A30" s="171" t="s">
        <v>551</v>
      </c>
      <c r="B30" s="175">
        <v>46041</v>
      </c>
      <c r="C30" s="171" t="s">
        <v>115</v>
      </c>
      <c r="D30" s="171" t="s">
        <v>119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46036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-15</v>
      </c>
    </row>
    <row r="31" spans="1:16" ht="19.5" customHeight="1">
      <c r="A31" s="171" t="s">
        <v>552</v>
      </c>
      <c r="B31" s="175">
        <v>46041</v>
      </c>
      <c r="C31" s="171" t="s">
        <v>110</v>
      </c>
      <c r="D31" s="171" t="s">
        <v>24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46032</v>
      </c>
      <c r="K31" s="171" t="s">
        <v>113</v>
      </c>
      <c r="L31" s="171" t="s">
        <v>114</v>
      </c>
      <c r="M31" s="178">
        <v>0</v>
      </c>
      <c r="N31" s="176"/>
      <c r="O31" s="176">
        <v>47</v>
      </c>
      <c r="P31" s="179">
        <v>-46.77</v>
      </c>
    </row>
    <row r="32" spans="1:16" ht="19.5" customHeight="1">
      <c r="A32" s="171" t="s">
        <v>552</v>
      </c>
      <c r="B32" s="175">
        <v>46041</v>
      </c>
      <c r="C32" s="171" t="s">
        <v>115</v>
      </c>
      <c r="D32" s="171" t="s">
        <v>116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46032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-8.83</v>
      </c>
    </row>
    <row r="33" spans="1:16" ht="19.5" customHeight="1">
      <c r="A33" s="171" t="s">
        <v>552</v>
      </c>
      <c r="B33" s="175">
        <v>46041</v>
      </c>
      <c r="C33" s="171" t="s">
        <v>110</v>
      </c>
      <c r="D33" s="171" t="s">
        <v>117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46032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0</v>
      </c>
    </row>
    <row r="34" spans="1:16" ht="19.5" customHeight="1">
      <c r="A34" s="171" t="s">
        <v>552</v>
      </c>
      <c r="B34" s="175">
        <v>46041</v>
      </c>
      <c r="C34" s="171" t="s">
        <v>110</v>
      </c>
      <c r="D34" s="171" t="s">
        <v>118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0</v>
      </c>
      <c r="J34" s="175">
        <v>46032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-46.77</v>
      </c>
    </row>
    <row r="35" spans="1:16" ht="19.5" customHeight="1">
      <c r="A35" s="171" t="s">
        <v>552</v>
      </c>
      <c r="B35" s="175">
        <v>46041</v>
      </c>
      <c r="C35" s="171" t="s">
        <v>115</v>
      </c>
      <c r="D35" s="171" t="s">
        <v>119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0</v>
      </c>
      <c r="J35" s="175">
        <v>46032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-15</v>
      </c>
    </row>
    <row r="36" spans="1:16" ht="19.5" customHeight="1">
      <c r="A36" s="171" t="s">
        <v>553</v>
      </c>
      <c r="B36" s="175">
        <v>46041</v>
      </c>
      <c r="C36" s="171" t="s">
        <v>110</v>
      </c>
      <c r="D36" s="171" t="s">
        <v>24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1670</v>
      </c>
      <c r="J36" s="175">
        <v>46039</v>
      </c>
      <c r="K36" s="171" t="s">
        <v>113</v>
      </c>
      <c r="L36" s="171" t="s">
        <v>114</v>
      </c>
      <c r="M36" s="178">
        <v>0.43</v>
      </c>
      <c r="N36" s="176"/>
      <c r="O36" s="176">
        <v>51</v>
      </c>
      <c r="P36" s="179">
        <v>-147.08000000000001</v>
      </c>
    </row>
    <row r="37" spans="1:16" ht="19.5" customHeight="1">
      <c r="A37" s="171" t="s">
        <v>553</v>
      </c>
      <c r="B37" s="175">
        <v>46041</v>
      </c>
      <c r="C37" s="171" t="s">
        <v>127</v>
      </c>
      <c r="D37" s="171" t="s">
        <v>128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1670</v>
      </c>
      <c r="J37" s="175">
        <v>46039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636.19000000000005</v>
      </c>
    </row>
    <row r="38" spans="1:16" ht="19.5" customHeight="1">
      <c r="A38" s="171" t="s">
        <v>553</v>
      </c>
      <c r="B38" s="175">
        <v>46041</v>
      </c>
      <c r="C38" s="171" t="s">
        <v>127</v>
      </c>
      <c r="D38" s="171" t="s">
        <v>129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1670</v>
      </c>
      <c r="J38" s="175">
        <v>46039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553</v>
      </c>
      <c r="B39" s="175">
        <v>46041</v>
      </c>
      <c r="C39" s="171" t="s">
        <v>127</v>
      </c>
      <c r="D39" s="171" t="s">
        <v>130</v>
      </c>
      <c r="E39" s="171" t="s">
        <v>38</v>
      </c>
      <c r="F39" s="171" t="s">
        <v>111</v>
      </c>
      <c r="G39" s="171" t="s">
        <v>112</v>
      </c>
      <c r="H39" s="176">
        <v>1</v>
      </c>
      <c r="I39" s="177">
        <v>1670</v>
      </c>
      <c r="J39" s="175">
        <v>46039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1033.81</v>
      </c>
    </row>
    <row r="40" spans="1:16" ht="19.5" customHeight="1">
      <c r="A40" s="171" t="s">
        <v>553</v>
      </c>
      <c r="B40" s="175">
        <v>46041</v>
      </c>
      <c r="C40" s="171" t="s">
        <v>131</v>
      </c>
      <c r="D40" s="171" t="s">
        <v>132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1670</v>
      </c>
      <c r="J40" s="175">
        <v>46039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-718.1</v>
      </c>
    </row>
    <row r="41" spans="1:16" ht="19.5" customHeight="1">
      <c r="A41" s="171" t="s">
        <v>553</v>
      </c>
      <c r="B41" s="175">
        <v>46041</v>
      </c>
      <c r="C41" s="171" t="s">
        <v>115</v>
      </c>
      <c r="D41" s="171" t="s">
        <v>116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1670</v>
      </c>
      <c r="J41" s="175">
        <v>46039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-9.35</v>
      </c>
    </row>
    <row r="42" spans="1:16" ht="19.5" customHeight="1">
      <c r="A42" s="171" t="s">
        <v>554</v>
      </c>
      <c r="B42" s="175">
        <v>46041</v>
      </c>
      <c r="C42" s="171" t="s">
        <v>110</v>
      </c>
      <c r="D42" s="171" t="s">
        <v>24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1670</v>
      </c>
      <c r="J42" s="175">
        <v>46040</v>
      </c>
      <c r="K42" s="171" t="s">
        <v>113</v>
      </c>
      <c r="L42" s="171" t="s">
        <v>114</v>
      </c>
      <c r="M42" s="178">
        <v>0.43</v>
      </c>
      <c r="N42" s="176"/>
      <c r="O42" s="176">
        <v>51</v>
      </c>
      <c r="P42" s="179">
        <v>-147.08000000000001</v>
      </c>
    </row>
    <row r="43" spans="1:16" ht="19.5" customHeight="1">
      <c r="A43" s="171" t="s">
        <v>554</v>
      </c>
      <c r="B43" s="175">
        <v>46041</v>
      </c>
      <c r="C43" s="171" t="s">
        <v>127</v>
      </c>
      <c r="D43" s="171" t="s">
        <v>128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1670</v>
      </c>
      <c r="J43" s="175">
        <v>46040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574.29</v>
      </c>
    </row>
    <row r="44" spans="1:16" ht="19.5" customHeight="1">
      <c r="A44" s="171" t="s">
        <v>554</v>
      </c>
      <c r="B44" s="175">
        <v>46041</v>
      </c>
      <c r="C44" s="171" t="s">
        <v>127</v>
      </c>
      <c r="D44" s="171" t="s">
        <v>129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1670</v>
      </c>
      <c r="J44" s="175">
        <v>46040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5.74</v>
      </c>
    </row>
    <row r="45" spans="1:16" ht="19.5" customHeight="1">
      <c r="A45" s="171" t="s">
        <v>554</v>
      </c>
      <c r="B45" s="175">
        <v>46041</v>
      </c>
      <c r="C45" s="171" t="s">
        <v>127</v>
      </c>
      <c r="D45" s="171" t="s">
        <v>130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1670</v>
      </c>
      <c r="J45" s="175">
        <v>46040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1089.97</v>
      </c>
    </row>
    <row r="46" spans="1:16" ht="19.5" customHeight="1">
      <c r="A46" s="171" t="s">
        <v>554</v>
      </c>
      <c r="B46" s="175">
        <v>46041</v>
      </c>
      <c r="C46" s="171" t="s">
        <v>131</v>
      </c>
      <c r="D46" s="171" t="s">
        <v>132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1670</v>
      </c>
      <c r="J46" s="175">
        <v>46040</v>
      </c>
      <c r="K46" s="171" t="s">
        <v>113</v>
      </c>
      <c r="L46" s="171" t="s">
        <v>114</v>
      </c>
      <c r="M46" s="178">
        <v>0.43</v>
      </c>
      <c r="N46" s="176"/>
      <c r="O46" s="176"/>
      <c r="P46" s="179">
        <v>-718.1</v>
      </c>
    </row>
    <row r="47" spans="1:16" ht="19.5" customHeight="1">
      <c r="A47" s="171" t="s">
        <v>554</v>
      </c>
      <c r="B47" s="175">
        <v>46041</v>
      </c>
      <c r="C47" s="171" t="s">
        <v>115</v>
      </c>
      <c r="D47" s="171" t="s">
        <v>116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1670</v>
      </c>
      <c r="J47" s="175">
        <v>46040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-17</v>
      </c>
    </row>
    <row r="48" spans="1:16" ht="19.5" customHeight="1">
      <c r="A48" s="171" t="s">
        <v>555</v>
      </c>
      <c r="B48" s="175">
        <v>46041</v>
      </c>
      <c r="C48" s="171" t="s">
        <v>110</v>
      </c>
      <c r="D48" s="171" t="s">
        <v>24</v>
      </c>
      <c r="E48" s="171" t="s">
        <v>48</v>
      </c>
      <c r="F48" s="171" t="s">
        <v>198</v>
      </c>
      <c r="G48" s="171" t="s">
        <v>112</v>
      </c>
      <c r="H48" s="176">
        <v>1</v>
      </c>
      <c r="I48" s="177">
        <v>1387</v>
      </c>
      <c r="J48" s="175">
        <v>46038</v>
      </c>
      <c r="K48" s="171" t="s">
        <v>113</v>
      </c>
      <c r="L48" s="171" t="s">
        <v>114</v>
      </c>
      <c r="M48" s="178">
        <v>0.43</v>
      </c>
      <c r="N48" s="176"/>
      <c r="O48" s="176">
        <v>48</v>
      </c>
      <c r="P48" s="179">
        <v>-131.54</v>
      </c>
    </row>
    <row r="49" spans="1:16" ht="19.5" customHeight="1">
      <c r="A49" s="171" t="s">
        <v>555</v>
      </c>
      <c r="B49" s="175">
        <v>46041</v>
      </c>
      <c r="C49" s="171" t="s">
        <v>127</v>
      </c>
      <c r="D49" s="171" t="s">
        <v>128</v>
      </c>
      <c r="E49" s="171" t="s">
        <v>48</v>
      </c>
      <c r="F49" s="171" t="s">
        <v>198</v>
      </c>
      <c r="G49" s="171" t="s">
        <v>112</v>
      </c>
      <c r="H49" s="176">
        <v>1</v>
      </c>
      <c r="I49" s="177">
        <v>1387</v>
      </c>
      <c r="J49" s="175">
        <v>46038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741.9</v>
      </c>
    </row>
    <row r="50" spans="1:16" ht="19.5" customHeight="1">
      <c r="A50" s="171" t="s">
        <v>555</v>
      </c>
      <c r="B50" s="175">
        <v>46041</v>
      </c>
      <c r="C50" s="171" t="s">
        <v>127</v>
      </c>
      <c r="D50" s="171" t="s">
        <v>129</v>
      </c>
      <c r="E50" s="171" t="s">
        <v>48</v>
      </c>
      <c r="F50" s="171" t="s">
        <v>198</v>
      </c>
      <c r="G50" s="171" t="s">
        <v>112</v>
      </c>
      <c r="H50" s="176">
        <v>1</v>
      </c>
      <c r="I50" s="177">
        <v>1387</v>
      </c>
      <c r="J50" s="175">
        <v>46038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7.42</v>
      </c>
    </row>
    <row r="51" spans="1:16" ht="19.5" customHeight="1">
      <c r="A51" s="171" t="s">
        <v>555</v>
      </c>
      <c r="B51" s="175">
        <v>46041</v>
      </c>
      <c r="C51" s="171" t="s">
        <v>127</v>
      </c>
      <c r="D51" s="171" t="s">
        <v>130</v>
      </c>
      <c r="E51" s="171" t="s">
        <v>48</v>
      </c>
      <c r="F51" s="171" t="s">
        <v>198</v>
      </c>
      <c r="G51" s="171" t="s">
        <v>112</v>
      </c>
      <c r="H51" s="176">
        <v>1</v>
      </c>
      <c r="I51" s="177">
        <v>1387</v>
      </c>
      <c r="J51" s="175">
        <v>46038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637.67999999999995</v>
      </c>
    </row>
    <row r="52" spans="1:16" ht="19.5" customHeight="1">
      <c r="A52" s="171" t="s">
        <v>555</v>
      </c>
      <c r="B52" s="175">
        <v>46041</v>
      </c>
      <c r="C52" s="171" t="s">
        <v>131</v>
      </c>
      <c r="D52" s="171" t="s">
        <v>132</v>
      </c>
      <c r="E52" s="171" t="s">
        <v>48</v>
      </c>
      <c r="F52" s="171" t="s">
        <v>198</v>
      </c>
      <c r="G52" s="171" t="s">
        <v>112</v>
      </c>
      <c r="H52" s="176">
        <v>1</v>
      </c>
      <c r="I52" s="177">
        <v>1387</v>
      </c>
      <c r="J52" s="175">
        <v>46038</v>
      </c>
      <c r="K52" s="171" t="s">
        <v>113</v>
      </c>
      <c r="L52" s="171" t="s">
        <v>114</v>
      </c>
      <c r="M52" s="178">
        <v>0.43</v>
      </c>
      <c r="N52" s="176"/>
      <c r="O52" s="176"/>
      <c r="P52" s="179">
        <v>-596.41</v>
      </c>
    </row>
    <row r="53" spans="1:16" ht="19.5" customHeight="1">
      <c r="A53" s="171" t="s">
        <v>555</v>
      </c>
      <c r="B53" s="175">
        <v>46041</v>
      </c>
      <c r="C53" s="171" t="s">
        <v>115</v>
      </c>
      <c r="D53" s="171" t="s">
        <v>116</v>
      </c>
      <c r="E53" s="171" t="s">
        <v>48</v>
      </c>
      <c r="F53" s="171" t="s">
        <v>198</v>
      </c>
      <c r="G53" s="171" t="s">
        <v>112</v>
      </c>
      <c r="H53" s="176">
        <v>1</v>
      </c>
      <c r="I53" s="177">
        <v>1387</v>
      </c>
      <c r="J53" s="175">
        <v>46038</v>
      </c>
      <c r="K53" s="171" t="s">
        <v>113</v>
      </c>
      <c r="L53" s="171" t="s">
        <v>114</v>
      </c>
      <c r="M53" s="178">
        <v>0.43</v>
      </c>
      <c r="N53" s="176"/>
      <c r="O53" s="176"/>
      <c r="P53" s="179">
        <v>-8.59</v>
      </c>
    </row>
    <row r="54" spans="1:16" ht="19.5" customHeight="1">
      <c r="A54" s="171" t="s">
        <v>556</v>
      </c>
      <c r="B54" s="175">
        <v>46041</v>
      </c>
      <c r="C54" s="171" t="s">
        <v>110</v>
      </c>
      <c r="D54" s="171" t="s">
        <v>24</v>
      </c>
      <c r="E54" s="171" t="s">
        <v>44</v>
      </c>
      <c r="F54" s="171" t="s">
        <v>213</v>
      </c>
      <c r="G54" s="171" t="s">
        <v>214</v>
      </c>
      <c r="H54" s="176">
        <v>1</v>
      </c>
      <c r="I54" s="177">
        <v>1815</v>
      </c>
      <c r="J54" s="175">
        <v>46033</v>
      </c>
      <c r="K54" s="171" t="s">
        <v>113</v>
      </c>
      <c r="L54" s="171" t="s">
        <v>114</v>
      </c>
      <c r="M54" s="178">
        <v>0.43</v>
      </c>
      <c r="N54" s="176"/>
      <c r="O54" s="176">
        <v>50</v>
      </c>
      <c r="P54" s="179">
        <v>-151.29</v>
      </c>
    </row>
    <row r="55" spans="1:16" ht="19.5" customHeight="1">
      <c r="A55" s="171" t="s">
        <v>556</v>
      </c>
      <c r="B55" s="175">
        <v>46041</v>
      </c>
      <c r="C55" s="171" t="s">
        <v>127</v>
      </c>
      <c r="D55" s="171" t="s">
        <v>128</v>
      </c>
      <c r="E55" s="171" t="s">
        <v>44</v>
      </c>
      <c r="F55" s="171" t="s">
        <v>213</v>
      </c>
      <c r="G55" s="171" t="s">
        <v>214</v>
      </c>
      <c r="H55" s="176">
        <v>1</v>
      </c>
      <c r="I55" s="177">
        <v>1815</v>
      </c>
      <c r="J55" s="175">
        <v>46033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646.66999999999996</v>
      </c>
    </row>
    <row r="56" spans="1:16" ht="19.5" customHeight="1">
      <c r="A56" s="171" t="s">
        <v>556</v>
      </c>
      <c r="B56" s="175">
        <v>46041</v>
      </c>
      <c r="C56" s="171" t="s">
        <v>127</v>
      </c>
      <c r="D56" s="171" t="s">
        <v>129</v>
      </c>
      <c r="E56" s="171" t="s">
        <v>44</v>
      </c>
      <c r="F56" s="171" t="s">
        <v>213</v>
      </c>
      <c r="G56" s="171" t="s">
        <v>214</v>
      </c>
      <c r="H56" s="176">
        <v>1</v>
      </c>
      <c r="I56" s="177">
        <v>1815</v>
      </c>
      <c r="J56" s="175">
        <v>46033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6.47</v>
      </c>
    </row>
    <row r="57" spans="1:16" ht="19.5" customHeight="1">
      <c r="A57" s="171" t="s">
        <v>556</v>
      </c>
      <c r="B57" s="175">
        <v>46041</v>
      </c>
      <c r="C57" s="171" t="s">
        <v>127</v>
      </c>
      <c r="D57" s="171" t="s">
        <v>130</v>
      </c>
      <c r="E57" s="171" t="s">
        <v>44</v>
      </c>
      <c r="F57" s="171" t="s">
        <v>213</v>
      </c>
      <c r="G57" s="171" t="s">
        <v>214</v>
      </c>
      <c r="H57" s="176">
        <v>1</v>
      </c>
      <c r="I57" s="177">
        <v>1815</v>
      </c>
      <c r="J57" s="175">
        <v>46033</v>
      </c>
      <c r="K57" s="171" t="s">
        <v>113</v>
      </c>
      <c r="L57" s="171" t="s">
        <v>114</v>
      </c>
      <c r="M57" s="178">
        <v>0</v>
      </c>
      <c r="N57" s="176"/>
      <c r="O57" s="176"/>
      <c r="P57" s="179">
        <v>1161.8599999999999</v>
      </c>
    </row>
    <row r="58" spans="1:16" ht="19.5" customHeight="1">
      <c r="A58" s="171" t="s">
        <v>556</v>
      </c>
      <c r="B58" s="175">
        <v>46041</v>
      </c>
      <c r="C58" s="171" t="s">
        <v>131</v>
      </c>
      <c r="D58" s="171" t="s">
        <v>132</v>
      </c>
      <c r="E58" s="171" t="s">
        <v>44</v>
      </c>
      <c r="F58" s="171" t="s">
        <v>213</v>
      </c>
      <c r="G58" s="171" t="s">
        <v>214</v>
      </c>
      <c r="H58" s="176">
        <v>1</v>
      </c>
      <c r="I58" s="177">
        <v>1815</v>
      </c>
      <c r="J58" s="175">
        <v>46033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-780.45</v>
      </c>
    </row>
    <row r="59" spans="1:16" ht="19.5" customHeight="1">
      <c r="A59" s="171" t="s">
        <v>556</v>
      </c>
      <c r="B59" s="175">
        <v>46041</v>
      </c>
      <c r="C59" s="171" t="s">
        <v>115</v>
      </c>
      <c r="D59" s="171" t="s">
        <v>116</v>
      </c>
      <c r="E59" s="171" t="s">
        <v>44</v>
      </c>
      <c r="F59" s="171" t="s">
        <v>213</v>
      </c>
      <c r="G59" s="171" t="s">
        <v>214</v>
      </c>
      <c r="H59" s="176">
        <v>1</v>
      </c>
      <c r="I59" s="177">
        <v>1815</v>
      </c>
      <c r="J59" s="175">
        <v>46033</v>
      </c>
      <c r="K59" s="171" t="s">
        <v>113</v>
      </c>
      <c r="L59" s="171" t="s">
        <v>114</v>
      </c>
      <c r="M59" s="178">
        <v>0.43</v>
      </c>
      <c r="N59" s="176"/>
      <c r="O59" s="176"/>
      <c r="P59" s="179">
        <v>-14.04</v>
      </c>
    </row>
    <row r="60" spans="1:16" ht="19.5" customHeight="1">
      <c r="A60" s="171" t="s">
        <v>557</v>
      </c>
      <c r="B60" s="175">
        <v>46041</v>
      </c>
      <c r="C60" s="171" t="s">
        <v>110</v>
      </c>
      <c r="D60" s="171" t="s">
        <v>24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0</v>
      </c>
      <c r="J60" s="175">
        <v>46033</v>
      </c>
      <c r="K60" s="171" t="s">
        <v>113</v>
      </c>
      <c r="L60" s="171" t="s">
        <v>114</v>
      </c>
      <c r="M60" s="178">
        <v>0</v>
      </c>
      <c r="N60" s="176"/>
      <c r="O60" s="176">
        <v>50</v>
      </c>
      <c r="P60" s="179">
        <v>-46.77</v>
      </c>
    </row>
    <row r="61" spans="1:16" ht="19.5" customHeight="1">
      <c r="A61" s="171" t="s">
        <v>557</v>
      </c>
      <c r="B61" s="175">
        <v>46041</v>
      </c>
      <c r="C61" s="171" t="s">
        <v>115</v>
      </c>
      <c r="D61" s="171" t="s">
        <v>116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0</v>
      </c>
      <c r="J61" s="175">
        <v>46033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-8.3699999999999992</v>
      </c>
    </row>
    <row r="62" spans="1:16" ht="19.5" customHeight="1">
      <c r="A62" s="171" t="s">
        <v>557</v>
      </c>
      <c r="B62" s="175">
        <v>46041</v>
      </c>
      <c r="C62" s="171" t="s">
        <v>110</v>
      </c>
      <c r="D62" s="171" t="s">
        <v>117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0</v>
      </c>
      <c r="J62" s="175">
        <v>46033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0</v>
      </c>
    </row>
    <row r="63" spans="1:16" ht="19.5" customHeight="1">
      <c r="A63" s="171" t="s">
        <v>557</v>
      </c>
      <c r="B63" s="175">
        <v>46041</v>
      </c>
      <c r="C63" s="171" t="s">
        <v>110</v>
      </c>
      <c r="D63" s="171" t="s">
        <v>118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0</v>
      </c>
      <c r="J63" s="175">
        <v>46033</v>
      </c>
      <c r="K63" s="171" t="s">
        <v>113</v>
      </c>
      <c r="L63" s="171" t="s">
        <v>114</v>
      </c>
      <c r="M63" s="178">
        <v>0</v>
      </c>
      <c r="N63" s="176"/>
      <c r="O63" s="176"/>
      <c r="P63" s="179">
        <v>-81.34</v>
      </c>
    </row>
    <row r="64" spans="1:16" ht="19.5" customHeight="1">
      <c r="A64" s="171" t="s">
        <v>557</v>
      </c>
      <c r="B64" s="175">
        <v>46041</v>
      </c>
      <c r="C64" s="171" t="s">
        <v>115</v>
      </c>
      <c r="D64" s="171" t="s">
        <v>119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0</v>
      </c>
      <c r="J64" s="175">
        <v>46033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-15</v>
      </c>
    </row>
    <row r="65" spans="1:16" ht="19.5" customHeight="1">
      <c r="A65" s="171" t="s">
        <v>556</v>
      </c>
      <c r="B65" s="175">
        <v>46041</v>
      </c>
      <c r="C65" s="171" t="s">
        <v>115</v>
      </c>
      <c r="D65" s="171" t="s">
        <v>135</v>
      </c>
      <c r="E65" s="171" t="s">
        <v>44</v>
      </c>
      <c r="F65" s="171" t="s">
        <v>213</v>
      </c>
      <c r="G65" s="171" t="s">
        <v>214</v>
      </c>
      <c r="H65" s="176">
        <v>1</v>
      </c>
      <c r="I65" s="177">
        <v>0</v>
      </c>
      <c r="J65" s="175">
        <v>46033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-12.29</v>
      </c>
    </row>
    <row r="66" spans="1:16" ht="19.5" customHeight="1">
      <c r="A66" s="171" t="s">
        <v>558</v>
      </c>
      <c r="B66" s="175">
        <v>46041</v>
      </c>
      <c r="C66" s="171" t="s">
        <v>110</v>
      </c>
      <c r="D66" s="171" t="s">
        <v>24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46037</v>
      </c>
      <c r="K66" s="171" t="s">
        <v>113</v>
      </c>
      <c r="L66" s="171" t="s">
        <v>114</v>
      </c>
      <c r="M66" s="178">
        <v>0.43</v>
      </c>
      <c r="N66" s="176"/>
      <c r="O66" s="176">
        <v>43</v>
      </c>
      <c r="P66" s="179">
        <v>-125.95</v>
      </c>
    </row>
    <row r="67" spans="1:16" ht="19.5" customHeight="1">
      <c r="A67" s="171" t="s">
        <v>558</v>
      </c>
      <c r="B67" s="175">
        <v>46041</v>
      </c>
      <c r="C67" s="171" t="s">
        <v>127</v>
      </c>
      <c r="D67" s="171" t="s">
        <v>128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46037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585.71</v>
      </c>
    </row>
    <row r="68" spans="1:16" ht="19.5" customHeight="1">
      <c r="A68" s="171" t="s">
        <v>558</v>
      </c>
      <c r="B68" s="175">
        <v>46041</v>
      </c>
      <c r="C68" s="171" t="s">
        <v>127</v>
      </c>
      <c r="D68" s="171" t="s">
        <v>129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46037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5.86</v>
      </c>
    </row>
    <row r="69" spans="1:16" ht="19.5" customHeight="1">
      <c r="A69" s="171" t="s">
        <v>558</v>
      </c>
      <c r="B69" s="175">
        <v>46041</v>
      </c>
      <c r="C69" s="171" t="s">
        <v>127</v>
      </c>
      <c r="D69" s="171" t="s">
        <v>130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46037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1112.43</v>
      </c>
    </row>
    <row r="70" spans="1:16" ht="19.5" customHeight="1">
      <c r="A70" s="171" t="s">
        <v>558</v>
      </c>
      <c r="B70" s="175">
        <v>46041</v>
      </c>
      <c r="C70" s="171" t="s">
        <v>131</v>
      </c>
      <c r="D70" s="171" t="s">
        <v>132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46037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-732.72</v>
      </c>
    </row>
    <row r="71" spans="1:16" ht="19.5" customHeight="1">
      <c r="A71" s="171" t="s">
        <v>558</v>
      </c>
      <c r="B71" s="175">
        <v>46041</v>
      </c>
      <c r="C71" s="171" t="s">
        <v>115</v>
      </c>
      <c r="D71" s="171" t="s">
        <v>116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1704</v>
      </c>
      <c r="J71" s="175">
        <v>46037</v>
      </c>
      <c r="K71" s="171" t="s">
        <v>113</v>
      </c>
      <c r="L71" s="171" t="s">
        <v>114</v>
      </c>
      <c r="M71" s="178">
        <v>0.43</v>
      </c>
      <c r="N71" s="176"/>
      <c r="O71" s="176"/>
      <c r="P71" s="179">
        <v>-13.41</v>
      </c>
    </row>
    <row r="72" spans="1:16" ht="19.5" customHeight="1">
      <c r="A72" s="171" t="s">
        <v>558</v>
      </c>
      <c r="B72" s="175">
        <v>46041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559</v>
      </c>
      <c r="B73" s="175">
        <v>46041</v>
      </c>
      <c r="C73" s="171" t="s">
        <v>115</v>
      </c>
      <c r="D73" s="171" t="s">
        <v>135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46041</v>
      </c>
      <c r="K73" s="171" t="s">
        <v>125</v>
      </c>
      <c r="L73" s="171" t="s">
        <v>125</v>
      </c>
      <c r="M73" s="178">
        <v>0</v>
      </c>
      <c r="N73" s="176"/>
      <c r="O73" s="176"/>
      <c r="P73" s="179">
        <v>-11.71</v>
      </c>
    </row>
    <row r="74" spans="1:16" ht="19.5" customHeight="1">
      <c r="A74" s="171" t="s">
        <v>560</v>
      </c>
      <c r="B74" s="175">
        <v>46041</v>
      </c>
      <c r="C74" s="171" t="s">
        <v>110</v>
      </c>
      <c r="D74" s="171" t="s">
        <v>24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1670</v>
      </c>
      <c r="J74" s="175">
        <v>46040</v>
      </c>
      <c r="K74" s="171" t="s">
        <v>113</v>
      </c>
      <c r="L74" s="171" t="s">
        <v>114</v>
      </c>
      <c r="M74" s="178">
        <v>0.43</v>
      </c>
      <c r="N74" s="176"/>
      <c r="O74" s="176">
        <v>51</v>
      </c>
      <c r="P74" s="179">
        <v>-145.72</v>
      </c>
    </row>
    <row r="75" spans="1:16" ht="19.5" customHeight="1">
      <c r="A75" s="171" t="s">
        <v>560</v>
      </c>
      <c r="B75" s="175">
        <v>46041</v>
      </c>
      <c r="C75" s="171" t="s">
        <v>127</v>
      </c>
      <c r="D75" s="171" t="s">
        <v>128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1670</v>
      </c>
      <c r="J75" s="175">
        <v>46040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574.29</v>
      </c>
    </row>
    <row r="76" spans="1:16" ht="19.5" customHeight="1">
      <c r="A76" s="171" t="s">
        <v>560</v>
      </c>
      <c r="B76" s="175">
        <v>46041</v>
      </c>
      <c r="C76" s="171" t="s">
        <v>127</v>
      </c>
      <c r="D76" s="171" t="s">
        <v>129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1670</v>
      </c>
      <c r="J76" s="175">
        <v>46040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5.74</v>
      </c>
    </row>
    <row r="77" spans="1:16" ht="19.5" customHeight="1">
      <c r="A77" s="171" t="s">
        <v>560</v>
      </c>
      <c r="B77" s="175">
        <v>46041</v>
      </c>
      <c r="C77" s="171" t="s">
        <v>127</v>
      </c>
      <c r="D77" s="171" t="s">
        <v>130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1670</v>
      </c>
      <c r="J77" s="175">
        <v>46040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1089.97</v>
      </c>
    </row>
    <row r="78" spans="1:16" ht="19.5" customHeight="1">
      <c r="A78" s="171" t="s">
        <v>560</v>
      </c>
      <c r="B78" s="175">
        <v>46041</v>
      </c>
      <c r="C78" s="171" t="s">
        <v>131</v>
      </c>
      <c r="D78" s="171" t="s">
        <v>132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1670</v>
      </c>
      <c r="J78" s="175">
        <v>46040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-718.1</v>
      </c>
    </row>
    <row r="79" spans="1:16" ht="19.5" customHeight="1">
      <c r="A79" s="171" t="s">
        <v>560</v>
      </c>
      <c r="B79" s="175">
        <v>46041</v>
      </c>
      <c r="C79" s="171" t="s">
        <v>115</v>
      </c>
      <c r="D79" s="171" t="s">
        <v>116</v>
      </c>
      <c r="E79" s="171" t="s">
        <v>38</v>
      </c>
      <c r="F79" s="171" t="s">
        <v>111</v>
      </c>
      <c r="G79" s="171" t="s">
        <v>112</v>
      </c>
      <c r="H79" s="176">
        <v>1</v>
      </c>
      <c r="I79" s="177">
        <v>1670</v>
      </c>
      <c r="J79" s="175">
        <v>46040</v>
      </c>
      <c r="K79" s="171" t="s">
        <v>113</v>
      </c>
      <c r="L79" s="171" t="s">
        <v>114</v>
      </c>
      <c r="M79" s="178">
        <v>0.43</v>
      </c>
      <c r="N79" s="176"/>
      <c r="O79" s="176"/>
      <c r="P79" s="179">
        <v>-8.44</v>
      </c>
    </row>
    <row r="80" spans="1:16" ht="19.5" customHeight="1">
      <c r="A80" s="171" t="s">
        <v>560</v>
      </c>
      <c r="B80" s="175">
        <v>46041</v>
      </c>
      <c r="C80" s="171" t="s">
        <v>115</v>
      </c>
      <c r="D80" s="171" t="s">
        <v>135</v>
      </c>
      <c r="E80" s="171" t="s">
        <v>38</v>
      </c>
      <c r="F80" s="171" t="s">
        <v>111</v>
      </c>
      <c r="G80" s="171" t="s">
        <v>112</v>
      </c>
      <c r="H80" s="176">
        <v>1</v>
      </c>
      <c r="I80" s="177">
        <v>0</v>
      </c>
      <c r="J80" s="175">
        <v>46040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-10.91</v>
      </c>
    </row>
    <row r="81" spans="1:16" ht="19.5" customHeight="1">
      <c r="A81" s="171" t="s">
        <v>561</v>
      </c>
      <c r="B81" s="175">
        <v>46041</v>
      </c>
      <c r="C81" s="171" t="s">
        <v>110</v>
      </c>
      <c r="D81" s="171" t="s">
        <v>24</v>
      </c>
      <c r="E81" s="171" t="s">
        <v>39</v>
      </c>
      <c r="F81" s="171" t="s">
        <v>141</v>
      </c>
      <c r="G81" s="171" t="s">
        <v>112</v>
      </c>
      <c r="H81" s="176">
        <v>1</v>
      </c>
      <c r="I81" s="177">
        <v>1634</v>
      </c>
      <c r="J81" s="175">
        <v>46039</v>
      </c>
      <c r="K81" s="171" t="s">
        <v>113</v>
      </c>
      <c r="L81" s="171" t="s">
        <v>114</v>
      </c>
      <c r="M81" s="178">
        <v>0.43</v>
      </c>
      <c r="N81" s="176"/>
      <c r="O81" s="176">
        <v>51</v>
      </c>
      <c r="P81" s="179">
        <v>-145.69</v>
      </c>
    </row>
    <row r="82" spans="1:16" ht="19.5" customHeight="1">
      <c r="A82" s="171" t="s">
        <v>561</v>
      </c>
      <c r="B82" s="175">
        <v>46041</v>
      </c>
      <c r="C82" s="171" t="s">
        <v>127</v>
      </c>
      <c r="D82" s="171" t="s">
        <v>128</v>
      </c>
      <c r="E82" s="171" t="s">
        <v>39</v>
      </c>
      <c r="F82" s="171" t="s">
        <v>141</v>
      </c>
      <c r="G82" s="171" t="s">
        <v>112</v>
      </c>
      <c r="H82" s="176">
        <v>1</v>
      </c>
      <c r="I82" s="177">
        <v>1634</v>
      </c>
      <c r="J82" s="175">
        <v>46039</v>
      </c>
      <c r="K82" s="171" t="s">
        <v>113</v>
      </c>
      <c r="L82" s="171" t="s">
        <v>114</v>
      </c>
      <c r="M82" s="178">
        <v>0</v>
      </c>
      <c r="N82" s="176"/>
      <c r="O82" s="176"/>
      <c r="P82" s="179">
        <v>558.17999999999995</v>
      </c>
    </row>
    <row r="83" spans="1:16" ht="19.5" customHeight="1">
      <c r="A83" s="171" t="s">
        <v>561</v>
      </c>
      <c r="B83" s="175">
        <v>46041</v>
      </c>
      <c r="C83" s="171" t="s">
        <v>127</v>
      </c>
      <c r="D83" s="171" t="s">
        <v>129</v>
      </c>
      <c r="E83" s="171" t="s">
        <v>39</v>
      </c>
      <c r="F83" s="171" t="s">
        <v>141</v>
      </c>
      <c r="G83" s="171" t="s">
        <v>112</v>
      </c>
      <c r="H83" s="176">
        <v>1</v>
      </c>
      <c r="I83" s="177">
        <v>1634</v>
      </c>
      <c r="J83" s="175">
        <v>46039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5.58</v>
      </c>
    </row>
    <row r="84" spans="1:16" ht="19.5" customHeight="1">
      <c r="A84" s="171" t="s">
        <v>561</v>
      </c>
      <c r="B84" s="175">
        <v>46041</v>
      </c>
      <c r="C84" s="171" t="s">
        <v>127</v>
      </c>
      <c r="D84" s="171" t="s">
        <v>130</v>
      </c>
      <c r="E84" s="171" t="s">
        <v>39</v>
      </c>
      <c r="F84" s="171" t="s">
        <v>141</v>
      </c>
      <c r="G84" s="171" t="s">
        <v>112</v>
      </c>
      <c r="H84" s="176">
        <v>1</v>
      </c>
      <c r="I84" s="177">
        <v>1634</v>
      </c>
      <c r="J84" s="175">
        <v>46039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1070.24</v>
      </c>
    </row>
    <row r="85" spans="1:16" ht="19.5" customHeight="1">
      <c r="A85" s="171" t="s">
        <v>561</v>
      </c>
      <c r="B85" s="175">
        <v>46041</v>
      </c>
      <c r="C85" s="171" t="s">
        <v>131</v>
      </c>
      <c r="D85" s="171" t="s">
        <v>132</v>
      </c>
      <c r="E85" s="171" t="s">
        <v>39</v>
      </c>
      <c r="F85" s="171" t="s">
        <v>141</v>
      </c>
      <c r="G85" s="171" t="s">
        <v>112</v>
      </c>
      <c r="H85" s="176">
        <v>1</v>
      </c>
      <c r="I85" s="177">
        <v>1634</v>
      </c>
      <c r="J85" s="175">
        <v>46039</v>
      </c>
      <c r="K85" s="171" t="s">
        <v>113</v>
      </c>
      <c r="L85" s="171" t="s">
        <v>114</v>
      </c>
      <c r="M85" s="178">
        <v>0.43</v>
      </c>
      <c r="N85" s="176"/>
      <c r="O85" s="176"/>
      <c r="P85" s="179">
        <v>-702.62</v>
      </c>
    </row>
    <row r="86" spans="1:16" ht="19.5" customHeight="1">
      <c r="A86" s="171" t="s">
        <v>561</v>
      </c>
      <c r="B86" s="175">
        <v>46041</v>
      </c>
      <c r="C86" s="171" t="s">
        <v>115</v>
      </c>
      <c r="D86" s="171" t="s">
        <v>116</v>
      </c>
      <c r="E86" s="171" t="s">
        <v>39</v>
      </c>
      <c r="F86" s="171" t="s">
        <v>141</v>
      </c>
      <c r="G86" s="171" t="s">
        <v>112</v>
      </c>
      <c r="H86" s="176">
        <v>1</v>
      </c>
      <c r="I86" s="177">
        <v>1634</v>
      </c>
      <c r="J86" s="175">
        <v>46039</v>
      </c>
      <c r="K86" s="171" t="s">
        <v>113</v>
      </c>
      <c r="L86" s="171" t="s">
        <v>114</v>
      </c>
      <c r="M86" s="178">
        <v>0.43</v>
      </c>
      <c r="N86" s="176"/>
      <c r="O86" s="176"/>
      <c r="P86" s="179">
        <v>-7.51</v>
      </c>
    </row>
    <row r="87" spans="1:16" ht="19.5" customHeight="1">
      <c r="A87" s="171" t="s">
        <v>562</v>
      </c>
      <c r="B87" s="175">
        <v>46041</v>
      </c>
      <c r="C87" s="171" t="s">
        <v>115</v>
      </c>
      <c r="D87" s="171" t="s">
        <v>135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46041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-4.34</v>
      </c>
    </row>
    <row r="88" spans="1:16" ht="19.5" customHeight="1">
      <c r="A88" s="171" t="s">
        <v>563</v>
      </c>
      <c r="B88" s="175">
        <v>46041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113</v>
      </c>
      <c r="L88" s="171" t="s">
        <v>114</v>
      </c>
      <c r="M88" s="178">
        <v>0</v>
      </c>
      <c r="N88" s="176"/>
      <c r="O88" s="176">
        <v>39</v>
      </c>
      <c r="P88" s="179">
        <v>-46</v>
      </c>
    </row>
    <row r="89" spans="1:16" ht="19.5" customHeight="1">
      <c r="A89" s="171" t="s">
        <v>563</v>
      </c>
      <c r="B89" s="175">
        <v>46041</v>
      </c>
      <c r="C89" s="171" t="s">
        <v>115</v>
      </c>
      <c r="D89" s="171" t="s">
        <v>116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-9.61</v>
      </c>
    </row>
    <row r="90" spans="1:16" ht="19.5" customHeight="1">
      <c r="A90" s="171" t="s">
        <v>563</v>
      </c>
      <c r="B90" s="175">
        <v>46041</v>
      </c>
      <c r="C90" s="171" t="s">
        <v>110</v>
      </c>
      <c r="D90" s="171" t="s">
        <v>117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0</v>
      </c>
      <c r="J90" s="175">
        <v>46024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0</v>
      </c>
    </row>
    <row r="91" spans="1:16" ht="19.5" customHeight="1">
      <c r="A91" s="171" t="s">
        <v>563</v>
      </c>
      <c r="B91" s="175">
        <v>46041</v>
      </c>
      <c r="C91" s="171" t="s">
        <v>110</v>
      </c>
      <c r="D91" s="171" t="s">
        <v>118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0</v>
      </c>
      <c r="J91" s="175">
        <v>46024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-46</v>
      </c>
    </row>
    <row r="92" spans="1:16" ht="19.5" customHeight="1">
      <c r="A92" s="171" t="s">
        <v>563</v>
      </c>
      <c r="B92" s="175">
        <v>46041</v>
      </c>
      <c r="C92" s="171" t="s">
        <v>115</v>
      </c>
      <c r="D92" s="171" t="s">
        <v>119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0</v>
      </c>
      <c r="J92" s="175">
        <v>46024</v>
      </c>
      <c r="K92" s="171" t="s">
        <v>113</v>
      </c>
      <c r="L92" s="171" t="s">
        <v>114</v>
      </c>
      <c r="M92" s="178">
        <v>0</v>
      </c>
      <c r="N92" s="176"/>
      <c r="O92" s="176"/>
      <c r="P92" s="179">
        <v>-15</v>
      </c>
    </row>
    <row r="93" spans="1:16" ht="19.5" customHeight="1">
      <c r="A93" s="171" t="s">
        <v>564</v>
      </c>
      <c r="B93" s="175">
        <v>46041</v>
      </c>
      <c r="C93" s="171" t="s">
        <v>115</v>
      </c>
      <c r="D93" s="171" t="s">
        <v>135</v>
      </c>
      <c r="E93" s="171" t="s">
        <v>39</v>
      </c>
      <c r="F93" s="171" t="s">
        <v>141</v>
      </c>
      <c r="G93" s="171" t="s">
        <v>112</v>
      </c>
      <c r="H93" s="176">
        <v>1</v>
      </c>
      <c r="I93" s="177">
        <v>0</v>
      </c>
      <c r="J93" s="175">
        <v>46041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-11.17</v>
      </c>
    </row>
    <row r="94" spans="1:16" ht="19.5" customHeight="1">
      <c r="A94" s="171" t="s">
        <v>155</v>
      </c>
      <c r="B94" s="175">
        <v>46041</v>
      </c>
      <c r="C94" s="171" t="s">
        <v>151</v>
      </c>
      <c r="D94" s="171" t="s">
        <v>156</v>
      </c>
      <c r="E94" s="171" t="s">
        <v>125</v>
      </c>
      <c r="F94" s="171" t="s">
        <v>125</v>
      </c>
      <c r="G94" s="171" t="s">
        <v>125</v>
      </c>
      <c r="H94" s="176">
        <v>0</v>
      </c>
      <c r="I94" s="177">
        <v>0</v>
      </c>
      <c r="J94" s="175">
        <v>46041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-1087.21</v>
      </c>
    </row>
    <row r="95" spans="1:16" ht="19.5" customHeight="1">
      <c r="A95" s="171" t="s">
        <v>150</v>
      </c>
      <c r="B95" s="175">
        <v>46041</v>
      </c>
      <c r="C95" s="171" t="s">
        <v>151</v>
      </c>
      <c r="D95" s="171" t="s">
        <v>152</v>
      </c>
      <c r="E95" s="171" t="s">
        <v>125</v>
      </c>
      <c r="F95" s="171" t="s">
        <v>125</v>
      </c>
      <c r="G95" s="171" t="s">
        <v>125</v>
      </c>
      <c r="H95" s="176">
        <v>0</v>
      </c>
      <c r="I95" s="177">
        <v>0</v>
      </c>
      <c r="J95" s="175">
        <v>46041</v>
      </c>
      <c r="K95" s="171" t="s">
        <v>125</v>
      </c>
      <c r="L95" s="171" t="s">
        <v>125</v>
      </c>
      <c r="M95" s="178">
        <v>0</v>
      </c>
      <c r="N95" s="176"/>
      <c r="O95" s="176"/>
      <c r="P95" s="179">
        <v>-1230.1300000000001</v>
      </c>
    </row>
    <row r="96" spans="1:16" ht="19.5" customHeight="1">
      <c r="A96" s="171" t="s">
        <v>179</v>
      </c>
      <c r="B96" s="175">
        <v>46041</v>
      </c>
      <c r="C96" s="171" t="s">
        <v>151</v>
      </c>
      <c r="D96" s="171" t="s">
        <v>152</v>
      </c>
      <c r="E96" s="171" t="s">
        <v>125</v>
      </c>
      <c r="F96" s="171" t="s">
        <v>125</v>
      </c>
      <c r="G96" s="171" t="s">
        <v>125</v>
      </c>
      <c r="H96" s="176">
        <v>0</v>
      </c>
      <c r="I96" s="177">
        <v>0</v>
      </c>
      <c r="J96" s="175">
        <v>46041</v>
      </c>
      <c r="K96" s="171" t="s">
        <v>125</v>
      </c>
      <c r="L96" s="171" t="s">
        <v>125</v>
      </c>
      <c r="M96" s="178">
        <v>0</v>
      </c>
      <c r="N96" s="176"/>
      <c r="O96" s="176"/>
      <c r="P96" s="179">
        <v>-255.76</v>
      </c>
    </row>
    <row r="97" spans="1:16" ht="19.5" customHeight="1">
      <c r="A97" s="171" t="s">
        <v>196</v>
      </c>
      <c r="B97" s="175">
        <v>46041</v>
      </c>
      <c r="C97" s="171" t="s">
        <v>151</v>
      </c>
      <c r="D97" s="171" t="s">
        <v>152</v>
      </c>
      <c r="E97" s="171" t="s">
        <v>125</v>
      </c>
      <c r="F97" s="171" t="s">
        <v>125</v>
      </c>
      <c r="G97" s="171" t="s">
        <v>125</v>
      </c>
      <c r="H97" s="176">
        <v>0</v>
      </c>
      <c r="I97" s="177">
        <v>0</v>
      </c>
      <c r="J97" s="175">
        <v>46041</v>
      </c>
      <c r="K97" s="171" t="s">
        <v>125</v>
      </c>
      <c r="L97" s="171" t="s">
        <v>125</v>
      </c>
      <c r="M97" s="178">
        <v>0</v>
      </c>
      <c r="N97" s="176"/>
      <c r="O97" s="176"/>
      <c r="P97" s="179">
        <v>-544.41999999999996</v>
      </c>
    </row>
    <row r="98" spans="1:16" ht="19.5" customHeight="1">
      <c r="A98" s="171" t="s">
        <v>565</v>
      </c>
      <c r="B98" s="175">
        <v>46041</v>
      </c>
      <c r="C98" s="171" t="s">
        <v>151</v>
      </c>
      <c r="D98" s="171" t="s">
        <v>152</v>
      </c>
      <c r="E98" s="171" t="s">
        <v>125</v>
      </c>
      <c r="F98" s="171" t="s">
        <v>125</v>
      </c>
      <c r="G98" s="171" t="s">
        <v>125</v>
      </c>
      <c r="H98" s="176">
        <v>0</v>
      </c>
      <c r="I98" s="177">
        <v>0</v>
      </c>
      <c r="J98" s="175">
        <v>46041</v>
      </c>
      <c r="K98" s="171" t="s">
        <v>125</v>
      </c>
      <c r="L98" s="171" t="s">
        <v>125</v>
      </c>
      <c r="M98" s="178">
        <v>0</v>
      </c>
      <c r="N98" s="176"/>
      <c r="O98" s="176"/>
      <c r="P98" s="179">
        <v>-233.23</v>
      </c>
    </row>
    <row r="99" spans="1:16" ht="19.5" customHeight="1">
      <c r="A99" s="171" t="s">
        <v>153</v>
      </c>
      <c r="B99" s="175">
        <v>46041</v>
      </c>
      <c r="C99" s="171" t="s">
        <v>151</v>
      </c>
      <c r="D99" s="171" t="s">
        <v>152</v>
      </c>
      <c r="E99" s="171" t="s">
        <v>125</v>
      </c>
      <c r="F99" s="171" t="s">
        <v>125</v>
      </c>
      <c r="G99" s="171" t="s">
        <v>125</v>
      </c>
      <c r="H99" s="176">
        <v>0</v>
      </c>
      <c r="I99" s="177">
        <v>0</v>
      </c>
      <c r="J99" s="175">
        <v>46041</v>
      </c>
      <c r="K99" s="171" t="s">
        <v>125</v>
      </c>
      <c r="L99" s="171" t="s">
        <v>125</v>
      </c>
      <c r="M99" s="178">
        <v>0</v>
      </c>
      <c r="N99" s="176"/>
      <c r="O99" s="176"/>
      <c r="P99" s="179">
        <v>-378.63</v>
      </c>
    </row>
    <row r="100" spans="1:16" ht="19.5" customHeight="1">
      <c r="A100" s="171" t="s">
        <v>180</v>
      </c>
      <c r="B100" s="175">
        <v>46041</v>
      </c>
      <c r="C100" s="171" t="s">
        <v>151</v>
      </c>
      <c r="D100" s="171" t="s">
        <v>152</v>
      </c>
      <c r="E100" s="171" t="s">
        <v>125</v>
      </c>
      <c r="F100" s="171" t="s">
        <v>125</v>
      </c>
      <c r="G100" s="171" t="s">
        <v>125</v>
      </c>
      <c r="H100" s="176">
        <v>0</v>
      </c>
      <c r="I100" s="177">
        <v>0</v>
      </c>
      <c r="J100" s="175">
        <v>46041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-750</v>
      </c>
    </row>
    <row r="101" spans="1:16" ht="19.5" customHeight="1">
      <c r="A101" s="171" t="s">
        <v>566</v>
      </c>
      <c r="B101" s="175">
        <v>46042</v>
      </c>
      <c r="C101" s="171" t="s">
        <v>115</v>
      </c>
      <c r="D101" s="171" t="s">
        <v>135</v>
      </c>
      <c r="E101" s="171" t="s">
        <v>45</v>
      </c>
      <c r="F101" s="171" t="s">
        <v>162</v>
      </c>
      <c r="G101" s="171" t="s">
        <v>163</v>
      </c>
      <c r="H101" s="176">
        <v>1</v>
      </c>
      <c r="I101" s="177">
        <v>0</v>
      </c>
      <c r="J101" s="175">
        <v>46042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-7.44</v>
      </c>
    </row>
    <row r="102" spans="1:16" ht="19.5" customHeight="1">
      <c r="A102" s="171" t="s">
        <v>567</v>
      </c>
      <c r="B102" s="175">
        <v>46042</v>
      </c>
      <c r="C102" s="171" t="s">
        <v>110</v>
      </c>
      <c r="D102" s="171" t="s">
        <v>24</v>
      </c>
      <c r="E102" s="171" t="s">
        <v>42</v>
      </c>
      <c r="F102" s="171" t="s">
        <v>248</v>
      </c>
      <c r="G102" s="171" t="s">
        <v>112</v>
      </c>
      <c r="H102" s="176">
        <v>1</v>
      </c>
      <c r="I102" s="177">
        <v>0</v>
      </c>
      <c r="J102" s="175">
        <v>46037</v>
      </c>
      <c r="K102" s="171" t="s">
        <v>113</v>
      </c>
      <c r="L102" s="171" t="s">
        <v>114</v>
      </c>
      <c r="M102" s="178">
        <v>0</v>
      </c>
      <c r="N102" s="176"/>
      <c r="O102" s="176">
        <v>43</v>
      </c>
      <c r="P102" s="179">
        <v>-46.77</v>
      </c>
    </row>
    <row r="103" spans="1:16" ht="19.5" customHeight="1">
      <c r="A103" s="171" t="s">
        <v>567</v>
      </c>
      <c r="B103" s="175">
        <v>46042</v>
      </c>
      <c r="C103" s="171" t="s">
        <v>115</v>
      </c>
      <c r="D103" s="171" t="s">
        <v>116</v>
      </c>
      <c r="E103" s="171" t="s">
        <v>42</v>
      </c>
      <c r="F103" s="171" t="s">
        <v>248</v>
      </c>
      <c r="G103" s="171" t="s">
        <v>112</v>
      </c>
      <c r="H103" s="176">
        <v>1</v>
      </c>
      <c r="I103" s="177">
        <v>0</v>
      </c>
      <c r="J103" s="175">
        <v>46037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-18.079999999999998</v>
      </c>
    </row>
    <row r="104" spans="1:16" ht="19.5" customHeight="1">
      <c r="A104" s="171" t="s">
        <v>567</v>
      </c>
      <c r="B104" s="175">
        <v>46042</v>
      </c>
      <c r="C104" s="171" t="s">
        <v>110</v>
      </c>
      <c r="D104" s="171" t="s">
        <v>117</v>
      </c>
      <c r="E104" s="171" t="s">
        <v>42</v>
      </c>
      <c r="F104" s="171" t="s">
        <v>248</v>
      </c>
      <c r="G104" s="171" t="s">
        <v>112</v>
      </c>
      <c r="H104" s="176">
        <v>1</v>
      </c>
      <c r="I104" s="177">
        <v>0</v>
      </c>
      <c r="J104" s="175">
        <v>46037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0</v>
      </c>
    </row>
    <row r="105" spans="1:16" ht="19.5" customHeight="1">
      <c r="A105" s="171" t="s">
        <v>567</v>
      </c>
      <c r="B105" s="175">
        <v>46042</v>
      </c>
      <c r="C105" s="171" t="s">
        <v>110</v>
      </c>
      <c r="D105" s="171" t="s">
        <v>118</v>
      </c>
      <c r="E105" s="171" t="s">
        <v>42</v>
      </c>
      <c r="F105" s="171" t="s">
        <v>248</v>
      </c>
      <c r="G105" s="171" t="s">
        <v>112</v>
      </c>
      <c r="H105" s="176">
        <v>1</v>
      </c>
      <c r="I105" s="177">
        <v>0</v>
      </c>
      <c r="J105" s="175">
        <v>46037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-46.77</v>
      </c>
    </row>
    <row r="106" spans="1:16" ht="19.5" customHeight="1">
      <c r="A106" s="171" t="s">
        <v>567</v>
      </c>
      <c r="B106" s="175">
        <v>46042</v>
      </c>
      <c r="C106" s="171" t="s">
        <v>115</v>
      </c>
      <c r="D106" s="171" t="s">
        <v>119</v>
      </c>
      <c r="E106" s="171" t="s">
        <v>42</v>
      </c>
      <c r="F106" s="171" t="s">
        <v>248</v>
      </c>
      <c r="G106" s="171" t="s">
        <v>112</v>
      </c>
      <c r="H106" s="176">
        <v>1</v>
      </c>
      <c r="I106" s="177">
        <v>0</v>
      </c>
      <c r="J106" s="175">
        <v>46037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-15</v>
      </c>
    </row>
    <row r="107" spans="1:16" ht="19.5" customHeight="1">
      <c r="A107" s="171" t="s">
        <v>568</v>
      </c>
      <c r="B107" s="175">
        <v>46042</v>
      </c>
      <c r="C107" s="171" t="s">
        <v>110</v>
      </c>
      <c r="D107" s="171" t="s">
        <v>117</v>
      </c>
      <c r="E107" s="171" t="s">
        <v>38</v>
      </c>
      <c r="F107" s="171" t="s">
        <v>111</v>
      </c>
      <c r="G107" s="171" t="s">
        <v>112</v>
      </c>
      <c r="H107" s="176">
        <v>1</v>
      </c>
      <c r="I107" s="177">
        <v>0</v>
      </c>
      <c r="J107" s="175">
        <v>46020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0</v>
      </c>
    </row>
    <row r="108" spans="1:16" ht="19.5" customHeight="1">
      <c r="A108" s="171" t="s">
        <v>568</v>
      </c>
      <c r="B108" s="175">
        <v>46042</v>
      </c>
      <c r="C108" s="171" t="s">
        <v>110</v>
      </c>
      <c r="D108" s="171" t="s">
        <v>118</v>
      </c>
      <c r="E108" s="171" t="s">
        <v>38</v>
      </c>
      <c r="F108" s="171" t="s">
        <v>111</v>
      </c>
      <c r="G108" s="171" t="s">
        <v>112</v>
      </c>
      <c r="H108" s="176">
        <v>1</v>
      </c>
      <c r="I108" s="177">
        <v>0</v>
      </c>
      <c r="J108" s="175">
        <v>46020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-46</v>
      </c>
    </row>
    <row r="109" spans="1:16" ht="19.5" customHeight="1">
      <c r="A109" s="171" t="s">
        <v>568</v>
      </c>
      <c r="B109" s="175">
        <v>46042</v>
      </c>
      <c r="C109" s="171" t="s">
        <v>110</v>
      </c>
      <c r="D109" s="171" t="s">
        <v>24</v>
      </c>
      <c r="E109" s="171" t="s">
        <v>38</v>
      </c>
      <c r="F109" s="171" t="s">
        <v>111</v>
      </c>
      <c r="G109" s="171" t="s">
        <v>112</v>
      </c>
      <c r="H109" s="176">
        <v>1</v>
      </c>
      <c r="I109" s="177">
        <v>0</v>
      </c>
      <c r="J109" s="175">
        <v>46020</v>
      </c>
      <c r="K109" s="171" t="s">
        <v>113</v>
      </c>
      <c r="L109" s="171" t="s">
        <v>114</v>
      </c>
      <c r="M109" s="178">
        <v>0</v>
      </c>
      <c r="N109" s="176"/>
      <c r="O109" s="176">
        <v>38</v>
      </c>
      <c r="P109" s="179">
        <v>-46</v>
      </c>
    </row>
    <row r="110" spans="1:16" ht="19.5" customHeight="1">
      <c r="A110" s="171" t="s">
        <v>568</v>
      </c>
      <c r="B110" s="175">
        <v>46042</v>
      </c>
      <c r="C110" s="171" t="s">
        <v>115</v>
      </c>
      <c r="D110" s="171" t="s">
        <v>116</v>
      </c>
      <c r="E110" s="171" t="s">
        <v>38</v>
      </c>
      <c r="F110" s="171" t="s">
        <v>111</v>
      </c>
      <c r="G110" s="171" t="s">
        <v>112</v>
      </c>
      <c r="H110" s="176">
        <v>1</v>
      </c>
      <c r="I110" s="177">
        <v>0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-15.1</v>
      </c>
    </row>
    <row r="111" spans="1:16" ht="19.5" customHeight="1">
      <c r="A111" s="171" t="s">
        <v>569</v>
      </c>
      <c r="B111" s="175">
        <v>46042</v>
      </c>
      <c r="C111" s="171" t="s">
        <v>115</v>
      </c>
      <c r="D111" s="171" t="s">
        <v>135</v>
      </c>
      <c r="E111" s="171" t="s">
        <v>38</v>
      </c>
      <c r="F111" s="171" t="s">
        <v>111</v>
      </c>
      <c r="G111" s="171" t="s">
        <v>112</v>
      </c>
      <c r="H111" s="176">
        <v>1</v>
      </c>
      <c r="I111" s="177">
        <v>0</v>
      </c>
      <c r="J111" s="175">
        <v>46042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-12.47</v>
      </c>
    </row>
    <row r="112" spans="1:16" ht="19.5" customHeight="1">
      <c r="A112" s="171" t="s">
        <v>570</v>
      </c>
      <c r="B112" s="175">
        <v>46042</v>
      </c>
      <c r="C112" s="171" t="s">
        <v>115</v>
      </c>
      <c r="D112" s="171" t="s">
        <v>135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0</v>
      </c>
      <c r="J112" s="175">
        <v>46042</v>
      </c>
      <c r="K112" s="171" t="s">
        <v>125</v>
      </c>
      <c r="L112" s="171" t="s">
        <v>125</v>
      </c>
      <c r="M112" s="178">
        <v>0</v>
      </c>
      <c r="N112" s="176"/>
      <c r="O112" s="176"/>
      <c r="P112" s="179">
        <v>-12.44</v>
      </c>
    </row>
    <row r="113" spans="1:16" ht="19.5" customHeight="1">
      <c r="A113" s="171" t="s">
        <v>571</v>
      </c>
      <c r="B113" s="175">
        <v>46042</v>
      </c>
      <c r="C113" s="171" t="s">
        <v>110</v>
      </c>
      <c r="D113" s="171" t="s">
        <v>117</v>
      </c>
      <c r="E113" s="171" t="s">
        <v>78</v>
      </c>
      <c r="F113" s="171" t="s">
        <v>176</v>
      </c>
      <c r="G113" s="171" t="s">
        <v>177</v>
      </c>
      <c r="H113" s="176">
        <v>1</v>
      </c>
      <c r="I113" s="177">
        <v>0</v>
      </c>
      <c r="J113" s="175">
        <v>46039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0</v>
      </c>
    </row>
    <row r="114" spans="1:16" ht="19.5" customHeight="1">
      <c r="A114" s="171" t="s">
        <v>571</v>
      </c>
      <c r="B114" s="175">
        <v>46042</v>
      </c>
      <c r="C114" s="171" t="s">
        <v>110</v>
      </c>
      <c r="D114" s="171" t="s">
        <v>118</v>
      </c>
      <c r="E114" s="171" t="s">
        <v>78</v>
      </c>
      <c r="F114" s="171" t="s">
        <v>176</v>
      </c>
      <c r="G114" s="171" t="s">
        <v>177</v>
      </c>
      <c r="H114" s="176">
        <v>1</v>
      </c>
      <c r="I114" s="177">
        <v>0</v>
      </c>
      <c r="J114" s="175">
        <v>46039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-56.94</v>
      </c>
    </row>
    <row r="115" spans="1:16" ht="19.5" customHeight="1">
      <c r="A115" s="171" t="s">
        <v>571</v>
      </c>
      <c r="B115" s="175">
        <v>46042</v>
      </c>
      <c r="C115" s="171" t="s">
        <v>115</v>
      </c>
      <c r="D115" s="171" t="s">
        <v>119</v>
      </c>
      <c r="E115" s="171" t="s">
        <v>78</v>
      </c>
      <c r="F115" s="171" t="s">
        <v>176</v>
      </c>
      <c r="G115" s="171" t="s">
        <v>177</v>
      </c>
      <c r="H115" s="176">
        <v>1</v>
      </c>
      <c r="I115" s="177">
        <v>0</v>
      </c>
      <c r="J115" s="175">
        <v>46039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-15</v>
      </c>
    </row>
    <row r="116" spans="1:16" ht="19.5" customHeight="1">
      <c r="A116" s="171" t="s">
        <v>571</v>
      </c>
      <c r="B116" s="175">
        <v>46042</v>
      </c>
      <c r="C116" s="171" t="s">
        <v>110</v>
      </c>
      <c r="D116" s="171" t="s">
        <v>24</v>
      </c>
      <c r="E116" s="171" t="s">
        <v>78</v>
      </c>
      <c r="F116" s="171" t="s">
        <v>176</v>
      </c>
      <c r="G116" s="171" t="s">
        <v>177</v>
      </c>
      <c r="H116" s="176">
        <v>1</v>
      </c>
      <c r="I116" s="177">
        <v>0</v>
      </c>
      <c r="J116" s="175">
        <v>46039</v>
      </c>
      <c r="K116" s="171" t="s">
        <v>113</v>
      </c>
      <c r="L116" s="171" t="s">
        <v>114</v>
      </c>
      <c r="M116" s="178">
        <v>0</v>
      </c>
      <c r="N116" s="176"/>
      <c r="O116" s="176">
        <v>51</v>
      </c>
      <c r="P116" s="179">
        <v>-56.94</v>
      </c>
    </row>
    <row r="117" spans="1:16" ht="19.5" customHeight="1">
      <c r="A117" s="171" t="s">
        <v>571</v>
      </c>
      <c r="B117" s="175">
        <v>46042</v>
      </c>
      <c r="C117" s="171" t="s">
        <v>115</v>
      </c>
      <c r="D117" s="171" t="s">
        <v>116</v>
      </c>
      <c r="E117" s="171" t="s">
        <v>78</v>
      </c>
      <c r="F117" s="171" t="s">
        <v>176</v>
      </c>
      <c r="G117" s="171" t="s">
        <v>177</v>
      </c>
      <c r="H117" s="176">
        <v>1</v>
      </c>
      <c r="I117" s="177">
        <v>0</v>
      </c>
      <c r="J117" s="175">
        <v>46039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-12.44</v>
      </c>
    </row>
    <row r="118" spans="1:16" ht="19.5" customHeight="1">
      <c r="A118" s="171" t="s">
        <v>572</v>
      </c>
      <c r="B118" s="175">
        <v>46042</v>
      </c>
      <c r="C118" s="171" t="s">
        <v>110</v>
      </c>
      <c r="D118" s="171" t="s">
        <v>24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1670</v>
      </c>
      <c r="J118" s="175">
        <v>46039</v>
      </c>
      <c r="K118" s="171" t="s">
        <v>113</v>
      </c>
      <c r="L118" s="171" t="s">
        <v>114</v>
      </c>
      <c r="M118" s="178">
        <v>0.43</v>
      </c>
      <c r="N118" s="176"/>
      <c r="O118" s="176">
        <v>51</v>
      </c>
      <c r="P118" s="179">
        <v>-145.72</v>
      </c>
    </row>
    <row r="119" spans="1:16" ht="19.5" customHeight="1">
      <c r="A119" s="171" t="s">
        <v>572</v>
      </c>
      <c r="B119" s="175">
        <v>46042</v>
      </c>
      <c r="C119" s="171" t="s">
        <v>127</v>
      </c>
      <c r="D119" s="171" t="s">
        <v>128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1670</v>
      </c>
      <c r="J119" s="175">
        <v>46039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635.59</v>
      </c>
    </row>
    <row r="120" spans="1:16" ht="19.5" customHeight="1">
      <c r="A120" s="171" t="s">
        <v>572</v>
      </c>
      <c r="B120" s="175">
        <v>46042</v>
      </c>
      <c r="C120" s="171" t="s">
        <v>127</v>
      </c>
      <c r="D120" s="171" t="s">
        <v>129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1670</v>
      </c>
      <c r="J120" s="175">
        <v>46039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0</v>
      </c>
    </row>
    <row r="121" spans="1:16" ht="19.5" customHeight="1">
      <c r="A121" s="171" t="s">
        <v>572</v>
      </c>
      <c r="B121" s="175">
        <v>46042</v>
      </c>
      <c r="C121" s="171" t="s">
        <v>127</v>
      </c>
      <c r="D121" s="171" t="s">
        <v>130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1670</v>
      </c>
      <c r="J121" s="175">
        <v>46039</v>
      </c>
      <c r="K121" s="171" t="s">
        <v>113</v>
      </c>
      <c r="L121" s="171" t="s">
        <v>114</v>
      </c>
      <c r="M121" s="178">
        <v>0</v>
      </c>
      <c r="N121" s="176"/>
      <c r="O121" s="176"/>
      <c r="P121" s="179">
        <v>1034.4100000000001</v>
      </c>
    </row>
    <row r="122" spans="1:16" ht="19.5" customHeight="1">
      <c r="A122" s="171" t="s">
        <v>572</v>
      </c>
      <c r="B122" s="175">
        <v>46042</v>
      </c>
      <c r="C122" s="171" t="s">
        <v>131</v>
      </c>
      <c r="D122" s="171" t="s">
        <v>132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1670</v>
      </c>
      <c r="J122" s="175">
        <v>46039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-718.1</v>
      </c>
    </row>
    <row r="123" spans="1:16" ht="19.5" customHeight="1">
      <c r="A123" s="171" t="s">
        <v>572</v>
      </c>
      <c r="B123" s="175">
        <v>46042</v>
      </c>
      <c r="C123" s="171" t="s">
        <v>115</v>
      </c>
      <c r="D123" s="171" t="s">
        <v>116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1670</v>
      </c>
      <c r="J123" s="175">
        <v>46039</v>
      </c>
      <c r="K123" s="171" t="s">
        <v>113</v>
      </c>
      <c r="L123" s="171" t="s">
        <v>114</v>
      </c>
      <c r="M123" s="178">
        <v>0.43</v>
      </c>
      <c r="N123" s="176"/>
      <c r="O123" s="176"/>
      <c r="P123" s="179">
        <v>-14.3</v>
      </c>
    </row>
    <row r="124" spans="1:16" ht="19.5" customHeight="1">
      <c r="A124" s="171" t="s">
        <v>573</v>
      </c>
      <c r="B124" s="175">
        <v>46042</v>
      </c>
      <c r="C124" s="171" t="s">
        <v>110</v>
      </c>
      <c r="D124" s="171" t="s">
        <v>24</v>
      </c>
      <c r="E124" s="171" t="s">
        <v>78</v>
      </c>
      <c r="F124" s="171" t="s">
        <v>176</v>
      </c>
      <c r="G124" s="171" t="s">
        <v>177</v>
      </c>
      <c r="H124" s="176">
        <v>1</v>
      </c>
      <c r="I124" s="177">
        <v>0</v>
      </c>
      <c r="J124" s="175">
        <v>46039</v>
      </c>
      <c r="K124" s="171" t="s">
        <v>113</v>
      </c>
      <c r="L124" s="171" t="s">
        <v>114</v>
      </c>
      <c r="M124" s="178">
        <v>0</v>
      </c>
      <c r="N124" s="176"/>
      <c r="O124" s="176">
        <v>51</v>
      </c>
      <c r="P124" s="179">
        <v>-56.94</v>
      </c>
    </row>
    <row r="125" spans="1:16" ht="19.5" customHeight="1">
      <c r="A125" s="171" t="s">
        <v>573</v>
      </c>
      <c r="B125" s="175">
        <v>46042</v>
      </c>
      <c r="C125" s="171" t="s">
        <v>115</v>
      </c>
      <c r="D125" s="171" t="s">
        <v>116</v>
      </c>
      <c r="E125" s="171" t="s">
        <v>78</v>
      </c>
      <c r="F125" s="171" t="s">
        <v>176</v>
      </c>
      <c r="G125" s="171" t="s">
        <v>177</v>
      </c>
      <c r="H125" s="176">
        <v>1</v>
      </c>
      <c r="I125" s="177">
        <v>0</v>
      </c>
      <c r="J125" s="175">
        <v>46039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-12.77</v>
      </c>
    </row>
    <row r="126" spans="1:16" ht="19.5" customHeight="1">
      <c r="A126" s="171" t="s">
        <v>573</v>
      </c>
      <c r="B126" s="175">
        <v>46042</v>
      </c>
      <c r="C126" s="171" t="s">
        <v>110</v>
      </c>
      <c r="D126" s="171" t="s">
        <v>117</v>
      </c>
      <c r="E126" s="171" t="s">
        <v>78</v>
      </c>
      <c r="F126" s="171" t="s">
        <v>176</v>
      </c>
      <c r="G126" s="171" t="s">
        <v>177</v>
      </c>
      <c r="H126" s="176">
        <v>1</v>
      </c>
      <c r="I126" s="177">
        <v>0</v>
      </c>
      <c r="J126" s="175">
        <v>46039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0</v>
      </c>
    </row>
    <row r="127" spans="1:16" ht="19.5" customHeight="1">
      <c r="A127" s="171" t="s">
        <v>573</v>
      </c>
      <c r="B127" s="175">
        <v>46042</v>
      </c>
      <c r="C127" s="171" t="s">
        <v>110</v>
      </c>
      <c r="D127" s="171" t="s">
        <v>118</v>
      </c>
      <c r="E127" s="171" t="s">
        <v>78</v>
      </c>
      <c r="F127" s="171" t="s">
        <v>176</v>
      </c>
      <c r="G127" s="171" t="s">
        <v>177</v>
      </c>
      <c r="H127" s="176">
        <v>1</v>
      </c>
      <c r="I127" s="177">
        <v>0</v>
      </c>
      <c r="J127" s="175">
        <v>46039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-56.94</v>
      </c>
    </row>
    <row r="128" spans="1:16" ht="19.5" customHeight="1">
      <c r="A128" s="171" t="s">
        <v>573</v>
      </c>
      <c r="B128" s="175">
        <v>46042</v>
      </c>
      <c r="C128" s="171" t="s">
        <v>115</v>
      </c>
      <c r="D128" s="171" t="s">
        <v>119</v>
      </c>
      <c r="E128" s="171" t="s">
        <v>78</v>
      </c>
      <c r="F128" s="171" t="s">
        <v>176</v>
      </c>
      <c r="G128" s="171" t="s">
        <v>177</v>
      </c>
      <c r="H128" s="176">
        <v>1</v>
      </c>
      <c r="I128" s="177">
        <v>0</v>
      </c>
      <c r="J128" s="175">
        <v>46039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-15</v>
      </c>
    </row>
    <row r="129" spans="1:16" ht="19.5" customHeight="1">
      <c r="A129" s="171" t="s">
        <v>574</v>
      </c>
      <c r="B129" s="175">
        <v>46042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1670</v>
      </c>
      <c r="J129" s="175">
        <v>46039</v>
      </c>
      <c r="K129" s="171" t="s">
        <v>113</v>
      </c>
      <c r="L129" s="171" t="s">
        <v>114</v>
      </c>
      <c r="M129" s="178">
        <v>0.43</v>
      </c>
      <c r="N129" s="176"/>
      <c r="O129" s="176">
        <v>51</v>
      </c>
      <c r="P129" s="179">
        <v>-147.08000000000001</v>
      </c>
    </row>
    <row r="130" spans="1:16" ht="19.5" customHeight="1">
      <c r="A130" s="171" t="s">
        <v>574</v>
      </c>
      <c r="B130" s="175">
        <v>46042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1670</v>
      </c>
      <c r="J130" s="175">
        <v>46039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636.19000000000005</v>
      </c>
    </row>
    <row r="131" spans="1:16" ht="19.5" customHeight="1">
      <c r="A131" s="171" t="s">
        <v>574</v>
      </c>
      <c r="B131" s="175">
        <v>46042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1670</v>
      </c>
      <c r="J131" s="175">
        <v>46039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574</v>
      </c>
      <c r="B132" s="175">
        <v>46042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1670</v>
      </c>
      <c r="J132" s="175">
        <v>46039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1033.81</v>
      </c>
    </row>
    <row r="133" spans="1:16" ht="19.5" customHeight="1">
      <c r="A133" s="171" t="s">
        <v>574</v>
      </c>
      <c r="B133" s="175">
        <v>46042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1670</v>
      </c>
      <c r="J133" s="175">
        <v>46039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-718.1</v>
      </c>
    </row>
    <row r="134" spans="1:16" ht="19.5" customHeight="1">
      <c r="A134" s="171" t="s">
        <v>574</v>
      </c>
      <c r="B134" s="175">
        <v>46042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1670</v>
      </c>
      <c r="J134" s="175">
        <v>46039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-8.07</v>
      </c>
    </row>
    <row r="135" spans="1:16" ht="19.5" customHeight="1">
      <c r="A135" s="171" t="s">
        <v>575</v>
      </c>
      <c r="B135" s="175">
        <v>46042</v>
      </c>
      <c r="C135" s="171" t="s">
        <v>115</v>
      </c>
      <c r="D135" s="171" t="s">
        <v>135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0</v>
      </c>
      <c r="J135" s="175">
        <v>46042</v>
      </c>
      <c r="K135" s="171" t="s">
        <v>125</v>
      </c>
      <c r="L135" s="171" t="s">
        <v>125</v>
      </c>
      <c r="M135" s="178">
        <v>0</v>
      </c>
      <c r="N135" s="176"/>
      <c r="O135" s="176"/>
      <c r="P135" s="179">
        <v>-4.26</v>
      </c>
    </row>
    <row r="136" spans="1:16" ht="19.5" customHeight="1">
      <c r="A136" s="171" t="s">
        <v>576</v>
      </c>
      <c r="B136" s="175">
        <v>46042</v>
      </c>
      <c r="C136" s="171" t="s">
        <v>110</v>
      </c>
      <c r="D136" s="171" t="s">
        <v>24</v>
      </c>
      <c r="E136" s="171" t="s">
        <v>44</v>
      </c>
      <c r="F136" s="171" t="s">
        <v>213</v>
      </c>
      <c r="G136" s="171" t="s">
        <v>214</v>
      </c>
      <c r="H136" s="176">
        <v>1</v>
      </c>
      <c r="I136" s="177">
        <v>1815</v>
      </c>
      <c r="J136" s="175">
        <v>46039</v>
      </c>
      <c r="K136" s="171" t="s">
        <v>113</v>
      </c>
      <c r="L136" s="171" t="s">
        <v>114</v>
      </c>
      <c r="M136" s="178">
        <v>0.43</v>
      </c>
      <c r="N136" s="176"/>
      <c r="O136" s="176">
        <v>51</v>
      </c>
      <c r="P136" s="179">
        <v>-152.66</v>
      </c>
    </row>
    <row r="137" spans="1:16" ht="19.5" customHeight="1">
      <c r="A137" s="171" t="s">
        <v>576</v>
      </c>
      <c r="B137" s="175">
        <v>46042</v>
      </c>
      <c r="C137" s="171" t="s">
        <v>127</v>
      </c>
      <c r="D137" s="171" t="s">
        <v>128</v>
      </c>
      <c r="E137" s="171" t="s">
        <v>44</v>
      </c>
      <c r="F137" s="171" t="s">
        <v>213</v>
      </c>
      <c r="G137" s="171" t="s">
        <v>214</v>
      </c>
      <c r="H137" s="176">
        <v>1</v>
      </c>
      <c r="I137" s="177">
        <v>1815</v>
      </c>
      <c r="J137" s="175">
        <v>46039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629.38</v>
      </c>
    </row>
    <row r="138" spans="1:16" ht="19.5" customHeight="1">
      <c r="A138" s="171" t="s">
        <v>576</v>
      </c>
      <c r="B138" s="175">
        <v>46042</v>
      </c>
      <c r="C138" s="171" t="s">
        <v>127</v>
      </c>
      <c r="D138" s="171" t="s">
        <v>129</v>
      </c>
      <c r="E138" s="171" t="s">
        <v>44</v>
      </c>
      <c r="F138" s="171" t="s">
        <v>213</v>
      </c>
      <c r="G138" s="171" t="s">
        <v>214</v>
      </c>
      <c r="H138" s="176">
        <v>1</v>
      </c>
      <c r="I138" s="177">
        <v>1815</v>
      </c>
      <c r="J138" s="175">
        <v>46039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6.29</v>
      </c>
    </row>
    <row r="139" spans="1:16" ht="19.5" customHeight="1">
      <c r="A139" s="171" t="s">
        <v>576</v>
      </c>
      <c r="B139" s="175">
        <v>46042</v>
      </c>
      <c r="C139" s="171" t="s">
        <v>127</v>
      </c>
      <c r="D139" s="171" t="s">
        <v>130</v>
      </c>
      <c r="E139" s="171" t="s">
        <v>44</v>
      </c>
      <c r="F139" s="171" t="s">
        <v>213</v>
      </c>
      <c r="G139" s="171" t="s">
        <v>214</v>
      </c>
      <c r="H139" s="176">
        <v>1</v>
      </c>
      <c r="I139" s="177">
        <v>1815</v>
      </c>
      <c r="J139" s="175">
        <v>46039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1179.33</v>
      </c>
    </row>
    <row r="140" spans="1:16" ht="19.5" customHeight="1">
      <c r="A140" s="171" t="s">
        <v>576</v>
      </c>
      <c r="B140" s="175">
        <v>46042</v>
      </c>
      <c r="C140" s="171" t="s">
        <v>131</v>
      </c>
      <c r="D140" s="171" t="s">
        <v>132</v>
      </c>
      <c r="E140" s="171" t="s">
        <v>44</v>
      </c>
      <c r="F140" s="171" t="s">
        <v>213</v>
      </c>
      <c r="G140" s="171" t="s">
        <v>214</v>
      </c>
      <c r="H140" s="176">
        <v>1</v>
      </c>
      <c r="I140" s="177">
        <v>1815</v>
      </c>
      <c r="J140" s="175">
        <v>46039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-780.45</v>
      </c>
    </row>
    <row r="141" spans="1:16" ht="19.5" customHeight="1">
      <c r="A141" s="171" t="s">
        <v>576</v>
      </c>
      <c r="B141" s="175">
        <v>46042</v>
      </c>
      <c r="C141" s="171" t="s">
        <v>115</v>
      </c>
      <c r="D141" s="171" t="s">
        <v>116</v>
      </c>
      <c r="E141" s="171" t="s">
        <v>44</v>
      </c>
      <c r="F141" s="171" t="s">
        <v>213</v>
      </c>
      <c r="G141" s="171" t="s">
        <v>214</v>
      </c>
      <c r="H141" s="176">
        <v>1</v>
      </c>
      <c r="I141" s="177">
        <v>1815</v>
      </c>
      <c r="J141" s="175">
        <v>46039</v>
      </c>
      <c r="K141" s="171" t="s">
        <v>113</v>
      </c>
      <c r="L141" s="171" t="s">
        <v>114</v>
      </c>
      <c r="M141" s="178">
        <v>0.43</v>
      </c>
      <c r="N141" s="176"/>
      <c r="O141" s="176"/>
      <c r="P141" s="179">
        <v>-11.49</v>
      </c>
    </row>
    <row r="142" spans="1:16" ht="19.5" customHeight="1">
      <c r="A142" s="171" t="s">
        <v>577</v>
      </c>
      <c r="B142" s="175">
        <v>46042</v>
      </c>
      <c r="C142" s="171" t="s">
        <v>110</v>
      </c>
      <c r="D142" s="171" t="s">
        <v>24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46037</v>
      </c>
      <c r="K142" s="171" t="s">
        <v>113</v>
      </c>
      <c r="L142" s="171" t="s">
        <v>114</v>
      </c>
      <c r="M142" s="178">
        <v>0.43</v>
      </c>
      <c r="N142" s="176"/>
      <c r="O142" s="176">
        <v>43</v>
      </c>
      <c r="P142" s="179">
        <v>-125.95</v>
      </c>
    </row>
    <row r="143" spans="1:16" ht="19.5" customHeight="1">
      <c r="A143" s="171" t="s">
        <v>577</v>
      </c>
      <c r="B143" s="175">
        <v>46042</v>
      </c>
      <c r="C143" s="171" t="s">
        <v>127</v>
      </c>
      <c r="D143" s="171" t="s">
        <v>128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46037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745</v>
      </c>
    </row>
    <row r="144" spans="1:16" ht="19.5" customHeight="1">
      <c r="A144" s="171" t="s">
        <v>577</v>
      </c>
      <c r="B144" s="175">
        <v>46042</v>
      </c>
      <c r="C144" s="171" t="s">
        <v>127</v>
      </c>
      <c r="D144" s="171" t="s">
        <v>129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1704</v>
      </c>
      <c r="J144" s="175">
        <v>46037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7.45</v>
      </c>
    </row>
    <row r="145" spans="1:16" ht="19.5" customHeight="1">
      <c r="A145" s="171" t="s">
        <v>577</v>
      </c>
      <c r="B145" s="175">
        <v>46042</v>
      </c>
      <c r="C145" s="171" t="s">
        <v>127</v>
      </c>
      <c r="D145" s="171" t="s">
        <v>130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1704</v>
      </c>
      <c r="J145" s="175">
        <v>46037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951.55</v>
      </c>
    </row>
    <row r="146" spans="1:16" ht="19.5" customHeight="1">
      <c r="A146" s="171" t="s">
        <v>577</v>
      </c>
      <c r="B146" s="175">
        <v>46042</v>
      </c>
      <c r="C146" s="171" t="s">
        <v>131</v>
      </c>
      <c r="D146" s="171" t="s">
        <v>132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1704</v>
      </c>
      <c r="J146" s="175">
        <v>46037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-732.72</v>
      </c>
    </row>
    <row r="147" spans="1:16" ht="19.5" customHeight="1">
      <c r="A147" s="171" t="s">
        <v>577</v>
      </c>
      <c r="B147" s="175">
        <v>46042</v>
      </c>
      <c r="C147" s="171" t="s">
        <v>115</v>
      </c>
      <c r="D147" s="171" t="s">
        <v>116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1704</v>
      </c>
      <c r="J147" s="175">
        <v>46037</v>
      </c>
      <c r="K147" s="171" t="s">
        <v>113</v>
      </c>
      <c r="L147" s="171" t="s">
        <v>114</v>
      </c>
      <c r="M147" s="178">
        <v>0.43</v>
      </c>
      <c r="N147" s="176"/>
      <c r="O147" s="176"/>
      <c r="P147" s="179">
        <v>-20.43</v>
      </c>
    </row>
    <row r="148" spans="1:16" ht="19.5" customHeight="1">
      <c r="A148" s="171" t="s">
        <v>578</v>
      </c>
      <c r="B148" s="175">
        <v>46042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46042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-10.95</v>
      </c>
    </row>
    <row r="149" spans="1:16" ht="19.5" customHeight="1">
      <c r="A149" s="171" t="s">
        <v>579</v>
      </c>
      <c r="B149" s="175">
        <v>46042</v>
      </c>
      <c r="C149" s="171" t="s">
        <v>110</v>
      </c>
      <c r="D149" s="171" t="s">
        <v>24</v>
      </c>
      <c r="E149" s="171" t="s">
        <v>38</v>
      </c>
      <c r="F149" s="171" t="s">
        <v>111</v>
      </c>
      <c r="G149" s="171" t="s">
        <v>112</v>
      </c>
      <c r="H149" s="176">
        <v>1</v>
      </c>
      <c r="I149" s="177">
        <v>0</v>
      </c>
      <c r="J149" s="175">
        <v>46036</v>
      </c>
      <c r="K149" s="171" t="s">
        <v>113</v>
      </c>
      <c r="L149" s="171" t="s">
        <v>114</v>
      </c>
      <c r="M149" s="178">
        <v>0</v>
      </c>
      <c r="N149" s="176"/>
      <c r="O149" s="176">
        <v>44</v>
      </c>
      <c r="P149" s="179">
        <v>-46.77</v>
      </c>
    </row>
    <row r="150" spans="1:16" ht="19.5" customHeight="1">
      <c r="A150" s="171" t="s">
        <v>579</v>
      </c>
      <c r="B150" s="175">
        <v>46042</v>
      </c>
      <c r="C150" s="171" t="s">
        <v>115</v>
      </c>
      <c r="D150" s="171" t="s">
        <v>116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46036</v>
      </c>
      <c r="K150" s="171" t="s">
        <v>113</v>
      </c>
      <c r="L150" s="171" t="s">
        <v>114</v>
      </c>
      <c r="M150" s="178">
        <v>0</v>
      </c>
      <c r="N150" s="176"/>
      <c r="O150" s="176"/>
      <c r="P150" s="179">
        <v>-16.89</v>
      </c>
    </row>
    <row r="151" spans="1:16" ht="19.5" customHeight="1">
      <c r="A151" s="171" t="s">
        <v>579</v>
      </c>
      <c r="B151" s="175">
        <v>46042</v>
      </c>
      <c r="C151" s="171" t="s">
        <v>110</v>
      </c>
      <c r="D151" s="171" t="s">
        <v>117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0</v>
      </c>
      <c r="J151" s="175">
        <v>46036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0</v>
      </c>
    </row>
    <row r="152" spans="1:16" ht="19.5" customHeight="1">
      <c r="A152" s="171" t="s">
        <v>579</v>
      </c>
      <c r="B152" s="175">
        <v>46042</v>
      </c>
      <c r="C152" s="171" t="s">
        <v>110</v>
      </c>
      <c r="D152" s="171" t="s">
        <v>118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0</v>
      </c>
      <c r="J152" s="175">
        <v>46036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-46.77</v>
      </c>
    </row>
    <row r="153" spans="1:16" ht="19.5" customHeight="1">
      <c r="A153" s="171" t="s">
        <v>579</v>
      </c>
      <c r="B153" s="175">
        <v>46042</v>
      </c>
      <c r="C153" s="171" t="s">
        <v>115</v>
      </c>
      <c r="D153" s="171" t="s">
        <v>119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0</v>
      </c>
      <c r="J153" s="175">
        <v>46036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-15</v>
      </c>
    </row>
    <row r="154" spans="1:16" ht="19.5" customHeight="1">
      <c r="A154" s="171" t="s">
        <v>580</v>
      </c>
      <c r="B154" s="175">
        <v>46042</v>
      </c>
      <c r="C154" s="171" t="s">
        <v>110</v>
      </c>
      <c r="D154" s="171" t="s">
        <v>24</v>
      </c>
      <c r="E154" s="171" t="s">
        <v>70</v>
      </c>
      <c r="F154" s="171" t="s">
        <v>509</v>
      </c>
      <c r="G154" s="171" t="s">
        <v>177</v>
      </c>
      <c r="H154" s="176">
        <v>1</v>
      </c>
      <c r="I154" s="177">
        <v>4506</v>
      </c>
      <c r="J154" s="175">
        <v>46038</v>
      </c>
      <c r="K154" s="171" t="s">
        <v>113</v>
      </c>
      <c r="L154" s="171" t="s">
        <v>114</v>
      </c>
      <c r="M154" s="178">
        <v>0.43</v>
      </c>
      <c r="N154" s="176"/>
      <c r="O154" s="176">
        <v>48</v>
      </c>
      <c r="P154" s="179">
        <v>-262.98</v>
      </c>
    </row>
    <row r="155" spans="1:16" ht="19.5" customHeight="1">
      <c r="A155" s="171" t="s">
        <v>580</v>
      </c>
      <c r="B155" s="175">
        <v>46042</v>
      </c>
      <c r="C155" s="171" t="s">
        <v>127</v>
      </c>
      <c r="D155" s="171" t="s">
        <v>128</v>
      </c>
      <c r="E155" s="171" t="s">
        <v>70</v>
      </c>
      <c r="F155" s="171" t="s">
        <v>509</v>
      </c>
      <c r="G155" s="171" t="s">
        <v>177</v>
      </c>
      <c r="H155" s="176">
        <v>1</v>
      </c>
      <c r="I155" s="177">
        <v>4506</v>
      </c>
      <c r="J155" s="175">
        <v>46038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2975.24</v>
      </c>
    </row>
    <row r="156" spans="1:16" ht="19.5" customHeight="1">
      <c r="A156" s="171" t="s">
        <v>580</v>
      </c>
      <c r="B156" s="175">
        <v>46042</v>
      </c>
      <c r="C156" s="171" t="s">
        <v>127</v>
      </c>
      <c r="D156" s="171" t="s">
        <v>129</v>
      </c>
      <c r="E156" s="171" t="s">
        <v>70</v>
      </c>
      <c r="F156" s="171" t="s">
        <v>509</v>
      </c>
      <c r="G156" s="171" t="s">
        <v>177</v>
      </c>
      <c r="H156" s="176">
        <v>1</v>
      </c>
      <c r="I156" s="177">
        <v>4506</v>
      </c>
      <c r="J156" s="175">
        <v>46038</v>
      </c>
      <c r="K156" s="171" t="s">
        <v>113</v>
      </c>
      <c r="L156" s="171" t="s">
        <v>114</v>
      </c>
      <c r="M156" s="178">
        <v>0</v>
      </c>
      <c r="N156" s="176"/>
      <c r="O156" s="176"/>
      <c r="P156" s="179">
        <v>29.75</v>
      </c>
    </row>
    <row r="157" spans="1:16" ht="19.5" customHeight="1">
      <c r="A157" s="171" t="s">
        <v>580</v>
      </c>
      <c r="B157" s="175">
        <v>46042</v>
      </c>
      <c r="C157" s="171" t="s">
        <v>127</v>
      </c>
      <c r="D157" s="171" t="s">
        <v>130</v>
      </c>
      <c r="E157" s="171" t="s">
        <v>70</v>
      </c>
      <c r="F157" s="171" t="s">
        <v>509</v>
      </c>
      <c r="G157" s="171" t="s">
        <v>177</v>
      </c>
      <c r="H157" s="176">
        <v>1</v>
      </c>
      <c r="I157" s="177">
        <v>4506</v>
      </c>
      <c r="J157" s="175">
        <v>46038</v>
      </c>
      <c r="K157" s="171" t="s">
        <v>113</v>
      </c>
      <c r="L157" s="171" t="s">
        <v>114</v>
      </c>
      <c r="M157" s="178">
        <v>0</v>
      </c>
      <c r="N157" s="176"/>
      <c r="O157" s="176"/>
      <c r="P157" s="179">
        <v>1501.01</v>
      </c>
    </row>
    <row r="158" spans="1:16" ht="19.5" customHeight="1">
      <c r="A158" s="171" t="s">
        <v>580</v>
      </c>
      <c r="B158" s="175">
        <v>46042</v>
      </c>
      <c r="C158" s="171" t="s">
        <v>131</v>
      </c>
      <c r="D158" s="171" t="s">
        <v>132</v>
      </c>
      <c r="E158" s="171" t="s">
        <v>70</v>
      </c>
      <c r="F158" s="171" t="s">
        <v>509</v>
      </c>
      <c r="G158" s="171" t="s">
        <v>177</v>
      </c>
      <c r="H158" s="176">
        <v>1</v>
      </c>
      <c r="I158" s="177">
        <v>4506</v>
      </c>
      <c r="J158" s="175">
        <v>46038</v>
      </c>
      <c r="K158" s="171" t="s">
        <v>113</v>
      </c>
      <c r="L158" s="171" t="s">
        <v>114</v>
      </c>
      <c r="M158" s="178">
        <v>0.43</v>
      </c>
      <c r="N158" s="176"/>
      <c r="O158" s="176"/>
      <c r="P158" s="179">
        <v>-1937.58</v>
      </c>
    </row>
    <row r="159" spans="1:16" ht="19.5" customHeight="1">
      <c r="A159" s="171" t="s">
        <v>580</v>
      </c>
      <c r="B159" s="175">
        <v>46042</v>
      </c>
      <c r="C159" s="171" t="s">
        <v>115</v>
      </c>
      <c r="D159" s="171" t="s">
        <v>116</v>
      </c>
      <c r="E159" s="171" t="s">
        <v>70</v>
      </c>
      <c r="F159" s="171" t="s">
        <v>509</v>
      </c>
      <c r="G159" s="171" t="s">
        <v>177</v>
      </c>
      <c r="H159" s="176">
        <v>1</v>
      </c>
      <c r="I159" s="177">
        <v>4506</v>
      </c>
      <c r="J159" s="175">
        <v>46038</v>
      </c>
      <c r="K159" s="171" t="s">
        <v>113</v>
      </c>
      <c r="L159" s="171" t="s">
        <v>114</v>
      </c>
      <c r="M159" s="178">
        <v>0.43</v>
      </c>
      <c r="N159" s="176"/>
      <c r="O159" s="176"/>
      <c r="P159" s="179">
        <v>-16.88</v>
      </c>
    </row>
    <row r="160" spans="1:16" ht="19.5" customHeight="1">
      <c r="A160" s="171" t="s">
        <v>581</v>
      </c>
      <c r="B160" s="175">
        <v>46042</v>
      </c>
      <c r="C160" s="171" t="s">
        <v>115</v>
      </c>
      <c r="D160" s="171" t="s">
        <v>135</v>
      </c>
      <c r="E160" s="171" t="s">
        <v>70</v>
      </c>
      <c r="F160" s="171" t="s">
        <v>509</v>
      </c>
      <c r="G160" s="171" t="s">
        <v>177</v>
      </c>
      <c r="H160" s="176">
        <v>1</v>
      </c>
      <c r="I160" s="177">
        <v>0</v>
      </c>
      <c r="J160" s="175">
        <v>46042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-16.760000000000002</v>
      </c>
    </row>
    <row r="161" spans="1:16" ht="19.5" customHeight="1">
      <c r="A161" s="171" t="s">
        <v>580</v>
      </c>
      <c r="B161" s="175">
        <v>46042</v>
      </c>
      <c r="C161" s="171" t="s">
        <v>115</v>
      </c>
      <c r="D161" s="171" t="s">
        <v>135</v>
      </c>
      <c r="E161" s="171" t="s">
        <v>70</v>
      </c>
      <c r="F161" s="171" t="s">
        <v>509</v>
      </c>
      <c r="G161" s="171" t="s">
        <v>177</v>
      </c>
      <c r="H161" s="176">
        <v>1</v>
      </c>
      <c r="I161" s="177">
        <v>0</v>
      </c>
      <c r="J161" s="175">
        <v>46038</v>
      </c>
      <c r="K161" s="171" t="s">
        <v>125</v>
      </c>
      <c r="L161" s="171" t="s">
        <v>125</v>
      </c>
      <c r="M161" s="178">
        <v>0</v>
      </c>
      <c r="N161" s="176"/>
      <c r="O161" s="176"/>
      <c r="P161" s="179">
        <v>-56.53</v>
      </c>
    </row>
    <row r="162" spans="1:16" ht="19.5" customHeight="1">
      <c r="A162" s="171" t="s">
        <v>582</v>
      </c>
      <c r="B162" s="175">
        <v>46042</v>
      </c>
      <c r="C162" s="171" t="s">
        <v>110</v>
      </c>
      <c r="D162" s="171" t="s">
        <v>24</v>
      </c>
      <c r="E162" s="171" t="s">
        <v>48</v>
      </c>
      <c r="F162" s="171" t="s">
        <v>198</v>
      </c>
      <c r="G162" s="171" t="s">
        <v>112</v>
      </c>
      <c r="H162" s="176">
        <v>1</v>
      </c>
      <c r="I162" s="177">
        <v>1387</v>
      </c>
      <c r="J162" s="175">
        <v>46040</v>
      </c>
      <c r="K162" s="171" t="s">
        <v>113</v>
      </c>
      <c r="L162" s="171" t="s">
        <v>114</v>
      </c>
      <c r="M162" s="178">
        <v>0.43</v>
      </c>
      <c r="N162" s="176"/>
      <c r="O162" s="176">
        <v>51</v>
      </c>
      <c r="P162" s="179">
        <v>-136.18</v>
      </c>
    </row>
    <row r="163" spans="1:16" ht="19.5" customHeight="1">
      <c r="A163" s="171" t="s">
        <v>582</v>
      </c>
      <c r="B163" s="175">
        <v>46042</v>
      </c>
      <c r="C163" s="171" t="s">
        <v>127</v>
      </c>
      <c r="D163" s="171" t="s">
        <v>128</v>
      </c>
      <c r="E163" s="171" t="s">
        <v>48</v>
      </c>
      <c r="F163" s="171" t="s">
        <v>198</v>
      </c>
      <c r="G163" s="171" t="s">
        <v>112</v>
      </c>
      <c r="H163" s="176">
        <v>1</v>
      </c>
      <c r="I163" s="177">
        <v>1387</v>
      </c>
      <c r="J163" s="175">
        <v>46040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716.19</v>
      </c>
    </row>
    <row r="164" spans="1:16" ht="19.5" customHeight="1">
      <c r="A164" s="171" t="s">
        <v>582</v>
      </c>
      <c r="B164" s="175">
        <v>46042</v>
      </c>
      <c r="C164" s="171" t="s">
        <v>127</v>
      </c>
      <c r="D164" s="171" t="s">
        <v>129</v>
      </c>
      <c r="E164" s="171" t="s">
        <v>48</v>
      </c>
      <c r="F164" s="171" t="s">
        <v>198</v>
      </c>
      <c r="G164" s="171" t="s">
        <v>112</v>
      </c>
      <c r="H164" s="176">
        <v>1</v>
      </c>
      <c r="I164" s="177">
        <v>1387</v>
      </c>
      <c r="J164" s="175">
        <v>46040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7.16</v>
      </c>
    </row>
    <row r="165" spans="1:16" ht="19.5" customHeight="1">
      <c r="A165" s="171" t="s">
        <v>582</v>
      </c>
      <c r="B165" s="175">
        <v>46042</v>
      </c>
      <c r="C165" s="171" t="s">
        <v>127</v>
      </c>
      <c r="D165" s="171" t="s">
        <v>130</v>
      </c>
      <c r="E165" s="171" t="s">
        <v>48</v>
      </c>
      <c r="F165" s="171" t="s">
        <v>198</v>
      </c>
      <c r="G165" s="171" t="s">
        <v>112</v>
      </c>
      <c r="H165" s="176">
        <v>1</v>
      </c>
      <c r="I165" s="177">
        <v>1387</v>
      </c>
      <c r="J165" s="175">
        <v>46040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663.65</v>
      </c>
    </row>
    <row r="166" spans="1:16" ht="19.5" customHeight="1">
      <c r="A166" s="171" t="s">
        <v>582</v>
      </c>
      <c r="B166" s="175">
        <v>46042</v>
      </c>
      <c r="C166" s="171" t="s">
        <v>131</v>
      </c>
      <c r="D166" s="171" t="s">
        <v>132</v>
      </c>
      <c r="E166" s="171" t="s">
        <v>48</v>
      </c>
      <c r="F166" s="171" t="s">
        <v>198</v>
      </c>
      <c r="G166" s="171" t="s">
        <v>112</v>
      </c>
      <c r="H166" s="176">
        <v>1</v>
      </c>
      <c r="I166" s="177">
        <v>1387</v>
      </c>
      <c r="J166" s="175">
        <v>46040</v>
      </c>
      <c r="K166" s="171" t="s">
        <v>113</v>
      </c>
      <c r="L166" s="171" t="s">
        <v>114</v>
      </c>
      <c r="M166" s="178">
        <v>0.43</v>
      </c>
      <c r="N166" s="176"/>
      <c r="O166" s="176"/>
      <c r="P166" s="179">
        <v>-596.41</v>
      </c>
    </row>
    <row r="167" spans="1:16" ht="19.5" customHeight="1">
      <c r="A167" s="171" t="s">
        <v>582</v>
      </c>
      <c r="B167" s="175">
        <v>46042</v>
      </c>
      <c r="C167" s="171" t="s">
        <v>115</v>
      </c>
      <c r="D167" s="171" t="s">
        <v>116</v>
      </c>
      <c r="E167" s="171" t="s">
        <v>48</v>
      </c>
      <c r="F167" s="171" t="s">
        <v>198</v>
      </c>
      <c r="G167" s="171" t="s">
        <v>112</v>
      </c>
      <c r="H167" s="176">
        <v>1</v>
      </c>
      <c r="I167" s="177">
        <v>1387</v>
      </c>
      <c r="J167" s="175">
        <v>46040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-11.26</v>
      </c>
    </row>
    <row r="168" spans="1:16" ht="19.5" customHeight="1">
      <c r="A168" s="171" t="s">
        <v>583</v>
      </c>
      <c r="B168" s="175">
        <v>46042</v>
      </c>
      <c r="C168" s="171" t="s">
        <v>110</v>
      </c>
      <c r="D168" s="171" t="s">
        <v>24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1670</v>
      </c>
      <c r="J168" s="175">
        <v>46038</v>
      </c>
      <c r="K168" s="171" t="s">
        <v>113</v>
      </c>
      <c r="L168" s="171" t="s">
        <v>114</v>
      </c>
      <c r="M168" s="178">
        <v>0.43</v>
      </c>
      <c r="N168" s="176"/>
      <c r="O168" s="176">
        <v>48</v>
      </c>
      <c r="P168" s="179">
        <v>-141.87</v>
      </c>
    </row>
    <row r="169" spans="1:16" ht="19.5" customHeight="1">
      <c r="A169" s="171" t="s">
        <v>583</v>
      </c>
      <c r="B169" s="175">
        <v>46042</v>
      </c>
      <c r="C169" s="171" t="s">
        <v>127</v>
      </c>
      <c r="D169" s="171" t="s">
        <v>128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1670</v>
      </c>
      <c r="J169" s="175">
        <v>46038</v>
      </c>
      <c r="K169" s="171" t="s">
        <v>113</v>
      </c>
      <c r="L169" s="171" t="s">
        <v>114</v>
      </c>
      <c r="M169" s="178">
        <v>0</v>
      </c>
      <c r="N169" s="176"/>
      <c r="O169" s="176"/>
      <c r="P169" s="179">
        <v>636.19000000000005</v>
      </c>
    </row>
    <row r="170" spans="1:16" ht="19.5" customHeight="1">
      <c r="A170" s="171" t="s">
        <v>583</v>
      </c>
      <c r="B170" s="175">
        <v>46042</v>
      </c>
      <c r="C170" s="171" t="s">
        <v>127</v>
      </c>
      <c r="D170" s="171" t="s">
        <v>129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1670</v>
      </c>
      <c r="J170" s="175">
        <v>46038</v>
      </c>
      <c r="K170" s="171" t="s">
        <v>113</v>
      </c>
      <c r="L170" s="171" t="s">
        <v>114</v>
      </c>
      <c r="M170" s="178">
        <v>0</v>
      </c>
      <c r="N170" s="176"/>
      <c r="O170" s="176"/>
      <c r="P170" s="179">
        <v>0</v>
      </c>
    </row>
    <row r="171" spans="1:16" ht="19.5" customHeight="1">
      <c r="A171" s="171" t="s">
        <v>583</v>
      </c>
      <c r="B171" s="175">
        <v>46042</v>
      </c>
      <c r="C171" s="171" t="s">
        <v>127</v>
      </c>
      <c r="D171" s="171" t="s">
        <v>130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1670</v>
      </c>
      <c r="J171" s="175">
        <v>46038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1033.81</v>
      </c>
    </row>
    <row r="172" spans="1:16" ht="19.5" customHeight="1">
      <c r="A172" s="171" t="s">
        <v>583</v>
      </c>
      <c r="B172" s="175">
        <v>46042</v>
      </c>
      <c r="C172" s="171" t="s">
        <v>131</v>
      </c>
      <c r="D172" s="171" t="s">
        <v>132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1670</v>
      </c>
      <c r="J172" s="175">
        <v>46038</v>
      </c>
      <c r="K172" s="171" t="s">
        <v>113</v>
      </c>
      <c r="L172" s="171" t="s">
        <v>114</v>
      </c>
      <c r="M172" s="178">
        <v>0.43</v>
      </c>
      <c r="N172" s="176"/>
      <c r="O172" s="176"/>
      <c r="P172" s="179">
        <v>-718.1</v>
      </c>
    </row>
    <row r="173" spans="1:16" ht="19.5" customHeight="1">
      <c r="A173" s="171" t="s">
        <v>584</v>
      </c>
      <c r="B173" s="175">
        <v>46042</v>
      </c>
      <c r="C173" s="171" t="s">
        <v>110</v>
      </c>
      <c r="D173" s="171" t="s">
        <v>24</v>
      </c>
      <c r="E173" s="171" t="s">
        <v>77</v>
      </c>
      <c r="F173" s="171" t="s">
        <v>194</v>
      </c>
      <c r="G173" s="171" t="s">
        <v>177</v>
      </c>
      <c r="H173" s="176">
        <v>1</v>
      </c>
      <c r="I173" s="177">
        <v>0</v>
      </c>
      <c r="J173" s="175">
        <v>46039</v>
      </c>
      <c r="K173" s="171" t="s">
        <v>113</v>
      </c>
      <c r="L173" s="171" t="s">
        <v>114</v>
      </c>
      <c r="M173" s="178">
        <v>0</v>
      </c>
      <c r="N173" s="176"/>
      <c r="O173" s="176">
        <v>51</v>
      </c>
      <c r="P173" s="179">
        <v>-56.94</v>
      </c>
    </row>
    <row r="174" spans="1:16" ht="19.5" customHeight="1">
      <c r="A174" s="171" t="s">
        <v>584</v>
      </c>
      <c r="B174" s="175">
        <v>46042</v>
      </c>
      <c r="C174" s="171" t="s">
        <v>115</v>
      </c>
      <c r="D174" s="171" t="s">
        <v>116</v>
      </c>
      <c r="E174" s="171" t="s">
        <v>77</v>
      </c>
      <c r="F174" s="171" t="s">
        <v>194</v>
      </c>
      <c r="G174" s="171" t="s">
        <v>177</v>
      </c>
      <c r="H174" s="176">
        <v>1</v>
      </c>
      <c r="I174" s="177">
        <v>0</v>
      </c>
      <c r="J174" s="175">
        <v>46039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-13.13</v>
      </c>
    </row>
    <row r="175" spans="1:16" ht="19.5" customHeight="1">
      <c r="A175" s="171" t="s">
        <v>584</v>
      </c>
      <c r="B175" s="175">
        <v>46042</v>
      </c>
      <c r="C175" s="171" t="s">
        <v>110</v>
      </c>
      <c r="D175" s="171" t="s">
        <v>117</v>
      </c>
      <c r="E175" s="171" t="s">
        <v>77</v>
      </c>
      <c r="F175" s="171" t="s">
        <v>194</v>
      </c>
      <c r="G175" s="171" t="s">
        <v>177</v>
      </c>
      <c r="H175" s="176">
        <v>1</v>
      </c>
      <c r="I175" s="177">
        <v>0</v>
      </c>
      <c r="J175" s="175">
        <v>46039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0</v>
      </c>
    </row>
    <row r="176" spans="1:16" ht="19.5" customHeight="1">
      <c r="A176" s="171" t="s">
        <v>584</v>
      </c>
      <c r="B176" s="175">
        <v>46042</v>
      </c>
      <c r="C176" s="171" t="s">
        <v>110</v>
      </c>
      <c r="D176" s="171" t="s">
        <v>118</v>
      </c>
      <c r="E176" s="171" t="s">
        <v>77</v>
      </c>
      <c r="F176" s="171" t="s">
        <v>194</v>
      </c>
      <c r="G176" s="171" t="s">
        <v>177</v>
      </c>
      <c r="H176" s="176">
        <v>1</v>
      </c>
      <c r="I176" s="177">
        <v>0</v>
      </c>
      <c r="J176" s="175">
        <v>46039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-56.94</v>
      </c>
    </row>
    <row r="177" spans="1:16" ht="19.5" customHeight="1">
      <c r="A177" s="171" t="s">
        <v>584</v>
      </c>
      <c r="B177" s="175">
        <v>46042</v>
      </c>
      <c r="C177" s="171" t="s">
        <v>115</v>
      </c>
      <c r="D177" s="171" t="s">
        <v>119</v>
      </c>
      <c r="E177" s="171" t="s">
        <v>77</v>
      </c>
      <c r="F177" s="171" t="s">
        <v>194</v>
      </c>
      <c r="G177" s="171" t="s">
        <v>177</v>
      </c>
      <c r="H177" s="176">
        <v>1</v>
      </c>
      <c r="I177" s="177">
        <v>0</v>
      </c>
      <c r="J177" s="175">
        <v>46039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-15</v>
      </c>
    </row>
    <row r="178" spans="1:16" ht="19.5" customHeight="1">
      <c r="A178" s="171" t="s">
        <v>585</v>
      </c>
      <c r="B178" s="175">
        <v>46042</v>
      </c>
      <c r="C178" s="171" t="s">
        <v>110</v>
      </c>
      <c r="D178" s="171" t="s">
        <v>24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1670</v>
      </c>
      <c r="J178" s="175">
        <v>46039</v>
      </c>
      <c r="K178" s="171" t="s">
        <v>113</v>
      </c>
      <c r="L178" s="171" t="s">
        <v>114</v>
      </c>
      <c r="M178" s="178">
        <v>0.43</v>
      </c>
      <c r="N178" s="176"/>
      <c r="O178" s="176">
        <v>51</v>
      </c>
      <c r="P178" s="179">
        <v>-147.08000000000001</v>
      </c>
    </row>
    <row r="179" spans="1:16" ht="19.5" customHeight="1">
      <c r="A179" s="171" t="s">
        <v>585</v>
      </c>
      <c r="B179" s="175">
        <v>46042</v>
      </c>
      <c r="C179" s="171" t="s">
        <v>127</v>
      </c>
      <c r="D179" s="171" t="s">
        <v>128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1670</v>
      </c>
      <c r="J179" s="175">
        <v>46039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574.29</v>
      </c>
    </row>
    <row r="180" spans="1:16" ht="19.5" customHeight="1">
      <c r="A180" s="171" t="s">
        <v>585</v>
      </c>
      <c r="B180" s="175">
        <v>46042</v>
      </c>
      <c r="C180" s="171" t="s">
        <v>127</v>
      </c>
      <c r="D180" s="171" t="s">
        <v>129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1670</v>
      </c>
      <c r="J180" s="175">
        <v>46039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5.74</v>
      </c>
    </row>
    <row r="181" spans="1:16" ht="19.5" customHeight="1">
      <c r="A181" s="171" t="s">
        <v>585</v>
      </c>
      <c r="B181" s="175">
        <v>46042</v>
      </c>
      <c r="C181" s="171" t="s">
        <v>127</v>
      </c>
      <c r="D181" s="171" t="s">
        <v>130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1670</v>
      </c>
      <c r="J181" s="175">
        <v>46039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1089.97</v>
      </c>
    </row>
    <row r="182" spans="1:16" ht="19.5" customHeight="1">
      <c r="A182" s="171" t="s">
        <v>585</v>
      </c>
      <c r="B182" s="175">
        <v>46042</v>
      </c>
      <c r="C182" s="171" t="s">
        <v>131</v>
      </c>
      <c r="D182" s="171" t="s">
        <v>132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1670</v>
      </c>
      <c r="J182" s="175">
        <v>46039</v>
      </c>
      <c r="K182" s="171" t="s">
        <v>113</v>
      </c>
      <c r="L182" s="171" t="s">
        <v>114</v>
      </c>
      <c r="M182" s="178">
        <v>0.43</v>
      </c>
      <c r="N182" s="176"/>
      <c r="O182" s="176"/>
      <c r="P182" s="179">
        <v>-718.1</v>
      </c>
    </row>
    <row r="183" spans="1:16" ht="19.5" customHeight="1">
      <c r="A183" s="171" t="s">
        <v>585</v>
      </c>
      <c r="B183" s="175">
        <v>46042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1670</v>
      </c>
      <c r="J183" s="175">
        <v>46039</v>
      </c>
      <c r="K183" s="171" t="s">
        <v>113</v>
      </c>
      <c r="L183" s="171" t="s">
        <v>114</v>
      </c>
      <c r="M183" s="178">
        <v>0.43</v>
      </c>
      <c r="N183" s="176"/>
      <c r="O183" s="176"/>
      <c r="P183" s="179">
        <v>-7.96</v>
      </c>
    </row>
    <row r="184" spans="1:16" ht="19.5" customHeight="1">
      <c r="A184" s="171" t="s">
        <v>586</v>
      </c>
      <c r="B184" s="175">
        <v>46042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823</v>
      </c>
      <c r="J184" s="175">
        <v>46041</v>
      </c>
      <c r="K184" s="171" t="s">
        <v>113</v>
      </c>
      <c r="L184" s="171" t="s">
        <v>114</v>
      </c>
      <c r="M184" s="178">
        <v>0.43</v>
      </c>
      <c r="N184" s="176"/>
      <c r="O184" s="176">
        <v>53</v>
      </c>
      <c r="P184" s="179">
        <v>-115.35</v>
      </c>
    </row>
    <row r="185" spans="1:16" ht="19.5" customHeight="1">
      <c r="A185" s="171" t="s">
        <v>586</v>
      </c>
      <c r="B185" s="175">
        <v>46042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823</v>
      </c>
      <c r="J185" s="175">
        <v>46041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285.70999999999998</v>
      </c>
    </row>
    <row r="186" spans="1:16" ht="19.5" customHeight="1">
      <c r="A186" s="171" t="s">
        <v>586</v>
      </c>
      <c r="B186" s="175">
        <v>46042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823</v>
      </c>
      <c r="J186" s="175">
        <v>46041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2.86</v>
      </c>
    </row>
    <row r="187" spans="1:16" ht="19.5" customHeight="1">
      <c r="A187" s="171" t="s">
        <v>586</v>
      </c>
      <c r="B187" s="175">
        <v>46042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823</v>
      </c>
      <c r="J187" s="175">
        <v>46041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534.42999999999995</v>
      </c>
    </row>
    <row r="188" spans="1:16" ht="19.5" customHeight="1">
      <c r="A188" s="171" t="s">
        <v>586</v>
      </c>
      <c r="B188" s="175">
        <v>46042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823</v>
      </c>
      <c r="J188" s="175">
        <v>46041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-353.89</v>
      </c>
    </row>
    <row r="189" spans="1:16" ht="19.5" customHeight="1">
      <c r="A189" s="171" t="s">
        <v>586</v>
      </c>
      <c r="B189" s="175">
        <v>46042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823</v>
      </c>
      <c r="J189" s="175">
        <v>46041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-3.71</v>
      </c>
    </row>
    <row r="190" spans="1:16" ht="19.5" customHeight="1">
      <c r="A190" s="171" t="s">
        <v>587</v>
      </c>
      <c r="B190" s="175">
        <v>46042</v>
      </c>
      <c r="C190" s="171" t="s">
        <v>110</v>
      </c>
      <c r="D190" s="171" t="s">
        <v>24</v>
      </c>
      <c r="E190" s="171" t="s">
        <v>78</v>
      </c>
      <c r="F190" s="171" t="s">
        <v>176</v>
      </c>
      <c r="G190" s="171" t="s">
        <v>177</v>
      </c>
      <c r="H190" s="176">
        <v>1</v>
      </c>
      <c r="I190" s="177">
        <v>4940</v>
      </c>
      <c r="J190" s="175">
        <v>46039</v>
      </c>
      <c r="K190" s="171" t="s">
        <v>113</v>
      </c>
      <c r="L190" s="171" t="s">
        <v>114</v>
      </c>
      <c r="M190" s="178">
        <v>0.43</v>
      </c>
      <c r="N190" s="176"/>
      <c r="O190" s="176">
        <v>51</v>
      </c>
      <c r="P190" s="179">
        <v>-290.97000000000003</v>
      </c>
    </row>
    <row r="191" spans="1:16" ht="19.5" customHeight="1">
      <c r="A191" s="171" t="s">
        <v>587</v>
      </c>
      <c r="B191" s="175">
        <v>46042</v>
      </c>
      <c r="C191" s="171" t="s">
        <v>127</v>
      </c>
      <c r="D191" s="171" t="s">
        <v>128</v>
      </c>
      <c r="E191" s="171" t="s">
        <v>78</v>
      </c>
      <c r="F191" s="171" t="s">
        <v>176</v>
      </c>
      <c r="G191" s="171" t="s">
        <v>177</v>
      </c>
      <c r="H191" s="176">
        <v>1</v>
      </c>
      <c r="I191" s="177">
        <v>4940</v>
      </c>
      <c r="J191" s="175">
        <v>46039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2126.67</v>
      </c>
    </row>
    <row r="192" spans="1:16" ht="19.5" customHeight="1">
      <c r="A192" s="171" t="s">
        <v>587</v>
      </c>
      <c r="B192" s="175">
        <v>46042</v>
      </c>
      <c r="C192" s="171" t="s">
        <v>127</v>
      </c>
      <c r="D192" s="171" t="s">
        <v>129</v>
      </c>
      <c r="E192" s="171" t="s">
        <v>78</v>
      </c>
      <c r="F192" s="171" t="s">
        <v>176</v>
      </c>
      <c r="G192" s="171" t="s">
        <v>177</v>
      </c>
      <c r="H192" s="176">
        <v>1</v>
      </c>
      <c r="I192" s="177">
        <v>4940</v>
      </c>
      <c r="J192" s="175">
        <v>46039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21.27</v>
      </c>
    </row>
    <row r="193" spans="1:16" ht="19.5" customHeight="1">
      <c r="A193" s="171" t="s">
        <v>587</v>
      </c>
      <c r="B193" s="175">
        <v>46042</v>
      </c>
      <c r="C193" s="171" t="s">
        <v>127</v>
      </c>
      <c r="D193" s="171" t="s">
        <v>130</v>
      </c>
      <c r="E193" s="171" t="s">
        <v>78</v>
      </c>
      <c r="F193" s="171" t="s">
        <v>176</v>
      </c>
      <c r="G193" s="171" t="s">
        <v>177</v>
      </c>
      <c r="H193" s="176">
        <v>1</v>
      </c>
      <c r="I193" s="177">
        <v>4940</v>
      </c>
      <c r="J193" s="175">
        <v>46039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2792.06</v>
      </c>
    </row>
    <row r="194" spans="1:16" ht="19.5" customHeight="1">
      <c r="A194" s="171" t="s">
        <v>587</v>
      </c>
      <c r="B194" s="175">
        <v>46042</v>
      </c>
      <c r="C194" s="171" t="s">
        <v>131</v>
      </c>
      <c r="D194" s="171" t="s">
        <v>132</v>
      </c>
      <c r="E194" s="171" t="s">
        <v>78</v>
      </c>
      <c r="F194" s="171" t="s">
        <v>176</v>
      </c>
      <c r="G194" s="171" t="s">
        <v>177</v>
      </c>
      <c r="H194" s="176">
        <v>1</v>
      </c>
      <c r="I194" s="177">
        <v>4940</v>
      </c>
      <c r="J194" s="175">
        <v>46039</v>
      </c>
      <c r="K194" s="171" t="s">
        <v>113</v>
      </c>
      <c r="L194" s="171" t="s">
        <v>114</v>
      </c>
      <c r="M194" s="178">
        <v>0.43</v>
      </c>
      <c r="N194" s="176"/>
      <c r="O194" s="176"/>
      <c r="P194" s="179">
        <v>-2124.1999999999998</v>
      </c>
    </row>
    <row r="195" spans="1:16" ht="19.5" customHeight="1">
      <c r="A195" s="171" t="s">
        <v>587</v>
      </c>
      <c r="B195" s="175">
        <v>46042</v>
      </c>
      <c r="C195" s="171" t="s">
        <v>115</v>
      </c>
      <c r="D195" s="171" t="s">
        <v>116</v>
      </c>
      <c r="E195" s="171" t="s">
        <v>78</v>
      </c>
      <c r="F195" s="171" t="s">
        <v>176</v>
      </c>
      <c r="G195" s="171" t="s">
        <v>177</v>
      </c>
      <c r="H195" s="176">
        <v>1</v>
      </c>
      <c r="I195" s="177">
        <v>4940</v>
      </c>
      <c r="J195" s="175">
        <v>46039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-15.44</v>
      </c>
    </row>
    <row r="196" spans="1:16" ht="19.5" customHeight="1">
      <c r="A196" s="171" t="s">
        <v>588</v>
      </c>
      <c r="B196" s="175">
        <v>46042</v>
      </c>
      <c r="C196" s="171" t="s">
        <v>110</v>
      </c>
      <c r="D196" s="171" t="s">
        <v>24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46037</v>
      </c>
      <c r="K196" s="171" t="s">
        <v>113</v>
      </c>
      <c r="L196" s="171" t="s">
        <v>114</v>
      </c>
      <c r="M196" s="178">
        <v>0.43</v>
      </c>
      <c r="N196" s="176"/>
      <c r="O196" s="176">
        <v>43</v>
      </c>
      <c r="P196" s="179">
        <v>-125.95</v>
      </c>
    </row>
    <row r="197" spans="1:16" ht="19.5" customHeight="1">
      <c r="A197" s="171" t="s">
        <v>588</v>
      </c>
      <c r="B197" s="175">
        <v>46042</v>
      </c>
      <c r="C197" s="171" t="s">
        <v>127</v>
      </c>
      <c r="D197" s="171" t="s">
        <v>128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1704</v>
      </c>
      <c r="J197" s="175">
        <v>46037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585.71</v>
      </c>
    </row>
    <row r="198" spans="1:16" ht="19.5" customHeight="1">
      <c r="A198" s="171" t="s">
        <v>588</v>
      </c>
      <c r="B198" s="175">
        <v>46042</v>
      </c>
      <c r="C198" s="171" t="s">
        <v>127</v>
      </c>
      <c r="D198" s="171" t="s">
        <v>129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46037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5.86</v>
      </c>
    </row>
    <row r="199" spans="1:16" ht="19.5" customHeight="1">
      <c r="A199" s="171" t="s">
        <v>588</v>
      </c>
      <c r="B199" s="175">
        <v>46042</v>
      </c>
      <c r="C199" s="171" t="s">
        <v>127</v>
      </c>
      <c r="D199" s="171" t="s">
        <v>130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46037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1112.43</v>
      </c>
    </row>
    <row r="200" spans="1:16" ht="19.5" customHeight="1">
      <c r="A200" s="171" t="s">
        <v>588</v>
      </c>
      <c r="B200" s="175">
        <v>46042</v>
      </c>
      <c r="C200" s="171" t="s">
        <v>131</v>
      </c>
      <c r="D200" s="171" t="s">
        <v>132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46037</v>
      </c>
      <c r="K200" s="171" t="s">
        <v>113</v>
      </c>
      <c r="L200" s="171" t="s">
        <v>114</v>
      </c>
      <c r="M200" s="178">
        <v>0.43</v>
      </c>
      <c r="N200" s="176"/>
      <c r="O200" s="176"/>
      <c r="P200" s="179">
        <v>-732.72</v>
      </c>
    </row>
    <row r="201" spans="1:16" ht="19.5" customHeight="1">
      <c r="A201" s="171" t="s">
        <v>588</v>
      </c>
      <c r="B201" s="175">
        <v>46042</v>
      </c>
      <c r="C201" s="171" t="s">
        <v>115</v>
      </c>
      <c r="D201" s="171" t="s">
        <v>116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46037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-8.9600000000000009</v>
      </c>
    </row>
    <row r="202" spans="1:16" ht="19.5" customHeight="1">
      <c r="A202" s="171" t="s">
        <v>589</v>
      </c>
      <c r="B202" s="175">
        <v>46042</v>
      </c>
      <c r="C202" s="171" t="s">
        <v>110</v>
      </c>
      <c r="D202" s="171" t="s">
        <v>24</v>
      </c>
      <c r="E202" s="171" t="s">
        <v>78</v>
      </c>
      <c r="F202" s="171" t="s">
        <v>176</v>
      </c>
      <c r="G202" s="171" t="s">
        <v>177</v>
      </c>
      <c r="H202" s="176">
        <v>1</v>
      </c>
      <c r="I202" s="177">
        <v>4940</v>
      </c>
      <c r="J202" s="175">
        <v>46039</v>
      </c>
      <c r="K202" s="171" t="s">
        <v>113</v>
      </c>
      <c r="L202" s="171" t="s">
        <v>114</v>
      </c>
      <c r="M202" s="178">
        <v>0.43</v>
      </c>
      <c r="N202" s="176"/>
      <c r="O202" s="176">
        <v>51</v>
      </c>
      <c r="P202" s="179">
        <v>-290.97000000000003</v>
      </c>
    </row>
    <row r="203" spans="1:16" ht="19.5" customHeight="1">
      <c r="A203" s="171" t="s">
        <v>589</v>
      </c>
      <c r="B203" s="175">
        <v>46042</v>
      </c>
      <c r="C203" s="171" t="s">
        <v>127</v>
      </c>
      <c r="D203" s="171" t="s">
        <v>128</v>
      </c>
      <c r="E203" s="171" t="s">
        <v>78</v>
      </c>
      <c r="F203" s="171" t="s">
        <v>176</v>
      </c>
      <c r="G203" s="171" t="s">
        <v>177</v>
      </c>
      <c r="H203" s="176">
        <v>1</v>
      </c>
      <c r="I203" s="177">
        <v>4940</v>
      </c>
      <c r="J203" s="175">
        <v>46039</v>
      </c>
      <c r="K203" s="171" t="s">
        <v>113</v>
      </c>
      <c r="L203" s="171" t="s">
        <v>114</v>
      </c>
      <c r="M203" s="178">
        <v>0</v>
      </c>
      <c r="N203" s="176"/>
      <c r="O203" s="176"/>
      <c r="P203" s="179">
        <v>2107.52</v>
      </c>
    </row>
    <row r="204" spans="1:16" ht="19.5" customHeight="1">
      <c r="A204" s="171" t="s">
        <v>589</v>
      </c>
      <c r="B204" s="175">
        <v>46042</v>
      </c>
      <c r="C204" s="171" t="s">
        <v>127</v>
      </c>
      <c r="D204" s="171" t="s">
        <v>129</v>
      </c>
      <c r="E204" s="171" t="s">
        <v>78</v>
      </c>
      <c r="F204" s="171" t="s">
        <v>176</v>
      </c>
      <c r="G204" s="171" t="s">
        <v>177</v>
      </c>
      <c r="H204" s="176">
        <v>1</v>
      </c>
      <c r="I204" s="177">
        <v>4940</v>
      </c>
      <c r="J204" s="175">
        <v>46039</v>
      </c>
      <c r="K204" s="171" t="s">
        <v>113</v>
      </c>
      <c r="L204" s="171" t="s">
        <v>114</v>
      </c>
      <c r="M204" s="178">
        <v>0</v>
      </c>
      <c r="N204" s="176"/>
      <c r="O204" s="176"/>
      <c r="P204" s="179">
        <v>21.08</v>
      </c>
    </row>
    <row r="205" spans="1:16" ht="19.5" customHeight="1">
      <c r="A205" s="171" t="s">
        <v>589</v>
      </c>
      <c r="B205" s="175">
        <v>46042</v>
      </c>
      <c r="C205" s="171" t="s">
        <v>127</v>
      </c>
      <c r="D205" s="171" t="s">
        <v>130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4940</v>
      </c>
      <c r="J205" s="175">
        <v>46039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2811.4</v>
      </c>
    </row>
    <row r="206" spans="1:16" ht="19.5" customHeight="1">
      <c r="A206" s="171" t="s">
        <v>589</v>
      </c>
      <c r="B206" s="175">
        <v>46042</v>
      </c>
      <c r="C206" s="171" t="s">
        <v>131</v>
      </c>
      <c r="D206" s="171" t="s">
        <v>132</v>
      </c>
      <c r="E206" s="171" t="s">
        <v>78</v>
      </c>
      <c r="F206" s="171" t="s">
        <v>176</v>
      </c>
      <c r="G206" s="171" t="s">
        <v>177</v>
      </c>
      <c r="H206" s="176">
        <v>1</v>
      </c>
      <c r="I206" s="177">
        <v>4940</v>
      </c>
      <c r="J206" s="175">
        <v>46039</v>
      </c>
      <c r="K206" s="171" t="s">
        <v>113</v>
      </c>
      <c r="L206" s="171" t="s">
        <v>114</v>
      </c>
      <c r="M206" s="178">
        <v>0.43</v>
      </c>
      <c r="N206" s="176"/>
      <c r="O206" s="176"/>
      <c r="P206" s="179">
        <v>-2124.1999999999998</v>
      </c>
    </row>
    <row r="207" spans="1:16" ht="19.5" customHeight="1">
      <c r="A207" s="171" t="s">
        <v>589</v>
      </c>
      <c r="B207" s="175">
        <v>46042</v>
      </c>
      <c r="C207" s="171" t="s">
        <v>115</v>
      </c>
      <c r="D207" s="171" t="s">
        <v>116</v>
      </c>
      <c r="E207" s="171" t="s">
        <v>78</v>
      </c>
      <c r="F207" s="171" t="s">
        <v>176</v>
      </c>
      <c r="G207" s="171" t="s">
        <v>177</v>
      </c>
      <c r="H207" s="176">
        <v>1</v>
      </c>
      <c r="I207" s="177">
        <v>4940</v>
      </c>
      <c r="J207" s="175">
        <v>46039</v>
      </c>
      <c r="K207" s="171" t="s">
        <v>113</v>
      </c>
      <c r="L207" s="171" t="s">
        <v>114</v>
      </c>
      <c r="M207" s="178">
        <v>0.43</v>
      </c>
      <c r="N207" s="176"/>
      <c r="O207" s="176"/>
      <c r="P207" s="179">
        <v>-25</v>
      </c>
    </row>
    <row r="208" spans="1:16" ht="19.5" customHeight="1">
      <c r="A208" s="171" t="s">
        <v>588</v>
      </c>
      <c r="B208" s="175">
        <v>46042</v>
      </c>
      <c r="C208" s="171" t="s">
        <v>115</v>
      </c>
      <c r="D208" s="171" t="s">
        <v>135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46037</v>
      </c>
      <c r="K208" s="171" t="s">
        <v>125</v>
      </c>
      <c r="L208" s="171" t="s">
        <v>125</v>
      </c>
      <c r="M208" s="178">
        <v>0</v>
      </c>
      <c r="N208" s="176"/>
      <c r="O208" s="176"/>
      <c r="P208" s="179">
        <v>-11.13</v>
      </c>
    </row>
    <row r="209" spans="1:16" ht="19.5" customHeight="1">
      <c r="A209" s="171" t="s">
        <v>589</v>
      </c>
      <c r="B209" s="175">
        <v>46042</v>
      </c>
      <c r="C209" s="171" t="s">
        <v>115</v>
      </c>
      <c r="D209" s="171" t="s">
        <v>135</v>
      </c>
      <c r="E209" s="171" t="s">
        <v>78</v>
      </c>
      <c r="F209" s="171" t="s">
        <v>176</v>
      </c>
      <c r="G209" s="171" t="s">
        <v>177</v>
      </c>
      <c r="H209" s="176">
        <v>1</v>
      </c>
      <c r="I209" s="177">
        <v>0</v>
      </c>
      <c r="J209" s="175">
        <v>46039</v>
      </c>
      <c r="K209" s="171" t="s">
        <v>125</v>
      </c>
      <c r="L209" s="171" t="s">
        <v>125</v>
      </c>
      <c r="M209" s="178">
        <v>0</v>
      </c>
      <c r="N209" s="176"/>
      <c r="O209" s="176"/>
      <c r="P209" s="179">
        <v>-40.04</v>
      </c>
    </row>
    <row r="210" spans="1:16" ht="19.5" customHeight="1">
      <c r="A210" s="171" t="s">
        <v>590</v>
      </c>
      <c r="B210" s="175">
        <v>46042</v>
      </c>
      <c r="C210" s="171" t="s">
        <v>115</v>
      </c>
      <c r="D210" s="171" t="s">
        <v>135</v>
      </c>
      <c r="E210" s="171" t="s">
        <v>44</v>
      </c>
      <c r="F210" s="171" t="s">
        <v>213</v>
      </c>
      <c r="G210" s="171" t="s">
        <v>214</v>
      </c>
      <c r="H210" s="176">
        <v>1</v>
      </c>
      <c r="I210" s="177">
        <v>0</v>
      </c>
      <c r="J210" s="175">
        <v>46042</v>
      </c>
      <c r="K210" s="171" t="s">
        <v>125</v>
      </c>
      <c r="L210" s="171" t="s">
        <v>125</v>
      </c>
      <c r="M210" s="178">
        <v>0</v>
      </c>
      <c r="N210" s="176"/>
      <c r="O210" s="176"/>
      <c r="P210" s="179">
        <v>-11.94</v>
      </c>
    </row>
    <row r="211" spans="1:16" ht="19.5" customHeight="1">
      <c r="A211" s="171" t="s">
        <v>181</v>
      </c>
      <c r="B211" s="175">
        <v>46042</v>
      </c>
      <c r="C211" s="171" t="s">
        <v>115</v>
      </c>
      <c r="D211" s="171" t="s">
        <v>135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0</v>
      </c>
      <c r="J211" s="175">
        <v>46036</v>
      </c>
      <c r="K211" s="171" t="s">
        <v>125</v>
      </c>
      <c r="L211" s="171" t="s">
        <v>125</v>
      </c>
      <c r="M211" s="178">
        <v>0</v>
      </c>
      <c r="N211" s="176"/>
      <c r="O211" s="176"/>
      <c r="P211" s="179">
        <v>5.9</v>
      </c>
    </row>
    <row r="212" spans="1:16" ht="19.5" customHeight="1">
      <c r="A212" s="171" t="s">
        <v>591</v>
      </c>
      <c r="B212" s="175">
        <v>46042</v>
      </c>
      <c r="C212" s="171" t="s">
        <v>110</v>
      </c>
      <c r="D212" s="171" t="s">
        <v>24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1670</v>
      </c>
      <c r="J212" s="175">
        <v>46039</v>
      </c>
      <c r="K212" s="171" t="s">
        <v>113</v>
      </c>
      <c r="L212" s="171" t="s">
        <v>114</v>
      </c>
      <c r="M212" s="178">
        <v>0.43</v>
      </c>
      <c r="N212" s="176"/>
      <c r="O212" s="176">
        <v>51</v>
      </c>
      <c r="P212" s="179">
        <v>-147.08000000000001</v>
      </c>
    </row>
    <row r="213" spans="1:16" ht="19.5" customHeight="1">
      <c r="A213" s="171" t="s">
        <v>591</v>
      </c>
      <c r="B213" s="175">
        <v>46042</v>
      </c>
      <c r="C213" s="171" t="s">
        <v>127</v>
      </c>
      <c r="D213" s="171" t="s">
        <v>128</v>
      </c>
      <c r="E213" s="171" t="s">
        <v>38</v>
      </c>
      <c r="F213" s="171" t="s">
        <v>111</v>
      </c>
      <c r="G213" s="171" t="s">
        <v>112</v>
      </c>
      <c r="H213" s="176">
        <v>1</v>
      </c>
      <c r="I213" s="177">
        <v>1670</v>
      </c>
      <c r="J213" s="175">
        <v>46039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574.29</v>
      </c>
    </row>
    <row r="214" spans="1:16" ht="19.5" customHeight="1">
      <c r="A214" s="171" t="s">
        <v>591</v>
      </c>
      <c r="B214" s="175">
        <v>46042</v>
      </c>
      <c r="C214" s="171" t="s">
        <v>127</v>
      </c>
      <c r="D214" s="171" t="s">
        <v>129</v>
      </c>
      <c r="E214" s="171" t="s">
        <v>38</v>
      </c>
      <c r="F214" s="171" t="s">
        <v>111</v>
      </c>
      <c r="G214" s="171" t="s">
        <v>112</v>
      </c>
      <c r="H214" s="176">
        <v>1</v>
      </c>
      <c r="I214" s="177">
        <v>1670</v>
      </c>
      <c r="J214" s="175">
        <v>46039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5.74</v>
      </c>
    </row>
    <row r="215" spans="1:16" ht="19.5" customHeight="1">
      <c r="A215" s="171" t="s">
        <v>591</v>
      </c>
      <c r="B215" s="175">
        <v>46042</v>
      </c>
      <c r="C215" s="171" t="s">
        <v>127</v>
      </c>
      <c r="D215" s="171" t="s">
        <v>130</v>
      </c>
      <c r="E215" s="171" t="s">
        <v>38</v>
      </c>
      <c r="F215" s="171" t="s">
        <v>111</v>
      </c>
      <c r="G215" s="171" t="s">
        <v>112</v>
      </c>
      <c r="H215" s="176">
        <v>1</v>
      </c>
      <c r="I215" s="177">
        <v>1670</v>
      </c>
      <c r="J215" s="175">
        <v>46039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1089.97</v>
      </c>
    </row>
    <row r="216" spans="1:16" ht="19.5" customHeight="1">
      <c r="A216" s="171" t="s">
        <v>591</v>
      </c>
      <c r="B216" s="175">
        <v>46042</v>
      </c>
      <c r="C216" s="171" t="s">
        <v>131</v>
      </c>
      <c r="D216" s="171" t="s">
        <v>132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1670</v>
      </c>
      <c r="J216" s="175">
        <v>46039</v>
      </c>
      <c r="K216" s="171" t="s">
        <v>113</v>
      </c>
      <c r="L216" s="171" t="s">
        <v>114</v>
      </c>
      <c r="M216" s="178">
        <v>0.43</v>
      </c>
      <c r="N216" s="176"/>
      <c r="O216" s="176"/>
      <c r="P216" s="179">
        <v>-718.1</v>
      </c>
    </row>
    <row r="217" spans="1:16" ht="19.5" customHeight="1">
      <c r="A217" s="171" t="s">
        <v>591</v>
      </c>
      <c r="B217" s="175">
        <v>46042</v>
      </c>
      <c r="C217" s="171" t="s">
        <v>115</v>
      </c>
      <c r="D217" s="171" t="s">
        <v>116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1670</v>
      </c>
      <c r="J217" s="175">
        <v>46039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-16.21</v>
      </c>
    </row>
    <row r="218" spans="1:16" ht="19.5" customHeight="1">
      <c r="A218" s="171" t="s">
        <v>591</v>
      </c>
      <c r="B218" s="175">
        <v>46042</v>
      </c>
      <c r="C218" s="171" t="s">
        <v>115</v>
      </c>
      <c r="D218" s="171" t="s">
        <v>135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0</v>
      </c>
      <c r="J218" s="175">
        <v>46039</v>
      </c>
      <c r="K218" s="171" t="s">
        <v>125</v>
      </c>
      <c r="L218" s="171" t="s">
        <v>125</v>
      </c>
      <c r="M218" s="178">
        <v>0</v>
      </c>
      <c r="N218" s="176"/>
      <c r="O218" s="176"/>
      <c r="P218" s="179">
        <v>-10.91</v>
      </c>
    </row>
    <row r="219" spans="1:16" ht="19.5" customHeight="1">
      <c r="A219" s="171" t="s">
        <v>592</v>
      </c>
      <c r="B219" s="175">
        <v>46042</v>
      </c>
      <c r="C219" s="171" t="s">
        <v>110</v>
      </c>
      <c r="D219" s="171" t="s">
        <v>24</v>
      </c>
      <c r="E219" s="171" t="s">
        <v>78</v>
      </c>
      <c r="F219" s="171" t="s">
        <v>176</v>
      </c>
      <c r="G219" s="171" t="s">
        <v>177</v>
      </c>
      <c r="H219" s="176">
        <v>1</v>
      </c>
      <c r="I219" s="177">
        <v>3172</v>
      </c>
      <c r="J219" s="175">
        <v>46041</v>
      </c>
      <c r="K219" s="171" t="s">
        <v>113</v>
      </c>
      <c r="L219" s="171" t="s">
        <v>114</v>
      </c>
      <c r="M219" s="178">
        <v>0.43</v>
      </c>
      <c r="N219" s="176"/>
      <c r="O219" s="176">
        <v>53</v>
      </c>
      <c r="P219" s="179">
        <v>-225.06</v>
      </c>
    </row>
    <row r="220" spans="1:16" ht="19.5" customHeight="1">
      <c r="A220" s="171" t="s">
        <v>592</v>
      </c>
      <c r="B220" s="175">
        <v>46042</v>
      </c>
      <c r="C220" s="171" t="s">
        <v>127</v>
      </c>
      <c r="D220" s="171" t="s">
        <v>128</v>
      </c>
      <c r="E220" s="171" t="s">
        <v>78</v>
      </c>
      <c r="F220" s="171" t="s">
        <v>176</v>
      </c>
      <c r="G220" s="171" t="s">
        <v>177</v>
      </c>
      <c r="H220" s="176">
        <v>1</v>
      </c>
      <c r="I220" s="177">
        <v>3172</v>
      </c>
      <c r="J220" s="175">
        <v>46041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1332.7</v>
      </c>
    </row>
    <row r="221" spans="1:16" ht="19.5" customHeight="1">
      <c r="A221" s="171" t="s">
        <v>592</v>
      </c>
      <c r="B221" s="175">
        <v>46042</v>
      </c>
      <c r="C221" s="171" t="s">
        <v>127</v>
      </c>
      <c r="D221" s="171" t="s">
        <v>129</v>
      </c>
      <c r="E221" s="171" t="s">
        <v>78</v>
      </c>
      <c r="F221" s="171" t="s">
        <v>176</v>
      </c>
      <c r="G221" s="171" t="s">
        <v>177</v>
      </c>
      <c r="H221" s="176">
        <v>1</v>
      </c>
      <c r="I221" s="177">
        <v>3172</v>
      </c>
      <c r="J221" s="175">
        <v>46041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0</v>
      </c>
    </row>
    <row r="222" spans="1:16" ht="19.5" customHeight="1">
      <c r="A222" s="171" t="s">
        <v>592</v>
      </c>
      <c r="B222" s="175">
        <v>46042</v>
      </c>
      <c r="C222" s="171" t="s">
        <v>127</v>
      </c>
      <c r="D222" s="171" t="s">
        <v>130</v>
      </c>
      <c r="E222" s="171" t="s">
        <v>78</v>
      </c>
      <c r="F222" s="171" t="s">
        <v>176</v>
      </c>
      <c r="G222" s="171" t="s">
        <v>177</v>
      </c>
      <c r="H222" s="176">
        <v>1</v>
      </c>
      <c r="I222" s="177">
        <v>3172</v>
      </c>
      <c r="J222" s="175">
        <v>46041</v>
      </c>
      <c r="K222" s="171" t="s">
        <v>113</v>
      </c>
      <c r="L222" s="171" t="s">
        <v>114</v>
      </c>
      <c r="M222" s="178">
        <v>0</v>
      </c>
      <c r="N222" s="176"/>
      <c r="O222" s="176"/>
      <c r="P222" s="179">
        <v>1839.3</v>
      </c>
    </row>
    <row r="223" spans="1:16" ht="19.5" customHeight="1">
      <c r="A223" s="171" t="s">
        <v>592</v>
      </c>
      <c r="B223" s="175">
        <v>46042</v>
      </c>
      <c r="C223" s="171" t="s">
        <v>131</v>
      </c>
      <c r="D223" s="171" t="s">
        <v>132</v>
      </c>
      <c r="E223" s="171" t="s">
        <v>78</v>
      </c>
      <c r="F223" s="171" t="s">
        <v>176</v>
      </c>
      <c r="G223" s="171" t="s">
        <v>177</v>
      </c>
      <c r="H223" s="176">
        <v>1</v>
      </c>
      <c r="I223" s="177">
        <v>3172</v>
      </c>
      <c r="J223" s="175">
        <v>46041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-1363.96</v>
      </c>
    </row>
    <row r="224" spans="1:16" ht="19.5" customHeight="1">
      <c r="A224" s="171" t="s">
        <v>592</v>
      </c>
      <c r="B224" s="175">
        <v>46042</v>
      </c>
      <c r="C224" s="171" t="s">
        <v>115</v>
      </c>
      <c r="D224" s="171" t="s">
        <v>116</v>
      </c>
      <c r="E224" s="171" t="s">
        <v>78</v>
      </c>
      <c r="F224" s="171" t="s">
        <v>176</v>
      </c>
      <c r="G224" s="171" t="s">
        <v>177</v>
      </c>
      <c r="H224" s="176">
        <v>1</v>
      </c>
      <c r="I224" s="177">
        <v>3172</v>
      </c>
      <c r="J224" s="175">
        <v>46041</v>
      </c>
      <c r="K224" s="171" t="s">
        <v>113</v>
      </c>
      <c r="L224" s="171" t="s">
        <v>114</v>
      </c>
      <c r="M224" s="178">
        <v>0.43</v>
      </c>
      <c r="N224" s="176"/>
      <c r="O224" s="176"/>
      <c r="P224" s="179">
        <v>-13.47</v>
      </c>
    </row>
    <row r="225" spans="1:16" ht="19.5" customHeight="1">
      <c r="A225" s="171" t="s">
        <v>592</v>
      </c>
      <c r="B225" s="175">
        <v>46042</v>
      </c>
      <c r="C225" s="171" t="s">
        <v>115</v>
      </c>
      <c r="D225" s="171" t="s">
        <v>135</v>
      </c>
      <c r="E225" s="171" t="s">
        <v>78</v>
      </c>
      <c r="F225" s="171" t="s">
        <v>176</v>
      </c>
      <c r="G225" s="171" t="s">
        <v>177</v>
      </c>
      <c r="H225" s="176">
        <v>1</v>
      </c>
      <c r="I225" s="177">
        <v>0</v>
      </c>
      <c r="J225" s="175">
        <v>46041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-13.59</v>
      </c>
    </row>
    <row r="226" spans="1:16" ht="19.5" customHeight="1">
      <c r="A226" s="171" t="s">
        <v>218</v>
      </c>
      <c r="B226" s="175">
        <v>46042</v>
      </c>
      <c r="C226" s="171" t="s">
        <v>308</v>
      </c>
      <c r="D226" s="171" t="s">
        <v>419</v>
      </c>
      <c r="E226" s="171" t="s">
        <v>71</v>
      </c>
      <c r="F226" s="171" t="s">
        <v>185</v>
      </c>
      <c r="G226" s="171" t="s">
        <v>177</v>
      </c>
      <c r="H226" s="176">
        <v>1</v>
      </c>
      <c r="I226" s="177">
        <v>-3546</v>
      </c>
      <c r="J226" s="175">
        <v>46036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-2203.42</v>
      </c>
    </row>
    <row r="227" spans="1:16" ht="19.5" customHeight="1">
      <c r="A227" s="171" t="s">
        <v>218</v>
      </c>
      <c r="B227" s="175">
        <v>46042</v>
      </c>
      <c r="C227" s="171" t="s">
        <v>308</v>
      </c>
      <c r="D227" s="171" t="s">
        <v>129</v>
      </c>
      <c r="E227" s="171" t="s">
        <v>71</v>
      </c>
      <c r="F227" s="171" t="s">
        <v>185</v>
      </c>
      <c r="G227" s="171" t="s">
        <v>177</v>
      </c>
      <c r="H227" s="176">
        <v>1</v>
      </c>
      <c r="I227" s="177">
        <v>-3546</v>
      </c>
      <c r="J227" s="175">
        <v>46036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-22.03</v>
      </c>
    </row>
    <row r="228" spans="1:16" ht="19.5" customHeight="1">
      <c r="A228" s="171" t="s">
        <v>218</v>
      </c>
      <c r="B228" s="175">
        <v>46042</v>
      </c>
      <c r="C228" s="171" t="s">
        <v>308</v>
      </c>
      <c r="D228" s="171" t="s">
        <v>130</v>
      </c>
      <c r="E228" s="171" t="s">
        <v>71</v>
      </c>
      <c r="F228" s="171" t="s">
        <v>185</v>
      </c>
      <c r="G228" s="171" t="s">
        <v>177</v>
      </c>
      <c r="H228" s="176">
        <v>1</v>
      </c>
      <c r="I228" s="177">
        <v>-3546</v>
      </c>
      <c r="J228" s="175">
        <v>46036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-1320.55</v>
      </c>
    </row>
    <row r="229" spans="1:16" ht="19.5" customHeight="1">
      <c r="A229" s="171" t="s">
        <v>218</v>
      </c>
      <c r="B229" s="175">
        <v>46042</v>
      </c>
      <c r="C229" s="171" t="s">
        <v>131</v>
      </c>
      <c r="D229" s="171" t="s">
        <v>420</v>
      </c>
      <c r="E229" s="171" t="s">
        <v>71</v>
      </c>
      <c r="F229" s="171" t="s">
        <v>185</v>
      </c>
      <c r="G229" s="171" t="s">
        <v>177</v>
      </c>
      <c r="H229" s="176">
        <v>1</v>
      </c>
      <c r="I229" s="177">
        <v>-3546</v>
      </c>
      <c r="J229" s="175">
        <v>46036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1524.78</v>
      </c>
    </row>
    <row r="230" spans="1:16" ht="19.5" customHeight="1">
      <c r="A230" s="171" t="s">
        <v>184</v>
      </c>
      <c r="B230" s="175">
        <v>46042</v>
      </c>
      <c r="C230" s="171" t="s">
        <v>115</v>
      </c>
      <c r="D230" s="171" t="s">
        <v>135</v>
      </c>
      <c r="E230" s="171" t="s">
        <v>71</v>
      </c>
      <c r="F230" s="171" t="s">
        <v>185</v>
      </c>
      <c r="G230" s="171" t="s">
        <v>177</v>
      </c>
      <c r="H230" s="176">
        <v>1</v>
      </c>
      <c r="I230" s="177">
        <v>0</v>
      </c>
      <c r="J230" s="175">
        <v>46036</v>
      </c>
      <c r="K230" s="171" t="s">
        <v>125</v>
      </c>
      <c r="L230" s="171" t="s">
        <v>125</v>
      </c>
      <c r="M230" s="178">
        <v>0</v>
      </c>
      <c r="N230" s="176"/>
      <c r="O230" s="176"/>
      <c r="P230" s="179">
        <v>41.86</v>
      </c>
    </row>
    <row r="231" spans="1:16" ht="19.5" customHeight="1">
      <c r="A231" s="171" t="s">
        <v>593</v>
      </c>
      <c r="B231" s="175">
        <v>46042</v>
      </c>
      <c r="C231" s="171" t="s">
        <v>110</v>
      </c>
      <c r="D231" s="171" t="s">
        <v>24</v>
      </c>
      <c r="E231" s="171" t="s">
        <v>70</v>
      </c>
      <c r="F231" s="171" t="s">
        <v>509</v>
      </c>
      <c r="G231" s="171" t="s">
        <v>177</v>
      </c>
      <c r="H231" s="176">
        <v>1</v>
      </c>
      <c r="I231" s="177">
        <v>0</v>
      </c>
      <c r="J231" s="175">
        <v>46038</v>
      </c>
      <c r="K231" s="171" t="s">
        <v>113</v>
      </c>
      <c r="L231" s="171" t="s">
        <v>114</v>
      </c>
      <c r="M231" s="178">
        <v>0</v>
      </c>
      <c r="N231" s="176"/>
      <c r="O231" s="176">
        <v>48</v>
      </c>
      <c r="P231" s="179">
        <v>-56.94</v>
      </c>
    </row>
    <row r="232" spans="1:16" ht="19.5" customHeight="1">
      <c r="A232" s="171" t="s">
        <v>593</v>
      </c>
      <c r="B232" s="175">
        <v>46042</v>
      </c>
      <c r="C232" s="171" t="s">
        <v>115</v>
      </c>
      <c r="D232" s="171" t="s">
        <v>116</v>
      </c>
      <c r="E232" s="171" t="s">
        <v>70</v>
      </c>
      <c r="F232" s="171" t="s">
        <v>509</v>
      </c>
      <c r="G232" s="171" t="s">
        <v>177</v>
      </c>
      <c r="H232" s="176">
        <v>1</v>
      </c>
      <c r="I232" s="177">
        <v>0</v>
      </c>
      <c r="J232" s="175">
        <v>46038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-19.46</v>
      </c>
    </row>
    <row r="233" spans="1:16" ht="19.5" customHeight="1">
      <c r="A233" s="171" t="s">
        <v>593</v>
      </c>
      <c r="B233" s="175">
        <v>46042</v>
      </c>
      <c r="C233" s="171" t="s">
        <v>110</v>
      </c>
      <c r="D233" s="171" t="s">
        <v>117</v>
      </c>
      <c r="E233" s="171" t="s">
        <v>70</v>
      </c>
      <c r="F233" s="171" t="s">
        <v>509</v>
      </c>
      <c r="G233" s="171" t="s">
        <v>177</v>
      </c>
      <c r="H233" s="176">
        <v>1</v>
      </c>
      <c r="I233" s="177">
        <v>0</v>
      </c>
      <c r="J233" s="175">
        <v>46038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0</v>
      </c>
    </row>
    <row r="234" spans="1:16" ht="19.5" customHeight="1">
      <c r="A234" s="171" t="s">
        <v>593</v>
      </c>
      <c r="B234" s="175">
        <v>46042</v>
      </c>
      <c r="C234" s="171" t="s">
        <v>110</v>
      </c>
      <c r="D234" s="171" t="s">
        <v>118</v>
      </c>
      <c r="E234" s="171" t="s">
        <v>70</v>
      </c>
      <c r="F234" s="171" t="s">
        <v>509</v>
      </c>
      <c r="G234" s="171" t="s">
        <v>177</v>
      </c>
      <c r="H234" s="176">
        <v>1</v>
      </c>
      <c r="I234" s="177">
        <v>0</v>
      </c>
      <c r="J234" s="175">
        <v>46038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-56.94</v>
      </c>
    </row>
    <row r="235" spans="1:16" ht="19.5" customHeight="1">
      <c r="A235" s="171" t="s">
        <v>593</v>
      </c>
      <c r="B235" s="175">
        <v>46042</v>
      </c>
      <c r="C235" s="171" t="s">
        <v>115</v>
      </c>
      <c r="D235" s="171" t="s">
        <v>119</v>
      </c>
      <c r="E235" s="171" t="s">
        <v>70</v>
      </c>
      <c r="F235" s="171" t="s">
        <v>509</v>
      </c>
      <c r="G235" s="171" t="s">
        <v>177</v>
      </c>
      <c r="H235" s="176">
        <v>1</v>
      </c>
      <c r="I235" s="177">
        <v>0</v>
      </c>
      <c r="J235" s="175">
        <v>46038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-15</v>
      </c>
    </row>
    <row r="236" spans="1:16" ht="19.5" customHeight="1">
      <c r="A236" s="171" t="s">
        <v>150</v>
      </c>
      <c r="B236" s="175">
        <v>46042</v>
      </c>
      <c r="C236" s="171" t="s">
        <v>151</v>
      </c>
      <c r="D236" s="171" t="s">
        <v>152</v>
      </c>
      <c r="E236" s="171" t="s">
        <v>125</v>
      </c>
      <c r="F236" s="171" t="s">
        <v>125</v>
      </c>
      <c r="G236" s="171" t="s">
        <v>125</v>
      </c>
      <c r="H236" s="176">
        <v>0</v>
      </c>
      <c r="I236" s="177">
        <v>0</v>
      </c>
      <c r="J236" s="175">
        <v>46042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-1298.1300000000001</v>
      </c>
    </row>
    <row r="237" spans="1:16" ht="19.5" customHeight="1">
      <c r="A237" s="171" t="s">
        <v>153</v>
      </c>
      <c r="B237" s="175">
        <v>46042</v>
      </c>
      <c r="C237" s="171" t="s">
        <v>151</v>
      </c>
      <c r="D237" s="171" t="s">
        <v>152</v>
      </c>
      <c r="E237" s="171" t="s">
        <v>125</v>
      </c>
      <c r="F237" s="171" t="s">
        <v>125</v>
      </c>
      <c r="G237" s="171" t="s">
        <v>125</v>
      </c>
      <c r="H237" s="176">
        <v>0</v>
      </c>
      <c r="I237" s="177">
        <v>0</v>
      </c>
      <c r="J237" s="175">
        <v>46042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-416.18</v>
      </c>
    </row>
    <row r="238" spans="1:16" ht="19.5" customHeight="1">
      <c r="A238" s="171" t="s">
        <v>196</v>
      </c>
      <c r="B238" s="175">
        <v>46042</v>
      </c>
      <c r="C238" s="171" t="s">
        <v>151</v>
      </c>
      <c r="D238" s="171" t="s">
        <v>152</v>
      </c>
      <c r="E238" s="171" t="s">
        <v>125</v>
      </c>
      <c r="F238" s="171" t="s">
        <v>125</v>
      </c>
      <c r="G238" s="171" t="s">
        <v>125</v>
      </c>
      <c r="H238" s="176">
        <v>0</v>
      </c>
      <c r="I238" s="177">
        <v>0</v>
      </c>
      <c r="J238" s="175">
        <v>46042</v>
      </c>
      <c r="K238" s="171" t="s">
        <v>125</v>
      </c>
      <c r="L238" s="171" t="s">
        <v>125</v>
      </c>
      <c r="M238" s="178">
        <v>0</v>
      </c>
      <c r="N238" s="176"/>
      <c r="O238" s="176"/>
      <c r="P238" s="179">
        <v>-106.63</v>
      </c>
    </row>
    <row r="239" spans="1:16" ht="19.5" customHeight="1">
      <c r="A239" s="171" t="s">
        <v>565</v>
      </c>
      <c r="B239" s="175">
        <v>46042</v>
      </c>
      <c r="C239" s="171" t="s">
        <v>151</v>
      </c>
      <c r="D239" s="171" t="s">
        <v>152</v>
      </c>
      <c r="E239" s="171" t="s">
        <v>125</v>
      </c>
      <c r="F239" s="171" t="s">
        <v>125</v>
      </c>
      <c r="G239" s="171" t="s">
        <v>125</v>
      </c>
      <c r="H239" s="176">
        <v>0</v>
      </c>
      <c r="I239" s="177">
        <v>0</v>
      </c>
      <c r="J239" s="175">
        <v>46042</v>
      </c>
      <c r="K239" s="171" t="s">
        <v>125</v>
      </c>
      <c r="L239" s="171" t="s">
        <v>125</v>
      </c>
      <c r="M239" s="178">
        <v>0</v>
      </c>
      <c r="N239" s="176"/>
      <c r="O239" s="176"/>
      <c r="P239" s="179">
        <v>-253.47</v>
      </c>
    </row>
    <row r="240" spans="1:16" ht="19.5" customHeight="1">
      <c r="A240" s="171" t="s">
        <v>155</v>
      </c>
      <c r="B240" s="175">
        <v>46042</v>
      </c>
      <c r="C240" s="171" t="s">
        <v>151</v>
      </c>
      <c r="D240" s="171" t="s">
        <v>156</v>
      </c>
      <c r="E240" s="171" t="s">
        <v>125</v>
      </c>
      <c r="F240" s="171" t="s">
        <v>125</v>
      </c>
      <c r="G240" s="171" t="s">
        <v>125</v>
      </c>
      <c r="H240" s="176">
        <v>0</v>
      </c>
      <c r="I240" s="177">
        <v>0</v>
      </c>
      <c r="J240" s="175">
        <v>46042</v>
      </c>
      <c r="K240" s="171" t="s">
        <v>125</v>
      </c>
      <c r="L240" s="171" t="s">
        <v>125</v>
      </c>
      <c r="M240" s="178">
        <v>0</v>
      </c>
      <c r="N240" s="176"/>
      <c r="O240" s="176"/>
      <c r="P240" s="179">
        <v>-2081.8000000000002</v>
      </c>
    </row>
    <row r="241" spans="1:16" ht="19.5" customHeight="1">
      <c r="A241" s="171" t="s">
        <v>179</v>
      </c>
      <c r="B241" s="175">
        <v>46042</v>
      </c>
      <c r="C241" s="171" t="s">
        <v>151</v>
      </c>
      <c r="D241" s="171" t="s">
        <v>152</v>
      </c>
      <c r="E241" s="171" t="s">
        <v>125</v>
      </c>
      <c r="F241" s="171" t="s">
        <v>125</v>
      </c>
      <c r="G241" s="171" t="s">
        <v>125</v>
      </c>
      <c r="H241" s="176">
        <v>0</v>
      </c>
      <c r="I241" s="177">
        <v>0</v>
      </c>
      <c r="J241" s="175">
        <v>46042</v>
      </c>
      <c r="K241" s="171" t="s">
        <v>125</v>
      </c>
      <c r="L241" s="171" t="s">
        <v>125</v>
      </c>
      <c r="M241" s="178">
        <v>0</v>
      </c>
      <c r="N241" s="176"/>
      <c r="O241" s="176"/>
      <c r="P241" s="179">
        <v>-328.76</v>
      </c>
    </row>
    <row r="242" spans="1:16" ht="19.5" customHeight="1">
      <c r="A242" s="171" t="s">
        <v>180</v>
      </c>
      <c r="B242" s="175">
        <v>46042</v>
      </c>
      <c r="C242" s="171" t="s">
        <v>151</v>
      </c>
      <c r="D242" s="171" t="s">
        <v>152</v>
      </c>
      <c r="E242" s="171" t="s">
        <v>125</v>
      </c>
      <c r="F242" s="171" t="s">
        <v>125</v>
      </c>
      <c r="G242" s="171" t="s">
        <v>125</v>
      </c>
      <c r="H242" s="176">
        <v>0</v>
      </c>
      <c r="I242" s="177">
        <v>0</v>
      </c>
      <c r="J242" s="175">
        <v>46042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-424.01</v>
      </c>
    </row>
    <row r="243" spans="1:16" ht="19.5" customHeight="1">
      <c r="A243" s="171" t="s">
        <v>594</v>
      </c>
      <c r="B243" s="175">
        <v>46043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46043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-10.95</v>
      </c>
    </row>
    <row r="244" spans="1:16" ht="19.5" customHeight="1">
      <c r="A244" s="171" t="s">
        <v>595</v>
      </c>
      <c r="B244" s="175">
        <v>46043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0</v>
      </c>
      <c r="J244" s="175">
        <v>46039</v>
      </c>
      <c r="K244" s="171" t="s">
        <v>113</v>
      </c>
      <c r="L244" s="171" t="s">
        <v>114</v>
      </c>
      <c r="M244" s="178">
        <v>0</v>
      </c>
      <c r="N244" s="176"/>
      <c r="O244" s="176">
        <v>51</v>
      </c>
      <c r="P244" s="179">
        <v>-46.77</v>
      </c>
    </row>
    <row r="245" spans="1:16" ht="19.5" customHeight="1">
      <c r="A245" s="171" t="s">
        <v>595</v>
      </c>
      <c r="B245" s="175">
        <v>46043</v>
      </c>
      <c r="C245" s="171" t="s">
        <v>115</v>
      </c>
      <c r="D245" s="171" t="s">
        <v>116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0</v>
      </c>
      <c r="J245" s="175">
        <v>46039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-14.59</v>
      </c>
    </row>
    <row r="246" spans="1:16" ht="19.5" customHeight="1">
      <c r="A246" s="171" t="s">
        <v>595</v>
      </c>
      <c r="B246" s="175">
        <v>46043</v>
      </c>
      <c r="C246" s="171" t="s">
        <v>110</v>
      </c>
      <c r="D246" s="171" t="s">
        <v>117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0</v>
      </c>
      <c r="J246" s="175">
        <v>46039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0</v>
      </c>
    </row>
    <row r="247" spans="1:16" ht="19.5" customHeight="1">
      <c r="A247" s="171" t="s">
        <v>595</v>
      </c>
      <c r="B247" s="175">
        <v>46043</v>
      </c>
      <c r="C247" s="171" t="s">
        <v>110</v>
      </c>
      <c r="D247" s="171" t="s">
        <v>118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0</v>
      </c>
      <c r="J247" s="175">
        <v>46039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-46.77</v>
      </c>
    </row>
    <row r="248" spans="1:16" ht="19.5" customHeight="1">
      <c r="A248" s="171" t="s">
        <v>595</v>
      </c>
      <c r="B248" s="175">
        <v>46043</v>
      </c>
      <c r="C248" s="171" t="s">
        <v>115</v>
      </c>
      <c r="D248" s="171" t="s">
        <v>119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0</v>
      </c>
      <c r="J248" s="175">
        <v>46039</v>
      </c>
      <c r="K248" s="171" t="s">
        <v>113</v>
      </c>
      <c r="L248" s="171" t="s">
        <v>114</v>
      </c>
      <c r="M248" s="178">
        <v>0</v>
      </c>
      <c r="N248" s="176"/>
      <c r="O248" s="176"/>
      <c r="P248" s="179">
        <v>-15</v>
      </c>
    </row>
    <row r="249" spans="1:16" ht="19.5" customHeight="1">
      <c r="A249" s="171" t="s">
        <v>596</v>
      </c>
      <c r="B249" s="175">
        <v>46043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1670</v>
      </c>
      <c r="J249" s="175">
        <v>46040</v>
      </c>
      <c r="K249" s="171" t="s">
        <v>113</v>
      </c>
      <c r="L249" s="171" t="s">
        <v>114</v>
      </c>
      <c r="M249" s="178">
        <v>0.43</v>
      </c>
      <c r="N249" s="176"/>
      <c r="O249" s="176">
        <v>51</v>
      </c>
      <c r="P249" s="179">
        <v>-145.72</v>
      </c>
    </row>
    <row r="250" spans="1:16" ht="19.5" customHeight="1">
      <c r="A250" s="171" t="s">
        <v>596</v>
      </c>
      <c r="B250" s="175">
        <v>46043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1670</v>
      </c>
      <c r="J250" s="175">
        <v>46040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574.29</v>
      </c>
    </row>
    <row r="251" spans="1:16" ht="19.5" customHeight="1">
      <c r="A251" s="171" t="s">
        <v>596</v>
      </c>
      <c r="B251" s="175">
        <v>46043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1670</v>
      </c>
      <c r="J251" s="175">
        <v>46040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5.74</v>
      </c>
    </row>
    <row r="252" spans="1:16" ht="19.5" customHeight="1">
      <c r="A252" s="171" t="s">
        <v>596</v>
      </c>
      <c r="B252" s="175">
        <v>46043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1670</v>
      </c>
      <c r="J252" s="175">
        <v>46040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1089.97</v>
      </c>
    </row>
    <row r="253" spans="1:16" ht="19.5" customHeight="1">
      <c r="A253" s="171" t="s">
        <v>596</v>
      </c>
      <c r="B253" s="175">
        <v>46043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1670</v>
      </c>
      <c r="J253" s="175">
        <v>46040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-718.1</v>
      </c>
    </row>
    <row r="254" spans="1:16" ht="19.5" customHeight="1">
      <c r="A254" s="171" t="s">
        <v>596</v>
      </c>
      <c r="B254" s="175">
        <v>46043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1670</v>
      </c>
      <c r="J254" s="175">
        <v>46040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-8.86</v>
      </c>
    </row>
    <row r="255" spans="1:16" ht="19.5" customHeight="1">
      <c r="A255" s="171" t="s">
        <v>596</v>
      </c>
      <c r="B255" s="175">
        <v>46043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46040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-10.91</v>
      </c>
    </row>
    <row r="256" spans="1:16" ht="19.5" customHeight="1">
      <c r="A256" s="171" t="s">
        <v>597</v>
      </c>
      <c r="B256" s="175">
        <v>46043</v>
      </c>
      <c r="C256" s="171" t="s">
        <v>110</v>
      </c>
      <c r="D256" s="171" t="s">
        <v>24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1670</v>
      </c>
      <c r="J256" s="175">
        <v>46039</v>
      </c>
      <c r="K256" s="171" t="s">
        <v>113</v>
      </c>
      <c r="L256" s="171" t="s">
        <v>114</v>
      </c>
      <c r="M256" s="178">
        <v>0.43</v>
      </c>
      <c r="N256" s="176"/>
      <c r="O256" s="176">
        <v>51</v>
      </c>
      <c r="P256" s="179">
        <v>-147.08000000000001</v>
      </c>
    </row>
    <row r="257" spans="1:16" ht="19.5" customHeight="1">
      <c r="A257" s="171" t="s">
        <v>597</v>
      </c>
      <c r="B257" s="175">
        <v>46043</v>
      </c>
      <c r="C257" s="171" t="s">
        <v>127</v>
      </c>
      <c r="D257" s="171" t="s">
        <v>128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1670</v>
      </c>
      <c r="J257" s="175">
        <v>46039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574.29</v>
      </c>
    </row>
    <row r="258" spans="1:16" ht="19.5" customHeight="1">
      <c r="A258" s="171" t="s">
        <v>597</v>
      </c>
      <c r="B258" s="175">
        <v>46043</v>
      </c>
      <c r="C258" s="171" t="s">
        <v>127</v>
      </c>
      <c r="D258" s="171" t="s">
        <v>129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1670</v>
      </c>
      <c r="J258" s="175">
        <v>46039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5.74</v>
      </c>
    </row>
    <row r="259" spans="1:16" ht="19.5" customHeight="1">
      <c r="A259" s="171" t="s">
        <v>597</v>
      </c>
      <c r="B259" s="175">
        <v>46043</v>
      </c>
      <c r="C259" s="171" t="s">
        <v>127</v>
      </c>
      <c r="D259" s="171" t="s">
        <v>130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1670</v>
      </c>
      <c r="J259" s="175">
        <v>46039</v>
      </c>
      <c r="K259" s="171" t="s">
        <v>113</v>
      </c>
      <c r="L259" s="171" t="s">
        <v>114</v>
      </c>
      <c r="M259" s="178">
        <v>0</v>
      </c>
      <c r="N259" s="176"/>
      <c r="O259" s="176"/>
      <c r="P259" s="179">
        <v>1089.97</v>
      </c>
    </row>
    <row r="260" spans="1:16" ht="19.5" customHeight="1">
      <c r="A260" s="171" t="s">
        <v>597</v>
      </c>
      <c r="B260" s="175">
        <v>46043</v>
      </c>
      <c r="C260" s="171" t="s">
        <v>131</v>
      </c>
      <c r="D260" s="171" t="s">
        <v>132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1670</v>
      </c>
      <c r="J260" s="175">
        <v>46039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-718.1</v>
      </c>
    </row>
    <row r="261" spans="1:16" ht="19.5" customHeight="1">
      <c r="A261" s="171" t="s">
        <v>597</v>
      </c>
      <c r="B261" s="175">
        <v>46043</v>
      </c>
      <c r="C261" s="171" t="s">
        <v>115</v>
      </c>
      <c r="D261" s="171" t="s">
        <v>116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1670</v>
      </c>
      <c r="J261" s="175">
        <v>46039</v>
      </c>
      <c r="K261" s="171" t="s">
        <v>113</v>
      </c>
      <c r="L261" s="171" t="s">
        <v>114</v>
      </c>
      <c r="M261" s="178">
        <v>0.43</v>
      </c>
      <c r="N261" s="176"/>
      <c r="O261" s="176"/>
      <c r="P261" s="179">
        <v>-12.61</v>
      </c>
    </row>
    <row r="262" spans="1:16" ht="19.5" customHeight="1">
      <c r="A262" s="171" t="s">
        <v>597</v>
      </c>
      <c r="B262" s="175">
        <v>46043</v>
      </c>
      <c r="C262" s="171" t="s">
        <v>115</v>
      </c>
      <c r="D262" s="171" t="s">
        <v>135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0</v>
      </c>
      <c r="J262" s="175">
        <v>46039</v>
      </c>
      <c r="K262" s="171" t="s">
        <v>125</v>
      </c>
      <c r="L262" s="171" t="s">
        <v>125</v>
      </c>
      <c r="M262" s="178">
        <v>0</v>
      </c>
      <c r="N262" s="176"/>
      <c r="O262" s="176"/>
      <c r="P262" s="179">
        <v>-10.91</v>
      </c>
    </row>
    <row r="263" spans="1:16" ht="19.5" customHeight="1">
      <c r="A263" s="171" t="s">
        <v>598</v>
      </c>
      <c r="B263" s="175">
        <v>46043</v>
      </c>
      <c r="C263" s="171" t="s">
        <v>115</v>
      </c>
      <c r="D263" s="171" t="s">
        <v>135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46043</v>
      </c>
      <c r="K263" s="171" t="s">
        <v>125</v>
      </c>
      <c r="L263" s="171" t="s">
        <v>125</v>
      </c>
      <c r="M263" s="178">
        <v>0</v>
      </c>
      <c r="N263" s="176"/>
      <c r="O263" s="176"/>
      <c r="P263" s="179">
        <v>-46.16</v>
      </c>
    </row>
    <row r="264" spans="1:16" ht="19.5" customHeight="1">
      <c r="A264" s="171" t="s">
        <v>599</v>
      </c>
      <c r="B264" s="175">
        <v>46043</v>
      </c>
      <c r="C264" s="171" t="s">
        <v>115</v>
      </c>
      <c r="D264" s="171" t="s">
        <v>135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46043</v>
      </c>
      <c r="K264" s="171" t="s">
        <v>125</v>
      </c>
      <c r="L264" s="171" t="s">
        <v>125</v>
      </c>
      <c r="M264" s="178">
        <v>0</v>
      </c>
      <c r="N264" s="176"/>
      <c r="O264" s="176"/>
      <c r="P264" s="179">
        <v>-10.98</v>
      </c>
    </row>
    <row r="265" spans="1:16" ht="19.5" customHeight="1">
      <c r="A265" s="171" t="s">
        <v>600</v>
      </c>
      <c r="B265" s="175">
        <v>46043</v>
      </c>
      <c r="C265" s="171" t="s">
        <v>115</v>
      </c>
      <c r="D265" s="171" t="s">
        <v>135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46043</v>
      </c>
      <c r="K265" s="171" t="s">
        <v>125</v>
      </c>
      <c r="L265" s="171" t="s">
        <v>125</v>
      </c>
      <c r="M265" s="178">
        <v>0</v>
      </c>
      <c r="N265" s="176"/>
      <c r="O265" s="176"/>
      <c r="P265" s="179">
        <v>-10.86</v>
      </c>
    </row>
    <row r="266" spans="1:16" ht="19.5" customHeight="1">
      <c r="A266" s="171" t="s">
        <v>601</v>
      </c>
      <c r="B266" s="175">
        <v>46043</v>
      </c>
      <c r="C266" s="171" t="s">
        <v>110</v>
      </c>
      <c r="D266" s="171" t="s">
        <v>24</v>
      </c>
      <c r="E266" s="171" t="s">
        <v>66</v>
      </c>
      <c r="F266" s="171" t="s">
        <v>602</v>
      </c>
      <c r="G266" s="171" t="s">
        <v>177</v>
      </c>
      <c r="H266" s="176">
        <v>1</v>
      </c>
      <c r="I266" s="177">
        <v>3080</v>
      </c>
      <c r="J266" s="175">
        <v>46040</v>
      </c>
      <c r="K266" s="171" t="s">
        <v>113</v>
      </c>
      <c r="L266" s="171" t="s">
        <v>114</v>
      </c>
      <c r="M266" s="178">
        <v>0.43</v>
      </c>
      <c r="N266" s="176"/>
      <c r="O266" s="176">
        <v>51</v>
      </c>
      <c r="P266" s="179">
        <v>-219.36</v>
      </c>
    </row>
    <row r="267" spans="1:16" ht="19.5" customHeight="1">
      <c r="A267" s="171" t="s">
        <v>601</v>
      </c>
      <c r="B267" s="175">
        <v>46043</v>
      </c>
      <c r="C267" s="171" t="s">
        <v>127</v>
      </c>
      <c r="D267" s="171" t="s">
        <v>128</v>
      </c>
      <c r="E267" s="171" t="s">
        <v>66</v>
      </c>
      <c r="F267" s="171" t="s">
        <v>602</v>
      </c>
      <c r="G267" s="171" t="s">
        <v>177</v>
      </c>
      <c r="H267" s="176">
        <v>1</v>
      </c>
      <c r="I267" s="177">
        <v>3080</v>
      </c>
      <c r="J267" s="175">
        <v>46040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1986.68</v>
      </c>
    </row>
    <row r="268" spans="1:16" ht="19.5" customHeight="1">
      <c r="A268" s="171" t="s">
        <v>601</v>
      </c>
      <c r="B268" s="175">
        <v>46043</v>
      </c>
      <c r="C268" s="171" t="s">
        <v>127</v>
      </c>
      <c r="D268" s="171" t="s">
        <v>129</v>
      </c>
      <c r="E268" s="171" t="s">
        <v>66</v>
      </c>
      <c r="F268" s="171" t="s">
        <v>602</v>
      </c>
      <c r="G268" s="171" t="s">
        <v>177</v>
      </c>
      <c r="H268" s="176">
        <v>1</v>
      </c>
      <c r="I268" s="177">
        <v>3080</v>
      </c>
      <c r="J268" s="175">
        <v>46040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19.87</v>
      </c>
    </row>
    <row r="269" spans="1:16" ht="19.5" customHeight="1">
      <c r="A269" s="171" t="s">
        <v>601</v>
      </c>
      <c r="B269" s="175">
        <v>46043</v>
      </c>
      <c r="C269" s="171" t="s">
        <v>127</v>
      </c>
      <c r="D269" s="171" t="s">
        <v>130</v>
      </c>
      <c r="E269" s="171" t="s">
        <v>66</v>
      </c>
      <c r="F269" s="171" t="s">
        <v>602</v>
      </c>
      <c r="G269" s="171" t="s">
        <v>177</v>
      </c>
      <c r="H269" s="176">
        <v>1</v>
      </c>
      <c r="I269" s="177">
        <v>3080</v>
      </c>
      <c r="J269" s="175">
        <v>46040</v>
      </c>
      <c r="K269" s="171" t="s">
        <v>113</v>
      </c>
      <c r="L269" s="171" t="s">
        <v>114</v>
      </c>
      <c r="M269" s="178">
        <v>0</v>
      </c>
      <c r="N269" s="176"/>
      <c r="O269" s="176"/>
      <c r="P269" s="179">
        <v>1073.45</v>
      </c>
    </row>
    <row r="270" spans="1:16" ht="19.5" customHeight="1">
      <c r="A270" s="171" t="s">
        <v>601</v>
      </c>
      <c r="B270" s="175">
        <v>46043</v>
      </c>
      <c r="C270" s="171" t="s">
        <v>131</v>
      </c>
      <c r="D270" s="171" t="s">
        <v>132</v>
      </c>
      <c r="E270" s="171" t="s">
        <v>66</v>
      </c>
      <c r="F270" s="171" t="s">
        <v>602</v>
      </c>
      <c r="G270" s="171" t="s">
        <v>177</v>
      </c>
      <c r="H270" s="176">
        <v>1</v>
      </c>
      <c r="I270" s="177">
        <v>3080</v>
      </c>
      <c r="J270" s="175">
        <v>46040</v>
      </c>
      <c r="K270" s="171" t="s">
        <v>113</v>
      </c>
      <c r="L270" s="171" t="s">
        <v>114</v>
      </c>
      <c r="M270" s="178">
        <v>0.43</v>
      </c>
      <c r="N270" s="176"/>
      <c r="O270" s="176"/>
      <c r="P270" s="179">
        <v>-1324.4</v>
      </c>
    </row>
    <row r="271" spans="1:16" ht="19.5" customHeight="1">
      <c r="A271" s="171" t="s">
        <v>601</v>
      </c>
      <c r="B271" s="175">
        <v>46043</v>
      </c>
      <c r="C271" s="171" t="s">
        <v>115</v>
      </c>
      <c r="D271" s="171" t="s">
        <v>116</v>
      </c>
      <c r="E271" s="171" t="s">
        <v>66</v>
      </c>
      <c r="F271" s="171" t="s">
        <v>602</v>
      </c>
      <c r="G271" s="171" t="s">
        <v>177</v>
      </c>
      <c r="H271" s="176">
        <v>1</v>
      </c>
      <c r="I271" s="177">
        <v>3080</v>
      </c>
      <c r="J271" s="175">
        <v>46040</v>
      </c>
      <c r="K271" s="171" t="s">
        <v>113</v>
      </c>
      <c r="L271" s="171" t="s">
        <v>114</v>
      </c>
      <c r="M271" s="178">
        <v>0.43</v>
      </c>
      <c r="N271" s="176"/>
      <c r="O271" s="176"/>
      <c r="P271" s="179">
        <v>-11.3</v>
      </c>
    </row>
    <row r="272" spans="1:16" ht="19.5" customHeight="1">
      <c r="A272" s="171" t="s">
        <v>601</v>
      </c>
      <c r="B272" s="175">
        <v>46043</v>
      </c>
      <c r="C272" s="171" t="s">
        <v>115</v>
      </c>
      <c r="D272" s="171" t="s">
        <v>135</v>
      </c>
      <c r="E272" s="171" t="s">
        <v>66</v>
      </c>
      <c r="F272" s="171" t="s">
        <v>602</v>
      </c>
      <c r="G272" s="171" t="s">
        <v>177</v>
      </c>
      <c r="H272" s="176">
        <v>1</v>
      </c>
      <c r="I272" s="177">
        <v>0</v>
      </c>
      <c r="J272" s="175">
        <v>46040</v>
      </c>
      <c r="K272" s="171" t="s">
        <v>125</v>
      </c>
      <c r="L272" s="171" t="s">
        <v>125</v>
      </c>
      <c r="M272" s="178">
        <v>0</v>
      </c>
      <c r="N272" s="176"/>
      <c r="O272" s="176"/>
      <c r="P272" s="179">
        <v>-37.75</v>
      </c>
    </row>
    <row r="273" spans="1:16" ht="19.5" customHeight="1">
      <c r="A273" s="171" t="s">
        <v>603</v>
      </c>
      <c r="B273" s="175">
        <v>46043</v>
      </c>
      <c r="C273" s="171" t="s">
        <v>110</v>
      </c>
      <c r="D273" s="171" t="s">
        <v>24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1670</v>
      </c>
      <c r="J273" s="175">
        <v>46040</v>
      </c>
      <c r="K273" s="171" t="s">
        <v>113</v>
      </c>
      <c r="L273" s="171" t="s">
        <v>114</v>
      </c>
      <c r="M273" s="178">
        <v>0.43</v>
      </c>
      <c r="N273" s="176"/>
      <c r="O273" s="176">
        <v>51</v>
      </c>
      <c r="P273" s="179">
        <v>-147.08000000000001</v>
      </c>
    </row>
    <row r="274" spans="1:16" ht="19.5" customHeight="1">
      <c r="A274" s="171" t="s">
        <v>603</v>
      </c>
      <c r="B274" s="175">
        <v>46043</v>
      </c>
      <c r="C274" s="171" t="s">
        <v>127</v>
      </c>
      <c r="D274" s="171" t="s">
        <v>128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1670</v>
      </c>
      <c r="J274" s="175">
        <v>46040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573.19000000000005</v>
      </c>
    </row>
    <row r="275" spans="1:16" ht="19.5" customHeight="1">
      <c r="A275" s="171" t="s">
        <v>603</v>
      </c>
      <c r="B275" s="175">
        <v>46043</v>
      </c>
      <c r="C275" s="171" t="s">
        <v>127</v>
      </c>
      <c r="D275" s="171" t="s">
        <v>129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1670</v>
      </c>
      <c r="J275" s="175">
        <v>46040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5.73</v>
      </c>
    </row>
    <row r="276" spans="1:16" ht="19.5" customHeight="1">
      <c r="A276" s="171" t="s">
        <v>603</v>
      </c>
      <c r="B276" s="175">
        <v>46043</v>
      </c>
      <c r="C276" s="171" t="s">
        <v>127</v>
      </c>
      <c r="D276" s="171" t="s">
        <v>130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1670</v>
      </c>
      <c r="J276" s="175">
        <v>46040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1091.08</v>
      </c>
    </row>
    <row r="277" spans="1:16" ht="19.5" customHeight="1">
      <c r="A277" s="171" t="s">
        <v>603</v>
      </c>
      <c r="B277" s="175">
        <v>46043</v>
      </c>
      <c r="C277" s="171" t="s">
        <v>131</v>
      </c>
      <c r="D277" s="171" t="s">
        <v>132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1670</v>
      </c>
      <c r="J277" s="175">
        <v>46040</v>
      </c>
      <c r="K277" s="171" t="s">
        <v>113</v>
      </c>
      <c r="L277" s="171" t="s">
        <v>114</v>
      </c>
      <c r="M277" s="178">
        <v>0.43</v>
      </c>
      <c r="N277" s="176"/>
      <c r="O277" s="176"/>
      <c r="P277" s="179">
        <v>-718.1</v>
      </c>
    </row>
    <row r="278" spans="1:16" ht="19.5" customHeight="1">
      <c r="A278" s="171" t="s">
        <v>603</v>
      </c>
      <c r="B278" s="175">
        <v>46043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1670</v>
      </c>
      <c r="J278" s="175">
        <v>46040</v>
      </c>
      <c r="K278" s="171" t="s">
        <v>113</v>
      </c>
      <c r="L278" s="171" t="s">
        <v>114</v>
      </c>
      <c r="M278" s="178">
        <v>0.43</v>
      </c>
      <c r="N278" s="176"/>
      <c r="O278" s="176"/>
      <c r="P278" s="179">
        <v>-6.58</v>
      </c>
    </row>
    <row r="279" spans="1:16" ht="19.5" customHeight="1">
      <c r="A279" s="171" t="s">
        <v>604</v>
      </c>
      <c r="B279" s="175">
        <v>46043</v>
      </c>
      <c r="C279" s="171" t="s">
        <v>115</v>
      </c>
      <c r="D279" s="171" t="s">
        <v>135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46043</v>
      </c>
      <c r="K279" s="171" t="s">
        <v>125</v>
      </c>
      <c r="L279" s="171" t="s">
        <v>125</v>
      </c>
      <c r="M279" s="178">
        <v>0</v>
      </c>
      <c r="N279" s="176"/>
      <c r="O279" s="176"/>
      <c r="P279" s="179">
        <v>-1.61</v>
      </c>
    </row>
    <row r="280" spans="1:16" ht="19.5" customHeight="1">
      <c r="A280" s="171" t="s">
        <v>603</v>
      </c>
      <c r="B280" s="175">
        <v>46043</v>
      </c>
      <c r="C280" s="171" t="s">
        <v>115</v>
      </c>
      <c r="D280" s="171" t="s">
        <v>135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0</v>
      </c>
      <c r="J280" s="175">
        <v>46040</v>
      </c>
      <c r="K280" s="171" t="s">
        <v>125</v>
      </c>
      <c r="L280" s="171" t="s">
        <v>125</v>
      </c>
      <c r="M280" s="178">
        <v>0</v>
      </c>
      <c r="N280" s="176"/>
      <c r="O280" s="176"/>
      <c r="P280" s="179">
        <v>-10.89</v>
      </c>
    </row>
    <row r="281" spans="1:16" ht="19.5" customHeight="1">
      <c r="A281" s="171" t="s">
        <v>605</v>
      </c>
      <c r="B281" s="175">
        <v>46043</v>
      </c>
      <c r="C281" s="171" t="s">
        <v>110</v>
      </c>
      <c r="D281" s="171" t="s">
        <v>24</v>
      </c>
      <c r="E281" s="171" t="s">
        <v>47</v>
      </c>
      <c r="F281" s="171" t="s">
        <v>430</v>
      </c>
      <c r="G281" s="171" t="s">
        <v>112</v>
      </c>
      <c r="H281" s="176">
        <v>1</v>
      </c>
      <c r="I281" s="177">
        <v>1102</v>
      </c>
      <c r="J281" s="175">
        <v>46040</v>
      </c>
      <c r="K281" s="171" t="s">
        <v>113</v>
      </c>
      <c r="L281" s="171" t="s">
        <v>114</v>
      </c>
      <c r="M281" s="178">
        <v>0.43</v>
      </c>
      <c r="N281" s="176"/>
      <c r="O281" s="176">
        <v>51</v>
      </c>
      <c r="P281" s="179">
        <v>-125.21</v>
      </c>
    </row>
    <row r="282" spans="1:16" ht="19.5" customHeight="1">
      <c r="A282" s="171" t="s">
        <v>605</v>
      </c>
      <c r="B282" s="175">
        <v>46043</v>
      </c>
      <c r="C282" s="171" t="s">
        <v>127</v>
      </c>
      <c r="D282" s="171" t="s">
        <v>128</v>
      </c>
      <c r="E282" s="171" t="s">
        <v>47</v>
      </c>
      <c r="F282" s="171" t="s">
        <v>430</v>
      </c>
      <c r="G282" s="171" t="s">
        <v>112</v>
      </c>
      <c r="H282" s="176">
        <v>1</v>
      </c>
      <c r="I282" s="177">
        <v>1102</v>
      </c>
      <c r="J282" s="175">
        <v>46040</v>
      </c>
      <c r="K282" s="171" t="s">
        <v>113</v>
      </c>
      <c r="L282" s="171" t="s">
        <v>114</v>
      </c>
      <c r="M282" s="178">
        <v>0</v>
      </c>
      <c r="N282" s="176"/>
      <c r="O282" s="176"/>
      <c r="P282" s="179">
        <v>602.86</v>
      </c>
    </row>
    <row r="283" spans="1:16" ht="19.5" customHeight="1">
      <c r="A283" s="171" t="s">
        <v>605</v>
      </c>
      <c r="B283" s="175">
        <v>46043</v>
      </c>
      <c r="C283" s="171" t="s">
        <v>127</v>
      </c>
      <c r="D283" s="171" t="s">
        <v>129</v>
      </c>
      <c r="E283" s="171" t="s">
        <v>47</v>
      </c>
      <c r="F283" s="171" t="s">
        <v>430</v>
      </c>
      <c r="G283" s="171" t="s">
        <v>112</v>
      </c>
      <c r="H283" s="176">
        <v>1</v>
      </c>
      <c r="I283" s="177">
        <v>1102</v>
      </c>
      <c r="J283" s="175">
        <v>46040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6.03</v>
      </c>
    </row>
    <row r="284" spans="1:16" ht="19.5" customHeight="1">
      <c r="A284" s="171" t="s">
        <v>605</v>
      </c>
      <c r="B284" s="175">
        <v>46043</v>
      </c>
      <c r="C284" s="171" t="s">
        <v>127</v>
      </c>
      <c r="D284" s="171" t="s">
        <v>130</v>
      </c>
      <c r="E284" s="171" t="s">
        <v>47</v>
      </c>
      <c r="F284" s="171" t="s">
        <v>430</v>
      </c>
      <c r="G284" s="171" t="s">
        <v>112</v>
      </c>
      <c r="H284" s="176">
        <v>1</v>
      </c>
      <c r="I284" s="177">
        <v>1102</v>
      </c>
      <c r="J284" s="175">
        <v>46040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493.11</v>
      </c>
    </row>
    <row r="285" spans="1:16" ht="19.5" customHeight="1">
      <c r="A285" s="171" t="s">
        <v>605</v>
      </c>
      <c r="B285" s="175">
        <v>46043</v>
      </c>
      <c r="C285" s="171" t="s">
        <v>131</v>
      </c>
      <c r="D285" s="171" t="s">
        <v>132</v>
      </c>
      <c r="E285" s="171" t="s">
        <v>47</v>
      </c>
      <c r="F285" s="171" t="s">
        <v>430</v>
      </c>
      <c r="G285" s="171" t="s">
        <v>112</v>
      </c>
      <c r="H285" s="176">
        <v>1</v>
      </c>
      <c r="I285" s="177">
        <v>1102</v>
      </c>
      <c r="J285" s="175">
        <v>46040</v>
      </c>
      <c r="K285" s="171" t="s">
        <v>113</v>
      </c>
      <c r="L285" s="171" t="s">
        <v>114</v>
      </c>
      <c r="M285" s="178">
        <v>0.43</v>
      </c>
      <c r="N285" s="176"/>
      <c r="O285" s="176"/>
      <c r="P285" s="179">
        <v>-473.86</v>
      </c>
    </row>
    <row r="286" spans="1:16" ht="19.5" customHeight="1">
      <c r="A286" s="171" t="s">
        <v>605</v>
      </c>
      <c r="B286" s="175">
        <v>46043</v>
      </c>
      <c r="C286" s="171" t="s">
        <v>115</v>
      </c>
      <c r="D286" s="171" t="s">
        <v>116</v>
      </c>
      <c r="E286" s="171" t="s">
        <v>47</v>
      </c>
      <c r="F286" s="171" t="s">
        <v>430</v>
      </c>
      <c r="G286" s="171" t="s">
        <v>112</v>
      </c>
      <c r="H286" s="176">
        <v>1</v>
      </c>
      <c r="I286" s="177">
        <v>1102</v>
      </c>
      <c r="J286" s="175">
        <v>46040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-8.36</v>
      </c>
    </row>
    <row r="287" spans="1:16" ht="19.5" customHeight="1">
      <c r="A287" s="171" t="s">
        <v>605</v>
      </c>
      <c r="B287" s="175">
        <v>46043</v>
      </c>
      <c r="C287" s="171" t="s">
        <v>115</v>
      </c>
      <c r="D287" s="171" t="s">
        <v>135</v>
      </c>
      <c r="E287" s="171" t="s">
        <v>47</v>
      </c>
      <c r="F287" s="171" t="s">
        <v>430</v>
      </c>
      <c r="G287" s="171" t="s">
        <v>112</v>
      </c>
      <c r="H287" s="176">
        <v>1</v>
      </c>
      <c r="I287" s="177">
        <v>0</v>
      </c>
      <c r="J287" s="175">
        <v>46040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-11.45</v>
      </c>
    </row>
    <row r="288" spans="1:16" ht="19.5" customHeight="1">
      <c r="A288" s="171" t="s">
        <v>606</v>
      </c>
      <c r="B288" s="175">
        <v>46043</v>
      </c>
      <c r="C288" s="171" t="s">
        <v>110</v>
      </c>
      <c r="D288" s="171" t="s">
        <v>24</v>
      </c>
      <c r="E288" s="171" t="s">
        <v>78</v>
      </c>
      <c r="F288" s="171" t="s">
        <v>176</v>
      </c>
      <c r="G288" s="171" t="s">
        <v>177</v>
      </c>
      <c r="H288" s="176">
        <v>1</v>
      </c>
      <c r="I288" s="177">
        <v>4940</v>
      </c>
      <c r="J288" s="175">
        <v>46040</v>
      </c>
      <c r="K288" s="171" t="s">
        <v>113</v>
      </c>
      <c r="L288" s="171" t="s">
        <v>114</v>
      </c>
      <c r="M288" s="178">
        <v>0.43</v>
      </c>
      <c r="N288" s="176"/>
      <c r="O288" s="176">
        <v>51</v>
      </c>
      <c r="P288" s="179">
        <v>-290.97000000000003</v>
      </c>
    </row>
    <row r="289" spans="1:16" ht="19.5" customHeight="1">
      <c r="A289" s="171" t="s">
        <v>606</v>
      </c>
      <c r="B289" s="175">
        <v>46043</v>
      </c>
      <c r="C289" s="171" t="s">
        <v>127</v>
      </c>
      <c r="D289" s="171" t="s">
        <v>128</v>
      </c>
      <c r="E289" s="171" t="s">
        <v>78</v>
      </c>
      <c r="F289" s="171" t="s">
        <v>176</v>
      </c>
      <c r="G289" s="171" t="s">
        <v>177</v>
      </c>
      <c r="H289" s="176">
        <v>1</v>
      </c>
      <c r="I289" s="177">
        <v>4940</v>
      </c>
      <c r="J289" s="175">
        <v>46040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2131.1799999999998</v>
      </c>
    </row>
    <row r="290" spans="1:16" ht="19.5" customHeight="1">
      <c r="A290" s="171" t="s">
        <v>606</v>
      </c>
      <c r="B290" s="175">
        <v>46043</v>
      </c>
      <c r="C290" s="171" t="s">
        <v>127</v>
      </c>
      <c r="D290" s="171" t="s">
        <v>129</v>
      </c>
      <c r="E290" s="171" t="s">
        <v>78</v>
      </c>
      <c r="F290" s="171" t="s">
        <v>176</v>
      </c>
      <c r="G290" s="171" t="s">
        <v>177</v>
      </c>
      <c r="H290" s="176">
        <v>1</v>
      </c>
      <c r="I290" s="177">
        <v>4940</v>
      </c>
      <c r="J290" s="175">
        <v>46040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21.31</v>
      </c>
    </row>
    <row r="291" spans="1:16" ht="19.5" customHeight="1">
      <c r="A291" s="171" t="s">
        <v>606</v>
      </c>
      <c r="B291" s="175">
        <v>46043</v>
      </c>
      <c r="C291" s="171" t="s">
        <v>127</v>
      </c>
      <c r="D291" s="171" t="s">
        <v>130</v>
      </c>
      <c r="E291" s="171" t="s">
        <v>78</v>
      </c>
      <c r="F291" s="171" t="s">
        <v>176</v>
      </c>
      <c r="G291" s="171" t="s">
        <v>177</v>
      </c>
      <c r="H291" s="176">
        <v>1</v>
      </c>
      <c r="I291" s="177">
        <v>4940</v>
      </c>
      <c r="J291" s="175">
        <v>46040</v>
      </c>
      <c r="K291" s="171" t="s">
        <v>113</v>
      </c>
      <c r="L291" s="171" t="s">
        <v>114</v>
      </c>
      <c r="M291" s="178">
        <v>0</v>
      </c>
      <c r="N291" s="176"/>
      <c r="O291" s="176"/>
      <c r="P291" s="179">
        <v>2787.51</v>
      </c>
    </row>
    <row r="292" spans="1:16" ht="19.5" customHeight="1">
      <c r="A292" s="171" t="s">
        <v>606</v>
      </c>
      <c r="B292" s="175">
        <v>46043</v>
      </c>
      <c r="C292" s="171" t="s">
        <v>131</v>
      </c>
      <c r="D292" s="171" t="s">
        <v>132</v>
      </c>
      <c r="E292" s="171" t="s">
        <v>78</v>
      </c>
      <c r="F292" s="171" t="s">
        <v>176</v>
      </c>
      <c r="G292" s="171" t="s">
        <v>177</v>
      </c>
      <c r="H292" s="176">
        <v>1</v>
      </c>
      <c r="I292" s="177">
        <v>4940</v>
      </c>
      <c r="J292" s="175">
        <v>46040</v>
      </c>
      <c r="K292" s="171" t="s">
        <v>113</v>
      </c>
      <c r="L292" s="171" t="s">
        <v>114</v>
      </c>
      <c r="M292" s="178">
        <v>0.43</v>
      </c>
      <c r="N292" s="176"/>
      <c r="O292" s="176"/>
      <c r="P292" s="179">
        <v>-2124.1999999999998</v>
      </c>
    </row>
    <row r="293" spans="1:16" ht="19.5" customHeight="1">
      <c r="A293" s="171" t="s">
        <v>606</v>
      </c>
      <c r="B293" s="175">
        <v>46043</v>
      </c>
      <c r="C293" s="171" t="s">
        <v>115</v>
      </c>
      <c r="D293" s="171" t="s">
        <v>116</v>
      </c>
      <c r="E293" s="171" t="s">
        <v>78</v>
      </c>
      <c r="F293" s="171" t="s">
        <v>176</v>
      </c>
      <c r="G293" s="171" t="s">
        <v>177</v>
      </c>
      <c r="H293" s="176">
        <v>1</v>
      </c>
      <c r="I293" s="177">
        <v>4940</v>
      </c>
      <c r="J293" s="175">
        <v>46040</v>
      </c>
      <c r="K293" s="171" t="s">
        <v>113</v>
      </c>
      <c r="L293" s="171" t="s">
        <v>114</v>
      </c>
      <c r="M293" s="178">
        <v>0.43</v>
      </c>
      <c r="N293" s="176"/>
      <c r="O293" s="176"/>
      <c r="P293" s="179">
        <v>-17.07</v>
      </c>
    </row>
    <row r="294" spans="1:16" ht="19.5" customHeight="1">
      <c r="A294" s="171" t="s">
        <v>590</v>
      </c>
      <c r="B294" s="175">
        <v>46043</v>
      </c>
      <c r="C294" s="171" t="s">
        <v>115</v>
      </c>
      <c r="D294" s="171" t="s">
        <v>135</v>
      </c>
      <c r="E294" s="171" t="s">
        <v>44</v>
      </c>
      <c r="F294" s="171" t="s">
        <v>213</v>
      </c>
      <c r="G294" s="171" t="s">
        <v>214</v>
      </c>
      <c r="H294" s="176">
        <v>1</v>
      </c>
      <c r="I294" s="177">
        <v>0</v>
      </c>
      <c r="J294" s="175">
        <v>46042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11.94</v>
      </c>
    </row>
    <row r="295" spans="1:16" ht="19.5" customHeight="1">
      <c r="A295" s="171" t="s">
        <v>606</v>
      </c>
      <c r="B295" s="175">
        <v>46043</v>
      </c>
      <c r="C295" s="171" t="s">
        <v>115</v>
      </c>
      <c r="D295" s="171" t="s">
        <v>135</v>
      </c>
      <c r="E295" s="171" t="s">
        <v>78</v>
      </c>
      <c r="F295" s="171" t="s">
        <v>176</v>
      </c>
      <c r="G295" s="171" t="s">
        <v>177</v>
      </c>
      <c r="H295" s="176">
        <v>1</v>
      </c>
      <c r="I295" s="177">
        <v>0</v>
      </c>
      <c r="J295" s="175">
        <v>46040</v>
      </c>
      <c r="K295" s="171" t="s">
        <v>125</v>
      </c>
      <c r="L295" s="171" t="s">
        <v>125</v>
      </c>
      <c r="M295" s="178">
        <v>0</v>
      </c>
      <c r="N295" s="176"/>
      <c r="O295" s="176"/>
      <c r="P295" s="179">
        <v>-40.49</v>
      </c>
    </row>
    <row r="296" spans="1:16" ht="19.5" customHeight="1">
      <c r="A296" s="171" t="s">
        <v>607</v>
      </c>
      <c r="B296" s="175">
        <v>46043</v>
      </c>
      <c r="C296" s="171" t="s">
        <v>110</v>
      </c>
      <c r="D296" s="171" t="s">
        <v>24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1670</v>
      </c>
      <c r="J296" s="175">
        <v>46039</v>
      </c>
      <c r="K296" s="171" t="s">
        <v>113</v>
      </c>
      <c r="L296" s="171" t="s">
        <v>114</v>
      </c>
      <c r="M296" s="178">
        <v>0.43</v>
      </c>
      <c r="N296" s="176"/>
      <c r="O296" s="176">
        <v>51</v>
      </c>
      <c r="P296" s="179">
        <v>-147.08000000000001</v>
      </c>
    </row>
    <row r="297" spans="1:16" ht="19.5" customHeight="1">
      <c r="A297" s="171" t="s">
        <v>607</v>
      </c>
      <c r="B297" s="175">
        <v>46043</v>
      </c>
      <c r="C297" s="171" t="s">
        <v>127</v>
      </c>
      <c r="D297" s="171" t="s">
        <v>128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1670</v>
      </c>
      <c r="J297" s="175">
        <v>46039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574.29</v>
      </c>
    </row>
    <row r="298" spans="1:16" ht="19.5" customHeight="1">
      <c r="A298" s="171" t="s">
        <v>607</v>
      </c>
      <c r="B298" s="175">
        <v>46043</v>
      </c>
      <c r="C298" s="171" t="s">
        <v>127</v>
      </c>
      <c r="D298" s="171" t="s">
        <v>129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1670</v>
      </c>
      <c r="J298" s="175">
        <v>46039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5.74</v>
      </c>
    </row>
    <row r="299" spans="1:16" ht="19.5" customHeight="1">
      <c r="A299" s="171" t="s">
        <v>607</v>
      </c>
      <c r="B299" s="175">
        <v>46043</v>
      </c>
      <c r="C299" s="171" t="s">
        <v>127</v>
      </c>
      <c r="D299" s="171" t="s">
        <v>130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1670</v>
      </c>
      <c r="J299" s="175">
        <v>46039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1089.97</v>
      </c>
    </row>
    <row r="300" spans="1:16" ht="19.5" customHeight="1">
      <c r="A300" s="171" t="s">
        <v>607</v>
      </c>
      <c r="B300" s="175">
        <v>46043</v>
      </c>
      <c r="C300" s="171" t="s">
        <v>131</v>
      </c>
      <c r="D300" s="171" t="s">
        <v>132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1670</v>
      </c>
      <c r="J300" s="175">
        <v>46039</v>
      </c>
      <c r="K300" s="171" t="s">
        <v>113</v>
      </c>
      <c r="L300" s="171" t="s">
        <v>114</v>
      </c>
      <c r="M300" s="178">
        <v>0.43</v>
      </c>
      <c r="N300" s="176"/>
      <c r="O300" s="176"/>
      <c r="P300" s="179">
        <v>-718.1</v>
      </c>
    </row>
    <row r="301" spans="1:16" ht="19.5" customHeight="1">
      <c r="A301" s="171" t="s">
        <v>607</v>
      </c>
      <c r="B301" s="175">
        <v>46043</v>
      </c>
      <c r="C301" s="171" t="s">
        <v>115</v>
      </c>
      <c r="D301" s="171" t="s">
        <v>116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1670</v>
      </c>
      <c r="J301" s="175">
        <v>46039</v>
      </c>
      <c r="K301" s="171" t="s">
        <v>113</v>
      </c>
      <c r="L301" s="171" t="s">
        <v>114</v>
      </c>
      <c r="M301" s="178">
        <v>0.43</v>
      </c>
      <c r="N301" s="176"/>
      <c r="O301" s="176"/>
      <c r="P301" s="179">
        <v>-8.17</v>
      </c>
    </row>
    <row r="302" spans="1:16" ht="19.5" customHeight="1">
      <c r="A302" s="171" t="s">
        <v>608</v>
      </c>
      <c r="B302" s="175">
        <v>46043</v>
      </c>
      <c r="C302" s="171" t="s">
        <v>110</v>
      </c>
      <c r="D302" s="171" t="s">
        <v>24</v>
      </c>
      <c r="E302" s="171" t="s">
        <v>78</v>
      </c>
      <c r="F302" s="171" t="s">
        <v>176</v>
      </c>
      <c r="G302" s="171" t="s">
        <v>177</v>
      </c>
      <c r="H302" s="176">
        <v>1</v>
      </c>
      <c r="I302" s="177">
        <v>4940</v>
      </c>
      <c r="J302" s="175">
        <v>46041</v>
      </c>
      <c r="K302" s="171" t="s">
        <v>113</v>
      </c>
      <c r="L302" s="171" t="s">
        <v>114</v>
      </c>
      <c r="M302" s="178">
        <v>0.43</v>
      </c>
      <c r="N302" s="176"/>
      <c r="O302" s="176">
        <v>53</v>
      </c>
      <c r="P302" s="179">
        <v>-294.01</v>
      </c>
    </row>
    <row r="303" spans="1:16" ht="19.5" customHeight="1">
      <c r="A303" s="171" t="s">
        <v>608</v>
      </c>
      <c r="B303" s="175">
        <v>46043</v>
      </c>
      <c r="C303" s="171" t="s">
        <v>127</v>
      </c>
      <c r="D303" s="171" t="s">
        <v>128</v>
      </c>
      <c r="E303" s="171" t="s">
        <v>78</v>
      </c>
      <c r="F303" s="171" t="s">
        <v>176</v>
      </c>
      <c r="G303" s="171" t="s">
        <v>177</v>
      </c>
      <c r="H303" s="176">
        <v>1</v>
      </c>
      <c r="I303" s="177">
        <v>4940</v>
      </c>
      <c r="J303" s="175">
        <v>46041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2333.33</v>
      </c>
    </row>
    <row r="304" spans="1:16" ht="19.5" customHeight="1">
      <c r="A304" s="171" t="s">
        <v>608</v>
      </c>
      <c r="B304" s="175">
        <v>46043</v>
      </c>
      <c r="C304" s="171" t="s">
        <v>127</v>
      </c>
      <c r="D304" s="171" t="s">
        <v>129</v>
      </c>
      <c r="E304" s="171" t="s">
        <v>78</v>
      </c>
      <c r="F304" s="171" t="s">
        <v>176</v>
      </c>
      <c r="G304" s="171" t="s">
        <v>177</v>
      </c>
      <c r="H304" s="176">
        <v>1</v>
      </c>
      <c r="I304" s="177">
        <v>4940</v>
      </c>
      <c r="J304" s="175">
        <v>46041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23.33</v>
      </c>
    </row>
    <row r="305" spans="1:16" ht="19.5" customHeight="1">
      <c r="A305" s="171" t="s">
        <v>608</v>
      </c>
      <c r="B305" s="175">
        <v>46043</v>
      </c>
      <c r="C305" s="171" t="s">
        <v>127</v>
      </c>
      <c r="D305" s="171" t="s">
        <v>130</v>
      </c>
      <c r="E305" s="171" t="s">
        <v>78</v>
      </c>
      <c r="F305" s="171" t="s">
        <v>176</v>
      </c>
      <c r="G305" s="171" t="s">
        <v>177</v>
      </c>
      <c r="H305" s="176">
        <v>1</v>
      </c>
      <c r="I305" s="177">
        <v>4940</v>
      </c>
      <c r="J305" s="175">
        <v>46041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2583.34</v>
      </c>
    </row>
    <row r="306" spans="1:16" ht="19.5" customHeight="1">
      <c r="A306" s="171" t="s">
        <v>608</v>
      </c>
      <c r="B306" s="175">
        <v>46043</v>
      </c>
      <c r="C306" s="171" t="s">
        <v>131</v>
      </c>
      <c r="D306" s="171" t="s">
        <v>132</v>
      </c>
      <c r="E306" s="171" t="s">
        <v>78</v>
      </c>
      <c r="F306" s="171" t="s">
        <v>176</v>
      </c>
      <c r="G306" s="171" t="s">
        <v>177</v>
      </c>
      <c r="H306" s="176">
        <v>1</v>
      </c>
      <c r="I306" s="177">
        <v>4940</v>
      </c>
      <c r="J306" s="175">
        <v>46041</v>
      </c>
      <c r="K306" s="171" t="s">
        <v>113</v>
      </c>
      <c r="L306" s="171" t="s">
        <v>114</v>
      </c>
      <c r="M306" s="178">
        <v>0.43</v>
      </c>
      <c r="N306" s="176"/>
      <c r="O306" s="176"/>
      <c r="P306" s="179">
        <v>-2124.1999999999998</v>
      </c>
    </row>
    <row r="307" spans="1:16" ht="19.5" customHeight="1">
      <c r="A307" s="171" t="s">
        <v>608</v>
      </c>
      <c r="B307" s="175">
        <v>46043</v>
      </c>
      <c r="C307" s="171" t="s">
        <v>115</v>
      </c>
      <c r="D307" s="171" t="s">
        <v>116</v>
      </c>
      <c r="E307" s="171" t="s">
        <v>78</v>
      </c>
      <c r="F307" s="171" t="s">
        <v>176</v>
      </c>
      <c r="G307" s="171" t="s">
        <v>177</v>
      </c>
      <c r="H307" s="176">
        <v>1</v>
      </c>
      <c r="I307" s="177">
        <v>4940</v>
      </c>
      <c r="J307" s="175">
        <v>46041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-11.14</v>
      </c>
    </row>
    <row r="308" spans="1:16" ht="19.5" customHeight="1">
      <c r="A308" s="171" t="s">
        <v>609</v>
      </c>
      <c r="B308" s="175">
        <v>46043</v>
      </c>
      <c r="C308" s="171" t="s">
        <v>110</v>
      </c>
      <c r="D308" s="171" t="s">
        <v>24</v>
      </c>
      <c r="E308" s="171" t="s">
        <v>78</v>
      </c>
      <c r="F308" s="171" t="s">
        <v>176</v>
      </c>
      <c r="G308" s="171" t="s">
        <v>177</v>
      </c>
      <c r="H308" s="176">
        <v>1</v>
      </c>
      <c r="I308" s="177">
        <v>4940</v>
      </c>
      <c r="J308" s="175">
        <v>46039</v>
      </c>
      <c r="K308" s="171" t="s">
        <v>113</v>
      </c>
      <c r="L308" s="171" t="s">
        <v>114</v>
      </c>
      <c r="M308" s="178">
        <v>0.43</v>
      </c>
      <c r="N308" s="176"/>
      <c r="O308" s="176">
        <v>51</v>
      </c>
      <c r="P308" s="179">
        <v>-290.97000000000003</v>
      </c>
    </row>
    <row r="309" spans="1:16" ht="19.5" customHeight="1">
      <c r="A309" s="171" t="s">
        <v>609</v>
      </c>
      <c r="B309" s="175">
        <v>46043</v>
      </c>
      <c r="C309" s="171" t="s">
        <v>127</v>
      </c>
      <c r="D309" s="171" t="s">
        <v>128</v>
      </c>
      <c r="E309" s="171" t="s">
        <v>78</v>
      </c>
      <c r="F309" s="171" t="s">
        <v>176</v>
      </c>
      <c r="G309" s="171" t="s">
        <v>177</v>
      </c>
      <c r="H309" s="176">
        <v>1</v>
      </c>
      <c r="I309" s="177">
        <v>4940</v>
      </c>
      <c r="J309" s="175">
        <v>46039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2116.59</v>
      </c>
    </row>
    <row r="310" spans="1:16" ht="19.5" customHeight="1">
      <c r="A310" s="171" t="s">
        <v>609</v>
      </c>
      <c r="B310" s="175">
        <v>46043</v>
      </c>
      <c r="C310" s="171" t="s">
        <v>127</v>
      </c>
      <c r="D310" s="171" t="s">
        <v>129</v>
      </c>
      <c r="E310" s="171" t="s">
        <v>78</v>
      </c>
      <c r="F310" s="171" t="s">
        <v>176</v>
      </c>
      <c r="G310" s="171" t="s">
        <v>177</v>
      </c>
      <c r="H310" s="176">
        <v>1</v>
      </c>
      <c r="I310" s="177">
        <v>4940</v>
      </c>
      <c r="J310" s="175">
        <v>46039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21.17</v>
      </c>
    </row>
    <row r="311" spans="1:16" ht="19.5" customHeight="1">
      <c r="A311" s="171" t="s">
        <v>609</v>
      </c>
      <c r="B311" s="175">
        <v>46043</v>
      </c>
      <c r="C311" s="171" t="s">
        <v>127</v>
      </c>
      <c r="D311" s="171" t="s">
        <v>130</v>
      </c>
      <c r="E311" s="171" t="s">
        <v>78</v>
      </c>
      <c r="F311" s="171" t="s">
        <v>176</v>
      </c>
      <c r="G311" s="171" t="s">
        <v>177</v>
      </c>
      <c r="H311" s="176">
        <v>1</v>
      </c>
      <c r="I311" s="177">
        <v>4940</v>
      </c>
      <c r="J311" s="175">
        <v>46039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2802.24</v>
      </c>
    </row>
    <row r="312" spans="1:16" ht="19.5" customHeight="1">
      <c r="A312" s="171" t="s">
        <v>609</v>
      </c>
      <c r="B312" s="175">
        <v>46043</v>
      </c>
      <c r="C312" s="171" t="s">
        <v>131</v>
      </c>
      <c r="D312" s="171" t="s">
        <v>132</v>
      </c>
      <c r="E312" s="171" t="s">
        <v>78</v>
      </c>
      <c r="F312" s="171" t="s">
        <v>176</v>
      </c>
      <c r="G312" s="171" t="s">
        <v>177</v>
      </c>
      <c r="H312" s="176">
        <v>1</v>
      </c>
      <c r="I312" s="177">
        <v>4940</v>
      </c>
      <c r="J312" s="175">
        <v>46039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-2124.1999999999998</v>
      </c>
    </row>
    <row r="313" spans="1:16" ht="19.5" customHeight="1">
      <c r="A313" s="171" t="s">
        <v>609</v>
      </c>
      <c r="B313" s="175">
        <v>46043</v>
      </c>
      <c r="C313" s="171" t="s">
        <v>115</v>
      </c>
      <c r="D313" s="171" t="s">
        <v>116</v>
      </c>
      <c r="E313" s="171" t="s">
        <v>78</v>
      </c>
      <c r="F313" s="171" t="s">
        <v>176</v>
      </c>
      <c r="G313" s="171" t="s">
        <v>177</v>
      </c>
      <c r="H313" s="176">
        <v>1</v>
      </c>
      <c r="I313" s="177">
        <v>4940</v>
      </c>
      <c r="J313" s="175">
        <v>46039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-10.59</v>
      </c>
    </row>
    <row r="314" spans="1:16" ht="19.5" customHeight="1">
      <c r="A314" s="171" t="s">
        <v>607</v>
      </c>
      <c r="B314" s="175">
        <v>46043</v>
      </c>
      <c r="C314" s="171" t="s">
        <v>115</v>
      </c>
      <c r="D314" s="171" t="s">
        <v>135</v>
      </c>
      <c r="E314" s="171" t="s">
        <v>38</v>
      </c>
      <c r="F314" s="171" t="s">
        <v>111</v>
      </c>
      <c r="G314" s="171" t="s">
        <v>112</v>
      </c>
      <c r="H314" s="176">
        <v>1</v>
      </c>
      <c r="I314" s="177">
        <v>0</v>
      </c>
      <c r="J314" s="175">
        <v>46039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-10.91</v>
      </c>
    </row>
    <row r="315" spans="1:16" ht="19.5" customHeight="1">
      <c r="A315" s="171" t="s">
        <v>608</v>
      </c>
      <c r="B315" s="175">
        <v>46043</v>
      </c>
      <c r="C315" s="171" t="s">
        <v>115</v>
      </c>
      <c r="D315" s="171" t="s">
        <v>135</v>
      </c>
      <c r="E315" s="171" t="s">
        <v>78</v>
      </c>
      <c r="F315" s="171" t="s">
        <v>176</v>
      </c>
      <c r="G315" s="171" t="s">
        <v>177</v>
      </c>
      <c r="H315" s="176">
        <v>1</v>
      </c>
      <c r="I315" s="177">
        <v>0</v>
      </c>
      <c r="J315" s="175">
        <v>46041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-44.33</v>
      </c>
    </row>
    <row r="316" spans="1:16" ht="19.5" customHeight="1">
      <c r="A316" s="171" t="s">
        <v>609</v>
      </c>
      <c r="B316" s="175">
        <v>46043</v>
      </c>
      <c r="C316" s="171" t="s">
        <v>115</v>
      </c>
      <c r="D316" s="171" t="s">
        <v>135</v>
      </c>
      <c r="E316" s="171" t="s">
        <v>78</v>
      </c>
      <c r="F316" s="171" t="s">
        <v>176</v>
      </c>
      <c r="G316" s="171" t="s">
        <v>177</v>
      </c>
      <c r="H316" s="176">
        <v>1</v>
      </c>
      <c r="I316" s="177">
        <v>0</v>
      </c>
      <c r="J316" s="175">
        <v>46039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-40.22</v>
      </c>
    </row>
    <row r="317" spans="1:16" ht="19.5" customHeight="1">
      <c r="A317" s="171" t="s">
        <v>610</v>
      </c>
      <c r="B317" s="175">
        <v>46043</v>
      </c>
      <c r="C317" s="171" t="s">
        <v>110</v>
      </c>
      <c r="D317" s="171" t="s">
        <v>24</v>
      </c>
      <c r="E317" s="171" t="s">
        <v>70</v>
      </c>
      <c r="F317" s="171" t="s">
        <v>509</v>
      </c>
      <c r="G317" s="171" t="s">
        <v>177</v>
      </c>
      <c r="H317" s="176">
        <v>1</v>
      </c>
      <c r="I317" s="177">
        <v>4506</v>
      </c>
      <c r="J317" s="175">
        <v>46042</v>
      </c>
      <c r="K317" s="171" t="s">
        <v>113</v>
      </c>
      <c r="L317" s="171" t="s">
        <v>114</v>
      </c>
      <c r="M317" s="178">
        <v>0.43</v>
      </c>
      <c r="N317" s="176"/>
      <c r="O317" s="176">
        <v>52</v>
      </c>
      <c r="P317" s="179">
        <v>-275.39</v>
      </c>
    </row>
    <row r="318" spans="1:16" ht="19.5" customHeight="1">
      <c r="A318" s="171" t="s">
        <v>610</v>
      </c>
      <c r="B318" s="175">
        <v>46043</v>
      </c>
      <c r="C318" s="171" t="s">
        <v>127</v>
      </c>
      <c r="D318" s="171" t="s">
        <v>128</v>
      </c>
      <c r="E318" s="171" t="s">
        <v>70</v>
      </c>
      <c r="F318" s="171" t="s">
        <v>509</v>
      </c>
      <c r="G318" s="171" t="s">
        <v>177</v>
      </c>
      <c r="H318" s="176">
        <v>1</v>
      </c>
      <c r="I318" s="177">
        <v>4506</v>
      </c>
      <c r="J318" s="175">
        <v>46042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3161.92</v>
      </c>
    </row>
    <row r="319" spans="1:16" ht="19.5" customHeight="1">
      <c r="A319" s="171" t="s">
        <v>610</v>
      </c>
      <c r="B319" s="175">
        <v>46043</v>
      </c>
      <c r="C319" s="171" t="s">
        <v>127</v>
      </c>
      <c r="D319" s="171" t="s">
        <v>129</v>
      </c>
      <c r="E319" s="171" t="s">
        <v>70</v>
      </c>
      <c r="F319" s="171" t="s">
        <v>509</v>
      </c>
      <c r="G319" s="171" t="s">
        <v>177</v>
      </c>
      <c r="H319" s="176">
        <v>1</v>
      </c>
      <c r="I319" s="177">
        <v>4506</v>
      </c>
      <c r="J319" s="175">
        <v>46042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610</v>
      </c>
      <c r="B320" s="175">
        <v>46043</v>
      </c>
      <c r="C320" s="171" t="s">
        <v>127</v>
      </c>
      <c r="D320" s="171" t="s">
        <v>130</v>
      </c>
      <c r="E320" s="171" t="s">
        <v>70</v>
      </c>
      <c r="F320" s="171" t="s">
        <v>509</v>
      </c>
      <c r="G320" s="171" t="s">
        <v>177</v>
      </c>
      <c r="H320" s="176">
        <v>1</v>
      </c>
      <c r="I320" s="177">
        <v>4506</v>
      </c>
      <c r="J320" s="175">
        <v>46042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1344.08</v>
      </c>
    </row>
    <row r="321" spans="1:16" ht="19.5" customHeight="1">
      <c r="A321" s="171" t="s">
        <v>610</v>
      </c>
      <c r="B321" s="175">
        <v>46043</v>
      </c>
      <c r="C321" s="171" t="s">
        <v>131</v>
      </c>
      <c r="D321" s="171" t="s">
        <v>132</v>
      </c>
      <c r="E321" s="171" t="s">
        <v>70</v>
      </c>
      <c r="F321" s="171" t="s">
        <v>509</v>
      </c>
      <c r="G321" s="171" t="s">
        <v>177</v>
      </c>
      <c r="H321" s="176">
        <v>1</v>
      </c>
      <c r="I321" s="177">
        <v>4506</v>
      </c>
      <c r="J321" s="175">
        <v>46042</v>
      </c>
      <c r="K321" s="171" t="s">
        <v>113</v>
      </c>
      <c r="L321" s="171" t="s">
        <v>114</v>
      </c>
      <c r="M321" s="178">
        <v>0.43</v>
      </c>
      <c r="N321" s="176"/>
      <c r="O321" s="176"/>
      <c r="P321" s="179">
        <v>-1937.58</v>
      </c>
    </row>
    <row r="322" spans="1:16" ht="19.5" customHeight="1">
      <c r="A322" s="171" t="s">
        <v>611</v>
      </c>
      <c r="B322" s="175">
        <v>46043</v>
      </c>
      <c r="C322" s="171" t="s">
        <v>110</v>
      </c>
      <c r="D322" s="171" t="s">
        <v>24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45995</v>
      </c>
      <c r="K322" s="171" t="s">
        <v>113</v>
      </c>
      <c r="L322" s="171" t="s">
        <v>114</v>
      </c>
      <c r="M322" s="178">
        <v>0</v>
      </c>
      <c r="N322" s="176"/>
      <c r="O322" s="176">
        <v>42</v>
      </c>
      <c r="P322" s="179">
        <v>-46</v>
      </c>
    </row>
    <row r="323" spans="1:16" ht="19.5" customHeight="1">
      <c r="A323" s="171" t="s">
        <v>611</v>
      </c>
      <c r="B323" s="175">
        <v>46043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45995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611</v>
      </c>
      <c r="B324" s="175">
        <v>46043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45995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</v>
      </c>
    </row>
    <row r="325" spans="1:16" ht="19.5" customHeight="1">
      <c r="A325" s="171" t="s">
        <v>612</v>
      </c>
      <c r="B325" s="175">
        <v>46043</v>
      </c>
      <c r="C325" s="171" t="s">
        <v>110</v>
      </c>
      <c r="D325" s="171" t="s">
        <v>24</v>
      </c>
      <c r="E325" s="171" t="s">
        <v>42</v>
      </c>
      <c r="F325" s="171" t="s">
        <v>248</v>
      </c>
      <c r="G325" s="171" t="s">
        <v>112</v>
      </c>
      <c r="H325" s="176">
        <v>1</v>
      </c>
      <c r="I325" s="177">
        <v>1687</v>
      </c>
      <c r="J325" s="175">
        <v>46037</v>
      </c>
      <c r="K325" s="171" t="s">
        <v>113</v>
      </c>
      <c r="L325" s="171" t="s">
        <v>114</v>
      </c>
      <c r="M325" s="178">
        <v>0.43</v>
      </c>
      <c r="N325" s="176"/>
      <c r="O325" s="176">
        <v>43</v>
      </c>
      <c r="P325" s="179">
        <v>-125.44</v>
      </c>
    </row>
    <row r="326" spans="1:16" ht="19.5" customHeight="1">
      <c r="A326" s="171" t="s">
        <v>612</v>
      </c>
      <c r="B326" s="175">
        <v>46043</v>
      </c>
      <c r="C326" s="171" t="s">
        <v>127</v>
      </c>
      <c r="D326" s="171" t="s">
        <v>128</v>
      </c>
      <c r="E326" s="171" t="s">
        <v>42</v>
      </c>
      <c r="F326" s="171" t="s">
        <v>248</v>
      </c>
      <c r="G326" s="171" t="s">
        <v>112</v>
      </c>
      <c r="H326" s="176">
        <v>1</v>
      </c>
      <c r="I326" s="177">
        <v>1687</v>
      </c>
      <c r="J326" s="175">
        <v>46037</v>
      </c>
      <c r="K326" s="171" t="s">
        <v>113</v>
      </c>
      <c r="L326" s="171" t="s">
        <v>114</v>
      </c>
      <c r="M326" s="178">
        <v>0</v>
      </c>
      <c r="N326" s="176"/>
      <c r="O326" s="176"/>
      <c r="P326" s="179">
        <v>864.89</v>
      </c>
    </row>
    <row r="327" spans="1:16" ht="19.5" customHeight="1">
      <c r="A327" s="171" t="s">
        <v>612</v>
      </c>
      <c r="B327" s="175">
        <v>46043</v>
      </c>
      <c r="C327" s="171" t="s">
        <v>127</v>
      </c>
      <c r="D327" s="171" t="s">
        <v>129</v>
      </c>
      <c r="E327" s="171" t="s">
        <v>42</v>
      </c>
      <c r="F327" s="171" t="s">
        <v>248</v>
      </c>
      <c r="G327" s="171" t="s">
        <v>112</v>
      </c>
      <c r="H327" s="176">
        <v>1</v>
      </c>
      <c r="I327" s="177">
        <v>1687</v>
      </c>
      <c r="J327" s="175">
        <v>46037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8.65</v>
      </c>
    </row>
    <row r="328" spans="1:16" ht="19.5" customHeight="1">
      <c r="A328" s="171" t="s">
        <v>612</v>
      </c>
      <c r="B328" s="175">
        <v>46043</v>
      </c>
      <c r="C328" s="171" t="s">
        <v>127</v>
      </c>
      <c r="D328" s="171" t="s">
        <v>130</v>
      </c>
      <c r="E328" s="171" t="s">
        <v>42</v>
      </c>
      <c r="F328" s="171" t="s">
        <v>248</v>
      </c>
      <c r="G328" s="171" t="s">
        <v>112</v>
      </c>
      <c r="H328" s="176">
        <v>1</v>
      </c>
      <c r="I328" s="177">
        <v>1687</v>
      </c>
      <c r="J328" s="175">
        <v>46037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813.46</v>
      </c>
    </row>
    <row r="329" spans="1:16" ht="19.5" customHeight="1">
      <c r="A329" s="171" t="s">
        <v>612</v>
      </c>
      <c r="B329" s="175">
        <v>46043</v>
      </c>
      <c r="C329" s="171" t="s">
        <v>131</v>
      </c>
      <c r="D329" s="171" t="s">
        <v>132</v>
      </c>
      <c r="E329" s="171" t="s">
        <v>42</v>
      </c>
      <c r="F329" s="171" t="s">
        <v>248</v>
      </c>
      <c r="G329" s="171" t="s">
        <v>112</v>
      </c>
      <c r="H329" s="176">
        <v>1</v>
      </c>
      <c r="I329" s="177">
        <v>1687</v>
      </c>
      <c r="J329" s="175">
        <v>46037</v>
      </c>
      <c r="K329" s="171" t="s">
        <v>113</v>
      </c>
      <c r="L329" s="171" t="s">
        <v>114</v>
      </c>
      <c r="M329" s="178">
        <v>0.43</v>
      </c>
      <c r="N329" s="176"/>
      <c r="O329" s="176"/>
      <c r="P329" s="179">
        <v>-725.41</v>
      </c>
    </row>
    <row r="330" spans="1:16" ht="19.5" customHeight="1">
      <c r="A330" s="171" t="s">
        <v>612</v>
      </c>
      <c r="B330" s="175">
        <v>46043</v>
      </c>
      <c r="C330" s="171" t="s">
        <v>115</v>
      </c>
      <c r="D330" s="171" t="s">
        <v>116</v>
      </c>
      <c r="E330" s="171" t="s">
        <v>42</v>
      </c>
      <c r="F330" s="171" t="s">
        <v>248</v>
      </c>
      <c r="G330" s="171" t="s">
        <v>112</v>
      </c>
      <c r="H330" s="176">
        <v>1</v>
      </c>
      <c r="I330" s="177">
        <v>1687</v>
      </c>
      <c r="J330" s="175">
        <v>46037</v>
      </c>
      <c r="K330" s="171" t="s">
        <v>113</v>
      </c>
      <c r="L330" s="171" t="s">
        <v>114</v>
      </c>
      <c r="M330" s="178">
        <v>0.43</v>
      </c>
      <c r="N330" s="176"/>
      <c r="O330" s="176"/>
      <c r="P330" s="179">
        <v>-9.1999999999999993</v>
      </c>
    </row>
    <row r="331" spans="1:16" ht="19.5" customHeight="1">
      <c r="A331" s="171" t="s">
        <v>613</v>
      </c>
      <c r="B331" s="175">
        <v>46043</v>
      </c>
      <c r="C331" s="171" t="s">
        <v>110</v>
      </c>
      <c r="D331" s="171" t="s">
        <v>24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46042</v>
      </c>
      <c r="K331" s="171" t="s">
        <v>113</v>
      </c>
      <c r="L331" s="171" t="s">
        <v>114</v>
      </c>
      <c r="M331" s="178">
        <v>0.43</v>
      </c>
      <c r="N331" s="176"/>
      <c r="O331" s="176">
        <v>52</v>
      </c>
      <c r="P331" s="179">
        <v>-146.88999999999999</v>
      </c>
    </row>
    <row r="332" spans="1:16" ht="19.5" customHeight="1">
      <c r="A332" s="171" t="s">
        <v>613</v>
      </c>
      <c r="B332" s="175">
        <v>46043</v>
      </c>
      <c r="C332" s="171" t="s">
        <v>127</v>
      </c>
      <c r="D332" s="171" t="s">
        <v>128</v>
      </c>
      <c r="E332" s="171" t="s">
        <v>41</v>
      </c>
      <c r="F332" s="171" t="s">
        <v>138</v>
      </c>
      <c r="G332" s="171" t="s">
        <v>112</v>
      </c>
      <c r="H332" s="176">
        <v>1</v>
      </c>
      <c r="I332" s="177">
        <v>1687</v>
      </c>
      <c r="J332" s="175">
        <v>46042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579.45000000000005</v>
      </c>
    </row>
    <row r="333" spans="1:16" ht="19.5" customHeight="1">
      <c r="A333" s="171" t="s">
        <v>613</v>
      </c>
      <c r="B333" s="175">
        <v>46043</v>
      </c>
      <c r="C333" s="171" t="s">
        <v>127</v>
      </c>
      <c r="D333" s="171" t="s">
        <v>129</v>
      </c>
      <c r="E333" s="171" t="s">
        <v>41</v>
      </c>
      <c r="F333" s="171" t="s">
        <v>138</v>
      </c>
      <c r="G333" s="171" t="s">
        <v>112</v>
      </c>
      <c r="H333" s="176">
        <v>1</v>
      </c>
      <c r="I333" s="177">
        <v>1687</v>
      </c>
      <c r="J333" s="175">
        <v>46042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5.79</v>
      </c>
    </row>
    <row r="334" spans="1:16" ht="19.5" customHeight="1">
      <c r="A334" s="171" t="s">
        <v>613</v>
      </c>
      <c r="B334" s="175">
        <v>46043</v>
      </c>
      <c r="C334" s="171" t="s">
        <v>127</v>
      </c>
      <c r="D334" s="171" t="s">
        <v>130</v>
      </c>
      <c r="E334" s="171" t="s">
        <v>41</v>
      </c>
      <c r="F334" s="171" t="s">
        <v>138</v>
      </c>
      <c r="G334" s="171" t="s">
        <v>112</v>
      </c>
      <c r="H334" s="176">
        <v>1</v>
      </c>
      <c r="I334" s="177">
        <v>1687</v>
      </c>
      <c r="J334" s="175">
        <v>46042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1101.76</v>
      </c>
    </row>
    <row r="335" spans="1:16" ht="19.5" customHeight="1">
      <c r="A335" s="171" t="s">
        <v>613</v>
      </c>
      <c r="B335" s="175">
        <v>46043</v>
      </c>
      <c r="C335" s="171" t="s">
        <v>131</v>
      </c>
      <c r="D335" s="171" t="s">
        <v>132</v>
      </c>
      <c r="E335" s="171" t="s">
        <v>41</v>
      </c>
      <c r="F335" s="171" t="s">
        <v>138</v>
      </c>
      <c r="G335" s="171" t="s">
        <v>112</v>
      </c>
      <c r="H335" s="176">
        <v>1</v>
      </c>
      <c r="I335" s="177">
        <v>1687</v>
      </c>
      <c r="J335" s="175">
        <v>46042</v>
      </c>
      <c r="K335" s="171" t="s">
        <v>113</v>
      </c>
      <c r="L335" s="171" t="s">
        <v>114</v>
      </c>
      <c r="M335" s="178">
        <v>0.43</v>
      </c>
      <c r="N335" s="176"/>
      <c r="O335" s="176"/>
      <c r="P335" s="179">
        <v>-725.41</v>
      </c>
    </row>
    <row r="336" spans="1:16" ht="19.5" customHeight="1">
      <c r="A336" s="171" t="s">
        <v>613</v>
      </c>
      <c r="B336" s="175">
        <v>46043</v>
      </c>
      <c r="C336" s="171" t="s">
        <v>115</v>
      </c>
      <c r="D336" s="171" t="s">
        <v>116</v>
      </c>
      <c r="E336" s="171" t="s">
        <v>41</v>
      </c>
      <c r="F336" s="171" t="s">
        <v>138</v>
      </c>
      <c r="G336" s="171" t="s">
        <v>112</v>
      </c>
      <c r="H336" s="176">
        <v>1</v>
      </c>
      <c r="I336" s="177">
        <v>1687</v>
      </c>
      <c r="J336" s="175">
        <v>46042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-9.64</v>
      </c>
    </row>
    <row r="337" spans="1:16" ht="19.5" customHeight="1">
      <c r="A337" s="171" t="s">
        <v>612</v>
      </c>
      <c r="B337" s="175">
        <v>46043</v>
      </c>
      <c r="C337" s="171" t="s">
        <v>115</v>
      </c>
      <c r="D337" s="171" t="s">
        <v>135</v>
      </c>
      <c r="E337" s="171" t="s">
        <v>42</v>
      </c>
      <c r="F337" s="171" t="s">
        <v>248</v>
      </c>
      <c r="G337" s="171" t="s">
        <v>112</v>
      </c>
      <c r="H337" s="176">
        <v>1</v>
      </c>
      <c r="I337" s="177">
        <v>0</v>
      </c>
      <c r="J337" s="175">
        <v>46037</v>
      </c>
      <c r="K337" s="171" t="s">
        <v>125</v>
      </c>
      <c r="L337" s="171" t="s">
        <v>125</v>
      </c>
      <c r="M337" s="178">
        <v>0</v>
      </c>
      <c r="N337" s="176"/>
      <c r="O337" s="176"/>
      <c r="P337" s="179">
        <v>-16.43</v>
      </c>
    </row>
    <row r="338" spans="1:16" ht="19.5" customHeight="1">
      <c r="A338" s="171" t="s">
        <v>613</v>
      </c>
      <c r="B338" s="175">
        <v>46043</v>
      </c>
      <c r="C338" s="171" t="s">
        <v>115</v>
      </c>
      <c r="D338" s="171" t="s">
        <v>135</v>
      </c>
      <c r="E338" s="171" t="s">
        <v>41</v>
      </c>
      <c r="F338" s="171" t="s">
        <v>138</v>
      </c>
      <c r="G338" s="171" t="s">
        <v>112</v>
      </c>
      <c r="H338" s="176">
        <v>1</v>
      </c>
      <c r="I338" s="177">
        <v>0</v>
      </c>
      <c r="J338" s="175">
        <v>46042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-11.01</v>
      </c>
    </row>
    <row r="339" spans="1:16" ht="19.5" customHeight="1">
      <c r="A339" s="171" t="s">
        <v>614</v>
      </c>
      <c r="B339" s="175">
        <v>46043</v>
      </c>
      <c r="C339" s="171" t="s">
        <v>110</v>
      </c>
      <c r="D339" s="171" t="s">
        <v>24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1670</v>
      </c>
      <c r="J339" s="175">
        <v>46039</v>
      </c>
      <c r="K339" s="171" t="s">
        <v>113</v>
      </c>
      <c r="L339" s="171" t="s">
        <v>114</v>
      </c>
      <c r="M339" s="178">
        <v>0.43</v>
      </c>
      <c r="N339" s="176"/>
      <c r="O339" s="176">
        <v>51</v>
      </c>
      <c r="P339" s="179">
        <v>-147.08000000000001</v>
      </c>
    </row>
    <row r="340" spans="1:16" ht="19.5" customHeight="1">
      <c r="A340" s="171" t="s">
        <v>614</v>
      </c>
      <c r="B340" s="175">
        <v>46043</v>
      </c>
      <c r="C340" s="171" t="s">
        <v>127</v>
      </c>
      <c r="D340" s="171" t="s">
        <v>128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1670</v>
      </c>
      <c r="J340" s="175">
        <v>46039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636.19000000000005</v>
      </c>
    </row>
    <row r="341" spans="1:16" ht="19.5" customHeight="1">
      <c r="A341" s="171" t="s">
        <v>614</v>
      </c>
      <c r="B341" s="175">
        <v>46043</v>
      </c>
      <c r="C341" s="171" t="s">
        <v>127</v>
      </c>
      <c r="D341" s="171" t="s">
        <v>129</v>
      </c>
      <c r="E341" s="171" t="s">
        <v>38</v>
      </c>
      <c r="F341" s="171" t="s">
        <v>111</v>
      </c>
      <c r="G341" s="171" t="s">
        <v>112</v>
      </c>
      <c r="H341" s="176">
        <v>1</v>
      </c>
      <c r="I341" s="177">
        <v>1670</v>
      </c>
      <c r="J341" s="175">
        <v>46039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614</v>
      </c>
      <c r="B342" s="175">
        <v>46043</v>
      </c>
      <c r="C342" s="171" t="s">
        <v>127</v>
      </c>
      <c r="D342" s="171" t="s">
        <v>130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1670</v>
      </c>
      <c r="J342" s="175">
        <v>46039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1033.81</v>
      </c>
    </row>
    <row r="343" spans="1:16" ht="19.5" customHeight="1">
      <c r="A343" s="171" t="s">
        <v>614</v>
      </c>
      <c r="B343" s="175">
        <v>46043</v>
      </c>
      <c r="C343" s="171" t="s">
        <v>131</v>
      </c>
      <c r="D343" s="171" t="s">
        <v>132</v>
      </c>
      <c r="E343" s="171" t="s">
        <v>38</v>
      </c>
      <c r="F343" s="171" t="s">
        <v>111</v>
      </c>
      <c r="G343" s="171" t="s">
        <v>112</v>
      </c>
      <c r="H343" s="176">
        <v>1</v>
      </c>
      <c r="I343" s="177">
        <v>1670</v>
      </c>
      <c r="J343" s="175">
        <v>46039</v>
      </c>
      <c r="K343" s="171" t="s">
        <v>113</v>
      </c>
      <c r="L343" s="171" t="s">
        <v>114</v>
      </c>
      <c r="M343" s="178">
        <v>0.43</v>
      </c>
      <c r="N343" s="176"/>
      <c r="O343" s="176"/>
      <c r="P343" s="179">
        <v>-718.1</v>
      </c>
    </row>
    <row r="344" spans="1:16" ht="19.5" customHeight="1">
      <c r="A344" s="171" t="s">
        <v>614</v>
      </c>
      <c r="B344" s="175">
        <v>46043</v>
      </c>
      <c r="C344" s="171" t="s">
        <v>115</v>
      </c>
      <c r="D344" s="171" t="s">
        <v>116</v>
      </c>
      <c r="E344" s="171" t="s">
        <v>38</v>
      </c>
      <c r="F344" s="171" t="s">
        <v>111</v>
      </c>
      <c r="G344" s="171" t="s">
        <v>112</v>
      </c>
      <c r="H344" s="176">
        <v>1</v>
      </c>
      <c r="I344" s="177">
        <v>1670</v>
      </c>
      <c r="J344" s="175">
        <v>46039</v>
      </c>
      <c r="K344" s="171" t="s">
        <v>113</v>
      </c>
      <c r="L344" s="171" t="s">
        <v>114</v>
      </c>
      <c r="M344" s="178">
        <v>0.43</v>
      </c>
      <c r="N344" s="176"/>
      <c r="O344" s="176"/>
      <c r="P344" s="179">
        <v>-10.3</v>
      </c>
    </row>
    <row r="345" spans="1:16" ht="19.5" customHeight="1">
      <c r="A345" s="171" t="s">
        <v>615</v>
      </c>
      <c r="B345" s="175">
        <v>46043</v>
      </c>
      <c r="C345" s="171" t="s">
        <v>115</v>
      </c>
      <c r="D345" s="171" t="s">
        <v>135</v>
      </c>
      <c r="E345" s="171" t="s">
        <v>39</v>
      </c>
      <c r="F345" s="171" t="s">
        <v>141</v>
      </c>
      <c r="G345" s="171" t="s">
        <v>112</v>
      </c>
      <c r="H345" s="176">
        <v>1</v>
      </c>
      <c r="I345" s="177">
        <v>0</v>
      </c>
      <c r="J345" s="175">
        <v>46043</v>
      </c>
      <c r="K345" s="171" t="s">
        <v>125</v>
      </c>
      <c r="L345" s="171" t="s">
        <v>125</v>
      </c>
      <c r="M345" s="178">
        <v>0</v>
      </c>
      <c r="N345" s="176"/>
      <c r="O345" s="176"/>
      <c r="P345" s="179">
        <v>-12.9</v>
      </c>
    </row>
    <row r="346" spans="1:16" ht="19.5" customHeight="1">
      <c r="A346" s="171" t="s">
        <v>616</v>
      </c>
      <c r="B346" s="175">
        <v>46043</v>
      </c>
      <c r="C346" s="171" t="s">
        <v>110</v>
      </c>
      <c r="D346" s="171" t="s">
        <v>117</v>
      </c>
      <c r="E346" s="171" t="s">
        <v>38</v>
      </c>
      <c r="F346" s="171" t="s">
        <v>111</v>
      </c>
      <c r="G346" s="171" t="s">
        <v>112</v>
      </c>
      <c r="H346" s="176">
        <v>1</v>
      </c>
      <c r="I346" s="177">
        <v>0</v>
      </c>
      <c r="J346" s="175">
        <v>46029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0</v>
      </c>
    </row>
    <row r="347" spans="1:16" ht="19.5" customHeight="1">
      <c r="A347" s="171" t="s">
        <v>616</v>
      </c>
      <c r="B347" s="175">
        <v>46043</v>
      </c>
      <c r="C347" s="171" t="s">
        <v>110</v>
      </c>
      <c r="D347" s="171" t="s">
        <v>118</v>
      </c>
      <c r="E347" s="171" t="s">
        <v>38</v>
      </c>
      <c r="F347" s="171" t="s">
        <v>111</v>
      </c>
      <c r="G347" s="171" t="s">
        <v>112</v>
      </c>
      <c r="H347" s="176">
        <v>1</v>
      </c>
      <c r="I347" s="177">
        <v>0</v>
      </c>
      <c r="J347" s="175">
        <v>46029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-46.77</v>
      </c>
    </row>
    <row r="348" spans="1:16" ht="19.5" customHeight="1">
      <c r="A348" s="171" t="s">
        <v>616</v>
      </c>
      <c r="B348" s="175">
        <v>46043</v>
      </c>
      <c r="C348" s="171" t="s">
        <v>115</v>
      </c>
      <c r="D348" s="171" t="s">
        <v>119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46029</v>
      </c>
      <c r="K348" s="171" t="s">
        <v>113</v>
      </c>
      <c r="L348" s="171" t="s">
        <v>114</v>
      </c>
      <c r="M348" s="178">
        <v>0</v>
      </c>
      <c r="N348" s="176"/>
      <c r="O348" s="176"/>
      <c r="P348" s="179">
        <v>-15</v>
      </c>
    </row>
    <row r="349" spans="1:16" ht="19.5" customHeight="1">
      <c r="A349" s="171" t="s">
        <v>616</v>
      </c>
      <c r="B349" s="175">
        <v>46043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46029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-46.77</v>
      </c>
    </row>
    <row r="350" spans="1:16" ht="19.5" customHeight="1">
      <c r="A350" s="171" t="s">
        <v>616</v>
      </c>
      <c r="B350" s="175">
        <v>46043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46029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-25</v>
      </c>
    </row>
    <row r="351" spans="1:16" ht="19.5" customHeight="1">
      <c r="A351" s="171" t="s">
        <v>565</v>
      </c>
      <c r="B351" s="175">
        <v>46043</v>
      </c>
      <c r="C351" s="171" t="s">
        <v>151</v>
      </c>
      <c r="D351" s="171" t="s">
        <v>152</v>
      </c>
      <c r="E351" s="171" t="s">
        <v>125</v>
      </c>
      <c r="F351" s="171" t="s">
        <v>125</v>
      </c>
      <c r="G351" s="171" t="s">
        <v>125</v>
      </c>
      <c r="H351" s="176">
        <v>0</v>
      </c>
      <c r="I351" s="177">
        <v>0</v>
      </c>
      <c r="J351" s="175">
        <v>46043</v>
      </c>
      <c r="K351" s="171" t="s">
        <v>125</v>
      </c>
      <c r="L351" s="171" t="s">
        <v>125</v>
      </c>
      <c r="M351" s="178">
        <v>0</v>
      </c>
      <c r="N351" s="176"/>
      <c r="O351" s="176"/>
      <c r="P351" s="179">
        <v>-277.19</v>
      </c>
    </row>
    <row r="352" spans="1:16" ht="19.5" customHeight="1">
      <c r="A352" s="171" t="s">
        <v>179</v>
      </c>
      <c r="B352" s="175">
        <v>46043</v>
      </c>
      <c r="C352" s="171" t="s">
        <v>151</v>
      </c>
      <c r="D352" s="171" t="s">
        <v>152</v>
      </c>
      <c r="E352" s="171" t="s">
        <v>125</v>
      </c>
      <c r="F352" s="171" t="s">
        <v>125</v>
      </c>
      <c r="G352" s="171" t="s">
        <v>125</v>
      </c>
      <c r="H352" s="176">
        <v>0</v>
      </c>
      <c r="I352" s="177">
        <v>0</v>
      </c>
      <c r="J352" s="175">
        <v>46043</v>
      </c>
      <c r="K352" s="171" t="s">
        <v>125</v>
      </c>
      <c r="L352" s="171" t="s">
        <v>125</v>
      </c>
      <c r="M352" s="178">
        <v>0</v>
      </c>
      <c r="N352" s="176"/>
      <c r="O352" s="176"/>
      <c r="P352" s="179">
        <v>-272.87</v>
      </c>
    </row>
    <row r="353" spans="1:16" ht="19.5" customHeight="1">
      <c r="A353" s="171" t="s">
        <v>180</v>
      </c>
      <c r="B353" s="175">
        <v>46043</v>
      </c>
      <c r="C353" s="171" t="s">
        <v>151</v>
      </c>
      <c r="D353" s="171" t="s">
        <v>152</v>
      </c>
      <c r="E353" s="171" t="s">
        <v>125</v>
      </c>
      <c r="F353" s="171" t="s">
        <v>125</v>
      </c>
      <c r="G353" s="171" t="s">
        <v>125</v>
      </c>
      <c r="H353" s="176">
        <v>0</v>
      </c>
      <c r="I353" s="177">
        <v>0</v>
      </c>
      <c r="J353" s="175">
        <v>46043</v>
      </c>
      <c r="K353" s="171" t="s">
        <v>125</v>
      </c>
      <c r="L353" s="171" t="s">
        <v>125</v>
      </c>
      <c r="M353" s="178">
        <v>0</v>
      </c>
      <c r="N353" s="176"/>
      <c r="O353" s="176"/>
      <c r="P353" s="179">
        <v>-418.8</v>
      </c>
    </row>
    <row r="354" spans="1:16" ht="19.5" customHeight="1">
      <c r="A354" s="171" t="s">
        <v>153</v>
      </c>
      <c r="B354" s="175">
        <v>46043</v>
      </c>
      <c r="C354" s="171" t="s">
        <v>151</v>
      </c>
      <c r="D354" s="171" t="s">
        <v>152</v>
      </c>
      <c r="E354" s="171" t="s">
        <v>125</v>
      </c>
      <c r="F354" s="171" t="s">
        <v>125</v>
      </c>
      <c r="G354" s="171" t="s">
        <v>125</v>
      </c>
      <c r="H354" s="176">
        <v>0</v>
      </c>
      <c r="I354" s="177">
        <v>0</v>
      </c>
      <c r="J354" s="175">
        <v>46043</v>
      </c>
      <c r="K354" s="171" t="s">
        <v>125</v>
      </c>
      <c r="L354" s="171" t="s">
        <v>125</v>
      </c>
      <c r="M354" s="178">
        <v>0</v>
      </c>
      <c r="N354" s="176"/>
      <c r="O354" s="176"/>
      <c r="P354" s="179">
        <v>-401.97</v>
      </c>
    </row>
    <row r="355" spans="1:16" ht="19.5" customHeight="1">
      <c r="A355" s="171" t="s">
        <v>150</v>
      </c>
      <c r="B355" s="175">
        <v>46043</v>
      </c>
      <c r="C355" s="171" t="s">
        <v>151</v>
      </c>
      <c r="D355" s="171" t="s">
        <v>152</v>
      </c>
      <c r="E355" s="171" t="s">
        <v>125</v>
      </c>
      <c r="F355" s="171" t="s">
        <v>125</v>
      </c>
      <c r="G355" s="171" t="s">
        <v>125</v>
      </c>
      <c r="H355" s="176">
        <v>0</v>
      </c>
      <c r="I355" s="177">
        <v>0</v>
      </c>
      <c r="J355" s="175">
        <v>46043</v>
      </c>
      <c r="K355" s="171" t="s">
        <v>125</v>
      </c>
      <c r="L355" s="171" t="s">
        <v>125</v>
      </c>
      <c r="M355" s="178">
        <v>0</v>
      </c>
      <c r="N355" s="176"/>
      <c r="O355" s="176"/>
      <c r="P355" s="179">
        <v>-1234.1300000000001</v>
      </c>
    </row>
    <row r="356" spans="1:16" ht="19.5" customHeight="1">
      <c r="A356" s="171" t="s">
        <v>155</v>
      </c>
      <c r="B356" s="175">
        <v>46043</v>
      </c>
      <c r="C356" s="171" t="s">
        <v>151</v>
      </c>
      <c r="D356" s="171" t="s">
        <v>156</v>
      </c>
      <c r="E356" s="171" t="s">
        <v>125</v>
      </c>
      <c r="F356" s="171" t="s">
        <v>125</v>
      </c>
      <c r="G356" s="171" t="s">
        <v>125</v>
      </c>
      <c r="H356" s="176">
        <v>0</v>
      </c>
      <c r="I356" s="177">
        <v>0</v>
      </c>
      <c r="J356" s="175">
        <v>46043</v>
      </c>
      <c r="K356" s="171" t="s">
        <v>125</v>
      </c>
      <c r="L356" s="171" t="s">
        <v>125</v>
      </c>
      <c r="M356" s="178">
        <v>0</v>
      </c>
      <c r="N356" s="176"/>
      <c r="O356" s="176"/>
      <c r="P356" s="179">
        <v>-3072.96</v>
      </c>
    </row>
    <row r="357" spans="1:16" ht="19.5" customHeight="1">
      <c r="A357" s="171" t="s">
        <v>617</v>
      </c>
      <c r="B357" s="175">
        <v>46044</v>
      </c>
      <c r="C357" s="171" t="s">
        <v>110</v>
      </c>
      <c r="D357" s="171" t="s">
        <v>24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0</v>
      </c>
      <c r="J357" s="175">
        <v>46039</v>
      </c>
      <c r="K357" s="171" t="s">
        <v>113</v>
      </c>
      <c r="L357" s="171" t="s">
        <v>114</v>
      </c>
      <c r="M357" s="178">
        <v>0</v>
      </c>
      <c r="N357" s="176"/>
      <c r="O357" s="176">
        <v>51</v>
      </c>
      <c r="P357" s="179">
        <v>-46.77</v>
      </c>
    </row>
    <row r="358" spans="1:16" ht="19.5" customHeight="1">
      <c r="A358" s="171" t="s">
        <v>617</v>
      </c>
      <c r="B358" s="175">
        <v>46044</v>
      </c>
      <c r="C358" s="171" t="s">
        <v>115</v>
      </c>
      <c r="D358" s="171" t="s">
        <v>116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0</v>
      </c>
      <c r="J358" s="175">
        <v>46039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-7.94</v>
      </c>
    </row>
    <row r="359" spans="1:16" ht="19.5" customHeight="1">
      <c r="A359" s="171" t="s">
        <v>617</v>
      </c>
      <c r="B359" s="175">
        <v>46044</v>
      </c>
      <c r="C359" s="171" t="s">
        <v>110</v>
      </c>
      <c r="D359" s="171" t="s">
        <v>117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0</v>
      </c>
      <c r="J359" s="175">
        <v>46039</v>
      </c>
      <c r="K359" s="171" t="s">
        <v>113</v>
      </c>
      <c r="L359" s="171" t="s">
        <v>114</v>
      </c>
      <c r="M359" s="178">
        <v>0</v>
      </c>
      <c r="N359" s="176"/>
      <c r="O359" s="176"/>
      <c r="P359" s="179">
        <v>0</v>
      </c>
    </row>
    <row r="360" spans="1:16" ht="19.5" customHeight="1">
      <c r="A360" s="171" t="s">
        <v>617</v>
      </c>
      <c r="B360" s="175">
        <v>46044</v>
      </c>
      <c r="C360" s="171" t="s">
        <v>110</v>
      </c>
      <c r="D360" s="171" t="s">
        <v>118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46039</v>
      </c>
      <c r="K360" s="171" t="s">
        <v>113</v>
      </c>
      <c r="L360" s="171" t="s">
        <v>114</v>
      </c>
      <c r="M360" s="178">
        <v>0</v>
      </c>
      <c r="N360" s="176"/>
      <c r="O360" s="176"/>
      <c r="P360" s="179">
        <v>-46.77</v>
      </c>
    </row>
    <row r="361" spans="1:16" ht="19.5" customHeight="1">
      <c r="A361" s="171" t="s">
        <v>617</v>
      </c>
      <c r="B361" s="175">
        <v>46044</v>
      </c>
      <c r="C361" s="171" t="s">
        <v>115</v>
      </c>
      <c r="D361" s="171" t="s">
        <v>119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46039</v>
      </c>
      <c r="K361" s="171" t="s">
        <v>113</v>
      </c>
      <c r="L361" s="171" t="s">
        <v>114</v>
      </c>
      <c r="M361" s="178">
        <v>0</v>
      </c>
      <c r="N361" s="176"/>
      <c r="O361" s="176"/>
      <c r="P361" s="179">
        <v>-15</v>
      </c>
    </row>
    <row r="362" spans="1:16" ht="19.5" customHeight="1">
      <c r="A362" s="171" t="s">
        <v>618</v>
      </c>
      <c r="B362" s="175">
        <v>46044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46039</v>
      </c>
      <c r="K362" s="171" t="s">
        <v>113</v>
      </c>
      <c r="L362" s="171" t="s">
        <v>114</v>
      </c>
      <c r="M362" s="178">
        <v>0</v>
      </c>
      <c r="N362" s="176"/>
      <c r="O362" s="176">
        <v>51</v>
      </c>
      <c r="P362" s="179">
        <v>-46.77</v>
      </c>
    </row>
    <row r="363" spans="1:16" ht="19.5" customHeight="1">
      <c r="A363" s="171" t="s">
        <v>618</v>
      </c>
      <c r="B363" s="175">
        <v>46044</v>
      </c>
      <c r="C363" s="171" t="s">
        <v>115</v>
      </c>
      <c r="D363" s="171" t="s">
        <v>116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46039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-11.41</v>
      </c>
    </row>
    <row r="364" spans="1:16" ht="19.5" customHeight="1">
      <c r="A364" s="171" t="s">
        <v>618</v>
      </c>
      <c r="B364" s="175">
        <v>46044</v>
      </c>
      <c r="C364" s="171" t="s">
        <v>110</v>
      </c>
      <c r="D364" s="171" t="s">
        <v>117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46039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0</v>
      </c>
    </row>
    <row r="365" spans="1:16" ht="19.5" customHeight="1">
      <c r="A365" s="171" t="s">
        <v>618</v>
      </c>
      <c r="B365" s="175">
        <v>46044</v>
      </c>
      <c r="C365" s="171" t="s">
        <v>110</v>
      </c>
      <c r="D365" s="171" t="s">
        <v>118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46039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-46.77</v>
      </c>
    </row>
    <row r="366" spans="1:16" ht="19.5" customHeight="1">
      <c r="A366" s="171" t="s">
        <v>618</v>
      </c>
      <c r="B366" s="175">
        <v>46044</v>
      </c>
      <c r="C366" s="171" t="s">
        <v>115</v>
      </c>
      <c r="D366" s="171" t="s">
        <v>119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0</v>
      </c>
      <c r="J366" s="175">
        <v>46039</v>
      </c>
      <c r="K366" s="171" t="s">
        <v>113</v>
      </c>
      <c r="L366" s="171" t="s">
        <v>114</v>
      </c>
      <c r="M366" s="178">
        <v>0</v>
      </c>
      <c r="N366" s="176"/>
      <c r="O366" s="176"/>
      <c r="P366" s="179">
        <v>-15</v>
      </c>
    </row>
    <row r="367" spans="1:16" ht="19.5" customHeight="1">
      <c r="A367" s="171" t="s">
        <v>619</v>
      </c>
      <c r="B367" s="175">
        <v>46044</v>
      </c>
      <c r="C367" s="171" t="s">
        <v>110</v>
      </c>
      <c r="D367" s="171" t="s">
        <v>24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1670</v>
      </c>
      <c r="J367" s="175">
        <v>46042</v>
      </c>
      <c r="K367" s="171" t="s">
        <v>113</v>
      </c>
      <c r="L367" s="171" t="s">
        <v>114</v>
      </c>
      <c r="M367" s="178">
        <v>0.43</v>
      </c>
      <c r="N367" s="176"/>
      <c r="O367" s="176">
        <v>52</v>
      </c>
      <c r="P367" s="179">
        <v>-147.6</v>
      </c>
    </row>
    <row r="368" spans="1:16" ht="19.5" customHeight="1">
      <c r="A368" s="171" t="s">
        <v>619</v>
      </c>
      <c r="B368" s="175">
        <v>46044</v>
      </c>
      <c r="C368" s="171" t="s">
        <v>127</v>
      </c>
      <c r="D368" s="171" t="s">
        <v>128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1670</v>
      </c>
      <c r="J368" s="175">
        <v>46042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654.94000000000005</v>
      </c>
    </row>
    <row r="369" spans="1:16" ht="19.5" customHeight="1">
      <c r="A369" s="171" t="s">
        <v>619</v>
      </c>
      <c r="B369" s="175">
        <v>46044</v>
      </c>
      <c r="C369" s="171" t="s">
        <v>127</v>
      </c>
      <c r="D369" s="171" t="s">
        <v>129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1670</v>
      </c>
      <c r="J369" s="175">
        <v>46042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6.55</v>
      </c>
    </row>
    <row r="370" spans="1:16" ht="19.5" customHeight="1">
      <c r="A370" s="171" t="s">
        <v>619</v>
      </c>
      <c r="B370" s="175">
        <v>46044</v>
      </c>
      <c r="C370" s="171" t="s">
        <v>127</v>
      </c>
      <c r="D370" s="171" t="s">
        <v>130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1670</v>
      </c>
      <c r="J370" s="175">
        <v>46042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1008.51</v>
      </c>
    </row>
    <row r="371" spans="1:16" ht="19.5" customHeight="1">
      <c r="A371" s="171" t="s">
        <v>619</v>
      </c>
      <c r="B371" s="175">
        <v>46044</v>
      </c>
      <c r="C371" s="171" t="s">
        <v>131</v>
      </c>
      <c r="D371" s="171" t="s">
        <v>132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1670</v>
      </c>
      <c r="J371" s="175">
        <v>46042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-718.1</v>
      </c>
    </row>
    <row r="372" spans="1:16" ht="19.5" customHeight="1">
      <c r="A372" s="171" t="s">
        <v>619</v>
      </c>
      <c r="B372" s="175">
        <v>46044</v>
      </c>
      <c r="C372" s="171" t="s">
        <v>115</v>
      </c>
      <c r="D372" s="171" t="s">
        <v>116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1670</v>
      </c>
      <c r="J372" s="175">
        <v>46042</v>
      </c>
      <c r="K372" s="171" t="s">
        <v>113</v>
      </c>
      <c r="L372" s="171" t="s">
        <v>114</v>
      </c>
      <c r="M372" s="178">
        <v>0.43</v>
      </c>
      <c r="N372" s="176"/>
      <c r="O372" s="176"/>
      <c r="P372" s="179">
        <v>-8.35</v>
      </c>
    </row>
    <row r="373" spans="1:16" ht="19.5" customHeight="1">
      <c r="A373" s="171" t="s">
        <v>620</v>
      </c>
      <c r="B373" s="175">
        <v>46044</v>
      </c>
      <c r="C373" s="171" t="s">
        <v>115</v>
      </c>
      <c r="D373" s="171" t="s">
        <v>135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46044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-11.01</v>
      </c>
    </row>
    <row r="374" spans="1:16" ht="19.5" customHeight="1">
      <c r="A374" s="171" t="s">
        <v>621</v>
      </c>
      <c r="B374" s="175">
        <v>46044</v>
      </c>
      <c r="C374" s="171" t="s">
        <v>115</v>
      </c>
      <c r="D374" s="171" t="s">
        <v>135</v>
      </c>
      <c r="E374" s="171" t="s">
        <v>53</v>
      </c>
      <c r="F374" s="171" t="s">
        <v>622</v>
      </c>
      <c r="G374" s="171" t="s">
        <v>623</v>
      </c>
      <c r="H374" s="176">
        <v>1</v>
      </c>
      <c r="I374" s="177">
        <v>0</v>
      </c>
      <c r="J374" s="175">
        <v>46044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-35.229999999999997</v>
      </c>
    </row>
    <row r="375" spans="1:16" ht="19.5" customHeight="1">
      <c r="A375" s="171" t="s">
        <v>624</v>
      </c>
      <c r="B375" s="175">
        <v>46044</v>
      </c>
      <c r="C375" s="171" t="s">
        <v>115</v>
      </c>
      <c r="D375" s="171" t="s">
        <v>135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46044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-11.02</v>
      </c>
    </row>
    <row r="376" spans="1:16" ht="19.5" customHeight="1">
      <c r="A376" s="171" t="s">
        <v>625</v>
      </c>
      <c r="B376" s="175">
        <v>46044</v>
      </c>
      <c r="C376" s="171" t="s">
        <v>110</v>
      </c>
      <c r="D376" s="171" t="s">
        <v>24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1670</v>
      </c>
      <c r="J376" s="175">
        <v>46038</v>
      </c>
      <c r="K376" s="171" t="s">
        <v>113</v>
      </c>
      <c r="L376" s="171" t="s">
        <v>114</v>
      </c>
      <c r="M376" s="178">
        <v>0.43</v>
      </c>
      <c r="N376" s="176"/>
      <c r="O376" s="176">
        <v>48</v>
      </c>
      <c r="P376" s="179">
        <v>-141.87</v>
      </c>
    </row>
    <row r="377" spans="1:16" ht="19.5" customHeight="1">
      <c r="A377" s="171" t="s">
        <v>625</v>
      </c>
      <c r="B377" s="175">
        <v>46044</v>
      </c>
      <c r="C377" s="171" t="s">
        <v>127</v>
      </c>
      <c r="D377" s="171" t="s">
        <v>128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1670</v>
      </c>
      <c r="J377" s="175">
        <v>46038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574.29</v>
      </c>
    </row>
    <row r="378" spans="1:16" ht="19.5" customHeight="1">
      <c r="A378" s="171" t="s">
        <v>625</v>
      </c>
      <c r="B378" s="175">
        <v>46044</v>
      </c>
      <c r="C378" s="171" t="s">
        <v>127</v>
      </c>
      <c r="D378" s="171" t="s">
        <v>129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1670</v>
      </c>
      <c r="J378" s="175">
        <v>46038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5.74</v>
      </c>
    </row>
    <row r="379" spans="1:16" ht="19.5" customHeight="1">
      <c r="A379" s="171" t="s">
        <v>625</v>
      </c>
      <c r="B379" s="175">
        <v>46044</v>
      </c>
      <c r="C379" s="171" t="s">
        <v>127</v>
      </c>
      <c r="D379" s="171" t="s">
        <v>130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1670</v>
      </c>
      <c r="J379" s="175">
        <v>46038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1089.97</v>
      </c>
    </row>
    <row r="380" spans="1:16" ht="19.5" customHeight="1">
      <c r="A380" s="171" t="s">
        <v>625</v>
      </c>
      <c r="B380" s="175">
        <v>46044</v>
      </c>
      <c r="C380" s="171" t="s">
        <v>131</v>
      </c>
      <c r="D380" s="171" t="s">
        <v>132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1670</v>
      </c>
      <c r="J380" s="175">
        <v>46038</v>
      </c>
      <c r="K380" s="171" t="s">
        <v>113</v>
      </c>
      <c r="L380" s="171" t="s">
        <v>114</v>
      </c>
      <c r="M380" s="178">
        <v>0.43</v>
      </c>
      <c r="N380" s="176"/>
      <c r="O380" s="176"/>
      <c r="P380" s="179">
        <v>-718.1</v>
      </c>
    </row>
    <row r="381" spans="1:16" ht="19.5" customHeight="1">
      <c r="A381" s="171" t="s">
        <v>625</v>
      </c>
      <c r="B381" s="175">
        <v>46044</v>
      </c>
      <c r="C381" s="171" t="s">
        <v>115</v>
      </c>
      <c r="D381" s="171" t="s">
        <v>116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1670</v>
      </c>
      <c r="J381" s="175">
        <v>46038</v>
      </c>
      <c r="K381" s="171" t="s">
        <v>113</v>
      </c>
      <c r="L381" s="171" t="s">
        <v>114</v>
      </c>
      <c r="M381" s="178">
        <v>0.43</v>
      </c>
      <c r="N381" s="176"/>
      <c r="O381" s="176"/>
      <c r="P381" s="179">
        <v>-11.19</v>
      </c>
    </row>
    <row r="382" spans="1:16" ht="19.5" customHeight="1">
      <c r="A382" s="171" t="s">
        <v>626</v>
      </c>
      <c r="B382" s="175">
        <v>46044</v>
      </c>
      <c r="C382" s="171" t="s">
        <v>115</v>
      </c>
      <c r="D382" s="171" t="s">
        <v>135</v>
      </c>
      <c r="E382" s="171" t="s">
        <v>44</v>
      </c>
      <c r="F382" s="171" t="s">
        <v>213</v>
      </c>
      <c r="G382" s="171" t="s">
        <v>214</v>
      </c>
      <c r="H382" s="176">
        <v>1</v>
      </c>
      <c r="I382" s="177">
        <v>0</v>
      </c>
      <c r="J382" s="175">
        <v>46044</v>
      </c>
      <c r="K382" s="171" t="s">
        <v>125</v>
      </c>
      <c r="L382" s="171" t="s">
        <v>125</v>
      </c>
      <c r="M382" s="178">
        <v>0</v>
      </c>
      <c r="N382" s="176"/>
      <c r="O382" s="176"/>
      <c r="P382" s="179">
        <v>-14.26</v>
      </c>
    </row>
    <row r="383" spans="1:16" ht="19.5" customHeight="1">
      <c r="A383" s="171" t="s">
        <v>627</v>
      </c>
      <c r="B383" s="175">
        <v>46044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1634</v>
      </c>
      <c r="J383" s="175">
        <v>46040</v>
      </c>
      <c r="K383" s="171" t="s">
        <v>113</v>
      </c>
      <c r="L383" s="171" t="s">
        <v>114</v>
      </c>
      <c r="M383" s="178">
        <v>0.43</v>
      </c>
      <c r="N383" s="176"/>
      <c r="O383" s="176">
        <v>51</v>
      </c>
      <c r="P383" s="179">
        <v>-145.69</v>
      </c>
    </row>
    <row r="384" spans="1:16" ht="19.5" customHeight="1">
      <c r="A384" s="171" t="s">
        <v>627</v>
      </c>
      <c r="B384" s="175">
        <v>46044</v>
      </c>
      <c r="C384" s="171" t="s">
        <v>127</v>
      </c>
      <c r="D384" s="171" t="s">
        <v>128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1634</v>
      </c>
      <c r="J384" s="175">
        <v>46040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561.9</v>
      </c>
    </row>
    <row r="385" spans="1:16" ht="19.5" customHeight="1">
      <c r="A385" s="171" t="s">
        <v>627</v>
      </c>
      <c r="B385" s="175">
        <v>46044</v>
      </c>
      <c r="C385" s="171" t="s">
        <v>127</v>
      </c>
      <c r="D385" s="171" t="s">
        <v>129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1634</v>
      </c>
      <c r="J385" s="175">
        <v>46040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5.62</v>
      </c>
    </row>
    <row r="386" spans="1:16" ht="19.5" customHeight="1">
      <c r="A386" s="171" t="s">
        <v>627</v>
      </c>
      <c r="B386" s="175">
        <v>46044</v>
      </c>
      <c r="C386" s="171" t="s">
        <v>127</v>
      </c>
      <c r="D386" s="171" t="s">
        <v>130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1634</v>
      </c>
      <c r="J386" s="175">
        <v>46040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1066.48</v>
      </c>
    </row>
    <row r="387" spans="1:16" ht="19.5" customHeight="1">
      <c r="A387" s="171" t="s">
        <v>627</v>
      </c>
      <c r="B387" s="175">
        <v>46044</v>
      </c>
      <c r="C387" s="171" t="s">
        <v>131</v>
      </c>
      <c r="D387" s="171" t="s">
        <v>132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1634</v>
      </c>
      <c r="J387" s="175">
        <v>46040</v>
      </c>
      <c r="K387" s="171" t="s">
        <v>113</v>
      </c>
      <c r="L387" s="171" t="s">
        <v>114</v>
      </c>
      <c r="M387" s="178">
        <v>0.43</v>
      </c>
      <c r="N387" s="176"/>
      <c r="O387" s="176"/>
      <c r="P387" s="179">
        <v>-702.62</v>
      </c>
    </row>
    <row r="388" spans="1:16" ht="19.5" customHeight="1">
      <c r="A388" s="171" t="s">
        <v>627</v>
      </c>
      <c r="B388" s="175">
        <v>46044</v>
      </c>
      <c r="C388" s="171" t="s">
        <v>115</v>
      </c>
      <c r="D388" s="171" t="s">
        <v>116</v>
      </c>
      <c r="E388" s="171" t="s">
        <v>39</v>
      </c>
      <c r="F388" s="171" t="s">
        <v>141</v>
      </c>
      <c r="G388" s="171" t="s">
        <v>112</v>
      </c>
      <c r="H388" s="176">
        <v>1</v>
      </c>
      <c r="I388" s="177">
        <v>1634</v>
      </c>
      <c r="J388" s="175">
        <v>46040</v>
      </c>
      <c r="K388" s="171" t="s">
        <v>113</v>
      </c>
      <c r="L388" s="171" t="s">
        <v>114</v>
      </c>
      <c r="M388" s="178">
        <v>0.43</v>
      </c>
      <c r="N388" s="176"/>
      <c r="O388" s="176"/>
      <c r="P388" s="179">
        <v>-8.36</v>
      </c>
    </row>
    <row r="389" spans="1:16" ht="19.5" customHeight="1">
      <c r="A389" s="171" t="s">
        <v>628</v>
      </c>
      <c r="B389" s="175">
        <v>46044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46041</v>
      </c>
      <c r="K389" s="171" t="s">
        <v>113</v>
      </c>
      <c r="L389" s="171" t="s">
        <v>114</v>
      </c>
      <c r="M389" s="178">
        <v>0</v>
      </c>
      <c r="N389" s="176"/>
      <c r="O389" s="176">
        <v>53</v>
      </c>
      <c r="P389" s="179">
        <v>-46</v>
      </c>
    </row>
    <row r="390" spans="1:16" ht="19.5" customHeight="1">
      <c r="A390" s="171" t="s">
        <v>628</v>
      </c>
      <c r="B390" s="175">
        <v>46044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46041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-11.99</v>
      </c>
    </row>
    <row r="391" spans="1:16" ht="19.5" customHeight="1">
      <c r="A391" s="171" t="s">
        <v>628</v>
      </c>
      <c r="B391" s="175">
        <v>46044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46041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628</v>
      </c>
      <c r="B392" s="175">
        <v>46044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46041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628</v>
      </c>
      <c r="B393" s="175">
        <v>46044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46041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627</v>
      </c>
      <c r="B394" s="175">
        <v>46044</v>
      </c>
      <c r="C394" s="171" t="s">
        <v>115</v>
      </c>
      <c r="D394" s="171" t="s">
        <v>135</v>
      </c>
      <c r="E394" s="171" t="s">
        <v>39</v>
      </c>
      <c r="F394" s="171" t="s">
        <v>141</v>
      </c>
      <c r="G394" s="171" t="s">
        <v>112</v>
      </c>
      <c r="H394" s="176">
        <v>1</v>
      </c>
      <c r="I394" s="177">
        <v>0</v>
      </c>
      <c r="J394" s="175">
        <v>46040</v>
      </c>
      <c r="K394" s="171" t="s">
        <v>125</v>
      </c>
      <c r="L394" s="171" t="s">
        <v>125</v>
      </c>
      <c r="M394" s="178">
        <v>0</v>
      </c>
      <c r="N394" s="176"/>
      <c r="O394" s="176"/>
      <c r="P394" s="179">
        <v>-10.68</v>
      </c>
    </row>
    <row r="395" spans="1:16" ht="19.5" customHeight="1">
      <c r="A395" s="171" t="s">
        <v>629</v>
      </c>
      <c r="B395" s="175">
        <v>46044</v>
      </c>
      <c r="C395" s="171" t="s">
        <v>110</v>
      </c>
      <c r="D395" s="171" t="s">
        <v>24</v>
      </c>
      <c r="E395" s="171" t="s">
        <v>39</v>
      </c>
      <c r="F395" s="171" t="s">
        <v>141</v>
      </c>
      <c r="G395" s="171" t="s">
        <v>112</v>
      </c>
      <c r="H395" s="176">
        <v>1</v>
      </c>
      <c r="I395" s="177">
        <v>1634</v>
      </c>
      <c r="J395" s="175">
        <v>46041</v>
      </c>
      <c r="K395" s="171" t="s">
        <v>113</v>
      </c>
      <c r="L395" s="171" t="s">
        <v>114</v>
      </c>
      <c r="M395" s="178">
        <v>0.43</v>
      </c>
      <c r="N395" s="176"/>
      <c r="O395" s="176">
        <v>53</v>
      </c>
      <c r="P395" s="179">
        <v>-146.97999999999999</v>
      </c>
    </row>
    <row r="396" spans="1:16" ht="19.5" customHeight="1">
      <c r="A396" s="171" t="s">
        <v>629</v>
      </c>
      <c r="B396" s="175">
        <v>46044</v>
      </c>
      <c r="C396" s="171" t="s">
        <v>127</v>
      </c>
      <c r="D396" s="171" t="s">
        <v>128</v>
      </c>
      <c r="E396" s="171" t="s">
        <v>39</v>
      </c>
      <c r="F396" s="171" t="s">
        <v>141</v>
      </c>
      <c r="G396" s="171" t="s">
        <v>112</v>
      </c>
      <c r="H396" s="176">
        <v>1</v>
      </c>
      <c r="I396" s="177">
        <v>1634</v>
      </c>
      <c r="J396" s="175">
        <v>46041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588.07000000000005</v>
      </c>
    </row>
    <row r="397" spans="1:16" ht="19.5" customHeight="1">
      <c r="A397" s="171" t="s">
        <v>629</v>
      </c>
      <c r="B397" s="175">
        <v>46044</v>
      </c>
      <c r="C397" s="171" t="s">
        <v>127</v>
      </c>
      <c r="D397" s="171" t="s">
        <v>129</v>
      </c>
      <c r="E397" s="171" t="s">
        <v>39</v>
      </c>
      <c r="F397" s="171" t="s">
        <v>141</v>
      </c>
      <c r="G397" s="171" t="s">
        <v>112</v>
      </c>
      <c r="H397" s="176">
        <v>1</v>
      </c>
      <c r="I397" s="177">
        <v>1634</v>
      </c>
      <c r="J397" s="175">
        <v>46041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5.88</v>
      </c>
    </row>
    <row r="398" spans="1:16" ht="19.5" customHeight="1">
      <c r="A398" s="171" t="s">
        <v>629</v>
      </c>
      <c r="B398" s="175">
        <v>46044</v>
      </c>
      <c r="C398" s="171" t="s">
        <v>127</v>
      </c>
      <c r="D398" s="171" t="s">
        <v>130</v>
      </c>
      <c r="E398" s="171" t="s">
        <v>39</v>
      </c>
      <c r="F398" s="171" t="s">
        <v>141</v>
      </c>
      <c r="G398" s="171" t="s">
        <v>112</v>
      </c>
      <c r="H398" s="176">
        <v>1</v>
      </c>
      <c r="I398" s="177">
        <v>1634</v>
      </c>
      <c r="J398" s="175">
        <v>46041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1040.05</v>
      </c>
    </row>
    <row r="399" spans="1:16" ht="19.5" customHeight="1">
      <c r="A399" s="171" t="s">
        <v>629</v>
      </c>
      <c r="B399" s="175">
        <v>46044</v>
      </c>
      <c r="C399" s="171" t="s">
        <v>131</v>
      </c>
      <c r="D399" s="171" t="s">
        <v>132</v>
      </c>
      <c r="E399" s="171" t="s">
        <v>39</v>
      </c>
      <c r="F399" s="171" t="s">
        <v>141</v>
      </c>
      <c r="G399" s="171" t="s">
        <v>112</v>
      </c>
      <c r="H399" s="176">
        <v>1</v>
      </c>
      <c r="I399" s="177">
        <v>1634</v>
      </c>
      <c r="J399" s="175">
        <v>46041</v>
      </c>
      <c r="K399" s="171" t="s">
        <v>113</v>
      </c>
      <c r="L399" s="171" t="s">
        <v>114</v>
      </c>
      <c r="M399" s="178">
        <v>0.43</v>
      </c>
      <c r="N399" s="176"/>
      <c r="O399" s="176"/>
      <c r="P399" s="179">
        <v>-702.62</v>
      </c>
    </row>
    <row r="400" spans="1:16" ht="19.5" customHeight="1">
      <c r="A400" s="171" t="s">
        <v>629</v>
      </c>
      <c r="B400" s="175">
        <v>46044</v>
      </c>
      <c r="C400" s="171" t="s">
        <v>115</v>
      </c>
      <c r="D400" s="171" t="s">
        <v>116</v>
      </c>
      <c r="E400" s="171" t="s">
        <v>39</v>
      </c>
      <c r="F400" s="171" t="s">
        <v>141</v>
      </c>
      <c r="G400" s="171" t="s">
        <v>112</v>
      </c>
      <c r="H400" s="176">
        <v>1</v>
      </c>
      <c r="I400" s="177">
        <v>1634</v>
      </c>
      <c r="J400" s="175">
        <v>46041</v>
      </c>
      <c r="K400" s="171" t="s">
        <v>113</v>
      </c>
      <c r="L400" s="171" t="s">
        <v>114</v>
      </c>
      <c r="M400" s="178">
        <v>0.43</v>
      </c>
      <c r="N400" s="176"/>
      <c r="O400" s="176"/>
      <c r="P400" s="179">
        <v>-8.4700000000000006</v>
      </c>
    </row>
    <row r="401" spans="1:16" ht="19.5" customHeight="1">
      <c r="A401" s="171" t="s">
        <v>630</v>
      </c>
      <c r="B401" s="175">
        <v>46044</v>
      </c>
      <c r="C401" s="171" t="s">
        <v>110</v>
      </c>
      <c r="D401" s="171" t="s">
        <v>24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891</v>
      </c>
      <c r="J401" s="175">
        <v>46043</v>
      </c>
      <c r="K401" s="171" t="s">
        <v>113</v>
      </c>
      <c r="L401" s="171" t="s">
        <v>114</v>
      </c>
      <c r="M401" s="178">
        <v>0.43</v>
      </c>
      <c r="N401" s="176"/>
      <c r="O401" s="176">
        <v>52</v>
      </c>
      <c r="P401" s="179">
        <v>-117.45</v>
      </c>
    </row>
    <row r="402" spans="1:16" ht="19.5" customHeight="1">
      <c r="A402" s="171" t="s">
        <v>630</v>
      </c>
      <c r="B402" s="175">
        <v>46044</v>
      </c>
      <c r="C402" s="171" t="s">
        <v>127</v>
      </c>
      <c r="D402" s="171" t="s">
        <v>128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891</v>
      </c>
      <c r="J402" s="175">
        <v>46043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314.29000000000002</v>
      </c>
    </row>
    <row r="403" spans="1:16" ht="19.5" customHeight="1">
      <c r="A403" s="171" t="s">
        <v>630</v>
      </c>
      <c r="B403" s="175">
        <v>46044</v>
      </c>
      <c r="C403" s="171" t="s">
        <v>127</v>
      </c>
      <c r="D403" s="171" t="s">
        <v>129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891</v>
      </c>
      <c r="J403" s="175">
        <v>46043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3.14</v>
      </c>
    </row>
    <row r="404" spans="1:16" ht="19.5" customHeight="1">
      <c r="A404" s="171" t="s">
        <v>630</v>
      </c>
      <c r="B404" s="175">
        <v>46044</v>
      </c>
      <c r="C404" s="171" t="s">
        <v>127</v>
      </c>
      <c r="D404" s="171" t="s">
        <v>130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891</v>
      </c>
      <c r="J404" s="175">
        <v>46043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573.57000000000005</v>
      </c>
    </row>
    <row r="405" spans="1:16" ht="19.5" customHeight="1">
      <c r="A405" s="171" t="s">
        <v>630</v>
      </c>
      <c r="B405" s="175">
        <v>46044</v>
      </c>
      <c r="C405" s="171" t="s">
        <v>131</v>
      </c>
      <c r="D405" s="171" t="s">
        <v>132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891</v>
      </c>
      <c r="J405" s="175">
        <v>46043</v>
      </c>
      <c r="K405" s="171" t="s">
        <v>113</v>
      </c>
      <c r="L405" s="171" t="s">
        <v>114</v>
      </c>
      <c r="M405" s="178">
        <v>0.43</v>
      </c>
      <c r="N405" s="176"/>
      <c r="O405" s="176"/>
      <c r="P405" s="179">
        <v>-383.13</v>
      </c>
    </row>
    <row r="406" spans="1:16" ht="19.5" customHeight="1">
      <c r="A406" s="171" t="s">
        <v>630</v>
      </c>
      <c r="B406" s="175">
        <v>46044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891</v>
      </c>
      <c r="J406" s="175">
        <v>46043</v>
      </c>
      <c r="K406" s="171" t="s">
        <v>113</v>
      </c>
      <c r="L406" s="171" t="s">
        <v>114</v>
      </c>
      <c r="M406" s="178">
        <v>0.43</v>
      </c>
      <c r="N406" s="176"/>
      <c r="O406" s="176"/>
      <c r="P406" s="179">
        <v>-4.97</v>
      </c>
    </row>
    <row r="407" spans="1:16" ht="19.5" customHeight="1">
      <c r="A407" s="171" t="s">
        <v>631</v>
      </c>
      <c r="B407" s="175">
        <v>46044</v>
      </c>
      <c r="C407" s="171" t="s">
        <v>115</v>
      </c>
      <c r="D407" s="171" t="s">
        <v>135</v>
      </c>
      <c r="E407" s="171" t="s">
        <v>49</v>
      </c>
      <c r="F407" s="171" t="s">
        <v>490</v>
      </c>
      <c r="G407" s="171" t="s">
        <v>112</v>
      </c>
      <c r="H407" s="176">
        <v>1</v>
      </c>
      <c r="I407" s="177">
        <v>0</v>
      </c>
      <c r="J407" s="175">
        <v>46044</v>
      </c>
      <c r="K407" s="171" t="s">
        <v>125</v>
      </c>
      <c r="L407" s="171" t="s">
        <v>125</v>
      </c>
      <c r="M407" s="178">
        <v>0</v>
      </c>
      <c r="N407" s="176"/>
      <c r="O407" s="176"/>
      <c r="P407" s="179">
        <v>-15.21</v>
      </c>
    </row>
    <row r="408" spans="1:16" ht="19.5" customHeight="1">
      <c r="A408" s="171" t="s">
        <v>630</v>
      </c>
      <c r="B408" s="175">
        <v>46044</v>
      </c>
      <c r="C408" s="171" t="s">
        <v>115</v>
      </c>
      <c r="D408" s="171" t="s">
        <v>135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46043</v>
      </c>
      <c r="K408" s="171" t="s">
        <v>125</v>
      </c>
      <c r="L408" s="171" t="s">
        <v>125</v>
      </c>
      <c r="M408" s="178">
        <v>0</v>
      </c>
      <c r="N408" s="176"/>
      <c r="O408" s="176"/>
      <c r="P408" s="179">
        <v>-5.97</v>
      </c>
    </row>
    <row r="409" spans="1:16" ht="19.5" customHeight="1">
      <c r="A409" s="171" t="s">
        <v>632</v>
      </c>
      <c r="B409" s="175">
        <v>46044</v>
      </c>
      <c r="C409" s="171" t="s">
        <v>110</v>
      </c>
      <c r="D409" s="171" t="s">
        <v>24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1670</v>
      </c>
      <c r="J409" s="175">
        <v>46042</v>
      </c>
      <c r="K409" s="171" t="s">
        <v>113</v>
      </c>
      <c r="L409" s="171" t="s">
        <v>114</v>
      </c>
      <c r="M409" s="178">
        <v>0.43</v>
      </c>
      <c r="N409" s="176"/>
      <c r="O409" s="176">
        <v>52</v>
      </c>
      <c r="P409" s="179">
        <v>-146.22999999999999</v>
      </c>
    </row>
    <row r="410" spans="1:16" ht="19.5" customHeight="1">
      <c r="A410" s="171" t="s">
        <v>632</v>
      </c>
      <c r="B410" s="175">
        <v>46044</v>
      </c>
      <c r="C410" s="171" t="s">
        <v>127</v>
      </c>
      <c r="D410" s="171" t="s">
        <v>128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1670</v>
      </c>
      <c r="J410" s="175">
        <v>46042</v>
      </c>
      <c r="K410" s="171" t="s">
        <v>113</v>
      </c>
      <c r="L410" s="171" t="s">
        <v>114</v>
      </c>
      <c r="M410" s="178">
        <v>0</v>
      </c>
      <c r="N410" s="176"/>
      <c r="O410" s="176"/>
      <c r="P410" s="179">
        <v>635.59</v>
      </c>
    </row>
    <row r="411" spans="1:16" ht="19.5" customHeight="1">
      <c r="A411" s="171" t="s">
        <v>632</v>
      </c>
      <c r="B411" s="175">
        <v>46044</v>
      </c>
      <c r="C411" s="171" t="s">
        <v>127</v>
      </c>
      <c r="D411" s="171" t="s">
        <v>129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1670</v>
      </c>
      <c r="J411" s="175">
        <v>46042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0</v>
      </c>
    </row>
    <row r="412" spans="1:16" ht="19.5" customHeight="1">
      <c r="A412" s="171" t="s">
        <v>632</v>
      </c>
      <c r="B412" s="175">
        <v>46044</v>
      </c>
      <c r="C412" s="171" t="s">
        <v>127</v>
      </c>
      <c r="D412" s="171" t="s">
        <v>130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1670</v>
      </c>
      <c r="J412" s="175">
        <v>46042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1034.4100000000001</v>
      </c>
    </row>
    <row r="413" spans="1:16" ht="19.5" customHeight="1">
      <c r="A413" s="171" t="s">
        <v>632</v>
      </c>
      <c r="B413" s="175">
        <v>46044</v>
      </c>
      <c r="C413" s="171" t="s">
        <v>131</v>
      </c>
      <c r="D413" s="171" t="s">
        <v>132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1670</v>
      </c>
      <c r="J413" s="175">
        <v>46042</v>
      </c>
      <c r="K413" s="171" t="s">
        <v>113</v>
      </c>
      <c r="L413" s="171" t="s">
        <v>114</v>
      </c>
      <c r="M413" s="178">
        <v>0.43</v>
      </c>
      <c r="N413" s="176"/>
      <c r="O413" s="176"/>
      <c r="P413" s="179">
        <v>-718.1</v>
      </c>
    </row>
    <row r="414" spans="1:16" ht="19.5" customHeight="1">
      <c r="A414" s="171" t="s">
        <v>632</v>
      </c>
      <c r="B414" s="175">
        <v>46044</v>
      </c>
      <c r="C414" s="171" t="s">
        <v>115</v>
      </c>
      <c r="D414" s="171" t="s">
        <v>116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1670</v>
      </c>
      <c r="J414" s="175">
        <v>46042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-10.34</v>
      </c>
    </row>
    <row r="415" spans="1:16" ht="19.5" customHeight="1">
      <c r="A415" s="171" t="s">
        <v>633</v>
      </c>
      <c r="B415" s="175">
        <v>46044</v>
      </c>
      <c r="C415" s="171" t="s">
        <v>115</v>
      </c>
      <c r="D415" s="171" t="s">
        <v>135</v>
      </c>
      <c r="E415" s="171" t="s">
        <v>48</v>
      </c>
      <c r="F415" s="171" t="s">
        <v>198</v>
      </c>
      <c r="G415" s="171" t="s">
        <v>112</v>
      </c>
      <c r="H415" s="176">
        <v>1</v>
      </c>
      <c r="I415" s="177">
        <v>0</v>
      </c>
      <c r="J415" s="175">
        <v>46044</v>
      </c>
      <c r="K415" s="171" t="s">
        <v>125</v>
      </c>
      <c r="L415" s="171" t="s">
        <v>125</v>
      </c>
      <c r="M415" s="178">
        <v>0</v>
      </c>
      <c r="N415" s="176"/>
      <c r="O415" s="176"/>
      <c r="P415" s="179">
        <v>-3.41</v>
      </c>
    </row>
    <row r="416" spans="1:16" ht="19.5" customHeight="1">
      <c r="A416" s="171" t="s">
        <v>604</v>
      </c>
      <c r="B416" s="175">
        <v>46044</v>
      </c>
      <c r="C416" s="171" t="s">
        <v>115</v>
      </c>
      <c r="D416" s="171" t="s">
        <v>135</v>
      </c>
      <c r="E416" s="171" t="s">
        <v>41</v>
      </c>
      <c r="F416" s="171" t="s">
        <v>138</v>
      </c>
      <c r="G416" s="171" t="s">
        <v>112</v>
      </c>
      <c r="H416" s="176">
        <v>1</v>
      </c>
      <c r="I416" s="177">
        <v>0</v>
      </c>
      <c r="J416" s="175">
        <v>46043</v>
      </c>
      <c r="K416" s="171" t="s">
        <v>125</v>
      </c>
      <c r="L416" s="171" t="s">
        <v>125</v>
      </c>
      <c r="M416" s="178">
        <v>0</v>
      </c>
      <c r="N416" s="176"/>
      <c r="O416" s="176"/>
      <c r="P416" s="179">
        <v>1.61</v>
      </c>
    </row>
    <row r="417" spans="1:16" ht="19.5" customHeight="1">
      <c r="A417" s="171" t="s">
        <v>580</v>
      </c>
      <c r="B417" s="175">
        <v>46044</v>
      </c>
      <c r="C417" s="171" t="s">
        <v>308</v>
      </c>
      <c r="D417" s="171" t="s">
        <v>419</v>
      </c>
      <c r="E417" s="171" t="s">
        <v>70</v>
      </c>
      <c r="F417" s="171" t="s">
        <v>509</v>
      </c>
      <c r="G417" s="171" t="s">
        <v>177</v>
      </c>
      <c r="H417" s="176">
        <v>1</v>
      </c>
      <c r="I417" s="177">
        <v>-4506</v>
      </c>
      <c r="J417" s="175">
        <v>46038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-2975.24</v>
      </c>
    </row>
    <row r="418" spans="1:16" ht="19.5" customHeight="1">
      <c r="A418" s="171" t="s">
        <v>580</v>
      </c>
      <c r="B418" s="175">
        <v>46044</v>
      </c>
      <c r="C418" s="171" t="s">
        <v>308</v>
      </c>
      <c r="D418" s="171" t="s">
        <v>129</v>
      </c>
      <c r="E418" s="171" t="s">
        <v>70</v>
      </c>
      <c r="F418" s="171" t="s">
        <v>509</v>
      </c>
      <c r="G418" s="171" t="s">
        <v>177</v>
      </c>
      <c r="H418" s="176">
        <v>1</v>
      </c>
      <c r="I418" s="177">
        <v>-4506</v>
      </c>
      <c r="J418" s="175">
        <v>46038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-29.75</v>
      </c>
    </row>
    <row r="419" spans="1:16" ht="19.5" customHeight="1">
      <c r="A419" s="171" t="s">
        <v>580</v>
      </c>
      <c r="B419" s="175">
        <v>46044</v>
      </c>
      <c r="C419" s="171" t="s">
        <v>308</v>
      </c>
      <c r="D419" s="171" t="s">
        <v>130</v>
      </c>
      <c r="E419" s="171" t="s">
        <v>70</v>
      </c>
      <c r="F419" s="171" t="s">
        <v>509</v>
      </c>
      <c r="G419" s="171" t="s">
        <v>177</v>
      </c>
      <c r="H419" s="176">
        <v>1</v>
      </c>
      <c r="I419" s="177">
        <v>-4506</v>
      </c>
      <c r="J419" s="175">
        <v>46038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-1501.01</v>
      </c>
    </row>
    <row r="420" spans="1:16" ht="19.5" customHeight="1">
      <c r="A420" s="171" t="s">
        <v>580</v>
      </c>
      <c r="B420" s="175">
        <v>46044</v>
      </c>
      <c r="C420" s="171" t="s">
        <v>131</v>
      </c>
      <c r="D420" s="171" t="s">
        <v>420</v>
      </c>
      <c r="E420" s="171" t="s">
        <v>70</v>
      </c>
      <c r="F420" s="171" t="s">
        <v>509</v>
      </c>
      <c r="G420" s="171" t="s">
        <v>177</v>
      </c>
      <c r="H420" s="176">
        <v>1</v>
      </c>
      <c r="I420" s="177">
        <v>-4506</v>
      </c>
      <c r="J420" s="175">
        <v>46038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1937.58</v>
      </c>
    </row>
    <row r="421" spans="1:16" ht="19.5" customHeight="1">
      <c r="A421" s="171" t="s">
        <v>634</v>
      </c>
      <c r="B421" s="175">
        <v>46044</v>
      </c>
      <c r="C421" s="171" t="s">
        <v>115</v>
      </c>
      <c r="D421" s="171" t="s">
        <v>135</v>
      </c>
      <c r="E421" s="171" t="s">
        <v>77</v>
      </c>
      <c r="F421" s="171" t="s">
        <v>194</v>
      </c>
      <c r="G421" s="171" t="s">
        <v>177</v>
      </c>
      <c r="H421" s="176">
        <v>1</v>
      </c>
      <c r="I421" s="177">
        <v>0</v>
      </c>
      <c r="J421" s="175">
        <v>46044</v>
      </c>
      <c r="K421" s="171" t="s">
        <v>125</v>
      </c>
      <c r="L421" s="171" t="s">
        <v>125</v>
      </c>
      <c r="M421" s="178">
        <v>0</v>
      </c>
      <c r="N421" s="176"/>
      <c r="O421" s="176"/>
      <c r="P421" s="179">
        <v>-4.43</v>
      </c>
    </row>
    <row r="422" spans="1:16" ht="19.5" customHeight="1">
      <c r="A422" s="171" t="s">
        <v>580</v>
      </c>
      <c r="B422" s="175">
        <v>46044</v>
      </c>
      <c r="C422" s="171" t="s">
        <v>507</v>
      </c>
      <c r="D422" s="171" t="s">
        <v>508</v>
      </c>
      <c r="E422" s="171" t="s">
        <v>70</v>
      </c>
      <c r="F422" s="171" t="s">
        <v>509</v>
      </c>
      <c r="G422" s="171" t="s">
        <v>177</v>
      </c>
      <c r="H422" s="176">
        <v>1</v>
      </c>
      <c r="I422" s="177">
        <v>0</v>
      </c>
      <c r="J422" s="175">
        <v>46038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-5</v>
      </c>
    </row>
    <row r="423" spans="1:16" ht="19.5" customHeight="1">
      <c r="A423" s="171" t="s">
        <v>580</v>
      </c>
      <c r="B423" s="175">
        <v>46044</v>
      </c>
      <c r="C423" s="171" t="s">
        <v>115</v>
      </c>
      <c r="D423" s="171" t="s">
        <v>510</v>
      </c>
      <c r="E423" s="171" t="s">
        <v>70</v>
      </c>
      <c r="F423" s="171" t="s">
        <v>509</v>
      </c>
      <c r="G423" s="171" t="s">
        <v>177</v>
      </c>
      <c r="H423" s="176">
        <v>1</v>
      </c>
      <c r="I423" s="177">
        <v>0</v>
      </c>
      <c r="J423" s="175">
        <v>46038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-10</v>
      </c>
    </row>
    <row r="424" spans="1:16" ht="19.5" customHeight="1">
      <c r="A424" s="171" t="s">
        <v>580</v>
      </c>
      <c r="B424" s="175">
        <v>46044</v>
      </c>
      <c r="C424" s="171" t="s">
        <v>115</v>
      </c>
      <c r="D424" s="171" t="s">
        <v>135</v>
      </c>
      <c r="E424" s="171" t="s">
        <v>70</v>
      </c>
      <c r="F424" s="171" t="s">
        <v>509</v>
      </c>
      <c r="G424" s="171" t="s">
        <v>177</v>
      </c>
      <c r="H424" s="176">
        <v>1</v>
      </c>
      <c r="I424" s="177">
        <v>0</v>
      </c>
      <c r="J424" s="175">
        <v>46038</v>
      </c>
      <c r="K424" s="171" t="s">
        <v>125</v>
      </c>
      <c r="L424" s="171" t="s">
        <v>125</v>
      </c>
      <c r="M424" s="178">
        <v>0</v>
      </c>
      <c r="N424" s="176"/>
      <c r="O424" s="176"/>
      <c r="P424" s="179">
        <v>56.53</v>
      </c>
    </row>
    <row r="425" spans="1:16" ht="19.5" customHeight="1">
      <c r="A425" s="171" t="s">
        <v>635</v>
      </c>
      <c r="B425" s="175">
        <v>46044</v>
      </c>
      <c r="C425" s="171" t="s">
        <v>110</v>
      </c>
      <c r="D425" s="171" t="s">
        <v>24</v>
      </c>
      <c r="E425" s="171" t="s">
        <v>77</v>
      </c>
      <c r="F425" s="171" t="s">
        <v>194</v>
      </c>
      <c r="G425" s="171" t="s">
        <v>177</v>
      </c>
      <c r="H425" s="176">
        <v>1</v>
      </c>
      <c r="I425" s="177">
        <v>0</v>
      </c>
      <c r="J425" s="175">
        <v>46035</v>
      </c>
      <c r="K425" s="171" t="s">
        <v>113</v>
      </c>
      <c r="L425" s="171" t="s">
        <v>114</v>
      </c>
      <c r="M425" s="178">
        <v>0</v>
      </c>
      <c r="N425" s="176"/>
      <c r="O425" s="176">
        <v>46</v>
      </c>
      <c r="P425" s="179">
        <v>-56.94</v>
      </c>
    </row>
    <row r="426" spans="1:16" ht="19.5" customHeight="1">
      <c r="A426" s="171" t="s">
        <v>635</v>
      </c>
      <c r="B426" s="175">
        <v>46044</v>
      </c>
      <c r="C426" s="171" t="s">
        <v>115</v>
      </c>
      <c r="D426" s="171" t="s">
        <v>116</v>
      </c>
      <c r="E426" s="171" t="s">
        <v>77</v>
      </c>
      <c r="F426" s="171" t="s">
        <v>194</v>
      </c>
      <c r="G426" s="171" t="s">
        <v>177</v>
      </c>
      <c r="H426" s="176">
        <v>1</v>
      </c>
      <c r="I426" s="177">
        <v>0</v>
      </c>
      <c r="J426" s="175">
        <v>46035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-14.83</v>
      </c>
    </row>
    <row r="427" spans="1:16" ht="19.5" customHeight="1">
      <c r="A427" s="171" t="s">
        <v>635</v>
      </c>
      <c r="B427" s="175">
        <v>46044</v>
      </c>
      <c r="C427" s="171" t="s">
        <v>110</v>
      </c>
      <c r="D427" s="171" t="s">
        <v>117</v>
      </c>
      <c r="E427" s="171" t="s">
        <v>77</v>
      </c>
      <c r="F427" s="171" t="s">
        <v>194</v>
      </c>
      <c r="G427" s="171" t="s">
        <v>177</v>
      </c>
      <c r="H427" s="176">
        <v>1</v>
      </c>
      <c r="I427" s="177">
        <v>0</v>
      </c>
      <c r="J427" s="175">
        <v>46035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0</v>
      </c>
    </row>
    <row r="428" spans="1:16" ht="19.5" customHeight="1">
      <c r="A428" s="171" t="s">
        <v>635</v>
      </c>
      <c r="B428" s="175">
        <v>46044</v>
      </c>
      <c r="C428" s="171" t="s">
        <v>110</v>
      </c>
      <c r="D428" s="171" t="s">
        <v>118</v>
      </c>
      <c r="E428" s="171" t="s">
        <v>77</v>
      </c>
      <c r="F428" s="171" t="s">
        <v>194</v>
      </c>
      <c r="G428" s="171" t="s">
        <v>177</v>
      </c>
      <c r="H428" s="176">
        <v>1</v>
      </c>
      <c r="I428" s="177">
        <v>0</v>
      </c>
      <c r="J428" s="175">
        <v>46035</v>
      </c>
      <c r="K428" s="171" t="s">
        <v>113</v>
      </c>
      <c r="L428" s="171" t="s">
        <v>114</v>
      </c>
      <c r="M428" s="178">
        <v>0</v>
      </c>
      <c r="N428" s="176"/>
      <c r="O428" s="176"/>
      <c r="P428" s="179">
        <v>-56.94</v>
      </c>
    </row>
    <row r="429" spans="1:16" ht="19.5" customHeight="1">
      <c r="A429" s="171" t="s">
        <v>635</v>
      </c>
      <c r="B429" s="175">
        <v>46044</v>
      </c>
      <c r="C429" s="171" t="s">
        <v>115</v>
      </c>
      <c r="D429" s="171" t="s">
        <v>119</v>
      </c>
      <c r="E429" s="171" t="s">
        <v>77</v>
      </c>
      <c r="F429" s="171" t="s">
        <v>194</v>
      </c>
      <c r="G429" s="171" t="s">
        <v>177</v>
      </c>
      <c r="H429" s="176">
        <v>1</v>
      </c>
      <c r="I429" s="177">
        <v>0</v>
      </c>
      <c r="J429" s="175">
        <v>46035</v>
      </c>
      <c r="K429" s="171" t="s">
        <v>113</v>
      </c>
      <c r="L429" s="171" t="s">
        <v>114</v>
      </c>
      <c r="M429" s="178">
        <v>0</v>
      </c>
      <c r="N429" s="176"/>
      <c r="O429" s="176"/>
      <c r="P429" s="179">
        <v>-15</v>
      </c>
    </row>
    <row r="430" spans="1:16" ht="19.5" customHeight="1">
      <c r="A430" s="171" t="s">
        <v>636</v>
      </c>
      <c r="B430" s="175">
        <v>46044</v>
      </c>
      <c r="C430" s="171" t="s">
        <v>110</v>
      </c>
      <c r="D430" s="171" t="s">
        <v>24</v>
      </c>
      <c r="E430" s="171" t="s">
        <v>42</v>
      </c>
      <c r="F430" s="171" t="s">
        <v>248</v>
      </c>
      <c r="G430" s="171" t="s">
        <v>112</v>
      </c>
      <c r="H430" s="176">
        <v>1</v>
      </c>
      <c r="I430" s="177">
        <v>0</v>
      </c>
      <c r="J430" s="175">
        <v>46040</v>
      </c>
      <c r="K430" s="171" t="s">
        <v>113</v>
      </c>
      <c r="L430" s="171" t="s">
        <v>114</v>
      </c>
      <c r="M430" s="178">
        <v>0</v>
      </c>
      <c r="N430" s="176"/>
      <c r="O430" s="176">
        <v>51</v>
      </c>
      <c r="P430" s="179">
        <v>-46.77</v>
      </c>
    </row>
    <row r="431" spans="1:16" ht="19.5" customHeight="1">
      <c r="A431" s="171" t="s">
        <v>636</v>
      </c>
      <c r="B431" s="175">
        <v>46044</v>
      </c>
      <c r="C431" s="171" t="s">
        <v>115</v>
      </c>
      <c r="D431" s="171" t="s">
        <v>116</v>
      </c>
      <c r="E431" s="171" t="s">
        <v>42</v>
      </c>
      <c r="F431" s="171" t="s">
        <v>248</v>
      </c>
      <c r="G431" s="171" t="s">
        <v>112</v>
      </c>
      <c r="H431" s="176">
        <v>1</v>
      </c>
      <c r="I431" s="177">
        <v>0</v>
      </c>
      <c r="J431" s="175">
        <v>46040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-10.76</v>
      </c>
    </row>
    <row r="432" spans="1:16" ht="19.5" customHeight="1">
      <c r="A432" s="171" t="s">
        <v>636</v>
      </c>
      <c r="B432" s="175">
        <v>46044</v>
      </c>
      <c r="C432" s="171" t="s">
        <v>110</v>
      </c>
      <c r="D432" s="171" t="s">
        <v>117</v>
      </c>
      <c r="E432" s="171" t="s">
        <v>42</v>
      </c>
      <c r="F432" s="171" t="s">
        <v>248</v>
      </c>
      <c r="G432" s="171" t="s">
        <v>112</v>
      </c>
      <c r="H432" s="176">
        <v>1</v>
      </c>
      <c r="I432" s="177">
        <v>0</v>
      </c>
      <c r="J432" s="175">
        <v>46040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636</v>
      </c>
      <c r="B433" s="175">
        <v>46044</v>
      </c>
      <c r="C433" s="171" t="s">
        <v>110</v>
      </c>
      <c r="D433" s="171" t="s">
        <v>118</v>
      </c>
      <c r="E433" s="171" t="s">
        <v>42</v>
      </c>
      <c r="F433" s="171" t="s">
        <v>248</v>
      </c>
      <c r="G433" s="171" t="s">
        <v>112</v>
      </c>
      <c r="H433" s="176">
        <v>1</v>
      </c>
      <c r="I433" s="177">
        <v>0</v>
      </c>
      <c r="J433" s="175">
        <v>46040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-46.77</v>
      </c>
    </row>
    <row r="434" spans="1:16" ht="19.5" customHeight="1">
      <c r="A434" s="171" t="s">
        <v>636</v>
      </c>
      <c r="B434" s="175">
        <v>46044</v>
      </c>
      <c r="C434" s="171" t="s">
        <v>115</v>
      </c>
      <c r="D434" s="171" t="s">
        <v>119</v>
      </c>
      <c r="E434" s="171" t="s">
        <v>42</v>
      </c>
      <c r="F434" s="171" t="s">
        <v>248</v>
      </c>
      <c r="G434" s="171" t="s">
        <v>112</v>
      </c>
      <c r="H434" s="176">
        <v>1</v>
      </c>
      <c r="I434" s="177">
        <v>0</v>
      </c>
      <c r="J434" s="175">
        <v>46040</v>
      </c>
      <c r="K434" s="171" t="s">
        <v>113</v>
      </c>
      <c r="L434" s="171" t="s">
        <v>114</v>
      </c>
      <c r="M434" s="178">
        <v>0</v>
      </c>
      <c r="N434" s="176"/>
      <c r="O434" s="176"/>
      <c r="P434" s="179">
        <v>-15</v>
      </c>
    </row>
    <row r="435" spans="1:16" ht="19.5" customHeight="1">
      <c r="A435" s="171" t="s">
        <v>637</v>
      </c>
      <c r="B435" s="175">
        <v>46044</v>
      </c>
      <c r="C435" s="171" t="s">
        <v>110</v>
      </c>
      <c r="D435" s="171" t="s">
        <v>24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0</v>
      </c>
      <c r="J435" s="175">
        <v>46042</v>
      </c>
      <c r="K435" s="171" t="s">
        <v>113</v>
      </c>
      <c r="L435" s="171" t="s">
        <v>114</v>
      </c>
      <c r="M435" s="178">
        <v>0</v>
      </c>
      <c r="N435" s="176"/>
      <c r="O435" s="176">
        <v>52</v>
      </c>
      <c r="P435" s="179">
        <v>-46</v>
      </c>
    </row>
    <row r="436" spans="1:16" ht="19.5" customHeight="1">
      <c r="A436" s="171" t="s">
        <v>637</v>
      </c>
      <c r="B436" s="175">
        <v>46044</v>
      </c>
      <c r="C436" s="171" t="s">
        <v>110</v>
      </c>
      <c r="D436" s="171" t="s">
        <v>117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46042</v>
      </c>
      <c r="K436" s="171" t="s">
        <v>113</v>
      </c>
      <c r="L436" s="171" t="s">
        <v>114</v>
      </c>
      <c r="M436" s="178">
        <v>0</v>
      </c>
      <c r="N436" s="176"/>
      <c r="O436" s="176"/>
      <c r="P436" s="179">
        <v>0</v>
      </c>
    </row>
    <row r="437" spans="1:16" ht="19.5" customHeight="1">
      <c r="A437" s="171" t="s">
        <v>637</v>
      </c>
      <c r="B437" s="175">
        <v>46044</v>
      </c>
      <c r="C437" s="171" t="s">
        <v>110</v>
      </c>
      <c r="D437" s="171" t="s">
        <v>118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0</v>
      </c>
      <c r="J437" s="175">
        <v>46042</v>
      </c>
      <c r="K437" s="171" t="s">
        <v>113</v>
      </c>
      <c r="L437" s="171" t="s">
        <v>114</v>
      </c>
      <c r="M437" s="178">
        <v>0</v>
      </c>
      <c r="N437" s="176"/>
      <c r="O437" s="176"/>
      <c r="P437" s="179">
        <v>-46</v>
      </c>
    </row>
    <row r="438" spans="1:16" ht="19.5" customHeight="1">
      <c r="A438" s="171" t="s">
        <v>638</v>
      </c>
      <c r="B438" s="175">
        <v>46044</v>
      </c>
      <c r="C438" s="171" t="s">
        <v>110</v>
      </c>
      <c r="D438" s="171" t="s">
        <v>24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0</v>
      </c>
      <c r="J438" s="175">
        <v>46041</v>
      </c>
      <c r="K438" s="171" t="s">
        <v>113</v>
      </c>
      <c r="L438" s="171" t="s">
        <v>114</v>
      </c>
      <c r="M438" s="178">
        <v>0</v>
      </c>
      <c r="N438" s="176"/>
      <c r="O438" s="176">
        <v>53</v>
      </c>
      <c r="P438" s="179">
        <v>-46.77</v>
      </c>
    </row>
    <row r="439" spans="1:16" ht="19.5" customHeight="1">
      <c r="A439" s="171" t="s">
        <v>638</v>
      </c>
      <c r="B439" s="175">
        <v>46044</v>
      </c>
      <c r="C439" s="171" t="s">
        <v>115</v>
      </c>
      <c r="D439" s="171" t="s">
        <v>116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0</v>
      </c>
      <c r="J439" s="175">
        <v>46041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-13.28</v>
      </c>
    </row>
    <row r="440" spans="1:16" ht="19.5" customHeight="1">
      <c r="A440" s="171" t="s">
        <v>638</v>
      </c>
      <c r="B440" s="175">
        <v>46044</v>
      </c>
      <c r="C440" s="171" t="s">
        <v>110</v>
      </c>
      <c r="D440" s="171" t="s">
        <v>117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0</v>
      </c>
      <c r="J440" s="175">
        <v>46041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0</v>
      </c>
    </row>
    <row r="441" spans="1:16" ht="19.5" customHeight="1">
      <c r="A441" s="171" t="s">
        <v>638</v>
      </c>
      <c r="B441" s="175">
        <v>46044</v>
      </c>
      <c r="C441" s="171" t="s">
        <v>110</v>
      </c>
      <c r="D441" s="171" t="s">
        <v>118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0</v>
      </c>
      <c r="J441" s="175">
        <v>46041</v>
      </c>
      <c r="K441" s="171" t="s">
        <v>113</v>
      </c>
      <c r="L441" s="171" t="s">
        <v>114</v>
      </c>
      <c r="M441" s="178">
        <v>0</v>
      </c>
      <c r="N441" s="176"/>
      <c r="O441" s="176"/>
      <c r="P441" s="179">
        <v>-46.77</v>
      </c>
    </row>
    <row r="442" spans="1:16" ht="19.5" customHeight="1">
      <c r="A442" s="171" t="s">
        <v>638</v>
      </c>
      <c r="B442" s="175">
        <v>46044</v>
      </c>
      <c r="C442" s="171" t="s">
        <v>115</v>
      </c>
      <c r="D442" s="171" t="s">
        <v>119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0</v>
      </c>
      <c r="J442" s="175">
        <v>46041</v>
      </c>
      <c r="K442" s="171" t="s">
        <v>113</v>
      </c>
      <c r="L442" s="171" t="s">
        <v>114</v>
      </c>
      <c r="M442" s="178">
        <v>0</v>
      </c>
      <c r="N442" s="176"/>
      <c r="O442" s="176"/>
      <c r="P442" s="179">
        <v>-15</v>
      </c>
    </row>
    <row r="443" spans="1:16" ht="19.5" customHeight="1">
      <c r="A443" s="171" t="s">
        <v>565</v>
      </c>
      <c r="B443" s="175">
        <v>46044</v>
      </c>
      <c r="C443" s="171" t="s">
        <v>151</v>
      </c>
      <c r="D443" s="171" t="s">
        <v>152</v>
      </c>
      <c r="E443" s="171" t="s">
        <v>125</v>
      </c>
      <c r="F443" s="171" t="s">
        <v>125</v>
      </c>
      <c r="G443" s="171" t="s">
        <v>125</v>
      </c>
      <c r="H443" s="176">
        <v>0</v>
      </c>
      <c r="I443" s="177">
        <v>0</v>
      </c>
      <c r="J443" s="175">
        <v>46044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-274.26</v>
      </c>
    </row>
    <row r="444" spans="1:16" ht="19.5" customHeight="1">
      <c r="A444" s="171" t="s">
        <v>180</v>
      </c>
      <c r="B444" s="175">
        <v>46044</v>
      </c>
      <c r="C444" s="171" t="s">
        <v>151</v>
      </c>
      <c r="D444" s="171" t="s">
        <v>152</v>
      </c>
      <c r="E444" s="171" t="s">
        <v>125</v>
      </c>
      <c r="F444" s="171" t="s">
        <v>125</v>
      </c>
      <c r="G444" s="171" t="s">
        <v>125</v>
      </c>
      <c r="H444" s="176">
        <v>0</v>
      </c>
      <c r="I444" s="177">
        <v>0</v>
      </c>
      <c r="J444" s="175">
        <v>46044</v>
      </c>
      <c r="K444" s="171" t="s">
        <v>125</v>
      </c>
      <c r="L444" s="171" t="s">
        <v>125</v>
      </c>
      <c r="M444" s="178">
        <v>0</v>
      </c>
      <c r="N444" s="176"/>
      <c r="O444" s="176"/>
      <c r="P444" s="179">
        <v>-423.73</v>
      </c>
    </row>
    <row r="445" spans="1:16" ht="19.5" customHeight="1">
      <c r="A445" s="171" t="s">
        <v>179</v>
      </c>
      <c r="B445" s="175">
        <v>46044</v>
      </c>
      <c r="C445" s="171" t="s">
        <v>151</v>
      </c>
      <c r="D445" s="171" t="s">
        <v>152</v>
      </c>
      <c r="E445" s="171" t="s">
        <v>125</v>
      </c>
      <c r="F445" s="171" t="s">
        <v>125</v>
      </c>
      <c r="G445" s="171" t="s">
        <v>125</v>
      </c>
      <c r="H445" s="176">
        <v>0</v>
      </c>
      <c r="I445" s="177">
        <v>0</v>
      </c>
      <c r="J445" s="175">
        <v>46044</v>
      </c>
      <c r="K445" s="171" t="s">
        <v>125</v>
      </c>
      <c r="L445" s="171" t="s">
        <v>125</v>
      </c>
      <c r="M445" s="178">
        <v>0</v>
      </c>
      <c r="N445" s="176"/>
      <c r="O445" s="176"/>
      <c r="P445" s="179">
        <v>-372.87</v>
      </c>
    </row>
    <row r="446" spans="1:16" ht="19.5" customHeight="1">
      <c r="A446" s="171" t="s">
        <v>153</v>
      </c>
      <c r="B446" s="175">
        <v>46044</v>
      </c>
      <c r="C446" s="171" t="s">
        <v>151</v>
      </c>
      <c r="D446" s="171" t="s">
        <v>152</v>
      </c>
      <c r="E446" s="171" t="s">
        <v>125</v>
      </c>
      <c r="F446" s="171" t="s">
        <v>125</v>
      </c>
      <c r="G446" s="171" t="s">
        <v>125</v>
      </c>
      <c r="H446" s="176">
        <v>0</v>
      </c>
      <c r="I446" s="177">
        <v>0</v>
      </c>
      <c r="J446" s="175">
        <v>46044</v>
      </c>
      <c r="K446" s="171" t="s">
        <v>125</v>
      </c>
      <c r="L446" s="171" t="s">
        <v>125</v>
      </c>
      <c r="M446" s="178">
        <v>0</v>
      </c>
      <c r="N446" s="176"/>
      <c r="O446" s="176"/>
      <c r="P446" s="179">
        <v>-392.78</v>
      </c>
    </row>
    <row r="447" spans="1:16" ht="19.5" customHeight="1">
      <c r="A447" s="171" t="s">
        <v>150</v>
      </c>
      <c r="B447" s="175">
        <v>46044</v>
      </c>
      <c r="C447" s="171" t="s">
        <v>151</v>
      </c>
      <c r="D447" s="171" t="s">
        <v>152</v>
      </c>
      <c r="E447" s="171" t="s">
        <v>125</v>
      </c>
      <c r="F447" s="171" t="s">
        <v>125</v>
      </c>
      <c r="G447" s="171" t="s">
        <v>125</v>
      </c>
      <c r="H447" s="176">
        <v>0</v>
      </c>
      <c r="I447" s="177">
        <v>0</v>
      </c>
      <c r="J447" s="175">
        <v>46044</v>
      </c>
      <c r="K447" s="171" t="s">
        <v>125</v>
      </c>
      <c r="L447" s="171" t="s">
        <v>125</v>
      </c>
      <c r="M447" s="178">
        <v>0</v>
      </c>
      <c r="N447" s="176"/>
      <c r="O447" s="176"/>
      <c r="P447" s="179">
        <v>-1265.46</v>
      </c>
    </row>
    <row r="448" spans="1:16" ht="19.5" customHeight="1">
      <c r="A448" s="171" t="s">
        <v>155</v>
      </c>
      <c r="B448" s="175">
        <v>46044</v>
      </c>
      <c r="C448" s="171" t="s">
        <v>151</v>
      </c>
      <c r="D448" s="171" t="s">
        <v>156</v>
      </c>
      <c r="E448" s="171" t="s">
        <v>125</v>
      </c>
      <c r="F448" s="171" t="s">
        <v>125</v>
      </c>
      <c r="G448" s="171" t="s">
        <v>125</v>
      </c>
      <c r="H448" s="176">
        <v>0</v>
      </c>
      <c r="I448" s="177">
        <v>0</v>
      </c>
      <c r="J448" s="175">
        <v>46044</v>
      </c>
      <c r="K448" s="171" t="s">
        <v>125</v>
      </c>
      <c r="L448" s="171" t="s">
        <v>125</v>
      </c>
      <c r="M448" s="178">
        <v>0</v>
      </c>
      <c r="N448" s="176"/>
      <c r="O448" s="176"/>
      <c r="P448" s="179">
        <v>-660.93</v>
      </c>
    </row>
    <row r="449" spans="1:16" ht="19.5" customHeight="1">
      <c r="A449" s="171" t="s">
        <v>639</v>
      </c>
      <c r="B449" s="175">
        <v>46045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46045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-14.51</v>
      </c>
    </row>
    <row r="450" spans="1:16" ht="19.5" customHeight="1">
      <c r="A450" s="171" t="s">
        <v>640</v>
      </c>
      <c r="B450" s="175">
        <v>46045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46045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-7.49</v>
      </c>
    </row>
    <row r="451" spans="1:16" ht="19.5" customHeight="1">
      <c r="A451" s="171" t="s">
        <v>641</v>
      </c>
      <c r="B451" s="175">
        <v>46045</v>
      </c>
      <c r="C451" s="171" t="s">
        <v>110</v>
      </c>
      <c r="D451" s="171" t="s">
        <v>24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0</v>
      </c>
      <c r="J451" s="175">
        <v>46041</v>
      </c>
      <c r="K451" s="171" t="s">
        <v>113</v>
      </c>
      <c r="L451" s="171" t="s">
        <v>114</v>
      </c>
      <c r="M451" s="178">
        <v>0</v>
      </c>
      <c r="N451" s="176"/>
      <c r="O451" s="176">
        <v>53</v>
      </c>
      <c r="P451" s="179">
        <v>-46.77</v>
      </c>
    </row>
    <row r="452" spans="1:16" ht="19.5" customHeight="1">
      <c r="A452" s="171" t="s">
        <v>641</v>
      </c>
      <c r="B452" s="175">
        <v>46045</v>
      </c>
      <c r="C452" s="171" t="s">
        <v>115</v>
      </c>
      <c r="D452" s="171" t="s">
        <v>116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0</v>
      </c>
      <c r="J452" s="175">
        <v>46041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-4.96</v>
      </c>
    </row>
    <row r="453" spans="1:16" ht="19.5" customHeight="1">
      <c r="A453" s="171" t="s">
        <v>641</v>
      </c>
      <c r="B453" s="175">
        <v>46045</v>
      </c>
      <c r="C453" s="171" t="s">
        <v>110</v>
      </c>
      <c r="D453" s="171" t="s">
        <v>117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0</v>
      </c>
      <c r="J453" s="175">
        <v>46041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0</v>
      </c>
    </row>
    <row r="454" spans="1:16" ht="19.5" customHeight="1">
      <c r="A454" s="171" t="s">
        <v>641</v>
      </c>
      <c r="B454" s="175">
        <v>46045</v>
      </c>
      <c r="C454" s="171" t="s">
        <v>110</v>
      </c>
      <c r="D454" s="171" t="s">
        <v>118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0</v>
      </c>
      <c r="J454" s="175">
        <v>46041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-46.77</v>
      </c>
    </row>
    <row r="455" spans="1:16" ht="19.5" customHeight="1">
      <c r="A455" s="171" t="s">
        <v>641</v>
      </c>
      <c r="B455" s="175">
        <v>46045</v>
      </c>
      <c r="C455" s="171" t="s">
        <v>115</v>
      </c>
      <c r="D455" s="171" t="s">
        <v>119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0</v>
      </c>
      <c r="J455" s="175">
        <v>46041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-15</v>
      </c>
    </row>
    <row r="456" spans="1:16" ht="19.5" customHeight="1">
      <c r="A456" s="171" t="s">
        <v>642</v>
      </c>
      <c r="B456" s="175">
        <v>46045</v>
      </c>
      <c r="C456" s="171" t="s">
        <v>115</v>
      </c>
      <c r="D456" s="171" t="s">
        <v>135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0</v>
      </c>
      <c r="J456" s="175">
        <v>46045</v>
      </c>
      <c r="K456" s="171" t="s">
        <v>125</v>
      </c>
      <c r="L456" s="171" t="s">
        <v>125</v>
      </c>
      <c r="M456" s="178">
        <v>0</v>
      </c>
      <c r="N456" s="176"/>
      <c r="O456" s="176"/>
      <c r="P456" s="179">
        <v>-29.26</v>
      </c>
    </row>
    <row r="457" spans="1:16" ht="19.5" customHeight="1">
      <c r="A457" s="171" t="s">
        <v>562</v>
      </c>
      <c r="B457" s="175">
        <v>46045</v>
      </c>
      <c r="C457" s="171" t="s">
        <v>115</v>
      </c>
      <c r="D457" s="171" t="s">
        <v>135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0</v>
      </c>
      <c r="J457" s="175">
        <v>46041</v>
      </c>
      <c r="K457" s="171" t="s">
        <v>125</v>
      </c>
      <c r="L457" s="171" t="s">
        <v>125</v>
      </c>
      <c r="M457" s="178">
        <v>0</v>
      </c>
      <c r="N457" s="176"/>
      <c r="O457" s="176"/>
      <c r="P457" s="179">
        <v>4.34</v>
      </c>
    </row>
    <row r="458" spans="1:16" ht="19.5" customHeight="1">
      <c r="A458" s="171" t="s">
        <v>643</v>
      </c>
      <c r="B458" s="175">
        <v>46045</v>
      </c>
      <c r="C458" s="171" t="s">
        <v>110</v>
      </c>
      <c r="D458" s="171" t="s">
        <v>24</v>
      </c>
      <c r="E458" s="171" t="s">
        <v>78</v>
      </c>
      <c r="F458" s="171" t="s">
        <v>176</v>
      </c>
      <c r="G458" s="171" t="s">
        <v>177</v>
      </c>
      <c r="H458" s="176">
        <v>1</v>
      </c>
      <c r="I458" s="177">
        <v>0</v>
      </c>
      <c r="J458" s="175">
        <v>46035</v>
      </c>
      <c r="K458" s="171" t="s">
        <v>113</v>
      </c>
      <c r="L458" s="171" t="s">
        <v>114</v>
      </c>
      <c r="M458" s="178">
        <v>0</v>
      </c>
      <c r="N458" s="176"/>
      <c r="O458" s="176">
        <v>46</v>
      </c>
      <c r="P458" s="179">
        <v>-56.94</v>
      </c>
    </row>
    <row r="459" spans="1:16" ht="19.5" customHeight="1">
      <c r="A459" s="171" t="s">
        <v>643</v>
      </c>
      <c r="B459" s="175">
        <v>46045</v>
      </c>
      <c r="C459" s="171" t="s">
        <v>115</v>
      </c>
      <c r="D459" s="171" t="s">
        <v>116</v>
      </c>
      <c r="E459" s="171" t="s">
        <v>78</v>
      </c>
      <c r="F459" s="171" t="s">
        <v>176</v>
      </c>
      <c r="G459" s="171" t="s">
        <v>177</v>
      </c>
      <c r="H459" s="176">
        <v>1</v>
      </c>
      <c r="I459" s="177">
        <v>0</v>
      </c>
      <c r="J459" s="175">
        <v>46035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-14.84</v>
      </c>
    </row>
    <row r="460" spans="1:16" ht="19.5" customHeight="1">
      <c r="A460" s="171" t="s">
        <v>643</v>
      </c>
      <c r="B460" s="175">
        <v>46045</v>
      </c>
      <c r="C460" s="171" t="s">
        <v>110</v>
      </c>
      <c r="D460" s="171" t="s">
        <v>117</v>
      </c>
      <c r="E460" s="171" t="s">
        <v>78</v>
      </c>
      <c r="F460" s="171" t="s">
        <v>176</v>
      </c>
      <c r="G460" s="171" t="s">
        <v>177</v>
      </c>
      <c r="H460" s="176">
        <v>1</v>
      </c>
      <c r="I460" s="177">
        <v>0</v>
      </c>
      <c r="J460" s="175">
        <v>46035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0</v>
      </c>
    </row>
    <row r="461" spans="1:16" ht="19.5" customHeight="1">
      <c r="A461" s="171" t="s">
        <v>643</v>
      </c>
      <c r="B461" s="175">
        <v>46045</v>
      </c>
      <c r="C461" s="171" t="s">
        <v>110</v>
      </c>
      <c r="D461" s="171" t="s">
        <v>118</v>
      </c>
      <c r="E461" s="171" t="s">
        <v>78</v>
      </c>
      <c r="F461" s="171" t="s">
        <v>176</v>
      </c>
      <c r="G461" s="171" t="s">
        <v>177</v>
      </c>
      <c r="H461" s="176">
        <v>1</v>
      </c>
      <c r="I461" s="177">
        <v>0</v>
      </c>
      <c r="J461" s="175">
        <v>46035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-56.94</v>
      </c>
    </row>
    <row r="462" spans="1:16" ht="19.5" customHeight="1">
      <c r="A462" s="171" t="s">
        <v>643</v>
      </c>
      <c r="B462" s="175">
        <v>46045</v>
      </c>
      <c r="C462" s="171" t="s">
        <v>115</v>
      </c>
      <c r="D462" s="171" t="s">
        <v>119</v>
      </c>
      <c r="E462" s="171" t="s">
        <v>78</v>
      </c>
      <c r="F462" s="171" t="s">
        <v>176</v>
      </c>
      <c r="G462" s="171" t="s">
        <v>177</v>
      </c>
      <c r="H462" s="176">
        <v>1</v>
      </c>
      <c r="I462" s="177">
        <v>0</v>
      </c>
      <c r="J462" s="175">
        <v>46035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-15</v>
      </c>
    </row>
    <row r="463" spans="1:16" ht="19.5" customHeight="1">
      <c r="A463" s="171" t="s">
        <v>644</v>
      </c>
      <c r="B463" s="175">
        <v>46045</v>
      </c>
      <c r="C463" s="171" t="s">
        <v>110</v>
      </c>
      <c r="D463" s="171" t="s">
        <v>24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1670</v>
      </c>
      <c r="J463" s="175">
        <v>46042</v>
      </c>
      <c r="K463" s="171" t="s">
        <v>113</v>
      </c>
      <c r="L463" s="171" t="s">
        <v>114</v>
      </c>
      <c r="M463" s="178">
        <v>0.43</v>
      </c>
      <c r="N463" s="176"/>
      <c r="O463" s="176">
        <v>52</v>
      </c>
      <c r="P463" s="179">
        <v>-146.22999999999999</v>
      </c>
    </row>
    <row r="464" spans="1:16" ht="19.5" customHeight="1">
      <c r="A464" s="171" t="s">
        <v>644</v>
      </c>
      <c r="B464" s="175">
        <v>46045</v>
      </c>
      <c r="C464" s="171" t="s">
        <v>127</v>
      </c>
      <c r="D464" s="171" t="s">
        <v>128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46042</v>
      </c>
      <c r="K464" s="171" t="s">
        <v>113</v>
      </c>
      <c r="L464" s="171" t="s">
        <v>114</v>
      </c>
      <c r="M464" s="178">
        <v>0</v>
      </c>
      <c r="N464" s="176"/>
      <c r="O464" s="176"/>
      <c r="P464" s="179">
        <v>656.19</v>
      </c>
    </row>
    <row r="465" spans="1:16" ht="19.5" customHeight="1">
      <c r="A465" s="171" t="s">
        <v>644</v>
      </c>
      <c r="B465" s="175">
        <v>46045</v>
      </c>
      <c r="C465" s="171" t="s">
        <v>127</v>
      </c>
      <c r="D465" s="171" t="s">
        <v>129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46042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6.56</v>
      </c>
    </row>
    <row r="466" spans="1:16" ht="19.5" customHeight="1">
      <c r="A466" s="171" t="s">
        <v>644</v>
      </c>
      <c r="B466" s="175">
        <v>46045</v>
      </c>
      <c r="C466" s="171" t="s">
        <v>127</v>
      </c>
      <c r="D466" s="171" t="s">
        <v>130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46042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1007.25</v>
      </c>
    </row>
    <row r="467" spans="1:16" ht="19.5" customHeight="1">
      <c r="A467" s="171" t="s">
        <v>644</v>
      </c>
      <c r="B467" s="175">
        <v>46045</v>
      </c>
      <c r="C467" s="171" t="s">
        <v>131</v>
      </c>
      <c r="D467" s="171" t="s">
        <v>132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46042</v>
      </c>
      <c r="K467" s="171" t="s">
        <v>113</v>
      </c>
      <c r="L467" s="171" t="s">
        <v>114</v>
      </c>
      <c r="M467" s="178">
        <v>0.43</v>
      </c>
      <c r="N467" s="176"/>
      <c r="O467" s="176"/>
      <c r="P467" s="179">
        <v>-718.1</v>
      </c>
    </row>
    <row r="468" spans="1:16" ht="19.5" customHeight="1">
      <c r="A468" s="171" t="s">
        <v>644</v>
      </c>
      <c r="B468" s="175">
        <v>46045</v>
      </c>
      <c r="C468" s="171" t="s">
        <v>115</v>
      </c>
      <c r="D468" s="171" t="s">
        <v>116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46042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-10.35</v>
      </c>
    </row>
    <row r="469" spans="1:16" ht="19.5" customHeight="1">
      <c r="A469" s="171" t="s">
        <v>645</v>
      </c>
      <c r="B469" s="175">
        <v>46045</v>
      </c>
      <c r="C469" s="171" t="s">
        <v>115</v>
      </c>
      <c r="D469" s="171" t="s">
        <v>135</v>
      </c>
      <c r="E469" s="171" t="s">
        <v>49</v>
      </c>
      <c r="F469" s="171" t="s">
        <v>490</v>
      </c>
      <c r="G469" s="171" t="s">
        <v>112</v>
      </c>
      <c r="H469" s="176">
        <v>1</v>
      </c>
      <c r="I469" s="177">
        <v>0</v>
      </c>
      <c r="J469" s="175">
        <v>46045</v>
      </c>
      <c r="K469" s="171" t="s">
        <v>125</v>
      </c>
      <c r="L469" s="171" t="s">
        <v>125</v>
      </c>
      <c r="M469" s="178">
        <v>0</v>
      </c>
      <c r="N469" s="176"/>
      <c r="O469" s="176"/>
      <c r="P469" s="179">
        <v>-15.36</v>
      </c>
    </row>
    <row r="470" spans="1:16" ht="19.5" customHeight="1">
      <c r="A470" s="171" t="s">
        <v>646</v>
      </c>
      <c r="B470" s="175">
        <v>46045</v>
      </c>
      <c r="C470" s="171" t="s">
        <v>115</v>
      </c>
      <c r="D470" s="171" t="s">
        <v>135</v>
      </c>
      <c r="E470" s="171" t="s">
        <v>44</v>
      </c>
      <c r="F470" s="171" t="s">
        <v>213</v>
      </c>
      <c r="G470" s="171" t="s">
        <v>214</v>
      </c>
      <c r="H470" s="176">
        <v>1</v>
      </c>
      <c r="I470" s="177">
        <v>0</v>
      </c>
      <c r="J470" s="175">
        <v>46045</v>
      </c>
      <c r="K470" s="171" t="s">
        <v>125</v>
      </c>
      <c r="L470" s="171" t="s">
        <v>125</v>
      </c>
      <c r="M470" s="178">
        <v>0</v>
      </c>
      <c r="N470" s="176"/>
      <c r="O470" s="176"/>
      <c r="P470" s="179">
        <v>-13.28</v>
      </c>
    </row>
    <row r="471" spans="1:16" ht="19.5" customHeight="1">
      <c r="A471" s="171" t="s">
        <v>647</v>
      </c>
      <c r="B471" s="175">
        <v>46045</v>
      </c>
      <c r="C471" s="171" t="s">
        <v>110</v>
      </c>
      <c r="D471" s="171" t="s">
        <v>24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891</v>
      </c>
      <c r="J471" s="175">
        <v>46043</v>
      </c>
      <c r="K471" s="171" t="s">
        <v>113</v>
      </c>
      <c r="L471" s="171" t="s">
        <v>114</v>
      </c>
      <c r="M471" s="178">
        <v>0.43</v>
      </c>
      <c r="N471" s="176"/>
      <c r="O471" s="176">
        <v>52</v>
      </c>
      <c r="P471" s="179">
        <v>-117.45</v>
      </c>
    </row>
    <row r="472" spans="1:16" ht="19.5" customHeight="1">
      <c r="A472" s="171" t="s">
        <v>647</v>
      </c>
      <c r="B472" s="175">
        <v>46045</v>
      </c>
      <c r="C472" s="171" t="s">
        <v>127</v>
      </c>
      <c r="D472" s="171" t="s">
        <v>128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891</v>
      </c>
      <c r="J472" s="175">
        <v>46043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309.52</v>
      </c>
    </row>
    <row r="473" spans="1:16" ht="19.5" customHeight="1">
      <c r="A473" s="171" t="s">
        <v>647</v>
      </c>
      <c r="B473" s="175">
        <v>46045</v>
      </c>
      <c r="C473" s="171" t="s">
        <v>127</v>
      </c>
      <c r="D473" s="171" t="s">
        <v>129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891</v>
      </c>
      <c r="J473" s="175">
        <v>46043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3.1</v>
      </c>
    </row>
    <row r="474" spans="1:16" ht="19.5" customHeight="1">
      <c r="A474" s="171" t="s">
        <v>647</v>
      </c>
      <c r="B474" s="175">
        <v>46045</v>
      </c>
      <c r="C474" s="171" t="s">
        <v>127</v>
      </c>
      <c r="D474" s="171" t="s">
        <v>130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891</v>
      </c>
      <c r="J474" s="175">
        <v>46043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578.38</v>
      </c>
    </row>
    <row r="475" spans="1:16" ht="19.5" customHeight="1">
      <c r="A475" s="171" t="s">
        <v>647</v>
      </c>
      <c r="B475" s="175">
        <v>46045</v>
      </c>
      <c r="C475" s="171" t="s">
        <v>131</v>
      </c>
      <c r="D475" s="171" t="s">
        <v>132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891</v>
      </c>
      <c r="J475" s="175">
        <v>46043</v>
      </c>
      <c r="K475" s="171" t="s">
        <v>113</v>
      </c>
      <c r="L475" s="171" t="s">
        <v>114</v>
      </c>
      <c r="M475" s="178">
        <v>0.43</v>
      </c>
      <c r="N475" s="176"/>
      <c r="O475" s="176"/>
      <c r="P475" s="179">
        <v>-383.13</v>
      </c>
    </row>
    <row r="476" spans="1:16" ht="19.5" customHeight="1">
      <c r="A476" s="171" t="s">
        <v>647</v>
      </c>
      <c r="B476" s="175">
        <v>46045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891</v>
      </c>
      <c r="J476" s="175">
        <v>46043</v>
      </c>
      <c r="K476" s="171" t="s">
        <v>113</v>
      </c>
      <c r="L476" s="171" t="s">
        <v>114</v>
      </c>
      <c r="M476" s="178">
        <v>0.43</v>
      </c>
      <c r="N476" s="176"/>
      <c r="O476" s="176"/>
      <c r="P476" s="179">
        <v>-3.53</v>
      </c>
    </row>
    <row r="477" spans="1:16" ht="19.5" customHeight="1">
      <c r="A477" s="171" t="s">
        <v>648</v>
      </c>
      <c r="B477" s="175">
        <v>46045</v>
      </c>
      <c r="C477" s="171" t="s">
        <v>110</v>
      </c>
      <c r="D477" s="171" t="s">
        <v>24</v>
      </c>
      <c r="E477" s="171" t="s">
        <v>38</v>
      </c>
      <c r="F477" s="171" t="s">
        <v>111</v>
      </c>
      <c r="G477" s="171" t="s">
        <v>112</v>
      </c>
      <c r="H477" s="176">
        <v>1</v>
      </c>
      <c r="I477" s="177">
        <v>1670</v>
      </c>
      <c r="J477" s="175">
        <v>46038</v>
      </c>
      <c r="K477" s="171" t="s">
        <v>113</v>
      </c>
      <c r="L477" s="171" t="s">
        <v>114</v>
      </c>
      <c r="M477" s="178">
        <v>0.43</v>
      </c>
      <c r="N477" s="176"/>
      <c r="O477" s="176">
        <v>48</v>
      </c>
      <c r="P477" s="179">
        <v>-141.87</v>
      </c>
    </row>
    <row r="478" spans="1:16" ht="19.5" customHeight="1">
      <c r="A478" s="171" t="s">
        <v>648</v>
      </c>
      <c r="B478" s="175">
        <v>46045</v>
      </c>
      <c r="C478" s="171" t="s">
        <v>127</v>
      </c>
      <c r="D478" s="171" t="s">
        <v>128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</v>
      </c>
      <c r="N478" s="176"/>
      <c r="O478" s="176"/>
      <c r="P478" s="179">
        <v>645.1</v>
      </c>
    </row>
    <row r="479" spans="1:16" ht="19.5" customHeight="1">
      <c r="A479" s="171" t="s">
        <v>648</v>
      </c>
      <c r="B479" s="175">
        <v>46045</v>
      </c>
      <c r="C479" s="171" t="s">
        <v>127</v>
      </c>
      <c r="D479" s="171" t="s">
        <v>129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0</v>
      </c>
    </row>
    <row r="480" spans="1:16" ht="19.5" customHeight="1">
      <c r="A480" s="171" t="s">
        <v>648</v>
      </c>
      <c r="B480" s="175">
        <v>46045</v>
      </c>
      <c r="C480" s="171" t="s">
        <v>127</v>
      </c>
      <c r="D480" s="171" t="s">
        <v>130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1024.9000000000001</v>
      </c>
    </row>
    <row r="481" spans="1:16" ht="19.5" customHeight="1">
      <c r="A481" s="171" t="s">
        <v>648</v>
      </c>
      <c r="B481" s="175">
        <v>46045</v>
      </c>
      <c r="C481" s="171" t="s">
        <v>131</v>
      </c>
      <c r="D481" s="171" t="s">
        <v>132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0.43</v>
      </c>
      <c r="N481" s="176"/>
      <c r="O481" s="176"/>
      <c r="P481" s="179">
        <v>-718.1</v>
      </c>
    </row>
    <row r="482" spans="1:16" ht="19.5" customHeight="1">
      <c r="A482" s="171" t="s">
        <v>648</v>
      </c>
      <c r="B482" s="175">
        <v>46045</v>
      </c>
      <c r="C482" s="171" t="s">
        <v>115</v>
      </c>
      <c r="D482" s="171" t="s">
        <v>116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-16.16</v>
      </c>
    </row>
    <row r="483" spans="1:16" ht="19.5" customHeight="1">
      <c r="A483" s="171" t="s">
        <v>647</v>
      </c>
      <c r="B483" s="175">
        <v>46045</v>
      </c>
      <c r="C483" s="171" t="s">
        <v>115</v>
      </c>
      <c r="D483" s="171" t="s">
        <v>135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0</v>
      </c>
      <c r="J483" s="175">
        <v>46043</v>
      </c>
      <c r="K483" s="171" t="s">
        <v>125</v>
      </c>
      <c r="L483" s="171" t="s">
        <v>125</v>
      </c>
      <c r="M483" s="178">
        <v>0</v>
      </c>
      <c r="N483" s="176"/>
      <c r="O483" s="176"/>
      <c r="P483" s="179">
        <v>-5.88</v>
      </c>
    </row>
    <row r="484" spans="1:16" ht="19.5" customHeight="1">
      <c r="A484" s="171" t="s">
        <v>648</v>
      </c>
      <c r="B484" s="175">
        <v>46045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-5.61</v>
      </c>
    </row>
    <row r="485" spans="1:16" ht="19.5" customHeight="1">
      <c r="A485" s="171" t="s">
        <v>649</v>
      </c>
      <c r="B485" s="175">
        <v>46045</v>
      </c>
      <c r="C485" s="171" t="s">
        <v>110</v>
      </c>
      <c r="D485" s="171" t="s">
        <v>24</v>
      </c>
      <c r="E485" s="171" t="s">
        <v>78</v>
      </c>
      <c r="F485" s="171" t="s">
        <v>176</v>
      </c>
      <c r="G485" s="171" t="s">
        <v>177</v>
      </c>
      <c r="H485" s="176">
        <v>1</v>
      </c>
      <c r="I485" s="177">
        <v>4940</v>
      </c>
      <c r="J485" s="175">
        <v>46040</v>
      </c>
      <c r="K485" s="171" t="s">
        <v>113</v>
      </c>
      <c r="L485" s="171" t="s">
        <v>114</v>
      </c>
      <c r="M485" s="178">
        <v>0.43</v>
      </c>
      <c r="N485" s="176"/>
      <c r="O485" s="176">
        <v>51</v>
      </c>
      <c r="P485" s="179">
        <v>-290.97000000000003</v>
      </c>
    </row>
    <row r="486" spans="1:16" ht="19.5" customHeight="1">
      <c r="A486" s="171" t="s">
        <v>649</v>
      </c>
      <c r="B486" s="175">
        <v>46045</v>
      </c>
      <c r="C486" s="171" t="s">
        <v>127</v>
      </c>
      <c r="D486" s="171" t="s">
        <v>128</v>
      </c>
      <c r="E486" s="171" t="s">
        <v>78</v>
      </c>
      <c r="F486" s="171" t="s">
        <v>176</v>
      </c>
      <c r="G486" s="171" t="s">
        <v>177</v>
      </c>
      <c r="H486" s="176">
        <v>1</v>
      </c>
      <c r="I486" s="177">
        <v>4940</v>
      </c>
      <c r="J486" s="175">
        <v>46040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2126.67</v>
      </c>
    </row>
    <row r="487" spans="1:16" ht="19.5" customHeight="1">
      <c r="A487" s="171" t="s">
        <v>649</v>
      </c>
      <c r="B487" s="175">
        <v>46045</v>
      </c>
      <c r="C487" s="171" t="s">
        <v>127</v>
      </c>
      <c r="D487" s="171" t="s">
        <v>129</v>
      </c>
      <c r="E487" s="171" t="s">
        <v>78</v>
      </c>
      <c r="F487" s="171" t="s">
        <v>176</v>
      </c>
      <c r="G487" s="171" t="s">
        <v>177</v>
      </c>
      <c r="H487" s="176">
        <v>1</v>
      </c>
      <c r="I487" s="177">
        <v>4940</v>
      </c>
      <c r="J487" s="175">
        <v>46040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21.27</v>
      </c>
    </row>
    <row r="488" spans="1:16" ht="19.5" customHeight="1">
      <c r="A488" s="171" t="s">
        <v>649</v>
      </c>
      <c r="B488" s="175">
        <v>46045</v>
      </c>
      <c r="C488" s="171" t="s">
        <v>127</v>
      </c>
      <c r="D488" s="171" t="s">
        <v>130</v>
      </c>
      <c r="E488" s="171" t="s">
        <v>78</v>
      </c>
      <c r="F488" s="171" t="s">
        <v>176</v>
      </c>
      <c r="G488" s="171" t="s">
        <v>177</v>
      </c>
      <c r="H488" s="176">
        <v>1</v>
      </c>
      <c r="I488" s="177">
        <v>4940</v>
      </c>
      <c r="J488" s="175">
        <v>46040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2792.06</v>
      </c>
    </row>
    <row r="489" spans="1:16" ht="19.5" customHeight="1">
      <c r="A489" s="171" t="s">
        <v>649</v>
      </c>
      <c r="B489" s="175">
        <v>46045</v>
      </c>
      <c r="C489" s="171" t="s">
        <v>131</v>
      </c>
      <c r="D489" s="171" t="s">
        <v>132</v>
      </c>
      <c r="E489" s="171" t="s">
        <v>78</v>
      </c>
      <c r="F489" s="171" t="s">
        <v>176</v>
      </c>
      <c r="G489" s="171" t="s">
        <v>177</v>
      </c>
      <c r="H489" s="176">
        <v>1</v>
      </c>
      <c r="I489" s="177">
        <v>4940</v>
      </c>
      <c r="J489" s="175">
        <v>46040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-2124.1999999999998</v>
      </c>
    </row>
    <row r="490" spans="1:16" ht="19.5" customHeight="1">
      <c r="A490" s="171" t="s">
        <v>649</v>
      </c>
      <c r="B490" s="175">
        <v>46045</v>
      </c>
      <c r="C490" s="171" t="s">
        <v>115</v>
      </c>
      <c r="D490" s="171" t="s">
        <v>116</v>
      </c>
      <c r="E490" s="171" t="s">
        <v>78</v>
      </c>
      <c r="F490" s="171" t="s">
        <v>176</v>
      </c>
      <c r="G490" s="171" t="s">
        <v>177</v>
      </c>
      <c r="H490" s="176">
        <v>1</v>
      </c>
      <c r="I490" s="177">
        <v>4940</v>
      </c>
      <c r="J490" s="175">
        <v>46040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-17.350000000000001</v>
      </c>
    </row>
    <row r="491" spans="1:16" ht="19.5" customHeight="1">
      <c r="A491" s="171" t="s">
        <v>650</v>
      </c>
      <c r="B491" s="175">
        <v>46045</v>
      </c>
      <c r="C491" s="171" t="s">
        <v>115</v>
      </c>
      <c r="D491" s="171" t="s">
        <v>135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46045</v>
      </c>
      <c r="K491" s="171" t="s">
        <v>125</v>
      </c>
      <c r="L491" s="171" t="s">
        <v>125</v>
      </c>
      <c r="M491" s="178">
        <v>0</v>
      </c>
      <c r="N491" s="176"/>
      <c r="O491" s="176"/>
      <c r="P491" s="179">
        <v>-2.02</v>
      </c>
    </row>
    <row r="492" spans="1:16" ht="19.5" customHeight="1">
      <c r="A492" s="171" t="s">
        <v>649</v>
      </c>
      <c r="B492" s="175">
        <v>46045</v>
      </c>
      <c r="C492" s="171" t="s">
        <v>115</v>
      </c>
      <c r="D492" s="171" t="s">
        <v>135</v>
      </c>
      <c r="E492" s="171" t="s">
        <v>78</v>
      </c>
      <c r="F492" s="171" t="s">
        <v>176</v>
      </c>
      <c r="G492" s="171" t="s">
        <v>177</v>
      </c>
      <c r="H492" s="176">
        <v>1</v>
      </c>
      <c r="I492" s="177">
        <v>0</v>
      </c>
      <c r="J492" s="175">
        <v>46040</v>
      </c>
      <c r="K492" s="171" t="s">
        <v>125</v>
      </c>
      <c r="L492" s="171" t="s">
        <v>125</v>
      </c>
      <c r="M492" s="178">
        <v>0</v>
      </c>
      <c r="N492" s="176"/>
      <c r="O492" s="176"/>
      <c r="P492" s="179">
        <v>-40.409999999999997</v>
      </c>
    </row>
    <row r="493" spans="1:16" ht="19.5" customHeight="1">
      <c r="A493" s="171" t="s">
        <v>651</v>
      </c>
      <c r="B493" s="175">
        <v>46045</v>
      </c>
      <c r="C493" s="171" t="s">
        <v>110</v>
      </c>
      <c r="D493" s="171" t="s">
        <v>24</v>
      </c>
      <c r="E493" s="171" t="s">
        <v>38</v>
      </c>
      <c r="F493" s="171" t="s">
        <v>111</v>
      </c>
      <c r="G493" s="171" t="s">
        <v>112</v>
      </c>
      <c r="H493" s="176">
        <v>1</v>
      </c>
      <c r="I493" s="177">
        <v>0</v>
      </c>
      <c r="J493" s="175">
        <v>46039</v>
      </c>
      <c r="K493" s="171" t="s">
        <v>113</v>
      </c>
      <c r="L493" s="171" t="s">
        <v>114</v>
      </c>
      <c r="M493" s="178">
        <v>0</v>
      </c>
      <c r="N493" s="176"/>
      <c r="O493" s="176">
        <v>51</v>
      </c>
      <c r="P493" s="179">
        <v>-46.77</v>
      </c>
    </row>
    <row r="494" spans="1:16" ht="19.5" customHeight="1">
      <c r="A494" s="171" t="s">
        <v>651</v>
      </c>
      <c r="B494" s="175">
        <v>46045</v>
      </c>
      <c r="C494" s="171" t="s">
        <v>115</v>
      </c>
      <c r="D494" s="171" t="s">
        <v>116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46039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-12.03</v>
      </c>
    </row>
    <row r="495" spans="1:16" ht="19.5" customHeight="1">
      <c r="A495" s="171" t="s">
        <v>651</v>
      </c>
      <c r="B495" s="175">
        <v>46045</v>
      </c>
      <c r="C495" s="171" t="s">
        <v>110</v>
      </c>
      <c r="D495" s="171" t="s">
        <v>117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46039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0</v>
      </c>
    </row>
    <row r="496" spans="1:16" ht="19.5" customHeight="1">
      <c r="A496" s="171" t="s">
        <v>651</v>
      </c>
      <c r="B496" s="175">
        <v>46045</v>
      </c>
      <c r="C496" s="171" t="s">
        <v>110</v>
      </c>
      <c r="D496" s="171" t="s">
        <v>118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46039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-46.77</v>
      </c>
    </row>
    <row r="497" spans="1:16" ht="19.5" customHeight="1">
      <c r="A497" s="171" t="s">
        <v>651</v>
      </c>
      <c r="B497" s="175">
        <v>46045</v>
      </c>
      <c r="C497" s="171" t="s">
        <v>115</v>
      </c>
      <c r="D497" s="171" t="s">
        <v>119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-15</v>
      </c>
    </row>
    <row r="498" spans="1:16" ht="19.5" customHeight="1">
      <c r="A498" s="171" t="s">
        <v>652</v>
      </c>
      <c r="B498" s="175">
        <v>46045</v>
      </c>
      <c r="C498" s="171" t="s">
        <v>110</v>
      </c>
      <c r="D498" s="171" t="s">
        <v>24</v>
      </c>
      <c r="E498" s="171" t="s">
        <v>38</v>
      </c>
      <c r="F498" s="171" t="s">
        <v>111</v>
      </c>
      <c r="G498" s="171" t="s">
        <v>112</v>
      </c>
      <c r="H498" s="176">
        <v>1</v>
      </c>
      <c r="I498" s="177">
        <v>1670</v>
      </c>
      <c r="J498" s="175">
        <v>46041</v>
      </c>
      <c r="K498" s="171" t="s">
        <v>113</v>
      </c>
      <c r="L498" s="171" t="s">
        <v>114</v>
      </c>
      <c r="M498" s="178">
        <v>0.43</v>
      </c>
      <c r="N498" s="176"/>
      <c r="O498" s="176">
        <v>53</v>
      </c>
      <c r="P498" s="179">
        <v>-148.38</v>
      </c>
    </row>
    <row r="499" spans="1:16" ht="19.5" customHeight="1">
      <c r="A499" s="171" t="s">
        <v>652</v>
      </c>
      <c r="B499" s="175">
        <v>46045</v>
      </c>
      <c r="C499" s="171" t="s">
        <v>127</v>
      </c>
      <c r="D499" s="171" t="s">
        <v>128</v>
      </c>
      <c r="E499" s="171" t="s">
        <v>38</v>
      </c>
      <c r="F499" s="171" t="s">
        <v>111</v>
      </c>
      <c r="G499" s="171" t="s">
        <v>112</v>
      </c>
      <c r="H499" s="176">
        <v>1</v>
      </c>
      <c r="I499" s="177">
        <v>1670</v>
      </c>
      <c r="J499" s="175">
        <v>46041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616.19000000000005</v>
      </c>
    </row>
    <row r="500" spans="1:16" ht="19.5" customHeight="1">
      <c r="A500" s="171" t="s">
        <v>652</v>
      </c>
      <c r="B500" s="175">
        <v>46045</v>
      </c>
      <c r="C500" s="171" t="s">
        <v>127</v>
      </c>
      <c r="D500" s="171" t="s">
        <v>129</v>
      </c>
      <c r="E500" s="171" t="s">
        <v>38</v>
      </c>
      <c r="F500" s="171" t="s">
        <v>111</v>
      </c>
      <c r="G500" s="171" t="s">
        <v>112</v>
      </c>
      <c r="H500" s="176">
        <v>1</v>
      </c>
      <c r="I500" s="177">
        <v>1670</v>
      </c>
      <c r="J500" s="175">
        <v>46041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6.16</v>
      </c>
    </row>
    <row r="501" spans="1:16" ht="19.5" customHeight="1">
      <c r="A501" s="171" t="s">
        <v>652</v>
      </c>
      <c r="B501" s="175">
        <v>46045</v>
      </c>
      <c r="C501" s="171" t="s">
        <v>127</v>
      </c>
      <c r="D501" s="171" t="s">
        <v>130</v>
      </c>
      <c r="E501" s="171" t="s">
        <v>38</v>
      </c>
      <c r="F501" s="171" t="s">
        <v>111</v>
      </c>
      <c r="G501" s="171" t="s">
        <v>112</v>
      </c>
      <c r="H501" s="176">
        <v>1</v>
      </c>
      <c r="I501" s="177">
        <v>1670</v>
      </c>
      <c r="J501" s="175">
        <v>46041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1047.6500000000001</v>
      </c>
    </row>
    <row r="502" spans="1:16" ht="19.5" customHeight="1">
      <c r="A502" s="171" t="s">
        <v>652</v>
      </c>
      <c r="B502" s="175">
        <v>46045</v>
      </c>
      <c r="C502" s="171" t="s">
        <v>131</v>
      </c>
      <c r="D502" s="171" t="s">
        <v>132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1670</v>
      </c>
      <c r="J502" s="175">
        <v>46041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-718.1</v>
      </c>
    </row>
    <row r="503" spans="1:16" ht="19.5" customHeight="1">
      <c r="A503" s="171" t="s">
        <v>652</v>
      </c>
      <c r="B503" s="175">
        <v>46045</v>
      </c>
      <c r="C503" s="171" t="s">
        <v>115</v>
      </c>
      <c r="D503" s="171" t="s">
        <v>116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1670</v>
      </c>
      <c r="J503" s="175">
        <v>46041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-15.34</v>
      </c>
    </row>
    <row r="504" spans="1:16" ht="19.5" customHeight="1">
      <c r="A504" s="171" t="s">
        <v>653</v>
      </c>
      <c r="B504" s="175">
        <v>46045</v>
      </c>
      <c r="C504" s="171" t="s">
        <v>507</v>
      </c>
      <c r="D504" s="171" t="s">
        <v>508</v>
      </c>
      <c r="E504" s="171" t="s">
        <v>77</v>
      </c>
      <c r="F504" s="171" t="s">
        <v>194</v>
      </c>
      <c r="G504" s="171" t="s">
        <v>177</v>
      </c>
      <c r="H504" s="176">
        <v>1</v>
      </c>
      <c r="I504" s="177">
        <v>0</v>
      </c>
      <c r="J504" s="175">
        <v>46040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-5</v>
      </c>
    </row>
    <row r="505" spans="1:16" ht="19.5" customHeight="1">
      <c r="A505" s="171" t="s">
        <v>653</v>
      </c>
      <c r="B505" s="175">
        <v>46045</v>
      </c>
      <c r="C505" s="171" t="s">
        <v>115</v>
      </c>
      <c r="D505" s="171" t="s">
        <v>510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0</v>
      </c>
      <c r="J505" s="175">
        <v>46040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-10</v>
      </c>
    </row>
    <row r="506" spans="1:16" ht="19.5" customHeight="1">
      <c r="A506" s="171" t="s">
        <v>654</v>
      </c>
      <c r="B506" s="175">
        <v>46045</v>
      </c>
      <c r="C506" s="171" t="s">
        <v>110</v>
      </c>
      <c r="D506" s="171" t="s">
        <v>24</v>
      </c>
      <c r="E506" s="171" t="s">
        <v>42</v>
      </c>
      <c r="F506" s="171" t="s">
        <v>248</v>
      </c>
      <c r="G506" s="171" t="s">
        <v>112</v>
      </c>
      <c r="H506" s="176">
        <v>1</v>
      </c>
      <c r="I506" s="177">
        <v>1680</v>
      </c>
      <c r="J506" s="175">
        <v>46044</v>
      </c>
      <c r="K506" s="171" t="s">
        <v>113</v>
      </c>
      <c r="L506" s="171" t="s">
        <v>114</v>
      </c>
      <c r="M506" s="178">
        <v>0.43</v>
      </c>
      <c r="N506" s="176"/>
      <c r="O506" s="176">
        <v>54</v>
      </c>
      <c r="P506" s="179">
        <v>-149.30000000000001</v>
      </c>
    </row>
    <row r="507" spans="1:16" ht="19.5" customHeight="1">
      <c r="A507" s="171" t="s">
        <v>654</v>
      </c>
      <c r="B507" s="175">
        <v>46045</v>
      </c>
      <c r="C507" s="171" t="s">
        <v>127</v>
      </c>
      <c r="D507" s="171" t="s">
        <v>128</v>
      </c>
      <c r="E507" s="171" t="s">
        <v>42</v>
      </c>
      <c r="F507" s="171" t="s">
        <v>248</v>
      </c>
      <c r="G507" s="171" t="s">
        <v>112</v>
      </c>
      <c r="H507" s="176">
        <v>1</v>
      </c>
      <c r="I507" s="177">
        <v>1680</v>
      </c>
      <c r="J507" s="175">
        <v>46044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928.57</v>
      </c>
    </row>
    <row r="508" spans="1:16" ht="19.5" customHeight="1">
      <c r="A508" s="171" t="s">
        <v>654</v>
      </c>
      <c r="B508" s="175">
        <v>46045</v>
      </c>
      <c r="C508" s="171" t="s">
        <v>127</v>
      </c>
      <c r="D508" s="171" t="s">
        <v>129</v>
      </c>
      <c r="E508" s="171" t="s">
        <v>42</v>
      </c>
      <c r="F508" s="171" t="s">
        <v>248</v>
      </c>
      <c r="G508" s="171" t="s">
        <v>112</v>
      </c>
      <c r="H508" s="176">
        <v>1</v>
      </c>
      <c r="I508" s="177">
        <v>1680</v>
      </c>
      <c r="J508" s="175">
        <v>46044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9.2899999999999991</v>
      </c>
    </row>
    <row r="509" spans="1:16" ht="19.5" customHeight="1">
      <c r="A509" s="171" t="s">
        <v>654</v>
      </c>
      <c r="B509" s="175">
        <v>46045</v>
      </c>
      <c r="C509" s="171" t="s">
        <v>127</v>
      </c>
      <c r="D509" s="171" t="s">
        <v>130</v>
      </c>
      <c r="E509" s="171" t="s">
        <v>42</v>
      </c>
      <c r="F509" s="171" t="s">
        <v>248</v>
      </c>
      <c r="G509" s="171" t="s">
        <v>112</v>
      </c>
      <c r="H509" s="176">
        <v>1</v>
      </c>
      <c r="I509" s="177">
        <v>1680</v>
      </c>
      <c r="J509" s="175">
        <v>46044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742.14</v>
      </c>
    </row>
    <row r="510" spans="1:16" ht="19.5" customHeight="1">
      <c r="A510" s="171" t="s">
        <v>654</v>
      </c>
      <c r="B510" s="175">
        <v>46045</v>
      </c>
      <c r="C510" s="171" t="s">
        <v>131</v>
      </c>
      <c r="D510" s="171" t="s">
        <v>132</v>
      </c>
      <c r="E510" s="171" t="s">
        <v>42</v>
      </c>
      <c r="F510" s="171" t="s">
        <v>248</v>
      </c>
      <c r="G510" s="171" t="s">
        <v>112</v>
      </c>
      <c r="H510" s="176">
        <v>1</v>
      </c>
      <c r="I510" s="177">
        <v>1680</v>
      </c>
      <c r="J510" s="175">
        <v>46044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-722.4</v>
      </c>
    </row>
    <row r="511" spans="1:16" ht="19.5" customHeight="1">
      <c r="A511" s="171" t="s">
        <v>654</v>
      </c>
      <c r="B511" s="175">
        <v>46045</v>
      </c>
      <c r="C511" s="171" t="s">
        <v>115</v>
      </c>
      <c r="D511" s="171" t="s">
        <v>116</v>
      </c>
      <c r="E511" s="171" t="s">
        <v>42</v>
      </c>
      <c r="F511" s="171" t="s">
        <v>248</v>
      </c>
      <c r="G511" s="171" t="s">
        <v>112</v>
      </c>
      <c r="H511" s="176">
        <v>1</v>
      </c>
      <c r="I511" s="177">
        <v>1680</v>
      </c>
      <c r="J511" s="175">
        <v>46044</v>
      </c>
      <c r="K511" s="171" t="s">
        <v>113</v>
      </c>
      <c r="L511" s="171" t="s">
        <v>114</v>
      </c>
      <c r="M511" s="178">
        <v>0.43</v>
      </c>
      <c r="N511" s="176"/>
      <c r="O511" s="176"/>
      <c r="P511" s="179">
        <v>-15.93</v>
      </c>
    </row>
    <row r="512" spans="1:16" ht="19.5" customHeight="1">
      <c r="A512" s="171" t="s">
        <v>654</v>
      </c>
      <c r="B512" s="175">
        <v>46045</v>
      </c>
      <c r="C512" s="171" t="s">
        <v>115</v>
      </c>
      <c r="D512" s="171" t="s">
        <v>135</v>
      </c>
      <c r="E512" s="171" t="s">
        <v>42</v>
      </c>
      <c r="F512" s="171" t="s">
        <v>248</v>
      </c>
      <c r="G512" s="171" t="s">
        <v>112</v>
      </c>
      <c r="H512" s="176">
        <v>1</v>
      </c>
      <c r="I512" s="177">
        <v>0</v>
      </c>
      <c r="J512" s="175">
        <v>46044</v>
      </c>
      <c r="K512" s="171" t="s">
        <v>125</v>
      </c>
      <c r="L512" s="171" t="s">
        <v>125</v>
      </c>
      <c r="M512" s="178">
        <v>0</v>
      </c>
      <c r="N512" s="176"/>
      <c r="O512" s="176"/>
      <c r="P512" s="179">
        <v>-17.64</v>
      </c>
    </row>
    <row r="513" spans="1:16" ht="19.5" customHeight="1">
      <c r="A513" s="171" t="s">
        <v>655</v>
      </c>
      <c r="B513" s="175">
        <v>46045</v>
      </c>
      <c r="C513" s="171" t="s">
        <v>110</v>
      </c>
      <c r="D513" s="171" t="s">
        <v>24</v>
      </c>
      <c r="E513" s="171" t="s">
        <v>44</v>
      </c>
      <c r="F513" s="171" t="s">
        <v>213</v>
      </c>
      <c r="G513" s="171" t="s">
        <v>214</v>
      </c>
      <c r="H513" s="176">
        <v>1</v>
      </c>
      <c r="I513" s="177">
        <v>1815</v>
      </c>
      <c r="J513" s="175">
        <v>46044</v>
      </c>
      <c r="K513" s="171" t="s">
        <v>113</v>
      </c>
      <c r="L513" s="171" t="s">
        <v>114</v>
      </c>
      <c r="M513" s="178">
        <v>0.43</v>
      </c>
      <c r="N513" s="176"/>
      <c r="O513" s="176">
        <v>54</v>
      </c>
      <c r="P513" s="179">
        <v>-154.59</v>
      </c>
    </row>
    <row r="514" spans="1:16" ht="19.5" customHeight="1">
      <c r="A514" s="171" t="s">
        <v>655</v>
      </c>
      <c r="B514" s="175">
        <v>46045</v>
      </c>
      <c r="C514" s="171" t="s">
        <v>127</v>
      </c>
      <c r="D514" s="171" t="s">
        <v>128</v>
      </c>
      <c r="E514" s="171" t="s">
        <v>44</v>
      </c>
      <c r="F514" s="171" t="s">
        <v>213</v>
      </c>
      <c r="G514" s="171" t="s">
        <v>214</v>
      </c>
      <c r="H514" s="176">
        <v>1</v>
      </c>
      <c r="I514" s="177">
        <v>1815</v>
      </c>
      <c r="J514" s="175">
        <v>46044</v>
      </c>
      <c r="K514" s="171" t="s">
        <v>113</v>
      </c>
      <c r="L514" s="171" t="s">
        <v>114</v>
      </c>
      <c r="M514" s="178">
        <v>0</v>
      </c>
      <c r="N514" s="176"/>
      <c r="O514" s="176"/>
      <c r="P514" s="179">
        <v>750.48</v>
      </c>
    </row>
    <row r="515" spans="1:16" ht="19.5" customHeight="1">
      <c r="A515" s="171" t="s">
        <v>655</v>
      </c>
      <c r="B515" s="175">
        <v>46045</v>
      </c>
      <c r="C515" s="171" t="s">
        <v>127</v>
      </c>
      <c r="D515" s="171" t="s">
        <v>129</v>
      </c>
      <c r="E515" s="171" t="s">
        <v>44</v>
      </c>
      <c r="F515" s="171" t="s">
        <v>213</v>
      </c>
      <c r="G515" s="171" t="s">
        <v>214</v>
      </c>
      <c r="H515" s="176">
        <v>1</v>
      </c>
      <c r="I515" s="177">
        <v>1815</v>
      </c>
      <c r="J515" s="175">
        <v>46044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7.5</v>
      </c>
    </row>
    <row r="516" spans="1:16" ht="19.5" customHeight="1">
      <c r="A516" s="171" t="s">
        <v>655</v>
      </c>
      <c r="B516" s="175">
        <v>46045</v>
      </c>
      <c r="C516" s="171" t="s">
        <v>127</v>
      </c>
      <c r="D516" s="171" t="s">
        <v>130</v>
      </c>
      <c r="E516" s="171" t="s">
        <v>44</v>
      </c>
      <c r="F516" s="171" t="s">
        <v>213</v>
      </c>
      <c r="G516" s="171" t="s">
        <v>214</v>
      </c>
      <c r="H516" s="176">
        <v>1</v>
      </c>
      <c r="I516" s="177">
        <v>1815</v>
      </c>
      <c r="J516" s="175">
        <v>46044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1057.02</v>
      </c>
    </row>
    <row r="517" spans="1:16" ht="19.5" customHeight="1">
      <c r="A517" s="171" t="s">
        <v>655</v>
      </c>
      <c r="B517" s="175">
        <v>46045</v>
      </c>
      <c r="C517" s="171" t="s">
        <v>131</v>
      </c>
      <c r="D517" s="171" t="s">
        <v>132</v>
      </c>
      <c r="E517" s="171" t="s">
        <v>44</v>
      </c>
      <c r="F517" s="171" t="s">
        <v>213</v>
      </c>
      <c r="G517" s="171" t="s">
        <v>214</v>
      </c>
      <c r="H517" s="176">
        <v>1</v>
      </c>
      <c r="I517" s="177">
        <v>1815</v>
      </c>
      <c r="J517" s="175">
        <v>46044</v>
      </c>
      <c r="K517" s="171" t="s">
        <v>113</v>
      </c>
      <c r="L517" s="171" t="s">
        <v>114</v>
      </c>
      <c r="M517" s="178">
        <v>0.43</v>
      </c>
      <c r="N517" s="176"/>
      <c r="O517" s="176"/>
      <c r="P517" s="179">
        <v>-780.45</v>
      </c>
    </row>
    <row r="518" spans="1:16" ht="19.5" customHeight="1">
      <c r="A518" s="171" t="s">
        <v>655</v>
      </c>
      <c r="B518" s="175">
        <v>46045</v>
      </c>
      <c r="C518" s="171" t="s">
        <v>115</v>
      </c>
      <c r="D518" s="171" t="s">
        <v>116</v>
      </c>
      <c r="E518" s="171" t="s">
        <v>44</v>
      </c>
      <c r="F518" s="171" t="s">
        <v>213</v>
      </c>
      <c r="G518" s="171" t="s">
        <v>214</v>
      </c>
      <c r="H518" s="176">
        <v>1</v>
      </c>
      <c r="I518" s="177">
        <v>1815</v>
      </c>
      <c r="J518" s="175">
        <v>46044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-9.8800000000000008</v>
      </c>
    </row>
    <row r="519" spans="1:16" ht="19.5" customHeight="1">
      <c r="A519" s="171" t="s">
        <v>656</v>
      </c>
      <c r="B519" s="175">
        <v>46045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1670</v>
      </c>
      <c r="J519" s="175">
        <v>46039</v>
      </c>
      <c r="K519" s="171" t="s">
        <v>113</v>
      </c>
      <c r="L519" s="171" t="s">
        <v>114</v>
      </c>
      <c r="M519" s="178">
        <v>0.43</v>
      </c>
      <c r="N519" s="176"/>
      <c r="O519" s="176">
        <v>51</v>
      </c>
      <c r="P519" s="179">
        <v>-147.08000000000001</v>
      </c>
    </row>
    <row r="520" spans="1:16" ht="19.5" customHeight="1">
      <c r="A520" s="171" t="s">
        <v>656</v>
      </c>
      <c r="B520" s="175">
        <v>46045</v>
      </c>
      <c r="C520" s="171" t="s">
        <v>127</v>
      </c>
      <c r="D520" s="171" t="s">
        <v>128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1670</v>
      </c>
      <c r="J520" s="175">
        <v>46039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574.29</v>
      </c>
    </row>
    <row r="521" spans="1:16" ht="19.5" customHeight="1">
      <c r="A521" s="171" t="s">
        <v>656</v>
      </c>
      <c r="B521" s="175">
        <v>46045</v>
      </c>
      <c r="C521" s="171" t="s">
        <v>127</v>
      </c>
      <c r="D521" s="171" t="s">
        <v>129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1670</v>
      </c>
      <c r="J521" s="175">
        <v>46039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5.74</v>
      </c>
    </row>
    <row r="522" spans="1:16" ht="19.5" customHeight="1">
      <c r="A522" s="171" t="s">
        <v>656</v>
      </c>
      <c r="B522" s="175">
        <v>46045</v>
      </c>
      <c r="C522" s="171" t="s">
        <v>127</v>
      </c>
      <c r="D522" s="171" t="s">
        <v>130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1670</v>
      </c>
      <c r="J522" s="175">
        <v>46039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1089.97</v>
      </c>
    </row>
    <row r="523" spans="1:16" ht="19.5" customHeight="1">
      <c r="A523" s="171" t="s">
        <v>656</v>
      </c>
      <c r="B523" s="175">
        <v>46045</v>
      </c>
      <c r="C523" s="171" t="s">
        <v>131</v>
      </c>
      <c r="D523" s="171" t="s">
        <v>132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1670</v>
      </c>
      <c r="J523" s="175">
        <v>46039</v>
      </c>
      <c r="K523" s="171" t="s">
        <v>113</v>
      </c>
      <c r="L523" s="171" t="s">
        <v>114</v>
      </c>
      <c r="M523" s="178">
        <v>0.43</v>
      </c>
      <c r="N523" s="176"/>
      <c r="O523" s="176"/>
      <c r="P523" s="179">
        <v>-718.1</v>
      </c>
    </row>
    <row r="524" spans="1:16" ht="19.5" customHeight="1">
      <c r="A524" s="171" t="s">
        <v>656</v>
      </c>
      <c r="B524" s="175">
        <v>46045</v>
      </c>
      <c r="C524" s="171" t="s">
        <v>115</v>
      </c>
      <c r="D524" s="171" t="s">
        <v>116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1670</v>
      </c>
      <c r="J524" s="175">
        <v>46039</v>
      </c>
      <c r="K524" s="171" t="s">
        <v>113</v>
      </c>
      <c r="L524" s="171" t="s">
        <v>114</v>
      </c>
      <c r="M524" s="178">
        <v>0.43</v>
      </c>
      <c r="N524" s="176"/>
      <c r="O524" s="176"/>
      <c r="P524" s="179">
        <v>-15.26</v>
      </c>
    </row>
    <row r="525" spans="1:16" ht="19.5" customHeight="1">
      <c r="A525" s="171" t="s">
        <v>262</v>
      </c>
      <c r="B525" s="175">
        <v>46045</v>
      </c>
      <c r="C525" s="171" t="s">
        <v>308</v>
      </c>
      <c r="D525" s="171" t="s">
        <v>419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-1670</v>
      </c>
      <c r="J525" s="175">
        <v>46038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-573.74</v>
      </c>
    </row>
    <row r="526" spans="1:16" ht="19.5" customHeight="1">
      <c r="A526" s="171" t="s">
        <v>262</v>
      </c>
      <c r="B526" s="175">
        <v>46045</v>
      </c>
      <c r="C526" s="171" t="s">
        <v>308</v>
      </c>
      <c r="D526" s="171" t="s">
        <v>129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-1670</v>
      </c>
      <c r="J526" s="175">
        <v>46038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-5.74</v>
      </c>
    </row>
    <row r="527" spans="1:16" ht="19.5" customHeight="1">
      <c r="A527" s="171" t="s">
        <v>262</v>
      </c>
      <c r="B527" s="175">
        <v>46045</v>
      </c>
      <c r="C527" s="171" t="s">
        <v>308</v>
      </c>
      <c r="D527" s="171" t="s">
        <v>130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-1670</v>
      </c>
      <c r="J527" s="175">
        <v>46038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-1090.52</v>
      </c>
    </row>
    <row r="528" spans="1:16" ht="19.5" customHeight="1">
      <c r="A528" s="171" t="s">
        <v>262</v>
      </c>
      <c r="B528" s="175">
        <v>46045</v>
      </c>
      <c r="C528" s="171" t="s">
        <v>131</v>
      </c>
      <c r="D528" s="171" t="s">
        <v>420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-1670</v>
      </c>
      <c r="J528" s="175">
        <v>46038</v>
      </c>
      <c r="K528" s="171" t="s">
        <v>113</v>
      </c>
      <c r="L528" s="171" t="s">
        <v>114</v>
      </c>
      <c r="M528" s="178">
        <v>0.43</v>
      </c>
      <c r="N528" s="176"/>
      <c r="O528" s="176"/>
      <c r="P528" s="179">
        <v>718.1</v>
      </c>
    </row>
    <row r="529" spans="1:16" ht="19.5" customHeight="1">
      <c r="A529" s="171" t="s">
        <v>656</v>
      </c>
      <c r="B529" s="175">
        <v>46045</v>
      </c>
      <c r="C529" s="171" t="s">
        <v>115</v>
      </c>
      <c r="D529" s="171" t="s">
        <v>135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0</v>
      </c>
      <c r="J529" s="175">
        <v>46039</v>
      </c>
      <c r="K529" s="171" t="s">
        <v>125</v>
      </c>
      <c r="L529" s="171" t="s">
        <v>125</v>
      </c>
      <c r="M529" s="178">
        <v>0</v>
      </c>
      <c r="N529" s="176"/>
      <c r="O529" s="176"/>
      <c r="P529" s="179">
        <v>-10.91</v>
      </c>
    </row>
    <row r="530" spans="1:16" ht="19.5" customHeight="1">
      <c r="A530" s="171" t="s">
        <v>657</v>
      </c>
      <c r="B530" s="175">
        <v>46045</v>
      </c>
      <c r="C530" s="171" t="s">
        <v>110</v>
      </c>
      <c r="D530" s="171" t="s">
        <v>24</v>
      </c>
      <c r="E530" s="171" t="s">
        <v>42</v>
      </c>
      <c r="F530" s="171" t="s">
        <v>248</v>
      </c>
      <c r="G530" s="171" t="s">
        <v>112</v>
      </c>
      <c r="H530" s="176">
        <v>1</v>
      </c>
      <c r="I530" s="177">
        <v>1680</v>
      </c>
      <c r="J530" s="175">
        <v>46043</v>
      </c>
      <c r="K530" s="171" t="s">
        <v>113</v>
      </c>
      <c r="L530" s="171" t="s">
        <v>114</v>
      </c>
      <c r="M530" s="178">
        <v>0.43</v>
      </c>
      <c r="N530" s="176"/>
      <c r="O530" s="176">
        <v>52</v>
      </c>
      <c r="P530" s="179">
        <v>-147.99</v>
      </c>
    </row>
    <row r="531" spans="1:16" ht="19.5" customHeight="1">
      <c r="A531" s="171" t="s">
        <v>657</v>
      </c>
      <c r="B531" s="175">
        <v>46045</v>
      </c>
      <c r="C531" s="171" t="s">
        <v>127</v>
      </c>
      <c r="D531" s="171" t="s">
        <v>128</v>
      </c>
      <c r="E531" s="171" t="s">
        <v>42</v>
      </c>
      <c r="F531" s="171" t="s">
        <v>248</v>
      </c>
      <c r="G531" s="171" t="s">
        <v>112</v>
      </c>
      <c r="H531" s="176">
        <v>1</v>
      </c>
      <c r="I531" s="177">
        <v>1680</v>
      </c>
      <c r="J531" s="175">
        <v>46043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928.57</v>
      </c>
    </row>
    <row r="532" spans="1:16" ht="19.5" customHeight="1">
      <c r="A532" s="171" t="s">
        <v>657</v>
      </c>
      <c r="B532" s="175">
        <v>46045</v>
      </c>
      <c r="C532" s="171" t="s">
        <v>127</v>
      </c>
      <c r="D532" s="171" t="s">
        <v>129</v>
      </c>
      <c r="E532" s="171" t="s">
        <v>42</v>
      </c>
      <c r="F532" s="171" t="s">
        <v>248</v>
      </c>
      <c r="G532" s="171" t="s">
        <v>112</v>
      </c>
      <c r="H532" s="176">
        <v>1</v>
      </c>
      <c r="I532" s="177">
        <v>1680</v>
      </c>
      <c r="J532" s="175">
        <v>46043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9.2899999999999991</v>
      </c>
    </row>
    <row r="533" spans="1:16" ht="19.5" customHeight="1">
      <c r="A533" s="171" t="s">
        <v>657</v>
      </c>
      <c r="B533" s="175">
        <v>46045</v>
      </c>
      <c r="C533" s="171" t="s">
        <v>127</v>
      </c>
      <c r="D533" s="171" t="s">
        <v>130</v>
      </c>
      <c r="E533" s="171" t="s">
        <v>42</v>
      </c>
      <c r="F533" s="171" t="s">
        <v>248</v>
      </c>
      <c r="G533" s="171" t="s">
        <v>112</v>
      </c>
      <c r="H533" s="176">
        <v>1</v>
      </c>
      <c r="I533" s="177">
        <v>1680</v>
      </c>
      <c r="J533" s="175">
        <v>46043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742.14</v>
      </c>
    </row>
    <row r="534" spans="1:16" ht="19.5" customHeight="1">
      <c r="A534" s="171" t="s">
        <v>657</v>
      </c>
      <c r="B534" s="175">
        <v>46045</v>
      </c>
      <c r="C534" s="171" t="s">
        <v>131</v>
      </c>
      <c r="D534" s="171" t="s">
        <v>132</v>
      </c>
      <c r="E534" s="171" t="s">
        <v>42</v>
      </c>
      <c r="F534" s="171" t="s">
        <v>248</v>
      </c>
      <c r="G534" s="171" t="s">
        <v>112</v>
      </c>
      <c r="H534" s="176">
        <v>1</v>
      </c>
      <c r="I534" s="177">
        <v>1680</v>
      </c>
      <c r="J534" s="175">
        <v>46043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-722.4</v>
      </c>
    </row>
    <row r="535" spans="1:16" ht="19.5" customHeight="1">
      <c r="A535" s="171" t="s">
        <v>657</v>
      </c>
      <c r="B535" s="175">
        <v>46045</v>
      </c>
      <c r="C535" s="171" t="s">
        <v>115</v>
      </c>
      <c r="D535" s="171" t="s">
        <v>116</v>
      </c>
      <c r="E535" s="171" t="s">
        <v>42</v>
      </c>
      <c r="F535" s="171" t="s">
        <v>248</v>
      </c>
      <c r="G535" s="171" t="s">
        <v>112</v>
      </c>
      <c r="H535" s="176">
        <v>1</v>
      </c>
      <c r="I535" s="177">
        <v>1680</v>
      </c>
      <c r="J535" s="175">
        <v>46043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-8.83</v>
      </c>
    </row>
    <row r="536" spans="1:16" ht="19.5" customHeight="1">
      <c r="A536" s="171" t="s">
        <v>658</v>
      </c>
      <c r="B536" s="175">
        <v>46045</v>
      </c>
      <c r="C536" s="171" t="s">
        <v>110</v>
      </c>
      <c r="D536" s="171" t="s">
        <v>24</v>
      </c>
      <c r="E536" s="171" t="s">
        <v>43</v>
      </c>
      <c r="F536" s="171" t="s">
        <v>481</v>
      </c>
      <c r="G536" s="171" t="s">
        <v>214</v>
      </c>
      <c r="H536" s="176">
        <v>1</v>
      </c>
      <c r="I536" s="177">
        <v>1539</v>
      </c>
      <c r="J536" s="175">
        <v>46030</v>
      </c>
      <c r="K536" s="171" t="s">
        <v>113</v>
      </c>
      <c r="L536" s="171" t="s">
        <v>114</v>
      </c>
      <c r="M536" s="178">
        <v>0.43</v>
      </c>
      <c r="N536" s="176"/>
      <c r="O536" s="176">
        <v>46</v>
      </c>
      <c r="P536" s="179">
        <v>-132.13999999999999</v>
      </c>
    </row>
    <row r="537" spans="1:16" ht="19.5" customHeight="1">
      <c r="A537" s="171" t="s">
        <v>658</v>
      </c>
      <c r="B537" s="175">
        <v>46045</v>
      </c>
      <c r="C537" s="171" t="s">
        <v>127</v>
      </c>
      <c r="D537" s="171" t="s">
        <v>128</v>
      </c>
      <c r="E537" s="171" t="s">
        <v>43</v>
      </c>
      <c r="F537" s="171" t="s">
        <v>481</v>
      </c>
      <c r="G537" s="171" t="s">
        <v>214</v>
      </c>
      <c r="H537" s="176">
        <v>1</v>
      </c>
      <c r="I537" s="177">
        <v>1539</v>
      </c>
      <c r="J537" s="175">
        <v>46030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727.88</v>
      </c>
    </row>
    <row r="538" spans="1:16" ht="19.5" customHeight="1">
      <c r="A538" s="171" t="s">
        <v>658</v>
      </c>
      <c r="B538" s="175">
        <v>46045</v>
      </c>
      <c r="C538" s="171" t="s">
        <v>127</v>
      </c>
      <c r="D538" s="171" t="s">
        <v>129</v>
      </c>
      <c r="E538" s="171" t="s">
        <v>43</v>
      </c>
      <c r="F538" s="171" t="s">
        <v>481</v>
      </c>
      <c r="G538" s="171" t="s">
        <v>214</v>
      </c>
      <c r="H538" s="176">
        <v>1</v>
      </c>
      <c r="I538" s="177">
        <v>1539</v>
      </c>
      <c r="J538" s="175">
        <v>46030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7.28</v>
      </c>
    </row>
    <row r="539" spans="1:16" ht="19.5" customHeight="1">
      <c r="A539" s="171" t="s">
        <v>658</v>
      </c>
      <c r="B539" s="175">
        <v>46045</v>
      </c>
      <c r="C539" s="171" t="s">
        <v>127</v>
      </c>
      <c r="D539" s="171" t="s">
        <v>130</v>
      </c>
      <c r="E539" s="171" t="s">
        <v>43</v>
      </c>
      <c r="F539" s="171" t="s">
        <v>481</v>
      </c>
      <c r="G539" s="171" t="s">
        <v>214</v>
      </c>
      <c r="H539" s="176">
        <v>1</v>
      </c>
      <c r="I539" s="177">
        <v>1539</v>
      </c>
      <c r="J539" s="175">
        <v>46030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803.84</v>
      </c>
    </row>
    <row r="540" spans="1:16" ht="19.5" customHeight="1">
      <c r="A540" s="171" t="s">
        <v>658</v>
      </c>
      <c r="B540" s="175">
        <v>46045</v>
      </c>
      <c r="C540" s="171" t="s">
        <v>131</v>
      </c>
      <c r="D540" s="171" t="s">
        <v>132</v>
      </c>
      <c r="E540" s="171" t="s">
        <v>43</v>
      </c>
      <c r="F540" s="171" t="s">
        <v>481</v>
      </c>
      <c r="G540" s="171" t="s">
        <v>214</v>
      </c>
      <c r="H540" s="176">
        <v>1</v>
      </c>
      <c r="I540" s="177">
        <v>1539</v>
      </c>
      <c r="J540" s="175">
        <v>46030</v>
      </c>
      <c r="K540" s="171" t="s">
        <v>113</v>
      </c>
      <c r="L540" s="171" t="s">
        <v>114</v>
      </c>
      <c r="M540" s="178">
        <v>0.43</v>
      </c>
      <c r="N540" s="176"/>
      <c r="O540" s="176"/>
      <c r="P540" s="179">
        <v>-661.77</v>
      </c>
    </row>
    <row r="541" spans="1:16" ht="19.5" customHeight="1">
      <c r="A541" s="171" t="s">
        <v>658</v>
      </c>
      <c r="B541" s="175">
        <v>46045</v>
      </c>
      <c r="C541" s="171" t="s">
        <v>115</v>
      </c>
      <c r="D541" s="171" t="s">
        <v>116</v>
      </c>
      <c r="E541" s="171" t="s">
        <v>43</v>
      </c>
      <c r="F541" s="171" t="s">
        <v>481</v>
      </c>
      <c r="G541" s="171" t="s">
        <v>214</v>
      </c>
      <c r="H541" s="176">
        <v>1</v>
      </c>
      <c r="I541" s="177">
        <v>1539</v>
      </c>
      <c r="J541" s="175">
        <v>46030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-25</v>
      </c>
    </row>
    <row r="542" spans="1:16" ht="19.5" customHeight="1">
      <c r="A542" s="171" t="s">
        <v>262</v>
      </c>
      <c r="B542" s="175">
        <v>46045</v>
      </c>
      <c r="C542" s="171" t="s">
        <v>115</v>
      </c>
      <c r="D542" s="171" t="s">
        <v>135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0</v>
      </c>
      <c r="J542" s="175">
        <v>46038</v>
      </c>
      <c r="K542" s="171" t="s">
        <v>125</v>
      </c>
      <c r="L542" s="171" t="s">
        <v>125</v>
      </c>
      <c r="M542" s="178">
        <v>0</v>
      </c>
      <c r="N542" s="176"/>
      <c r="O542" s="176"/>
      <c r="P542" s="179">
        <v>10.9</v>
      </c>
    </row>
    <row r="543" spans="1:16" ht="19.5" customHeight="1">
      <c r="A543" s="171" t="s">
        <v>659</v>
      </c>
      <c r="B543" s="175">
        <v>46045</v>
      </c>
      <c r="C543" s="171" t="s">
        <v>110</v>
      </c>
      <c r="D543" s="171" t="s">
        <v>24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46033</v>
      </c>
      <c r="K543" s="171" t="s">
        <v>113</v>
      </c>
      <c r="L543" s="171" t="s">
        <v>114</v>
      </c>
      <c r="M543" s="178">
        <v>0</v>
      </c>
      <c r="N543" s="176"/>
      <c r="O543" s="176">
        <v>50</v>
      </c>
      <c r="P543" s="179">
        <v>-46.77</v>
      </c>
    </row>
    <row r="544" spans="1:16" ht="19.5" customHeight="1">
      <c r="A544" s="171" t="s">
        <v>659</v>
      </c>
      <c r="B544" s="175">
        <v>46045</v>
      </c>
      <c r="C544" s="171" t="s">
        <v>115</v>
      </c>
      <c r="D544" s="171" t="s">
        <v>116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0</v>
      </c>
      <c r="J544" s="175">
        <v>46033</v>
      </c>
      <c r="K544" s="171" t="s">
        <v>113</v>
      </c>
      <c r="L544" s="171" t="s">
        <v>114</v>
      </c>
      <c r="M544" s="178">
        <v>0</v>
      </c>
      <c r="N544" s="176"/>
      <c r="O544" s="176"/>
      <c r="P544" s="179">
        <v>-10.16</v>
      </c>
    </row>
    <row r="545" spans="1:16" ht="19.5" customHeight="1">
      <c r="A545" s="171" t="s">
        <v>660</v>
      </c>
      <c r="B545" s="175">
        <v>46045</v>
      </c>
      <c r="C545" s="171" t="s">
        <v>110</v>
      </c>
      <c r="D545" s="171" t="s">
        <v>24</v>
      </c>
      <c r="E545" s="171" t="s">
        <v>48</v>
      </c>
      <c r="F545" s="171" t="s">
        <v>198</v>
      </c>
      <c r="G545" s="171" t="s">
        <v>112</v>
      </c>
      <c r="H545" s="176">
        <v>1</v>
      </c>
      <c r="I545" s="177">
        <v>0</v>
      </c>
      <c r="J545" s="175">
        <v>46040</v>
      </c>
      <c r="K545" s="171" t="s">
        <v>113</v>
      </c>
      <c r="L545" s="171" t="s">
        <v>114</v>
      </c>
      <c r="M545" s="178">
        <v>0</v>
      </c>
      <c r="N545" s="176"/>
      <c r="O545" s="176">
        <v>51</v>
      </c>
      <c r="P545" s="179">
        <v>-46.77</v>
      </c>
    </row>
    <row r="546" spans="1:16" ht="19.5" customHeight="1">
      <c r="A546" s="171" t="s">
        <v>660</v>
      </c>
      <c r="B546" s="175">
        <v>46045</v>
      </c>
      <c r="C546" s="171" t="s">
        <v>110</v>
      </c>
      <c r="D546" s="171" t="s">
        <v>117</v>
      </c>
      <c r="E546" s="171" t="s">
        <v>48</v>
      </c>
      <c r="F546" s="171" t="s">
        <v>198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0</v>
      </c>
    </row>
    <row r="547" spans="1:16" ht="19.5" customHeight="1">
      <c r="A547" s="171" t="s">
        <v>660</v>
      </c>
      <c r="B547" s="175">
        <v>46045</v>
      </c>
      <c r="C547" s="171" t="s">
        <v>110</v>
      </c>
      <c r="D547" s="171" t="s">
        <v>118</v>
      </c>
      <c r="E547" s="171" t="s">
        <v>48</v>
      </c>
      <c r="F547" s="171" t="s">
        <v>198</v>
      </c>
      <c r="G547" s="171" t="s">
        <v>112</v>
      </c>
      <c r="H547" s="176">
        <v>1</v>
      </c>
      <c r="I547" s="177">
        <v>0</v>
      </c>
      <c r="J547" s="175">
        <v>46040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-46.77</v>
      </c>
    </row>
    <row r="548" spans="1:16" ht="19.5" customHeight="1">
      <c r="A548" s="171" t="s">
        <v>659</v>
      </c>
      <c r="B548" s="175">
        <v>46045</v>
      </c>
      <c r="C548" s="171" t="s">
        <v>110</v>
      </c>
      <c r="D548" s="171" t="s">
        <v>117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0</v>
      </c>
      <c r="J548" s="175">
        <v>46033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0</v>
      </c>
    </row>
    <row r="549" spans="1:16" ht="19.5" customHeight="1">
      <c r="A549" s="171" t="s">
        <v>659</v>
      </c>
      <c r="B549" s="175">
        <v>46045</v>
      </c>
      <c r="C549" s="171" t="s">
        <v>110</v>
      </c>
      <c r="D549" s="171" t="s">
        <v>118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0</v>
      </c>
      <c r="J549" s="175">
        <v>46033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-46.77</v>
      </c>
    </row>
    <row r="550" spans="1:16" ht="19.5" customHeight="1">
      <c r="A550" s="171" t="s">
        <v>659</v>
      </c>
      <c r="B550" s="175">
        <v>46045</v>
      </c>
      <c r="C550" s="171" t="s">
        <v>115</v>
      </c>
      <c r="D550" s="171" t="s">
        <v>119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0</v>
      </c>
      <c r="J550" s="175">
        <v>46033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-15</v>
      </c>
    </row>
    <row r="551" spans="1:16" ht="19.5" customHeight="1">
      <c r="A551" s="171" t="s">
        <v>657</v>
      </c>
      <c r="B551" s="175">
        <v>46045</v>
      </c>
      <c r="C551" s="171" t="s">
        <v>115</v>
      </c>
      <c r="D551" s="171" t="s">
        <v>135</v>
      </c>
      <c r="E551" s="171" t="s">
        <v>42</v>
      </c>
      <c r="F551" s="171" t="s">
        <v>248</v>
      </c>
      <c r="G551" s="171" t="s">
        <v>112</v>
      </c>
      <c r="H551" s="176">
        <v>1</v>
      </c>
      <c r="I551" s="177">
        <v>0</v>
      </c>
      <c r="J551" s="175">
        <v>46043</v>
      </c>
      <c r="K551" s="171" t="s">
        <v>125</v>
      </c>
      <c r="L551" s="171" t="s">
        <v>125</v>
      </c>
      <c r="M551" s="178">
        <v>0</v>
      </c>
      <c r="N551" s="176"/>
      <c r="O551" s="176"/>
      <c r="P551" s="179">
        <v>-17.64</v>
      </c>
    </row>
    <row r="552" spans="1:16" ht="19.5" customHeight="1">
      <c r="A552" s="171" t="s">
        <v>661</v>
      </c>
      <c r="B552" s="175">
        <v>46045</v>
      </c>
      <c r="C552" s="171" t="s">
        <v>115</v>
      </c>
      <c r="D552" s="171" t="s">
        <v>135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0</v>
      </c>
      <c r="J552" s="175">
        <v>46045</v>
      </c>
      <c r="K552" s="171" t="s">
        <v>125</v>
      </c>
      <c r="L552" s="171" t="s">
        <v>125</v>
      </c>
      <c r="M552" s="178">
        <v>0</v>
      </c>
      <c r="N552" s="176"/>
      <c r="O552" s="176"/>
      <c r="P552" s="179">
        <v>-4.2300000000000004</v>
      </c>
    </row>
    <row r="553" spans="1:16" ht="19.5" customHeight="1">
      <c r="A553" s="171" t="s">
        <v>662</v>
      </c>
      <c r="B553" s="175">
        <v>46045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46044</v>
      </c>
      <c r="K553" s="171" t="s">
        <v>113</v>
      </c>
      <c r="L553" s="171" t="s">
        <v>114</v>
      </c>
      <c r="M553" s="178">
        <v>0.43</v>
      </c>
      <c r="N553" s="176"/>
      <c r="O553" s="176">
        <v>54</v>
      </c>
      <c r="P553" s="179">
        <v>-148.9</v>
      </c>
    </row>
    <row r="554" spans="1:16" ht="19.5" customHeight="1">
      <c r="A554" s="171" t="s">
        <v>662</v>
      </c>
      <c r="B554" s="175">
        <v>46045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46044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615.24</v>
      </c>
    </row>
    <row r="555" spans="1:16" ht="19.5" customHeight="1">
      <c r="A555" s="171" t="s">
        <v>662</v>
      </c>
      <c r="B555" s="175">
        <v>46045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46044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6.15</v>
      </c>
    </row>
    <row r="556" spans="1:16" ht="19.5" customHeight="1">
      <c r="A556" s="171" t="s">
        <v>662</v>
      </c>
      <c r="B556" s="175">
        <v>46045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46044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1048.6099999999999</v>
      </c>
    </row>
    <row r="557" spans="1:16" ht="19.5" customHeight="1">
      <c r="A557" s="171" t="s">
        <v>662</v>
      </c>
      <c r="B557" s="175">
        <v>46045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46044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662</v>
      </c>
      <c r="B558" s="175">
        <v>46045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46044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-9.1300000000000008</v>
      </c>
    </row>
    <row r="559" spans="1:16" ht="19.5" customHeight="1">
      <c r="A559" s="171" t="s">
        <v>662</v>
      </c>
      <c r="B559" s="175">
        <v>46045</v>
      </c>
      <c r="C559" s="171" t="s">
        <v>115</v>
      </c>
      <c r="D559" s="171" t="s">
        <v>135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46044</v>
      </c>
      <c r="K559" s="171" t="s">
        <v>125</v>
      </c>
      <c r="L559" s="171" t="s">
        <v>125</v>
      </c>
      <c r="M559" s="178">
        <v>0</v>
      </c>
      <c r="N559" s="176"/>
      <c r="O559" s="176"/>
      <c r="P559" s="179">
        <v>-11.69</v>
      </c>
    </row>
    <row r="560" spans="1:16" ht="19.5" customHeight="1">
      <c r="A560" s="171" t="s">
        <v>663</v>
      </c>
      <c r="B560" s="175">
        <v>46045</v>
      </c>
      <c r="C560" s="171" t="s">
        <v>110</v>
      </c>
      <c r="D560" s="171" t="s">
        <v>24</v>
      </c>
      <c r="E560" s="171" t="s">
        <v>70</v>
      </c>
      <c r="F560" s="171" t="s">
        <v>509</v>
      </c>
      <c r="G560" s="171" t="s">
        <v>177</v>
      </c>
      <c r="H560" s="176">
        <v>1</v>
      </c>
      <c r="I560" s="177">
        <v>4506</v>
      </c>
      <c r="J560" s="175">
        <v>46043</v>
      </c>
      <c r="K560" s="171" t="s">
        <v>113</v>
      </c>
      <c r="L560" s="171" t="s">
        <v>114</v>
      </c>
      <c r="M560" s="178">
        <v>0.43</v>
      </c>
      <c r="N560" s="176"/>
      <c r="O560" s="176">
        <v>52</v>
      </c>
      <c r="P560" s="179">
        <v>-275.39</v>
      </c>
    </row>
    <row r="561" spans="1:16" ht="19.5" customHeight="1">
      <c r="A561" s="171" t="s">
        <v>663</v>
      </c>
      <c r="B561" s="175">
        <v>46045</v>
      </c>
      <c r="C561" s="171" t="s">
        <v>127</v>
      </c>
      <c r="D561" s="171" t="s">
        <v>128</v>
      </c>
      <c r="E561" s="171" t="s">
        <v>70</v>
      </c>
      <c r="F561" s="171" t="s">
        <v>509</v>
      </c>
      <c r="G561" s="171" t="s">
        <v>177</v>
      </c>
      <c r="H561" s="176">
        <v>1</v>
      </c>
      <c r="I561" s="177">
        <v>4506</v>
      </c>
      <c r="J561" s="175">
        <v>46043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3153.33</v>
      </c>
    </row>
    <row r="562" spans="1:16" ht="19.5" customHeight="1">
      <c r="A562" s="171" t="s">
        <v>663</v>
      </c>
      <c r="B562" s="175">
        <v>46045</v>
      </c>
      <c r="C562" s="171" t="s">
        <v>127</v>
      </c>
      <c r="D562" s="171" t="s">
        <v>129</v>
      </c>
      <c r="E562" s="171" t="s">
        <v>70</v>
      </c>
      <c r="F562" s="171" t="s">
        <v>509</v>
      </c>
      <c r="G562" s="171" t="s">
        <v>177</v>
      </c>
      <c r="H562" s="176">
        <v>1</v>
      </c>
      <c r="I562" s="177">
        <v>4506</v>
      </c>
      <c r="J562" s="175">
        <v>46043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0</v>
      </c>
    </row>
    <row r="563" spans="1:16" ht="19.5" customHeight="1">
      <c r="A563" s="171" t="s">
        <v>663</v>
      </c>
      <c r="B563" s="175">
        <v>46045</v>
      </c>
      <c r="C563" s="171" t="s">
        <v>127</v>
      </c>
      <c r="D563" s="171" t="s">
        <v>130</v>
      </c>
      <c r="E563" s="171" t="s">
        <v>70</v>
      </c>
      <c r="F563" s="171" t="s">
        <v>509</v>
      </c>
      <c r="G563" s="171" t="s">
        <v>177</v>
      </c>
      <c r="H563" s="176">
        <v>1</v>
      </c>
      <c r="I563" s="177">
        <v>4506</v>
      </c>
      <c r="J563" s="175">
        <v>46043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1352.67</v>
      </c>
    </row>
    <row r="564" spans="1:16" ht="19.5" customHeight="1">
      <c r="A564" s="171" t="s">
        <v>663</v>
      </c>
      <c r="B564" s="175">
        <v>46045</v>
      </c>
      <c r="C564" s="171" t="s">
        <v>131</v>
      </c>
      <c r="D564" s="171" t="s">
        <v>132</v>
      </c>
      <c r="E564" s="171" t="s">
        <v>70</v>
      </c>
      <c r="F564" s="171" t="s">
        <v>509</v>
      </c>
      <c r="G564" s="171" t="s">
        <v>177</v>
      </c>
      <c r="H564" s="176">
        <v>1</v>
      </c>
      <c r="I564" s="177">
        <v>4506</v>
      </c>
      <c r="J564" s="175">
        <v>46043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-1937.58</v>
      </c>
    </row>
    <row r="565" spans="1:16" ht="19.5" customHeight="1">
      <c r="A565" s="171" t="s">
        <v>663</v>
      </c>
      <c r="B565" s="175">
        <v>46045</v>
      </c>
      <c r="C565" s="171" t="s">
        <v>115</v>
      </c>
      <c r="D565" s="171" t="s">
        <v>116</v>
      </c>
      <c r="E565" s="171" t="s">
        <v>70</v>
      </c>
      <c r="F565" s="171" t="s">
        <v>509</v>
      </c>
      <c r="G565" s="171" t="s">
        <v>177</v>
      </c>
      <c r="H565" s="176">
        <v>1</v>
      </c>
      <c r="I565" s="177">
        <v>4506</v>
      </c>
      <c r="J565" s="175">
        <v>46043</v>
      </c>
      <c r="K565" s="171" t="s">
        <v>113</v>
      </c>
      <c r="L565" s="171" t="s">
        <v>114</v>
      </c>
      <c r="M565" s="178">
        <v>0.43</v>
      </c>
      <c r="N565" s="176"/>
      <c r="O565" s="176"/>
      <c r="P565" s="179">
        <v>-13.31</v>
      </c>
    </row>
    <row r="566" spans="1:16" ht="19.5" customHeight="1">
      <c r="A566" s="171" t="s">
        <v>663</v>
      </c>
      <c r="B566" s="175">
        <v>46045</v>
      </c>
      <c r="C566" s="171" t="s">
        <v>115</v>
      </c>
      <c r="D566" s="171" t="s">
        <v>135</v>
      </c>
      <c r="E566" s="171" t="s">
        <v>70</v>
      </c>
      <c r="F566" s="171" t="s">
        <v>509</v>
      </c>
      <c r="G566" s="171" t="s">
        <v>177</v>
      </c>
      <c r="H566" s="176">
        <v>1</v>
      </c>
      <c r="I566" s="177">
        <v>0</v>
      </c>
      <c r="J566" s="175">
        <v>46043</v>
      </c>
      <c r="K566" s="171" t="s">
        <v>125</v>
      </c>
      <c r="L566" s="171" t="s">
        <v>125</v>
      </c>
      <c r="M566" s="178">
        <v>0</v>
      </c>
      <c r="N566" s="176"/>
      <c r="O566" s="176"/>
      <c r="P566" s="179">
        <v>-28.7</v>
      </c>
    </row>
    <row r="567" spans="1:16" ht="19.5" customHeight="1">
      <c r="A567" s="171" t="s">
        <v>664</v>
      </c>
      <c r="B567" s="175">
        <v>46045</v>
      </c>
      <c r="C567" s="171" t="s">
        <v>110</v>
      </c>
      <c r="D567" s="171" t="s">
        <v>24</v>
      </c>
      <c r="E567" s="171" t="s">
        <v>48</v>
      </c>
      <c r="F567" s="171" t="s">
        <v>198</v>
      </c>
      <c r="G567" s="171" t="s">
        <v>112</v>
      </c>
      <c r="H567" s="176">
        <v>1</v>
      </c>
      <c r="I567" s="177">
        <v>1359</v>
      </c>
      <c r="J567" s="175">
        <v>46042</v>
      </c>
      <c r="K567" s="171" t="s">
        <v>113</v>
      </c>
      <c r="L567" s="171" t="s">
        <v>114</v>
      </c>
      <c r="M567" s="178">
        <v>0.43</v>
      </c>
      <c r="N567" s="176"/>
      <c r="O567" s="176">
        <v>52</v>
      </c>
      <c r="P567" s="179">
        <v>-135.56</v>
      </c>
    </row>
    <row r="568" spans="1:16" ht="19.5" customHeight="1">
      <c r="A568" s="171" t="s">
        <v>664</v>
      </c>
      <c r="B568" s="175">
        <v>46045</v>
      </c>
      <c r="C568" s="171" t="s">
        <v>127</v>
      </c>
      <c r="D568" s="171" t="s">
        <v>128</v>
      </c>
      <c r="E568" s="171" t="s">
        <v>48</v>
      </c>
      <c r="F568" s="171" t="s">
        <v>198</v>
      </c>
      <c r="G568" s="171" t="s">
        <v>112</v>
      </c>
      <c r="H568" s="176">
        <v>1</v>
      </c>
      <c r="I568" s="177">
        <v>1359</v>
      </c>
      <c r="J568" s="175">
        <v>46042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538.53</v>
      </c>
    </row>
    <row r="569" spans="1:16" ht="19.5" customHeight="1">
      <c r="A569" s="171" t="s">
        <v>664</v>
      </c>
      <c r="B569" s="175">
        <v>46045</v>
      </c>
      <c r="C569" s="171" t="s">
        <v>127</v>
      </c>
      <c r="D569" s="171" t="s">
        <v>129</v>
      </c>
      <c r="E569" s="171" t="s">
        <v>48</v>
      </c>
      <c r="F569" s="171" t="s">
        <v>198</v>
      </c>
      <c r="G569" s="171" t="s">
        <v>112</v>
      </c>
      <c r="H569" s="176">
        <v>1</v>
      </c>
      <c r="I569" s="177">
        <v>1359</v>
      </c>
      <c r="J569" s="175">
        <v>46042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5.39</v>
      </c>
    </row>
    <row r="570" spans="1:16" ht="19.5" customHeight="1">
      <c r="A570" s="171" t="s">
        <v>664</v>
      </c>
      <c r="B570" s="175">
        <v>46045</v>
      </c>
      <c r="C570" s="171" t="s">
        <v>127</v>
      </c>
      <c r="D570" s="171" t="s">
        <v>130</v>
      </c>
      <c r="E570" s="171" t="s">
        <v>48</v>
      </c>
      <c r="F570" s="171" t="s">
        <v>198</v>
      </c>
      <c r="G570" s="171" t="s">
        <v>112</v>
      </c>
      <c r="H570" s="176">
        <v>1</v>
      </c>
      <c r="I570" s="177">
        <v>1359</v>
      </c>
      <c r="J570" s="175">
        <v>46042</v>
      </c>
      <c r="K570" s="171" t="s">
        <v>113</v>
      </c>
      <c r="L570" s="171" t="s">
        <v>114</v>
      </c>
      <c r="M570" s="178">
        <v>0</v>
      </c>
      <c r="N570" s="176"/>
      <c r="O570" s="176"/>
      <c r="P570" s="179">
        <v>815.08</v>
      </c>
    </row>
    <row r="571" spans="1:16" ht="19.5" customHeight="1">
      <c r="A571" s="171" t="s">
        <v>664</v>
      </c>
      <c r="B571" s="175">
        <v>46045</v>
      </c>
      <c r="C571" s="171" t="s">
        <v>131</v>
      </c>
      <c r="D571" s="171" t="s">
        <v>132</v>
      </c>
      <c r="E571" s="171" t="s">
        <v>48</v>
      </c>
      <c r="F571" s="171" t="s">
        <v>198</v>
      </c>
      <c r="G571" s="171" t="s">
        <v>112</v>
      </c>
      <c r="H571" s="176">
        <v>1</v>
      </c>
      <c r="I571" s="177">
        <v>1359</v>
      </c>
      <c r="J571" s="175">
        <v>46042</v>
      </c>
      <c r="K571" s="171" t="s">
        <v>113</v>
      </c>
      <c r="L571" s="171" t="s">
        <v>114</v>
      </c>
      <c r="M571" s="178">
        <v>0.43</v>
      </c>
      <c r="N571" s="176"/>
      <c r="O571" s="176"/>
      <c r="P571" s="179">
        <v>-584.37</v>
      </c>
    </row>
    <row r="572" spans="1:16" ht="19.5" customHeight="1">
      <c r="A572" s="171" t="s">
        <v>664</v>
      </c>
      <c r="B572" s="175">
        <v>46045</v>
      </c>
      <c r="C572" s="171" t="s">
        <v>115</v>
      </c>
      <c r="D572" s="171" t="s">
        <v>116</v>
      </c>
      <c r="E572" s="171" t="s">
        <v>48</v>
      </c>
      <c r="F572" s="171" t="s">
        <v>198</v>
      </c>
      <c r="G572" s="171" t="s">
        <v>112</v>
      </c>
      <c r="H572" s="176">
        <v>1</v>
      </c>
      <c r="I572" s="177">
        <v>1359</v>
      </c>
      <c r="J572" s="175">
        <v>46042</v>
      </c>
      <c r="K572" s="171" t="s">
        <v>113</v>
      </c>
      <c r="L572" s="171" t="s">
        <v>114</v>
      </c>
      <c r="M572" s="178">
        <v>0.43</v>
      </c>
      <c r="N572" s="176"/>
      <c r="O572" s="176"/>
      <c r="P572" s="179">
        <v>-9.52</v>
      </c>
    </row>
    <row r="573" spans="1:16" ht="19.5" customHeight="1">
      <c r="A573" s="171" t="s">
        <v>608</v>
      </c>
      <c r="B573" s="175">
        <v>46045</v>
      </c>
      <c r="C573" s="171" t="s">
        <v>308</v>
      </c>
      <c r="D573" s="171" t="s">
        <v>419</v>
      </c>
      <c r="E573" s="171" t="s">
        <v>78</v>
      </c>
      <c r="F573" s="171" t="s">
        <v>176</v>
      </c>
      <c r="G573" s="171" t="s">
        <v>177</v>
      </c>
      <c r="H573" s="176">
        <v>1</v>
      </c>
      <c r="I573" s="177">
        <v>-4940</v>
      </c>
      <c r="J573" s="175">
        <v>46041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-2333.33</v>
      </c>
    </row>
    <row r="574" spans="1:16" ht="19.5" customHeight="1">
      <c r="A574" s="171" t="s">
        <v>608</v>
      </c>
      <c r="B574" s="175">
        <v>46045</v>
      </c>
      <c r="C574" s="171" t="s">
        <v>308</v>
      </c>
      <c r="D574" s="171" t="s">
        <v>129</v>
      </c>
      <c r="E574" s="171" t="s">
        <v>78</v>
      </c>
      <c r="F574" s="171" t="s">
        <v>176</v>
      </c>
      <c r="G574" s="171" t="s">
        <v>177</v>
      </c>
      <c r="H574" s="176">
        <v>1</v>
      </c>
      <c r="I574" s="177">
        <v>-4940</v>
      </c>
      <c r="J574" s="175">
        <v>46041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-23.33</v>
      </c>
    </row>
    <row r="575" spans="1:16" ht="19.5" customHeight="1">
      <c r="A575" s="171" t="s">
        <v>608</v>
      </c>
      <c r="B575" s="175">
        <v>46045</v>
      </c>
      <c r="C575" s="171" t="s">
        <v>308</v>
      </c>
      <c r="D575" s="171" t="s">
        <v>130</v>
      </c>
      <c r="E575" s="171" t="s">
        <v>78</v>
      </c>
      <c r="F575" s="171" t="s">
        <v>176</v>
      </c>
      <c r="G575" s="171" t="s">
        <v>177</v>
      </c>
      <c r="H575" s="176">
        <v>1</v>
      </c>
      <c r="I575" s="177">
        <v>-4940</v>
      </c>
      <c r="J575" s="175">
        <v>46041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-2583.34</v>
      </c>
    </row>
    <row r="576" spans="1:16" ht="19.5" customHeight="1">
      <c r="A576" s="171" t="s">
        <v>608</v>
      </c>
      <c r="B576" s="175">
        <v>46045</v>
      </c>
      <c r="C576" s="171" t="s">
        <v>131</v>
      </c>
      <c r="D576" s="171" t="s">
        <v>420</v>
      </c>
      <c r="E576" s="171" t="s">
        <v>78</v>
      </c>
      <c r="F576" s="171" t="s">
        <v>176</v>
      </c>
      <c r="G576" s="171" t="s">
        <v>177</v>
      </c>
      <c r="H576" s="176">
        <v>1</v>
      </c>
      <c r="I576" s="177">
        <v>-4940</v>
      </c>
      <c r="J576" s="175">
        <v>46041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2124.1999999999998</v>
      </c>
    </row>
    <row r="577" spans="1:16" ht="19.5" customHeight="1">
      <c r="A577" s="171" t="s">
        <v>664</v>
      </c>
      <c r="B577" s="175">
        <v>46045</v>
      </c>
      <c r="C577" s="171" t="s">
        <v>115</v>
      </c>
      <c r="D577" s="171" t="s">
        <v>135</v>
      </c>
      <c r="E577" s="171" t="s">
        <v>48</v>
      </c>
      <c r="F577" s="171" t="s">
        <v>198</v>
      </c>
      <c r="G577" s="171" t="s">
        <v>112</v>
      </c>
      <c r="H577" s="176">
        <v>1</v>
      </c>
      <c r="I577" s="177">
        <v>0</v>
      </c>
      <c r="J577" s="175">
        <v>46042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-10.23</v>
      </c>
    </row>
    <row r="578" spans="1:16" ht="19.5" customHeight="1">
      <c r="A578" s="171" t="s">
        <v>608</v>
      </c>
      <c r="B578" s="175">
        <v>46045</v>
      </c>
      <c r="C578" s="171" t="s">
        <v>115</v>
      </c>
      <c r="D578" s="171" t="s">
        <v>135</v>
      </c>
      <c r="E578" s="171" t="s">
        <v>78</v>
      </c>
      <c r="F578" s="171" t="s">
        <v>176</v>
      </c>
      <c r="G578" s="171" t="s">
        <v>177</v>
      </c>
      <c r="H578" s="176">
        <v>1</v>
      </c>
      <c r="I578" s="177">
        <v>0</v>
      </c>
      <c r="J578" s="175">
        <v>46041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44.33</v>
      </c>
    </row>
    <row r="579" spans="1:16" ht="19.5" customHeight="1">
      <c r="A579" s="171" t="s">
        <v>594</v>
      </c>
      <c r="B579" s="175">
        <v>46045</v>
      </c>
      <c r="C579" s="171" t="s">
        <v>115</v>
      </c>
      <c r="D579" s="171" t="s">
        <v>135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0</v>
      </c>
      <c r="J579" s="175">
        <v>46043</v>
      </c>
      <c r="K579" s="171" t="s">
        <v>125</v>
      </c>
      <c r="L579" s="171" t="s">
        <v>125</v>
      </c>
      <c r="M579" s="178">
        <v>0</v>
      </c>
      <c r="N579" s="176"/>
      <c r="O579" s="176"/>
      <c r="P579" s="179">
        <v>10.95</v>
      </c>
    </row>
    <row r="580" spans="1:16" ht="19.5" customHeight="1">
      <c r="A580" s="171" t="s">
        <v>665</v>
      </c>
      <c r="B580" s="175">
        <v>46045</v>
      </c>
      <c r="C580" s="171" t="s">
        <v>110</v>
      </c>
      <c r="D580" s="171" t="s">
        <v>24</v>
      </c>
      <c r="E580" s="171" t="s">
        <v>49</v>
      </c>
      <c r="F580" s="171" t="s">
        <v>490</v>
      </c>
      <c r="G580" s="171" t="s">
        <v>112</v>
      </c>
      <c r="H580" s="176">
        <v>1</v>
      </c>
      <c r="I580" s="177">
        <v>1429</v>
      </c>
      <c r="J580" s="175">
        <v>46044</v>
      </c>
      <c r="K580" s="171" t="s">
        <v>113</v>
      </c>
      <c r="L580" s="171" t="s">
        <v>114</v>
      </c>
      <c r="M580" s="178">
        <v>0.43</v>
      </c>
      <c r="N580" s="176"/>
      <c r="O580" s="176">
        <v>54</v>
      </c>
      <c r="P580" s="179">
        <v>-139.46</v>
      </c>
    </row>
    <row r="581" spans="1:16" ht="19.5" customHeight="1">
      <c r="A581" s="171" t="s">
        <v>665</v>
      </c>
      <c r="B581" s="175">
        <v>46045</v>
      </c>
      <c r="C581" s="171" t="s">
        <v>127</v>
      </c>
      <c r="D581" s="171" t="s">
        <v>128</v>
      </c>
      <c r="E581" s="171" t="s">
        <v>49</v>
      </c>
      <c r="F581" s="171" t="s">
        <v>490</v>
      </c>
      <c r="G581" s="171" t="s">
        <v>112</v>
      </c>
      <c r="H581" s="176">
        <v>1</v>
      </c>
      <c r="I581" s="177">
        <v>1429</v>
      </c>
      <c r="J581" s="175">
        <v>46044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800.38</v>
      </c>
    </row>
    <row r="582" spans="1:16" ht="19.5" customHeight="1">
      <c r="A582" s="171" t="s">
        <v>665</v>
      </c>
      <c r="B582" s="175">
        <v>46045</v>
      </c>
      <c r="C582" s="171" t="s">
        <v>127</v>
      </c>
      <c r="D582" s="171" t="s">
        <v>129</v>
      </c>
      <c r="E582" s="171" t="s">
        <v>49</v>
      </c>
      <c r="F582" s="171" t="s">
        <v>490</v>
      </c>
      <c r="G582" s="171" t="s">
        <v>112</v>
      </c>
      <c r="H582" s="176">
        <v>1</v>
      </c>
      <c r="I582" s="177">
        <v>1429</v>
      </c>
      <c r="J582" s="175">
        <v>46044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8</v>
      </c>
    </row>
    <row r="583" spans="1:16" ht="19.5" customHeight="1">
      <c r="A583" s="171" t="s">
        <v>665</v>
      </c>
      <c r="B583" s="175">
        <v>46045</v>
      </c>
      <c r="C583" s="171" t="s">
        <v>127</v>
      </c>
      <c r="D583" s="171" t="s">
        <v>130</v>
      </c>
      <c r="E583" s="171" t="s">
        <v>49</v>
      </c>
      <c r="F583" s="171" t="s">
        <v>490</v>
      </c>
      <c r="G583" s="171" t="s">
        <v>112</v>
      </c>
      <c r="H583" s="176">
        <v>1</v>
      </c>
      <c r="I583" s="177">
        <v>1429</v>
      </c>
      <c r="J583" s="175">
        <v>46044</v>
      </c>
      <c r="K583" s="171" t="s">
        <v>113</v>
      </c>
      <c r="L583" s="171" t="s">
        <v>114</v>
      </c>
      <c r="M583" s="178">
        <v>0</v>
      </c>
      <c r="N583" s="176"/>
      <c r="O583" s="176"/>
      <c r="P583" s="179">
        <v>620.62</v>
      </c>
    </row>
    <row r="584" spans="1:16" ht="19.5" customHeight="1">
      <c r="A584" s="171" t="s">
        <v>665</v>
      </c>
      <c r="B584" s="175">
        <v>46045</v>
      </c>
      <c r="C584" s="171" t="s">
        <v>131</v>
      </c>
      <c r="D584" s="171" t="s">
        <v>132</v>
      </c>
      <c r="E584" s="171" t="s">
        <v>49</v>
      </c>
      <c r="F584" s="171" t="s">
        <v>490</v>
      </c>
      <c r="G584" s="171" t="s">
        <v>112</v>
      </c>
      <c r="H584" s="176">
        <v>1</v>
      </c>
      <c r="I584" s="177">
        <v>1429</v>
      </c>
      <c r="J584" s="175">
        <v>46044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-614.47</v>
      </c>
    </row>
    <row r="585" spans="1:16" ht="19.5" customHeight="1">
      <c r="A585" s="171" t="s">
        <v>665</v>
      </c>
      <c r="B585" s="175">
        <v>46045</v>
      </c>
      <c r="C585" s="171" t="s">
        <v>115</v>
      </c>
      <c r="D585" s="171" t="s">
        <v>116</v>
      </c>
      <c r="E585" s="171" t="s">
        <v>49</v>
      </c>
      <c r="F585" s="171" t="s">
        <v>490</v>
      </c>
      <c r="G585" s="171" t="s">
        <v>112</v>
      </c>
      <c r="H585" s="176">
        <v>1</v>
      </c>
      <c r="I585" s="177">
        <v>1429</v>
      </c>
      <c r="J585" s="175">
        <v>46044</v>
      </c>
      <c r="K585" s="171" t="s">
        <v>113</v>
      </c>
      <c r="L585" s="171" t="s">
        <v>114</v>
      </c>
      <c r="M585" s="178">
        <v>0.43</v>
      </c>
      <c r="N585" s="176"/>
      <c r="O585" s="176"/>
      <c r="P585" s="179">
        <v>-6.53</v>
      </c>
    </row>
    <row r="586" spans="1:16" ht="19.5" customHeight="1">
      <c r="A586" s="171" t="s">
        <v>666</v>
      </c>
      <c r="B586" s="175">
        <v>46045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0</v>
      </c>
      <c r="J586" s="175">
        <v>46040</v>
      </c>
      <c r="K586" s="171" t="s">
        <v>113</v>
      </c>
      <c r="L586" s="171" t="s">
        <v>114</v>
      </c>
      <c r="M586" s="178">
        <v>0</v>
      </c>
      <c r="N586" s="176"/>
      <c r="O586" s="176">
        <v>51</v>
      </c>
      <c r="P586" s="179">
        <v>-46.77</v>
      </c>
    </row>
    <row r="587" spans="1:16" ht="19.5" customHeight="1">
      <c r="A587" s="171" t="s">
        <v>666</v>
      </c>
      <c r="B587" s="175">
        <v>46045</v>
      </c>
      <c r="C587" s="171" t="s">
        <v>115</v>
      </c>
      <c r="D587" s="171" t="s">
        <v>116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0</v>
      </c>
      <c r="J587" s="175">
        <v>46040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-10.15</v>
      </c>
    </row>
    <row r="588" spans="1:16" ht="19.5" customHeight="1">
      <c r="A588" s="171" t="s">
        <v>666</v>
      </c>
      <c r="B588" s="175">
        <v>46045</v>
      </c>
      <c r="C588" s="171" t="s">
        <v>110</v>
      </c>
      <c r="D588" s="171" t="s">
        <v>117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0</v>
      </c>
      <c r="J588" s="175">
        <v>46040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666</v>
      </c>
      <c r="B589" s="175">
        <v>46045</v>
      </c>
      <c r="C589" s="171" t="s">
        <v>110</v>
      </c>
      <c r="D589" s="171" t="s">
        <v>118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46040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-46.77</v>
      </c>
    </row>
    <row r="590" spans="1:16" ht="19.5" customHeight="1">
      <c r="A590" s="171" t="s">
        <v>666</v>
      </c>
      <c r="B590" s="175">
        <v>46045</v>
      </c>
      <c r="C590" s="171" t="s">
        <v>115</v>
      </c>
      <c r="D590" s="171" t="s">
        <v>119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0</v>
      </c>
      <c r="J590" s="175">
        <v>46040</v>
      </c>
      <c r="K590" s="171" t="s">
        <v>113</v>
      </c>
      <c r="L590" s="171" t="s">
        <v>114</v>
      </c>
      <c r="M590" s="178">
        <v>0</v>
      </c>
      <c r="N590" s="176"/>
      <c r="O590" s="176"/>
      <c r="P590" s="179">
        <v>-15</v>
      </c>
    </row>
    <row r="591" spans="1:16" ht="19.5" customHeight="1">
      <c r="A591" s="171" t="s">
        <v>667</v>
      </c>
      <c r="B591" s="175">
        <v>46045</v>
      </c>
      <c r="C591" s="171" t="s">
        <v>110</v>
      </c>
      <c r="D591" s="171" t="s">
        <v>24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1670</v>
      </c>
      <c r="J591" s="175">
        <v>46042</v>
      </c>
      <c r="K591" s="171" t="s">
        <v>113</v>
      </c>
      <c r="L591" s="171" t="s">
        <v>114</v>
      </c>
      <c r="M591" s="178">
        <v>0.43</v>
      </c>
      <c r="N591" s="176"/>
      <c r="O591" s="176">
        <v>52</v>
      </c>
      <c r="P591" s="179">
        <v>-147.6</v>
      </c>
    </row>
    <row r="592" spans="1:16" ht="19.5" customHeight="1">
      <c r="A592" s="171" t="s">
        <v>667</v>
      </c>
      <c r="B592" s="175">
        <v>46045</v>
      </c>
      <c r="C592" s="171" t="s">
        <v>127</v>
      </c>
      <c r="D592" s="171" t="s">
        <v>128</v>
      </c>
      <c r="E592" s="171" t="s">
        <v>38</v>
      </c>
      <c r="F592" s="171" t="s">
        <v>111</v>
      </c>
      <c r="G592" s="171" t="s">
        <v>112</v>
      </c>
      <c r="H592" s="176">
        <v>1</v>
      </c>
      <c r="I592" s="177">
        <v>1670</v>
      </c>
      <c r="J592" s="175">
        <v>46042</v>
      </c>
      <c r="K592" s="171" t="s">
        <v>113</v>
      </c>
      <c r="L592" s="171" t="s">
        <v>114</v>
      </c>
      <c r="M592" s="178">
        <v>0</v>
      </c>
      <c r="N592" s="176"/>
      <c r="O592" s="176"/>
      <c r="P592" s="179">
        <v>576.19000000000005</v>
      </c>
    </row>
    <row r="593" spans="1:16" ht="19.5" customHeight="1">
      <c r="A593" s="171" t="s">
        <v>667</v>
      </c>
      <c r="B593" s="175">
        <v>46045</v>
      </c>
      <c r="C593" s="171" t="s">
        <v>127</v>
      </c>
      <c r="D593" s="171" t="s">
        <v>129</v>
      </c>
      <c r="E593" s="171" t="s">
        <v>38</v>
      </c>
      <c r="F593" s="171" t="s">
        <v>111</v>
      </c>
      <c r="G593" s="171" t="s">
        <v>112</v>
      </c>
      <c r="H593" s="176">
        <v>1</v>
      </c>
      <c r="I593" s="177">
        <v>1670</v>
      </c>
      <c r="J593" s="175">
        <v>46042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5.76</v>
      </c>
    </row>
    <row r="594" spans="1:16" ht="19.5" customHeight="1">
      <c r="A594" s="171" t="s">
        <v>667</v>
      </c>
      <c r="B594" s="175">
        <v>46045</v>
      </c>
      <c r="C594" s="171" t="s">
        <v>127</v>
      </c>
      <c r="D594" s="171" t="s">
        <v>130</v>
      </c>
      <c r="E594" s="171" t="s">
        <v>38</v>
      </c>
      <c r="F594" s="171" t="s">
        <v>111</v>
      </c>
      <c r="G594" s="171" t="s">
        <v>112</v>
      </c>
      <c r="H594" s="176">
        <v>1</v>
      </c>
      <c r="I594" s="177">
        <v>1670</v>
      </c>
      <c r="J594" s="175">
        <v>46042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1088.05</v>
      </c>
    </row>
    <row r="595" spans="1:16" ht="19.5" customHeight="1">
      <c r="A595" s="171" t="s">
        <v>667</v>
      </c>
      <c r="B595" s="175">
        <v>46045</v>
      </c>
      <c r="C595" s="171" t="s">
        <v>131</v>
      </c>
      <c r="D595" s="171" t="s">
        <v>132</v>
      </c>
      <c r="E595" s="171" t="s">
        <v>38</v>
      </c>
      <c r="F595" s="171" t="s">
        <v>111</v>
      </c>
      <c r="G595" s="171" t="s">
        <v>112</v>
      </c>
      <c r="H595" s="176">
        <v>1</v>
      </c>
      <c r="I595" s="177">
        <v>1670</v>
      </c>
      <c r="J595" s="175">
        <v>46042</v>
      </c>
      <c r="K595" s="171" t="s">
        <v>113</v>
      </c>
      <c r="L595" s="171" t="s">
        <v>114</v>
      </c>
      <c r="M595" s="178">
        <v>0.43</v>
      </c>
      <c r="N595" s="176"/>
      <c r="O595" s="176"/>
      <c r="P595" s="179">
        <v>-718.1</v>
      </c>
    </row>
    <row r="596" spans="1:16" ht="19.5" customHeight="1">
      <c r="A596" s="171" t="s">
        <v>667</v>
      </c>
      <c r="B596" s="175">
        <v>46045</v>
      </c>
      <c r="C596" s="171" t="s">
        <v>115</v>
      </c>
      <c r="D596" s="171" t="s">
        <v>116</v>
      </c>
      <c r="E596" s="171" t="s">
        <v>38</v>
      </c>
      <c r="F596" s="171" t="s">
        <v>111</v>
      </c>
      <c r="G596" s="171" t="s">
        <v>112</v>
      </c>
      <c r="H596" s="176">
        <v>1</v>
      </c>
      <c r="I596" s="177">
        <v>1670</v>
      </c>
      <c r="J596" s="175">
        <v>46042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-11.16</v>
      </c>
    </row>
    <row r="597" spans="1:16" ht="19.5" customHeight="1">
      <c r="A597" s="171" t="s">
        <v>667</v>
      </c>
      <c r="B597" s="175">
        <v>46045</v>
      </c>
      <c r="C597" s="171" t="s">
        <v>115</v>
      </c>
      <c r="D597" s="171" t="s">
        <v>135</v>
      </c>
      <c r="E597" s="171" t="s">
        <v>38</v>
      </c>
      <c r="F597" s="171" t="s">
        <v>111</v>
      </c>
      <c r="G597" s="171" t="s">
        <v>112</v>
      </c>
      <c r="H597" s="176">
        <v>1</v>
      </c>
      <c r="I597" s="177">
        <v>0</v>
      </c>
      <c r="J597" s="175">
        <v>46042</v>
      </c>
      <c r="K597" s="171" t="s">
        <v>125</v>
      </c>
      <c r="L597" s="171" t="s">
        <v>125</v>
      </c>
      <c r="M597" s="178">
        <v>0</v>
      </c>
      <c r="N597" s="176"/>
      <c r="O597" s="176"/>
      <c r="P597" s="179">
        <v>-10.95</v>
      </c>
    </row>
    <row r="598" spans="1:16" ht="19.5" customHeight="1">
      <c r="A598" s="171" t="s">
        <v>668</v>
      </c>
      <c r="B598" s="175">
        <v>46045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823</v>
      </c>
      <c r="J598" s="175">
        <v>46041</v>
      </c>
      <c r="K598" s="171" t="s">
        <v>113</v>
      </c>
      <c r="L598" s="171" t="s">
        <v>114</v>
      </c>
      <c r="M598" s="178">
        <v>0.43</v>
      </c>
      <c r="N598" s="176"/>
      <c r="O598" s="176">
        <v>53</v>
      </c>
      <c r="P598" s="179">
        <v>-115.35</v>
      </c>
    </row>
    <row r="599" spans="1:16" ht="19.5" customHeight="1">
      <c r="A599" s="171" t="s">
        <v>668</v>
      </c>
      <c r="B599" s="175">
        <v>46045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823</v>
      </c>
      <c r="J599" s="175">
        <v>46041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285.70999999999998</v>
      </c>
    </row>
    <row r="600" spans="1:16" ht="19.5" customHeight="1">
      <c r="A600" s="171" t="s">
        <v>668</v>
      </c>
      <c r="B600" s="175">
        <v>46045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823</v>
      </c>
      <c r="J600" s="175">
        <v>46041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2.86</v>
      </c>
    </row>
    <row r="601" spans="1:16" ht="19.5" customHeight="1">
      <c r="A601" s="171" t="s">
        <v>668</v>
      </c>
      <c r="B601" s="175">
        <v>46045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823</v>
      </c>
      <c r="J601" s="175">
        <v>46041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534.42999999999995</v>
      </c>
    </row>
    <row r="602" spans="1:16" ht="19.5" customHeight="1">
      <c r="A602" s="171" t="s">
        <v>668</v>
      </c>
      <c r="B602" s="175">
        <v>46045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823</v>
      </c>
      <c r="J602" s="175">
        <v>46041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-353.89</v>
      </c>
    </row>
    <row r="603" spans="1:16" ht="19.5" customHeight="1">
      <c r="A603" s="171" t="s">
        <v>668</v>
      </c>
      <c r="B603" s="175">
        <v>46045</v>
      </c>
      <c r="C603" s="171" t="s">
        <v>115</v>
      </c>
      <c r="D603" s="171" t="s">
        <v>135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0</v>
      </c>
      <c r="J603" s="175">
        <v>46041</v>
      </c>
      <c r="K603" s="171" t="s">
        <v>125</v>
      </c>
      <c r="L603" s="171" t="s">
        <v>125</v>
      </c>
      <c r="M603" s="178">
        <v>0</v>
      </c>
      <c r="N603" s="176"/>
      <c r="O603" s="176"/>
      <c r="P603" s="179">
        <v>-5.43</v>
      </c>
    </row>
    <row r="604" spans="1:16" ht="19.5" customHeight="1">
      <c r="A604" s="171" t="s">
        <v>669</v>
      </c>
      <c r="B604" s="175">
        <v>46045</v>
      </c>
      <c r="C604" s="171" t="s">
        <v>110</v>
      </c>
      <c r="D604" s="171" t="s">
        <v>24</v>
      </c>
      <c r="E604" s="171" t="s">
        <v>41</v>
      </c>
      <c r="F604" s="171" t="s">
        <v>138</v>
      </c>
      <c r="G604" s="171" t="s">
        <v>112</v>
      </c>
      <c r="H604" s="176">
        <v>1</v>
      </c>
      <c r="I604" s="177">
        <v>0</v>
      </c>
      <c r="J604" s="175">
        <v>46035</v>
      </c>
      <c r="K604" s="171" t="s">
        <v>113</v>
      </c>
      <c r="L604" s="171" t="s">
        <v>114</v>
      </c>
      <c r="M604" s="178">
        <v>0</v>
      </c>
      <c r="N604" s="176"/>
      <c r="O604" s="176">
        <v>46</v>
      </c>
      <c r="P604" s="179">
        <v>-46.77</v>
      </c>
    </row>
    <row r="605" spans="1:16" ht="19.5" customHeight="1">
      <c r="A605" s="171" t="s">
        <v>669</v>
      </c>
      <c r="B605" s="175">
        <v>46045</v>
      </c>
      <c r="C605" s="171" t="s">
        <v>115</v>
      </c>
      <c r="D605" s="171" t="s">
        <v>116</v>
      </c>
      <c r="E605" s="171" t="s">
        <v>41</v>
      </c>
      <c r="F605" s="171" t="s">
        <v>138</v>
      </c>
      <c r="G605" s="171" t="s">
        <v>112</v>
      </c>
      <c r="H605" s="176">
        <v>1</v>
      </c>
      <c r="I605" s="177">
        <v>0</v>
      </c>
      <c r="J605" s="175">
        <v>46035</v>
      </c>
      <c r="K605" s="171" t="s">
        <v>113</v>
      </c>
      <c r="L605" s="171" t="s">
        <v>114</v>
      </c>
      <c r="M605" s="178">
        <v>0</v>
      </c>
      <c r="N605" s="176"/>
      <c r="O605" s="176"/>
      <c r="P605" s="179">
        <v>-12.16</v>
      </c>
    </row>
    <row r="606" spans="1:16" ht="19.5" customHeight="1">
      <c r="A606" s="171" t="s">
        <v>669</v>
      </c>
      <c r="B606" s="175">
        <v>46045</v>
      </c>
      <c r="C606" s="171" t="s">
        <v>110</v>
      </c>
      <c r="D606" s="171" t="s">
        <v>117</v>
      </c>
      <c r="E606" s="171" t="s">
        <v>41</v>
      </c>
      <c r="F606" s="171" t="s">
        <v>138</v>
      </c>
      <c r="G606" s="171" t="s">
        <v>112</v>
      </c>
      <c r="H606" s="176">
        <v>1</v>
      </c>
      <c r="I606" s="177">
        <v>0</v>
      </c>
      <c r="J606" s="175">
        <v>46035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0</v>
      </c>
    </row>
    <row r="607" spans="1:16" ht="19.5" customHeight="1">
      <c r="A607" s="171" t="s">
        <v>669</v>
      </c>
      <c r="B607" s="175">
        <v>46045</v>
      </c>
      <c r="C607" s="171" t="s">
        <v>110</v>
      </c>
      <c r="D607" s="171" t="s">
        <v>118</v>
      </c>
      <c r="E607" s="171" t="s">
        <v>41</v>
      </c>
      <c r="F607" s="171" t="s">
        <v>138</v>
      </c>
      <c r="G607" s="171" t="s">
        <v>112</v>
      </c>
      <c r="H607" s="176">
        <v>1</v>
      </c>
      <c r="I607" s="177">
        <v>0</v>
      </c>
      <c r="J607" s="175">
        <v>46035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-46.77</v>
      </c>
    </row>
    <row r="608" spans="1:16" ht="19.5" customHeight="1">
      <c r="A608" s="171" t="s">
        <v>669</v>
      </c>
      <c r="B608" s="175">
        <v>46045</v>
      </c>
      <c r="C608" s="171" t="s">
        <v>115</v>
      </c>
      <c r="D608" s="171" t="s">
        <v>119</v>
      </c>
      <c r="E608" s="171" t="s">
        <v>41</v>
      </c>
      <c r="F608" s="171" t="s">
        <v>138</v>
      </c>
      <c r="G608" s="171" t="s">
        <v>112</v>
      </c>
      <c r="H608" s="176">
        <v>1</v>
      </c>
      <c r="I608" s="177">
        <v>0</v>
      </c>
      <c r="J608" s="175">
        <v>46035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-15</v>
      </c>
    </row>
    <row r="609" spans="1:16" ht="19.5" customHeight="1">
      <c r="A609" s="171" t="s">
        <v>670</v>
      </c>
      <c r="B609" s="175">
        <v>46045</v>
      </c>
      <c r="C609" s="171" t="s">
        <v>115</v>
      </c>
      <c r="D609" s="171" t="s">
        <v>135</v>
      </c>
      <c r="E609" s="171" t="s">
        <v>38</v>
      </c>
      <c r="F609" s="171" t="s">
        <v>111</v>
      </c>
      <c r="G609" s="171" t="s">
        <v>112</v>
      </c>
      <c r="H609" s="176">
        <v>1</v>
      </c>
      <c r="I609" s="177">
        <v>0</v>
      </c>
      <c r="J609" s="175">
        <v>46045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-4.49</v>
      </c>
    </row>
    <row r="610" spans="1:16" ht="19.5" customHeight="1">
      <c r="A610" s="171" t="s">
        <v>671</v>
      </c>
      <c r="B610" s="175">
        <v>46045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46045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-222.56</v>
      </c>
    </row>
    <row r="611" spans="1:16" ht="19.5" customHeight="1">
      <c r="A611" s="171" t="s">
        <v>565</v>
      </c>
      <c r="B611" s="175">
        <v>46045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46045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-314.73</v>
      </c>
    </row>
    <row r="612" spans="1:16" ht="19.5" customHeight="1">
      <c r="A612" s="171" t="s">
        <v>196</v>
      </c>
      <c r="B612" s="175">
        <v>46045</v>
      </c>
      <c r="C612" s="171" t="s">
        <v>151</v>
      </c>
      <c r="D612" s="171" t="s">
        <v>152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46045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-483.47</v>
      </c>
    </row>
    <row r="613" spans="1:16" ht="19.5" customHeight="1">
      <c r="A613" s="171" t="s">
        <v>179</v>
      </c>
      <c r="B613" s="175">
        <v>46045</v>
      </c>
      <c r="C613" s="171" t="s">
        <v>151</v>
      </c>
      <c r="D613" s="171" t="s">
        <v>152</v>
      </c>
      <c r="E613" s="171" t="s">
        <v>125</v>
      </c>
      <c r="F613" s="171" t="s">
        <v>125</v>
      </c>
      <c r="G613" s="171" t="s">
        <v>125</v>
      </c>
      <c r="H613" s="176">
        <v>0</v>
      </c>
      <c r="I613" s="177">
        <v>0</v>
      </c>
      <c r="J613" s="175">
        <v>46045</v>
      </c>
      <c r="K613" s="171" t="s">
        <v>125</v>
      </c>
      <c r="L613" s="171" t="s">
        <v>125</v>
      </c>
      <c r="M613" s="178">
        <v>0</v>
      </c>
      <c r="N613" s="176"/>
      <c r="O613" s="176"/>
      <c r="P613" s="179">
        <v>-379.75</v>
      </c>
    </row>
    <row r="614" spans="1:16" ht="19.5" customHeight="1">
      <c r="A614" s="171" t="s">
        <v>180</v>
      </c>
      <c r="B614" s="175">
        <v>46045</v>
      </c>
      <c r="C614" s="171" t="s">
        <v>151</v>
      </c>
      <c r="D614" s="171" t="s">
        <v>152</v>
      </c>
      <c r="E614" s="171" t="s">
        <v>125</v>
      </c>
      <c r="F614" s="171" t="s">
        <v>125</v>
      </c>
      <c r="G614" s="171" t="s">
        <v>125</v>
      </c>
      <c r="H614" s="176">
        <v>0</v>
      </c>
      <c r="I614" s="177">
        <v>0</v>
      </c>
      <c r="J614" s="175">
        <v>46045</v>
      </c>
      <c r="K614" s="171" t="s">
        <v>125</v>
      </c>
      <c r="L614" s="171" t="s">
        <v>125</v>
      </c>
      <c r="M614" s="178">
        <v>0</v>
      </c>
      <c r="N614" s="176"/>
      <c r="O614" s="176"/>
      <c r="P614" s="179">
        <v>-434.13</v>
      </c>
    </row>
    <row r="615" spans="1:16" ht="19.5" customHeight="1">
      <c r="A615" s="171" t="s">
        <v>153</v>
      </c>
      <c r="B615" s="175">
        <v>46045</v>
      </c>
      <c r="C615" s="171" t="s">
        <v>151</v>
      </c>
      <c r="D615" s="171" t="s">
        <v>152</v>
      </c>
      <c r="E615" s="171" t="s">
        <v>125</v>
      </c>
      <c r="F615" s="171" t="s">
        <v>125</v>
      </c>
      <c r="G615" s="171" t="s">
        <v>125</v>
      </c>
      <c r="H615" s="176">
        <v>0</v>
      </c>
      <c r="I615" s="177">
        <v>0</v>
      </c>
      <c r="J615" s="175">
        <v>46045</v>
      </c>
      <c r="K615" s="171" t="s">
        <v>125</v>
      </c>
      <c r="L615" s="171" t="s">
        <v>125</v>
      </c>
      <c r="M615" s="178">
        <v>0</v>
      </c>
      <c r="N615" s="176"/>
      <c r="O615" s="176"/>
      <c r="P615" s="179">
        <v>-287.66000000000003</v>
      </c>
    </row>
    <row r="616" spans="1:16" ht="19.5" customHeight="1">
      <c r="A616" s="171" t="s">
        <v>150</v>
      </c>
      <c r="B616" s="175">
        <v>46045</v>
      </c>
      <c r="C616" s="171" t="s">
        <v>151</v>
      </c>
      <c r="D616" s="171" t="s">
        <v>152</v>
      </c>
      <c r="E616" s="171" t="s">
        <v>125</v>
      </c>
      <c r="F616" s="171" t="s">
        <v>125</v>
      </c>
      <c r="G616" s="171" t="s">
        <v>125</v>
      </c>
      <c r="H616" s="176">
        <v>0</v>
      </c>
      <c r="I616" s="177">
        <v>0</v>
      </c>
      <c r="J616" s="175">
        <v>46045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-1265.8399999999999</v>
      </c>
    </row>
    <row r="617" spans="1:16" ht="19.5" customHeight="1">
      <c r="A617" s="171" t="s">
        <v>155</v>
      </c>
      <c r="B617" s="175">
        <v>46045</v>
      </c>
      <c r="C617" s="171" t="s">
        <v>151</v>
      </c>
      <c r="D617" s="171" t="s">
        <v>156</v>
      </c>
      <c r="E617" s="171" t="s">
        <v>125</v>
      </c>
      <c r="F617" s="171" t="s">
        <v>125</v>
      </c>
      <c r="G617" s="171" t="s">
        <v>125</v>
      </c>
      <c r="H617" s="176">
        <v>0</v>
      </c>
      <c r="I617" s="177">
        <v>0</v>
      </c>
      <c r="J617" s="175">
        <v>46045</v>
      </c>
      <c r="K617" s="171" t="s">
        <v>125</v>
      </c>
      <c r="L617" s="171" t="s">
        <v>125</v>
      </c>
      <c r="M617" s="178">
        <v>0</v>
      </c>
      <c r="N617" s="176"/>
      <c r="O617" s="176"/>
      <c r="P617" s="179">
        <v>-3624.77</v>
      </c>
    </row>
    <row r="618" spans="1:16" ht="19.5" customHeight="1">
      <c r="A618" s="171" t="s">
        <v>672</v>
      </c>
      <c r="B618" s="175">
        <v>46046</v>
      </c>
      <c r="C618" s="171" t="s">
        <v>110</v>
      </c>
      <c r="D618" s="171" t="s">
        <v>24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0</v>
      </c>
      <c r="J618" s="175">
        <v>46028</v>
      </c>
      <c r="K618" s="171" t="s">
        <v>113</v>
      </c>
      <c r="L618" s="171" t="s">
        <v>114</v>
      </c>
      <c r="M618" s="178">
        <v>0</v>
      </c>
      <c r="N618" s="176"/>
      <c r="O618" s="176">
        <v>44</v>
      </c>
      <c r="P618" s="179">
        <v>-46.77</v>
      </c>
    </row>
    <row r="619" spans="1:16" ht="19.5" customHeight="1">
      <c r="A619" s="171" t="s">
        <v>672</v>
      </c>
      <c r="B619" s="175">
        <v>46046</v>
      </c>
      <c r="C619" s="171" t="s">
        <v>115</v>
      </c>
      <c r="D619" s="171" t="s">
        <v>116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0</v>
      </c>
      <c r="J619" s="175">
        <v>46028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-7.75</v>
      </c>
    </row>
    <row r="620" spans="1:16" ht="19.5" customHeight="1">
      <c r="A620" s="171" t="s">
        <v>673</v>
      </c>
      <c r="B620" s="175">
        <v>46046</v>
      </c>
      <c r="C620" s="171" t="s">
        <v>110</v>
      </c>
      <c r="D620" s="171" t="s">
        <v>117</v>
      </c>
      <c r="E620" s="171" t="s">
        <v>48</v>
      </c>
      <c r="F620" s="171" t="s">
        <v>198</v>
      </c>
      <c r="G620" s="171" t="s">
        <v>112</v>
      </c>
      <c r="H620" s="176">
        <v>1</v>
      </c>
      <c r="I620" s="177">
        <v>0</v>
      </c>
      <c r="J620" s="175">
        <v>45990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0</v>
      </c>
    </row>
    <row r="621" spans="1:16" ht="19.5" customHeight="1">
      <c r="A621" s="171" t="s">
        <v>673</v>
      </c>
      <c r="B621" s="175">
        <v>46046</v>
      </c>
      <c r="C621" s="171" t="s">
        <v>110</v>
      </c>
      <c r="D621" s="171" t="s">
        <v>118</v>
      </c>
      <c r="E621" s="171" t="s">
        <v>48</v>
      </c>
      <c r="F621" s="171" t="s">
        <v>198</v>
      </c>
      <c r="G621" s="171" t="s">
        <v>112</v>
      </c>
      <c r="H621" s="176">
        <v>1</v>
      </c>
      <c r="I621" s="177">
        <v>0</v>
      </c>
      <c r="J621" s="175">
        <v>45990</v>
      </c>
      <c r="K621" s="171" t="s">
        <v>113</v>
      </c>
      <c r="L621" s="171" t="s">
        <v>114</v>
      </c>
      <c r="M621" s="178">
        <v>0</v>
      </c>
      <c r="N621" s="176"/>
      <c r="O621" s="176"/>
      <c r="P621" s="179">
        <v>-46</v>
      </c>
    </row>
    <row r="622" spans="1:16" ht="19.5" customHeight="1">
      <c r="A622" s="171" t="s">
        <v>673</v>
      </c>
      <c r="B622" s="175">
        <v>46046</v>
      </c>
      <c r="C622" s="171" t="s">
        <v>115</v>
      </c>
      <c r="D622" s="171" t="s">
        <v>119</v>
      </c>
      <c r="E622" s="171" t="s">
        <v>48</v>
      </c>
      <c r="F622" s="171" t="s">
        <v>198</v>
      </c>
      <c r="G622" s="171" t="s">
        <v>112</v>
      </c>
      <c r="H622" s="176">
        <v>1</v>
      </c>
      <c r="I622" s="177">
        <v>0</v>
      </c>
      <c r="J622" s="175">
        <v>45990</v>
      </c>
      <c r="K622" s="171" t="s">
        <v>113</v>
      </c>
      <c r="L622" s="171" t="s">
        <v>114</v>
      </c>
      <c r="M622" s="178">
        <v>0</v>
      </c>
      <c r="N622" s="176"/>
      <c r="O622" s="176"/>
      <c r="P622" s="179">
        <v>-15</v>
      </c>
    </row>
    <row r="623" spans="1:16" ht="19.5" customHeight="1">
      <c r="A623" s="171" t="s">
        <v>672</v>
      </c>
      <c r="B623" s="175">
        <v>46046</v>
      </c>
      <c r="C623" s="171" t="s">
        <v>110</v>
      </c>
      <c r="D623" s="171" t="s">
        <v>117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46028</v>
      </c>
      <c r="K623" s="171" t="s">
        <v>113</v>
      </c>
      <c r="L623" s="171" t="s">
        <v>114</v>
      </c>
      <c r="M623" s="178">
        <v>0</v>
      </c>
      <c r="N623" s="176"/>
      <c r="O623" s="176"/>
      <c r="P623" s="179">
        <v>0</v>
      </c>
    </row>
    <row r="624" spans="1:16" ht="19.5" customHeight="1">
      <c r="A624" s="171" t="s">
        <v>672</v>
      </c>
      <c r="B624" s="175">
        <v>46046</v>
      </c>
      <c r="C624" s="171" t="s">
        <v>110</v>
      </c>
      <c r="D624" s="171" t="s">
        <v>118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46028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-46.77</v>
      </c>
    </row>
    <row r="625" spans="1:16" ht="19.5" customHeight="1">
      <c r="A625" s="171" t="s">
        <v>673</v>
      </c>
      <c r="B625" s="175">
        <v>46046</v>
      </c>
      <c r="C625" s="171" t="s">
        <v>110</v>
      </c>
      <c r="D625" s="171" t="s">
        <v>24</v>
      </c>
      <c r="E625" s="171" t="s">
        <v>48</v>
      </c>
      <c r="F625" s="171" t="s">
        <v>198</v>
      </c>
      <c r="G625" s="171" t="s">
        <v>112</v>
      </c>
      <c r="H625" s="176">
        <v>1</v>
      </c>
      <c r="I625" s="177">
        <v>0</v>
      </c>
      <c r="J625" s="175">
        <v>45990</v>
      </c>
      <c r="K625" s="171" t="s">
        <v>113</v>
      </c>
      <c r="L625" s="171" t="s">
        <v>114</v>
      </c>
      <c r="M625" s="178">
        <v>0</v>
      </c>
      <c r="N625" s="176"/>
      <c r="O625" s="176">
        <v>47</v>
      </c>
      <c r="P625" s="179">
        <v>-46</v>
      </c>
    </row>
    <row r="626" spans="1:16" ht="19.5" customHeight="1">
      <c r="A626" s="171" t="s">
        <v>673</v>
      </c>
      <c r="B626" s="175">
        <v>46046</v>
      </c>
      <c r="C626" s="171" t="s">
        <v>115</v>
      </c>
      <c r="D626" s="171" t="s">
        <v>116</v>
      </c>
      <c r="E626" s="171" t="s">
        <v>48</v>
      </c>
      <c r="F626" s="171" t="s">
        <v>198</v>
      </c>
      <c r="G626" s="171" t="s">
        <v>112</v>
      </c>
      <c r="H626" s="176">
        <v>1</v>
      </c>
      <c r="I626" s="177">
        <v>0</v>
      </c>
      <c r="J626" s="175">
        <v>45990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-10.78</v>
      </c>
    </row>
    <row r="627" spans="1:16" ht="19.5" customHeight="1">
      <c r="A627" s="171" t="s">
        <v>674</v>
      </c>
      <c r="B627" s="175">
        <v>46046</v>
      </c>
      <c r="C627" s="171" t="s">
        <v>110</v>
      </c>
      <c r="D627" s="171" t="s">
        <v>24</v>
      </c>
      <c r="E627" s="171" t="s">
        <v>69</v>
      </c>
      <c r="F627" s="171" t="s">
        <v>675</v>
      </c>
      <c r="G627" s="171" t="s">
        <v>177</v>
      </c>
      <c r="H627" s="176">
        <v>1</v>
      </c>
      <c r="I627" s="177">
        <v>0</v>
      </c>
      <c r="J627" s="175">
        <v>46033</v>
      </c>
      <c r="K627" s="171" t="s">
        <v>113</v>
      </c>
      <c r="L627" s="171" t="s">
        <v>114</v>
      </c>
      <c r="M627" s="178">
        <v>0</v>
      </c>
      <c r="N627" s="176"/>
      <c r="O627" s="176">
        <v>50</v>
      </c>
      <c r="P627" s="179">
        <v>-56.94</v>
      </c>
    </row>
    <row r="628" spans="1:16" ht="19.5" customHeight="1">
      <c r="A628" s="171" t="s">
        <v>674</v>
      </c>
      <c r="B628" s="175">
        <v>46046</v>
      </c>
      <c r="C628" s="171" t="s">
        <v>115</v>
      </c>
      <c r="D628" s="171" t="s">
        <v>116</v>
      </c>
      <c r="E628" s="171" t="s">
        <v>69</v>
      </c>
      <c r="F628" s="171" t="s">
        <v>675</v>
      </c>
      <c r="G628" s="171" t="s">
        <v>177</v>
      </c>
      <c r="H628" s="176">
        <v>1</v>
      </c>
      <c r="I628" s="177">
        <v>0</v>
      </c>
      <c r="J628" s="175">
        <v>46033</v>
      </c>
      <c r="K628" s="171" t="s">
        <v>113</v>
      </c>
      <c r="L628" s="171" t="s">
        <v>114</v>
      </c>
      <c r="M628" s="178">
        <v>0</v>
      </c>
      <c r="N628" s="176"/>
      <c r="O628" s="176"/>
      <c r="P628" s="179">
        <v>-12.02</v>
      </c>
    </row>
    <row r="629" spans="1:16" ht="19.5" customHeight="1">
      <c r="A629" s="171" t="s">
        <v>674</v>
      </c>
      <c r="B629" s="175">
        <v>46046</v>
      </c>
      <c r="C629" s="171" t="s">
        <v>110</v>
      </c>
      <c r="D629" s="171" t="s">
        <v>117</v>
      </c>
      <c r="E629" s="171" t="s">
        <v>69</v>
      </c>
      <c r="F629" s="171" t="s">
        <v>675</v>
      </c>
      <c r="G629" s="171" t="s">
        <v>177</v>
      </c>
      <c r="H629" s="176">
        <v>1</v>
      </c>
      <c r="I629" s="177">
        <v>0</v>
      </c>
      <c r="J629" s="175">
        <v>46033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0</v>
      </c>
    </row>
    <row r="630" spans="1:16" ht="19.5" customHeight="1">
      <c r="A630" s="171" t="s">
        <v>674</v>
      </c>
      <c r="B630" s="175">
        <v>46046</v>
      </c>
      <c r="C630" s="171" t="s">
        <v>110</v>
      </c>
      <c r="D630" s="171" t="s">
        <v>118</v>
      </c>
      <c r="E630" s="171" t="s">
        <v>69</v>
      </c>
      <c r="F630" s="171" t="s">
        <v>675</v>
      </c>
      <c r="G630" s="171" t="s">
        <v>177</v>
      </c>
      <c r="H630" s="176">
        <v>1</v>
      </c>
      <c r="I630" s="177">
        <v>0</v>
      </c>
      <c r="J630" s="175">
        <v>46033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-56.94</v>
      </c>
    </row>
    <row r="631" spans="1:16" ht="19.5" customHeight="1">
      <c r="A631" s="171" t="s">
        <v>674</v>
      </c>
      <c r="B631" s="175">
        <v>46046</v>
      </c>
      <c r="C631" s="171" t="s">
        <v>115</v>
      </c>
      <c r="D631" s="171" t="s">
        <v>119</v>
      </c>
      <c r="E631" s="171" t="s">
        <v>69</v>
      </c>
      <c r="F631" s="171" t="s">
        <v>675</v>
      </c>
      <c r="G631" s="171" t="s">
        <v>177</v>
      </c>
      <c r="H631" s="176">
        <v>1</v>
      </c>
      <c r="I631" s="177">
        <v>0</v>
      </c>
      <c r="J631" s="175">
        <v>46033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-15</v>
      </c>
    </row>
    <row r="632" spans="1:16" ht="19.5" customHeight="1">
      <c r="A632" s="171" t="s">
        <v>676</v>
      </c>
      <c r="B632" s="175">
        <v>46046</v>
      </c>
      <c r="C632" s="171" t="s">
        <v>115</v>
      </c>
      <c r="D632" s="171" t="s">
        <v>135</v>
      </c>
      <c r="E632" s="171" t="s">
        <v>38</v>
      </c>
      <c r="F632" s="171" t="s">
        <v>111</v>
      </c>
      <c r="G632" s="171" t="s">
        <v>112</v>
      </c>
      <c r="H632" s="176">
        <v>1</v>
      </c>
      <c r="I632" s="177">
        <v>0</v>
      </c>
      <c r="J632" s="175">
        <v>46046</v>
      </c>
      <c r="K632" s="171" t="s">
        <v>125</v>
      </c>
      <c r="L632" s="171" t="s">
        <v>125</v>
      </c>
      <c r="M632" s="178">
        <v>0</v>
      </c>
      <c r="N632" s="176"/>
      <c r="O632" s="176"/>
      <c r="P632" s="179">
        <v>-15.2</v>
      </c>
    </row>
    <row r="633" spans="1:16" ht="19.5" customHeight="1">
      <c r="A633" s="171" t="s">
        <v>677</v>
      </c>
      <c r="B633" s="175">
        <v>46046</v>
      </c>
      <c r="C633" s="171" t="s">
        <v>110</v>
      </c>
      <c r="D633" s="171" t="s">
        <v>117</v>
      </c>
      <c r="E633" s="171" t="s">
        <v>45</v>
      </c>
      <c r="F633" s="171" t="s">
        <v>162</v>
      </c>
      <c r="G633" s="171" t="s">
        <v>163</v>
      </c>
      <c r="H633" s="176">
        <v>1</v>
      </c>
      <c r="I633" s="177">
        <v>0</v>
      </c>
      <c r="J633" s="175">
        <v>46033</v>
      </c>
      <c r="K633" s="171" t="s">
        <v>113</v>
      </c>
      <c r="L633" s="171" t="s">
        <v>114</v>
      </c>
      <c r="M633" s="178">
        <v>0</v>
      </c>
      <c r="N633" s="176"/>
      <c r="O633" s="176"/>
      <c r="P633" s="179">
        <v>0</v>
      </c>
    </row>
    <row r="634" spans="1:16" ht="19.5" customHeight="1">
      <c r="A634" s="171" t="s">
        <v>677</v>
      </c>
      <c r="B634" s="175">
        <v>46046</v>
      </c>
      <c r="C634" s="171" t="s">
        <v>110</v>
      </c>
      <c r="D634" s="171" t="s">
        <v>118</v>
      </c>
      <c r="E634" s="171" t="s">
        <v>45</v>
      </c>
      <c r="F634" s="171" t="s">
        <v>162</v>
      </c>
      <c r="G634" s="171" t="s">
        <v>163</v>
      </c>
      <c r="H634" s="176">
        <v>1</v>
      </c>
      <c r="I634" s="177">
        <v>0</v>
      </c>
      <c r="J634" s="175">
        <v>46033</v>
      </c>
      <c r="K634" s="171" t="s">
        <v>113</v>
      </c>
      <c r="L634" s="171" t="s">
        <v>114</v>
      </c>
      <c r="M634" s="178">
        <v>0</v>
      </c>
      <c r="N634" s="176"/>
      <c r="O634" s="176"/>
      <c r="P634" s="179">
        <v>-46.77</v>
      </c>
    </row>
    <row r="635" spans="1:16" ht="19.5" customHeight="1">
      <c r="A635" s="171" t="s">
        <v>677</v>
      </c>
      <c r="B635" s="175">
        <v>46046</v>
      </c>
      <c r="C635" s="171" t="s">
        <v>115</v>
      </c>
      <c r="D635" s="171" t="s">
        <v>119</v>
      </c>
      <c r="E635" s="171" t="s">
        <v>45</v>
      </c>
      <c r="F635" s="171" t="s">
        <v>162</v>
      </c>
      <c r="G635" s="171" t="s">
        <v>163</v>
      </c>
      <c r="H635" s="176">
        <v>1</v>
      </c>
      <c r="I635" s="177">
        <v>0</v>
      </c>
      <c r="J635" s="175">
        <v>46033</v>
      </c>
      <c r="K635" s="171" t="s">
        <v>113</v>
      </c>
      <c r="L635" s="171" t="s">
        <v>114</v>
      </c>
      <c r="M635" s="178">
        <v>0</v>
      </c>
      <c r="N635" s="176"/>
      <c r="O635" s="176"/>
      <c r="P635" s="179">
        <v>-15</v>
      </c>
    </row>
    <row r="636" spans="1:16" ht="19.5" customHeight="1">
      <c r="A636" s="171" t="s">
        <v>677</v>
      </c>
      <c r="B636" s="175">
        <v>46046</v>
      </c>
      <c r="C636" s="171" t="s">
        <v>110</v>
      </c>
      <c r="D636" s="171" t="s">
        <v>24</v>
      </c>
      <c r="E636" s="171" t="s">
        <v>45</v>
      </c>
      <c r="F636" s="171" t="s">
        <v>162</v>
      </c>
      <c r="G636" s="171" t="s">
        <v>163</v>
      </c>
      <c r="H636" s="176">
        <v>1</v>
      </c>
      <c r="I636" s="177">
        <v>0</v>
      </c>
      <c r="J636" s="175">
        <v>46033</v>
      </c>
      <c r="K636" s="171" t="s">
        <v>113</v>
      </c>
      <c r="L636" s="171" t="s">
        <v>114</v>
      </c>
      <c r="M636" s="178">
        <v>0</v>
      </c>
      <c r="N636" s="176"/>
      <c r="O636" s="176">
        <v>50</v>
      </c>
      <c r="P636" s="179">
        <v>-46.77</v>
      </c>
    </row>
    <row r="637" spans="1:16" ht="19.5" customHeight="1">
      <c r="A637" s="171" t="s">
        <v>677</v>
      </c>
      <c r="B637" s="175">
        <v>46046</v>
      </c>
      <c r="C637" s="171" t="s">
        <v>115</v>
      </c>
      <c r="D637" s="171" t="s">
        <v>116</v>
      </c>
      <c r="E637" s="171" t="s">
        <v>45</v>
      </c>
      <c r="F637" s="171" t="s">
        <v>162</v>
      </c>
      <c r="G637" s="171" t="s">
        <v>163</v>
      </c>
      <c r="H637" s="176">
        <v>1</v>
      </c>
      <c r="I637" s="177">
        <v>0</v>
      </c>
      <c r="J637" s="175">
        <v>46033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-12.3</v>
      </c>
    </row>
    <row r="638" spans="1:16" ht="19.5" customHeight="1">
      <c r="A638" s="171" t="s">
        <v>678</v>
      </c>
      <c r="B638" s="175">
        <v>46046</v>
      </c>
      <c r="C638" s="171" t="s">
        <v>123</v>
      </c>
      <c r="D638" s="171" t="s">
        <v>376</v>
      </c>
      <c r="E638" s="171" t="s">
        <v>125</v>
      </c>
      <c r="F638" s="171" t="s">
        <v>125</v>
      </c>
      <c r="G638" s="171" t="s">
        <v>125</v>
      </c>
      <c r="H638" s="176">
        <v>0</v>
      </c>
      <c r="I638" s="177">
        <v>0</v>
      </c>
      <c r="J638" s="175">
        <v>46040</v>
      </c>
      <c r="K638" s="171" t="s">
        <v>125</v>
      </c>
      <c r="L638" s="171" t="s">
        <v>125</v>
      </c>
      <c r="M638" s="178">
        <v>0</v>
      </c>
      <c r="N638" s="176"/>
      <c r="O638" s="176"/>
      <c r="P638" s="179">
        <v>-1148.4000000000001</v>
      </c>
    </row>
    <row r="639" spans="1:16" ht="19.5" customHeight="1">
      <c r="A639" s="171" t="s">
        <v>679</v>
      </c>
      <c r="B639" s="175">
        <v>46046</v>
      </c>
      <c r="C639" s="171" t="s">
        <v>110</v>
      </c>
      <c r="D639" s="171" t="s">
        <v>24</v>
      </c>
      <c r="E639" s="171" t="s">
        <v>50</v>
      </c>
      <c r="F639" s="171" t="s">
        <v>413</v>
      </c>
      <c r="G639" s="171" t="s">
        <v>112</v>
      </c>
      <c r="H639" s="176">
        <v>1</v>
      </c>
      <c r="I639" s="177">
        <v>0</v>
      </c>
      <c r="J639" s="175">
        <v>46039</v>
      </c>
      <c r="K639" s="171" t="s">
        <v>113</v>
      </c>
      <c r="L639" s="171" t="s">
        <v>114</v>
      </c>
      <c r="M639" s="178">
        <v>0</v>
      </c>
      <c r="N639" s="176"/>
      <c r="O639" s="176">
        <v>51</v>
      </c>
      <c r="P639" s="179">
        <v>-46.77</v>
      </c>
    </row>
    <row r="640" spans="1:16" ht="19.5" customHeight="1">
      <c r="A640" s="171" t="s">
        <v>679</v>
      </c>
      <c r="B640" s="175">
        <v>46046</v>
      </c>
      <c r="C640" s="171" t="s">
        <v>115</v>
      </c>
      <c r="D640" s="171" t="s">
        <v>116</v>
      </c>
      <c r="E640" s="171" t="s">
        <v>50</v>
      </c>
      <c r="F640" s="171" t="s">
        <v>413</v>
      </c>
      <c r="G640" s="171" t="s">
        <v>112</v>
      </c>
      <c r="H640" s="176">
        <v>1</v>
      </c>
      <c r="I640" s="177">
        <v>0</v>
      </c>
      <c r="J640" s="175">
        <v>46039</v>
      </c>
      <c r="K640" s="171" t="s">
        <v>113</v>
      </c>
      <c r="L640" s="171" t="s">
        <v>114</v>
      </c>
      <c r="M640" s="178">
        <v>0</v>
      </c>
      <c r="N640" s="176"/>
      <c r="O640" s="176"/>
      <c r="P640" s="179">
        <v>-6.23</v>
      </c>
    </row>
    <row r="641" spans="1:16" ht="19.5" customHeight="1">
      <c r="A641" s="171" t="s">
        <v>679</v>
      </c>
      <c r="B641" s="175">
        <v>46046</v>
      </c>
      <c r="C641" s="171" t="s">
        <v>110</v>
      </c>
      <c r="D641" s="171" t="s">
        <v>117</v>
      </c>
      <c r="E641" s="171" t="s">
        <v>50</v>
      </c>
      <c r="F641" s="171" t="s">
        <v>413</v>
      </c>
      <c r="G641" s="171" t="s">
        <v>112</v>
      </c>
      <c r="H641" s="176">
        <v>1</v>
      </c>
      <c r="I641" s="177">
        <v>0</v>
      </c>
      <c r="J641" s="175">
        <v>46039</v>
      </c>
      <c r="K641" s="171" t="s">
        <v>113</v>
      </c>
      <c r="L641" s="171" t="s">
        <v>114</v>
      </c>
      <c r="M641" s="178">
        <v>0</v>
      </c>
      <c r="N641" s="176"/>
      <c r="O641" s="176"/>
      <c r="P641" s="179">
        <v>0</v>
      </c>
    </row>
    <row r="642" spans="1:16" ht="19.5" customHeight="1">
      <c r="A642" s="171" t="s">
        <v>679</v>
      </c>
      <c r="B642" s="175">
        <v>46046</v>
      </c>
      <c r="C642" s="171" t="s">
        <v>110</v>
      </c>
      <c r="D642" s="171" t="s">
        <v>118</v>
      </c>
      <c r="E642" s="171" t="s">
        <v>50</v>
      </c>
      <c r="F642" s="171" t="s">
        <v>413</v>
      </c>
      <c r="G642" s="171" t="s">
        <v>112</v>
      </c>
      <c r="H642" s="176">
        <v>1</v>
      </c>
      <c r="I642" s="177">
        <v>0</v>
      </c>
      <c r="J642" s="175">
        <v>46039</v>
      </c>
      <c r="K642" s="171" t="s">
        <v>113</v>
      </c>
      <c r="L642" s="171" t="s">
        <v>114</v>
      </c>
      <c r="M642" s="178">
        <v>0</v>
      </c>
      <c r="N642" s="176"/>
      <c r="O642" s="176"/>
      <c r="P642" s="179">
        <v>-46.77</v>
      </c>
    </row>
    <row r="643" spans="1:16" ht="19.5" customHeight="1">
      <c r="A643" s="171" t="s">
        <v>679</v>
      </c>
      <c r="B643" s="175">
        <v>46046</v>
      </c>
      <c r="C643" s="171" t="s">
        <v>115</v>
      </c>
      <c r="D643" s="171" t="s">
        <v>119</v>
      </c>
      <c r="E643" s="171" t="s">
        <v>50</v>
      </c>
      <c r="F643" s="171" t="s">
        <v>413</v>
      </c>
      <c r="G643" s="171" t="s">
        <v>112</v>
      </c>
      <c r="H643" s="176">
        <v>1</v>
      </c>
      <c r="I643" s="177">
        <v>0</v>
      </c>
      <c r="J643" s="175">
        <v>46039</v>
      </c>
      <c r="K643" s="171" t="s">
        <v>113</v>
      </c>
      <c r="L643" s="171" t="s">
        <v>114</v>
      </c>
      <c r="M643" s="178">
        <v>0</v>
      </c>
      <c r="N643" s="176"/>
      <c r="O643" s="176"/>
      <c r="P643" s="179">
        <v>-15</v>
      </c>
    </row>
    <row r="644" spans="1:16" ht="19.5" customHeight="1">
      <c r="A644" s="171" t="s">
        <v>680</v>
      </c>
      <c r="B644" s="175">
        <v>46046</v>
      </c>
      <c r="C644" s="171" t="s">
        <v>110</v>
      </c>
      <c r="D644" s="171" t="s">
        <v>24</v>
      </c>
      <c r="E644" s="171" t="s">
        <v>46</v>
      </c>
      <c r="F644" s="171" t="s">
        <v>681</v>
      </c>
      <c r="G644" s="171" t="s">
        <v>112</v>
      </c>
      <c r="H644" s="176">
        <v>1</v>
      </c>
      <c r="I644" s="177">
        <v>0</v>
      </c>
      <c r="J644" s="175">
        <v>46039</v>
      </c>
      <c r="K644" s="171" t="s">
        <v>113</v>
      </c>
      <c r="L644" s="171" t="s">
        <v>114</v>
      </c>
      <c r="M644" s="178">
        <v>0</v>
      </c>
      <c r="N644" s="176"/>
      <c r="O644" s="176">
        <v>51</v>
      </c>
      <c r="P644" s="179">
        <v>-46.77</v>
      </c>
    </row>
    <row r="645" spans="1:16" ht="19.5" customHeight="1">
      <c r="A645" s="171" t="s">
        <v>680</v>
      </c>
      <c r="B645" s="175">
        <v>46046</v>
      </c>
      <c r="C645" s="171" t="s">
        <v>115</v>
      </c>
      <c r="D645" s="171" t="s">
        <v>116</v>
      </c>
      <c r="E645" s="171" t="s">
        <v>46</v>
      </c>
      <c r="F645" s="171" t="s">
        <v>681</v>
      </c>
      <c r="G645" s="171" t="s">
        <v>112</v>
      </c>
      <c r="H645" s="176">
        <v>1</v>
      </c>
      <c r="I645" s="177">
        <v>0</v>
      </c>
      <c r="J645" s="175">
        <v>46039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-6.95</v>
      </c>
    </row>
    <row r="646" spans="1:16" ht="19.5" customHeight="1">
      <c r="A646" s="171" t="s">
        <v>680</v>
      </c>
      <c r="B646" s="175">
        <v>46046</v>
      </c>
      <c r="C646" s="171" t="s">
        <v>110</v>
      </c>
      <c r="D646" s="171" t="s">
        <v>117</v>
      </c>
      <c r="E646" s="171" t="s">
        <v>46</v>
      </c>
      <c r="F646" s="171" t="s">
        <v>681</v>
      </c>
      <c r="G646" s="171" t="s">
        <v>112</v>
      </c>
      <c r="H646" s="176">
        <v>1</v>
      </c>
      <c r="I646" s="177">
        <v>0</v>
      </c>
      <c r="J646" s="175">
        <v>46039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0</v>
      </c>
    </row>
    <row r="647" spans="1:16" ht="19.5" customHeight="1">
      <c r="A647" s="171" t="s">
        <v>680</v>
      </c>
      <c r="B647" s="175">
        <v>46046</v>
      </c>
      <c r="C647" s="171" t="s">
        <v>110</v>
      </c>
      <c r="D647" s="171" t="s">
        <v>118</v>
      </c>
      <c r="E647" s="171" t="s">
        <v>46</v>
      </c>
      <c r="F647" s="171" t="s">
        <v>681</v>
      </c>
      <c r="G647" s="171" t="s">
        <v>112</v>
      </c>
      <c r="H647" s="176">
        <v>1</v>
      </c>
      <c r="I647" s="177">
        <v>0</v>
      </c>
      <c r="J647" s="175">
        <v>46039</v>
      </c>
      <c r="K647" s="171" t="s">
        <v>113</v>
      </c>
      <c r="L647" s="171" t="s">
        <v>114</v>
      </c>
      <c r="M647" s="178">
        <v>0</v>
      </c>
      <c r="N647" s="176"/>
      <c r="O647" s="176"/>
      <c r="P647" s="179">
        <v>-46.77</v>
      </c>
    </row>
    <row r="648" spans="1:16" ht="19.5" customHeight="1">
      <c r="A648" s="171" t="s">
        <v>680</v>
      </c>
      <c r="B648" s="175">
        <v>46046</v>
      </c>
      <c r="C648" s="171" t="s">
        <v>115</v>
      </c>
      <c r="D648" s="171" t="s">
        <v>119</v>
      </c>
      <c r="E648" s="171" t="s">
        <v>46</v>
      </c>
      <c r="F648" s="171" t="s">
        <v>681</v>
      </c>
      <c r="G648" s="171" t="s">
        <v>112</v>
      </c>
      <c r="H648" s="176">
        <v>1</v>
      </c>
      <c r="I648" s="177">
        <v>0</v>
      </c>
      <c r="J648" s="175">
        <v>46039</v>
      </c>
      <c r="K648" s="171" t="s">
        <v>113</v>
      </c>
      <c r="L648" s="171" t="s">
        <v>114</v>
      </c>
      <c r="M648" s="178">
        <v>0</v>
      </c>
      <c r="N648" s="176"/>
      <c r="O648" s="176"/>
      <c r="P648" s="179">
        <v>-15</v>
      </c>
    </row>
    <row r="649" spans="1:16" ht="19.5" customHeight="1">
      <c r="A649" s="171" t="s">
        <v>405</v>
      </c>
      <c r="B649" s="175">
        <v>46046</v>
      </c>
      <c r="C649" s="171" t="s">
        <v>110</v>
      </c>
      <c r="D649" s="171" t="s">
        <v>121</v>
      </c>
      <c r="E649" s="171" t="s">
        <v>38</v>
      </c>
      <c r="F649" s="171" t="s">
        <v>111</v>
      </c>
      <c r="G649" s="171" t="s">
        <v>112</v>
      </c>
      <c r="H649" s="176">
        <v>1</v>
      </c>
      <c r="I649" s="177">
        <v>0</v>
      </c>
      <c r="J649" s="175">
        <v>46023</v>
      </c>
      <c r="K649" s="171" t="s">
        <v>113</v>
      </c>
      <c r="L649" s="171" t="s">
        <v>114</v>
      </c>
      <c r="M649" s="178">
        <v>0</v>
      </c>
      <c r="N649" s="176"/>
      <c r="O649" s="176"/>
      <c r="P649" s="179">
        <v>0</v>
      </c>
    </row>
    <row r="650" spans="1:16" ht="19.5" customHeight="1">
      <c r="A650" s="171" t="s">
        <v>405</v>
      </c>
      <c r="B650" s="175">
        <v>46046</v>
      </c>
      <c r="C650" s="171" t="s">
        <v>110</v>
      </c>
      <c r="D650" s="171" t="s">
        <v>118</v>
      </c>
      <c r="E650" s="171" t="s">
        <v>38</v>
      </c>
      <c r="F650" s="171" t="s">
        <v>111</v>
      </c>
      <c r="G650" s="171" t="s">
        <v>112</v>
      </c>
      <c r="H650" s="176">
        <v>1</v>
      </c>
      <c r="I650" s="177">
        <v>0</v>
      </c>
      <c r="J650" s="175">
        <v>46023</v>
      </c>
      <c r="K650" s="171" t="s">
        <v>113</v>
      </c>
      <c r="L650" s="171" t="s">
        <v>114</v>
      </c>
      <c r="M650" s="178">
        <v>0</v>
      </c>
      <c r="N650" s="176"/>
      <c r="O650" s="176"/>
      <c r="P650" s="179">
        <v>-46.77</v>
      </c>
    </row>
    <row r="651" spans="1:16" ht="19.5" customHeight="1">
      <c r="A651" s="171" t="s">
        <v>405</v>
      </c>
      <c r="B651" s="175">
        <v>46046</v>
      </c>
      <c r="C651" s="171" t="s">
        <v>115</v>
      </c>
      <c r="D651" s="171" t="s">
        <v>119</v>
      </c>
      <c r="E651" s="171" t="s">
        <v>38</v>
      </c>
      <c r="F651" s="171" t="s">
        <v>111</v>
      </c>
      <c r="G651" s="171" t="s">
        <v>112</v>
      </c>
      <c r="H651" s="176">
        <v>1</v>
      </c>
      <c r="I651" s="177">
        <v>0</v>
      </c>
      <c r="J651" s="175">
        <v>46023</v>
      </c>
      <c r="K651" s="171" t="s">
        <v>113</v>
      </c>
      <c r="L651" s="171" t="s">
        <v>114</v>
      </c>
      <c r="M651" s="178">
        <v>0</v>
      </c>
      <c r="N651" s="176"/>
      <c r="O651" s="176"/>
      <c r="P651" s="179">
        <v>-15</v>
      </c>
    </row>
    <row r="652" spans="1:16" ht="19.5" customHeight="1">
      <c r="A652" s="171" t="s">
        <v>682</v>
      </c>
      <c r="B652" s="175">
        <v>46046</v>
      </c>
      <c r="C652" s="171" t="s">
        <v>110</v>
      </c>
      <c r="D652" s="171" t="s">
        <v>24</v>
      </c>
      <c r="E652" s="171" t="s">
        <v>42</v>
      </c>
      <c r="F652" s="171" t="s">
        <v>248</v>
      </c>
      <c r="G652" s="171" t="s">
        <v>112</v>
      </c>
      <c r="H652" s="176">
        <v>1</v>
      </c>
      <c r="I652" s="177">
        <v>1680</v>
      </c>
      <c r="J652" s="175">
        <v>46041</v>
      </c>
      <c r="K652" s="171" t="s">
        <v>113</v>
      </c>
      <c r="L652" s="171" t="s">
        <v>114</v>
      </c>
      <c r="M652" s="178">
        <v>0.43</v>
      </c>
      <c r="N652" s="176"/>
      <c r="O652" s="176">
        <v>53</v>
      </c>
      <c r="P652" s="179">
        <v>-148.77000000000001</v>
      </c>
    </row>
    <row r="653" spans="1:16" ht="19.5" customHeight="1">
      <c r="A653" s="171" t="s">
        <v>682</v>
      </c>
      <c r="B653" s="175">
        <v>46046</v>
      </c>
      <c r="C653" s="171" t="s">
        <v>127</v>
      </c>
      <c r="D653" s="171" t="s">
        <v>128</v>
      </c>
      <c r="E653" s="171" t="s">
        <v>42</v>
      </c>
      <c r="F653" s="171" t="s">
        <v>248</v>
      </c>
      <c r="G653" s="171" t="s">
        <v>112</v>
      </c>
      <c r="H653" s="176">
        <v>1</v>
      </c>
      <c r="I653" s="177">
        <v>1680</v>
      </c>
      <c r="J653" s="175">
        <v>46041</v>
      </c>
      <c r="K653" s="171" t="s">
        <v>113</v>
      </c>
      <c r="L653" s="171" t="s">
        <v>114</v>
      </c>
      <c r="M653" s="178">
        <v>0</v>
      </c>
      <c r="N653" s="176"/>
      <c r="O653" s="176"/>
      <c r="P653" s="179">
        <v>872.38</v>
      </c>
    </row>
    <row r="654" spans="1:16" ht="19.5" customHeight="1">
      <c r="A654" s="171" t="s">
        <v>682</v>
      </c>
      <c r="B654" s="175">
        <v>46046</v>
      </c>
      <c r="C654" s="171" t="s">
        <v>127</v>
      </c>
      <c r="D654" s="171" t="s">
        <v>129</v>
      </c>
      <c r="E654" s="171" t="s">
        <v>42</v>
      </c>
      <c r="F654" s="171" t="s">
        <v>248</v>
      </c>
      <c r="G654" s="171" t="s">
        <v>112</v>
      </c>
      <c r="H654" s="176">
        <v>1</v>
      </c>
      <c r="I654" s="177">
        <v>1680</v>
      </c>
      <c r="J654" s="175">
        <v>46041</v>
      </c>
      <c r="K654" s="171" t="s">
        <v>113</v>
      </c>
      <c r="L654" s="171" t="s">
        <v>114</v>
      </c>
      <c r="M654" s="178">
        <v>0</v>
      </c>
      <c r="N654" s="176"/>
      <c r="O654" s="176"/>
      <c r="P654" s="179">
        <v>8.7200000000000006</v>
      </c>
    </row>
    <row r="655" spans="1:16" ht="19.5" customHeight="1">
      <c r="A655" s="171" t="s">
        <v>682</v>
      </c>
      <c r="B655" s="175">
        <v>46046</v>
      </c>
      <c r="C655" s="171" t="s">
        <v>127</v>
      </c>
      <c r="D655" s="171" t="s">
        <v>130</v>
      </c>
      <c r="E655" s="171" t="s">
        <v>42</v>
      </c>
      <c r="F655" s="171" t="s">
        <v>248</v>
      </c>
      <c r="G655" s="171" t="s">
        <v>112</v>
      </c>
      <c r="H655" s="176">
        <v>1</v>
      </c>
      <c r="I655" s="177">
        <v>1680</v>
      </c>
      <c r="J655" s="175">
        <v>46041</v>
      </c>
      <c r="K655" s="171" t="s">
        <v>113</v>
      </c>
      <c r="L655" s="171" t="s">
        <v>114</v>
      </c>
      <c r="M655" s="178">
        <v>0</v>
      </c>
      <c r="N655" s="176"/>
      <c r="O655" s="176"/>
      <c r="P655" s="179">
        <v>798.9</v>
      </c>
    </row>
    <row r="656" spans="1:16" ht="19.5" customHeight="1">
      <c r="A656" s="171" t="s">
        <v>682</v>
      </c>
      <c r="B656" s="175">
        <v>46046</v>
      </c>
      <c r="C656" s="171" t="s">
        <v>131</v>
      </c>
      <c r="D656" s="171" t="s">
        <v>132</v>
      </c>
      <c r="E656" s="171" t="s">
        <v>42</v>
      </c>
      <c r="F656" s="171" t="s">
        <v>248</v>
      </c>
      <c r="G656" s="171" t="s">
        <v>112</v>
      </c>
      <c r="H656" s="176">
        <v>1</v>
      </c>
      <c r="I656" s="177">
        <v>1680</v>
      </c>
      <c r="J656" s="175">
        <v>46041</v>
      </c>
      <c r="K656" s="171" t="s">
        <v>113</v>
      </c>
      <c r="L656" s="171" t="s">
        <v>114</v>
      </c>
      <c r="M656" s="178">
        <v>0.43</v>
      </c>
      <c r="N656" s="176"/>
      <c r="O656" s="176"/>
      <c r="P656" s="179">
        <v>-722.4</v>
      </c>
    </row>
    <row r="657" spans="1:16" ht="19.5" customHeight="1">
      <c r="A657" s="171" t="s">
        <v>683</v>
      </c>
      <c r="B657" s="175">
        <v>46046</v>
      </c>
      <c r="C657" s="171" t="s">
        <v>110</v>
      </c>
      <c r="D657" s="171" t="s">
        <v>24</v>
      </c>
      <c r="E657" s="171" t="s">
        <v>78</v>
      </c>
      <c r="F657" s="171" t="s">
        <v>176</v>
      </c>
      <c r="G657" s="171" t="s">
        <v>177</v>
      </c>
      <c r="H657" s="176">
        <v>1</v>
      </c>
      <c r="I657" s="177">
        <v>4940</v>
      </c>
      <c r="J657" s="175">
        <v>46040</v>
      </c>
      <c r="K657" s="171" t="s">
        <v>113</v>
      </c>
      <c r="L657" s="171" t="s">
        <v>114</v>
      </c>
      <c r="M657" s="178">
        <v>0.43</v>
      </c>
      <c r="N657" s="176"/>
      <c r="O657" s="176">
        <v>51</v>
      </c>
      <c r="P657" s="179">
        <v>-290.97000000000003</v>
      </c>
    </row>
    <row r="658" spans="1:16" ht="19.5" customHeight="1">
      <c r="A658" s="171" t="s">
        <v>683</v>
      </c>
      <c r="B658" s="175">
        <v>46046</v>
      </c>
      <c r="C658" s="171" t="s">
        <v>127</v>
      </c>
      <c r="D658" s="171" t="s">
        <v>128</v>
      </c>
      <c r="E658" s="171" t="s">
        <v>78</v>
      </c>
      <c r="F658" s="171" t="s">
        <v>176</v>
      </c>
      <c r="G658" s="171" t="s">
        <v>177</v>
      </c>
      <c r="H658" s="176">
        <v>1</v>
      </c>
      <c r="I658" s="177">
        <v>4940</v>
      </c>
      <c r="J658" s="175">
        <v>46040</v>
      </c>
      <c r="K658" s="171" t="s">
        <v>113</v>
      </c>
      <c r="L658" s="171" t="s">
        <v>114</v>
      </c>
      <c r="M658" s="178">
        <v>0</v>
      </c>
      <c r="N658" s="176"/>
      <c r="O658" s="176"/>
      <c r="P658" s="179">
        <v>2133.21</v>
      </c>
    </row>
    <row r="659" spans="1:16" ht="19.5" customHeight="1">
      <c r="A659" s="171" t="s">
        <v>683</v>
      </c>
      <c r="B659" s="175">
        <v>46046</v>
      </c>
      <c r="C659" s="171" t="s">
        <v>127</v>
      </c>
      <c r="D659" s="171" t="s">
        <v>129</v>
      </c>
      <c r="E659" s="171" t="s">
        <v>78</v>
      </c>
      <c r="F659" s="171" t="s">
        <v>176</v>
      </c>
      <c r="G659" s="171" t="s">
        <v>177</v>
      </c>
      <c r="H659" s="176">
        <v>1</v>
      </c>
      <c r="I659" s="177">
        <v>4940</v>
      </c>
      <c r="J659" s="175">
        <v>46040</v>
      </c>
      <c r="K659" s="171" t="s">
        <v>113</v>
      </c>
      <c r="L659" s="171" t="s">
        <v>114</v>
      </c>
      <c r="M659" s="178">
        <v>0</v>
      </c>
      <c r="N659" s="176"/>
      <c r="O659" s="176"/>
      <c r="P659" s="179">
        <v>21.33</v>
      </c>
    </row>
    <row r="660" spans="1:16" ht="19.5" customHeight="1">
      <c r="A660" s="171" t="s">
        <v>683</v>
      </c>
      <c r="B660" s="175">
        <v>46046</v>
      </c>
      <c r="C660" s="171" t="s">
        <v>127</v>
      </c>
      <c r="D660" s="171" t="s">
        <v>130</v>
      </c>
      <c r="E660" s="171" t="s">
        <v>78</v>
      </c>
      <c r="F660" s="171" t="s">
        <v>176</v>
      </c>
      <c r="G660" s="171" t="s">
        <v>177</v>
      </c>
      <c r="H660" s="176">
        <v>1</v>
      </c>
      <c r="I660" s="177">
        <v>4940</v>
      </c>
      <c r="J660" s="175">
        <v>46040</v>
      </c>
      <c r="K660" s="171" t="s">
        <v>113</v>
      </c>
      <c r="L660" s="171" t="s">
        <v>114</v>
      </c>
      <c r="M660" s="178">
        <v>0</v>
      </c>
      <c r="N660" s="176"/>
      <c r="O660" s="176"/>
      <c r="P660" s="179">
        <v>2785.46</v>
      </c>
    </row>
    <row r="661" spans="1:16" ht="19.5" customHeight="1">
      <c r="A661" s="171" t="s">
        <v>683</v>
      </c>
      <c r="B661" s="175">
        <v>46046</v>
      </c>
      <c r="C661" s="171" t="s">
        <v>131</v>
      </c>
      <c r="D661" s="171" t="s">
        <v>132</v>
      </c>
      <c r="E661" s="171" t="s">
        <v>78</v>
      </c>
      <c r="F661" s="171" t="s">
        <v>176</v>
      </c>
      <c r="G661" s="171" t="s">
        <v>177</v>
      </c>
      <c r="H661" s="176">
        <v>1</v>
      </c>
      <c r="I661" s="177">
        <v>4940</v>
      </c>
      <c r="J661" s="175">
        <v>46040</v>
      </c>
      <c r="K661" s="171" t="s">
        <v>113</v>
      </c>
      <c r="L661" s="171" t="s">
        <v>114</v>
      </c>
      <c r="M661" s="178">
        <v>0.43</v>
      </c>
      <c r="N661" s="176"/>
      <c r="O661" s="176"/>
      <c r="P661" s="179">
        <v>-2124.1999999999998</v>
      </c>
    </row>
    <row r="662" spans="1:16" ht="19.5" customHeight="1">
      <c r="A662" s="171" t="s">
        <v>683</v>
      </c>
      <c r="B662" s="175">
        <v>46046</v>
      </c>
      <c r="C662" s="171" t="s">
        <v>115</v>
      </c>
      <c r="D662" s="171" t="s">
        <v>116</v>
      </c>
      <c r="E662" s="171" t="s">
        <v>78</v>
      </c>
      <c r="F662" s="171" t="s">
        <v>176</v>
      </c>
      <c r="G662" s="171" t="s">
        <v>177</v>
      </c>
      <c r="H662" s="176">
        <v>1</v>
      </c>
      <c r="I662" s="177">
        <v>4940</v>
      </c>
      <c r="J662" s="175">
        <v>46040</v>
      </c>
      <c r="K662" s="171" t="s">
        <v>113</v>
      </c>
      <c r="L662" s="171" t="s">
        <v>114</v>
      </c>
      <c r="M662" s="178">
        <v>0.43</v>
      </c>
      <c r="N662" s="176"/>
      <c r="O662" s="176"/>
      <c r="P662" s="179">
        <v>-11.66</v>
      </c>
    </row>
    <row r="663" spans="1:16" ht="19.5" customHeight="1">
      <c r="A663" s="171" t="s">
        <v>683</v>
      </c>
      <c r="B663" s="175">
        <v>46046</v>
      </c>
      <c r="C663" s="171" t="s">
        <v>115</v>
      </c>
      <c r="D663" s="171" t="s">
        <v>135</v>
      </c>
      <c r="E663" s="171" t="s">
        <v>78</v>
      </c>
      <c r="F663" s="171" t="s">
        <v>176</v>
      </c>
      <c r="G663" s="171" t="s">
        <v>177</v>
      </c>
      <c r="H663" s="176">
        <v>1</v>
      </c>
      <c r="I663" s="177">
        <v>0</v>
      </c>
      <c r="J663" s="175">
        <v>46040</v>
      </c>
      <c r="K663" s="171" t="s">
        <v>125</v>
      </c>
      <c r="L663" s="171" t="s">
        <v>125</v>
      </c>
      <c r="M663" s="178">
        <v>0</v>
      </c>
      <c r="N663" s="176"/>
      <c r="O663" s="176"/>
      <c r="P663" s="179">
        <v>-40.53</v>
      </c>
    </row>
    <row r="664" spans="1:16" ht="19.5" customHeight="1">
      <c r="A664" s="171" t="s">
        <v>684</v>
      </c>
      <c r="B664" s="175">
        <v>46046</v>
      </c>
      <c r="C664" s="171" t="s">
        <v>110</v>
      </c>
      <c r="D664" s="171" t="s">
        <v>24</v>
      </c>
      <c r="E664" s="171" t="s">
        <v>38</v>
      </c>
      <c r="F664" s="171" t="s">
        <v>111</v>
      </c>
      <c r="G664" s="171" t="s">
        <v>112</v>
      </c>
      <c r="H664" s="176">
        <v>1</v>
      </c>
      <c r="I664" s="177">
        <v>1670</v>
      </c>
      <c r="J664" s="175">
        <v>46041</v>
      </c>
      <c r="K664" s="171" t="s">
        <v>113</v>
      </c>
      <c r="L664" s="171" t="s">
        <v>114</v>
      </c>
      <c r="M664" s="178">
        <v>0.43</v>
      </c>
      <c r="N664" s="176"/>
      <c r="O664" s="176">
        <v>53</v>
      </c>
      <c r="P664" s="179">
        <v>-148.38</v>
      </c>
    </row>
    <row r="665" spans="1:16" ht="19.5" customHeight="1">
      <c r="A665" s="171" t="s">
        <v>684</v>
      </c>
      <c r="B665" s="175">
        <v>46046</v>
      </c>
      <c r="C665" s="171" t="s">
        <v>127</v>
      </c>
      <c r="D665" s="171" t="s">
        <v>128</v>
      </c>
      <c r="E665" s="171" t="s">
        <v>38</v>
      </c>
      <c r="F665" s="171" t="s">
        <v>111</v>
      </c>
      <c r="G665" s="171" t="s">
        <v>112</v>
      </c>
      <c r="H665" s="176">
        <v>1</v>
      </c>
      <c r="I665" s="177">
        <v>1670</v>
      </c>
      <c r="J665" s="175">
        <v>46041</v>
      </c>
      <c r="K665" s="171" t="s">
        <v>113</v>
      </c>
      <c r="L665" s="171" t="s">
        <v>114</v>
      </c>
      <c r="M665" s="178">
        <v>0</v>
      </c>
      <c r="N665" s="176"/>
      <c r="O665" s="176"/>
      <c r="P665" s="179">
        <v>616.19000000000005</v>
      </c>
    </row>
    <row r="666" spans="1:16" ht="19.5" customHeight="1">
      <c r="A666" s="171" t="s">
        <v>684</v>
      </c>
      <c r="B666" s="175">
        <v>46046</v>
      </c>
      <c r="C666" s="171" t="s">
        <v>127</v>
      </c>
      <c r="D666" s="171" t="s">
        <v>129</v>
      </c>
      <c r="E666" s="171" t="s">
        <v>38</v>
      </c>
      <c r="F666" s="171" t="s">
        <v>111</v>
      </c>
      <c r="G666" s="171" t="s">
        <v>112</v>
      </c>
      <c r="H666" s="176">
        <v>1</v>
      </c>
      <c r="I666" s="177">
        <v>1670</v>
      </c>
      <c r="J666" s="175">
        <v>46041</v>
      </c>
      <c r="K666" s="171" t="s">
        <v>113</v>
      </c>
      <c r="L666" s="171" t="s">
        <v>114</v>
      </c>
      <c r="M666" s="178">
        <v>0</v>
      </c>
      <c r="N666" s="176"/>
      <c r="O666" s="176"/>
      <c r="P666" s="179">
        <v>6.16</v>
      </c>
    </row>
    <row r="667" spans="1:16" ht="19.5" customHeight="1">
      <c r="A667" s="171" t="s">
        <v>684</v>
      </c>
      <c r="B667" s="175">
        <v>46046</v>
      </c>
      <c r="C667" s="171" t="s">
        <v>127</v>
      </c>
      <c r="D667" s="171" t="s">
        <v>130</v>
      </c>
      <c r="E667" s="171" t="s">
        <v>38</v>
      </c>
      <c r="F667" s="171" t="s">
        <v>111</v>
      </c>
      <c r="G667" s="171" t="s">
        <v>112</v>
      </c>
      <c r="H667" s="176">
        <v>1</v>
      </c>
      <c r="I667" s="177">
        <v>1670</v>
      </c>
      <c r="J667" s="175">
        <v>46041</v>
      </c>
      <c r="K667" s="171" t="s">
        <v>113</v>
      </c>
      <c r="L667" s="171" t="s">
        <v>114</v>
      </c>
      <c r="M667" s="178">
        <v>0</v>
      </c>
      <c r="N667" s="176"/>
      <c r="O667" s="176"/>
      <c r="P667" s="179">
        <v>1047.6500000000001</v>
      </c>
    </row>
    <row r="668" spans="1:16" ht="19.5" customHeight="1">
      <c r="A668" s="171" t="s">
        <v>684</v>
      </c>
      <c r="B668" s="175">
        <v>46046</v>
      </c>
      <c r="C668" s="171" t="s">
        <v>131</v>
      </c>
      <c r="D668" s="171" t="s">
        <v>132</v>
      </c>
      <c r="E668" s="171" t="s">
        <v>38</v>
      </c>
      <c r="F668" s="171" t="s">
        <v>111</v>
      </c>
      <c r="G668" s="171" t="s">
        <v>112</v>
      </c>
      <c r="H668" s="176">
        <v>1</v>
      </c>
      <c r="I668" s="177">
        <v>1670</v>
      </c>
      <c r="J668" s="175">
        <v>46041</v>
      </c>
      <c r="K668" s="171" t="s">
        <v>113</v>
      </c>
      <c r="L668" s="171" t="s">
        <v>114</v>
      </c>
      <c r="M668" s="178">
        <v>0.43</v>
      </c>
      <c r="N668" s="176"/>
      <c r="O668" s="176"/>
      <c r="P668" s="179">
        <v>-718.1</v>
      </c>
    </row>
    <row r="669" spans="1:16" ht="19.5" customHeight="1">
      <c r="A669" s="171" t="s">
        <v>684</v>
      </c>
      <c r="B669" s="175">
        <v>46046</v>
      </c>
      <c r="C669" s="171" t="s">
        <v>115</v>
      </c>
      <c r="D669" s="171" t="s">
        <v>116</v>
      </c>
      <c r="E669" s="171" t="s">
        <v>38</v>
      </c>
      <c r="F669" s="171" t="s">
        <v>111</v>
      </c>
      <c r="G669" s="171" t="s">
        <v>112</v>
      </c>
      <c r="H669" s="176">
        <v>1</v>
      </c>
      <c r="I669" s="177">
        <v>1670</v>
      </c>
      <c r="J669" s="175">
        <v>46041</v>
      </c>
      <c r="K669" s="171" t="s">
        <v>113</v>
      </c>
      <c r="L669" s="171" t="s">
        <v>114</v>
      </c>
      <c r="M669" s="178">
        <v>0.43</v>
      </c>
      <c r="N669" s="176"/>
      <c r="O669" s="176"/>
      <c r="P669" s="179">
        <v>-13.18</v>
      </c>
    </row>
    <row r="670" spans="1:16" ht="19.5" customHeight="1">
      <c r="A670" s="171" t="s">
        <v>684</v>
      </c>
      <c r="B670" s="175">
        <v>46046</v>
      </c>
      <c r="C670" s="171" t="s">
        <v>115</v>
      </c>
      <c r="D670" s="171" t="s">
        <v>135</v>
      </c>
      <c r="E670" s="171" t="s">
        <v>38</v>
      </c>
      <c r="F670" s="171" t="s">
        <v>111</v>
      </c>
      <c r="G670" s="171" t="s">
        <v>112</v>
      </c>
      <c r="H670" s="176">
        <v>1</v>
      </c>
      <c r="I670" s="177">
        <v>0</v>
      </c>
      <c r="J670" s="175">
        <v>46041</v>
      </c>
      <c r="K670" s="171" t="s">
        <v>125</v>
      </c>
      <c r="L670" s="171" t="s">
        <v>125</v>
      </c>
      <c r="M670" s="178">
        <v>0</v>
      </c>
      <c r="N670" s="176"/>
      <c r="O670" s="176"/>
      <c r="P670" s="179">
        <v>-11.71</v>
      </c>
    </row>
    <row r="671" spans="1:16" ht="19.5" customHeight="1">
      <c r="A671" s="171" t="s">
        <v>685</v>
      </c>
      <c r="B671" s="175">
        <v>46046</v>
      </c>
      <c r="C671" s="171" t="s">
        <v>110</v>
      </c>
      <c r="D671" s="171" t="s">
        <v>24</v>
      </c>
      <c r="E671" s="171" t="s">
        <v>54</v>
      </c>
      <c r="F671" s="171" t="s">
        <v>686</v>
      </c>
      <c r="G671" s="171" t="s">
        <v>687</v>
      </c>
      <c r="H671" s="176">
        <v>1</v>
      </c>
      <c r="I671" s="177">
        <v>3663</v>
      </c>
      <c r="J671" s="175">
        <v>46032</v>
      </c>
      <c r="K671" s="171" t="s">
        <v>113</v>
      </c>
      <c r="L671" s="171" t="s">
        <v>114</v>
      </c>
      <c r="M671" s="178">
        <v>0.43</v>
      </c>
      <c r="N671" s="176"/>
      <c r="O671" s="176">
        <v>47</v>
      </c>
      <c r="P671" s="179">
        <v>-227.41</v>
      </c>
    </row>
    <row r="672" spans="1:16" ht="19.5" customHeight="1">
      <c r="A672" s="171" t="s">
        <v>685</v>
      </c>
      <c r="B672" s="175">
        <v>46046</v>
      </c>
      <c r="C672" s="171" t="s">
        <v>127</v>
      </c>
      <c r="D672" s="171" t="s">
        <v>128</v>
      </c>
      <c r="E672" s="171" t="s">
        <v>54</v>
      </c>
      <c r="F672" s="171" t="s">
        <v>686</v>
      </c>
      <c r="G672" s="171" t="s">
        <v>687</v>
      </c>
      <c r="H672" s="176">
        <v>1</v>
      </c>
      <c r="I672" s="177">
        <v>3663</v>
      </c>
      <c r="J672" s="175">
        <v>46032</v>
      </c>
      <c r="K672" s="171" t="s">
        <v>113</v>
      </c>
      <c r="L672" s="171" t="s">
        <v>114</v>
      </c>
      <c r="M672" s="178">
        <v>0</v>
      </c>
      <c r="N672" s="176"/>
      <c r="O672" s="176"/>
      <c r="P672" s="179">
        <v>1978.14</v>
      </c>
    </row>
    <row r="673" spans="1:16" ht="19.5" customHeight="1">
      <c r="A673" s="171" t="s">
        <v>685</v>
      </c>
      <c r="B673" s="175">
        <v>46046</v>
      </c>
      <c r="C673" s="171" t="s">
        <v>127</v>
      </c>
      <c r="D673" s="171" t="s">
        <v>129</v>
      </c>
      <c r="E673" s="171" t="s">
        <v>54</v>
      </c>
      <c r="F673" s="171" t="s">
        <v>686</v>
      </c>
      <c r="G673" s="171" t="s">
        <v>687</v>
      </c>
      <c r="H673" s="176">
        <v>1</v>
      </c>
      <c r="I673" s="177">
        <v>3663</v>
      </c>
      <c r="J673" s="175">
        <v>46032</v>
      </c>
      <c r="K673" s="171" t="s">
        <v>113</v>
      </c>
      <c r="L673" s="171" t="s">
        <v>114</v>
      </c>
      <c r="M673" s="178">
        <v>0</v>
      </c>
      <c r="N673" s="176"/>
      <c r="O673" s="176"/>
      <c r="P673" s="179">
        <v>19.78</v>
      </c>
    </row>
    <row r="674" spans="1:16" ht="19.5" customHeight="1">
      <c r="A674" s="171" t="s">
        <v>685</v>
      </c>
      <c r="B674" s="175">
        <v>46046</v>
      </c>
      <c r="C674" s="171" t="s">
        <v>127</v>
      </c>
      <c r="D674" s="171" t="s">
        <v>130</v>
      </c>
      <c r="E674" s="171" t="s">
        <v>54</v>
      </c>
      <c r="F674" s="171" t="s">
        <v>686</v>
      </c>
      <c r="G674" s="171" t="s">
        <v>687</v>
      </c>
      <c r="H674" s="176">
        <v>1</v>
      </c>
      <c r="I674" s="177">
        <v>3663</v>
      </c>
      <c r="J674" s="175">
        <v>46032</v>
      </c>
      <c r="K674" s="171" t="s">
        <v>113</v>
      </c>
      <c r="L674" s="171" t="s">
        <v>114</v>
      </c>
      <c r="M674" s="178">
        <v>0</v>
      </c>
      <c r="N674" s="176"/>
      <c r="O674" s="176"/>
      <c r="P674" s="179">
        <v>1665.08</v>
      </c>
    </row>
    <row r="675" spans="1:16" ht="19.5" customHeight="1">
      <c r="A675" s="171" t="s">
        <v>685</v>
      </c>
      <c r="B675" s="175">
        <v>46046</v>
      </c>
      <c r="C675" s="171" t="s">
        <v>131</v>
      </c>
      <c r="D675" s="171" t="s">
        <v>132</v>
      </c>
      <c r="E675" s="171" t="s">
        <v>54</v>
      </c>
      <c r="F675" s="171" t="s">
        <v>686</v>
      </c>
      <c r="G675" s="171" t="s">
        <v>687</v>
      </c>
      <c r="H675" s="176">
        <v>1</v>
      </c>
      <c r="I675" s="177">
        <v>3663</v>
      </c>
      <c r="J675" s="175">
        <v>46032</v>
      </c>
      <c r="K675" s="171" t="s">
        <v>113</v>
      </c>
      <c r="L675" s="171" t="s">
        <v>114</v>
      </c>
      <c r="M675" s="178">
        <v>0.43</v>
      </c>
      <c r="N675" s="176"/>
      <c r="O675" s="176"/>
      <c r="P675" s="179">
        <v>-1575.09</v>
      </c>
    </row>
    <row r="676" spans="1:16" ht="19.5" customHeight="1">
      <c r="A676" s="171" t="s">
        <v>685</v>
      </c>
      <c r="B676" s="175">
        <v>46046</v>
      </c>
      <c r="C676" s="171" t="s">
        <v>115</v>
      </c>
      <c r="D676" s="171" t="s">
        <v>116</v>
      </c>
      <c r="E676" s="171" t="s">
        <v>54</v>
      </c>
      <c r="F676" s="171" t="s">
        <v>686</v>
      </c>
      <c r="G676" s="171" t="s">
        <v>687</v>
      </c>
      <c r="H676" s="176">
        <v>1</v>
      </c>
      <c r="I676" s="177">
        <v>3663</v>
      </c>
      <c r="J676" s="175">
        <v>46032</v>
      </c>
      <c r="K676" s="171" t="s">
        <v>113</v>
      </c>
      <c r="L676" s="171" t="s">
        <v>114</v>
      </c>
      <c r="M676" s="178">
        <v>0.43</v>
      </c>
      <c r="N676" s="176"/>
      <c r="O676" s="176"/>
      <c r="P676" s="179">
        <v>-16.760000000000002</v>
      </c>
    </row>
    <row r="677" spans="1:16" ht="19.5" customHeight="1">
      <c r="A677" s="171" t="s">
        <v>685</v>
      </c>
      <c r="B677" s="175">
        <v>46046</v>
      </c>
      <c r="C677" s="171" t="s">
        <v>115</v>
      </c>
      <c r="D677" s="171" t="s">
        <v>135</v>
      </c>
      <c r="E677" s="171" t="s">
        <v>54</v>
      </c>
      <c r="F677" s="171" t="s">
        <v>686</v>
      </c>
      <c r="G677" s="171" t="s">
        <v>687</v>
      </c>
      <c r="H677" s="176">
        <v>1</v>
      </c>
      <c r="I677" s="177">
        <v>0</v>
      </c>
      <c r="J677" s="175">
        <v>46032</v>
      </c>
      <c r="K677" s="171" t="s">
        <v>125</v>
      </c>
      <c r="L677" s="171" t="s">
        <v>125</v>
      </c>
      <c r="M677" s="178">
        <v>0</v>
      </c>
      <c r="N677" s="176"/>
      <c r="O677" s="176"/>
      <c r="P677" s="179">
        <v>-37.58</v>
      </c>
    </row>
    <row r="678" spans="1:16" ht="19.5" customHeight="1">
      <c r="A678" s="171" t="s">
        <v>688</v>
      </c>
      <c r="B678" s="175">
        <v>46046</v>
      </c>
      <c r="C678" s="171" t="s">
        <v>110</v>
      </c>
      <c r="D678" s="171" t="s">
        <v>24</v>
      </c>
      <c r="E678" s="171" t="s">
        <v>38</v>
      </c>
      <c r="F678" s="171" t="s">
        <v>111</v>
      </c>
      <c r="G678" s="171" t="s">
        <v>112</v>
      </c>
      <c r="H678" s="176">
        <v>1</v>
      </c>
      <c r="I678" s="177">
        <v>1670</v>
      </c>
      <c r="J678" s="175">
        <v>46044</v>
      </c>
      <c r="K678" s="171" t="s">
        <v>113</v>
      </c>
      <c r="L678" s="171" t="s">
        <v>114</v>
      </c>
      <c r="M678" s="178">
        <v>0.43</v>
      </c>
      <c r="N678" s="176"/>
      <c r="O678" s="176">
        <v>54</v>
      </c>
      <c r="P678" s="179">
        <v>-148.9</v>
      </c>
    </row>
    <row r="679" spans="1:16" ht="19.5" customHeight="1">
      <c r="A679" s="171" t="s">
        <v>688</v>
      </c>
      <c r="B679" s="175">
        <v>46046</v>
      </c>
      <c r="C679" s="171" t="s">
        <v>127</v>
      </c>
      <c r="D679" s="171" t="s">
        <v>128</v>
      </c>
      <c r="E679" s="171" t="s">
        <v>38</v>
      </c>
      <c r="F679" s="171" t="s">
        <v>111</v>
      </c>
      <c r="G679" s="171" t="s">
        <v>112</v>
      </c>
      <c r="H679" s="176">
        <v>1</v>
      </c>
      <c r="I679" s="177">
        <v>1670</v>
      </c>
      <c r="J679" s="175">
        <v>46044</v>
      </c>
      <c r="K679" s="171" t="s">
        <v>113</v>
      </c>
      <c r="L679" s="171" t="s">
        <v>114</v>
      </c>
      <c r="M679" s="178">
        <v>0</v>
      </c>
      <c r="N679" s="176"/>
      <c r="O679" s="176"/>
      <c r="P679" s="179">
        <v>615.24</v>
      </c>
    </row>
    <row r="680" spans="1:16" ht="19.5" customHeight="1">
      <c r="A680" s="171" t="s">
        <v>688</v>
      </c>
      <c r="B680" s="175">
        <v>46046</v>
      </c>
      <c r="C680" s="171" t="s">
        <v>127</v>
      </c>
      <c r="D680" s="171" t="s">
        <v>129</v>
      </c>
      <c r="E680" s="171" t="s">
        <v>38</v>
      </c>
      <c r="F680" s="171" t="s">
        <v>111</v>
      </c>
      <c r="G680" s="171" t="s">
        <v>112</v>
      </c>
      <c r="H680" s="176">
        <v>1</v>
      </c>
      <c r="I680" s="177">
        <v>1670</v>
      </c>
      <c r="J680" s="175">
        <v>46044</v>
      </c>
      <c r="K680" s="171" t="s">
        <v>113</v>
      </c>
      <c r="L680" s="171" t="s">
        <v>114</v>
      </c>
      <c r="M680" s="178">
        <v>0</v>
      </c>
      <c r="N680" s="176"/>
      <c r="O680" s="176"/>
      <c r="P680" s="179">
        <v>6.15</v>
      </c>
    </row>
    <row r="681" spans="1:16" ht="19.5" customHeight="1">
      <c r="A681" s="171" t="s">
        <v>688</v>
      </c>
      <c r="B681" s="175">
        <v>46046</v>
      </c>
      <c r="C681" s="171" t="s">
        <v>127</v>
      </c>
      <c r="D681" s="171" t="s">
        <v>130</v>
      </c>
      <c r="E681" s="171" t="s">
        <v>38</v>
      </c>
      <c r="F681" s="171" t="s">
        <v>111</v>
      </c>
      <c r="G681" s="171" t="s">
        <v>112</v>
      </c>
      <c r="H681" s="176">
        <v>1</v>
      </c>
      <c r="I681" s="177">
        <v>1670</v>
      </c>
      <c r="J681" s="175">
        <v>46044</v>
      </c>
      <c r="K681" s="171" t="s">
        <v>113</v>
      </c>
      <c r="L681" s="171" t="s">
        <v>114</v>
      </c>
      <c r="M681" s="178">
        <v>0</v>
      </c>
      <c r="N681" s="176"/>
      <c r="O681" s="176"/>
      <c r="P681" s="179">
        <v>1048.6099999999999</v>
      </c>
    </row>
    <row r="682" spans="1:16" ht="19.5" customHeight="1">
      <c r="A682" s="171" t="s">
        <v>688</v>
      </c>
      <c r="B682" s="175">
        <v>46046</v>
      </c>
      <c r="C682" s="171" t="s">
        <v>131</v>
      </c>
      <c r="D682" s="171" t="s">
        <v>132</v>
      </c>
      <c r="E682" s="171" t="s">
        <v>38</v>
      </c>
      <c r="F682" s="171" t="s">
        <v>111</v>
      </c>
      <c r="G682" s="171" t="s">
        <v>112</v>
      </c>
      <c r="H682" s="176">
        <v>1</v>
      </c>
      <c r="I682" s="177">
        <v>1670</v>
      </c>
      <c r="J682" s="175">
        <v>46044</v>
      </c>
      <c r="K682" s="171" t="s">
        <v>113</v>
      </c>
      <c r="L682" s="171" t="s">
        <v>114</v>
      </c>
      <c r="M682" s="178">
        <v>0.43</v>
      </c>
      <c r="N682" s="176"/>
      <c r="O682" s="176"/>
      <c r="P682" s="179">
        <v>-718.1</v>
      </c>
    </row>
    <row r="683" spans="1:16" ht="19.5" customHeight="1">
      <c r="A683" s="171" t="s">
        <v>688</v>
      </c>
      <c r="B683" s="175">
        <v>46046</v>
      </c>
      <c r="C683" s="171" t="s">
        <v>115</v>
      </c>
      <c r="D683" s="171" t="s">
        <v>116</v>
      </c>
      <c r="E683" s="171" t="s">
        <v>38</v>
      </c>
      <c r="F683" s="171" t="s">
        <v>111</v>
      </c>
      <c r="G683" s="171" t="s">
        <v>112</v>
      </c>
      <c r="H683" s="176">
        <v>1</v>
      </c>
      <c r="I683" s="177">
        <v>1670</v>
      </c>
      <c r="J683" s="175">
        <v>46044</v>
      </c>
      <c r="K683" s="171" t="s">
        <v>113</v>
      </c>
      <c r="L683" s="171" t="s">
        <v>114</v>
      </c>
      <c r="M683" s="178">
        <v>0.43</v>
      </c>
      <c r="N683" s="176"/>
      <c r="O683" s="176"/>
      <c r="P683" s="179">
        <v>-8.0399999999999991</v>
      </c>
    </row>
    <row r="684" spans="1:16" ht="19.5" customHeight="1">
      <c r="A684" s="171" t="s">
        <v>689</v>
      </c>
      <c r="B684" s="175">
        <v>46046</v>
      </c>
      <c r="C684" s="171" t="s">
        <v>110</v>
      </c>
      <c r="D684" s="171" t="s">
        <v>24</v>
      </c>
      <c r="E684" s="171" t="s">
        <v>38</v>
      </c>
      <c r="F684" s="171" t="s">
        <v>111</v>
      </c>
      <c r="G684" s="171" t="s">
        <v>112</v>
      </c>
      <c r="H684" s="176">
        <v>1</v>
      </c>
      <c r="I684" s="177">
        <v>1670</v>
      </c>
      <c r="J684" s="175">
        <v>46044</v>
      </c>
      <c r="K684" s="171" t="s">
        <v>113</v>
      </c>
      <c r="L684" s="171" t="s">
        <v>114</v>
      </c>
      <c r="M684" s="178">
        <v>0.43</v>
      </c>
      <c r="N684" s="176"/>
      <c r="O684" s="176">
        <v>54</v>
      </c>
      <c r="P684" s="179">
        <v>-148.9</v>
      </c>
    </row>
    <row r="685" spans="1:16" ht="19.5" customHeight="1">
      <c r="A685" s="171" t="s">
        <v>689</v>
      </c>
      <c r="B685" s="175">
        <v>46046</v>
      </c>
      <c r="C685" s="171" t="s">
        <v>127</v>
      </c>
      <c r="D685" s="171" t="s">
        <v>128</v>
      </c>
      <c r="E685" s="171" t="s">
        <v>38</v>
      </c>
      <c r="F685" s="171" t="s">
        <v>111</v>
      </c>
      <c r="G685" s="171" t="s">
        <v>112</v>
      </c>
      <c r="H685" s="176">
        <v>1</v>
      </c>
      <c r="I685" s="177">
        <v>1670</v>
      </c>
      <c r="J685" s="175">
        <v>46044</v>
      </c>
      <c r="K685" s="171" t="s">
        <v>113</v>
      </c>
      <c r="L685" s="171" t="s">
        <v>114</v>
      </c>
      <c r="M685" s="178">
        <v>0</v>
      </c>
      <c r="N685" s="176"/>
      <c r="O685" s="176"/>
      <c r="P685" s="179">
        <v>579.45000000000005</v>
      </c>
    </row>
    <row r="686" spans="1:16" ht="19.5" customHeight="1">
      <c r="A686" s="171" t="s">
        <v>689</v>
      </c>
      <c r="B686" s="175">
        <v>46046</v>
      </c>
      <c r="C686" s="171" t="s">
        <v>127</v>
      </c>
      <c r="D686" s="171" t="s">
        <v>129</v>
      </c>
      <c r="E686" s="171" t="s">
        <v>38</v>
      </c>
      <c r="F686" s="171" t="s">
        <v>111</v>
      </c>
      <c r="G686" s="171" t="s">
        <v>112</v>
      </c>
      <c r="H686" s="176">
        <v>1</v>
      </c>
      <c r="I686" s="177">
        <v>1670</v>
      </c>
      <c r="J686" s="175">
        <v>46044</v>
      </c>
      <c r="K686" s="171" t="s">
        <v>113</v>
      </c>
      <c r="L686" s="171" t="s">
        <v>114</v>
      </c>
      <c r="M686" s="178">
        <v>0</v>
      </c>
      <c r="N686" s="176"/>
      <c r="O686" s="176"/>
      <c r="P686" s="179">
        <v>5.79</v>
      </c>
    </row>
    <row r="687" spans="1:16" ht="19.5" customHeight="1">
      <c r="A687" s="171" t="s">
        <v>689</v>
      </c>
      <c r="B687" s="175">
        <v>46046</v>
      </c>
      <c r="C687" s="171" t="s">
        <v>127</v>
      </c>
      <c r="D687" s="171" t="s">
        <v>130</v>
      </c>
      <c r="E687" s="171" t="s">
        <v>38</v>
      </c>
      <c r="F687" s="171" t="s">
        <v>111</v>
      </c>
      <c r="G687" s="171" t="s">
        <v>112</v>
      </c>
      <c r="H687" s="176">
        <v>1</v>
      </c>
      <c r="I687" s="177">
        <v>1670</v>
      </c>
      <c r="J687" s="175">
        <v>46044</v>
      </c>
      <c r="K687" s="171" t="s">
        <v>113</v>
      </c>
      <c r="L687" s="171" t="s">
        <v>114</v>
      </c>
      <c r="M687" s="178">
        <v>0</v>
      </c>
      <c r="N687" s="176"/>
      <c r="O687" s="176"/>
      <c r="P687" s="179">
        <v>1084.76</v>
      </c>
    </row>
    <row r="688" spans="1:16" ht="19.5" customHeight="1">
      <c r="A688" s="171" t="s">
        <v>689</v>
      </c>
      <c r="B688" s="175">
        <v>46046</v>
      </c>
      <c r="C688" s="171" t="s">
        <v>131</v>
      </c>
      <c r="D688" s="171" t="s">
        <v>132</v>
      </c>
      <c r="E688" s="171" t="s">
        <v>38</v>
      </c>
      <c r="F688" s="171" t="s">
        <v>111</v>
      </c>
      <c r="G688" s="171" t="s">
        <v>112</v>
      </c>
      <c r="H688" s="176">
        <v>1</v>
      </c>
      <c r="I688" s="177">
        <v>1670</v>
      </c>
      <c r="J688" s="175">
        <v>46044</v>
      </c>
      <c r="K688" s="171" t="s">
        <v>113</v>
      </c>
      <c r="L688" s="171" t="s">
        <v>114</v>
      </c>
      <c r="M688" s="178">
        <v>0.43</v>
      </c>
      <c r="N688" s="176"/>
      <c r="O688" s="176"/>
      <c r="P688" s="179">
        <v>-718.1</v>
      </c>
    </row>
    <row r="689" spans="1:16" ht="19.5" customHeight="1">
      <c r="A689" s="171" t="s">
        <v>689</v>
      </c>
      <c r="B689" s="175">
        <v>46046</v>
      </c>
      <c r="C689" s="171" t="s">
        <v>115</v>
      </c>
      <c r="D689" s="171" t="s">
        <v>116</v>
      </c>
      <c r="E689" s="171" t="s">
        <v>38</v>
      </c>
      <c r="F689" s="171" t="s">
        <v>111</v>
      </c>
      <c r="G689" s="171" t="s">
        <v>112</v>
      </c>
      <c r="H689" s="176">
        <v>1</v>
      </c>
      <c r="I689" s="177">
        <v>1670</v>
      </c>
      <c r="J689" s="175">
        <v>46044</v>
      </c>
      <c r="K689" s="171" t="s">
        <v>113</v>
      </c>
      <c r="L689" s="171" t="s">
        <v>114</v>
      </c>
      <c r="M689" s="178">
        <v>0.43</v>
      </c>
      <c r="N689" s="176"/>
      <c r="O689" s="176"/>
      <c r="P689" s="179">
        <v>-8.89</v>
      </c>
    </row>
    <row r="690" spans="1:16" ht="19.5" customHeight="1">
      <c r="A690" s="171" t="s">
        <v>688</v>
      </c>
      <c r="B690" s="175">
        <v>46046</v>
      </c>
      <c r="C690" s="171" t="s">
        <v>115</v>
      </c>
      <c r="D690" s="171" t="s">
        <v>135</v>
      </c>
      <c r="E690" s="171" t="s">
        <v>38</v>
      </c>
      <c r="F690" s="171" t="s">
        <v>111</v>
      </c>
      <c r="G690" s="171" t="s">
        <v>112</v>
      </c>
      <c r="H690" s="176">
        <v>1</v>
      </c>
      <c r="I690" s="177">
        <v>0</v>
      </c>
      <c r="J690" s="175">
        <v>46044</v>
      </c>
      <c r="K690" s="171" t="s">
        <v>125</v>
      </c>
      <c r="L690" s="171" t="s">
        <v>125</v>
      </c>
      <c r="M690" s="178">
        <v>0</v>
      </c>
      <c r="N690" s="176"/>
      <c r="O690" s="176"/>
      <c r="P690" s="179">
        <v>-11.69</v>
      </c>
    </row>
    <row r="691" spans="1:16" ht="19.5" customHeight="1">
      <c r="A691" s="171" t="s">
        <v>690</v>
      </c>
      <c r="B691" s="175">
        <v>46046</v>
      </c>
      <c r="C691" s="171" t="s">
        <v>115</v>
      </c>
      <c r="D691" s="171" t="s">
        <v>135</v>
      </c>
      <c r="E691" s="171" t="s">
        <v>38</v>
      </c>
      <c r="F691" s="171" t="s">
        <v>111</v>
      </c>
      <c r="G691" s="171" t="s">
        <v>112</v>
      </c>
      <c r="H691" s="176">
        <v>1</v>
      </c>
      <c r="I691" s="177">
        <v>0</v>
      </c>
      <c r="J691" s="175">
        <v>46046</v>
      </c>
      <c r="K691" s="171" t="s">
        <v>125</v>
      </c>
      <c r="L691" s="171" t="s">
        <v>125</v>
      </c>
      <c r="M691" s="178">
        <v>0</v>
      </c>
      <c r="N691" s="176"/>
      <c r="O691" s="176"/>
      <c r="P691" s="179">
        <v>-14.89</v>
      </c>
    </row>
    <row r="692" spans="1:16" ht="19.5" customHeight="1">
      <c r="A692" s="171" t="s">
        <v>691</v>
      </c>
      <c r="B692" s="175">
        <v>46046</v>
      </c>
      <c r="C692" s="171" t="s">
        <v>110</v>
      </c>
      <c r="D692" s="171" t="s">
        <v>24</v>
      </c>
      <c r="E692" s="171" t="s">
        <v>78</v>
      </c>
      <c r="F692" s="171" t="s">
        <v>176</v>
      </c>
      <c r="G692" s="171" t="s">
        <v>177</v>
      </c>
      <c r="H692" s="176">
        <v>1</v>
      </c>
      <c r="I692" s="177">
        <v>4940</v>
      </c>
      <c r="J692" s="175">
        <v>46045</v>
      </c>
      <c r="K692" s="171" t="s">
        <v>113</v>
      </c>
      <c r="L692" s="171" t="s">
        <v>114</v>
      </c>
      <c r="M692" s="178">
        <v>0.43</v>
      </c>
      <c r="N692" s="176"/>
      <c r="O692" s="176">
        <v>51</v>
      </c>
      <c r="P692" s="179">
        <v>-290.97000000000003</v>
      </c>
    </row>
    <row r="693" spans="1:16" ht="19.5" customHeight="1">
      <c r="A693" s="171" t="s">
        <v>691</v>
      </c>
      <c r="B693" s="175">
        <v>46046</v>
      </c>
      <c r="C693" s="171" t="s">
        <v>127</v>
      </c>
      <c r="D693" s="171" t="s">
        <v>128</v>
      </c>
      <c r="E693" s="171" t="s">
        <v>78</v>
      </c>
      <c r="F693" s="171" t="s">
        <v>176</v>
      </c>
      <c r="G693" s="171" t="s">
        <v>177</v>
      </c>
      <c r="H693" s="176">
        <v>1</v>
      </c>
      <c r="I693" s="177">
        <v>4940</v>
      </c>
      <c r="J693" s="175">
        <v>46045</v>
      </c>
      <c r="K693" s="171" t="s">
        <v>113</v>
      </c>
      <c r="L693" s="171" t="s">
        <v>114</v>
      </c>
      <c r="M693" s="178">
        <v>0</v>
      </c>
      <c r="N693" s="176"/>
      <c r="O693" s="176"/>
      <c r="P693" s="179">
        <v>2075.2399999999998</v>
      </c>
    </row>
    <row r="694" spans="1:16" ht="19.5" customHeight="1">
      <c r="A694" s="171" t="s">
        <v>691</v>
      </c>
      <c r="B694" s="175">
        <v>46046</v>
      </c>
      <c r="C694" s="171" t="s">
        <v>127</v>
      </c>
      <c r="D694" s="171" t="s">
        <v>129</v>
      </c>
      <c r="E694" s="171" t="s">
        <v>78</v>
      </c>
      <c r="F694" s="171" t="s">
        <v>176</v>
      </c>
      <c r="G694" s="171" t="s">
        <v>177</v>
      </c>
      <c r="H694" s="176">
        <v>1</v>
      </c>
      <c r="I694" s="177">
        <v>4940</v>
      </c>
      <c r="J694" s="175">
        <v>46045</v>
      </c>
      <c r="K694" s="171" t="s">
        <v>113</v>
      </c>
      <c r="L694" s="171" t="s">
        <v>114</v>
      </c>
      <c r="M694" s="178">
        <v>0</v>
      </c>
      <c r="N694" s="176"/>
      <c r="O694" s="176"/>
      <c r="P694" s="179">
        <v>0</v>
      </c>
    </row>
    <row r="695" spans="1:16" ht="19.5" customHeight="1">
      <c r="A695" s="171" t="s">
        <v>691</v>
      </c>
      <c r="B695" s="175">
        <v>46046</v>
      </c>
      <c r="C695" s="171" t="s">
        <v>127</v>
      </c>
      <c r="D695" s="171" t="s">
        <v>130</v>
      </c>
      <c r="E695" s="171" t="s">
        <v>78</v>
      </c>
      <c r="F695" s="171" t="s">
        <v>176</v>
      </c>
      <c r="G695" s="171" t="s">
        <v>177</v>
      </c>
      <c r="H695" s="176">
        <v>1</v>
      </c>
      <c r="I695" s="177">
        <v>4940</v>
      </c>
      <c r="J695" s="175">
        <v>46045</v>
      </c>
      <c r="K695" s="171" t="s">
        <v>113</v>
      </c>
      <c r="L695" s="171" t="s">
        <v>114</v>
      </c>
      <c r="M695" s="178">
        <v>0</v>
      </c>
      <c r="N695" s="176"/>
      <c r="O695" s="176"/>
      <c r="P695" s="179">
        <v>2864.76</v>
      </c>
    </row>
    <row r="696" spans="1:16" ht="19.5" customHeight="1">
      <c r="A696" s="171" t="s">
        <v>691</v>
      </c>
      <c r="B696" s="175">
        <v>46046</v>
      </c>
      <c r="C696" s="171" t="s">
        <v>131</v>
      </c>
      <c r="D696" s="171" t="s">
        <v>132</v>
      </c>
      <c r="E696" s="171" t="s">
        <v>78</v>
      </c>
      <c r="F696" s="171" t="s">
        <v>176</v>
      </c>
      <c r="G696" s="171" t="s">
        <v>177</v>
      </c>
      <c r="H696" s="176">
        <v>1</v>
      </c>
      <c r="I696" s="177">
        <v>4940</v>
      </c>
      <c r="J696" s="175">
        <v>46045</v>
      </c>
      <c r="K696" s="171" t="s">
        <v>113</v>
      </c>
      <c r="L696" s="171" t="s">
        <v>114</v>
      </c>
      <c r="M696" s="178">
        <v>0.43</v>
      </c>
      <c r="N696" s="176"/>
      <c r="O696" s="176"/>
      <c r="P696" s="179">
        <v>-2124.1999999999998</v>
      </c>
    </row>
    <row r="697" spans="1:16" ht="19.5" customHeight="1">
      <c r="A697" s="171" t="s">
        <v>691</v>
      </c>
      <c r="B697" s="175">
        <v>46046</v>
      </c>
      <c r="C697" s="171" t="s">
        <v>115</v>
      </c>
      <c r="D697" s="171" t="s">
        <v>116</v>
      </c>
      <c r="E697" s="171" t="s">
        <v>78</v>
      </c>
      <c r="F697" s="171" t="s">
        <v>176</v>
      </c>
      <c r="G697" s="171" t="s">
        <v>177</v>
      </c>
      <c r="H697" s="176">
        <v>1</v>
      </c>
      <c r="I697" s="177">
        <v>4940</v>
      </c>
      <c r="J697" s="175">
        <v>46045</v>
      </c>
      <c r="K697" s="171" t="s">
        <v>113</v>
      </c>
      <c r="L697" s="171" t="s">
        <v>114</v>
      </c>
      <c r="M697" s="178">
        <v>0.43</v>
      </c>
      <c r="N697" s="176"/>
      <c r="O697" s="176"/>
      <c r="P697" s="179">
        <v>-13.95</v>
      </c>
    </row>
    <row r="698" spans="1:16" ht="19.5" customHeight="1">
      <c r="A698" s="171" t="s">
        <v>691</v>
      </c>
      <c r="B698" s="175">
        <v>46046</v>
      </c>
      <c r="C698" s="171" t="s">
        <v>115</v>
      </c>
      <c r="D698" s="171" t="s">
        <v>135</v>
      </c>
      <c r="E698" s="171" t="s">
        <v>78</v>
      </c>
      <c r="F698" s="171" t="s">
        <v>176</v>
      </c>
      <c r="G698" s="171" t="s">
        <v>177</v>
      </c>
      <c r="H698" s="176">
        <v>1</v>
      </c>
      <c r="I698" s="177">
        <v>0</v>
      </c>
      <c r="J698" s="175">
        <v>46045</v>
      </c>
      <c r="K698" s="171" t="s">
        <v>125</v>
      </c>
      <c r="L698" s="171" t="s">
        <v>125</v>
      </c>
      <c r="M698" s="178">
        <v>0</v>
      </c>
      <c r="N698" s="176"/>
      <c r="O698" s="176"/>
      <c r="P698" s="179">
        <v>-11</v>
      </c>
    </row>
    <row r="699" spans="1:16" ht="19.5" customHeight="1">
      <c r="A699" s="171" t="s">
        <v>692</v>
      </c>
      <c r="B699" s="175">
        <v>46046</v>
      </c>
      <c r="C699" s="171" t="s">
        <v>115</v>
      </c>
      <c r="D699" s="171" t="s">
        <v>135</v>
      </c>
      <c r="E699" s="171" t="s">
        <v>38</v>
      </c>
      <c r="F699" s="171" t="s">
        <v>111</v>
      </c>
      <c r="G699" s="171" t="s">
        <v>112</v>
      </c>
      <c r="H699" s="176">
        <v>1</v>
      </c>
      <c r="I699" s="177">
        <v>0</v>
      </c>
      <c r="J699" s="175">
        <v>46046</v>
      </c>
      <c r="K699" s="171" t="s">
        <v>125</v>
      </c>
      <c r="L699" s="171" t="s">
        <v>125</v>
      </c>
      <c r="M699" s="178">
        <v>0</v>
      </c>
      <c r="N699" s="176"/>
      <c r="O699" s="176"/>
      <c r="P699" s="179">
        <v>-15.58</v>
      </c>
    </row>
    <row r="700" spans="1:16" ht="19.5" customHeight="1">
      <c r="A700" s="171" t="s">
        <v>693</v>
      </c>
      <c r="B700" s="175">
        <v>46046</v>
      </c>
      <c r="C700" s="171" t="s">
        <v>115</v>
      </c>
      <c r="D700" s="171" t="s">
        <v>135</v>
      </c>
      <c r="E700" s="171" t="s">
        <v>38</v>
      </c>
      <c r="F700" s="171" t="s">
        <v>111</v>
      </c>
      <c r="G700" s="171" t="s">
        <v>112</v>
      </c>
      <c r="H700" s="176">
        <v>1</v>
      </c>
      <c r="I700" s="177">
        <v>0</v>
      </c>
      <c r="J700" s="175">
        <v>46046</v>
      </c>
      <c r="K700" s="171" t="s">
        <v>125</v>
      </c>
      <c r="L700" s="171" t="s">
        <v>125</v>
      </c>
      <c r="M700" s="178">
        <v>0</v>
      </c>
      <c r="N700" s="176"/>
      <c r="O700" s="176"/>
      <c r="P700" s="179">
        <v>-14.26</v>
      </c>
    </row>
    <row r="701" spans="1:16" ht="19.5" customHeight="1">
      <c r="A701" s="171" t="s">
        <v>693</v>
      </c>
      <c r="B701" s="175">
        <v>46046</v>
      </c>
      <c r="C701" s="171" t="s">
        <v>115</v>
      </c>
      <c r="D701" s="171" t="s">
        <v>135</v>
      </c>
      <c r="E701" s="171" t="s">
        <v>38</v>
      </c>
      <c r="F701" s="171" t="s">
        <v>111</v>
      </c>
      <c r="G701" s="171" t="s">
        <v>112</v>
      </c>
      <c r="H701" s="176">
        <v>1</v>
      </c>
      <c r="I701" s="177">
        <v>0</v>
      </c>
      <c r="J701" s="175">
        <v>46046</v>
      </c>
      <c r="K701" s="171" t="s">
        <v>125</v>
      </c>
      <c r="L701" s="171" t="s">
        <v>125</v>
      </c>
      <c r="M701" s="178">
        <v>0</v>
      </c>
      <c r="N701" s="176"/>
      <c r="O701" s="176"/>
      <c r="P701" s="179">
        <v>14.26</v>
      </c>
    </row>
    <row r="702" spans="1:16" ht="19.5" customHeight="1">
      <c r="A702" s="171" t="s">
        <v>694</v>
      </c>
      <c r="B702" s="175">
        <v>46046</v>
      </c>
      <c r="C702" s="171" t="s">
        <v>110</v>
      </c>
      <c r="D702" s="171" t="s">
        <v>24</v>
      </c>
      <c r="E702" s="171" t="s">
        <v>77</v>
      </c>
      <c r="F702" s="171" t="s">
        <v>194</v>
      </c>
      <c r="G702" s="171" t="s">
        <v>177</v>
      </c>
      <c r="H702" s="176">
        <v>1</v>
      </c>
      <c r="I702" s="177">
        <v>4178</v>
      </c>
      <c r="J702" s="175">
        <v>46042</v>
      </c>
      <c r="K702" s="171" t="s">
        <v>113</v>
      </c>
      <c r="L702" s="171" t="s">
        <v>114</v>
      </c>
      <c r="M702" s="178">
        <v>0.43</v>
      </c>
      <c r="N702" s="176"/>
      <c r="O702" s="176">
        <v>52</v>
      </c>
      <c r="P702" s="179">
        <v>-262.7</v>
      </c>
    </row>
    <row r="703" spans="1:16" ht="19.5" customHeight="1">
      <c r="A703" s="171" t="s">
        <v>694</v>
      </c>
      <c r="B703" s="175">
        <v>46046</v>
      </c>
      <c r="C703" s="171" t="s">
        <v>127</v>
      </c>
      <c r="D703" s="171" t="s">
        <v>128</v>
      </c>
      <c r="E703" s="171" t="s">
        <v>77</v>
      </c>
      <c r="F703" s="171" t="s">
        <v>194</v>
      </c>
      <c r="G703" s="171" t="s">
        <v>177</v>
      </c>
      <c r="H703" s="176">
        <v>1</v>
      </c>
      <c r="I703" s="177">
        <v>4178</v>
      </c>
      <c r="J703" s="175">
        <v>46042</v>
      </c>
      <c r="K703" s="171" t="s">
        <v>113</v>
      </c>
      <c r="L703" s="171" t="s">
        <v>114</v>
      </c>
      <c r="M703" s="178">
        <v>0</v>
      </c>
      <c r="N703" s="176"/>
      <c r="O703" s="176"/>
      <c r="P703" s="179">
        <v>1757.35</v>
      </c>
    </row>
    <row r="704" spans="1:16" ht="19.5" customHeight="1">
      <c r="A704" s="171" t="s">
        <v>694</v>
      </c>
      <c r="B704" s="175">
        <v>46046</v>
      </c>
      <c r="C704" s="171" t="s">
        <v>127</v>
      </c>
      <c r="D704" s="171" t="s">
        <v>129</v>
      </c>
      <c r="E704" s="171" t="s">
        <v>77</v>
      </c>
      <c r="F704" s="171" t="s">
        <v>194</v>
      </c>
      <c r="G704" s="171" t="s">
        <v>177</v>
      </c>
      <c r="H704" s="176">
        <v>1</v>
      </c>
      <c r="I704" s="177">
        <v>4178</v>
      </c>
      <c r="J704" s="175">
        <v>46042</v>
      </c>
      <c r="K704" s="171" t="s">
        <v>113</v>
      </c>
      <c r="L704" s="171" t="s">
        <v>114</v>
      </c>
      <c r="M704" s="178">
        <v>0</v>
      </c>
      <c r="N704" s="176"/>
      <c r="O704" s="176"/>
      <c r="P704" s="179">
        <v>17.57</v>
      </c>
    </row>
    <row r="705" spans="1:16" ht="19.5" customHeight="1">
      <c r="A705" s="171" t="s">
        <v>694</v>
      </c>
      <c r="B705" s="175">
        <v>46046</v>
      </c>
      <c r="C705" s="171" t="s">
        <v>127</v>
      </c>
      <c r="D705" s="171" t="s">
        <v>130</v>
      </c>
      <c r="E705" s="171" t="s">
        <v>77</v>
      </c>
      <c r="F705" s="171" t="s">
        <v>194</v>
      </c>
      <c r="G705" s="171" t="s">
        <v>177</v>
      </c>
      <c r="H705" s="176">
        <v>1</v>
      </c>
      <c r="I705" s="177">
        <v>4178</v>
      </c>
      <c r="J705" s="175">
        <v>46042</v>
      </c>
      <c r="K705" s="171" t="s">
        <v>113</v>
      </c>
      <c r="L705" s="171" t="s">
        <v>114</v>
      </c>
      <c r="M705" s="178">
        <v>0</v>
      </c>
      <c r="N705" s="176"/>
      <c r="O705" s="176"/>
      <c r="P705" s="179">
        <v>2403.08</v>
      </c>
    </row>
    <row r="706" spans="1:16" ht="19.5" customHeight="1">
      <c r="A706" s="171" t="s">
        <v>694</v>
      </c>
      <c r="B706" s="175">
        <v>46046</v>
      </c>
      <c r="C706" s="171" t="s">
        <v>131</v>
      </c>
      <c r="D706" s="171" t="s">
        <v>132</v>
      </c>
      <c r="E706" s="171" t="s">
        <v>77</v>
      </c>
      <c r="F706" s="171" t="s">
        <v>194</v>
      </c>
      <c r="G706" s="171" t="s">
        <v>177</v>
      </c>
      <c r="H706" s="176">
        <v>1</v>
      </c>
      <c r="I706" s="177">
        <v>4178</v>
      </c>
      <c r="J706" s="175">
        <v>46042</v>
      </c>
      <c r="K706" s="171" t="s">
        <v>113</v>
      </c>
      <c r="L706" s="171" t="s">
        <v>114</v>
      </c>
      <c r="M706" s="178">
        <v>0.43</v>
      </c>
      <c r="N706" s="176"/>
      <c r="O706" s="176"/>
      <c r="P706" s="179">
        <v>-1796.54</v>
      </c>
    </row>
    <row r="707" spans="1:16" ht="19.5" customHeight="1">
      <c r="A707" s="171" t="s">
        <v>694</v>
      </c>
      <c r="B707" s="175">
        <v>46046</v>
      </c>
      <c r="C707" s="171" t="s">
        <v>115</v>
      </c>
      <c r="D707" s="171" t="s">
        <v>116</v>
      </c>
      <c r="E707" s="171" t="s">
        <v>77</v>
      </c>
      <c r="F707" s="171" t="s">
        <v>194</v>
      </c>
      <c r="G707" s="171" t="s">
        <v>177</v>
      </c>
      <c r="H707" s="176">
        <v>1</v>
      </c>
      <c r="I707" s="177">
        <v>4178</v>
      </c>
      <c r="J707" s="175">
        <v>46042</v>
      </c>
      <c r="K707" s="171" t="s">
        <v>113</v>
      </c>
      <c r="L707" s="171" t="s">
        <v>114</v>
      </c>
      <c r="M707" s="178">
        <v>0.43</v>
      </c>
      <c r="N707" s="176"/>
      <c r="O707" s="176"/>
      <c r="P707" s="179">
        <v>-17.28</v>
      </c>
    </row>
    <row r="708" spans="1:16" ht="19.5" customHeight="1">
      <c r="A708" s="171" t="s">
        <v>695</v>
      </c>
      <c r="B708" s="175">
        <v>46046</v>
      </c>
      <c r="C708" s="171" t="s">
        <v>110</v>
      </c>
      <c r="D708" s="171" t="s">
        <v>24</v>
      </c>
      <c r="E708" s="171" t="s">
        <v>44</v>
      </c>
      <c r="F708" s="171" t="s">
        <v>213</v>
      </c>
      <c r="G708" s="171" t="s">
        <v>214</v>
      </c>
      <c r="H708" s="176">
        <v>1</v>
      </c>
      <c r="I708" s="177">
        <v>1815</v>
      </c>
      <c r="J708" s="175">
        <v>46045</v>
      </c>
      <c r="K708" s="171" t="s">
        <v>113</v>
      </c>
      <c r="L708" s="171" t="s">
        <v>114</v>
      </c>
      <c r="M708" s="178">
        <v>0.43</v>
      </c>
      <c r="N708" s="176"/>
      <c r="O708" s="176">
        <v>51</v>
      </c>
      <c r="P708" s="179">
        <v>-152.66</v>
      </c>
    </row>
    <row r="709" spans="1:16" ht="19.5" customHeight="1">
      <c r="A709" s="171" t="s">
        <v>695</v>
      </c>
      <c r="B709" s="175">
        <v>46046</v>
      </c>
      <c r="C709" s="171" t="s">
        <v>127</v>
      </c>
      <c r="D709" s="171" t="s">
        <v>128</v>
      </c>
      <c r="E709" s="171" t="s">
        <v>44</v>
      </c>
      <c r="F709" s="171" t="s">
        <v>213</v>
      </c>
      <c r="G709" s="171" t="s">
        <v>214</v>
      </c>
      <c r="H709" s="176">
        <v>1</v>
      </c>
      <c r="I709" s="177">
        <v>1815</v>
      </c>
      <c r="J709" s="175">
        <v>46045</v>
      </c>
      <c r="K709" s="171" t="s">
        <v>113</v>
      </c>
      <c r="L709" s="171" t="s">
        <v>114</v>
      </c>
      <c r="M709" s="178">
        <v>0</v>
      </c>
      <c r="N709" s="176"/>
      <c r="O709" s="176"/>
      <c r="P709" s="179">
        <v>778.1</v>
      </c>
    </row>
    <row r="710" spans="1:16" ht="19.5" customHeight="1">
      <c r="A710" s="171" t="s">
        <v>695</v>
      </c>
      <c r="B710" s="175">
        <v>46046</v>
      </c>
      <c r="C710" s="171" t="s">
        <v>127</v>
      </c>
      <c r="D710" s="171" t="s">
        <v>129</v>
      </c>
      <c r="E710" s="171" t="s">
        <v>44</v>
      </c>
      <c r="F710" s="171" t="s">
        <v>213</v>
      </c>
      <c r="G710" s="171" t="s">
        <v>214</v>
      </c>
      <c r="H710" s="176">
        <v>1</v>
      </c>
      <c r="I710" s="177">
        <v>1815</v>
      </c>
      <c r="J710" s="175">
        <v>46045</v>
      </c>
      <c r="K710" s="171" t="s">
        <v>113</v>
      </c>
      <c r="L710" s="171" t="s">
        <v>114</v>
      </c>
      <c r="M710" s="178">
        <v>0</v>
      </c>
      <c r="N710" s="176"/>
      <c r="O710" s="176"/>
      <c r="P710" s="179">
        <v>7.78</v>
      </c>
    </row>
    <row r="711" spans="1:16" ht="19.5" customHeight="1">
      <c r="A711" s="171" t="s">
        <v>695</v>
      </c>
      <c r="B711" s="175">
        <v>46046</v>
      </c>
      <c r="C711" s="171" t="s">
        <v>127</v>
      </c>
      <c r="D711" s="171" t="s">
        <v>130</v>
      </c>
      <c r="E711" s="171" t="s">
        <v>44</v>
      </c>
      <c r="F711" s="171" t="s">
        <v>213</v>
      </c>
      <c r="G711" s="171" t="s">
        <v>214</v>
      </c>
      <c r="H711" s="176">
        <v>1</v>
      </c>
      <c r="I711" s="177">
        <v>1815</v>
      </c>
      <c r="J711" s="175">
        <v>46045</v>
      </c>
      <c r="K711" s="171" t="s">
        <v>113</v>
      </c>
      <c r="L711" s="171" t="s">
        <v>114</v>
      </c>
      <c r="M711" s="178">
        <v>0</v>
      </c>
      <c r="N711" s="176"/>
      <c r="O711" s="176"/>
      <c r="P711" s="179">
        <v>1029.1199999999999</v>
      </c>
    </row>
    <row r="712" spans="1:16" ht="19.5" customHeight="1">
      <c r="A712" s="171" t="s">
        <v>695</v>
      </c>
      <c r="B712" s="175">
        <v>46046</v>
      </c>
      <c r="C712" s="171" t="s">
        <v>131</v>
      </c>
      <c r="D712" s="171" t="s">
        <v>132</v>
      </c>
      <c r="E712" s="171" t="s">
        <v>44</v>
      </c>
      <c r="F712" s="171" t="s">
        <v>213</v>
      </c>
      <c r="G712" s="171" t="s">
        <v>214</v>
      </c>
      <c r="H712" s="176">
        <v>1</v>
      </c>
      <c r="I712" s="177">
        <v>1815</v>
      </c>
      <c r="J712" s="175">
        <v>46045</v>
      </c>
      <c r="K712" s="171" t="s">
        <v>113</v>
      </c>
      <c r="L712" s="171" t="s">
        <v>114</v>
      </c>
      <c r="M712" s="178">
        <v>0.43</v>
      </c>
      <c r="N712" s="176"/>
      <c r="O712" s="176"/>
      <c r="P712" s="179">
        <v>-780.45</v>
      </c>
    </row>
    <row r="713" spans="1:16" ht="19.5" customHeight="1">
      <c r="A713" s="171" t="s">
        <v>695</v>
      </c>
      <c r="B713" s="175">
        <v>46046</v>
      </c>
      <c r="C713" s="171" t="s">
        <v>115</v>
      </c>
      <c r="D713" s="171" t="s">
        <v>116</v>
      </c>
      <c r="E713" s="171" t="s">
        <v>44</v>
      </c>
      <c r="F713" s="171" t="s">
        <v>213</v>
      </c>
      <c r="G713" s="171" t="s">
        <v>214</v>
      </c>
      <c r="H713" s="176">
        <v>1</v>
      </c>
      <c r="I713" s="177">
        <v>1815</v>
      </c>
      <c r="J713" s="175">
        <v>46045</v>
      </c>
      <c r="K713" s="171" t="s">
        <v>113</v>
      </c>
      <c r="L713" s="171" t="s">
        <v>114</v>
      </c>
      <c r="M713" s="178">
        <v>0.43</v>
      </c>
      <c r="N713" s="176"/>
      <c r="O713" s="176"/>
      <c r="P713" s="179">
        <v>-12.57</v>
      </c>
    </row>
    <row r="714" spans="1:16" ht="19.5" customHeight="1">
      <c r="A714" s="171" t="s">
        <v>696</v>
      </c>
      <c r="B714" s="175">
        <v>46046</v>
      </c>
      <c r="C714" s="171" t="s">
        <v>110</v>
      </c>
      <c r="D714" s="171" t="s">
        <v>24</v>
      </c>
      <c r="E714" s="171" t="s">
        <v>38</v>
      </c>
      <c r="F714" s="171" t="s">
        <v>111</v>
      </c>
      <c r="G714" s="171" t="s">
        <v>112</v>
      </c>
      <c r="H714" s="176">
        <v>1</v>
      </c>
      <c r="I714" s="177">
        <v>1670</v>
      </c>
      <c r="J714" s="175">
        <v>46044</v>
      </c>
      <c r="K714" s="171" t="s">
        <v>113</v>
      </c>
      <c r="L714" s="171" t="s">
        <v>114</v>
      </c>
      <c r="M714" s="178">
        <v>0.43</v>
      </c>
      <c r="N714" s="176"/>
      <c r="O714" s="176">
        <v>54</v>
      </c>
      <c r="P714" s="179">
        <v>-148.9</v>
      </c>
    </row>
    <row r="715" spans="1:16" ht="19.5" customHeight="1">
      <c r="A715" s="171" t="s">
        <v>696</v>
      </c>
      <c r="B715" s="175">
        <v>46046</v>
      </c>
      <c r="C715" s="171" t="s">
        <v>127</v>
      </c>
      <c r="D715" s="171" t="s">
        <v>128</v>
      </c>
      <c r="E715" s="171" t="s">
        <v>38</v>
      </c>
      <c r="F715" s="171" t="s">
        <v>111</v>
      </c>
      <c r="G715" s="171" t="s">
        <v>112</v>
      </c>
      <c r="H715" s="176">
        <v>1</v>
      </c>
      <c r="I715" s="177">
        <v>1670</v>
      </c>
      <c r="J715" s="175">
        <v>46044</v>
      </c>
      <c r="K715" s="171" t="s">
        <v>113</v>
      </c>
      <c r="L715" s="171" t="s">
        <v>114</v>
      </c>
      <c r="M715" s="178">
        <v>0</v>
      </c>
      <c r="N715" s="176"/>
      <c r="O715" s="176"/>
      <c r="P715" s="179">
        <v>681.9</v>
      </c>
    </row>
    <row r="716" spans="1:16" ht="19.5" customHeight="1">
      <c r="A716" s="171" t="s">
        <v>696</v>
      </c>
      <c r="B716" s="175">
        <v>46046</v>
      </c>
      <c r="C716" s="171" t="s">
        <v>127</v>
      </c>
      <c r="D716" s="171" t="s">
        <v>129</v>
      </c>
      <c r="E716" s="171" t="s">
        <v>38</v>
      </c>
      <c r="F716" s="171" t="s">
        <v>111</v>
      </c>
      <c r="G716" s="171" t="s">
        <v>112</v>
      </c>
      <c r="H716" s="176">
        <v>1</v>
      </c>
      <c r="I716" s="177">
        <v>1670</v>
      </c>
      <c r="J716" s="175">
        <v>46044</v>
      </c>
      <c r="K716" s="171" t="s">
        <v>113</v>
      </c>
      <c r="L716" s="171" t="s">
        <v>114</v>
      </c>
      <c r="M716" s="178">
        <v>0</v>
      </c>
      <c r="N716" s="176"/>
      <c r="O716" s="176"/>
      <c r="P716" s="179">
        <v>0</v>
      </c>
    </row>
    <row r="717" spans="1:16" ht="19.5" customHeight="1">
      <c r="A717" s="171" t="s">
        <v>696</v>
      </c>
      <c r="B717" s="175">
        <v>46046</v>
      </c>
      <c r="C717" s="171" t="s">
        <v>127</v>
      </c>
      <c r="D717" s="171" t="s">
        <v>130</v>
      </c>
      <c r="E717" s="171" t="s">
        <v>38</v>
      </c>
      <c r="F717" s="171" t="s">
        <v>111</v>
      </c>
      <c r="G717" s="171" t="s">
        <v>112</v>
      </c>
      <c r="H717" s="176">
        <v>1</v>
      </c>
      <c r="I717" s="177">
        <v>1670</v>
      </c>
      <c r="J717" s="175">
        <v>46044</v>
      </c>
      <c r="K717" s="171" t="s">
        <v>113</v>
      </c>
      <c r="L717" s="171" t="s">
        <v>114</v>
      </c>
      <c r="M717" s="178">
        <v>0</v>
      </c>
      <c r="N717" s="176"/>
      <c r="O717" s="176"/>
      <c r="P717" s="179">
        <v>988.1</v>
      </c>
    </row>
    <row r="718" spans="1:16" ht="19.5" customHeight="1">
      <c r="A718" s="171" t="s">
        <v>696</v>
      </c>
      <c r="B718" s="175">
        <v>46046</v>
      </c>
      <c r="C718" s="171" t="s">
        <v>131</v>
      </c>
      <c r="D718" s="171" t="s">
        <v>132</v>
      </c>
      <c r="E718" s="171" t="s">
        <v>38</v>
      </c>
      <c r="F718" s="171" t="s">
        <v>111</v>
      </c>
      <c r="G718" s="171" t="s">
        <v>112</v>
      </c>
      <c r="H718" s="176">
        <v>1</v>
      </c>
      <c r="I718" s="177">
        <v>1670</v>
      </c>
      <c r="J718" s="175">
        <v>46044</v>
      </c>
      <c r="K718" s="171" t="s">
        <v>113</v>
      </c>
      <c r="L718" s="171" t="s">
        <v>114</v>
      </c>
      <c r="M718" s="178">
        <v>0.43</v>
      </c>
      <c r="N718" s="176"/>
      <c r="O718" s="176"/>
      <c r="P718" s="179">
        <v>-718.1</v>
      </c>
    </row>
    <row r="719" spans="1:16" ht="19.5" customHeight="1">
      <c r="A719" s="171" t="s">
        <v>696</v>
      </c>
      <c r="B719" s="175">
        <v>46046</v>
      </c>
      <c r="C719" s="171" t="s">
        <v>115</v>
      </c>
      <c r="D719" s="171" t="s">
        <v>116</v>
      </c>
      <c r="E719" s="171" t="s">
        <v>38</v>
      </c>
      <c r="F719" s="171" t="s">
        <v>111</v>
      </c>
      <c r="G719" s="171" t="s">
        <v>112</v>
      </c>
      <c r="H719" s="176">
        <v>1</v>
      </c>
      <c r="I719" s="177">
        <v>1670</v>
      </c>
      <c r="J719" s="175">
        <v>46044</v>
      </c>
      <c r="K719" s="171" t="s">
        <v>113</v>
      </c>
      <c r="L719" s="171" t="s">
        <v>114</v>
      </c>
      <c r="M719" s="178">
        <v>0.43</v>
      </c>
      <c r="N719" s="176"/>
      <c r="O719" s="176"/>
      <c r="P719" s="179">
        <v>-7.4</v>
      </c>
    </row>
    <row r="720" spans="1:16" ht="19.5" customHeight="1">
      <c r="A720" s="171" t="s">
        <v>694</v>
      </c>
      <c r="B720" s="175">
        <v>46046</v>
      </c>
      <c r="C720" s="171" t="s">
        <v>115</v>
      </c>
      <c r="D720" s="171" t="s">
        <v>135</v>
      </c>
      <c r="E720" s="171" t="s">
        <v>77</v>
      </c>
      <c r="F720" s="171" t="s">
        <v>194</v>
      </c>
      <c r="G720" s="171" t="s">
        <v>177</v>
      </c>
      <c r="H720" s="176">
        <v>1</v>
      </c>
      <c r="I720" s="177">
        <v>0</v>
      </c>
      <c r="J720" s="175">
        <v>46042</v>
      </c>
      <c r="K720" s="171" t="s">
        <v>125</v>
      </c>
      <c r="L720" s="171" t="s">
        <v>125</v>
      </c>
      <c r="M720" s="178">
        <v>0</v>
      </c>
      <c r="N720" s="176"/>
      <c r="O720" s="176"/>
      <c r="P720" s="179">
        <v>-33.39</v>
      </c>
    </row>
    <row r="721" spans="1:16" ht="19.5" customHeight="1">
      <c r="A721" s="171" t="s">
        <v>695</v>
      </c>
      <c r="B721" s="175">
        <v>46046</v>
      </c>
      <c r="C721" s="171" t="s">
        <v>115</v>
      </c>
      <c r="D721" s="171" t="s">
        <v>135</v>
      </c>
      <c r="E721" s="171" t="s">
        <v>44</v>
      </c>
      <c r="F721" s="171" t="s">
        <v>213</v>
      </c>
      <c r="G721" s="171" t="s">
        <v>214</v>
      </c>
      <c r="H721" s="176">
        <v>1</v>
      </c>
      <c r="I721" s="177">
        <v>0</v>
      </c>
      <c r="J721" s="175">
        <v>46045</v>
      </c>
      <c r="K721" s="171" t="s">
        <v>125</v>
      </c>
      <c r="L721" s="171" t="s">
        <v>125</v>
      </c>
      <c r="M721" s="178">
        <v>0</v>
      </c>
      <c r="N721" s="176"/>
      <c r="O721" s="176"/>
      <c r="P721" s="179">
        <v>-14.78</v>
      </c>
    </row>
    <row r="722" spans="1:16" ht="19.5" customHeight="1">
      <c r="A722" s="171" t="s">
        <v>696</v>
      </c>
      <c r="B722" s="175">
        <v>46046</v>
      </c>
      <c r="C722" s="171" t="s">
        <v>115</v>
      </c>
      <c r="D722" s="171" t="s">
        <v>135</v>
      </c>
      <c r="E722" s="171" t="s">
        <v>38</v>
      </c>
      <c r="F722" s="171" t="s">
        <v>111</v>
      </c>
      <c r="G722" s="171" t="s">
        <v>112</v>
      </c>
      <c r="H722" s="176">
        <v>1</v>
      </c>
      <c r="I722" s="177">
        <v>0</v>
      </c>
      <c r="J722" s="175">
        <v>46044</v>
      </c>
      <c r="K722" s="171" t="s">
        <v>125</v>
      </c>
      <c r="L722" s="171" t="s">
        <v>125</v>
      </c>
      <c r="M722" s="178">
        <v>0</v>
      </c>
      <c r="N722" s="176"/>
      <c r="O722" s="176"/>
      <c r="P722" s="179">
        <v>-6.96</v>
      </c>
    </row>
    <row r="723" spans="1:16" ht="19.5" customHeight="1">
      <c r="A723" s="171" t="s">
        <v>697</v>
      </c>
      <c r="B723" s="175">
        <v>46046</v>
      </c>
      <c r="C723" s="171" t="s">
        <v>507</v>
      </c>
      <c r="D723" s="171" t="s">
        <v>508</v>
      </c>
      <c r="E723" s="171" t="s">
        <v>68</v>
      </c>
      <c r="F723" s="171" t="s">
        <v>698</v>
      </c>
      <c r="G723" s="171" t="s">
        <v>699</v>
      </c>
      <c r="H723" s="176">
        <v>1</v>
      </c>
      <c r="I723" s="177">
        <v>0</v>
      </c>
      <c r="J723" s="175">
        <v>46042</v>
      </c>
      <c r="K723" s="171" t="s">
        <v>113</v>
      </c>
      <c r="L723" s="171" t="s">
        <v>114</v>
      </c>
      <c r="M723" s="178">
        <v>0</v>
      </c>
      <c r="N723" s="176"/>
      <c r="O723" s="176"/>
      <c r="P723" s="179">
        <v>-5</v>
      </c>
    </row>
    <row r="724" spans="1:16" ht="19.5" customHeight="1">
      <c r="A724" s="171" t="s">
        <v>697</v>
      </c>
      <c r="B724" s="175">
        <v>46046</v>
      </c>
      <c r="C724" s="171" t="s">
        <v>115</v>
      </c>
      <c r="D724" s="171" t="s">
        <v>510</v>
      </c>
      <c r="E724" s="171" t="s">
        <v>68</v>
      </c>
      <c r="F724" s="171" t="s">
        <v>698</v>
      </c>
      <c r="G724" s="171" t="s">
        <v>699</v>
      </c>
      <c r="H724" s="176">
        <v>1</v>
      </c>
      <c r="I724" s="177">
        <v>0</v>
      </c>
      <c r="J724" s="175">
        <v>46042</v>
      </c>
      <c r="K724" s="171" t="s">
        <v>113</v>
      </c>
      <c r="L724" s="171" t="s">
        <v>114</v>
      </c>
      <c r="M724" s="178">
        <v>0</v>
      </c>
      <c r="N724" s="176"/>
      <c r="O724" s="176"/>
      <c r="P724" s="179">
        <v>-10</v>
      </c>
    </row>
    <row r="725" spans="1:16" ht="19.5" customHeight="1">
      <c r="A725" s="171" t="s">
        <v>700</v>
      </c>
      <c r="B725" s="175">
        <v>46046</v>
      </c>
      <c r="C725" s="171" t="s">
        <v>110</v>
      </c>
      <c r="D725" s="171" t="s">
        <v>24</v>
      </c>
      <c r="E725" s="171" t="s">
        <v>38</v>
      </c>
      <c r="F725" s="171" t="s">
        <v>111</v>
      </c>
      <c r="G725" s="171" t="s">
        <v>112</v>
      </c>
      <c r="H725" s="176">
        <v>1</v>
      </c>
      <c r="I725" s="177">
        <v>1670</v>
      </c>
      <c r="J725" s="175">
        <v>46043</v>
      </c>
      <c r="K725" s="171" t="s">
        <v>113</v>
      </c>
      <c r="L725" s="171" t="s">
        <v>114</v>
      </c>
      <c r="M725" s="178">
        <v>0.43</v>
      </c>
      <c r="N725" s="176"/>
      <c r="O725" s="176">
        <v>52</v>
      </c>
      <c r="P725" s="179">
        <v>-146.22999999999999</v>
      </c>
    </row>
    <row r="726" spans="1:16" ht="19.5" customHeight="1">
      <c r="A726" s="171" t="s">
        <v>700</v>
      </c>
      <c r="B726" s="175">
        <v>46046</v>
      </c>
      <c r="C726" s="171" t="s">
        <v>127</v>
      </c>
      <c r="D726" s="171" t="s">
        <v>128</v>
      </c>
      <c r="E726" s="171" t="s">
        <v>38</v>
      </c>
      <c r="F726" s="171" t="s">
        <v>111</v>
      </c>
      <c r="G726" s="171" t="s">
        <v>112</v>
      </c>
      <c r="H726" s="176">
        <v>1</v>
      </c>
      <c r="I726" s="177">
        <v>1670</v>
      </c>
      <c r="J726" s="175">
        <v>46043</v>
      </c>
      <c r="K726" s="171" t="s">
        <v>113</v>
      </c>
      <c r="L726" s="171" t="s">
        <v>114</v>
      </c>
      <c r="M726" s="178">
        <v>0</v>
      </c>
      <c r="N726" s="176"/>
      <c r="O726" s="176"/>
      <c r="P726" s="179">
        <v>574.29</v>
      </c>
    </row>
    <row r="727" spans="1:16" ht="19.5" customHeight="1">
      <c r="A727" s="171" t="s">
        <v>700</v>
      </c>
      <c r="B727" s="175">
        <v>46046</v>
      </c>
      <c r="C727" s="171" t="s">
        <v>127</v>
      </c>
      <c r="D727" s="171" t="s">
        <v>129</v>
      </c>
      <c r="E727" s="171" t="s">
        <v>38</v>
      </c>
      <c r="F727" s="171" t="s">
        <v>111</v>
      </c>
      <c r="G727" s="171" t="s">
        <v>112</v>
      </c>
      <c r="H727" s="176">
        <v>1</v>
      </c>
      <c r="I727" s="177">
        <v>1670</v>
      </c>
      <c r="J727" s="175">
        <v>46043</v>
      </c>
      <c r="K727" s="171" t="s">
        <v>113</v>
      </c>
      <c r="L727" s="171" t="s">
        <v>114</v>
      </c>
      <c r="M727" s="178">
        <v>0</v>
      </c>
      <c r="N727" s="176"/>
      <c r="O727" s="176"/>
      <c r="P727" s="179">
        <v>5.74</v>
      </c>
    </row>
    <row r="728" spans="1:16" ht="19.5" customHeight="1">
      <c r="A728" s="171" t="s">
        <v>700</v>
      </c>
      <c r="B728" s="175">
        <v>46046</v>
      </c>
      <c r="C728" s="171" t="s">
        <v>127</v>
      </c>
      <c r="D728" s="171" t="s">
        <v>130</v>
      </c>
      <c r="E728" s="171" t="s">
        <v>38</v>
      </c>
      <c r="F728" s="171" t="s">
        <v>111</v>
      </c>
      <c r="G728" s="171" t="s">
        <v>112</v>
      </c>
      <c r="H728" s="176">
        <v>1</v>
      </c>
      <c r="I728" s="177">
        <v>1670</v>
      </c>
      <c r="J728" s="175">
        <v>46043</v>
      </c>
      <c r="K728" s="171" t="s">
        <v>113</v>
      </c>
      <c r="L728" s="171" t="s">
        <v>114</v>
      </c>
      <c r="M728" s="178">
        <v>0</v>
      </c>
      <c r="N728" s="176"/>
      <c r="O728" s="176"/>
      <c r="P728" s="179">
        <v>1089.97</v>
      </c>
    </row>
    <row r="729" spans="1:16" ht="19.5" customHeight="1">
      <c r="A729" s="171" t="s">
        <v>700</v>
      </c>
      <c r="B729" s="175">
        <v>46046</v>
      </c>
      <c r="C729" s="171" t="s">
        <v>131</v>
      </c>
      <c r="D729" s="171" t="s">
        <v>132</v>
      </c>
      <c r="E729" s="171" t="s">
        <v>38</v>
      </c>
      <c r="F729" s="171" t="s">
        <v>111</v>
      </c>
      <c r="G729" s="171" t="s">
        <v>112</v>
      </c>
      <c r="H729" s="176">
        <v>1</v>
      </c>
      <c r="I729" s="177">
        <v>1670</v>
      </c>
      <c r="J729" s="175">
        <v>46043</v>
      </c>
      <c r="K729" s="171" t="s">
        <v>113</v>
      </c>
      <c r="L729" s="171" t="s">
        <v>114</v>
      </c>
      <c r="M729" s="178">
        <v>0.43</v>
      </c>
      <c r="N729" s="176"/>
      <c r="O729" s="176"/>
      <c r="P729" s="179">
        <v>-718.1</v>
      </c>
    </row>
    <row r="730" spans="1:16" ht="19.5" customHeight="1">
      <c r="A730" s="171" t="s">
        <v>700</v>
      </c>
      <c r="B730" s="175">
        <v>46046</v>
      </c>
      <c r="C730" s="171" t="s">
        <v>115</v>
      </c>
      <c r="D730" s="171" t="s">
        <v>116</v>
      </c>
      <c r="E730" s="171" t="s">
        <v>38</v>
      </c>
      <c r="F730" s="171" t="s">
        <v>111</v>
      </c>
      <c r="G730" s="171" t="s">
        <v>112</v>
      </c>
      <c r="H730" s="176">
        <v>1</v>
      </c>
      <c r="I730" s="177">
        <v>1670</v>
      </c>
      <c r="J730" s="175">
        <v>46043</v>
      </c>
      <c r="K730" s="171" t="s">
        <v>113</v>
      </c>
      <c r="L730" s="171" t="s">
        <v>114</v>
      </c>
      <c r="M730" s="178">
        <v>0.43</v>
      </c>
      <c r="N730" s="176"/>
      <c r="O730" s="176"/>
      <c r="P730" s="179">
        <v>-7.61</v>
      </c>
    </row>
    <row r="731" spans="1:16" ht="19.5" customHeight="1">
      <c r="A731" s="171" t="s">
        <v>700</v>
      </c>
      <c r="B731" s="175">
        <v>46046</v>
      </c>
      <c r="C731" s="171" t="s">
        <v>115</v>
      </c>
      <c r="D731" s="171" t="s">
        <v>135</v>
      </c>
      <c r="E731" s="171" t="s">
        <v>38</v>
      </c>
      <c r="F731" s="171" t="s">
        <v>111</v>
      </c>
      <c r="G731" s="171" t="s">
        <v>112</v>
      </c>
      <c r="H731" s="176">
        <v>1</v>
      </c>
      <c r="I731" s="177">
        <v>0</v>
      </c>
      <c r="J731" s="175">
        <v>46043</v>
      </c>
      <c r="K731" s="171" t="s">
        <v>125</v>
      </c>
      <c r="L731" s="171" t="s">
        <v>125</v>
      </c>
      <c r="M731" s="178">
        <v>0</v>
      </c>
      <c r="N731" s="176"/>
      <c r="O731" s="176"/>
      <c r="P731" s="179">
        <v>-10.91</v>
      </c>
    </row>
    <row r="732" spans="1:16" ht="19.5" customHeight="1">
      <c r="A732" s="171" t="s">
        <v>701</v>
      </c>
      <c r="B732" s="175">
        <v>46046</v>
      </c>
      <c r="C732" s="171" t="s">
        <v>115</v>
      </c>
      <c r="D732" s="171" t="s">
        <v>135</v>
      </c>
      <c r="E732" s="171" t="s">
        <v>77</v>
      </c>
      <c r="F732" s="171" t="s">
        <v>194</v>
      </c>
      <c r="G732" s="171" t="s">
        <v>177</v>
      </c>
      <c r="H732" s="176">
        <v>1</v>
      </c>
      <c r="I732" s="177">
        <v>0</v>
      </c>
      <c r="J732" s="175">
        <v>46046</v>
      </c>
      <c r="K732" s="171" t="s">
        <v>125</v>
      </c>
      <c r="L732" s="171" t="s">
        <v>125</v>
      </c>
      <c r="M732" s="178">
        <v>0</v>
      </c>
      <c r="N732" s="176"/>
      <c r="O732" s="176"/>
      <c r="P732" s="179">
        <v>-11.09</v>
      </c>
    </row>
    <row r="733" spans="1:16" ht="19.5" customHeight="1">
      <c r="A733" s="171" t="s">
        <v>702</v>
      </c>
      <c r="B733" s="175">
        <v>46046</v>
      </c>
      <c r="C733" s="171" t="s">
        <v>115</v>
      </c>
      <c r="D733" s="171" t="s">
        <v>135</v>
      </c>
      <c r="E733" s="171" t="s">
        <v>38</v>
      </c>
      <c r="F733" s="171" t="s">
        <v>111</v>
      </c>
      <c r="G733" s="171" t="s">
        <v>112</v>
      </c>
      <c r="H733" s="176">
        <v>1</v>
      </c>
      <c r="I733" s="177">
        <v>0</v>
      </c>
      <c r="J733" s="175">
        <v>46046</v>
      </c>
      <c r="K733" s="171" t="s">
        <v>125</v>
      </c>
      <c r="L733" s="171" t="s">
        <v>125</v>
      </c>
      <c r="M733" s="178">
        <v>0</v>
      </c>
      <c r="N733" s="176"/>
      <c r="O733" s="176"/>
      <c r="P733" s="179">
        <v>-15.57</v>
      </c>
    </row>
    <row r="734" spans="1:16" ht="19.5" customHeight="1">
      <c r="A734" s="171" t="s">
        <v>703</v>
      </c>
      <c r="B734" s="175">
        <v>46046</v>
      </c>
      <c r="C734" s="171" t="s">
        <v>115</v>
      </c>
      <c r="D734" s="171" t="s">
        <v>135</v>
      </c>
      <c r="E734" s="171" t="s">
        <v>38</v>
      </c>
      <c r="F734" s="171" t="s">
        <v>111</v>
      </c>
      <c r="G734" s="171" t="s">
        <v>112</v>
      </c>
      <c r="H734" s="176">
        <v>1</v>
      </c>
      <c r="I734" s="177">
        <v>0</v>
      </c>
      <c r="J734" s="175">
        <v>46046</v>
      </c>
      <c r="K734" s="171" t="s">
        <v>125</v>
      </c>
      <c r="L734" s="171" t="s">
        <v>125</v>
      </c>
      <c r="M734" s="178">
        <v>0</v>
      </c>
      <c r="N734" s="176"/>
      <c r="O734" s="176"/>
      <c r="P734" s="179">
        <v>-15.58</v>
      </c>
    </row>
    <row r="735" spans="1:16" ht="19.5" customHeight="1">
      <c r="A735" s="171" t="s">
        <v>704</v>
      </c>
      <c r="B735" s="175">
        <v>46046</v>
      </c>
      <c r="C735" s="171" t="s">
        <v>115</v>
      </c>
      <c r="D735" s="171" t="s">
        <v>135</v>
      </c>
      <c r="E735" s="171" t="s">
        <v>38</v>
      </c>
      <c r="F735" s="171" t="s">
        <v>111</v>
      </c>
      <c r="G735" s="171" t="s">
        <v>112</v>
      </c>
      <c r="H735" s="176">
        <v>1</v>
      </c>
      <c r="I735" s="177">
        <v>0</v>
      </c>
      <c r="J735" s="175">
        <v>46046</v>
      </c>
      <c r="K735" s="171" t="s">
        <v>125</v>
      </c>
      <c r="L735" s="171" t="s">
        <v>125</v>
      </c>
      <c r="M735" s="178">
        <v>0</v>
      </c>
      <c r="N735" s="176"/>
      <c r="O735" s="176"/>
      <c r="P735" s="179">
        <v>-8</v>
      </c>
    </row>
    <row r="736" spans="1:16" ht="19.5" customHeight="1">
      <c r="A736" s="171" t="s">
        <v>705</v>
      </c>
      <c r="B736" s="175">
        <v>46046</v>
      </c>
      <c r="C736" s="171" t="s">
        <v>115</v>
      </c>
      <c r="D736" s="171" t="s">
        <v>135</v>
      </c>
      <c r="E736" s="171" t="s">
        <v>78</v>
      </c>
      <c r="F736" s="171" t="s">
        <v>176</v>
      </c>
      <c r="G736" s="171" t="s">
        <v>177</v>
      </c>
      <c r="H736" s="176">
        <v>1</v>
      </c>
      <c r="I736" s="177">
        <v>0</v>
      </c>
      <c r="J736" s="175">
        <v>46046</v>
      </c>
      <c r="K736" s="171" t="s">
        <v>125</v>
      </c>
      <c r="L736" s="171" t="s">
        <v>125</v>
      </c>
      <c r="M736" s="178">
        <v>0</v>
      </c>
      <c r="N736" s="176"/>
      <c r="O736" s="176"/>
      <c r="P736" s="179">
        <v>-40.369999999999997</v>
      </c>
    </row>
    <row r="737" spans="1:16" ht="19.5" customHeight="1">
      <c r="A737" s="171" t="s">
        <v>706</v>
      </c>
      <c r="B737" s="175">
        <v>46046</v>
      </c>
      <c r="C737" s="171" t="s">
        <v>110</v>
      </c>
      <c r="D737" s="171" t="s">
        <v>24</v>
      </c>
      <c r="E737" s="171" t="s">
        <v>77</v>
      </c>
      <c r="F737" s="171" t="s">
        <v>194</v>
      </c>
      <c r="G737" s="171" t="s">
        <v>177</v>
      </c>
      <c r="H737" s="176">
        <v>1</v>
      </c>
      <c r="I737" s="177">
        <v>0</v>
      </c>
      <c r="J737" s="175">
        <v>46040</v>
      </c>
      <c r="K737" s="171" t="s">
        <v>113</v>
      </c>
      <c r="L737" s="171" t="s">
        <v>114</v>
      </c>
      <c r="M737" s="178">
        <v>0</v>
      </c>
      <c r="N737" s="176"/>
      <c r="O737" s="176">
        <v>51</v>
      </c>
      <c r="P737" s="179">
        <v>-56.94</v>
      </c>
    </row>
    <row r="738" spans="1:16" ht="19.5" customHeight="1">
      <c r="A738" s="171" t="s">
        <v>706</v>
      </c>
      <c r="B738" s="175">
        <v>46046</v>
      </c>
      <c r="C738" s="171" t="s">
        <v>115</v>
      </c>
      <c r="D738" s="171" t="s">
        <v>116</v>
      </c>
      <c r="E738" s="171" t="s">
        <v>77</v>
      </c>
      <c r="F738" s="171" t="s">
        <v>194</v>
      </c>
      <c r="G738" s="171" t="s">
        <v>177</v>
      </c>
      <c r="H738" s="176">
        <v>1</v>
      </c>
      <c r="I738" s="177">
        <v>0</v>
      </c>
      <c r="J738" s="175">
        <v>46040</v>
      </c>
      <c r="K738" s="171" t="s">
        <v>113</v>
      </c>
      <c r="L738" s="171" t="s">
        <v>114</v>
      </c>
      <c r="M738" s="178">
        <v>0</v>
      </c>
      <c r="N738" s="176"/>
      <c r="O738" s="176"/>
      <c r="P738" s="179">
        <v>-17.38</v>
      </c>
    </row>
    <row r="739" spans="1:16" ht="19.5" customHeight="1">
      <c r="A739" s="171" t="s">
        <v>706</v>
      </c>
      <c r="B739" s="175">
        <v>46046</v>
      </c>
      <c r="C739" s="171" t="s">
        <v>110</v>
      </c>
      <c r="D739" s="171" t="s">
        <v>117</v>
      </c>
      <c r="E739" s="171" t="s">
        <v>77</v>
      </c>
      <c r="F739" s="171" t="s">
        <v>194</v>
      </c>
      <c r="G739" s="171" t="s">
        <v>177</v>
      </c>
      <c r="H739" s="176">
        <v>1</v>
      </c>
      <c r="I739" s="177">
        <v>0</v>
      </c>
      <c r="J739" s="175">
        <v>46040</v>
      </c>
      <c r="K739" s="171" t="s">
        <v>113</v>
      </c>
      <c r="L739" s="171" t="s">
        <v>114</v>
      </c>
      <c r="M739" s="178">
        <v>0</v>
      </c>
      <c r="N739" s="176"/>
      <c r="O739" s="176"/>
      <c r="P739" s="179">
        <v>0</v>
      </c>
    </row>
    <row r="740" spans="1:16" ht="19.5" customHeight="1">
      <c r="A740" s="171" t="s">
        <v>706</v>
      </c>
      <c r="B740" s="175">
        <v>46046</v>
      </c>
      <c r="C740" s="171" t="s">
        <v>110</v>
      </c>
      <c r="D740" s="171" t="s">
        <v>118</v>
      </c>
      <c r="E740" s="171" t="s">
        <v>77</v>
      </c>
      <c r="F740" s="171" t="s">
        <v>194</v>
      </c>
      <c r="G740" s="171" t="s">
        <v>177</v>
      </c>
      <c r="H740" s="176">
        <v>1</v>
      </c>
      <c r="I740" s="177">
        <v>0</v>
      </c>
      <c r="J740" s="175">
        <v>46040</v>
      </c>
      <c r="K740" s="171" t="s">
        <v>113</v>
      </c>
      <c r="L740" s="171" t="s">
        <v>114</v>
      </c>
      <c r="M740" s="178">
        <v>0</v>
      </c>
      <c r="N740" s="176"/>
      <c r="O740" s="176"/>
      <c r="P740" s="179">
        <v>-56.94</v>
      </c>
    </row>
    <row r="741" spans="1:16" ht="19.5" customHeight="1">
      <c r="A741" s="171" t="s">
        <v>706</v>
      </c>
      <c r="B741" s="175">
        <v>46046</v>
      </c>
      <c r="C741" s="171" t="s">
        <v>115</v>
      </c>
      <c r="D741" s="171" t="s">
        <v>119</v>
      </c>
      <c r="E741" s="171" t="s">
        <v>77</v>
      </c>
      <c r="F741" s="171" t="s">
        <v>194</v>
      </c>
      <c r="G741" s="171" t="s">
        <v>177</v>
      </c>
      <c r="H741" s="176">
        <v>1</v>
      </c>
      <c r="I741" s="177">
        <v>0</v>
      </c>
      <c r="J741" s="175">
        <v>46040</v>
      </c>
      <c r="K741" s="171" t="s">
        <v>113</v>
      </c>
      <c r="L741" s="171" t="s">
        <v>114</v>
      </c>
      <c r="M741" s="178">
        <v>0</v>
      </c>
      <c r="N741" s="176"/>
      <c r="O741" s="176"/>
      <c r="P741" s="179">
        <v>-15</v>
      </c>
    </row>
    <row r="742" spans="1:16" ht="19.5" customHeight="1">
      <c r="A742" s="171" t="s">
        <v>707</v>
      </c>
      <c r="B742" s="175">
        <v>46046</v>
      </c>
      <c r="C742" s="171" t="s">
        <v>115</v>
      </c>
      <c r="D742" s="171" t="s">
        <v>135</v>
      </c>
      <c r="E742" s="171" t="s">
        <v>77</v>
      </c>
      <c r="F742" s="171" t="s">
        <v>194</v>
      </c>
      <c r="G742" s="171" t="s">
        <v>177</v>
      </c>
      <c r="H742" s="176">
        <v>1</v>
      </c>
      <c r="I742" s="177">
        <v>0</v>
      </c>
      <c r="J742" s="175">
        <v>46046</v>
      </c>
      <c r="K742" s="171" t="s">
        <v>125</v>
      </c>
      <c r="L742" s="171" t="s">
        <v>125</v>
      </c>
      <c r="M742" s="178">
        <v>0</v>
      </c>
      <c r="N742" s="176"/>
      <c r="O742" s="176"/>
      <c r="P742" s="179">
        <v>-30.74</v>
      </c>
    </row>
    <row r="743" spans="1:16" ht="19.5" customHeight="1">
      <c r="A743" s="171" t="s">
        <v>653</v>
      </c>
      <c r="B743" s="175">
        <v>46046</v>
      </c>
      <c r="C743" s="171" t="s">
        <v>110</v>
      </c>
      <c r="D743" s="171" t="s">
        <v>24</v>
      </c>
      <c r="E743" s="171" t="s">
        <v>77</v>
      </c>
      <c r="F743" s="171" t="s">
        <v>194</v>
      </c>
      <c r="G743" s="171" t="s">
        <v>177</v>
      </c>
      <c r="H743" s="176">
        <v>1</v>
      </c>
      <c r="I743" s="177">
        <v>0</v>
      </c>
      <c r="J743" s="175">
        <v>46040</v>
      </c>
      <c r="K743" s="171" t="s">
        <v>113</v>
      </c>
      <c r="L743" s="171" t="s">
        <v>114</v>
      </c>
      <c r="M743" s="178">
        <v>0</v>
      </c>
      <c r="N743" s="176"/>
      <c r="O743" s="176">
        <v>51</v>
      </c>
      <c r="P743" s="179">
        <v>-56.94</v>
      </c>
    </row>
    <row r="744" spans="1:16" ht="19.5" customHeight="1">
      <c r="A744" s="171" t="s">
        <v>653</v>
      </c>
      <c r="B744" s="175">
        <v>46046</v>
      </c>
      <c r="C744" s="171" t="s">
        <v>115</v>
      </c>
      <c r="D744" s="171" t="s">
        <v>116</v>
      </c>
      <c r="E744" s="171" t="s">
        <v>77</v>
      </c>
      <c r="F744" s="171" t="s">
        <v>194</v>
      </c>
      <c r="G744" s="171" t="s">
        <v>177</v>
      </c>
      <c r="H744" s="176">
        <v>1</v>
      </c>
      <c r="I744" s="177">
        <v>0</v>
      </c>
      <c r="J744" s="175">
        <v>46040</v>
      </c>
      <c r="K744" s="171" t="s">
        <v>113</v>
      </c>
      <c r="L744" s="171" t="s">
        <v>114</v>
      </c>
      <c r="M744" s="178">
        <v>0</v>
      </c>
      <c r="N744" s="176"/>
      <c r="O744" s="176"/>
      <c r="P744" s="179">
        <v>-16.57</v>
      </c>
    </row>
    <row r="745" spans="1:16" ht="19.5" customHeight="1">
      <c r="A745" s="171" t="s">
        <v>653</v>
      </c>
      <c r="B745" s="175">
        <v>46046</v>
      </c>
      <c r="C745" s="171" t="s">
        <v>110</v>
      </c>
      <c r="D745" s="171" t="s">
        <v>117</v>
      </c>
      <c r="E745" s="171" t="s">
        <v>77</v>
      </c>
      <c r="F745" s="171" t="s">
        <v>194</v>
      </c>
      <c r="G745" s="171" t="s">
        <v>177</v>
      </c>
      <c r="H745" s="176">
        <v>1</v>
      </c>
      <c r="I745" s="177">
        <v>0</v>
      </c>
      <c r="J745" s="175">
        <v>46040</v>
      </c>
      <c r="K745" s="171" t="s">
        <v>113</v>
      </c>
      <c r="L745" s="171" t="s">
        <v>114</v>
      </c>
      <c r="M745" s="178">
        <v>0</v>
      </c>
      <c r="N745" s="176"/>
      <c r="O745" s="176"/>
      <c r="P745" s="179">
        <v>0</v>
      </c>
    </row>
    <row r="746" spans="1:16" ht="19.5" customHeight="1">
      <c r="A746" s="171" t="s">
        <v>653</v>
      </c>
      <c r="B746" s="175">
        <v>46046</v>
      </c>
      <c r="C746" s="171" t="s">
        <v>110</v>
      </c>
      <c r="D746" s="171" t="s">
        <v>118</v>
      </c>
      <c r="E746" s="171" t="s">
        <v>77</v>
      </c>
      <c r="F746" s="171" t="s">
        <v>194</v>
      </c>
      <c r="G746" s="171" t="s">
        <v>177</v>
      </c>
      <c r="H746" s="176">
        <v>1</v>
      </c>
      <c r="I746" s="177">
        <v>0</v>
      </c>
      <c r="J746" s="175">
        <v>46040</v>
      </c>
      <c r="K746" s="171" t="s">
        <v>113</v>
      </c>
      <c r="L746" s="171" t="s">
        <v>114</v>
      </c>
      <c r="M746" s="178">
        <v>0</v>
      </c>
      <c r="N746" s="176"/>
      <c r="O746" s="176"/>
      <c r="P746" s="179">
        <v>-56.94</v>
      </c>
    </row>
    <row r="747" spans="1:16" ht="19.5" customHeight="1">
      <c r="A747" s="171" t="s">
        <v>653</v>
      </c>
      <c r="B747" s="175">
        <v>46046</v>
      </c>
      <c r="C747" s="171" t="s">
        <v>115</v>
      </c>
      <c r="D747" s="171" t="s">
        <v>119</v>
      </c>
      <c r="E747" s="171" t="s">
        <v>77</v>
      </c>
      <c r="F747" s="171" t="s">
        <v>194</v>
      </c>
      <c r="G747" s="171" t="s">
        <v>177</v>
      </c>
      <c r="H747" s="176">
        <v>1</v>
      </c>
      <c r="I747" s="177">
        <v>0</v>
      </c>
      <c r="J747" s="175">
        <v>46040</v>
      </c>
      <c r="K747" s="171" t="s">
        <v>113</v>
      </c>
      <c r="L747" s="171" t="s">
        <v>114</v>
      </c>
      <c r="M747" s="178">
        <v>0</v>
      </c>
      <c r="N747" s="176"/>
      <c r="O747" s="176"/>
      <c r="P747" s="179">
        <v>-15</v>
      </c>
    </row>
    <row r="748" spans="1:16" ht="19.5" customHeight="1">
      <c r="A748" s="171" t="s">
        <v>708</v>
      </c>
      <c r="B748" s="175">
        <v>46046</v>
      </c>
      <c r="C748" s="171" t="s">
        <v>110</v>
      </c>
      <c r="D748" s="171" t="s">
        <v>24</v>
      </c>
      <c r="E748" s="171" t="s">
        <v>71</v>
      </c>
      <c r="F748" s="171" t="s">
        <v>185</v>
      </c>
      <c r="G748" s="171" t="s">
        <v>177</v>
      </c>
      <c r="H748" s="176">
        <v>1</v>
      </c>
      <c r="I748" s="177">
        <v>0</v>
      </c>
      <c r="J748" s="175">
        <v>46040</v>
      </c>
      <c r="K748" s="171" t="s">
        <v>113</v>
      </c>
      <c r="L748" s="171" t="s">
        <v>114</v>
      </c>
      <c r="M748" s="178">
        <v>0</v>
      </c>
      <c r="N748" s="176"/>
      <c r="O748" s="176">
        <v>51</v>
      </c>
      <c r="P748" s="179">
        <v>-56.94</v>
      </c>
    </row>
    <row r="749" spans="1:16" ht="19.5" customHeight="1">
      <c r="A749" s="171" t="s">
        <v>708</v>
      </c>
      <c r="B749" s="175">
        <v>46046</v>
      </c>
      <c r="C749" s="171" t="s">
        <v>115</v>
      </c>
      <c r="D749" s="171" t="s">
        <v>116</v>
      </c>
      <c r="E749" s="171" t="s">
        <v>71</v>
      </c>
      <c r="F749" s="171" t="s">
        <v>185</v>
      </c>
      <c r="G749" s="171" t="s">
        <v>177</v>
      </c>
      <c r="H749" s="176">
        <v>1</v>
      </c>
      <c r="I749" s="177">
        <v>0</v>
      </c>
      <c r="J749" s="175">
        <v>46040</v>
      </c>
      <c r="K749" s="171" t="s">
        <v>113</v>
      </c>
      <c r="L749" s="171" t="s">
        <v>114</v>
      </c>
      <c r="M749" s="178">
        <v>0</v>
      </c>
      <c r="N749" s="176"/>
      <c r="O749" s="176"/>
      <c r="P749" s="179">
        <v>-11.8</v>
      </c>
    </row>
    <row r="750" spans="1:16" ht="19.5" customHeight="1">
      <c r="A750" s="171" t="s">
        <v>708</v>
      </c>
      <c r="B750" s="175">
        <v>46046</v>
      </c>
      <c r="C750" s="171" t="s">
        <v>110</v>
      </c>
      <c r="D750" s="171" t="s">
        <v>117</v>
      </c>
      <c r="E750" s="171" t="s">
        <v>71</v>
      </c>
      <c r="F750" s="171" t="s">
        <v>185</v>
      </c>
      <c r="G750" s="171" t="s">
        <v>177</v>
      </c>
      <c r="H750" s="176">
        <v>1</v>
      </c>
      <c r="I750" s="177">
        <v>0</v>
      </c>
      <c r="J750" s="175">
        <v>46040</v>
      </c>
      <c r="K750" s="171" t="s">
        <v>113</v>
      </c>
      <c r="L750" s="171" t="s">
        <v>114</v>
      </c>
      <c r="M750" s="178">
        <v>0</v>
      </c>
      <c r="N750" s="176"/>
      <c r="O750" s="176"/>
      <c r="P750" s="179">
        <v>0</v>
      </c>
    </row>
    <row r="751" spans="1:16" ht="19.5" customHeight="1">
      <c r="A751" s="171" t="s">
        <v>708</v>
      </c>
      <c r="B751" s="175">
        <v>46046</v>
      </c>
      <c r="C751" s="171" t="s">
        <v>110</v>
      </c>
      <c r="D751" s="171" t="s">
        <v>118</v>
      </c>
      <c r="E751" s="171" t="s">
        <v>71</v>
      </c>
      <c r="F751" s="171" t="s">
        <v>185</v>
      </c>
      <c r="G751" s="171" t="s">
        <v>177</v>
      </c>
      <c r="H751" s="176">
        <v>1</v>
      </c>
      <c r="I751" s="177">
        <v>0</v>
      </c>
      <c r="J751" s="175">
        <v>46040</v>
      </c>
      <c r="K751" s="171" t="s">
        <v>113</v>
      </c>
      <c r="L751" s="171" t="s">
        <v>114</v>
      </c>
      <c r="M751" s="178">
        <v>0</v>
      </c>
      <c r="N751" s="176"/>
      <c r="O751" s="176"/>
      <c r="P751" s="179">
        <v>-56.94</v>
      </c>
    </row>
    <row r="752" spans="1:16" ht="19.5" customHeight="1">
      <c r="A752" s="171" t="s">
        <v>708</v>
      </c>
      <c r="B752" s="175">
        <v>46046</v>
      </c>
      <c r="C752" s="171" t="s">
        <v>115</v>
      </c>
      <c r="D752" s="171" t="s">
        <v>119</v>
      </c>
      <c r="E752" s="171" t="s">
        <v>71</v>
      </c>
      <c r="F752" s="171" t="s">
        <v>185</v>
      </c>
      <c r="G752" s="171" t="s">
        <v>177</v>
      </c>
      <c r="H752" s="176">
        <v>1</v>
      </c>
      <c r="I752" s="177">
        <v>0</v>
      </c>
      <c r="J752" s="175">
        <v>46040</v>
      </c>
      <c r="K752" s="171" t="s">
        <v>113</v>
      </c>
      <c r="L752" s="171" t="s">
        <v>114</v>
      </c>
      <c r="M752" s="178">
        <v>0</v>
      </c>
      <c r="N752" s="176"/>
      <c r="O752" s="176"/>
      <c r="P752" s="179">
        <v>-15</v>
      </c>
    </row>
    <row r="753" spans="1:16" ht="19.5" customHeight="1">
      <c r="A753" s="171" t="s">
        <v>709</v>
      </c>
      <c r="B753" s="175">
        <v>46046</v>
      </c>
      <c r="C753" s="171" t="s">
        <v>115</v>
      </c>
      <c r="D753" s="171" t="s">
        <v>135</v>
      </c>
      <c r="E753" s="171" t="s">
        <v>38</v>
      </c>
      <c r="F753" s="171" t="s">
        <v>111</v>
      </c>
      <c r="G753" s="171" t="s">
        <v>112</v>
      </c>
      <c r="H753" s="176">
        <v>1</v>
      </c>
      <c r="I753" s="177">
        <v>0</v>
      </c>
      <c r="J753" s="175">
        <v>46046</v>
      </c>
      <c r="K753" s="171" t="s">
        <v>125</v>
      </c>
      <c r="L753" s="171" t="s">
        <v>125</v>
      </c>
      <c r="M753" s="178">
        <v>0</v>
      </c>
      <c r="N753" s="176"/>
      <c r="O753" s="176"/>
      <c r="P753" s="179">
        <v>-15.57</v>
      </c>
    </row>
    <row r="754" spans="1:16" ht="19.5" customHeight="1">
      <c r="A754" s="171" t="s">
        <v>710</v>
      </c>
      <c r="B754" s="175">
        <v>46046</v>
      </c>
      <c r="C754" s="171" t="s">
        <v>151</v>
      </c>
      <c r="D754" s="171" t="s">
        <v>152</v>
      </c>
      <c r="E754" s="171" t="s">
        <v>125</v>
      </c>
      <c r="F754" s="171" t="s">
        <v>125</v>
      </c>
      <c r="G754" s="171" t="s">
        <v>125</v>
      </c>
      <c r="H754" s="176">
        <v>0</v>
      </c>
      <c r="I754" s="177">
        <v>0</v>
      </c>
      <c r="J754" s="175">
        <v>46046</v>
      </c>
      <c r="K754" s="171" t="s">
        <v>125</v>
      </c>
      <c r="L754" s="171" t="s">
        <v>125</v>
      </c>
      <c r="M754" s="178">
        <v>0</v>
      </c>
      <c r="N754" s="176"/>
      <c r="O754" s="176"/>
      <c r="P754" s="179">
        <v>-244.95</v>
      </c>
    </row>
    <row r="755" spans="1:16" ht="19.5" customHeight="1">
      <c r="A755" s="171" t="s">
        <v>671</v>
      </c>
      <c r="B755" s="175">
        <v>46046</v>
      </c>
      <c r="C755" s="171" t="s">
        <v>151</v>
      </c>
      <c r="D755" s="171" t="s">
        <v>152</v>
      </c>
      <c r="E755" s="171" t="s">
        <v>125</v>
      </c>
      <c r="F755" s="171" t="s">
        <v>125</v>
      </c>
      <c r="G755" s="171" t="s">
        <v>125</v>
      </c>
      <c r="H755" s="176">
        <v>0</v>
      </c>
      <c r="I755" s="177">
        <v>0</v>
      </c>
      <c r="J755" s="175">
        <v>46046</v>
      </c>
      <c r="K755" s="171" t="s">
        <v>125</v>
      </c>
      <c r="L755" s="171" t="s">
        <v>125</v>
      </c>
      <c r="M755" s="178">
        <v>0</v>
      </c>
      <c r="N755" s="176"/>
      <c r="O755" s="176"/>
      <c r="P755" s="179">
        <v>-291.51</v>
      </c>
    </row>
    <row r="756" spans="1:16" ht="19.5" customHeight="1">
      <c r="A756" s="171" t="s">
        <v>565</v>
      </c>
      <c r="B756" s="175">
        <v>46046</v>
      </c>
      <c r="C756" s="171" t="s">
        <v>151</v>
      </c>
      <c r="D756" s="171" t="s">
        <v>152</v>
      </c>
      <c r="E756" s="171" t="s">
        <v>125</v>
      </c>
      <c r="F756" s="171" t="s">
        <v>125</v>
      </c>
      <c r="G756" s="171" t="s">
        <v>125</v>
      </c>
      <c r="H756" s="176">
        <v>0</v>
      </c>
      <c r="I756" s="177">
        <v>0</v>
      </c>
      <c r="J756" s="175">
        <v>46046</v>
      </c>
      <c r="K756" s="171" t="s">
        <v>125</v>
      </c>
      <c r="L756" s="171" t="s">
        <v>125</v>
      </c>
      <c r="M756" s="178">
        <v>0</v>
      </c>
      <c r="N756" s="176"/>
      <c r="O756" s="176"/>
      <c r="P756" s="179">
        <v>-308.68</v>
      </c>
    </row>
    <row r="757" spans="1:16" ht="19.5" customHeight="1">
      <c r="A757" s="171" t="s">
        <v>196</v>
      </c>
      <c r="B757" s="175">
        <v>46046</v>
      </c>
      <c r="C757" s="171" t="s">
        <v>151</v>
      </c>
      <c r="D757" s="171" t="s">
        <v>152</v>
      </c>
      <c r="E757" s="171" t="s">
        <v>125</v>
      </c>
      <c r="F757" s="171" t="s">
        <v>125</v>
      </c>
      <c r="G757" s="171" t="s">
        <v>125</v>
      </c>
      <c r="H757" s="176">
        <v>0</v>
      </c>
      <c r="I757" s="177">
        <v>0</v>
      </c>
      <c r="J757" s="175">
        <v>46046</v>
      </c>
      <c r="K757" s="171" t="s">
        <v>125</v>
      </c>
      <c r="L757" s="171" t="s">
        <v>125</v>
      </c>
      <c r="M757" s="178">
        <v>0</v>
      </c>
      <c r="N757" s="176"/>
      <c r="O757" s="176"/>
      <c r="P757" s="179">
        <v>-450.39</v>
      </c>
    </row>
    <row r="758" spans="1:16" ht="19.5" customHeight="1">
      <c r="A758" s="171" t="s">
        <v>180</v>
      </c>
      <c r="B758" s="175">
        <v>46046</v>
      </c>
      <c r="C758" s="171" t="s">
        <v>151</v>
      </c>
      <c r="D758" s="171" t="s">
        <v>152</v>
      </c>
      <c r="E758" s="171" t="s">
        <v>125</v>
      </c>
      <c r="F758" s="171" t="s">
        <v>125</v>
      </c>
      <c r="G758" s="171" t="s">
        <v>125</v>
      </c>
      <c r="H758" s="176">
        <v>0</v>
      </c>
      <c r="I758" s="177">
        <v>0</v>
      </c>
      <c r="J758" s="175">
        <v>46046</v>
      </c>
      <c r="K758" s="171" t="s">
        <v>125</v>
      </c>
      <c r="L758" s="171" t="s">
        <v>125</v>
      </c>
      <c r="M758" s="178">
        <v>0</v>
      </c>
      <c r="N758" s="176"/>
      <c r="O758" s="176"/>
      <c r="P758" s="179">
        <v>-418.34</v>
      </c>
    </row>
    <row r="759" spans="1:16" ht="19.5" customHeight="1">
      <c r="A759" s="171" t="s">
        <v>179</v>
      </c>
      <c r="B759" s="175">
        <v>46046</v>
      </c>
      <c r="C759" s="171" t="s">
        <v>151</v>
      </c>
      <c r="D759" s="171" t="s">
        <v>152</v>
      </c>
      <c r="E759" s="171" t="s">
        <v>125</v>
      </c>
      <c r="F759" s="171" t="s">
        <v>125</v>
      </c>
      <c r="G759" s="171" t="s">
        <v>125</v>
      </c>
      <c r="H759" s="176">
        <v>0</v>
      </c>
      <c r="I759" s="177">
        <v>0</v>
      </c>
      <c r="J759" s="175">
        <v>46046</v>
      </c>
      <c r="K759" s="171" t="s">
        <v>125</v>
      </c>
      <c r="L759" s="171" t="s">
        <v>125</v>
      </c>
      <c r="M759" s="178">
        <v>0</v>
      </c>
      <c r="N759" s="176"/>
      <c r="O759" s="176"/>
      <c r="P759" s="179">
        <v>-376.47</v>
      </c>
    </row>
    <row r="760" spans="1:16" ht="19.5" customHeight="1">
      <c r="A760" s="171" t="s">
        <v>153</v>
      </c>
      <c r="B760" s="175">
        <v>46046</v>
      </c>
      <c r="C760" s="171" t="s">
        <v>151</v>
      </c>
      <c r="D760" s="171" t="s">
        <v>152</v>
      </c>
      <c r="E760" s="171" t="s">
        <v>125</v>
      </c>
      <c r="F760" s="171" t="s">
        <v>125</v>
      </c>
      <c r="G760" s="171" t="s">
        <v>125</v>
      </c>
      <c r="H760" s="176">
        <v>0</v>
      </c>
      <c r="I760" s="177">
        <v>0</v>
      </c>
      <c r="J760" s="175">
        <v>46046</v>
      </c>
      <c r="K760" s="171" t="s">
        <v>125</v>
      </c>
      <c r="L760" s="171" t="s">
        <v>125</v>
      </c>
      <c r="M760" s="178">
        <v>0</v>
      </c>
      <c r="N760" s="176"/>
      <c r="O760" s="176"/>
      <c r="P760" s="179">
        <v>-122.98</v>
      </c>
    </row>
    <row r="761" spans="1:16" ht="19.5" customHeight="1">
      <c r="A761" s="171" t="s">
        <v>150</v>
      </c>
      <c r="B761" s="175">
        <v>46046</v>
      </c>
      <c r="C761" s="171" t="s">
        <v>151</v>
      </c>
      <c r="D761" s="171" t="s">
        <v>152</v>
      </c>
      <c r="E761" s="171" t="s">
        <v>125</v>
      </c>
      <c r="F761" s="171" t="s">
        <v>125</v>
      </c>
      <c r="G761" s="171" t="s">
        <v>125</v>
      </c>
      <c r="H761" s="176">
        <v>0</v>
      </c>
      <c r="I761" s="177">
        <v>0</v>
      </c>
      <c r="J761" s="175">
        <v>46046</v>
      </c>
      <c r="K761" s="171" t="s">
        <v>125</v>
      </c>
      <c r="L761" s="171" t="s">
        <v>125</v>
      </c>
      <c r="M761" s="178">
        <v>0</v>
      </c>
      <c r="N761" s="176"/>
      <c r="O761" s="176"/>
      <c r="P761" s="179">
        <v>-1281.02</v>
      </c>
    </row>
    <row r="762" spans="1:16" ht="19.5" customHeight="1">
      <c r="A762" s="171" t="s">
        <v>155</v>
      </c>
      <c r="B762" s="175">
        <v>46046</v>
      </c>
      <c r="C762" s="171" t="s">
        <v>151</v>
      </c>
      <c r="D762" s="171" t="s">
        <v>156</v>
      </c>
      <c r="E762" s="171" t="s">
        <v>125</v>
      </c>
      <c r="F762" s="171" t="s">
        <v>125</v>
      </c>
      <c r="G762" s="171" t="s">
        <v>125</v>
      </c>
      <c r="H762" s="176">
        <v>0</v>
      </c>
      <c r="I762" s="177">
        <v>0</v>
      </c>
      <c r="J762" s="175">
        <v>46046</v>
      </c>
      <c r="K762" s="171" t="s">
        <v>125</v>
      </c>
      <c r="L762" s="171" t="s">
        <v>125</v>
      </c>
      <c r="M762" s="178">
        <v>0</v>
      </c>
      <c r="N762" s="176"/>
      <c r="O762" s="176"/>
      <c r="P762" s="179">
        <v>-4085.9</v>
      </c>
    </row>
    <row r="763" spans="1:16" ht="19.5" customHeight="1">
      <c r="A763" s="171" t="s">
        <v>711</v>
      </c>
      <c r="B763" s="175">
        <v>46047</v>
      </c>
      <c r="C763" s="171" t="s">
        <v>110</v>
      </c>
      <c r="D763" s="171" t="s">
        <v>24</v>
      </c>
      <c r="E763" s="171" t="s">
        <v>38</v>
      </c>
      <c r="F763" s="171" t="s">
        <v>111</v>
      </c>
      <c r="G763" s="171" t="s">
        <v>112</v>
      </c>
      <c r="H763" s="176">
        <v>1</v>
      </c>
      <c r="I763" s="177">
        <v>0</v>
      </c>
      <c r="J763" s="175">
        <v>46042</v>
      </c>
      <c r="K763" s="171" t="s">
        <v>113</v>
      </c>
      <c r="L763" s="171" t="s">
        <v>114</v>
      </c>
      <c r="M763" s="178">
        <v>0</v>
      </c>
      <c r="N763" s="176"/>
      <c r="O763" s="176">
        <v>52</v>
      </c>
      <c r="P763" s="179">
        <v>-46.77</v>
      </c>
    </row>
    <row r="764" spans="1:16" ht="19.5" customHeight="1">
      <c r="A764" s="171" t="s">
        <v>711</v>
      </c>
      <c r="B764" s="175">
        <v>46047</v>
      </c>
      <c r="C764" s="171" t="s">
        <v>115</v>
      </c>
      <c r="D764" s="171" t="s">
        <v>116</v>
      </c>
      <c r="E764" s="171" t="s">
        <v>38</v>
      </c>
      <c r="F764" s="171" t="s">
        <v>111</v>
      </c>
      <c r="G764" s="171" t="s">
        <v>112</v>
      </c>
      <c r="H764" s="176">
        <v>1</v>
      </c>
      <c r="I764" s="177">
        <v>0</v>
      </c>
      <c r="J764" s="175">
        <v>46042</v>
      </c>
      <c r="K764" s="171" t="s">
        <v>113</v>
      </c>
      <c r="L764" s="171" t="s">
        <v>114</v>
      </c>
      <c r="M764" s="178">
        <v>0</v>
      </c>
      <c r="N764" s="176"/>
      <c r="O764" s="176"/>
      <c r="P764" s="179">
        <v>-10.210000000000001</v>
      </c>
    </row>
    <row r="765" spans="1:16" ht="19.5" customHeight="1">
      <c r="A765" s="171" t="s">
        <v>711</v>
      </c>
      <c r="B765" s="175">
        <v>46047</v>
      </c>
      <c r="C765" s="171" t="s">
        <v>110</v>
      </c>
      <c r="D765" s="171" t="s">
        <v>117</v>
      </c>
      <c r="E765" s="171" t="s">
        <v>38</v>
      </c>
      <c r="F765" s="171" t="s">
        <v>111</v>
      </c>
      <c r="G765" s="171" t="s">
        <v>112</v>
      </c>
      <c r="H765" s="176">
        <v>1</v>
      </c>
      <c r="I765" s="177">
        <v>0</v>
      </c>
      <c r="J765" s="175">
        <v>46042</v>
      </c>
      <c r="K765" s="171" t="s">
        <v>113</v>
      </c>
      <c r="L765" s="171" t="s">
        <v>114</v>
      </c>
      <c r="M765" s="178">
        <v>0</v>
      </c>
      <c r="N765" s="176"/>
      <c r="O765" s="176"/>
      <c r="P765" s="179">
        <v>0</v>
      </c>
    </row>
    <row r="766" spans="1:16" ht="19.5" customHeight="1">
      <c r="A766" s="171" t="s">
        <v>711</v>
      </c>
      <c r="B766" s="175">
        <v>46047</v>
      </c>
      <c r="C766" s="171" t="s">
        <v>110</v>
      </c>
      <c r="D766" s="171" t="s">
        <v>118</v>
      </c>
      <c r="E766" s="171" t="s">
        <v>38</v>
      </c>
      <c r="F766" s="171" t="s">
        <v>111</v>
      </c>
      <c r="G766" s="171" t="s">
        <v>112</v>
      </c>
      <c r="H766" s="176">
        <v>1</v>
      </c>
      <c r="I766" s="177">
        <v>0</v>
      </c>
      <c r="J766" s="175">
        <v>46042</v>
      </c>
      <c r="K766" s="171" t="s">
        <v>113</v>
      </c>
      <c r="L766" s="171" t="s">
        <v>114</v>
      </c>
      <c r="M766" s="178">
        <v>0</v>
      </c>
      <c r="N766" s="176"/>
      <c r="O766" s="176"/>
      <c r="P766" s="179">
        <v>-46.77</v>
      </c>
    </row>
    <row r="767" spans="1:16" ht="19.5" customHeight="1">
      <c r="A767" s="171" t="s">
        <v>711</v>
      </c>
      <c r="B767" s="175">
        <v>46047</v>
      </c>
      <c r="C767" s="171" t="s">
        <v>115</v>
      </c>
      <c r="D767" s="171" t="s">
        <v>119</v>
      </c>
      <c r="E767" s="171" t="s">
        <v>38</v>
      </c>
      <c r="F767" s="171" t="s">
        <v>111</v>
      </c>
      <c r="G767" s="171" t="s">
        <v>112</v>
      </c>
      <c r="H767" s="176">
        <v>1</v>
      </c>
      <c r="I767" s="177">
        <v>0</v>
      </c>
      <c r="J767" s="175">
        <v>46042</v>
      </c>
      <c r="K767" s="171" t="s">
        <v>113</v>
      </c>
      <c r="L767" s="171" t="s">
        <v>114</v>
      </c>
      <c r="M767" s="178">
        <v>0</v>
      </c>
      <c r="N767" s="176"/>
      <c r="O767" s="176"/>
      <c r="P767" s="179">
        <v>-15</v>
      </c>
    </row>
    <row r="768" spans="1:16" ht="19.5" customHeight="1">
      <c r="A768" s="171" t="s">
        <v>712</v>
      </c>
      <c r="B768" s="175">
        <v>46047</v>
      </c>
      <c r="C768" s="171" t="s">
        <v>115</v>
      </c>
      <c r="D768" s="171" t="s">
        <v>135</v>
      </c>
      <c r="E768" s="171" t="s">
        <v>38</v>
      </c>
      <c r="F768" s="171" t="s">
        <v>111</v>
      </c>
      <c r="G768" s="171" t="s">
        <v>112</v>
      </c>
      <c r="H768" s="176">
        <v>1</v>
      </c>
      <c r="I768" s="177">
        <v>0</v>
      </c>
      <c r="J768" s="175">
        <v>46047</v>
      </c>
      <c r="K768" s="171" t="s">
        <v>125</v>
      </c>
      <c r="L768" s="171" t="s">
        <v>125</v>
      </c>
      <c r="M768" s="178">
        <v>0</v>
      </c>
      <c r="N768" s="176"/>
      <c r="O768" s="176"/>
      <c r="P768" s="179">
        <v>-14.22</v>
      </c>
    </row>
    <row r="769" spans="1:16" ht="19.5" customHeight="1">
      <c r="A769" s="171" t="s">
        <v>713</v>
      </c>
      <c r="B769" s="175">
        <v>46047</v>
      </c>
      <c r="C769" s="171" t="s">
        <v>110</v>
      </c>
      <c r="D769" s="171" t="s">
        <v>117</v>
      </c>
      <c r="E769" s="171" t="s">
        <v>41</v>
      </c>
      <c r="F769" s="171" t="s">
        <v>138</v>
      </c>
      <c r="G769" s="171" t="s">
        <v>112</v>
      </c>
      <c r="H769" s="176">
        <v>1</v>
      </c>
      <c r="I769" s="177">
        <v>0</v>
      </c>
      <c r="J769" s="175">
        <v>46043</v>
      </c>
      <c r="K769" s="171" t="s">
        <v>113</v>
      </c>
      <c r="L769" s="171" t="s">
        <v>114</v>
      </c>
      <c r="M769" s="178">
        <v>0</v>
      </c>
      <c r="N769" s="176"/>
      <c r="O769" s="176"/>
      <c r="P769" s="179">
        <v>0</v>
      </c>
    </row>
    <row r="770" spans="1:16" ht="19.5" customHeight="1">
      <c r="A770" s="171" t="s">
        <v>713</v>
      </c>
      <c r="B770" s="175">
        <v>46047</v>
      </c>
      <c r="C770" s="171" t="s">
        <v>110</v>
      </c>
      <c r="D770" s="171" t="s">
        <v>118</v>
      </c>
      <c r="E770" s="171" t="s">
        <v>41</v>
      </c>
      <c r="F770" s="171" t="s">
        <v>138</v>
      </c>
      <c r="G770" s="171" t="s">
        <v>112</v>
      </c>
      <c r="H770" s="176">
        <v>1</v>
      </c>
      <c r="I770" s="177">
        <v>0</v>
      </c>
      <c r="J770" s="175">
        <v>46043</v>
      </c>
      <c r="K770" s="171" t="s">
        <v>113</v>
      </c>
      <c r="L770" s="171" t="s">
        <v>114</v>
      </c>
      <c r="M770" s="178">
        <v>0</v>
      </c>
      <c r="N770" s="176"/>
      <c r="O770" s="176"/>
      <c r="P770" s="179">
        <v>-46.77</v>
      </c>
    </row>
    <row r="771" spans="1:16" ht="19.5" customHeight="1">
      <c r="A771" s="171" t="s">
        <v>713</v>
      </c>
      <c r="B771" s="175">
        <v>46047</v>
      </c>
      <c r="C771" s="171" t="s">
        <v>115</v>
      </c>
      <c r="D771" s="171" t="s">
        <v>119</v>
      </c>
      <c r="E771" s="171" t="s">
        <v>41</v>
      </c>
      <c r="F771" s="171" t="s">
        <v>138</v>
      </c>
      <c r="G771" s="171" t="s">
        <v>112</v>
      </c>
      <c r="H771" s="176">
        <v>1</v>
      </c>
      <c r="I771" s="177">
        <v>0</v>
      </c>
      <c r="J771" s="175">
        <v>46043</v>
      </c>
      <c r="K771" s="171" t="s">
        <v>113</v>
      </c>
      <c r="L771" s="171" t="s">
        <v>114</v>
      </c>
      <c r="M771" s="178">
        <v>0</v>
      </c>
      <c r="N771" s="176"/>
      <c r="O771" s="176"/>
      <c r="P771" s="179">
        <v>-15</v>
      </c>
    </row>
    <row r="772" spans="1:16" ht="19.5" customHeight="1">
      <c r="A772" s="171" t="s">
        <v>713</v>
      </c>
      <c r="B772" s="175">
        <v>46047</v>
      </c>
      <c r="C772" s="171" t="s">
        <v>110</v>
      </c>
      <c r="D772" s="171" t="s">
        <v>24</v>
      </c>
      <c r="E772" s="171" t="s">
        <v>41</v>
      </c>
      <c r="F772" s="171" t="s">
        <v>138</v>
      </c>
      <c r="G772" s="171" t="s">
        <v>112</v>
      </c>
      <c r="H772" s="176">
        <v>1</v>
      </c>
      <c r="I772" s="177">
        <v>0</v>
      </c>
      <c r="J772" s="175">
        <v>46043</v>
      </c>
      <c r="K772" s="171" t="s">
        <v>113</v>
      </c>
      <c r="L772" s="171" t="s">
        <v>114</v>
      </c>
      <c r="M772" s="178">
        <v>0</v>
      </c>
      <c r="N772" s="176"/>
      <c r="O772" s="176">
        <v>52</v>
      </c>
      <c r="P772" s="179">
        <v>-46.77</v>
      </c>
    </row>
    <row r="773" spans="1:16" ht="19.5" customHeight="1">
      <c r="A773" s="171" t="s">
        <v>713</v>
      </c>
      <c r="B773" s="175">
        <v>46047</v>
      </c>
      <c r="C773" s="171" t="s">
        <v>115</v>
      </c>
      <c r="D773" s="171" t="s">
        <v>116</v>
      </c>
      <c r="E773" s="171" t="s">
        <v>41</v>
      </c>
      <c r="F773" s="171" t="s">
        <v>138</v>
      </c>
      <c r="G773" s="171" t="s">
        <v>112</v>
      </c>
      <c r="H773" s="176">
        <v>1</v>
      </c>
      <c r="I773" s="177">
        <v>0</v>
      </c>
      <c r="J773" s="175">
        <v>46043</v>
      </c>
      <c r="K773" s="171" t="s">
        <v>113</v>
      </c>
      <c r="L773" s="171" t="s">
        <v>114</v>
      </c>
      <c r="M773" s="178">
        <v>0</v>
      </c>
      <c r="N773" s="176"/>
      <c r="O773" s="176"/>
      <c r="P773" s="179">
        <v>-15.26</v>
      </c>
    </row>
    <row r="774" spans="1:16" ht="19.5" customHeight="1">
      <c r="A774" s="171" t="s">
        <v>714</v>
      </c>
      <c r="B774" s="175">
        <v>46047</v>
      </c>
      <c r="C774" s="171" t="s">
        <v>110</v>
      </c>
      <c r="D774" s="171" t="s">
        <v>24</v>
      </c>
      <c r="E774" s="171" t="s">
        <v>78</v>
      </c>
      <c r="F774" s="171" t="s">
        <v>176</v>
      </c>
      <c r="G774" s="171" t="s">
        <v>177</v>
      </c>
      <c r="H774" s="176">
        <v>1</v>
      </c>
      <c r="I774" s="177">
        <v>0</v>
      </c>
      <c r="J774" s="175">
        <v>46045</v>
      </c>
      <c r="K774" s="171" t="s">
        <v>113</v>
      </c>
      <c r="L774" s="171" t="s">
        <v>114</v>
      </c>
      <c r="M774" s="178">
        <v>0</v>
      </c>
      <c r="N774" s="176"/>
      <c r="O774" s="176">
        <v>51</v>
      </c>
      <c r="P774" s="179">
        <v>-56.94</v>
      </c>
    </row>
    <row r="775" spans="1:16" ht="19.5" customHeight="1">
      <c r="A775" s="171" t="s">
        <v>714</v>
      </c>
      <c r="B775" s="175">
        <v>46047</v>
      </c>
      <c r="C775" s="171" t="s">
        <v>110</v>
      </c>
      <c r="D775" s="171" t="s">
        <v>117</v>
      </c>
      <c r="E775" s="171" t="s">
        <v>78</v>
      </c>
      <c r="F775" s="171" t="s">
        <v>176</v>
      </c>
      <c r="G775" s="171" t="s">
        <v>177</v>
      </c>
      <c r="H775" s="176">
        <v>1</v>
      </c>
      <c r="I775" s="177">
        <v>0</v>
      </c>
      <c r="J775" s="175">
        <v>46045</v>
      </c>
      <c r="K775" s="171" t="s">
        <v>113</v>
      </c>
      <c r="L775" s="171" t="s">
        <v>114</v>
      </c>
      <c r="M775" s="178">
        <v>0</v>
      </c>
      <c r="N775" s="176"/>
      <c r="O775" s="176"/>
      <c r="P775" s="179">
        <v>0</v>
      </c>
    </row>
    <row r="776" spans="1:16" ht="19.5" customHeight="1">
      <c r="A776" s="171" t="s">
        <v>714</v>
      </c>
      <c r="B776" s="175">
        <v>46047</v>
      </c>
      <c r="C776" s="171" t="s">
        <v>110</v>
      </c>
      <c r="D776" s="171" t="s">
        <v>118</v>
      </c>
      <c r="E776" s="171" t="s">
        <v>78</v>
      </c>
      <c r="F776" s="171" t="s">
        <v>176</v>
      </c>
      <c r="G776" s="171" t="s">
        <v>177</v>
      </c>
      <c r="H776" s="176">
        <v>1</v>
      </c>
      <c r="I776" s="177">
        <v>0</v>
      </c>
      <c r="J776" s="175">
        <v>46045</v>
      </c>
      <c r="K776" s="171" t="s">
        <v>113</v>
      </c>
      <c r="L776" s="171" t="s">
        <v>114</v>
      </c>
      <c r="M776" s="178">
        <v>0</v>
      </c>
      <c r="N776" s="176"/>
      <c r="O776" s="176"/>
      <c r="P776" s="179">
        <v>-56.94</v>
      </c>
    </row>
    <row r="777" spans="1:16" ht="19.5" customHeight="1">
      <c r="A777" s="171" t="s">
        <v>715</v>
      </c>
      <c r="B777" s="175">
        <v>46047</v>
      </c>
      <c r="C777" s="171" t="s">
        <v>110</v>
      </c>
      <c r="D777" s="171" t="s">
        <v>24</v>
      </c>
      <c r="E777" s="171" t="s">
        <v>38</v>
      </c>
      <c r="F777" s="171" t="s">
        <v>111</v>
      </c>
      <c r="G777" s="171" t="s">
        <v>112</v>
      </c>
      <c r="H777" s="176">
        <v>1</v>
      </c>
      <c r="I777" s="177">
        <v>1704</v>
      </c>
      <c r="J777" s="175">
        <v>46037</v>
      </c>
      <c r="K777" s="171" t="s">
        <v>113</v>
      </c>
      <c r="L777" s="171" t="s">
        <v>114</v>
      </c>
      <c r="M777" s="178">
        <v>0.43</v>
      </c>
      <c r="N777" s="176"/>
      <c r="O777" s="176">
        <v>43</v>
      </c>
      <c r="P777" s="179">
        <v>-125.95</v>
      </c>
    </row>
    <row r="778" spans="1:16" ht="19.5" customHeight="1">
      <c r="A778" s="171" t="s">
        <v>715</v>
      </c>
      <c r="B778" s="175">
        <v>46047</v>
      </c>
      <c r="C778" s="171" t="s">
        <v>127</v>
      </c>
      <c r="D778" s="171" t="s">
        <v>128</v>
      </c>
      <c r="E778" s="171" t="s">
        <v>38</v>
      </c>
      <c r="F778" s="171" t="s">
        <v>111</v>
      </c>
      <c r="G778" s="171" t="s">
        <v>112</v>
      </c>
      <c r="H778" s="176">
        <v>1</v>
      </c>
      <c r="I778" s="177">
        <v>1704</v>
      </c>
      <c r="J778" s="175">
        <v>46037</v>
      </c>
      <c r="K778" s="171" t="s">
        <v>113</v>
      </c>
      <c r="L778" s="171" t="s">
        <v>114</v>
      </c>
      <c r="M778" s="178">
        <v>0</v>
      </c>
      <c r="N778" s="176"/>
      <c r="O778" s="176"/>
      <c r="P778" s="179">
        <v>594.29</v>
      </c>
    </row>
    <row r="779" spans="1:16" ht="19.5" customHeight="1">
      <c r="A779" s="171" t="s">
        <v>715</v>
      </c>
      <c r="B779" s="175">
        <v>46047</v>
      </c>
      <c r="C779" s="171" t="s">
        <v>127</v>
      </c>
      <c r="D779" s="171" t="s">
        <v>129</v>
      </c>
      <c r="E779" s="171" t="s">
        <v>38</v>
      </c>
      <c r="F779" s="171" t="s">
        <v>111</v>
      </c>
      <c r="G779" s="171" t="s">
        <v>112</v>
      </c>
      <c r="H779" s="176">
        <v>1</v>
      </c>
      <c r="I779" s="177">
        <v>1704</v>
      </c>
      <c r="J779" s="175">
        <v>46037</v>
      </c>
      <c r="K779" s="171" t="s">
        <v>113</v>
      </c>
      <c r="L779" s="171" t="s">
        <v>114</v>
      </c>
      <c r="M779" s="178">
        <v>0</v>
      </c>
      <c r="N779" s="176"/>
      <c r="O779" s="176"/>
      <c r="P779" s="179">
        <v>5.94</v>
      </c>
    </row>
    <row r="780" spans="1:16" ht="19.5" customHeight="1">
      <c r="A780" s="171" t="s">
        <v>715</v>
      </c>
      <c r="B780" s="175">
        <v>46047</v>
      </c>
      <c r="C780" s="171" t="s">
        <v>127</v>
      </c>
      <c r="D780" s="171" t="s">
        <v>130</v>
      </c>
      <c r="E780" s="171" t="s">
        <v>38</v>
      </c>
      <c r="F780" s="171" t="s">
        <v>111</v>
      </c>
      <c r="G780" s="171" t="s">
        <v>112</v>
      </c>
      <c r="H780" s="176">
        <v>1</v>
      </c>
      <c r="I780" s="177">
        <v>1704</v>
      </c>
      <c r="J780" s="175">
        <v>46037</v>
      </c>
      <c r="K780" s="171" t="s">
        <v>113</v>
      </c>
      <c r="L780" s="171" t="s">
        <v>114</v>
      </c>
      <c r="M780" s="178">
        <v>0</v>
      </c>
      <c r="N780" s="176"/>
      <c r="O780" s="176"/>
      <c r="P780" s="179">
        <v>1103.77</v>
      </c>
    </row>
    <row r="781" spans="1:16" ht="19.5" customHeight="1">
      <c r="A781" s="171" t="s">
        <v>715</v>
      </c>
      <c r="B781" s="175">
        <v>46047</v>
      </c>
      <c r="C781" s="171" t="s">
        <v>131</v>
      </c>
      <c r="D781" s="171" t="s">
        <v>132</v>
      </c>
      <c r="E781" s="171" t="s">
        <v>38</v>
      </c>
      <c r="F781" s="171" t="s">
        <v>111</v>
      </c>
      <c r="G781" s="171" t="s">
        <v>112</v>
      </c>
      <c r="H781" s="176">
        <v>1</v>
      </c>
      <c r="I781" s="177">
        <v>1704</v>
      </c>
      <c r="J781" s="175">
        <v>46037</v>
      </c>
      <c r="K781" s="171" t="s">
        <v>113</v>
      </c>
      <c r="L781" s="171" t="s">
        <v>114</v>
      </c>
      <c r="M781" s="178">
        <v>0.43</v>
      </c>
      <c r="N781" s="176"/>
      <c r="O781" s="176"/>
      <c r="P781" s="179">
        <v>-732.72</v>
      </c>
    </row>
    <row r="782" spans="1:16" ht="19.5" customHeight="1">
      <c r="A782" s="171" t="s">
        <v>715</v>
      </c>
      <c r="B782" s="175">
        <v>46047</v>
      </c>
      <c r="C782" s="171" t="s">
        <v>115</v>
      </c>
      <c r="D782" s="171" t="s">
        <v>116</v>
      </c>
      <c r="E782" s="171" t="s">
        <v>38</v>
      </c>
      <c r="F782" s="171" t="s">
        <v>111</v>
      </c>
      <c r="G782" s="171" t="s">
        <v>112</v>
      </c>
      <c r="H782" s="176">
        <v>1</v>
      </c>
      <c r="I782" s="177">
        <v>1704</v>
      </c>
      <c r="J782" s="175">
        <v>46037</v>
      </c>
      <c r="K782" s="171" t="s">
        <v>113</v>
      </c>
      <c r="L782" s="171" t="s">
        <v>114</v>
      </c>
      <c r="M782" s="178">
        <v>0.43</v>
      </c>
      <c r="N782" s="176"/>
      <c r="O782" s="176"/>
      <c r="P782" s="179">
        <v>-9.84</v>
      </c>
    </row>
    <row r="783" spans="1:16" ht="19.5" customHeight="1">
      <c r="A783" s="171" t="s">
        <v>716</v>
      </c>
      <c r="B783" s="175">
        <v>46047</v>
      </c>
      <c r="C783" s="171" t="s">
        <v>110</v>
      </c>
      <c r="D783" s="171" t="s">
        <v>24</v>
      </c>
      <c r="E783" s="171" t="s">
        <v>44</v>
      </c>
      <c r="F783" s="171" t="s">
        <v>213</v>
      </c>
      <c r="G783" s="171" t="s">
        <v>214</v>
      </c>
      <c r="H783" s="176">
        <v>1</v>
      </c>
      <c r="I783" s="177">
        <v>1815</v>
      </c>
      <c r="J783" s="175">
        <v>46037</v>
      </c>
      <c r="K783" s="171" t="s">
        <v>113</v>
      </c>
      <c r="L783" s="171" t="s">
        <v>114</v>
      </c>
      <c r="M783" s="178">
        <v>0.43</v>
      </c>
      <c r="N783" s="176"/>
      <c r="O783" s="176">
        <v>43</v>
      </c>
      <c r="P783" s="179">
        <v>-129.28</v>
      </c>
    </row>
    <row r="784" spans="1:16" ht="19.5" customHeight="1">
      <c r="A784" s="171" t="s">
        <v>716</v>
      </c>
      <c r="B784" s="175">
        <v>46047</v>
      </c>
      <c r="C784" s="171" t="s">
        <v>127</v>
      </c>
      <c r="D784" s="171" t="s">
        <v>128</v>
      </c>
      <c r="E784" s="171" t="s">
        <v>44</v>
      </c>
      <c r="F784" s="171" t="s">
        <v>213</v>
      </c>
      <c r="G784" s="171" t="s">
        <v>214</v>
      </c>
      <c r="H784" s="176">
        <v>1</v>
      </c>
      <c r="I784" s="177">
        <v>1815</v>
      </c>
      <c r="J784" s="175">
        <v>46037</v>
      </c>
      <c r="K784" s="171" t="s">
        <v>113</v>
      </c>
      <c r="L784" s="171" t="s">
        <v>114</v>
      </c>
      <c r="M784" s="178">
        <v>0</v>
      </c>
      <c r="N784" s="176"/>
      <c r="O784" s="176"/>
      <c r="P784" s="179">
        <v>641.9</v>
      </c>
    </row>
    <row r="785" spans="1:16" ht="19.5" customHeight="1">
      <c r="A785" s="171" t="s">
        <v>716</v>
      </c>
      <c r="B785" s="175">
        <v>46047</v>
      </c>
      <c r="C785" s="171" t="s">
        <v>127</v>
      </c>
      <c r="D785" s="171" t="s">
        <v>129</v>
      </c>
      <c r="E785" s="171" t="s">
        <v>44</v>
      </c>
      <c r="F785" s="171" t="s">
        <v>213</v>
      </c>
      <c r="G785" s="171" t="s">
        <v>214</v>
      </c>
      <c r="H785" s="176">
        <v>1</v>
      </c>
      <c r="I785" s="177">
        <v>1815</v>
      </c>
      <c r="J785" s="175">
        <v>46037</v>
      </c>
      <c r="K785" s="171" t="s">
        <v>113</v>
      </c>
      <c r="L785" s="171" t="s">
        <v>114</v>
      </c>
      <c r="M785" s="178">
        <v>0</v>
      </c>
      <c r="N785" s="176"/>
      <c r="O785" s="176"/>
      <c r="P785" s="179">
        <v>6.42</v>
      </c>
    </row>
    <row r="786" spans="1:16" ht="19.5" customHeight="1">
      <c r="A786" s="171" t="s">
        <v>716</v>
      </c>
      <c r="B786" s="175">
        <v>46047</v>
      </c>
      <c r="C786" s="171" t="s">
        <v>127</v>
      </c>
      <c r="D786" s="171" t="s">
        <v>130</v>
      </c>
      <c r="E786" s="171" t="s">
        <v>44</v>
      </c>
      <c r="F786" s="171" t="s">
        <v>213</v>
      </c>
      <c r="G786" s="171" t="s">
        <v>214</v>
      </c>
      <c r="H786" s="176">
        <v>1</v>
      </c>
      <c r="I786" s="177">
        <v>1815</v>
      </c>
      <c r="J786" s="175">
        <v>46037</v>
      </c>
      <c r="K786" s="171" t="s">
        <v>113</v>
      </c>
      <c r="L786" s="171" t="s">
        <v>114</v>
      </c>
      <c r="M786" s="178">
        <v>0</v>
      </c>
      <c r="N786" s="176"/>
      <c r="O786" s="176"/>
      <c r="P786" s="179">
        <v>1166.68</v>
      </c>
    </row>
    <row r="787" spans="1:16" ht="19.5" customHeight="1">
      <c r="A787" s="171" t="s">
        <v>716</v>
      </c>
      <c r="B787" s="175">
        <v>46047</v>
      </c>
      <c r="C787" s="171" t="s">
        <v>131</v>
      </c>
      <c r="D787" s="171" t="s">
        <v>132</v>
      </c>
      <c r="E787" s="171" t="s">
        <v>44</v>
      </c>
      <c r="F787" s="171" t="s">
        <v>213</v>
      </c>
      <c r="G787" s="171" t="s">
        <v>214</v>
      </c>
      <c r="H787" s="176">
        <v>1</v>
      </c>
      <c r="I787" s="177">
        <v>1815</v>
      </c>
      <c r="J787" s="175">
        <v>46037</v>
      </c>
      <c r="K787" s="171" t="s">
        <v>113</v>
      </c>
      <c r="L787" s="171" t="s">
        <v>114</v>
      </c>
      <c r="M787" s="178">
        <v>0.43</v>
      </c>
      <c r="N787" s="176"/>
      <c r="O787" s="176"/>
      <c r="P787" s="179">
        <v>-780.45</v>
      </c>
    </row>
    <row r="788" spans="1:16" ht="19.5" customHeight="1">
      <c r="A788" s="171" t="s">
        <v>716</v>
      </c>
      <c r="B788" s="175">
        <v>46047</v>
      </c>
      <c r="C788" s="171" t="s">
        <v>115</v>
      </c>
      <c r="D788" s="171" t="s">
        <v>116</v>
      </c>
      <c r="E788" s="171" t="s">
        <v>44</v>
      </c>
      <c r="F788" s="171" t="s">
        <v>213</v>
      </c>
      <c r="G788" s="171" t="s">
        <v>214</v>
      </c>
      <c r="H788" s="176">
        <v>1</v>
      </c>
      <c r="I788" s="177">
        <v>1815</v>
      </c>
      <c r="J788" s="175">
        <v>46037</v>
      </c>
      <c r="K788" s="171" t="s">
        <v>113</v>
      </c>
      <c r="L788" s="171" t="s">
        <v>114</v>
      </c>
      <c r="M788" s="178">
        <v>0.43</v>
      </c>
      <c r="N788" s="176"/>
      <c r="O788" s="176"/>
      <c r="P788" s="179">
        <v>-10.78</v>
      </c>
    </row>
    <row r="789" spans="1:16" ht="19.5" customHeight="1">
      <c r="A789" s="171" t="s">
        <v>717</v>
      </c>
      <c r="B789" s="175">
        <v>46047</v>
      </c>
      <c r="C789" s="171" t="s">
        <v>110</v>
      </c>
      <c r="D789" s="171" t="s">
        <v>24</v>
      </c>
      <c r="E789" s="171" t="s">
        <v>39</v>
      </c>
      <c r="F789" s="171" t="s">
        <v>141</v>
      </c>
      <c r="G789" s="171" t="s">
        <v>112</v>
      </c>
      <c r="H789" s="176">
        <v>1</v>
      </c>
      <c r="I789" s="177">
        <v>1634</v>
      </c>
      <c r="J789" s="175">
        <v>46037</v>
      </c>
      <c r="K789" s="171" t="s">
        <v>113</v>
      </c>
      <c r="L789" s="171" t="s">
        <v>114</v>
      </c>
      <c r="M789" s="178">
        <v>0.43</v>
      </c>
      <c r="N789" s="176"/>
      <c r="O789" s="176">
        <v>43</v>
      </c>
      <c r="P789" s="179">
        <v>-123.85</v>
      </c>
    </row>
    <row r="790" spans="1:16" ht="19.5" customHeight="1">
      <c r="A790" s="171" t="s">
        <v>717</v>
      </c>
      <c r="B790" s="175">
        <v>46047</v>
      </c>
      <c r="C790" s="171" t="s">
        <v>127</v>
      </c>
      <c r="D790" s="171" t="s">
        <v>128</v>
      </c>
      <c r="E790" s="171" t="s">
        <v>39</v>
      </c>
      <c r="F790" s="171" t="s">
        <v>141</v>
      </c>
      <c r="G790" s="171" t="s">
        <v>112</v>
      </c>
      <c r="H790" s="176">
        <v>1</v>
      </c>
      <c r="I790" s="177">
        <v>1634</v>
      </c>
      <c r="J790" s="175">
        <v>46037</v>
      </c>
      <c r="K790" s="171" t="s">
        <v>113</v>
      </c>
      <c r="L790" s="171" t="s">
        <v>114</v>
      </c>
      <c r="M790" s="178">
        <v>0</v>
      </c>
      <c r="N790" s="176"/>
      <c r="O790" s="176"/>
      <c r="P790" s="179">
        <v>569.52</v>
      </c>
    </row>
    <row r="791" spans="1:16" ht="19.5" customHeight="1">
      <c r="A791" s="171" t="s">
        <v>717</v>
      </c>
      <c r="B791" s="175">
        <v>46047</v>
      </c>
      <c r="C791" s="171" t="s">
        <v>127</v>
      </c>
      <c r="D791" s="171" t="s">
        <v>129</v>
      </c>
      <c r="E791" s="171" t="s">
        <v>39</v>
      </c>
      <c r="F791" s="171" t="s">
        <v>141</v>
      </c>
      <c r="G791" s="171" t="s">
        <v>112</v>
      </c>
      <c r="H791" s="176">
        <v>1</v>
      </c>
      <c r="I791" s="177">
        <v>1634</v>
      </c>
      <c r="J791" s="175">
        <v>46037</v>
      </c>
      <c r="K791" s="171" t="s">
        <v>113</v>
      </c>
      <c r="L791" s="171" t="s">
        <v>114</v>
      </c>
      <c r="M791" s="178">
        <v>0</v>
      </c>
      <c r="N791" s="176"/>
      <c r="O791" s="176"/>
      <c r="P791" s="179">
        <v>5.7</v>
      </c>
    </row>
    <row r="792" spans="1:16" ht="19.5" customHeight="1">
      <c r="A792" s="171" t="s">
        <v>717</v>
      </c>
      <c r="B792" s="175">
        <v>46047</v>
      </c>
      <c r="C792" s="171" t="s">
        <v>127</v>
      </c>
      <c r="D792" s="171" t="s">
        <v>130</v>
      </c>
      <c r="E792" s="171" t="s">
        <v>39</v>
      </c>
      <c r="F792" s="171" t="s">
        <v>141</v>
      </c>
      <c r="G792" s="171" t="s">
        <v>112</v>
      </c>
      <c r="H792" s="176">
        <v>1</v>
      </c>
      <c r="I792" s="177">
        <v>1634</v>
      </c>
      <c r="J792" s="175">
        <v>46037</v>
      </c>
      <c r="K792" s="171" t="s">
        <v>113</v>
      </c>
      <c r="L792" s="171" t="s">
        <v>114</v>
      </c>
      <c r="M792" s="178">
        <v>0</v>
      </c>
      <c r="N792" s="176"/>
      <c r="O792" s="176"/>
      <c r="P792" s="179">
        <v>1058.78</v>
      </c>
    </row>
    <row r="793" spans="1:16" ht="19.5" customHeight="1">
      <c r="A793" s="171" t="s">
        <v>717</v>
      </c>
      <c r="B793" s="175">
        <v>46047</v>
      </c>
      <c r="C793" s="171" t="s">
        <v>131</v>
      </c>
      <c r="D793" s="171" t="s">
        <v>132</v>
      </c>
      <c r="E793" s="171" t="s">
        <v>39</v>
      </c>
      <c r="F793" s="171" t="s">
        <v>141</v>
      </c>
      <c r="G793" s="171" t="s">
        <v>112</v>
      </c>
      <c r="H793" s="176">
        <v>1</v>
      </c>
      <c r="I793" s="177">
        <v>1634</v>
      </c>
      <c r="J793" s="175">
        <v>46037</v>
      </c>
      <c r="K793" s="171" t="s">
        <v>113</v>
      </c>
      <c r="L793" s="171" t="s">
        <v>114</v>
      </c>
      <c r="M793" s="178">
        <v>0.43</v>
      </c>
      <c r="N793" s="176"/>
      <c r="O793" s="176"/>
      <c r="P793" s="179">
        <v>-702.62</v>
      </c>
    </row>
    <row r="794" spans="1:16" ht="19.5" customHeight="1">
      <c r="A794" s="171" t="s">
        <v>717</v>
      </c>
      <c r="B794" s="175">
        <v>46047</v>
      </c>
      <c r="C794" s="171" t="s">
        <v>115</v>
      </c>
      <c r="D794" s="171" t="s">
        <v>116</v>
      </c>
      <c r="E794" s="171" t="s">
        <v>39</v>
      </c>
      <c r="F794" s="171" t="s">
        <v>141</v>
      </c>
      <c r="G794" s="171" t="s">
        <v>112</v>
      </c>
      <c r="H794" s="176">
        <v>1</v>
      </c>
      <c r="I794" s="177">
        <v>1634</v>
      </c>
      <c r="J794" s="175">
        <v>46037</v>
      </c>
      <c r="K794" s="171" t="s">
        <v>113</v>
      </c>
      <c r="L794" s="171" t="s">
        <v>114</v>
      </c>
      <c r="M794" s="178">
        <v>0.43</v>
      </c>
      <c r="N794" s="176"/>
      <c r="O794" s="176"/>
      <c r="P794" s="179">
        <v>-9.44</v>
      </c>
    </row>
    <row r="795" spans="1:16" ht="19.5" customHeight="1">
      <c r="A795" s="171" t="s">
        <v>718</v>
      </c>
      <c r="B795" s="175">
        <v>46047</v>
      </c>
      <c r="C795" s="171" t="s">
        <v>115</v>
      </c>
      <c r="D795" s="171" t="s">
        <v>135</v>
      </c>
      <c r="E795" s="171" t="s">
        <v>72</v>
      </c>
      <c r="F795" s="171" t="s">
        <v>719</v>
      </c>
      <c r="G795" s="171" t="s">
        <v>177</v>
      </c>
      <c r="H795" s="176">
        <v>1</v>
      </c>
      <c r="I795" s="177">
        <v>0</v>
      </c>
      <c r="J795" s="175">
        <v>46047</v>
      </c>
      <c r="K795" s="171" t="s">
        <v>125</v>
      </c>
      <c r="L795" s="171" t="s">
        <v>125</v>
      </c>
      <c r="M795" s="178">
        <v>0</v>
      </c>
      <c r="N795" s="176"/>
      <c r="O795" s="176"/>
      <c r="P795" s="179">
        <v>-9.5500000000000007</v>
      </c>
    </row>
    <row r="796" spans="1:16" ht="19.5" customHeight="1">
      <c r="A796" s="171" t="s">
        <v>720</v>
      </c>
      <c r="B796" s="175">
        <v>46047</v>
      </c>
      <c r="C796" s="171" t="s">
        <v>110</v>
      </c>
      <c r="D796" s="171" t="s">
        <v>24</v>
      </c>
      <c r="E796" s="171" t="s">
        <v>39</v>
      </c>
      <c r="F796" s="171" t="s">
        <v>141</v>
      </c>
      <c r="G796" s="171" t="s">
        <v>112</v>
      </c>
      <c r="H796" s="176">
        <v>1</v>
      </c>
      <c r="I796" s="177">
        <v>1634</v>
      </c>
      <c r="J796" s="175">
        <v>46043</v>
      </c>
      <c r="K796" s="171" t="s">
        <v>113</v>
      </c>
      <c r="L796" s="171" t="s">
        <v>114</v>
      </c>
      <c r="M796" s="178">
        <v>0.43</v>
      </c>
      <c r="N796" s="176"/>
      <c r="O796" s="176">
        <v>52</v>
      </c>
      <c r="P796" s="179">
        <v>-146.21</v>
      </c>
    </row>
    <row r="797" spans="1:16" ht="19.5" customHeight="1">
      <c r="A797" s="171" t="s">
        <v>720</v>
      </c>
      <c r="B797" s="175">
        <v>46047</v>
      </c>
      <c r="C797" s="171" t="s">
        <v>127</v>
      </c>
      <c r="D797" s="171" t="s">
        <v>128</v>
      </c>
      <c r="E797" s="171" t="s">
        <v>39</v>
      </c>
      <c r="F797" s="171" t="s">
        <v>141</v>
      </c>
      <c r="G797" s="171" t="s">
        <v>112</v>
      </c>
      <c r="H797" s="176">
        <v>1</v>
      </c>
      <c r="I797" s="177">
        <v>1634</v>
      </c>
      <c r="J797" s="175">
        <v>46043</v>
      </c>
      <c r="K797" s="171" t="s">
        <v>113</v>
      </c>
      <c r="L797" s="171" t="s">
        <v>114</v>
      </c>
      <c r="M797" s="178">
        <v>0</v>
      </c>
      <c r="N797" s="176"/>
      <c r="O797" s="176"/>
      <c r="P797" s="179">
        <v>679.05</v>
      </c>
    </row>
    <row r="798" spans="1:16" ht="19.5" customHeight="1">
      <c r="A798" s="171" t="s">
        <v>720</v>
      </c>
      <c r="B798" s="175">
        <v>46047</v>
      </c>
      <c r="C798" s="171" t="s">
        <v>127</v>
      </c>
      <c r="D798" s="171" t="s">
        <v>129</v>
      </c>
      <c r="E798" s="171" t="s">
        <v>39</v>
      </c>
      <c r="F798" s="171" t="s">
        <v>141</v>
      </c>
      <c r="G798" s="171" t="s">
        <v>112</v>
      </c>
      <c r="H798" s="176">
        <v>1</v>
      </c>
      <c r="I798" s="177">
        <v>1634</v>
      </c>
      <c r="J798" s="175">
        <v>46043</v>
      </c>
      <c r="K798" s="171" t="s">
        <v>113</v>
      </c>
      <c r="L798" s="171" t="s">
        <v>114</v>
      </c>
      <c r="M798" s="178">
        <v>0</v>
      </c>
      <c r="N798" s="176"/>
      <c r="O798" s="176"/>
      <c r="P798" s="179">
        <v>6.79</v>
      </c>
    </row>
    <row r="799" spans="1:16" ht="19.5" customHeight="1">
      <c r="A799" s="171" t="s">
        <v>720</v>
      </c>
      <c r="B799" s="175">
        <v>46047</v>
      </c>
      <c r="C799" s="171" t="s">
        <v>127</v>
      </c>
      <c r="D799" s="171" t="s">
        <v>130</v>
      </c>
      <c r="E799" s="171" t="s">
        <v>39</v>
      </c>
      <c r="F799" s="171" t="s">
        <v>141</v>
      </c>
      <c r="G799" s="171" t="s">
        <v>112</v>
      </c>
      <c r="H799" s="176">
        <v>1</v>
      </c>
      <c r="I799" s="177">
        <v>1634</v>
      </c>
      <c r="J799" s="175">
        <v>46043</v>
      </c>
      <c r="K799" s="171" t="s">
        <v>113</v>
      </c>
      <c r="L799" s="171" t="s">
        <v>114</v>
      </c>
      <c r="M799" s="178">
        <v>0</v>
      </c>
      <c r="N799" s="176"/>
      <c r="O799" s="176"/>
      <c r="P799" s="179">
        <v>948.16</v>
      </c>
    </row>
    <row r="800" spans="1:16" ht="19.5" customHeight="1">
      <c r="A800" s="171" t="s">
        <v>720</v>
      </c>
      <c r="B800" s="175">
        <v>46047</v>
      </c>
      <c r="C800" s="171" t="s">
        <v>131</v>
      </c>
      <c r="D800" s="171" t="s">
        <v>132</v>
      </c>
      <c r="E800" s="171" t="s">
        <v>39</v>
      </c>
      <c r="F800" s="171" t="s">
        <v>141</v>
      </c>
      <c r="G800" s="171" t="s">
        <v>112</v>
      </c>
      <c r="H800" s="176">
        <v>1</v>
      </c>
      <c r="I800" s="177">
        <v>1634</v>
      </c>
      <c r="J800" s="175">
        <v>46043</v>
      </c>
      <c r="K800" s="171" t="s">
        <v>113</v>
      </c>
      <c r="L800" s="171" t="s">
        <v>114</v>
      </c>
      <c r="M800" s="178">
        <v>0.43</v>
      </c>
      <c r="N800" s="176"/>
      <c r="O800" s="176"/>
      <c r="P800" s="179">
        <v>-702.62</v>
      </c>
    </row>
    <row r="801" spans="1:16" ht="19.5" customHeight="1">
      <c r="A801" s="171" t="s">
        <v>720</v>
      </c>
      <c r="B801" s="175">
        <v>46047</v>
      </c>
      <c r="C801" s="171" t="s">
        <v>115</v>
      </c>
      <c r="D801" s="171" t="s">
        <v>116</v>
      </c>
      <c r="E801" s="171" t="s">
        <v>39</v>
      </c>
      <c r="F801" s="171" t="s">
        <v>141</v>
      </c>
      <c r="G801" s="171" t="s">
        <v>112</v>
      </c>
      <c r="H801" s="176">
        <v>1</v>
      </c>
      <c r="I801" s="177">
        <v>1634</v>
      </c>
      <c r="J801" s="175">
        <v>46043</v>
      </c>
      <c r="K801" s="171" t="s">
        <v>113</v>
      </c>
      <c r="L801" s="171" t="s">
        <v>114</v>
      </c>
      <c r="M801" s="178">
        <v>0.43</v>
      </c>
      <c r="N801" s="176"/>
      <c r="O801" s="176"/>
      <c r="P801" s="179">
        <v>-7.88</v>
      </c>
    </row>
    <row r="802" spans="1:16" ht="19.5" customHeight="1">
      <c r="A802" s="171" t="s">
        <v>721</v>
      </c>
      <c r="B802" s="175">
        <v>46047</v>
      </c>
      <c r="C802" s="171" t="s">
        <v>110</v>
      </c>
      <c r="D802" s="171" t="s">
        <v>24</v>
      </c>
      <c r="E802" s="171" t="s">
        <v>64</v>
      </c>
      <c r="F802" s="171" t="s">
        <v>722</v>
      </c>
      <c r="G802" s="171" t="s">
        <v>177</v>
      </c>
      <c r="H802" s="176">
        <v>1</v>
      </c>
      <c r="I802" s="177">
        <v>3649</v>
      </c>
      <c r="J802" s="175">
        <v>46042</v>
      </c>
      <c r="K802" s="171" t="s">
        <v>113</v>
      </c>
      <c r="L802" s="171" t="s">
        <v>114</v>
      </c>
      <c r="M802" s="178">
        <v>0.43</v>
      </c>
      <c r="N802" s="176"/>
      <c r="O802" s="176">
        <v>52</v>
      </c>
      <c r="P802" s="179">
        <v>-242.23</v>
      </c>
    </row>
    <row r="803" spans="1:16" ht="19.5" customHeight="1">
      <c r="A803" s="171" t="s">
        <v>721</v>
      </c>
      <c r="B803" s="175">
        <v>46047</v>
      </c>
      <c r="C803" s="171" t="s">
        <v>127</v>
      </c>
      <c r="D803" s="171" t="s">
        <v>128</v>
      </c>
      <c r="E803" s="171" t="s">
        <v>64</v>
      </c>
      <c r="F803" s="171" t="s">
        <v>722</v>
      </c>
      <c r="G803" s="171" t="s">
        <v>177</v>
      </c>
      <c r="H803" s="176">
        <v>1</v>
      </c>
      <c r="I803" s="177">
        <v>3649</v>
      </c>
      <c r="J803" s="175">
        <v>46042</v>
      </c>
      <c r="K803" s="171" t="s">
        <v>113</v>
      </c>
      <c r="L803" s="171" t="s">
        <v>114</v>
      </c>
      <c r="M803" s="178">
        <v>0</v>
      </c>
      <c r="N803" s="176"/>
      <c r="O803" s="176"/>
      <c r="P803" s="179">
        <v>2355.85</v>
      </c>
    </row>
    <row r="804" spans="1:16" ht="19.5" customHeight="1">
      <c r="A804" s="171" t="s">
        <v>721</v>
      </c>
      <c r="B804" s="175">
        <v>46047</v>
      </c>
      <c r="C804" s="171" t="s">
        <v>127</v>
      </c>
      <c r="D804" s="171" t="s">
        <v>129</v>
      </c>
      <c r="E804" s="171" t="s">
        <v>64</v>
      </c>
      <c r="F804" s="171" t="s">
        <v>722</v>
      </c>
      <c r="G804" s="171" t="s">
        <v>177</v>
      </c>
      <c r="H804" s="176">
        <v>1</v>
      </c>
      <c r="I804" s="177">
        <v>3649</v>
      </c>
      <c r="J804" s="175">
        <v>46042</v>
      </c>
      <c r="K804" s="171" t="s">
        <v>113</v>
      </c>
      <c r="L804" s="171" t="s">
        <v>114</v>
      </c>
      <c r="M804" s="178">
        <v>0</v>
      </c>
      <c r="N804" s="176"/>
      <c r="O804" s="176"/>
      <c r="P804" s="179">
        <v>23.56</v>
      </c>
    </row>
    <row r="805" spans="1:16" ht="19.5" customHeight="1">
      <c r="A805" s="171" t="s">
        <v>721</v>
      </c>
      <c r="B805" s="175">
        <v>46047</v>
      </c>
      <c r="C805" s="171" t="s">
        <v>127</v>
      </c>
      <c r="D805" s="171" t="s">
        <v>130</v>
      </c>
      <c r="E805" s="171" t="s">
        <v>64</v>
      </c>
      <c r="F805" s="171" t="s">
        <v>722</v>
      </c>
      <c r="G805" s="171" t="s">
        <v>177</v>
      </c>
      <c r="H805" s="176">
        <v>1</v>
      </c>
      <c r="I805" s="177">
        <v>3649</v>
      </c>
      <c r="J805" s="175">
        <v>46042</v>
      </c>
      <c r="K805" s="171" t="s">
        <v>113</v>
      </c>
      <c r="L805" s="171" t="s">
        <v>114</v>
      </c>
      <c r="M805" s="178">
        <v>0</v>
      </c>
      <c r="N805" s="176"/>
      <c r="O805" s="176"/>
      <c r="P805" s="179">
        <v>1269.5899999999999</v>
      </c>
    </row>
    <row r="806" spans="1:16" ht="19.5" customHeight="1">
      <c r="A806" s="171" t="s">
        <v>721</v>
      </c>
      <c r="B806" s="175">
        <v>46047</v>
      </c>
      <c r="C806" s="171" t="s">
        <v>131</v>
      </c>
      <c r="D806" s="171" t="s">
        <v>132</v>
      </c>
      <c r="E806" s="171" t="s">
        <v>64</v>
      </c>
      <c r="F806" s="171" t="s">
        <v>722</v>
      </c>
      <c r="G806" s="171" t="s">
        <v>177</v>
      </c>
      <c r="H806" s="176">
        <v>1</v>
      </c>
      <c r="I806" s="177">
        <v>3649</v>
      </c>
      <c r="J806" s="175">
        <v>46042</v>
      </c>
      <c r="K806" s="171" t="s">
        <v>113</v>
      </c>
      <c r="L806" s="171" t="s">
        <v>114</v>
      </c>
      <c r="M806" s="178">
        <v>0.43</v>
      </c>
      <c r="N806" s="176"/>
      <c r="O806" s="176"/>
      <c r="P806" s="179">
        <v>-1569.07</v>
      </c>
    </row>
    <row r="807" spans="1:16" ht="19.5" customHeight="1">
      <c r="A807" s="171" t="s">
        <v>721</v>
      </c>
      <c r="B807" s="175">
        <v>46047</v>
      </c>
      <c r="C807" s="171" t="s">
        <v>115</v>
      </c>
      <c r="D807" s="171" t="s">
        <v>116</v>
      </c>
      <c r="E807" s="171" t="s">
        <v>64</v>
      </c>
      <c r="F807" s="171" t="s">
        <v>722</v>
      </c>
      <c r="G807" s="171" t="s">
        <v>177</v>
      </c>
      <c r="H807" s="176">
        <v>1</v>
      </c>
      <c r="I807" s="177">
        <v>3649</v>
      </c>
      <c r="J807" s="175">
        <v>46042</v>
      </c>
      <c r="K807" s="171" t="s">
        <v>113</v>
      </c>
      <c r="L807" s="171" t="s">
        <v>114</v>
      </c>
      <c r="M807" s="178">
        <v>0.43</v>
      </c>
      <c r="N807" s="176"/>
      <c r="O807" s="176"/>
      <c r="P807" s="179">
        <v>-12.74</v>
      </c>
    </row>
    <row r="808" spans="1:16" ht="19.5" customHeight="1">
      <c r="A808" s="171" t="s">
        <v>608</v>
      </c>
      <c r="B808" s="175">
        <v>46047</v>
      </c>
      <c r="C808" s="171" t="s">
        <v>110</v>
      </c>
      <c r="D808" s="171" t="s">
        <v>121</v>
      </c>
      <c r="E808" s="171" t="s">
        <v>78</v>
      </c>
      <c r="F808" s="171" t="s">
        <v>176</v>
      </c>
      <c r="G808" s="171" t="s">
        <v>177</v>
      </c>
      <c r="H808" s="176">
        <v>1</v>
      </c>
      <c r="I808" s="177">
        <v>0</v>
      </c>
      <c r="J808" s="175">
        <v>46041</v>
      </c>
      <c r="K808" s="171" t="s">
        <v>113</v>
      </c>
      <c r="L808" s="171" t="s">
        <v>114</v>
      </c>
      <c r="M808" s="178">
        <v>0</v>
      </c>
      <c r="N808" s="176"/>
      <c r="O808" s="176"/>
      <c r="P808" s="179">
        <v>0</v>
      </c>
    </row>
    <row r="809" spans="1:16" ht="19.5" customHeight="1">
      <c r="A809" s="171" t="s">
        <v>608</v>
      </c>
      <c r="B809" s="175">
        <v>46047</v>
      </c>
      <c r="C809" s="171" t="s">
        <v>110</v>
      </c>
      <c r="D809" s="171" t="s">
        <v>118</v>
      </c>
      <c r="E809" s="171" t="s">
        <v>78</v>
      </c>
      <c r="F809" s="171" t="s">
        <v>176</v>
      </c>
      <c r="G809" s="171" t="s">
        <v>177</v>
      </c>
      <c r="H809" s="176">
        <v>1</v>
      </c>
      <c r="I809" s="177">
        <v>0</v>
      </c>
      <c r="J809" s="175">
        <v>46041</v>
      </c>
      <c r="K809" s="171" t="s">
        <v>113</v>
      </c>
      <c r="L809" s="171" t="s">
        <v>114</v>
      </c>
      <c r="M809" s="178">
        <v>0</v>
      </c>
      <c r="N809" s="176"/>
      <c r="O809" s="176"/>
      <c r="P809" s="179">
        <v>-56.94</v>
      </c>
    </row>
    <row r="810" spans="1:16" ht="19.5" customHeight="1">
      <c r="A810" s="171" t="s">
        <v>608</v>
      </c>
      <c r="B810" s="175">
        <v>46047</v>
      </c>
      <c r="C810" s="171" t="s">
        <v>115</v>
      </c>
      <c r="D810" s="171" t="s">
        <v>119</v>
      </c>
      <c r="E810" s="171" t="s">
        <v>78</v>
      </c>
      <c r="F810" s="171" t="s">
        <v>176</v>
      </c>
      <c r="G810" s="171" t="s">
        <v>177</v>
      </c>
      <c r="H810" s="176">
        <v>1</v>
      </c>
      <c r="I810" s="177">
        <v>0</v>
      </c>
      <c r="J810" s="175">
        <v>46041</v>
      </c>
      <c r="K810" s="171" t="s">
        <v>113</v>
      </c>
      <c r="L810" s="171" t="s">
        <v>114</v>
      </c>
      <c r="M810" s="178">
        <v>0</v>
      </c>
      <c r="N810" s="176"/>
      <c r="O810" s="176"/>
      <c r="P810" s="179">
        <v>-15</v>
      </c>
    </row>
    <row r="811" spans="1:16" ht="19.5" customHeight="1">
      <c r="A811" s="171" t="s">
        <v>721</v>
      </c>
      <c r="B811" s="175">
        <v>46047</v>
      </c>
      <c r="C811" s="171" t="s">
        <v>115</v>
      </c>
      <c r="D811" s="171" t="s">
        <v>135</v>
      </c>
      <c r="E811" s="171" t="s">
        <v>64</v>
      </c>
      <c r="F811" s="171" t="s">
        <v>722</v>
      </c>
      <c r="G811" s="171" t="s">
        <v>177</v>
      </c>
      <c r="H811" s="176">
        <v>1</v>
      </c>
      <c r="I811" s="177">
        <v>0</v>
      </c>
      <c r="J811" s="175">
        <v>46042</v>
      </c>
      <c r="K811" s="171" t="s">
        <v>125</v>
      </c>
      <c r="L811" s="171" t="s">
        <v>125</v>
      </c>
      <c r="M811" s="178">
        <v>0</v>
      </c>
      <c r="N811" s="176"/>
      <c r="O811" s="176"/>
      <c r="P811" s="179">
        <v>-44.76</v>
      </c>
    </row>
    <row r="812" spans="1:16" ht="19.5" customHeight="1">
      <c r="A812" s="171" t="s">
        <v>723</v>
      </c>
      <c r="B812" s="175">
        <v>46047</v>
      </c>
      <c r="C812" s="171" t="s">
        <v>110</v>
      </c>
      <c r="D812" s="171" t="s">
        <v>24</v>
      </c>
      <c r="E812" s="171" t="s">
        <v>77</v>
      </c>
      <c r="F812" s="171" t="s">
        <v>194</v>
      </c>
      <c r="G812" s="171" t="s">
        <v>177</v>
      </c>
      <c r="H812" s="176">
        <v>1</v>
      </c>
      <c r="I812" s="177">
        <v>4178</v>
      </c>
      <c r="J812" s="175">
        <v>46046</v>
      </c>
      <c r="K812" s="171" t="s">
        <v>113</v>
      </c>
      <c r="L812" s="171" t="s">
        <v>114</v>
      </c>
      <c r="M812" s="178">
        <v>0.43</v>
      </c>
      <c r="N812" s="176"/>
      <c r="O812" s="176">
        <v>50</v>
      </c>
      <c r="P812" s="179">
        <v>-258.97000000000003</v>
      </c>
    </row>
    <row r="813" spans="1:16" ht="19.5" customHeight="1">
      <c r="A813" s="171" t="s">
        <v>723</v>
      </c>
      <c r="B813" s="175">
        <v>46047</v>
      </c>
      <c r="C813" s="171" t="s">
        <v>127</v>
      </c>
      <c r="D813" s="171" t="s">
        <v>128</v>
      </c>
      <c r="E813" s="171" t="s">
        <v>77</v>
      </c>
      <c r="F813" s="171" t="s">
        <v>194</v>
      </c>
      <c r="G813" s="171" t="s">
        <v>177</v>
      </c>
      <c r="H813" s="176">
        <v>1</v>
      </c>
      <c r="I813" s="177">
        <v>4178</v>
      </c>
      <c r="J813" s="175">
        <v>46046</v>
      </c>
      <c r="K813" s="171" t="s">
        <v>113</v>
      </c>
      <c r="L813" s="171" t="s">
        <v>114</v>
      </c>
      <c r="M813" s="178">
        <v>0</v>
      </c>
      <c r="N813" s="176"/>
      <c r="O813" s="176"/>
      <c r="P813" s="179">
        <v>1655.37</v>
      </c>
    </row>
    <row r="814" spans="1:16" ht="19.5" customHeight="1">
      <c r="A814" s="171" t="s">
        <v>723</v>
      </c>
      <c r="B814" s="175">
        <v>46047</v>
      </c>
      <c r="C814" s="171" t="s">
        <v>127</v>
      </c>
      <c r="D814" s="171" t="s">
        <v>129</v>
      </c>
      <c r="E814" s="171" t="s">
        <v>77</v>
      </c>
      <c r="F814" s="171" t="s">
        <v>194</v>
      </c>
      <c r="G814" s="171" t="s">
        <v>177</v>
      </c>
      <c r="H814" s="176">
        <v>1</v>
      </c>
      <c r="I814" s="177">
        <v>4178</v>
      </c>
      <c r="J814" s="175">
        <v>46046</v>
      </c>
      <c r="K814" s="171" t="s">
        <v>113</v>
      </c>
      <c r="L814" s="171" t="s">
        <v>114</v>
      </c>
      <c r="M814" s="178">
        <v>0</v>
      </c>
      <c r="N814" s="176"/>
      <c r="O814" s="176"/>
      <c r="P814" s="179">
        <v>0</v>
      </c>
    </row>
    <row r="815" spans="1:16" ht="19.5" customHeight="1">
      <c r="A815" s="171" t="s">
        <v>723</v>
      </c>
      <c r="B815" s="175">
        <v>46047</v>
      </c>
      <c r="C815" s="171" t="s">
        <v>127</v>
      </c>
      <c r="D815" s="171" t="s">
        <v>130</v>
      </c>
      <c r="E815" s="171" t="s">
        <v>77</v>
      </c>
      <c r="F815" s="171" t="s">
        <v>194</v>
      </c>
      <c r="G815" s="171" t="s">
        <v>177</v>
      </c>
      <c r="H815" s="176">
        <v>1</v>
      </c>
      <c r="I815" s="177">
        <v>4178</v>
      </c>
      <c r="J815" s="175">
        <v>46046</v>
      </c>
      <c r="K815" s="171" t="s">
        <v>113</v>
      </c>
      <c r="L815" s="171" t="s">
        <v>114</v>
      </c>
      <c r="M815" s="178">
        <v>0</v>
      </c>
      <c r="N815" s="176"/>
      <c r="O815" s="176"/>
      <c r="P815" s="179">
        <v>2522.63</v>
      </c>
    </row>
    <row r="816" spans="1:16" ht="19.5" customHeight="1">
      <c r="A816" s="171" t="s">
        <v>723</v>
      </c>
      <c r="B816" s="175">
        <v>46047</v>
      </c>
      <c r="C816" s="171" t="s">
        <v>131</v>
      </c>
      <c r="D816" s="171" t="s">
        <v>132</v>
      </c>
      <c r="E816" s="171" t="s">
        <v>77</v>
      </c>
      <c r="F816" s="171" t="s">
        <v>194</v>
      </c>
      <c r="G816" s="171" t="s">
        <v>177</v>
      </c>
      <c r="H816" s="176">
        <v>1</v>
      </c>
      <c r="I816" s="177">
        <v>4178</v>
      </c>
      <c r="J816" s="175">
        <v>46046</v>
      </c>
      <c r="K816" s="171" t="s">
        <v>113</v>
      </c>
      <c r="L816" s="171" t="s">
        <v>114</v>
      </c>
      <c r="M816" s="178">
        <v>0.43</v>
      </c>
      <c r="N816" s="176"/>
      <c r="O816" s="176"/>
      <c r="P816" s="179">
        <v>-1796.54</v>
      </c>
    </row>
    <row r="817" spans="1:16" ht="19.5" customHeight="1">
      <c r="A817" s="171" t="s">
        <v>724</v>
      </c>
      <c r="B817" s="175">
        <v>46047</v>
      </c>
      <c r="C817" s="171" t="s">
        <v>110</v>
      </c>
      <c r="D817" s="171" t="s">
        <v>24</v>
      </c>
      <c r="E817" s="171" t="s">
        <v>78</v>
      </c>
      <c r="F817" s="171" t="s">
        <v>176</v>
      </c>
      <c r="G817" s="171" t="s">
        <v>177</v>
      </c>
      <c r="H817" s="176">
        <v>1</v>
      </c>
      <c r="I817" s="177">
        <v>4940</v>
      </c>
      <c r="J817" s="175">
        <v>46043</v>
      </c>
      <c r="K817" s="171" t="s">
        <v>113</v>
      </c>
      <c r="L817" s="171" t="s">
        <v>114</v>
      </c>
      <c r="M817" s="178">
        <v>0.43</v>
      </c>
      <c r="N817" s="176"/>
      <c r="O817" s="176">
        <v>52</v>
      </c>
      <c r="P817" s="179">
        <v>-292.19</v>
      </c>
    </row>
    <row r="818" spans="1:16" ht="19.5" customHeight="1">
      <c r="A818" s="171" t="s">
        <v>724</v>
      </c>
      <c r="B818" s="175">
        <v>46047</v>
      </c>
      <c r="C818" s="171" t="s">
        <v>127</v>
      </c>
      <c r="D818" s="171" t="s">
        <v>128</v>
      </c>
      <c r="E818" s="171" t="s">
        <v>78</v>
      </c>
      <c r="F818" s="171" t="s">
        <v>176</v>
      </c>
      <c r="G818" s="171" t="s">
        <v>177</v>
      </c>
      <c r="H818" s="176">
        <v>1</v>
      </c>
      <c r="I818" s="177">
        <v>4940</v>
      </c>
      <c r="J818" s="175">
        <v>46043</v>
      </c>
      <c r="K818" s="171" t="s">
        <v>113</v>
      </c>
      <c r="L818" s="171" t="s">
        <v>114</v>
      </c>
      <c r="M818" s="178">
        <v>0</v>
      </c>
      <c r="N818" s="176"/>
      <c r="O818" s="176"/>
      <c r="P818" s="179">
        <v>2202.84</v>
      </c>
    </row>
    <row r="819" spans="1:16" ht="19.5" customHeight="1">
      <c r="A819" s="171" t="s">
        <v>724</v>
      </c>
      <c r="B819" s="175">
        <v>46047</v>
      </c>
      <c r="C819" s="171" t="s">
        <v>127</v>
      </c>
      <c r="D819" s="171" t="s">
        <v>129</v>
      </c>
      <c r="E819" s="171" t="s">
        <v>78</v>
      </c>
      <c r="F819" s="171" t="s">
        <v>176</v>
      </c>
      <c r="G819" s="171" t="s">
        <v>177</v>
      </c>
      <c r="H819" s="176">
        <v>1</v>
      </c>
      <c r="I819" s="177">
        <v>4940</v>
      </c>
      <c r="J819" s="175">
        <v>46043</v>
      </c>
      <c r="K819" s="171" t="s">
        <v>113</v>
      </c>
      <c r="L819" s="171" t="s">
        <v>114</v>
      </c>
      <c r="M819" s="178">
        <v>0</v>
      </c>
      <c r="N819" s="176"/>
      <c r="O819" s="176"/>
      <c r="P819" s="179">
        <v>22.03</v>
      </c>
    </row>
    <row r="820" spans="1:16" ht="19.5" customHeight="1">
      <c r="A820" s="171" t="s">
        <v>724</v>
      </c>
      <c r="B820" s="175">
        <v>46047</v>
      </c>
      <c r="C820" s="171" t="s">
        <v>127</v>
      </c>
      <c r="D820" s="171" t="s">
        <v>130</v>
      </c>
      <c r="E820" s="171" t="s">
        <v>78</v>
      </c>
      <c r="F820" s="171" t="s">
        <v>176</v>
      </c>
      <c r="G820" s="171" t="s">
        <v>177</v>
      </c>
      <c r="H820" s="176">
        <v>1</v>
      </c>
      <c r="I820" s="177">
        <v>4940</v>
      </c>
      <c r="J820" s="175">
        <v>46043</v>
      </c>
      <c r="K820" s="171" t="s">
        <v>113</v>
      </c>
      <c r="L820" s="171" t="s">
        <v>114</v>
      </c>
      <c r="M820" s="178">
        <v>0</v>
      </c>
      <c r="N820" s="176"/>
      <c r="O820" s="176"/>
      <c r="P820" s="179">
        <v>2715.13</v>
      </c>
    </row>
    <row r="821" spans="1:16" ht="19.5" customHeight="1">
      <c r="A821" s="171" t="s">
        <v>724</v>
      </c>
      <c r="B821" s="175">
        <v>46047</v>
      </c>
      <c r="C821" s="171" t="s">
        <v>131</v>
      </c>
      <c r="D821" s="171" t="s">
        <v>132</v>
      </c>
      <c r="E821" s="171" t="s">
        <v>78</v>
      </c>
      <c r="F821" s="171" t="s">
        <v>176</v>
      </c>
      <c r="G821" s="171" t="s">
        <v>177</v>
      </c>
      <c r="H821" s="176">
        <v>1</v>
      </c>
      <c r="I821" s="177">
        <v>4940</v>
      </c>
      <c r="J821" s="175">
        <v>46043</v>
      </c>
      <c r="K821" s="171" t="s">
        <v>113</v>
      </c>
      <c r="L821" s="171" t="s">
        <v>114</v>
      </c>
      <c r="M821" s="178">
        <v>0.43</v>
      </c>
      <c r="N821" s="176"/>
      <c r="O821" s="176"/>
      <c r="P821" s="179">
        <v>-2124.1999999999998</v>
      </c>
    </row>
    <row r="822" spans="1:16" ht="19.5" customHeight="1">
      <c r="A822" s="171" t="s">
        <v>724</v>
      </c>
      <c r="B822" s="175">
        <v>46047</v>
      </c>
      <c r="C822" s="171" t="s">
        <v>115</v>
      </c>
      <c r="D822" s="171" t="s">
        <v>116</v>
      </c>
      <c r="E822" s="171" t="s">
        <v>78</v>
      </c>
      <c r="F822" s="171" t="s">
        <v>176</v>
      </c>
      <c r="G822" s="171" t="s">
        <v>177</v>
      </c>
      <c r="H822" s="176">
        <v>1</v>
      </c>
      <c r="I822" s="177">
        <v>4940</v>
      </c>
      <c r="J822" s="175">
        <v>46043</v>
      </c>
      <c r="K822" s="171" t="s">
        <v>113</v>
      </c>
      <c r="L822" s="171" t="s">
        <v>114</v>
      </c>
      <c r="M822" s="178">
        <v>0.43</v>
      </c>
      <c r="N822" s="176"/>
      <c r="O822" s="176"/>
      <c r="P822" s="179">
        <v>-13.97</v>
      </c>
    </row>
    <row r="823" spans="1:16" ht="19.5" customHeight="1">
      <c r="A823" s="171" t="s">
        <v>725</v>
      </c>
      <c r="B823" s="175">
        <v>46047</v>
      </c>
      <c r="C823" s="171" t="s">
        <v>115</v>
      </c>
      <c r="D823" s="171" t="s">
        <v>726</v>
      </c>
      <c r="E823" s="171" t="s">
        <v>41</v>
      </c>
      <c r="F823" s="171" t="s">
        <v>138</v>
      </c>
      <c r="G823" s="171" t="s">
        <v>112</v>
      </c>
      <c r="H823" s="176">
        <v>1</v>
      </c>
      <c r="I823" s="177">
        <v>0</v>
      </c>
      <c r="J823" s="175">
        <v>46047</v>
      </c>
      <c r="K823" s="171" t="s">
        <v>125</v>
      </c>
      <c r="L823" s="171" t="s">
        <v>125</v>
      </c>
      <c r="M823" s="178">
        <v>0</v>
      </c>
      <c r="N823" s="176"/>
      <c r="O823" s="176"/>
      <c r="P823" s="179">
        <v>-24</v>
      </c>
    </row>
    <row r="824" spans="1:16" ht="19.5" customHeight="1">
      <c r="A824" s="171" t="s">
        <v>724</v>
      </c>
      <c r="B824" s="175">
        <v>46047</v>
      </c>
      <c r="C824" s="171" t="s">
        <v>115</v>
      </c>
      <c r="D824" s="171" t="s">
        <v>135</v>
      </c>
      <c r="E824" s="171" t="s">
        <v>78</v>
      </c>
      <c r="F824" s="171" t="s">
        <v>176</v>
      </c>
      <c r="G824" s="171" t="s">
        <v>177</v>
      </c>
      <c r="H824" s="176">
        <v>1</v>
      </c>
      <c r="I824" s="177">
        <v>0</v>
      </c>
      <c r="J824" s="175">
        <v>46043</v>
      </c>
      <c r="K824" s="171" t="s">
        <v>125</v>
      </c>
      <c r="L824" s="171" t="s">
        <v>125</v>
      </c>
      <c r="M824" s="178">
        <v>0</v>
      </c>
      <c r="N824" s="176"/>
      <c r="O824" s="176"/>
      <c r="P824" s="179">
        <v>-41.85</v>
      </c>
    </row>
    <row r="825" spans="1:16" ht="19.5" customHeight="1">
      <c r="A825" s="171" t="s">
        <v>727</v>
      </c>
      <c r="B825" s="175">
        <v>46047</v>
      </c>
      <c r="C825" s="171" t="s">
        <v>110</v>
      </c>
      <c r="D825" s="171" t="s">
        <v>24</v>
      </c>
      <c r="E825" s="171" t="s">
        <v>38</v>
      </c>
      <c r="F825" s="171" t="s">
        <v>111</v>
      </c>
      <c r="G825" s="171" t="s">
        <v>112</v>
      </c>
      <c r="H825" s="176">
        <v>1</v>
      </c>
      <c r="I825" s="177">
        <v>1670</v>
      </c>
      <c r="J825" s="175">
        <v>46042</v>
      </c>
      <c r="K825" s="171" t="s">
        <v>113</v>
      </c>
      <c r="L825" s="171" t="s">
        <v>114</v>
      </c>
      <c r="M825" s="178">
        <v>0.43</v>
      </c>
      <c r="N825" s="176"/>
      <c r="O825" s="176">
        <v>52</v>
      </c>
      <c r="P825" s="179">
        <v>-146.22999999999999</v>
      </c>
    </row>
    <row r="826" spans="1:16" ht="19.5" customHeight="1">
      <c r="A826" s="171" t="s">
        <v>727</v>
      </c>
      <c r="B826" s="175">
        <v>46047</v>
      </c>
      <c r="C826" s="171" t="s">
        <v>127</v>
      </c>
      <c r="D826" s="171" t="s">
        <v>128</v>
      </c>
      <c r="E826" s="171" t="s">
        <v>38</v>
      </c>
      <c r="F826" s="171" t="s">
        <v>111</v>
      </c>
      <c r="G826" s="171" t="s">
        <v>112</v>
      </c>
      <c r="H826" s="176">
        <v>1</v>
      </c>
      <c r="I826" s="177">
        <v>1670</v>
      </c>
      <c r="J826" s="175">
        <v>46042</v>
      </c>
      <c r="K826" s="171" t="s">
        <v>113</v>
      </c>
      <c r="L826" s="171" t="s">
        <v>114</v>
      </c>
      <c r="M826" s="178">
        <v>0</v>
      </c>
      <c r="N826" s="176"/>
      <c r="O826" s="176"/>
      <c r="P826" s="179">
        <v>576.19000000000005</v>
      </c>
    </row>
    <row r="827" spans="1:16" ht="19.5" customHeight="1">
      <c r="A827" s="171" t="s">
        <v>727</v>
      </c>
      <c r="B827" s="175">
        <v>46047</v>
      </c>
      <c r="C827" s="171" t="s">
        <v>127</v>
      </c>
      <c r="D827" s="171" t="s">
        <v>129</v>
      </c>
      <c r="E827" s="171" t="s">
        <v>38</v>
      </c>
      <c r="F827" s="171" t="s">
        <v>111</v>
      </c>
      <c r="G827" s="171" t="s">
        <v>112</v>
      </c>
      <c r="H827" s="176">
        <v>1</v>
      </c>
      <c r="I827" s="177">
        <v>1670</v>
      </c>
      <c r="J827" s="175">
        <v>46042</v>
      </c>
      <c r="K827" s="171" t="s">
        <v>113</v>
      </c>
      <c r="L827" s="171" t="s">
        <v>114</v>
      </c>
      <c r="M827" s="178">
        <v>0</v>
      </c>
      <c r="N827" s="176"/>
      <c r="O827" s="176"/>
      <c r="P827" s="179">
        <v>5.76</v>
      </c>
    </row>
    <row r="828" spans="1:16" ht="19.5" customHeight="1">
      <c r="A828" s="171" t="s">
        <v>727</v>
      </c>
      <c r="B828" s="175">
        <v>46047</v>
      </c>
      <c r="C828" s="171" t="s">
        <v>127</v>
      </c>
      <c r="D828" s="171" t="s">
        <v>130</v>
      </c>
      <c r="E828" s="171" t="s">
        <v>38</v>
      </c>
      <c r="F828" s="171" t="s">
        <v>111</v>
      </c>
      <c r="G828" s="171" t="s">
        <v>112</v>
      </c>
      <c r="H828" s="176">
        <v>1</v>
      </c>
      <c r="I828" s="177">
        <v>1670</v>
      </c>
      <c r="J828" s="175">
        <v>46042</v>
      </c>
      <c r="K828" s="171" t="s">
        <v>113</v>
      </c>
      <c r="L828" s="171" t="s">
        <v>114</v>
      </c>
      <c r="M828" s="178">
        <v>0</v>
      </c>
      <c r="N828" s="176"/>
      <c r="O828" s="176"/>
      <c r="P828" s="179">
        <v>1088.05</v>
      </c>
    </row>
    <row r="829" spans="1:16" ht="19.5" customHeight="1">
      <c r="A829" s="171" t="s">
        <v>727</v>
      </c>
      <c r="B829" s="175">
        <v>46047</v>
      </c>
      <c r="C829" s="171" t="s">
        <v>131</v>
      </c>
      <c r="D829" s="171" t="s">
        <v>132</v>
      </c>
      <c r="E829" s="171" t="s">
        <v>38</v>
      </c>
      <c r="F829" s="171" t="s">
        <v>111</v>
      </c>
      <c r="G829" s="171" t="s">
        <v>112</v>
      </c>
      <c r="H829" s="176">
        <v>1</v>
      </c>
      <c r="I829" s="177">
        <v>1670</v>
      </c>
      <c r="J829" s="175">
        <v>46042</v>
      </c>
      <c r="K829" s="171" t="s">
        <v>113</v>
      </c>
      <c r="L829" s="171" t="s">
        <v>114</v>
      </c>
      <c r="M829" s="178">
        <v>0.43</v>
      </c>
      <c r="N829" s="176"/>
      <c r="O829" s="176"/>
      <c r="P829" s="179">
        <v>-718.1</v>
      </c>
    </row>
    <row r="830" spans="1:16" ht="19.5" customHeight="1">
      <c r="A830" s="171" t="s">
        <v>727</v>
      </c>
      <c r="B830" s="175">
        <v>46047</v>
      </c>
      <c r="C830" s="171" t="s">
        <v>115</v>
      </c>
      <c r="D830" s="171" t="s">
        <v>116</v>
      </c>
      <c r="E830" s="171" t="s">
        <v>38</v>
      </c>
      <c r="F830" s="171" t="s">
        <v>111</v>
      </c>
      <c r="G830" s="171" t="s">
        <v>112</v>
      </c>
      <c r="H830" s="176">
        <v>1</v>
      </c>
      <c r="I830" s="177">
        <v>1670</v>
      </c>
      <c r="J830" s="175">
        <v>46042</v>
      </c>
      <c r="K830" s="171" t="s">
        <v>113</v>
      </c>
      <c r="L830" s="171" t="s">
        <v>114</v>
      </c>
      <c r="M830" s="178">
        <v>0.43</v>
      </c>
      <c r="N830" s="176"/>
      <c r="O830" s="176"/>
      <c r="P830" s="179">
        <v>-10.31</v>
      </c>
    </row>
    <row r="831" spans="1:16" ht="19.5" customHeight="1">
      <c r="A831" s="171" t="s">
        <v>728</v>
      </c>
      <c r="B831" s="175">
        <v>46047</v>
      </c>
      <c r="C831" s="171" t="s">
        <v>110</v>
      </c>
      <c r="D831" s="171" t="s">
        <v>24</v>
      </c>
      <c r="E831" s="171" t="s">
        <v>41</v>
      </c>
      <c r="F831" s="171" t="s">
        <v>138</v>
      </c>
      <c r="G831" s="171" t="s">
        <v>112</v>
      </c>
      <c r="H831" s="176">
        <v>1</v>
      </c>
      <c r="I831" s="177">
        <v>1687</v>
      </c>
      <c r="J831" s="175">
        <v>46041</v>
      </c>
      <c r="K831" s="171" t="s">
        <v>113</v>
      </c>
      <c r="L831" s="171" t="s">
        <v>114</v>
      </c>
      <c r="M831" s="178">
        <v>0.43</v>
      </c>
      <c r="N831" s="176"/>
      <c r="O831" s="176">
        <v>53</v>
      </c>
      <c r="P831" s="179">
        <v>-147.66999999999999</v>
      </c>
    </row>
    <row r="832" spans="1:16" ht="19.5" customHeight="1">
      <c r="A832" s="171" t="s">
        <v>728</v>
      </c>
      <c r="B832" s="175">
        <v>46047</v>
      </c>
      <c r="C832" s="171" t="s">
        <v>127</v>
      </c>
      <c r="D832" s="171" t="s">
        <v>128</v>
      </c>
      <c r="E832" s="171" t="s">
        <v>41</v>
      </c>
      <c r="F832" s="171" t="s">
        <v>138</v>
      </c>
      <c r="G832" s="171" t="s">
        <v>112</v>
      </c>
      <c r="H832" s="176">
        <v>1</v>
      </c>
      <c r="I832" s="177">
        <v>1687</v>
      </c>
      <c r="J832" s="175">
        <v>46041</v>
      </c>
      <c r="K832" s="171" t="s">
        <v>113</v>
      </c>
      <c r="L832" s="171" t="s">
        <v>114</v>
      </c>
      <c r="M832" s="178">
        <v>0</v>
      </c>
      <c r="N832" s="176"/>
      <c r="O832" s="176"/>
      <c r="P832" s="179">
        <v>819.05</v>
      </c>
    </row>
    <row r="833" spans="1:16" ht="19.5" customHeight="1">
      <c r="A833" s="171" t="s">
        <v>728</v>
      </c>
      <c r="B833" s="175">
        <v>46047</v>
      </c>
      <c r="C833" s="171" t="s">
        <v>127</v>
      </c>
      <c r="D833" s="171" t="s">
        <v>129</v>
      </c>
      <c r="E833" s="171" t="s">
        <v>41</v>
      </c>
      <c r="F833" s="171" t="s">
        <v>138</v>
      </c>
      <c r="G833" s="171" t="s">
        <v>112</v>
      </c>
      <c r="H833" s="176">
        <v>1</v>
      </c>
      <c r="I833" s="177">
        <v>1687</v>
      </c>
      <c r="J833" s="175">
        <v>46041</v>
      </c>
      <c r="K833" s="171" t="s">
        <v>113</v>
      </c>
      <c r="L833" s="171" t="s">
        <v>114</v>
      </c>
      <c r="M833" s="178">
        <v>0</v>
      </c>
      <c r="N833" s="176"/>
      <c r="O833" s="176"/>
      <c r="P833" s="179">
        <v>8.19</v>
      </c>
    </row>
    <row r="834" spans="1:16" ht="19.5" customHeight="1">
      <c r="A834" s="171" t="s">
        <v>728</v>
      </c>
      <c r="B834" s="175">
        <v>46047</v>
      </c>
      <c r="C834" s="171" t="s">
        <v>127</v>
      </c>
      <c r="D834" s="171" t="s">
        <v>130</v>
      </c>
      <c r="E834" s="171" t="s">
        <v>41</v>
      </c>
      <c r="F834" s="171" t="s">
        <v>138</v>
      </c>
      <c r="G834" s="171" t="s">
        <v>112</v>
      </c>
      <c r="H834" s="176">
        <v>1</v>
      </c>
      <c r="I834" s="177">
        <v>1687</v>
      </c>
      <c r="J834" s="175">
        <v>46041</v>
      </c>
      <c r="K834" s="171" t="s">
        <v>113</v>
      </c>
      <c r="L834" s="171" t="s">
        <v>114</v>
      </c>
      <c r="M834" s="178">
        <v>0</v>
      </c>
      <c r="N834" s="176"/>
      <c r="O834" s="176"/>
      <c r="P834" s="179">
        <v>859.76</v>
      </c>
    </row>
    <row r="835" spans="1:16" ht="19.5" customHeight="1">
      <c r="A835" s="171" t="s">
        <v>728</v>
      </c>
      <c r="B835" s="175">
        <v>46047</v>
      </c>
      <c r="C835" s="171" t="s">
        <v>131</v>
      </c>
      <c r="D835" s="171" t="s">
        <v>132</v>
      </c>
      <c r="E835" s="171" t="s">
        <v>41</v>
      </c>
      <c r="F835" s="171" t="s">
        <v>138</v>
      </c>
      <c r="G835" s="171" t="s">
        <v>112</v>
      </c>
      <c r="H835" s="176">
        <v>1</v>
      </c>
      <c r="I835" s="177">
        <v>1687</v>
      </c>
      <c r="J835" s="175">
        <v>46041</v>
      </c>
      <c r="K835" s="171" t="s">
        <v>113</v>
      </c>
      <c r="L835" s="171" t="s">
        <v>114</v>
      </c>
      <c r="M835" s="178">
        <v>0.43</v>
      </c>
      <c r="N835" s="176"/>
      <c r="O835" s="176"/>
      <c r="P835" s="179">
        <v>-725.41</v>
      </c>
    </row>
    <row r="836" spans="1:16" ht="19.5" customHeight="1">
      <c r="A836" s="171" t="s">
        <v>728</v>
      </c>
      <c r="B836" s="175">
        <v>46047</v>
      </c>
      <c r="C836" s="171" t="s">
        <v>115</v>
      </c>
      <c r="D836" s="171" t="s">
        <v>116</v>
      </c>
      <c r="E836" s="171" t="s">
        <v>41</v>
      </c>
      <c r="F836" s="171" t="s">
        <v>138</v>
      </c>
      <c r="G836" s="171" t="s">
        <v>112</v>
      </c>
      <c r="H836" s="176">
        <v>1</v>
      </c>
      <c r="I836" s="177">
        <v>1687</v>
      </c>
      <c r="J836" s="175">
        <v>46041</v>
      </c>
      <c r="K836" s="171" t="s">
        <v>113</v>
      </c>
      <c r="L836" s="171" t="s">
        <v>114</v>
      </c>
      <c r="M836" s="178">
        <v>0.43</v>
      </c>
      <c r="N836" s="176"/>
      <c r="O836" s="176"/>
      <c r="P836" s="179">
        <v>-25</v>
      </c>
    </row>
    <row r="837" spans="1:16" ht="19.5" customHeight="1">
      <c r="A837" s="171" t="s">
        <v>729</v>
      </c>
      <c r="B837" s="175">
        <v>46047</v>
      </c>
      <c r="C837" s="171" t="s">
        <v>110</v>
      </c>
      <c r="D837" s="171" t="s">
        <v>24</v>
      </c>
      <c r="E837" s="171" t="s">
        <v>44</v>
      </c>
      <c r="F837" s="171" t="s">
        <v>213</v>
      </c>
      <c r="G837" s="171" t="s">
        <v>214</v>
      </c>
      <c r="H837" s="176">
        <v>1</v>
      </c>
      <c r="I837" s="177">
        <v>0</v>
      </c>
      <c r="J837" s="175">
        <v>46042</v>
      </c>
      <c r="K837" s="171" t="s">
        <v>113</v>
      </c>
      <c r="L837" s="171" t="s">
        <v>114</v>
      </c>
      <c r="M837" s="178">
        <v>0</v>
      </c>
      <c r="N837" s="176"/>
      <c r="O837" s="176">
        <v>52</v>
      </c>
      <c r="P837" s="179">
        <v>-46.77</v>
      </c>
    </row>
    <row r="838" spans="1:16" ht="19.5" customHeight="1">
      <c r="A838" s="171" t="s">
        <v>729</v>
      </c>
      <c r="B838" s="175">
        <v>46047</v>
      </c>
      <c r="C838" s="171" t="s">
        <v>115</v>
      </c>
      <c r="D838" s="171" t="s">
        <v>116</v>
      </c>
      <c r="E838" s="171" t="s">
        <v>44</v>
      </c>
      <c r="F838" s="171" t="s">
        <v>213</v>
      </c>
      <c r="G838" s="171" t="s">
        <v>214</v>
      </c>
      <c r="H838" s="176">
        <v>1</v>
      </c>
      <c r="I838" s="177">
        <v>0</v>
      </c>
      <c r="J838" s="175">
        <v>46042</v>
      </c>
      <c r="K838" s="171" t="s">
        <v>113</v>
      </c>
      <c r="L838" s="171" t="s">
        <v>114</v>
      </c>
      <c r="M838" s="178">
        <v>0</v>
      </c>
      <c r="N838" s="176"/>
      <c r="O838" s="176"/>
      <c r="P838" s="179">
        <v>-9.02</v>
      </c>
    </row>
    <row r="839" spans="1:16" ht="19.5" customHeight="1">
      <c r="A839" s="171" t="s">
        <v>730</v>
      </c>
      <c r="B839" s="175">
        <v>46047</v>
      </c>
      <c r="C839" s="171" t="s">
        <v>110</v>
      </c>
      <c r="D839" s="171" t="s">
        <v>24</v>
      </c>
      <c r="E839" s="171" t="s">
        <v>38</v>
      </c>
      <c r="F839" s="171" t="s">
        <v>111</v>
      </c>
      <c r="G839" s="171" t="s">
        <v>112</v>
      </c>
      <c r="H839" s="176">
        <v>1</v>
      </c>
      <c r="I839" s="177">
        <v>1670</v>
      </c>
      <c r="J839" s="175">
        <v>46045</v>
      </c>
      <c r="K839" s="171" t="s">
        <v>113</v>
      </c>
      <c r="L839" s="171" t="s">
        <v>114</v>
      </c>
      <c r="M839" s="178">
        <v>0.43</v>
      </c>
      <c r="N839" s="176"/>
      <c r="O839" s="176">
        <v>51</v>
      </c>
      <c r="P839" s="179">
        <v>-147.08000000000001</v>
      </c>
    </row>
    <row r="840" spans="1:16" ht="19.5" customHeight="1">
      <c r="A840" s="171" t="s">
        <v>730</v>
      </c>
      <c r="B840" s="175">
        <v>46047</v>
      </c>
      <c r="C840" s="171" t="s">
        <v>127</v>
      </c>
      <c r="D840" s="171" t="s">
        <v>128</v>
      </c>
      <c r="E840" s="171" t="s">
        <v>38</v>
      </c>
      <c r="F840" s="171" t="s">
        <v>111</v>
      </c>
      <c r="G840" s="171" t="s">
        <v>112</v>
      </c>
      <c r="H840" s="176">
        <v>1</v>
      </c>
      <c r="I840" s="177">
        <v>1670</v>
      </c>
      <c r="J840" s="175">
        <v>46045</v>
      </c>
      <c r="K840" s="171" t="s">
        <v>113</v>
      </c>
      <c r="L840" s="171" t="s">
        <v>114</v>
      </c>
      <c r="M840" s="178">
        <v>0</v>
      </c>
      <c r="N840" s="176"/>
      <c r="O840" s="176"/>
      <c r="P840" s="179">
        <v>797.23</v>
      </c>
    </row>
    <row r="841" spans="1:16" ht="19.5" customHeight="1">
      <c r="A841" s="171" t="s">
        <v>730</v>
      </c>
      <c r="B841" s="175">
        <v>46047</v>
      </c>
      <c r="C841" s="171" t="s">
        <v>127</v>
      </c>
      <c r="D841" s="171" t="s">
        <v>129</v>
      </c>
      <c r="E841" s="171" t="s">
        <v>38</v>
      </c>
      <c r="F841" s="171" t="s">
        <v>111</v>
      </c>
      <c r="G841" s="171" t="s">
        <v>112</v>
      </c>
      <c r="H841" s="176">
        <v>1</v>
      </c>
      <c r="I841" s="177">
        <v>1670</v>
      </c>
      <c r="J841" s="175">
        <v>46045</v>
      </c>
      <c r="K841" s="171" t="s">
        <v>113</v>
      </c>
      <c r="L841" s="171" t="s">
        <v>114</v>
      </c>
      <c r="M841" s="178">
        <v>0</v>
      </c>
      <c r="N841" s="176"/>
      <c r="O841" s="176"/>
      <c r="P841" s="179">
        <v>0</v>
      </c>
    </row>
    <row r="842" spans="1:16" ht="19.5" customHeight="1">
      <c r="A842" s="171" t="s">
        <v>730</v>
      </c>
      <c r="B842" s="175">
        <v>46047</v>
      </c>
      <c r="C842" s="171" t="s">
        <v>127</v>
      </c>
      <c r="D842" s="171" t="s">
        <v>130</v>
      </c>
      <c r="E842" s="171" t="s">
        <v>38</v>
      </c>
      <c r="F842" s="171" t="s">
        <v>111</v>
      </c>
      <c r="G842" s="171" t="s">
        <v>112</v>
      </c>
      <c r="H842" s="176">
        <v>1</v>
      </c>
      <c r="I842" s="177">
        <v>1670</v>
      </c>
      <c r="J842" s="175">
        <v>46045</v>
      </c>
      <c r="K842" s="171" t="s">
        <v>113</v>
      </c>
      <c r="L842" s="171" t="s">
        <v>114</v>
      </c>
      <c r="M842" s="178">
        <v>0</v>
      </c>
      <c r="N842" s="176"/>
      <c r="O842" s="176"/>
      <c r="P842" s="179">
        <v>872.77</v>
      </c>
    </row>
    <row r="843" spans="1:16" ht="19.5" customHeight="1">
      <c r="A843" s="171" t="s">
        <v>730</v>
      </c>
      <c r="B843" s="175">
        <v>46047</v>
      </c>
      <c r="C843" s="171" t="s">
        <v>131</v>
      </c>
      <c r="D843" s="171" t="s">
        <v>132</v>
      </c>
      <c r="E843" s="171" t="s">
        <v>38</v>
      </c>
      <c r="F843" s="171" t="s">
        <v>111</v>
      </c>
      <c r="G843" s="171" t="s">
        <v>112</v>
      </c>
      <c r="H843" s="176">
        <v>1</v>
      </c>
      <c r="I843" s="177">
        <v>1670</v>
      </c>
      <c r="J843" s="175">
        <v>46045</v>
      </c>
      <c r="K843" s="171" t="s">
        <v>113</v>
      </c>
      <c r="L843" s="171" t="s">
        <v>114</v>
      </c>
      <c r="M843" s="178">
        <v>0.43</v>
      </c>
      <c r="N843" s="176"/>
      <c r="O843" s="176"/>
      <c r="P843" s="179">
        <v>-718.1</v>
      </c>
    </row>
    <row r="844" spans="1:16" ht="19.5" customHeight="1">
      <c r="A844" s="171" t="s">
        <v>729</v>
      </c>
      <c r="B844" s="175">
        <v>46047</v>
      </c>
      <c r="C844" s="171" t="s">
        <v>110</v>
      </c>
      <c r="D844" s="171" t="s">
        <v>117</v>
      </c>
      <c r="E844" s="171" t="s">
        <v>44</v>
      </c>
      <c r="F844" s="171" t="s">
        <v>213</v>
      </c>
      <c r="G844" s="171" t="s">
        <v>214</v>
      </c>
      <c r="H844" s="176">
        <v>1</v>
      </c>
      <c r="I844" s="177">
        <v>0</v>
      </c>
      <c r="J844" s="175">
        <v>46042</v>
      </c>
      <c r="K844" s="171" t="s">
        <v>113</v>
      </c>
      <c r="L844" s="171" t="s">
        <v>114</v>
      </c>
      <c r="M844" s="178">
        <v>0</v>
      </c>
      <c r="N844" s="176"/>
      <c r="O844" s="176"/>
      <c r="P844" s="179">
        <v>0</v>
      </c>
    </row>
    <row r="845" spans="1:16" ht="19.5" customHeight="1">
      <c r="A845" s="171" t="s">
        <v>729</v>
      </c>
      <c r="B845" s="175">
        <v>46047</v>
      </c>
      <c r="C845" s="171" t="s">
        <v>110</v>
      </c>
      <c r="D845" s="171" t="s">
        <v>118</v>
      </c>
      <c r="E845" s="171" t="s">
        <v>44</v>
      </c>
      <c r="F845" s="171" t="s">
        <v>213</v>
      </c>
      <c r="G845" s="171" t="s">
        <v>214</v>
      </c>
      <c r="H845" s="176">
        <v>1</v>
      </c>
      <c r="I845" s="177">
        <v>0</v>
      </c>
      <c r="J845" s="175">
        <v>46042</v>
      </c>
      <c r="K845" s="171" t="s">
        <v>113</v>
      </c>
      <c r="L845" s="171" t="s">
        <v>114</v>
      </c>
      <c r="M845" s="178">
        <v>0</v>
      </c>
      <c r="N845" s="176"/>
      <c r="O845" s="176"/>
      <c r="P845" s="179">
        <v>-46.77</v>
      </c>
    </row>
    <row r="846" spans="1:16" ht="19.5" customHeight="1">
      <c r="A846" s="171" t="s">
        <v>566</v>
      </c>
      <c r="B846" s="175">
        <v>46047</v>
      </c>
      <c r="C846" s="171" t="s">
        <v>115</v>
      </c>
      <c r="D846" s="171" t="s">
        <v>135</v>
      </c>
      <c r="E846" s="171" t="s">
        <v>45</v>
      </c>
      <c r="F846" s="171" t="s">
        <v>162</v>
      </c>
      <c r="G846" s="171" t="s">
        <v>163</v>
      </c>
      <c r="H846" s="176">
        <v>1</v>
      </c>
      <c r="I846" s="177">
        <v>0</v>
      </c>
      <c r="J846" s="175">
        <v>46042</v>
      </c>
      <c r="K846" s="171" t="s">
        <v>125</v>
      </c>
      <c r="L846" s="171" t="s">
        <v>125</v>
      </c>
      <c r="M846" s="178">
        <v>0</v>
      </c>
      <c r="N846" s="176"/>
      <c r="O846" s="176"/>
      <c r="P846" s="179">
        <v>7.44</v>
      </c>
    </row>
    <row r="847" spans="1:16" ht="19.5" customHeight="1">
      <c r="A847" s="171" t="s">
        <v>728</v>
      </c>
      <c r="B847" s="175">
        <v>46047</v>
      </c>
      <c r="C847" s="171" t="s">
        <v>115</v>
      </c>
      <c r="D847" s="171" t="s">
        <v>135</v>
      </c>
      <c r="E847" s="171" t="s">
        <v>41</v>
      </c>
      <c r="F847" s="171" t="s">
        <v>138</v>
      </c>
      <c r="G847" s="171" t="s">
        <v>112</v>
      </c>
      <c r="H847" s="176">
        <v>1</v>
      </c>
      <c r="I847" s="177">
        <v>0</v>
      </c>
      <c r="J847" s="175">
        <v>46041</v>
      </c>
      <c r="K847" s="171" t="s">
        <v>125</v>
      </c>
      <c r="L847" s="171" t="s">
        <v>125</v>
      </c>
      <c r="M847" s="178">
        <v>0</v>
      </c>
      <c r="N847" s="176"/>
      <c r="O847" s="176"/>
      <c r="P847" s="179">
        <v>-15.56</v>
      </c>
    </row>
    <row r="848" spans="1:16" ht="19.5" customHeight="1">
      <c r="A848" s="171" t="s">
        <v>731</v>
      </c>
      <c r="B848" s="175">
        <v>46047</v>
      </c>
      <c r="C848" s="171" t="s">
        <v>110</v>
      </c>
      <c r="D848" s="171" t="s">
        <v>24</v>
      </c>
      <c r="E848" s="171" t="s">
        <v>42</v>
      </c>
      <c r="F848" s="171" t="s">
        <v>248</v>
      </c>
      <c r="G848" s="171" t="s">
        <v>112</v>
      </c>
      <c r="H848" s="176">
        <v>1</v>
      </c>
      <c r="I848" s="177">
        <v>1680</v>
      </c>
      <c r="J848" s="175">
        <v>46042</v>
      </c>
      <c r="K848" s="171" t="s">
        <v>113</v>
      </c>
      <c r="L848" s="171" t="s">
        <v>114</v>
      </c>
      <c r="M848" s="178">
        <v>0.43</v>
      </c>
      <c r="N848" s="176"/>
      <c r="O848" s="176">
        <v>52</v>
      </c>
      <c r="P848" s="179">
        <v>-147.99</v>
      </c>
    </row>
    <row r="849" spans="1:16" ht="19.5" customHeight="1">
      <c r="A849" s="171" t="s">
        <v>731</v>
      </c>
      <c r="B849" s="175">
        <v>46047</v>
      </c>
      <c r="C849" s="171" t="s">
        <v>127</v>
      </c>
      <c r="D849" s="171" t="s">
        <v>128</v>
      </c>
      <c r="E849" s="171" t="s">
        <v>42</v>
      </c>
      <c r="F849" s="171" t="s">
        <v>248</v>
      </c>
      <c r="G849" s="171" t="s">
        <v>112</v>
      </c>
      <c r="H849" s="176">
        <v>1</v>
      </c>
      <c r="I849" s="177">
        <v>1680</v>
      </c>
      <c r="J849" s="175">
        <v>46042</v>
      </c>
      <c r="K849" s="171" t="s">
        <v>113</v>
      </c>
      <c r="L849" s="171" t="s">
        <v>114</v>
      </c>
      <c r="M849" s="178">
        <v>0</v>
      </c>
      <c r="N849" s="176"/>
      <c r="O849" s="176"/>
      <c r="P849" s="179">
        <v>836.19</v>
      </c>
    </row>
    <row r="850" spans="1:16" ht="19.5" customHeight="1">
      <c r="A850" s="171" t="s">
        <v>731</v>
      </c>
      <c r="B850" s="175">
        <v>46047</v>
      </c>
      <c r="C850" s="171" t="s">
        <v>127</v>
      </c>
      <c r="D850" s="171" t="s">
        <v>129</v>
      </c>
      <c r="E850" s="171" t="s">
        <v>42</v>
      </c>
      <c r="F850" s="171" t="s">
        <v>248</v>
      </c>
      <c r="G850" s="171" t="s">
        <v>112</v>
      </c>
      <c r="H850" s="176">
        <v>1</v>
      </c>
      <c r="I850" s="177">
        <v>1680</v>
      </c>
      <c r="J850" s="175">
        <v>46042</v>
      </c>
      <c r="K850" s="171" t="s">
        <v>113</v>
      </c>
      <c r="L850" s="171" t="s">
        <v>114</v>
      </c>
      <c r="M850" s="178">
        <v>0</v>
      </c>
      <c r="N850" s="176"/>
      <c r="O850" s="176"/>
      <c r="P850" s="179">
        <v>8.36</v>
      </c>
    </row>
    <row r="851" spans="1:16" ht="19.5" customHeight="1">
      <c r="A851" s="171" t="s">
        <v>731</v>
      </c>
      <c r="B851" s="175">
        <v>46047</v>
      </c>
      <c r="C851" s="171" t="s">
        <v>127</v>
      </c>
      <c r="D851" s="171" t="s">
        <v>130</v>
      </c>
      <c r="E851" s="171" t="s">
        <v>42</v>
      </c>
      <c r="F851" s="171" t="s">
        <v>248</v>
      </c>
      <c r="G851" s="171" t="s">
        <v>112</v>
      </c>
      <c r="H851" s="176">
        <v>1</v>
      </c>
      <c r="I851" s="177">
        <v>1680</v>
      </c>
      <c r="J851" s="175">
        <v>46042</v>
      </c>
      <c r="K851" s="171" t="s">
        <v>113</v>
      </c>
      <c r="L851" s="171" t="s">
        <v>114</v>
      </c>
      <c r="M851" s="178">
        <v>0</v>
      </c>
      <c r="N851" s="176"/>
      <c r="O851" s="176"/>
      <c r="P851" s="179">
        <v>835.45</v>
      </c>
    </row>
    <row r="852" spans="1:16" ht="19.5" customHeight="1">
      <c r="A852" s="171" t="s">
        <v>731</v>
      </c>
      <c r="B852" s="175">
        <v>46047</v>
      </c>
      <c r="C852" s="171" t="s">
        <v>131</v>
      </c>
      <c r="D852" s="171" t="s">
        <v>132</v>
      </c>
      <c r="E852" s="171" t="s">
        <v>42</v>
      </c>
      <c r="F852" s="171" t="s">
        <v>248</v>
      </c>
      <c r="G852" s="171" t="s">
        <v>112</v>
      </c>
      <c r="H852" s="176">
        <v>1</v>
      </c>
      <c r="I852" s="177">
        <v>1680</v>
      </c>
      <c r="J852" s="175">
        <v>46042</v>
      </c>
      <c r="K852" s="171" t="s">
        <v>113</v>
      </c>
      <c r="L852" s="171" t="s">
        <v>114</v>
      </c>
      <c r="M852" s="178">
        <v>0.43</v>
      </c>
      <c r="N852" s="176"/>
      <c r="O852" s="176"/>
      <c r="P852" s="179">
        <v>-722.4</v>
      </c>
    </row>
    <row r="853" spans="1:16" ht="19.5" customHeight="1">
      <c r="A853" s="171" t="s">
        <v>732</v>
      </c>
      <c r="B853" s="175">
        <v>46047</v>
      </c>
      <c r="C853" s="171" t="s">
        <v>110</v>
      </c>
      <c r="D853" s="171" t="s">
        <v>24</v>
      </c>
      <c r="E853" s="171" t="s">
        <v>42</v>
      </c>
      <c r="F853" s="171" t="s">
        <v>248</v>
      </c>
      <c r="G853" s="171" t="s">
        <v>112</v>
      </c>
      <c r="H853" s="176">
        <v>1</v>
      </c>
      <c r="I853" s="177">
        <v>1680</v>
      </c>
      <c r="J853" s="175">
        <v>46043</v>
      </c>
      <c r="K853" s="171" t="s">
        <v>113</v>
      </c>
      <c r="L853" s="171" t="s">
        <v>114</v>
      </c>
      <c r="M853" s="178">
        <v>0.43</v>
      </c>
      <c r="N853" s="176"/>
      <c r="O853" s="176">
        <v>52</v>
      </c>
      <c r="P853" s="179">
        <v>-147.99</v>
      </c>
    </row>
    <row r="854" spans="1:16" ht="19.5" customHeight="1">
      <c r="A854" s="171" t="s">
        <v>732</v>
      </c>
      <c r="B854" s="175">
        <v>46047</v>
      </c>
      <c r="C854" s="171" t="s">
        <v>127</v>
      </c>
      <c r="D854" s="171" t="s">
        <v>128</v>
      </c>
      <c r="E854" s="171" t="s">
        <v>42</v>
      </c>
      <c r="F854" s="171" t="s">
        <v>248</v>
      </c>
      <c r="G854" s="171" t="s">
        <v>112</v>
      </c>
      <c r="H854" s="176">
        <v>1</v>
      </c>
      <c r="I854" s="177">
        <v>1680</v>
      </c>
      <c r="J854" s="175">
        <v>46043</v>
      </c>
      <c r="K854" s="171" t="s">
        <v>113</v>
      </c>
      <c r="L854" s="171" t="s">
        <v>114</v>
      </c>
      <c r="M854" s="178">
        <v>0</v>
      </c>
      <c r="N854" s="176"/>
      <c r="O854" s="176"/>
      <c r="P854" s="179">
        <v>964.76</v>
      </c>
    </row>
    <row r="855" spans="1:16" ht="19.5" customHeight="1">
      <c r="A855" s="171" t="s">
        <v>732</v>
      </c>
      <c r="B855" s="175">
        <v>46047</v>
      </c>
      <c r="C855" s="171" t="s">
        <v>127</v>
      </c>
      <c r="D855" s="171" t="s">
        <v>129</v>
      </c>
      <c r="E855" s="171" t="s">
        <v>42</v>
      </c>
      <c r="F855" s="171" t="s">
        <v>248</v>
      </c>
      <c r="G855" s="171" t="s">
        <v>112</v>
      </c>
      <c r="H855" s="176">
        <v>1</v>
      </c>
      <c r="I855" s="177">
        <v>1680</v>
      </c>
      <c r="J855" s="175">
        <v>46043</v>
      </c>
      <c r="K855" s="171" t="s">
        <v>113</v>
      </c>
      <c r="L855" s="171" t="s">
        <v>114</v>
      </c>
      <c r="M855" s="178">
        <v>0</v>
      </c>
      <c r="N855" s="176"/>
      <c r="O855" s="176"/>
      <c r="P855" s="179">
        <v>9.65</v>
      </c>
    </row>
    <row r="856" spans="1:16" ht="19.5" customHeight="1">
      <c r="A856" s="171" t="s">
        <v>732</v>
      </c>
      <c r="B856" s="175">
        <v>46047</v>
      </c>
      <c r="C856" s="171" t="s">
        <v>127</v>
      </c>
      <c r="D856" s="171" t="s">
        <v>130</v>
      </c>
      <c r="E856" s="171" t="s">
        <v>42</v>
      </c>
      <c r="F856" s="171" t="s">
        <v>248</v>
      </c>
      <c r="G856" s="171" t="s">
        <v>112</v>
      </c>
      <c r="H856" s="176">
        <v>1</v>
      </c>
      <c r="I856" s="177">
        <v>1680</v>
      </c>
      <c r="J856" s="175">
        <v>46043</v>
      </c>
      <c r="K856" s="171" t="s">
        <v>113</v>
      </c>
      <c r="L856" s="171" t="s">
        <v>114</v>
      </c>
      <c r="M856" s="178">
        <v>0</v>
      </c>
      <c r="N856" s="176"/>
      <c r="O856" s="176"/>
      <c r="P856" s="179">
        <v>705.59</v>
      </c>
    </row>
    <row r="857" spans="1:16" ht="19.5" customHeight="1">
      <c r="A857" s="171" t="s">
        <v>732</v>
      </c>
      <c r="B857" s="175">
        <v>46047</v>
      </c>
      <c r="C857" s="171" t="s">
        <v>131</v>
      </c>
      <c r="D857" s="171" t="s">
        <v>132</v>
      </c>
      <c r="E857" s="171" t="s">
        <v>42</v>
      </c>
      <c r="F857" s="171" t="s">
        <v>248</v>
      </c>
      <c r="G857" s="171" t="s">
        <v>112</v>
      </c>
      <c r="H857" s="176">
        <v>1</v>
      </c>
      <c r="I857" s="177">
        <v>1680</v>
      </c>
      <c r="J857" s="175">
        <v>46043</v>
      </c>
      <c r="K857" s="171" t="s">
        <v>113</v>
      </c>
      <c r="L857" s="171" t="s">
        <v>114</v>
      </c>
      <c r="M857" s="178">
        <v>0.43</v>
      </c>
      <c r="N857" s="176"/>
      <c r="O857" s="176"/>
      <c r="P857" s="179">
        <v>-722.4</v>
      </c>
    </row>
    <row r="858" spans="1:16" ht="19.5" customHeight="1">
      <c r="A858" s="171" t="s">
        <v>732</v>
      </c>
      <c r="B858" s="175">
        <v>46047</v>
      </c>
      <c r="C858" s="171" t="s">
        <v>115</v>
      </c>
      <c r="D858" s="171" t="s">
        <v>116</v>
      </c>
      <c r="E858" s="171" t="s">
        <v>42</v>
      </c>
      <c r="F858" s="171" t="s">
        <v>248</v>
      </c>
      <c r="G858" s="171" t="s">
        <v>112</v>
      </c>
      <c r="H858" s="176">
        <v>1</v>
      </c>
      <c r="I858" s="177">
        <v>1680</v>
      </c>
      <c r="J858" s="175">
        <v>46043</v>
      </c>
      <c r="K858" s="171" t="s">
        <v>113</v>
      </c>
      <c r="L858" s="171" t="s">
        <v>114</v>
      </c>
      <c r="M858" s="178">
        <v>0.43</v>
      </c>
      <c r="N858" s="176"/>
      <c r="O858" s="176"/>
      <c r="P858" s="179">
        <v>-8.23</v>
      </c>
    </row>
    <row r="859" spans="1:16" ht="19.5" customHeight="1">
      <c r="A859" s="171" t="s">
        <v>733</v>
      </c>
      <c r="B859" s="175">
        <v>46047</v>
      </c>
      <c r="C859" s="171" t="s">
        <v>115</v>
      </c>
      <c r="D859" s="171" t="s">
        <v>135</v>
      </c>
      <c r="E859" s="171" t="s">
        <v>70</v>
      </c>
      <c r="F859" s="171" t="s">
        <v>509</v>
      </c>
      <c r="G859" s="171" t="s">
        <v>177</v>
      </c>
      <c r="H859" s="176">
        <v>1</v>
      </c>
      <c r="I859" s="177">
        <v>0</v>
      </c>
      <c r="J859" s="175">
        <v>46047</v>
      </c>
      <c r="K859" s="171" t="s">
        <v>125</v>
      </c>
      <c r="L859" s="171" t="s">
        <v>125</v>
      </c>
      <c r="M859" s="178">
        <v>0</v>
      </c>
      <c r="N859" s="176"/>
      <c r="O859" s="176"/>
      <c r="P859" s="179">
        <v>-53.88</v>
      </c>
    </row>
    <row r="860" spans="1:16" ht="19.5" customHeight="1">
      <c r="A860" s="171" t="s">
        <v>731</v>
      </c>
      <c r="B860" s="175">
        <v>46047</v>
      </c>
      <c r="C860" s="171" t="s">
        <v>115</v>
      </c>
      <c r="D860" s="171" t="s">
        <v>135</v>
      </c>
      <c r="E860" s="171" t="s">
        <v>42</v>
      </c>
      <c r="F860" s="171" t="s">
        <v>248</v>
      </c>
      <c r="G860" s="171" t="s">
        <v>112</v>
      </c>
      <c r="H860" s="176">
        <v>1</v>
      </c>
      <c r="I860" s="177">
        <v>0</v>
      </c>
      <c r="J860" s="175">
        <v>46042</v>
      </c>
      <c r="K860" s="171" t="s">
        <v>125</v>
      </c>
      <c r="L860" s="171" t="s">
        <v>125</v>
      </c>
      <c r="M860" s="178">
        <v>0</v>
      </c>
      <c r="N860" s="176"/>
      <c r="O860" s="176"/>
      <c r="P860" s="179">
        <v>-15.89</v>
      </c>
    </row>
    <row r="861" spans="1:16" ht="19.5" customHeight="1">
      <c r="A861" s="171" t="s">
        <v>732</v>
      </c>
      <c r="B861" s="175">
        <v>46047</v>
      </c>
      <c r="C861" s="171" t="s">
        <v>115</v>
      </c>
      <c r="D861" s="171" t="s">
        <v>135</v>
      </c>
      <c r="E861" s="171" t="s">
        <v>42</v>
      </c>
      <c r="F861" s="171" t="s">
        <v>248</v>
      </c>
      <c r="G861" s="171" t="s">
        <v>112</v>
      </c>
      <c r="H861" s="176">
        <v>1</v>
      </c>
      <c r="I861" s="177">
        <v>0</v>
      </c>
      <c r="J861" s="175">
        <v>46043</v>
      </c>
      <c r="K861" s="171" t="s">
        <v>125</v>
      </c>
      <c r="L861" s="171" t="s">
        <v>125</v>
      </c>
      <c r="M861" s="178">
        <v>0</v>
      </c>
      <c r="N861" s="176"/>
      <c r="O861" s="176"/>
      <c r="P861" s="179">
        <v>-18.329999999999998</v>
      </c>
    </row>
    <row r="862" spans="1:16" ht="19.5" customHeight="1">
      <c r="A862" s="171" t="s">
        <v>734</v>
      </c>
      <c r="B862" s="175">
        <v>46047</v>
      </c>
      <c r="C862" s="171" t="s">
        <v>110</v>
      </c>
      <c r="D862" s="171" t="s">
        <v>24</v>
      </c>
      <c r="E862" s="171" t="s">
        <v>44</v>
      </c>
      <c r="F862" s="171" t="s">
        <v>213</v>
      </c>
      <c r="G862" s="171" t="s">
        <v>214</v>
      </c>
      <c r="H862" s="176">
        <v>1</v>
      </c>
      <c r="I862" s="177">
        <v>0</v>
      </c>
      <c r="J862" s="175">
        <v>46041</v>
      </c>
      <c r="K862" s="171" t="s">
        <v>113</v>
      </c>
      <c r="L862" s="171" t="s">
        <v>114</v>
      </c>
      <c r="M862" s="178">
        <v>0</v>
      </c>
      <c r="N862" s="176"/>
      <c r="O862" s="176">
        <v>53</v>
      </c>
      <c r="P862" s="179">
        <v>-46</v>
      </c>
    </row>
    <row r="863" spans="1:16" ht="19.5" customHeight="1">
      <c r="A863" s="171" t="s">
        <v>734</v>
      </c>
      <c r="B863" s="175">
        <v>46047</v>
      </c>
      <c r="C863" s="171" t="s">
        <v>115</v>
      </c>
      <c r="D863" s="171" t="s">
        <v>116</v>
      </c>
      <c r="E863" s="171" t="s">
        <v>44</v>
      </c>
      <c r="F863" s="171" t="s">
        <v>213</v>
      </c>
      <c r="G863" s="171" t="s">
        <v>214</v>
      </c>
      <c r="H863" s="176">
        <v>1</v>
      </c>
      <c r="I863" s="177">
        <v>0</v>
      </c>
      <c r="J863" s="175">
        <v>46041</v>
      </c>
      <c r="K863" s="171" t="s">
        <v>113</v>
      </c>
      <c r="L863" s="171" t="s">
        <v>114</v>
      </c>
      <c r="M863" s="178">
        <v>0</v>
      </c>
      <c r="N863" s="176"/>
      <c r="O863" s="176"/>
      <c r="P863" s="179">
        <v>-9.94</v>
      </c>
    </row>
    <row r="864" spans="1:16" ht="19.5" customHeight="1">
      <c r="A864" s="171" t="s">
        <v>735</v>
      </c>
      <c r="B864" s="175">
        <v>46047</v>
      </c>
      <c r="C864" s="171" t="s">
        <v>115</v>
      </c>
      <c r="D864" s="171" t="s">
        <v>135</v>
      </c>
      <c r="E864" s="171" t="s">
        <v>42</v>
      </c>
      <c r="F864" s="171" t="s">
        <v>248</v>
      </c>
      <c r="G864" s="171" t="s">
        <v>112</v>
      </c>
      <c r="H864" s="176">
        <v>1</v>
      </c>
      <c r="I864" s="177">
        <v>0</v>
      </c>
      <c r="J864" s="175">
        <v>46047</v>
      </c>
      <c r="K864" s="171" t="s">
        <v>125</v>
      </c>
      <c r="L864" s="171" t="s">
        <v>125</v>
      </c>
      <c r="M864" s="178">
        <v>0</v>
      </c>
      <c r="N864" s="176"/>
      <c r="O864" s="176"/>
      <c r="P864" s="179">
        <v>-17.690000000000001</v>
      </c>
    </row>
    <row r="865" spans="1:16" ht="19.5" customHeight="1">
      <c r="A865" s="171" t="s">
        <v>736</v>
      </c>
      <c r="B865" s="175">
        <v>46047</v>
      </c>
      <c r="C865" s="171" t="s">
        <v>110</v>
      </c>
      <c r="D865" s="171" t="s">
        <v>24</v>
      </c>
      <c r="E865" s="171" t="s">
        <v>77</v>
      </c>
      <c r="F865" s="171" t="s">
        <v>194</v>
      </c>
      <c r="G865" s="171" t="s">
        <v>177</v>
      </c>
      <c r="H865" s="176">
        <v>1</v>
      </c>
      <c r="I865" s="177">
        <v>0</v>
      </c>
      <c r="J865" s="175">
        <v>46038</v>
      </c>
      <c r="K865" s="171" t="s">
        <v>113</v>
      </c>
      <c r="L865" s="171" t="s">
        <v>114</v>
      </c>
      <c r="M865" s="178">
        <v>0</v>
      </c>
      <c r="N865" s="176"/>
      <c r="O865" s="176">
        <v>48</v>
      </c>
      <c r="P865" s="179">
        <v>-56.94</v>
      </c>
    </row>
    <row r="866" spans="1:16" ht="19.5" customHeight="1">
      <c r="A866" s="171" t="s">
        <v>736</v>
      </c>
      <c r="B866" s="175">
        <v>46047</v>
      </c>
      <c r="C866" s="171" t="s">
        <v>115</v>
      </c>
      <c r="D866" s="171" t="s">
        <v>116</v>
      </c>
      <c r="E866" s="171" t="s">
        <v>77</v>
      </c>
      <c r="F866" s="171" t="s">
        <v>194</v>
      </c>
      <c r="G866" s="171" t="s">
        <v>177</v>
      </c>
      <c r="H866" s="176">
        <v>1</v>
      </c>
      <c r="I866" s="177">
        <v>0</v>
      </c>
      <c r="J866" s="175">
        <v>46038</v>
      </c>
      <c r="K866" s="171" t="s">
        <v>113</v>
      </c>
      <c r="L866" s="171" t="s">
        <v>114</v>
      </c>
      <c r="M866" s="178">
        <v>0</v>
      </c>
      <c r="N866" s="176"/>
      <c r="O866" s="176"/>
      <c r="P866" s="179">
        <v>-16.88</v>
      </c>
    </row>
    <row r="867" spans="1:16" ht="19.5" customHeight="1">
      <c r="A867" s="171" t="s">
        <v>737</v>
      </c>
      <c r="B867" s="175">
        <v>46047</v>
      </c>
      <c r="C867" s="171" t="s">
        <v>110</v>
      </c>
      <c r="D867" s="171" t="s">
        <v>24</v>
      </c>
      <c r="E867" s="171" t="s">
        <v>38</v>
      </c>
      <c r="F867" s="171" t="s">
        <v>111</v>
      </c>
      <c r="G867" s="171" t="s">
        <v>112</v>
      </c>
      <c r="H867" s="176">
        <v>1</v>
      </c>
      <c r="I867" s="177">
        <v>1670</v>
      </c>
      <c r="J867" s="175">
        <v>46043</v>
      </c>
      <c r="K867" s="171" t="s">
        <v>113</v>
      </c>
      <c r="L867" s="171" t="s">
        <v>114</v>
      </c>
      <c r="M867" s="178">
        <v>0.43</v>
      </c>
      <c r="N867" s="176"/>
      <c r="O867" s="176">
        <v>52</v>
      </c>
      <c r="P867" s="179">
        <v>-147.6</v>
      </c>
    </row>
    <row r="868" spans="1:16" ht="19.5" customHeight="1">
      <c r="A868" s="171" t="s">
        <v>737</v>
      </c>
      <c r="B868" s="175">
        <v>46047</v>
      </c>
      <c r="C868" s="171" t="s">
        <v>127</v>
      </c>
      <c r="D868" s="171" t="s">
        <v>128</v>
      </c>
      <c r="E868" s="171" t="s">
        <v>38</v>
      </c>
      <c r="F868" s="171" t="s">
        <v>111</v>
      </c>
      <c r="G868" s="171" t="s">
        <v>112</v>
      </c>
      <c r="H868" s="176">
        <v>1</v>
      </c>
      <c r="I868" s="177">
        <v>1670</v>
      </c>
      <c r="J868" s="175">
        <v>46043</v>
      </c>
      <c r="K868" s="171" t="s">
        <v>113</v>
      </c>
      <c r="L868" s="171" t="s">
        <v>114</v>
      </c>
      <c r="M868" s="178">
        <v>0</v>
      </c>
      <c r="N868" s="176"/>
      <c r="O868" s="176"/>
      <c r="P868" s="179">
        <v>571.55999999999995</v>
      </c>
    </row>
    <row r="869" spans="1:16" ht="19.5" customHeight="1">
      <c r="A869" s="171" t="s">
        <v>737</v>
      </c>
      <c r="B869" s="175">
        <v>46047</v>
      </c>
      <c r="C869" s="171" t="s">
        <v>127</v>
      </c>
      <c r="D869" s="171" t="s">
        <v>129</v>
      </c>
      <c r="E869" s="171" t="s">
        <v>38</v>
      </c>
      <c r="F869" s="171" t="s">
        <v>111</v>
      </c>
      <c r="G869" s="171" t="s">
        <v>112</v>
      </c>
      <c r="H869" s="176">
        <v>1</v>
      </c>
      <c r="I869" s="177">
        <v>1670</v>
      </c>
      <c r="J869" s="175">
        <v>46043</v>
      </c>
      <c r="K869" s="171" t="s">
        <v>113</v>
      </c>
      <c r="L869" s="171" t="s">
        <v>114</v>
      </c>
      <c r="M869" s="178">
        <v>0</v>
      </c>
      <c r="N869" s="176"/>
      <c r="O869" s="176"/>
      <c r="P869" s="179">
        <v>5.72</v>
      </c>
    </row>
    <row r="870" spans="1:16" ht="19.5" customHeight="1">
      <c r="A870" s="171" t="s">
        <v>737</v>
      </c>
      <c r="B870" s="175">
        <v>46047</v>
      </c>
      <c r="C870" s="171" t="s">
        <v>127</v>
      </c>
      <c r="D870" s="171" t="s">
        <v>130</v>
      </c>
      <c r="E870" s="171" t="s">
        <v>38</v>
      </c>
      <c r="F870" s="171" t="s">
        <v>111</v>
      </c>
      <c r="G870" s="171" t="s">
        <v>112</v>
      </c>
      <c r="H870" s="176">
        <v>1</v>
      </c>
      <c r="I870" s="177">
        <v>1670</v>
      </c>
      <c r="J870" s="175">
        <v>46043</v>
      </c>
      <c r="K870" s="171" t="s">
        <v>113</v>
      </c>
      <c r="L870" s="171" t="s">
        <v>114</v>
      </c>
      <c r="M870" s="178">
        <v>0</v>
      </c>
      <c r="N870" s="176"/>
      <c r="O870" s="176"/>
      <c r="P870" s="179">
        <v>1092.72</v>
      </c>
    </row>
    <row r="871" spans="1:16" ht="19.5" customHeight="1">
      <c r="A871" s="171" t="s">
        <v>737</v>
      </c>
      <c r="B871" s="175">
        <v>46047</v>
      </c>
      <c r="C871" s="171" t="s">
        <v>131</v>
      </c>
      <c r="D871" s="171" t="s">
        <v>132</v>
      </c>
      <c r="E871" s="171" t="s">
        <v>38</v>
      </c>
      <c r="F871" s="171" t="s">
        <v>111</v>
      </c>
      <c r="G871" s="171" t="s">
        <v>112</v>
      </c>
      <c r="H871" s="176">
        <v>1</v>
      </c>
      <c r="I871" s="177">
        <v>1670</v>
      </c>
      <c r="J871" s="175">
        <v>46043</v>
      </c>
      <c r="K871" s="171" t="s">
        <v>113</v>
      </c>
      <c r="L871" s="171" t="s">
        <v>114</v>
      </c>
      <c r="M871" s="178">
        <v>0.43</v>
      </c>
      <c r="N871" s="176"/>
      <c r="O871" s="176"/>
      <c r="P871" s="179">
        <v>-718.1</v>
      </c>
    </row>
    <row r="872" spans="1:16" ht="19.5" customHeight="1">
      <c r="A872" s="171" t="s">
        <v>737</v>
      </c>
      <c r="B872" s="175">
        <v>46047</v>
      </c>
      <c r="C872" s="171" t="s">
        <v>115</v>
      </c>
      <c r="D872" s="171" t="s">
        <v>116</v>
      </c>
      <c r="E872" s="171" t="s">
        <v>38</v>
      </c>
      <c r="F872" s="171" t="s">
        <v>111</v>
      </c>
      <c r="G872" s="171" t="s">
        <v>112</v>
      </c>
      <c r="H872" s="176">
        <v>1</v>
      </c>
      <c r="I872" s="177">
        <v>1670</v>
      </c>
      <c r="J872" s="175">
        <v>46043</v>
      </c>
      <c r="K872" s="171" t="s">
        <v>113</v>
      </c>
      <c r="L872" s="171" t="s">
        <v>114</v>
      </c>
      <c r="M872" s="178">
        <v>0.43</v>
      </c>
      <c r="N872" s="176"/>
      <c r="O872" s="176"/>
      <c r="P872" s="179">
        <v>-8.25</v>
      </c>
    </row>
    <row r="873" spans="1:16" ht="19.5" customHeight="1">
      <c r="A873" s="171" t="s">
        <v>734</v>
      </c>
      <c r="B873" s="175">
        <v>46047</v>
      </c>
      <c r="C873" s="171" t="s">
        <v>110</v>
      </c>
      <c r="D873" s="171" t="s">
        <v>117</v>
      </c>
      <c r="E873" s="171" t="s">
        <v>44</v>
      </c>
      <c r="F873" s="171" t="s">
        <v>213</v>
      </c>
      <c r="G873" s="171" t="s">
        <v>214</v>
      </c>
      <c r="H873" s="176">
        <v>1</v>
      </c>
      <c r="I873" s="177">
        <v>0</v>
      </c>
      <c r="J873" s="175">
        <v>46041</v>
      </c>
      <c r="K873" s="171" t="s">
        <v>113</v>
      </c>
      <c r="L873" s="171" t="s">
        <v>114</v>
      </c>
      <c r="M873" s="178">
        <v>0</v>
      </c>
      <c r="N873" s="176"/>
      <c r="O873" s="176"/>
      <c r="P873" s="179">
        <v>0</v>
      </c>
    </row>
    <row r="874" spans="1:16" ht="19.5" customHeight="1">
      <c r="A874" s="171" t="s">
        <v>734</v>
      </c>
      <c r="B874" s="175">
        <v>46047</v>
      </c>
      <c r="C874" s="171" t="s">
        <v>110</v>
      </c>
      <c r="D874" s="171" t="s">
        <v>118</v>
      </c>
      <c r="E874" s="171" t="s">
        <v>44</v>
      </c>
      <c r="F874" s="171" t="s">
        <v>213</v>
      </c>
      <c r="G874" s="171" t="s">
        <v>214</v>
      </c>
      <c r="H874" s="176">
        <v>1</v>
      </c>
      <c r="I874" s="177">
        <v>0</v>
      </c>
      <c r="J874" s="175">
        <v>46041</v>
      </c>
      <c r="K874" s="171" t="s">
        <v>113</v>
      </c>
      <c r="L874" s="171" t="s">
        <v>114</v>
      </c>
      <c r="M874" s="178">
        <v>0</v>
      </c>
      <c r="N874" s="176"/>
      <c r="O874" s="176"/>
      <c r="P874" s="179">
        <v>-81.34</v>
      </c>
    </row>
    <row r="875" spans="1:16" ht="19.5" customHeight="1">
      <c r="A875" s="171" t="s">
        <v>734</v>
      </c>
      <c r="B875" s="175">
        <v>46047</v>
      </c>
      <c r="C875" s="171" t="s">
        <v>115</v>
      </c>
      <c r="D875" s="171" t="s">
        <v>119</v>
      </c>
      <c r="E875" s="171" t="s">
        <v>44</v>
      </c>
      <c r="F875" s="171" t="s">
        <v>213</v>
      </c>
      <c r="G875" s="171" t="s">
        <v>214</v>
      </c>
      <c r="H875" s="176">
        <v>1</v>
      </c>
      <c r="I875" s="177">
        <v>0</v>
      </c>
      <c r="J875" s="175">
        <v>46041</v>
      </c>
      <c r="K875" s="171" t="s">
        <v>113</v>
      </c>
      <c r="L875" s="171" t="s">
        <v>114</v>
      </c>
      <c r="M875" s="178">
        <v>0</v>
      </c>
      <c r="N875" s="176"/>
      <c r="O875" s="176"/>
      <c r="P875" s="179">
        <v>-15</v>
      </c>
    </row>
    <row r="876" spans="1:16" ht="19.5" customHeight="1">
      <c r="A876" s="171" t="s">
        <v>609</v>
      </c>
      <c r="B876" s="175">
        <v>46047</v>
      </c>
      <c r="C876" s="171" t="s">
        <v>308</v>
      </c>
      <c r="D876" s="171" t="s">
        <v>419</v>
      </c>
      <c r="E876" s="171" t="s">
        <v>78</v>
      </c>
      <c r="F876" s="171" t="s">
        <v>176</v>
      </c>
      <c r="G876" s="171" t="s">
        <v>177</v>
      </c>
      <c r="H876" s="176">
        <v>1</v>
      </c>
      <c r="I876" s="177">
        <v>-4940</v>
      </c>
      <c r="J876" s="175">
        <v>46039</v>
      </c>
      <c r="K876" s="171" t="s">
        <v>113</v>
      </c>
      <c r="L876" s="171" t="s">
        <v>114</v>
      </c>
      <c r="M876" s="178">
        <v>0</v>
      </c>
      <c r="N876" s="176"/>
      <c r="O876" s="176"/>
      <c r="P876" s="179">
        <v>-2116.59</v>
      </c>
    </row>
    <row r="877" spans="1:16" ht="19.5" customHeight="1">
      <c r="A877" s="171" t="s">
        <v>609</v>
      </c>
      <c r="B877" s="175">
        <v>46047</v>
      </c>
      <c r="C877" s="171" t="s">
        <v>308</v>
      </c>
      <c r="D877" s="171" t="s">
        <v>129</v>
      </c>
      <c r="E877" s="171" t="s">
        <v>78</v>
      </c>
      <c r="F877" s="171" t="s">
        <v>176</v>
      </c>
      <c r="G877" s="171" t="s">
        <v>177</v>
      </c>
      <c r="H877" s="176">
        <v>1</v>
      </c>
      <c r="I877" s="177">
        <v>-4940</v>
      </c>
      <c r="J877" s="175">
        <v>46039</v>
      </c>
      <c r="K877" s="171" t="s">
        <v>113</v>
      </c>
      <c r="L877" s="171" t="s">
        <v>114</v>
      </c>
      <c r="M877" s="178">
        <v>0</v>
      </c>
      <c r="N877" s="176"/>
      <c r="O877" s="176"/>
      <c r="P877" s="179">
        <v>-21.17</v>
      </c>
    </row>
    <row r="878" spans="1:16" ht="19.5" customHeight="1">
      <c r="A878" s="171" t="s">
        <v>609</v>
      </c>
      <c r="B878" s="175">
        <v>46047</v>
      </c>
      <c r="C878" s="171" t="s">
        <v>308</v>
      </c>
      <c r="D878" s="171" t="s">
        <v>130</v>
      </c>
      <c r="E878" s="171" t="s">
        <v>78</v>
      </c>
      <c r="F878" s="171" t="s">
        <v>176</v>
      </c>
      <c r="G878" s="171" t="s">
        <v>177</v>
      </c>
      <c r="H878" s="176">
        <v>1</v>
      </c>
      <c r="I878" s="177">
        <v>-4940</v>
      </c>
      <c r="J878" s="175">
        <v>46039</v>
      </c>
      <c r="K878" s="171" t="s">
        <v>113</v>
      </c>
      <c r="L878" s="171" t="s">
        <v>114</v>
      </c>
      <c r="M878" s="178">
        <v>0</v>
      </c>
      <c r="N878" s="176"/>
      <c r="O878" s="176"/>
      <c r="P878" s="179">
        <v>-2802.24</v>
      </c>
    </row>
    <row r="879" spans="1:16" ht="19.5" customHeight="1">
      <c r="A879" s="171" t="s">
        <v>609</v>
      </c>
      <c r="B879" s="175">
        <v>46047</v>
      </c>
      <c r="C879" s="171" t="s">
        <v>131</v>
      </c>
      <c r="D879" s="171" t="s">
        <v>420</v>
      </c>
      <c r="E879" s="171" t="s">
        <v>78</v>
      </c>
      <c r="F879" s="171" t="s">
        <v>176</v>
      </c>
      <c r="G879" s="171" t="s">
        <v>177</v>
      </c>
      <c r="H879" s="176">
        <v>1</v>
      </c>
      <c r="I879" s="177">
        <v>-4940</v>
      </c>
      <c r="J879" s="175">
        <v>46039</v>
      </c>
      <c r="K879" s="171" t="s">
        <v>113</v>
      </c>
      <c r="L879" s="171" t="s">
        <v>114</v>
      </c>
      <c r="M879" s="178">
        <v>0.43</v>
      </c>
      <c r="N879" s="176"/>
      <c r="O879" s="176"/>
      <c r="P879" s="179">
        <v>2124.1999999999998</v>
      </c>
    </row>
    <row r="880" spans="1:16" ht="19.5" customHeight="1">
      <c r="A880" s="171" t="s">
        <v>736</v>
      </c>
      <c r="B880" s="175">
        <v>46047</v>
      </c>
      <c r="C880" s="171" t="s">
        <v>110</v>
      </c>
      <c r="D880" s="171" t="s">
        <v>117</v>
      </c>
      <c r="E880" s="171" t="s">
        <v>77</v>
      </c>
      <c r="F880" s="171" t="s">
        <v>194</v>
      </c>
      <c r="G880" s="171" t="s">
        <v>177</v>
      </c>
      <c r="H880" s="176">
        <v>1</v>
      </c>
      <c r="I880" s="177">
        <v>0</v>
      </c>
      <c r="J880" s="175">
        <v>46038</v>
      </c>
      <c r="K880" s="171" t="s">
        <v>113</v>
      </c>
      <c r="L880" s="171" t="s">
        <v>114</v>
      </c>
      <c r="M880" s="178">
        <v>0</v>
      </c>
      <c r="N880" s="176"/>
      <c r="O880" s="176"/>
      <c r="P880" s="179">
        <v>0</v>
      </c>
    </row>
    <row r="881" spans="1:16" ht="19.5" customHeight="1">
      <c r="A881" s="171" t="s">
        <v>736</v>
      </c>
      <c r="B881" s="175">
        <v>46047</v>
      </c>
      <c r="C881" s="171" t="s">
        <v>110</v>
      </c>
      <c r="D881" s="171" t="s">
        <v>118</v>
      </c>
      <c r="E881" s="171" t="s">
        <v>77</v>
      </c>
      <c r="F881" s="171" t="s">
        <v>194</v>
      </c>
      <c r="G881" s="171" t="s">
        <v>177</v>
      </c>
      <c r="H881" s="176">
        <v>1</v>
      </c>
      <c r="I881" s="177">
        <v>0</v>
      </c>
      <c r="J881" s="175">
        <v>46038</v>
      </c>
      <c r="K881" s="171" t="s">
        <v>113</v>
      </c>
      <c r="L881" s="171" t="s">
        <v>114</v>
      </c>
      <c r="M881" s="178">
        <v>0</v>
      </c>
      <c r="N881" s="176"/>
      <c r="O881" s="176"/>
      <c r="P881" s="179">
        <v>-56.94</v>
      </c>
    </row>
    <row r="882" spans="1:16" ht="19.5" customHeight="1">
      <c r="A882" s="171" t="s">
        <v>736</v>
      </c>
      <c r="B882" s="175">
        <v>46047</v>
      </c>
      <c r="C882" s="171" t="s">
        <v>115</v>
      </c>
      <c r="D882" s="171" t="s">
        <v>119</v>
      </c>
      <c r="E882" s="171" t="s">
        <v>77</v>
      </c>
      <c r="F882" s="171" t="s">
        <v>194</v>
      </c>
      <c r="G882" s="171" t="s">
        <v>177</v>
      </c>
      <c r="H882" s="176">
        <v>1</v>
      </c>
      <c r="I882" s="177">
        <v>0</v>
      </c>
      <c r="J882" s="175">
        <v>46038</v>
      </c>
      <c r="K882" s="171" t="s">
        <v>113</v>
      </c>
      <c r="L882" s="171" t="s">
        <v>114</v>
      </c>
      <c r="M882" s="178">
        <v>0</v>
      </c>
      <c r="N882" s="176"/>
      <c r="O882" s="176"/>
      <c r="P882" s="179">
        <v>-15</v>
      </c>
    </row>
    <row r="883" spans="1:16" ht="19.5" customHeight="1">
      <c r="A883" s="171" t="s">
        <v>609</v>
      </c>
      <c r="B883" s="175">
        <v>46047</v>
      </c>
      <c r="C883" s="171" t="s">
        <v>115</v>
      </c>
      <c r="D883" s="171" t="s">
        <v>135</v>
      </c>
      <c r="E883" s="171" t="s">
        <v>78</v>
      </c>
      <c r="F883" s="171" t="s">
        <v>176</v>
      </c>
      <c r="G883" s="171" t="s">
        <v>177</v>
      </c>
      <c r="H883" s="176">
        <v>1</v>
      </c>
      <c r="I883" s="177">
        <v>0</v>
      </c>
      <c r="J883" s="175">
        <v>46039</v>
      </c>
      <c r="K883" s="171" t="s">
        <v>125</v>
      </c>
      <c r="L883" s="171" t="s">
        <v>125</v>
      </c>
      <c r="M883" s="178">
        <v>0</v>
      </c>
      <c r="N883" s="176"/>
      <c r="O883" s="176"/>
      <c r="P883" s="179">
        <v>40.22</v>
      </c>
    </row>
    <row r="884" spans="1:16" ht="19.5" customHeight="1">
      <c r="A884" s="171" t="s">
        <v>738</v>
      </c>
      <c r="B884" s="175">
        <v>46047</v>
      </c>
      <c r="C884" s="171" t="s">
        <v>110</v>
      </c>
      <c r="D884" s="171" t="s">
        <v>24</v>
      </c>
      <c r="E884" s="171" t="s">
        <v>42</v>
      </c>
      <c r="F884" s="171" t="s">
        <v>248</v>
      </c>
      <c r="G884" s="171" t="s">
        <v>112</v>
      </c>
      <c r="H884" s="176">
        <v>1</v>
      </c>
      <c r="I884" s="177">
        <v>0</v>
      </c>
      <c r="J884" s="175">
        <v>46043</v>
      </c>
      <c r="K884" s="171" t="s">
        <v>113</v>
      </c>
      <c r="L884" s="171" t="s">
        <v>114</v>
      </c>
      <c r="M884" s="178">
        <v>0</v>
      </c>
      <c r="N884" s="176"/>
      <c r="O884" s="176">
        <v>52</v>
      </c>
      <c r="P884" s="179">
        <v>-46.77</v>
      </c>
    </row>
    <row r="885" spans="1:16" ht="19.5" customHeight="1">
      <c r="A885" s="171" t="s">
        <v>738</v>
      </c>
      <c r="B885" s="175">
        <v>46047</v>
      </c>
      <c r="C885" s="171" t="s">
        <v>115</v>
      </c>
      <c r="D885" s="171" t="s">
        <v>116</v>
      </c>
      <c r="E885" s="171" t="s">
        <v>42</v>
      </c>
      <c r="F885" s="171" t="s">
        <v>248</v>
      </c>
      <c r="G885" s="171" t="s">
        <v>112</v>
      </c>
      <c r="H885" s="176">
        <v>1</v>
      </c>
      <c r="I885" s="177">
        <v>0</v>
      </c>
      <c r="J885" s="175">
        <v>46043</v>
      </c>
      <c r="K885" s="171" t="s">
        <v>113</v>
      </c>
      <c r="L885" s="171" t="s">
        <v>114</v>
      </c>
      <c r="M885" s="178">
        <v>0</v>
      </c>
      <c r="N885" s="176"/>
      <c r="O885" s="176"/>
      <c r="P885" s="179">
        <v>-21.82</v>
      </c>
    </row>
    <row r="886" spans="1:16" ht="19.5" customHeight="1">
      <c r="A886" s="171" t="s">
        <v>738</v>
      </c>
      <c r="B886" s="175">
        <v>46047</v>
      </c>
      <c r="C886" s="171" t="s">
        <v>110</v>
      </c>
      <c r="D886" s="171" t="s">
        <v>117</v>
      </c>
      <c r="E886" s="171" t="s">
        <v>42</v>
      </c>
      <c r="F886" s="171" t="s">
        <v>248</v>
      </c>
      <c r="G886" s="171" t="s">
        <v>112</v>
      </c>
      <c r="H886" s="176">
        <v>1</v>
      </c>
      <c r="I886" s="177">
        <v>0</v>
      </c>
      <c r="J886" s="175">
        <v>46043</v>
      </c>
      <c r="K886" s="171" t="s">
        <v>113</v>
      </c>
      <c r="L886" s="171" t="s">
        <v>114</v>
      </c>
      <c r="M886" s="178">
        <v>0</v>
      </c>
      <c r="N886" s="176"/>
      <c r="O886" s="176"/>
      <c r="P886" s="179">
        <v>0</v>
      </c>
    </row>
    <row r="887" spans="1:16" ht="19.5" customHeight="1">
      <c r="A887" s="171" t="s">
        <v>738</v>
      </c>
      <c r="B887" s="175">
        <v>46047</v>
      </c>
      <c r="C887" s="171" t="s">
        <v>110</v>
      </c>
      <c r="D887" s="171" t="s">
        <v>118</v>
      </c>
      <c r="E887" s="171" t="s">
        <v>42</v>
      </c>
      <c r="F887" s="171" t="s">
        <v>248</v>
      </c>
      <c r="G887" s="171" t="s">
        <v>112</v>
      </c>
      <c r="H887" s="176">
        <v>1</v>
      </c>
      <c r="I887" s="177">
        <v>0</v>
      </c>
      <c r="J887" s="175">
        <v>46043</v>
      </c>
      <c r="K887" s="171" t="s">
        <v>113</v>
      </c>
      <c r="L887" s="171" t="s">
        <v>114</v>
      </c>
      <c r="M887" s="178">
        <v>0</v>
      </c>
      <c r="N887" s="176"/>
      <c r="O887" s="176"/>
      <c r="P887" s="179">
        <v>-46.77</v>
      </c>
    </row>
    <row r="888" spans="1:16" ht="19.5" customHeight="1">
      <c r="A888" s="171" t="s">
        <v>738</v>
      </c>
      <c r="B888" s="175">
        <v>46047</v>
      </c>
      <c r="C888" s="171" t="s">
        <v>115</v>
      </c>
      <c r="D888" s="171" t="s">
        <v>119</v>
      </c>
      <c r="E888" s="171" t="s">
        <v>42</v>
      </c>
      <c r="F888" s="171" t="s">
        <v>248</v>
      </c>
      <c r="G888" s="171" t="s">
        <v>112</v>
      </c>
      <c r="H888" s="176">
        <v>1</v>
      </c>
      <c r="I888" s="177">
        <v>0</v>
      </c>
      <c r="J888" s="175">
        <v>46043</v>
      </c>
      <c r="K888" s="171" t="s">
        <v>113</v>
      </c>
      <c r="L888" s="171" t="s">
        <v>114</v>
      </c>
      <c r="M888" s="178">
        <v>0</v>
      </c>
      <c r="N888" s="176"/>
      <c r="O888" s="176"/>
      <c r="P888" s="179">
        <v>-15</v>
      </c>
    </row>
    <row r="889" spans="1:16" ht="19.5" customHeight="1">
      <c r="A889" s="171" t="s">
        <v>739</v>
      </c>
      <c r="B889" s="175">
        <v>46047</v>
      </c>
      <c r="C889" s="171" t="s">
        <v>110</v>
      </c>
      <c r="D889" s="171" t="s">
        <v>24</v>
      </c>
      <c r="E889" s="171" t="s">
        <v>38</v>
      </c>
      <c r="F889" s="171" t="s">
        <v>111</v>
      </c>
      <c r="G889" s="171" t="s">
        <v>112</v>
      </c>
      <c r="H889" s="176">
        <v>1</v>
      </c>
      <c r="I889" s="177">
        <v>0</v>
      </c>
      <c r="J889" s="175">
        <v>46036</v>
      </c>
      <c r="K889" s="171" t="s">
        <v>113</v>
      </c>
      <c r="L889" s="171" t="s">
        <v>114</v>
      </c>
      <c r="M889" s="178">
        <v>0</v>
      </c>
      <c r="N889" s="176"/>
      <c r="O889" s="176">
        <v>44</v>
      </c>
      <c r="P889" s="179">
        <v>-46.77</v>
      </c>
    </row>
    <row r="890" spans="1:16" ht="19.5" customHeight="1">
      <c r="A890" s="171" t="s">
        <v>739</v>
      </c>
      <c r="B890" s="175">
        <v>46047</v>
      </c>
      <c r="C890" s="171" t="s">
        <v>115</v>
      </c>
      <c r="D890" s="171" t="s">
        <v>116</v>
      </c>
      <c r="E890" s="171" t="s">
        <v>38</v>
      </c>
      <c r="F890" s="171" t="s">
        <v>111</v>
      </c>
      <c r="G890" s="171" t="s">
        <v>112</v>
      </c>
      <c r="H890" s="176">
        <v>1</v>
      </c>
      <c r="I890" s="177">
        <v>0</v>
      </c>
      <c r="J890" s="175">
        <v>46036</v>
      </c>
      <c r="K890" s="171" t="s">
        <v>113</v>
      </c>
      <c r="L890" s="171" t="s">
        <v>114</v>
      </c>
      <c r="M890" s="178">
        <v>0</v>
      </c>
      <c r="N890" s="176"/>
      <c r="O890" s="176"/>
      <c r="P890" s="179">
        <v>-7.37</v>
      </c>
    </row>
    <row r="891" spans="1:16" ht="19.5" customHeight="1">
      <c r="A891" s="171" t="s">
        <v>739</v>
      </c>
      <c r="B891" s="175">
        <v>46047</v>
      </c>
      <c r="C891" s="171" t="s">
        <v>110</v>
      </c>
      <c r="D891" s="171" t="s">
        <v>117</v>
      </c>
      <c r="E891" s="171" t="s">
        <v>38</v>
      </c>
      <c r="F891" s="171" t="s">
        <v>111</v>
      </c>
      <c r="G891" s="171" t="s">
        <v>112</v>
      </c>
      <c r="H891" s="176">
        <v>1</v>
      </c>
      <c r="I891" s="177">
        <v>0</v>
      </c>
      <c r="J891" s="175">
        <v>46036</v>
      </c>
      <c r="K891" s="171" t="s">
        <v>113</v>
      </c>
      <c r="L891" s="171" t="s">
        <v>114</v>
      </c>
      <c r="M891" s="178">
        <v>0</v>
      </c>
      <c r="N891" s="176"/>
      <c r="O891" s="176"/>
      <c r="P891" s="179">
        <v>0</v>
      </c>
    </row>
    <row r="892" spans="1:16" ht="19.5" customHeight="1">
      <c r="A892" s="171" t="s">
        <v>739</v>
      </c>
      <c r="B892" s="175">
        <v>46047</v>
      </c>
      <c r="C892" s="171" t="s">
        <v>110</v>
      </c>
      <c r="D892" s="171" t="s">
        <v>118</v>
      </c>
      <c r="E892" s="171" t="s">
        <v>38</v>
      </c>
      <c r="F892" s="171" t="s">
        <v>111</v>
      </c>
      <c r="G892" s="171" t="s">
        <v>112</v>
      </c>
      <c r="H892" s="176">
        <v>1</v>
      </c>
      <c r="I892" s="177">
        <v>0</v>
      </c>
      <c r="J892" s="175">
        <v>46036</v>
      </c>
      <c r="K892" s="171" t="s">
        <v>113</v>
      </c>
      <c r="L892" s="171" t="s">
        <v>114</v>
      </c>
      <c r="M892" s="178">
        <v>0</v>
      </c>
      <c r="N892" s="176"/>
      <c r="O892" s="176"/>
      <c r="P892" s="179">
        <v>-46.77</v>
      </c>
    </row>
    <row r="893" spans="1:16" ht="19.5" customHeight="1">
      <c r="A893" s="171" t="s">
        <v>740</v>
      </c>
      <c r="B893" s="175">
        <v>46047</v>
      </c>
      <c r="C893" s="171" t="s">
        <v>110</v>
      </c>
      <c r="D893" s="171" t="s">
        <v>24</v>
      </c>
      <c r="E893" s="171" t="s">
        <v>77</v>
      </c>
      <c r="F893" s="171" t="s">
        <v>194</v>
      </c>
      <c r="G893" s="171" t="s">
        <v>177</v>
      </c>
      <c r="H893" s="176">
        <v>1</v>
      </c>
      <c r="I893" s="177">
        <v>4178</v>
      </c>
      <c r="J893" s="175">
        <v>46044</v>
      </c>
      <c r="K893" s="171" t="s">
        <v>113</v>
      </c>
      <c r="L893" s="171" t="s">
        <v>114</v>
      </c>
      <c r="M893" s="178">
        <v>0.43</v>
      </c>
      <c r="N893" s="176"/>
      <c r="O893" s="176">
        <v>54</v>
      </c>
      <c r="P893" s="179">
        <v>-265.36</v>
      </c>
    </row>
    <row r="894" spans="1:16" ht="19.5" customHeight="1">
      <c r="A894" s="171" t="s">
        <v>740</v>
      </c>
      <c r="B894" s="175">
        <v>46047</v>
      </c>
      <c r="C894" s="171" t="s">
        <v>127</v>
      </c>
      <c r="D894" s="171" t="s">
        <v>128</v>
      </c>
      <c r="E894" s="171" t="s">
        <v>77</v>
      </c>
      <c r="F894" s="171" t="s">
        <v>194</v>
      </c>
      <c r="G894" s="171" t="s">
        <v>177</v>
      </c>
      <c r="H894" s="176">
        <v>1</v>
      </c>
      <c r="I894" s="177">
        <v>4178</v>
      </c>
      <c r="J894" s="175">
        <v>46044</v>
      </c>
      <c r="K894" s="171" t="s">
        <v>113</v>
      </c>
      <c r="L894" s="171" t="s">
        <v>114</v>
      </c>
      <c r="M894" s="178">
        <v>0</v>
      </c>
      <c r="N894" s="176"/>
      <c r="O894" s="176"/>
      <c r="P894" s="179">
        <v>1620.62</v>
      </c>
    </row>
    <row r="895" spans="1:16" ht="19.5" customHeight="1">
      <c r="A895" s="171" t="s">
        <v>740</v>
      </c>
      <c r="B895" s="175">
        <v>46047</v>
      </c>
      <c r="C895" s="171" t="s">
        <v>127</v>
      </c>
      <c r="D895" s="171" t="s">
        <v>129</v>
      </c>
      <c r="E895" s="171" t="s">
        <v>77</v>
      </c>
      <c r="F895" s="171" t="s">
        <v>194</v>
      </c>
      <c r="G895" s="171" t="s">
        <v>177</v>
      </c>
      <c r="H895" s="176">
        <v>1</v>
      </c>
      <c r="I895" s="177">
        <v>4178</v>
      </c>
      <c r="J895" s="175">
        <v>46044</v>
      </c>
      <c r="K895" s="171" t="s">
        <v>113</v>
      </c>
      <c r="L895" s="171" t="s">
        <v>114</v>
      </c>
      <c r="M895" s="178">
        <v>0</v>
      </c>
      <c r="N895" s="176"/>
      <c r="O895" s="176"/>
      <c r="P895" s="179">
        <v>16.21</v>
      </c>
    </row>
    <row r="896" spans="1:16" ht="19.5" customHeight="1">
      <c r="A896" s="171" t="s">
        <v>740</v>
      </c>
      <c r="B896" s="175">
        <v>46047</v>
      </c>
      <c r="C896" s="171" t="s">
        <v>127</v>
      </c>
      <c r="D896" s="171" t="s">
        <v>130</v>
      </c>
      <c r="E896" s="171" t="s">
        <v>77</v>
      </c>
      <c r="F896" s="171" t="s">
        <v>194</v>
      </c>
      <c r="G896" s="171" t="s">
        <v>177</v>
      </c>
      <c r="H896" s="176">
        <v>1</v>
      </c>
      <c r="I896" s="177">
        <v>4178</v>
      </c>
      <c r="J896" s="175">
        <v>46044</v>
      </c>
      <c r="K896" s="171" t="s">
        <v>113</v>
      </c>
      <c r="L896" s="171" t="s">
        <v>114</v>
      </c>
      <c r="M896" s="178">
        <v>0</v>
      </c>
      <c r="N896" s="176"/>
      <c r="O896" s="176"/>
      <c r="P896" s="179">
        <v>2541.17</v>
      </c>
    </row>
    <row r="897" spans="1:16" ht="19.5" customHeight="1">
      <c r="A897" s="171" t="s">
        <v>740</v>
      </c>
      <c r="B897" s="175">
        <v>46047</v>
      </c>
      <c r="C897" s="171" t="s">
        <v>131</v>
      </c>
      <c r="D897" s="171" t="s">
        <v>132</v>
      </c>
      <c r="E897" s="171" t="s">
        <v>77</v>
      </c>
      <c r="F897" s="171" t="s">
        <v>194</v>
      </c>
      <c r="G897" s="171" t="s">
        <v>177</v>
      </c>
      <c r="H897" s="176">
        <v>1</v>
      </c>
      <c r="I897" s="177">
        <v>4178</v>
      </c>
      <c r="J897" s="175">
        <v>46044</v>
      </c>
      <c r="K897" s="171" t="s">
        <v>113</v>
      </c>
      <c r="L897" s="171" t="s">
        <v>114</v>
      </c>
      <c r="M897" s="178">
        <v>0.43</v>
      </c>
      <c r="N897" s="176"/>
      <c r="O897" s="176"/>
      <c r="P897" s="179">
        <v>-1796.54</v>
      </c>
    </row>
    <row r="898" spans="1:16" ht="19.5" customHeight="1">
      <c r="A898" s="171" t="s">
        <v>740</v>
      </c>
      <c r="B898" s="175">
        <v>46047</v>
      </c>
      <c r="C898" s="171" t="s">
        <v>115</v>
      </c>
      <c r="D898" s="171" t="s">
        <v>116</v>
      </c>
      <c r="E898" s="171" t="s">
        <v>77</v>
      </c>
      <c r="F898" s="171" t="s">
        <v>194</v>
      </c>
      <c r="G898" s="171" t="s">
        <v>177</v>
      </c>
      <c r="H898" s="176">
        <v>1</v>
      </c>
      <c r="I898" s="177">
        <v>4178</v>
      </c>
      <c r="J898" s="175">
        <v>46044</v>
      </c>
      <c r="K898" s="171" t="s">
        <v>113</v>
      </c>
      <c r="L898" s="171" t="s">
        <v>114</v>
      </c>
      <c r="M898" s="178">
        <v>0.43</v>
      </c>
      <c r="N898" s="176"/>
      <c r="O898" s="176"/>
      <c r="P898" s="179">
        <v>-13.01</v>
      </c>
    </row>
    <row r="899" spans="1:16" ht="19.5" customHeight="1">
      <c r="A899" s="171" t="s">
        <v>740</v>
      </c>
      <c r="B899" s="175">
        <v>46047</v>
      </c>
      <c r="C899" s="171" t="s">
        <v>115</v>
      </c>
      <c r="D899" s="171" t="s">
        <v>135</v>
      </c>
      <c r="E899" s="171" t="s">
        <v>77</v>
      </c>
      <c r="F899" s="171" t="s">
        <v>194</v>
      </c>
      <c r="G899" s="171" t="s">
        <v>177</v>
      </c>
      <c r="H899" s="176">
        <v>1</v>
      </c>
      <c r="I899" s="177">
        <v>0</v>
      </c>
      <c r="J899" s="175">
        <v>46044</v>
      </c>
      <c r="K899" s="171" t="s">
        <v>125</v>
      </c>
      <c r="L899" s="171" t="s">
        <v>125</v>
      </c>
      <c r="M899" s="178">
        <v>0</v>
      </c>
      <c r="N899" s="176"/>
      <c r="O899" s="176"/>
      <c r="P899" s="179">
        <v>-30.79</v>
      </c>
    </row>
    <row r="900" spans="1:16" ht="19.5" customHeight="1">
      <c r="A900" s="171" t="s">
        <v>741</v>
      </c>
      <c r="B900" s="175">
        <v>46047</v>
      </c>
      <c r="C900" s="171" t="s">
        <v>115</v>
      </c>
      <c r="D900" s="171" t="s">
        <v>135</v>
      </c>
      <c r="E900" s="171" t="s">
        <v>38</v>
      </c>
      <c r="F900" s="171" t="s">
        <v>111</v>
      </c>
      <c r="G900" s="171" t="s">
        <v>112</v>
      </c>
      <c r="H900" s="176">
        <v>1</v>
      </c>
      <c r="I900" s="177">
        <v>0</v>
      </c>
      <c r="J900" s="175">
        <v>46047</v>
      </c>
      <c r="K900" s="171" t="s">
        <v>125</v>
      </c>
      <c r="L900" s="171" t="s">
        <v>125</v>
      </c>
      <c r="M900" s="178">
        <v>0</v>
      </c>
      <c r="N900" s="176"/>
      <c r="O900" s="176"/>
      <c r="P900" s="179">
        <v>-7.93</v>
      </c>
    </row>
    <row r="901" spans="1:16" ht="19.5" customHeight="1">
      <c r="A901" s="171" t="s">
        <v>742</v>
      </c>
      <c r="B901" s="175">
        <v>46047</v>
      </c>
      <c r="C901" s="171" t="s">
        <v>115</v>
      </c>
      <c r="D901" s="171" t="s">
        <v>135</v>
      </c>
      <c r="E901" s="171" t="s">
        <v>38</v>
      </c>
      <c r="F901" s="171" t="s">
        <v>111</v>
      </c>
      <c r="G901" s="171" t="s">
        <v>112</v>
      </c>
      <c r="H901" s="176">
        <v>1</v>
      </c>
      <c r="I901" s="177">
        <v>0</v>
      </c>
      <c r="J901" s="175">
        <v>46047</v>
      </c>
      <c r="K901" s="171" t="s">
        <v>125</v>
      </c>
      <c r="L901" s="171" t="s">
        <v>125</v>
      </c>
      <c r="M901" s="178">
        <v>0</v>
      </c>
      <c r="N901" s="176"/>
      <c r="O901" s="176"/>
      <c r="P901" s="179">
        <v>-14.99</v>
      </c>
    </row>
    <row r="902" spans="1:16" ht="19.5" customHeight="1">
      <c r="A902" s="171" t="s">
        <v>743</v>
      </c>
      <c r="B902" s="175">
        <v>46047</v>
      </c>
      <c r="C902" s="171" t="s">
        <v>110</v>
      </c>
      <c r="D902" s="171" t="s">
        <v>24</v>
      </c>
      <c r="E902" s="171" t="s">
        <v>38</v>
      </c>
      <c r="F902" s="171" t="s">
        <v>111</v>
      </c>
      <c r="G902" s="171" t="s">
        <v>112</v>
      </c>
      <c r="H902" s="176">
        <v>1</v>
      </c>
      <c r="I902" s="177">
        <v>0</v>
      </c>
      <c r="J902" s="175">
        <v>46041</v>
      </c>
      <c r="K902" s="171" t="s">
        <v>113</v>
      </c>
      <c r="L902" s="171" t="s">
        <v>114</v>
      </c>
      <c r="M902" s="178">
        <v>0</v>
      </c>
      <c r="N902" s="176"/>
      <c r="O902" s="176">
        <v>53</v>
      </c>
      <c r="P902" s="179">
        <v>-46.77</v>
      </c>
    </row>
    <row r="903" spans="1:16" ht="19.5" customHeight="1">
      <c r="A903" s="171" t="s">
        <v>743</v>
      </c>
      <c r="B903" s="175">
        <v>46047</v>
      </c>
      <c r="C903" s="171" t="s">
        <v>115</v>
      </c>
      <c r="D903" s="171" t="s">
        <v>116</v>
      </c>
      <c r="E903" s="171" t="s">
        <v>38</v>
      </c>
      <c r="F903" s="171" t="s">
        <v>111</v>
      </c>
      <c r="G903" s="171" t="s">
        <v>112</v>
      </c>
      <c r="H903" s="176">
        <v>1</v>
      </c>
      <c r="I903" s="177">
        <v>0</v>
      </c>
      <c r="J903" s="175">
        <v>46041</v>
      </c>
      <c r="K903" s="171" t="s">
        <v>113</v>
      </c>
      <c r="L903" s="171" t="s">
        <v>114</v>
      </c>
      <c r="M903" s="178">
        <v>0</v>
      </c>
      <c r="N903" s="176"/>
      <c r="O903" s="176"/>
      <c r="P903" s="179">
        <v>-8.9700000000000006</v>
      </c>
    </row>
    <row r="904" spans="1:16" ht="19.5" customHeight="1">
      <c r="A904" s="171" t="s">
        <v>743</v>
      </c>
      <c r="B904" s="175">
        <v>46047</v>
      </c>
      <c r="C904" s="171" t="s">
        <v>110</v>
      </c>
      <c r="D904" s="171" t="s">
        <v>117</v>
      </c>
      <c r="E904" s="171" t="s">
        <v>38</v>
      </c>
      <c r="F904" s="171" t="s">
        <v>111</v>
      </c>
      <c r="G904" s="171" t="s">
        <v>112</v>
      </c>
      <c r="H904" s="176">
        <v>1</v>
      </c>
      <c r="I904" s="177">
        <v>0</v>
      </c>
      <c r="J904" s="175">
        <v>46041</v>
      </c>
      <c r="K904" s="171" t="s">
        <v>113</v>
      </c>
      <c r="L904" s="171" t="s">
        <v>114</v>
      </c>
      <c r="M904" s="178">
        <v>0</v>
      </c>
      <c r="N904" s="176"/>
      <c r="O904" s="176"/>
      <c r="P904" s="179">
        <v>0</v>
      </c>
    </row>
    <row r="905" spans="1:16" ht="19.5" customHeight="1">
      <c r="A905" s="171" t="s">
        <v>743</v>
      </c>
      <c r="B905" s="175">
        <v>46047</v>
      </c>
      <c r="C905" s="171" t="s">
        <v>110</v>
      </c>
      <c r="D905" s="171" t="s">
        <v>118</v>
      </c>
      <c r="E905" s="171" t="s">
        <v>38</v>
      </c>
      <c r="F905" s="171" t="s">
        <v>111</v>
      </c>
      <c r="G905" s="171" t="s">
        <v>112</v>
      </c>
      <c r="H905" s="176">
        <v>1</v>
      </c>
      <c r="I905" s="177">
        <v>0</v>
      </c>
      <c r="J905" s="175">
        <v>46041</v>
      </c>
      <c r="K905" s="171" t="s">
        <v>113</v>
      </c>
      <c r="L905" s="171" t="s">
        <v>114</v>
      </c>
      <c r="M905" s="178">
        <v>0</v>
      </c>
      <c r="N905" s="176"/>
      <c r="O905" s="176"/>
      <c r="P905" s="179">
        <v>-46.77</v>
      </c>
    </row>
    <row r="906" spans="1:16" ht="19.5" customHeight="1">
      <c r="A906" s="171" t="s">
        <v>743</v>
      </c>
      <c r="B906" s="175">
        <v>46047</v>
      </c>
      <c r="C906" s="171" t="s">
        <v>115</v>
      </c>
      <c r="D906" s="171" t="s">
        <v>119</v>
      </c>
      <c r="E906" s="171" t="s">
        <v>38</v>
      </c>
      <c r="F906" s="171" t="s">
        <v>111</v>
      </c>
      <c r="G906" s="171" t="s">
        <v>112</v>
      </c>
      <c r="H906" s="176">
        <v>1</v>
      </c>
      <c r="I906" s="177">
        <v>0</v>
      </c>
      <c r="J906" s="175">
        <v>46041</v>
      </c>
      <c r="K906" s="171" t="s">
        <v>113</v>
      </c>
      <c r="L906" s="171" t="s">
        <v>114</v>
      </c>
      <c r="M906" s="178">
        <v>0</v>
      </c>
      <c r="N906" s="176"/>
      <c r="O906" s="176"/>
      <c r="P906" s="179">
        <v>-15</v>
      </c>
    </row>
    <row r="907" spans="1:16" ht="19.5" customHeight="1">
      <c r="A907" s="171" t="s">
        <v>744</v>
      </c>
      <c r="B907" s="175">
        <v>46047</v>
      </c>
      <c r="C907" s="171" t="s">
        <v>123</v>
      </c>
      <c r="D907" s="171" t="s">
        <v>376</v>
      </c>
      <c r="E907" s="171" t="s">
        <v>125</v>
      </c>
      <c r="F907" s="171" t="s">
        <v>125</v>
      </c>
      <c r="G907" s="171" t="s">
        <v>125</v>
      </c>
      <c r="H907" s="176">
        <v>0</v>
      </c>
      <c r="I907" s="177">
        <v>0</v>
      </c>
      <c r="J907" s="175">
        <v>46040</v>
      </c>
      <c r="K907" s="171" t="s">
        <v>125</v>
      </c>
      <c r="L907" s="171" t="s">
        <v>125</v>
      </c>
      <c r="M907" s="178">
        <v>0</v>
      </c>
      <c r="N907" s="176"/>
      <c r="O907" s="176"/>
      <c r="P907" s="179">
        <v>-1087.5</v>
      </c>
    </row>
    <row r="908" spans="1:16" ht="19.5" customHeight="1">
      <c r="A908" s="171" t="s">
        <v>745</v>
      </c>
      <c r="B908" s="175">
        <v>46047</v>
      </c>
      <c r="C908" s="171" t="s">
        <v>110</v>
      </c>
      <c r="D908" s="171" t="s">
        <v>24</v>
      </c>
      <c r="E908" s="171" t="s">
        <v>38</v>
      </c>
      <c r="F908" s="171" t="s">
        <v>111</v>
      </c>
      <c r="G908" s="171" t="s">
        <v>112</v>
      </c>
      <c r="H908" s="176">
        <v>1</v>
      </c>
      <c r="I908" s="177">
        <v>0</v>
      </c>
      <c r="J908" s="175">
        <v>46042</v>
      </c>
      <c r="K908" s="171" t="s">
        <v>113</v>
      </c>
      <c r="L908" s="171" t="s">
        <v>114</v>
      </c>
      <c r="M908" s="178">
        <v>0</v>
      </c>
      <c r="N908" s="176"/>
      <c r="O908" s="176">
        <v>52</v>
      </c>
      <c r="P908" s="179">
        <v>-147.6</v>
      </c>
    </row>
    <row r="909" spans="1:16" ht="19.5" customHeight="1">
      <c r="A909" s="171" t="s">
        <v>580</v>
      </c>
      <c r="B909" s="175">
        <v>46047</v>
      </c>
      <c r="C909" s="171" t="s">
        <v>110</v>
      </c>
      <c r="D909" s="171" t="s">
        <v>121</v>
      </c>
      <c r="E909" s="171" t="s">
        <v>70</v>
      </c>
      <c r="F909" s="171" t="s">
        <v>509</v>
      </c>
      <c r="G909" s="171" t="s">
        <v>177</v>
      </c>
      <c r="H909" s="176">
        <v>1</v>
      </c>
      <c r="I909" s="177">
        <v>0</v>
      </c>
      <c r="J909" s="175">
        <v>46038</v>
      </c>
      <c r="K909" s="171" t="s">
        <v>113</v>
      </c>
      <c r="L909" s="171" t="s">
        <v>114</v>
      </c>
      <c r="M909" s="178">
        <v>0</v>
      </c>
      <c r="N909" s="176"/>
      <c r="O909" s="176"/>
      <c r="P909" s="179">
        <v>0</v>
      </c>
    </row>
    <row r="910" spans="1:16" ht="19.5" customHeight="1">
      <c r="A910" s="171" t="s">
        <v>580</v>
      </c>
      <c r="B910" s="175">
        <v>46047</v>
      </c>
      <c r="C910" s="171" t="s">
        <v>110</v>
      </c>
      <c r="D910" s="171" t="s">
        <v>118</v>
      </c>
      <c r="E910" s="171" t="s">
        <v>70</v>
      </c>
      <c r="F910" s="171" t="s">
        <v>509</v>
      </c>
      <c r="G910" s="171" t="s">
        <v>177</v>
      </c>
      <c r="H910" s="176">
        <v>1</v>
      </c>
      <c r="I910" s="177">
        <v>0</v>
      </c>
      <c r="J910" s="175">
        <v>46038</v>
      </c>
      <c r="K910" s="171" t="s">
        <v>113</v>
      </c>
      <c r="L910" s="171" t="s">
        <v>114</v>
      </c>
      <c r="M910" s="178">
        <v>0</v>
      </c>
      <c r="N910" s="176"/>
      <c r="O910" s="176"/>
      <c r="P910" s="179">
        <v>-56.94</v>
      </c>
    </row>
    <row r="911" spans="1:16" ht="19.5" customHeight="1">
      <c r="A911" s="171" t="s">
        <v>580</v>
      </c>
      <c r="B911" s="175">
        <v>46047</v>
      </c>
      <c r="C911" s="171" t="s">
        <v>115</v>
      </c>
      <c r="D911" s="171" t="s">
        <v>119</v>
      </c>
      <c r="E911" s="171" t="s">
        <v>70</v>
      </c>
      <c r="F911" s="171" t="s">
        <v>509</v>
      </c>
      <c r="G911" s="171" t="s">
        <v>177</v>
      </c>
      <c r="H911" s="176">
        <v>1</v>
      </c>
      <c r="I911" s="177">
        <v>0</v>
      </c>
      <c r="J911" s="175">
        <v>46038</v>
      </c>
      <c r="K911" s="171" t="s">
        <v>113</v>
      </c>
      <c r="L911" s="171" t="s">
        <v>114</v>
      </c>
      <c r="M911" s="178">
        <v>0</v>
      </c>
      <c r="N911" s="176"/>
      <c r="O911" s="176"/>
      <c r="P911" s="179">
        <v>-15</v>
      </c>
    </row>
    <row r="912" spans="1:16" ht="19.5" customHeight="1">
      <c r="A912" s="171" t="s">
        <v>223</v>
      </c>
      <c r="B912" s="175">
        <v>46047</v>
      </c>
      <c r="C912" s="171" t="s">
        <v>115</v>
      </c>
      <c r="D912" s="171" t="s">
        <v>135</v>
      </c>
      <c r="E912" s="171" t="s">
        <v>38</v>
      </c>
      <c r="F912" s="171" t="s">
        <v>111</v>
      </c>
      <c r="G912" s="171" t="s">
        <v>112</v>
      </c>
      <c r="H912" s="176">
        <v>1</v>
      </c>
      <c r="I912" s="177">
        <v>0</v>
      </c>
      <c r="J912" s="175">
        <v>46038</v>
      </c>
      <c r="K912" s="171" t="s">
        <v>125</v>
      </c>
      <c r="L912" s="171" t="s">
        <v>125</v>
      </c>
      <c r="M912" s="178">
        <v>0</v>
      </c>
      <c r="N912" s="176"/>
      <c r="O912" s="176"/>
      <c r="P912" s="179">
        <v>10.89</v>
      </c>
    </row>
    <row r="913" spans="1:16" ht="19.5" customHeight="1">
      <c r="A913" s="171" t="s">
        <v>746</v>
      </c>
      <c r="B913" s="175">
        <v>46047</v>
      </c>
      <c r="C913" s="171" t="s">
        <v>115</v>
      </c>
      <c r="D913" s="171" t="s">
        <v>135</v>
      </c>
      <c r="E913" s="171" t="s">
        <v>38</v>
      </c>
      <c r="F913" s="171" t="s">
        <v>111</v>
      </c>
      <c r="G913" s="171" t="s">
        <v>112</v>
      </c>
      <c r="H913" s="176">
        <v>1</v>
      </c>
      <c r="I913" s="177">
        <v>0</v>
      </c>
      <c r="J913" s="175">
        <v>46047</v>
      </c>
      <c r="K913" s="171" t="s">
        <v>125</v>
      </c>
      <c r="L913" s="171" t="s">
        <v>125</v>
      </c>
      <c r="M913" s="178">
        <v>0</v>
      </c>
      <c r="N913" s="176"/>
      <c r="O913" s="176"/>
      <c r="P913" s="179">
        <v>-5.33</v>
      </c>
    </row>
    <row r="914" spans="1:16" ht="19.5" customHeight="1">
      <c r="A914" s="171" t="s">
        <v>125</v>
      </c>
      <c r="B914" s="175">
        <v>46047</v>
      </c>
      <c r="C914" s="171" t="s">
        <v>151</v>
      </c>
      <c r="D914" s="171" t="s">
        <v>747</v>
      </c>
      <c r="E914" s="171" t="s">
        <v>125</v>
      </c>
      <c r="F914" s="171" t="s">
        <v>125</v>
      </c>
      <c r="G914" s="171" t="s">
        <v>125</v>
      </c>
      <c r="H914" s="176">
        <v>0</v>
      </c>
      <c r="I914" s="177">
        <v>0</v>
      </c>
      <c r="J914" s="175">
        <v>46047</v>
      </c>
      <c r="K914" s="171" t="s">
        <v>125</v>
      </c>
      <c r="L914" s="171" t="s">
        <v>125</v>
      </c>
      <c r="M914" s="178">
        <v>0</v>
      </c>
      <c r="N914" s="176"/>
      <c r="O914" s="176"/>
      <c r="P914" s="179">
        <v>-292.8</v>
      </c>
    </row>
    <row r="915" spans="1:16" ht="19.5" customHeight="1">
      <c r="A915" s="171" t="s">
        <v>710</v>
      </c>
      <c r="B915" s="175">
        <v>46047</v>
      </c>
      <c r="C915" s="171" t="s">
        <v>151</v>
      </c>
      <c r="D915" s="171" t="s">
        <v>152</v>
      </c>
      <c r="E915" s="171" t="s">
        <v>125</v>
      </c>
      <c r="F915" s="171" t="s">
        <v>125</v>
      </c>
      <c r="G915" s="171" t="s">
        <v>125</v>
      </c>
      <c r="H915" s="176">
        <v>0</v>
      </c>
      <c r="I915" s="177">
        <v>0</v>
      </c>
      <c r="J915" s="175">
        <v>46047</v>
      </c>
      <c r="K915" s="171" t="s">
        <v>125</v>
      </c>
      <c r="L915" s="171" t="s">
        <v>125</v>
      </c>
      <c r="M915" s="178">
        <v>0</v>
      </c>
      <c r="N915" s="176"/>
      <c r="O915" s="176"/>
      <c r="P915" s="179">
        <v>-292.76</v>
      </c>
    </row>
    <row r="916" spans="1:16" ht="19.5" customHeight="1">
      <c r="A916" s="171" t="s">
        <v>671</v>
      </c>
      <c r="B916" s="175">
        <v>46047</v>
      </c>
      <c r="C916" s="171" t="s">
        <v>151</v>
      </c>
      <c r="D916" s="171" t="s">
        <v>152</v>
      </c>
      <c r="E916" s="171" t="s">
        <v>125</v>
      </c>
      <c r="F916" s="171" t="s">
        <v>125</v>
      </c>
      <c r="G916" s="171" t="s">
        <v>125</v>
      </c>
      <c r="H916" s="176">
        <v>0</v>
      </c>
      <c r="I916" s="177">
        <v>0</v>
      </c>
      <c r="J916" s="175">
        <v>46047</v>
      </c>
      <c r="K916" s="171" t="s">
        <v>125</v>
      </c>
      <c r="L916" s="171" t="s">
        <v>125</v>
      </c>
      <c r="M916" s="178">
        <v>0</v>
      </c>
      <c r="N916" s="176"/>
      <c r="O916" s="176"/>
      <c r="P916" s="179">
        <v>-296.5</v>
      </c>
    </row>
    <row r="917" spans="1:16" ht="19.5" customHeight="1">
      <c r="A917" s="171" t="s">
        <v>565</v>
      </c>
      <c r="B917" s="175">
        <v>46047</v>
      </c>
      <c r="C917" s="171" t="s">
        <v>151</v>
      </c>
      <c r="D917" s="171" t="s">
        <v>152</v>
      </c>
      <c r="E917" s="171" t="s">
        <v>125</v>
      </c>
      <c r="F917" s="171" t="s">
        <v>125</v>
      </c>
      <c r="G917" s="171" t="s">
        <v>125</v>
      </c>
      <c r="H917" s="176">
        <v>0</v>
      </c>
      <c r="I917" s="177">
        <v>0</v>
      </c>
      <c r="J917" s="175">
        <v>46047</v>
      </c>
      <c r="K917" s="171" t="s">
        <v>125</v>
      </c>
      <c r="L917" s="171" t="s">
        <v>125</v>
      </c>
      <c r="M917" s="178">
        <v>0</v>
      </c>
      <c r="N917" s="176"/>
      <c r="O917" s="176"/>
      <c r="P917" s="179">
        <v>-863.63</v>
      </c>
    </row>
    <row r="918" spans="1:16" ht="19.5" customHeight="1">
      <c r="A918" s="171" t="s">
        <v>180</v>
      </c>
      <c r="B918" s="175">
        <v>46047</v>
      </c>
      <c r="C918" s="171" t="s">
        <v>151</v>
      </c>
      <c r="D918" s="171" t="s">
        <v>152</v>
      </c>
      <c r="E918" s="171" t="s">
        <v>125</v>
      </c>
      <c r="F918" s="171" t="s">
        <v>125</v>
      </c>
      <c r="G918" s="171" t="s">
        <v>125</v>
      </c>
      <c r="H918" s="176">
        <v>0</v>
      </c>
      <c r="I918" s="177">
        <v>0</v>
      </c>
      <c r="J918" s="175">
        <v>46047</v>
      </c>
      <c r="K918" s="171" t="s">
        <v>125</v>
      </c>
      <c r="L918" s="171" t="s">
        <v>125</v>
      </c>
      <c r="M918" s="178">
        <v>0</v>
      </c>
      <c r="N918" s="176"/>
      <c r="O918" s="176"/>
      <c r="P918" s="179">
        <v>-675.8</v>
      </c>
    </row>
    <row r="919" spans="1:16" ht="19.5" customHeight="1">
      <c r="A919" s="171" t="s">
        <v>179</v>
      </c>
      <c r="B919" s="175">
        <v>46047</v>
      </c>
      <c r="C919" s="171" t="s">
        <v>151</v>
      </c>
      <c r="D919" s="171" t="s">
        <v>152</v>
      </c>
      <c r="E919" s="171" t="s">
        <v>125</v>
      </c>
      <c r="F919" s="171" t="s">
        <v>125</v>
      </c>
      <c r="G919" s="171" t="s">
        <v>125</v>
      </c>
      <c r="H919" s="176">
        <v>0</v>
      </c>
      <c r="I919" s="177">
        <v>0</v>
      </c>
      <c r="J919" s="175">
        <v>46047</v>
      </c>
      <c r="K919" s="171" t="s">
        <v>125</v>
      </c>
      <c r="L919" s="171" t="s">
        <v>125</v>
      </c>
      <c r="M919" s="178">
        <v>0</v>
      </c>
      <c r="N919" s="176"/>
      <c r="O919" s="176"/>
      <c r="P919" s="179">
        <v>-338.41</v>
      </c>
    </row>
    <row r="920" spans="1:16" ht="19.5" customHeight="1">
      <c r="A920" s="171" t="s">
        <v>150</v>
      </c>
      <c r="B920" s="175">
        <v>46047</v>
      </c>
      <c r="C920" s="171" t="s">
        <v>151</v>
      </c>
      <c r="D920" s="171" t="s">
        <v>152</v>
      </c>
      <c r="E920" s="171" t="s">
        <v>125</v>
      </c>
      <c r="F920" s="171" t="s">
        <v>125</v>
      </c>
      <c r="G920" s="171" t="s">
        <v>125</v>
      </c>
      <c r="H920" s="176">
        <v>0</v>
      </c>
      <c r="I920" s="177">
        <v>0</v>
      </c>
      <c r="J920" s="175">
        <v>46047</v>
      </c>
      <c r="K920" s="171" t="s">
        <v>125</v>
      </c>
      <c r="L920" s="171" t="s">
        <v>125</v>
      </c>
      <c r="M920" s="178">
        <v>0</v>
      </c>
      <c r="N920" s="176"/>
      <c r="O920" s="176"/>
      <c r="P920" s="179">
        <v>-1277.5</v>
      </c>
    </row>
    <row r="921" spans="1:16" ht="19.5" customHeight="1">
      <c r="A921" s="171" t="s">
        <v>155</v>
      </c>
      <c r="B921" s="175">
        <v>46047</v>
      </c>
      <c r="C921" s="171" t="s">
        <v>151</v>
      </c>
      <c r="D921" s="171" t="s">
        <v>156</v>
      </c>
      <c r="E921" s="171" t="s">
        <v>125</v>
      </c>
      <c r="F921" s="171" t="s">
        <v>125</v>
      </c>
      <c r="G921" s="171" t="s">
        <v>125</v>
      </c>
      <c r="H921" s="176">
        <v>0</v>
      </c>
      <c r="I921" s="177">
        <v>0</v>
      </c>
      <c r="J921" s="175">
        <v>46047</v>
      </c>
      <c r="K921" s="171" t="s">
        <v>125</v>
      </c>
      <c r="L921" s="171" t="s">
        <v>125</v>
      </c>
      <c r="M921" s="178">
        <v>0</v>
      </c>
      <c r="N921" s="176"/>
      <c r="O921" s="176"/>
      <c r="P921" s="179">
        <v>-3556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81DDB-A8B6-472D-8803-F6885A4ED024}">
  <dimension ref="A1:P612"/>
  <sheetViews>
    <sheetView topLeftCell="B1" workbookViewId="0">
      <selection activeCell="B6" sqref="B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92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109</v>
      </c>
      <c r="B3" s="175">
        <v>46034</v>
      </c>
      <c r="C3" s="171" t="s">
        <v>110</v>
      </c>
      <c r="D3" s="171" t="s">
        <v>24</v>
      </c>
      <c r="E3" s="171" t="s">
        <v>38</v>
      </c>
      <c r="F3" s="171" t="s">
        <v>111</v>
      </c>
      <c r="G3" s="171" t="s">
        <v>112</v>
      </c>
      <c r="H3" s="176">
        <v>1</v>
      </c>
      <c r="I3" s="177">
        <v>0</v>
      </c>
      <c r="J3" s="175">
        <v>46017</v>
      </c>
      <c r="K3" s="171" t="s">
        <v>113</v>
      </c>
      <c r="L3" s="171" t="s">
        <v>114</v>
      </c>
      <c r="M3" s="178">
        <v>0</v>
      </c>
      <c r="N3" s="176"/>
      <c r="O3" s="176">
        <v>38</v>
      </c>
      <c r="P3" s="179">
        <v>-46.77</v>
      </c>
    </row>
    <row r="4" spans="1:16" ht="19.5" customHeight="1">
      <c r="A4" s="171" t="s">
        <v>109</v>
      </c>
      <c r="B4" s="175">
        <v>46034</v>
      </c>
      <c r="C4" s="171" t="s">
        <v>115</v>
      </c>
      <c r="D4" s="171" t="s">
        <v>116</v>
      </c>
      <c r="E4" s="171" t="s">
        <v>38</v>
      </c>
      <c r="F4" s="171" t="s">
        <v>111</v>
      </c>
      <c r="G4" s="171" t="s">
        <v>112</v>
      </c>
      <c r="H4" s="176">
        <v>1</v>
      </c>
      <c r="I4" s="177">
        <v>0</v>
      </c>
      <c r="J4" s="175">
        <v>46017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-10.11</v>
      </c>
    </row>
    <row r="5" spans="1:16" ht="19.5" customHeight="1">
      <c r="A5" s="171" t="s">
        <v>109</v>
      </c>
      <c r="B5" s="175">
        <v>46034</v>
      </c>
      <c r="C5" s="171" t="s">
        <v>110</v>
      </c>
      <c r="D5" s="171" t="s">
        <v>117</v>
      </c>
      <c r="E5" s="171" t="s">
        <v>38</v>
      </c>
      <c r="F5" s="171" t="s">
        <v>111</v>
      </c>
      <c r="G5" s="171" t="s">
        <v>112</v>
      </c>
      <c r="H5" s="176">
        <v>1</v>
      </c>
      <c r="I5" s="177">
        <v>0</v>
      </c>
      <c r="J5" s="175">
        <v>46017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109</v>
      </c>
      <c r="B6" s="175">
        <v>46034</v>
      </c>
      <c r="C6" s="171" t="s">
        <v>110</v>
      </c>
      <c r="D6" s="171" t="s">
        <v>118</v>
      </c>
      <c r="E6" s="171" t="s">
        <v>38</v>
      </c>
      <c r="F6" s="171" t="s">
        <v>111</v>
      </c>
      <c r="G6" s="171" t="s">
        <v>112</v>
      </c>
      <c r="H6" s="176">
        <v>1</v>
      </c>
      <c r="I6" s="177">
        <v>0</v>
      </c>
      <c r="J6" s="175">
        <v>46017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-46.77</v>
      </c>
    </row>
    <row r="7" spans="1:16" ht="19.5" customHeight="1">
      <c r="A7" s="171" t="s">
        <v>109</v>
      </c>
      <c r="B7" s="175">
        <v>46034</v>
      </c>
      <c r="C7" s="171" t="s">
        <v>115</v>
      </c>
      <c r="D7" s="171" t="s">
        <v>119</v>
      </c>
      <c r="E7" s="171" t="s">
        <v>38</v>
      </c>
      <c r="F7" s="171" t="s">
        <v>111</v>
      </c>
      <c r="G7" s="171" t="s">
        <v>112</v>
      </c>
      <c r="H7" s="176">
        <v>1</v>
      </c>
      <c r="I7" s="177">
        <v>0</v>
      </c>
      <c r="J7" s="175">
        <v>46017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120</v>
      </c>
      <c r="B8" s="175">
        <v>46034</v>
      </c>
      <c r="C8" s="171" t="s">
        <v>110</v>
      </c>
      <c r="D8" s="171" t="s">
        <v>121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46018</v>
      </c>
      <c r="K8" s="171" t="s">
        <v>113</v>
      </c>
      <c r="L8" s="171" t="s">
        <v>114</v>
      </c>
      <c r="M8" s="178">
        <v>0</v>
      </c>
      <c r="N8" s="176"/>
      <c r="O8" s="176"/>
      <c r="P8" s="179">
        <v>0</v>
      </c>
    </row>
    <row r="9" spans="1:16" ht="19.5" customHeight="1">
      <c r="A9" s="171" t="s">
        <v>120</v>
      </c>
      <c r="B9" s="175">
        <v>46034</v>
      </c>
      <c r="C9" s="171" t="s">
        <v>110</v>
      </c>
      <c r="D9" s="171" t="s">
        <v>118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46018</v>
      </c>
      <c r="K9" s="171" t="s">
        <v>113</v>
      </c>
      <c r="L9" s="171" t="s">
        <v>114</v>
      </c>
      <c r="M9" s="178">
        <v>0</v>
      </c>
      <c r="N9" s="176"/>
      <c r="O9" s="176"/>
      <c r="P9" s="179">
        <v>-46.77</v>
      </c>
    </row>
    <row r="10" spans="1:16" ht="19.5" customHeight="1">
      <c r="A10" s="171" t="s">
        <v>120</v>
      </c>
      <c r="B10" s="175">
        <v>46034</v>
      </c>
      <c r="C10" s="171" t="s">
        <v>115</v>
      </c>
      <c r="D10" s="171" t="s">
        <v>119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0</v>
      </c>
      <c r="J10" s="175">
        <v>46018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-15</v>
      </c>
    </row>
    <row r="11" spans="1:16" ht="19.5" customHeight="1">
      <c r="A11" s="171" t="s">
        <v>122</v>
      </c>
      <c r="B11" s="175">
        <v>46034</v>
      </c>
      <c r="C11" s="171" t="s">
        <v>123</v>
      </c>
      <c r="D11" s="171" t="s">
        <v>124</v>
      </c>
      <c r="E11" s="171" t="s">
        <v>125</v>
      </c>
      <c r="F11" s="171" t="s">
        <v>125</v>
      </c>
      <c r="G11" s="171" t="s">
        <v>125</v>
      </c>
      <c r="H11" s="176">
        <v>0</v>
      </c>
      <c r="I11" s="177">
        <v>0</v>
      </c>
      <c r="J11" s="175">
        <v>46034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-800</v>
      </c>
    </row>
    <row r="12" spans="1:16" ht="19.5" customHeight="1">
      <c r="A12" s="171" t="s">
        <v>126</v>
      </c>
      <c r="B12" s="175">
        <v>46034</v>
      </c>
      <c r="C12" s="171" t="s">
        <v>110</v>
      </c>
      <c r="D12" s="171" t="s">
        <v>24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46031</v>
      </c>
      <c r="K12" s="171" t="s">
        <v>113</v>
      </c>
      <c r="L12" s="171" t="s">
        <v>114</v>
      </c>
      <c r="M12" s="178">
        <v>0.43</v>
      </c>
      <c r="N12" s="176"/>
      <c r="O12" s="176">
        <v>46</v>
      </c>
      <c r="P12" s="179">
        <v>-136.53</v>
      </c>
    </row>
    <row r="13" spans="1:16" ht="19.5" customHeight="1">
      <c r="A13" s="171" t="s">
        <v>126</v>
      </c>
      <c r="B13" s="175">
        <v>46034</v>
      </c>
      <c r="C13" s="171" t="s">
        <v>127</v>
      </c>
      <c r="D13" s="171" t="s">
        <v>128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46031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665.71</v>
      </c>
    </row>
    <row r="14" spans="1:16" ht="19.5" customHeight="1">
      <c r="A14" s="171" t="s">
        <v>126</v>
      </c>
      <c r="B14" s="175">
        <v>46034</v>
      </c>
      <c r="C14" s="171" t="s">
        <v>127</v>
      </c>
      <c r="D14" s="171" t="s">
        <v>129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46031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0</v>
      </c>
    </row>
    <row r="15" spans="1:16" ht="19.5" customHeight="1">
      <c r="A15" s="171" t="s">
        <v>126</v>
      </c>
      <c r="B15" s="175">
        <v>46034</v>
      </c>
      <c r="C15" s="171" t="s">
        <v>127</v>
      </c>
      <c r="D15" s="171" t="s">
        <v>130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46031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1038.29</v>
      </c>
    </row>
    <row r="16" spans="1:16" ht="19.5" customHeight="1">
      <c r="A16" s="171" t="s">
        <v>126</v>
      </c>
      <c r="B16" s="175">
        <v>46034</v>
      </c>
      <c r="C16" s="171" t="s">
        <v>131</v>
      </c>
      <c r="D16" s="171" t="s">
        <v>132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46031</v>
      </c>
      <c r="K16" s="171" t="s">
        <v>113</v>
      </c>
      <c r="L16" s="171" t="s">
        <v>114</v>
      </c>
      <c r="M16" s="178">
        <v>0.43</v>
      </c>
      <c r="N16" s="176"/>
      <c r="O16" s="176"/>
      <c r="P16" s="179">
        <v>-732.72</v>
      </c>
    </row>
    <row r="17" spans="1:16" ht="19.5" customHeight="1">
      <c r="A17" s="171" t="s">
        <v>126</v>
      </c>
      <c r="B17" s="175">
        <v>46034</v>
      </c>
      <c r="C17" s="171" t="s">
        <v>115</v>
      </c>
      <c r="D17" s="171" t="s">
        <v>116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46031</v>
      </c>
      <c r="K17" s="171" t="s">
        <v>113</v>
      </c>
      <c r="L17" s="171" t="s">
        <v>114</v>
      </c>
      <c r="M17" s="178">
        <v>0.43</v>
      </c>
      <c r="N17" s="176"/>
      <c r="O17" s="176"/>
      <c r="P17" s="179">
        <v>-11.23</v>
      </c>
    </row>
    <row r="18" spans="1:16" ht="19.5" customHeight="1">
      <c r="A18" s="171" t="s">
        <v>133</v>
      </c>
      <c r="B18" s="175">
        <v>46034</v>
      </c>
      <c r="C18" s="171" t="s">
        <v>110</v>
      </c>
      <c r="D18" s="171" t="s">
        <v>24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0</v>
      </c>
      <c r="J18" s="175">
        <v>46028</v>
      </c>
      <c r="K18" s="171" t="s">
        <v>113</v>
      </c>
      <c r="L18" s="171" t="s">
        <v>114</v>
      </c>
      <c r="M18" s="178">
        <v>0</v>
      </c>
      <c r="N18" s="176"/>
      <c r="O18" s="176">
        <v>44</v>
      </c>
      <c r="P18" s="179">
        <v>-46</v>
      </c>
    </row>
    <row r="19" spans="1:16" ht="19.5" customHeight="1">
      <c r="A19" s="171" t="s">
        <v>133</v>
      </c>
      <c r="B19" s="175">
        <v>46034</v>
      </c>
      <c r="C19" s="171" t="s">
        <v>110</v>
      </c>
      <c r="D19" s="171" t="s">
        <v>117</v>
      </c>
      <c r="E19" s="171" t="s">
        <v>38</v>
      </c>
      <c r="F19" s="171" t="s">
        <v>111</v>
      </c>
      <c r="G19" s="171" t="s">
        <v>112</v>
      </c>
      <c r="H19" s="176">
        <v>1</v>
      </c>
      <c r="I19" s="177">
        <v>0</v>
      </c>
      <c r="J19" s="175">
        <v>46028</v>
      </c>
      <c r="K19" s="171" t="s">
        <v>113</v>
      </c>
      <c r="L19" s="171" t="s">
        <v>114</v>
      </c>
      <c r="M19" s="178">
        <v>0</v>
      </c>
      <c r="N19" s="176"/>
      <c r="O19" s="176"/>
      <c r="P19" s="179">
        <v>0</v>
      </c>
    </row>
    <row r="20" spans="1:16" ht="19.5" customHeight="1">
      <c r="A20" s="171" t="s">
        <v>133</v>
      </c>
      <c r="B20" s="175">
        <v>46034</v>
      </c>
      <c r="C20" s="171" t="s">
        <v>110</v>
      </c>
      <c r="D20" s="171" t="s">
        <v>118</v>
      </c>
      <c r="E20" s="171" t="s">
        <v>38</v>
      </c>
      <c r="F20" s="171" t="s">
        <v>111</v>
      </c>
      <c r="G20" s="171" t="s">
        <v>112</v>
      </c>
      <c r="H20" s="176">
        <v>1</v>
      </c>
      <c r="I20" s="177">
        <v>0</v>
      </c>
      <c r="J20" s="175">
        <v>46028</v>
      </c>
      <c r="K20" s="171" t="s">
        <v>113</v>
      </c>
      <c r="L20" s="171" t="s">
        <v>114</v>
      </c>
      <c r="M20" s="178">
        <v>0</v>
      </c>
      <c r="N20" s="176"/>
      <c r="O20" s="176"/>
      <c r="P20" s="179">
        <v>-46</v>
      </c>
    </row>
    <row r="21" spans="1:16" ht="19.5" customHeight="1">
      <c r="A21" s="171" t="s">
        <v>134</v>
      </c>
      <c r="B21" s="175">
        <v>46034</v>
      </c>
      <c r="C21" s="171" t="s">
        <v>115</v>
      </c>
      <c r="D21" s="171" t="s">
        <v>135</v>
      </c>
      <c r="E21" s="171" t="s">
        <v>38</v>
      </c>
      <c r="F21" s="171" t="s">
        <v>111</v>
      </c>
      <c r="G21" s="171" t="s">
        <v>112</v>
      </c>
      <c r="H21" s="176">
        <v>1</v>
      </c>
      <c r="I21" s="177">
        <v>0</v>
      </c>
      <c r="J21" s="175">
        <v>46034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-11.13</v>
      </c>
    </row>
    <row r="22" spans="1:16" ht="19.5" customHeight="1">
      <c r="A22" s="171" t="s">
        <v>136</v>
      </c>
      <c r="B22" s="175">
        <v>46034</v>
      </c>
      <c r="C22" s="171" t="s">
        <v>110</v>
      </c>
      <c r="D22" s="171" t="s">
        <v>24</v>
      </c>
      <c r="E22" s="171" t="s">
        <v>38</v>
      </c>
      <c r="F22" s="171" t="s">
        <v>111</v>
      </c>
      <c r="G22" s="171" t="s">
        <v>112</v>
      </c>
      <c r="H22" s="176">
        <v>1</v>
      </c>
      <c r="I22" s="177">
        <v>1704</v>
      </c>
      <c r="J22" s="175">
        <v>46026</v>
      </c>
      <c r="K22" s="171" t="s">
        <v>113</v>
      </c>
      <c r="L22" s="171" t="s">
        <v>114</v>
      </c>
      <c r="M22" s="178">
        <v>0.43</v>
      </c>
      <c r="N22" s="176"/>
      <c r="O22" s="176">
        <v>37</v>
      </c>
      <c r="P22" s="179">
        <v>-99.56</v>
      </c>
    </row>
    <row r="23" spans="1:16" ht="19.5" customHeight="1">
      <c r="A23" s="171" t="s">
        <v>136</v>
      </c>
      <c r="B23" s="175">
        <v>46034</v>
      </c>
      <c r="C23" s="171" t="s">
        <v>127</v>
      </c>
      <c r="D23" s="171" t="s">
        <v>128</v>
      </c>
      <c r="E23" s="171" t="s">
        <v>38</v>
      </c>
      <c r="F23" s="171" t="s">
        <v>111</v>
      </c>
      <c r="G23" s="171" t="s">
        <v>112</v>
      </c>
      <c r="H23" s="176">
        <v>1</v>
      </c>
      <c r="I23" s="177">
        <v>1704</v>
      </c>
      <c r="J23" s="175">
        <v>46026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593.72</v>
      </c>
    </row>
    <row r="24" spans="1:16" ht="19.5" customHeight="1">
      <c r="A24" s="171" t="s">
        <v>136</v>
      </c>
      <c r="B24" s="175">
        <v>46034</v>
      </c>
      <c r="C24" s="171" t="s">
        <v>127</v>
      </c>
      <c r="D24" s="171" t="s">
        <v>129</v>
      </c>
      <c r="E24" s="171" t="s">
        <v>38</v>
      </c>
      <c r="F24" s="171" t="s">
        <v>111</v>
      </c>
      <c r="G24" s="171" t="s">
        <v>112</v>
      </c>
      <c r="H24" s="176">
        <v>1</v>
      </c>
      <c r="I24" s="177">
        <v>1704</v>
      </c>
      <c r="J24" s="175">
        <v>46026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5.94</v>
      </c>
    </row>
    <row r="25" spans="1:16" ht="19.5" customHeight="1">
      <c r="A25" s="171" t="s">
        <v>136</v>
      </c>
      <c r="B25" s="175">
        <v>46034</v>
      </c>
      <c r="C25" s="171" t="s">
        <v>127</v>
      </c>
      <c r="D25" s="171" t="s">
        <v>130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1704</v>
      </c>
      <c r="J25" s="175">
        <v>46026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1104.3399999999999</v>
      </c>
    </row>
    <row r="26" spans="1:16" ht="19.5" customHeight="1">
      <c r="A26" s="171" t="s">
        <v>136</v>
      </c>
      <c r="B26" s="175">
        <v>46034</v>
      </c>
      <c r="C26" s="171" t="s">
        <v>131</v>
      </c>
      <c r="D26" s="171" t="s">
        <v>132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1704</v>
      </c>
      <c r="J26" s="175">
        <v>46026</v>
      </c>
      <c r="K26" s="171" t="s">
        <v>113</v>
      </c>
      <c r="L26" s="171" t="s">
        <v>114</v>
      </c>
      <c r="M26" s="178">
        <v>0.43</v>
      </c>
      <c r="N26" s="176"/>
      <c r="O26" s="176"/>
      <c r="P26" s="179">
        <v>-732.72</v>
      </c>
    </row>
    <row r="27" spans="1:16" ht="19.5" customHeight="1">
      <c r="A27" s="171" t="s">
        <v>136</v>
      </c>
      <c r="B27" s="175">
        <v>46034</v>
      </c>
      <c r="C27" s="171" t="s">
        <v>115</v>
      </c>
      <c r="D27" s="171" t="s">
        <v>116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1704</v>
      </c>
      <c r="J27" s="175">
        <v>46026</v>
      </c>
      <c r="K27" s="171" t="s">
        <v>113</v>
      </c>
      <c r="L27" s="171" t="s">
        <v>114</v>
      </c>
      <c r="M27" s="178">
        <v>0.43</v>
      </c>
      <c r="N27" s="176"/>
      <c r="O27" s="176"/>
      <c r="P27" s="179">
        <v>-8.91</v>
      </c>
    </row>
    <row r="28" spans="1:16" ht="19.5" customHeight="1">
      <c r="A28" s="171" t="s">
        <v>136</v>
      </c>
      <c r="B28" s="175">
        <v>46034</v>
      </c>
      <c r="C28" s="171" t="s">
        <v>115</v>
      </c>
      <c r="D28" s="171" t="s">
        <v>135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46026</v>
      </c>
      <c r="K28" s="171" t="s">
        <v>125</v>
      </c>
      <c r="L28" s="171" t="s">
        <v>125</v>
      </c>
      <c r="M28" s="178">
        <v>0</v>
      </c>
      <c r="N28" s="176"/>
      <c r="O28" s="176"/>
      <c r="P28" s="179">
        <v>-11.28</v>
      </c>
    </row>
    <row r="29" spans="1:16" ht="19.5" customHeight="1">
      <c r="A29" s="171" t="s">
        <v>137</v>
      </c>
      <c r="B29" s="175">
        <v>46034</v>
      </c>
      <c r="C29" s="171" t="s">
        <v>110</v>
      </c>
      <c r="D29" s="171" t="s">
        <v>24</v>
      </c>
      <c r="E29" s="171" t="s">
        <v>41</v>
      </c>
      <c r="F29" s="171" t="s">
        <v>138</v>
      </c>
      <c r="G29" s="171" t="s">
        <v>112</v>
      </c>
      <c r="H29" s="176">
        <v>1</v>
      </c>
      <c r="I29" s="177">
        <v>1687</v>
      </c>
      <c r="J29" s="175">
        <v>46033</v>
      </c>
      <c r="K29" s="171" t="s">
        <v>113</v>
      </c>
      <c r="L29" s="171" t="s">
        <v>114</v>
      </c>
      <c r="M29" s="178">
        <v>0.43</v>
      </c>
      <c r="N29" s="176"/>
      <c r="O29" s="176">
        <v>50</v>
      </c>
      <c r="P29" s="179">
        <v>-146.43</v>
      </c>
    </row>
    <row r="30" spans="1:16" ht="19.5" customHeight="1">
      <c r="A30" s="171" t="s">
        <v>137</v>
      </c>
      <c r="B30" s="175">
        <v>46034</v>
      </c>
      <c r="C30" s="171" t="s">
        <v>127</v>
      </c>
      <c r="D30" s="171" t="s">
        <v>128</v>
      </c>
      <c r="E30" s="171" t="s">
        <v>41</v>
      </c>
      <c r="F30" s="171" t="s">
        <v>138</v>
      </c>
      <c r="G30" s="171" t="s">
        <v>112</v>
      </c>
      <c r="H30" s="176">
        <v>1</v>
      </c>
      <c r="I30" s="177">
        <v>1687</v>
      </c>
      <c r="J30" s="175">
        <v>46033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530</v>
      </c>
    </row>
    <row r="31" spans="1:16" ht="19.5" customHeight="1">
      <c r="A31" s="171" t="s">
        <v>137</v>
      </c>
      <c r="B31" s="175">
        <v>46034</v>
      </c>
      <c r="C31" s="171" t="s">
        <v>127</v>
      </c>
      <c r="D31" s="171" t="s">
        <v>129</v>
      </c>
      <c r="E31" s="171" t="s">
        <v>41</v>
      </c>
      <c r="F31" s="171" t="s">
        <v>138</v>
      </c>
      <c r="G31" s="171" t="s">
        <v>112</v>
      </c>
      <c r="H31" s="176">
        <v>1</v>
      </c>
      <c r="I31" s="177">
        <v>1687</v>
      </c>
      <c r="J31" s="175">
        <v>46033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5.3</v>
      </c>
    </row>
    <row r="32" spans="1:16" ht="19.5" customHeight="1">
      <c r="A32" s="171" t="s">
        <v>137</v>
      </c>
      <c r="B32" s="175">
        <v>46034</v>
      </c>
      <c r="C32" s="171" t="s">
        <v>127</v>
      </c>
      <c r="D32" s="171" t="s">
        <v>130</v>
      </c>
      <c r="E32" s="171" t="s">
        <v>41</v>
      </c>
      <c r="F32" s="171" t="s">
        <v>138</v>
      </c>
      <c r="G32" s="171" t="s">
        <v>112</v>
      </c>
      <c r="H32" s="176">
        <v>1</v>
      </c>
      <c r="I32" s="177">
        <v>1687</v>
      </c>
      <c r="J32" s="175">
        <v>46033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1151.7</v>
      </c>
    </row>
    <row r="33" spans="1:16" ht="19.5" customHeight="1">
      <c r="A33" s="171" t="s">
        <v>137</v>
      </c>
      <c r="B33" s="175">
        <v>46034</v>
      </c>
      <c r="C33" s="171" t="s">
        <v>131</v>
      </c>
      <c r="D33" s="171" t="s">
        <v>132</v>
      </c>
      <c r="E33" s="171" t="s">
        <v>41</v>
      </c>
      <c r="F33" s="171" t="s">
        <v>138</v>
      </c>
      <c r="G33" s="171" t="s">
        <v>112</v>
      </c>
      <c r="H33" s="176">
        <v>1</v>
      </c>
      <c r="I33" s="177">
        <v>1687</v>
      </c>
      <c r="J33" s="175">
        <v>46033</v>
      </c>
      <c r="K33" s="171" t="s">
        <v>113</v>
      </c>
      <c r="L33" s="171" t="s">
        <v>114</v>
      </c>
      <c r="M33" s="178">
        <v>0.43</v>
      </c>
      <c r="N33" s="176"/>
      <c r="O33" s="176"/>
      <c r="P33" s="179">
        <v>-725.41</v>
      </c>
    </row>
    <row r="34" spans="1:16" ht="19.5" customHeight="1">
      <c r="A34" s="171" t="s">
        <v>137</v>
      </c>
      <c r="B34" s="175">
        <v>46034</v>
      </c>
      <c r="C34" s="171" t="s">
        <v>115</v>
      </c>
      <c r="D34" s="171" t="s">
        <v>116</v>
      </c>
      <c r="E34" s="171" t="s">
        <v>41</v>
      </c>
      <c r="F34" s="171" t="s">
        <v>138</v>
      </c>
      <c r="G34" s="171" t="s">
        <v>112</v>
      </c>
      <c r="H34" s="176">
        <v>1</v>
      </c>
      <c r="I34" s="177">
        <v>1687</v>
      </c>
      <c r="J34" s="175">
        <v>46033</v>
      </c>
      <c r="K34" s="171" t="s">
        <v>113</v>
      </c>
      <c r="L34" s="171" t="s">
        <v>114</v>
      </c>
      <c r="M34" s="178">
        <v>0.43</v>
      </c>
      <c r="N34" s="176"/>
      <c r="O34" s="176"/>
      <c r="P34" s="179">
        <v>-10.6</v>
      </c>
    </row>
    <row r="35" spans="1:16" ht="19.5" customHeight="1">
      <c r="A35" s="171" t="s">
        <v>137</v>
      </c>
      <c r="B35" s="175">
        <v>46034</v>
      </c>
      <c r="C35" s="171" t="s">
        <v>115</v>
      </c>
      <c r="D35" s="171" t="s">
        <v>135</v>
      </c>
      <c r="E35" s="171" t="s">
        <v>41</v>
      </c>
      <c r="F35" s="171" t="s">
        <v>138</v>
      </c>
      <c r="G35" s="171" t="s">
        <v>112</v>
      </c>
      <c r="H35" s="176">
        <v>1</v>
      </c>
      <c r="I35" s="177">
        <v>0</v>
      </c>
      <c r="J35" s="175">
        <v>46033</v>
      </c>
      <c r="K35" s="171" t="s">
        <v>125</v>
      </c>
      <c r="L35" s="171" t="s">
        <v>125</v>
      </c>
      <c r="M35" s="178">
        <v>0</v>
      </c>
      <c r="N35" s="176"/>
      <c r="O35" s="176"/>
      <c r="P35" s="179">
        <v>-10.07</v>
      </c>
    </row>
    <row r="36" spans="1:16" ht="19.5" customHeight="1">
      <c r="A36" s="171" t="s">
        <v>139</v>
      </c>
      <c r="B36" s="175">
        <v>46034</v>
      </c>
      <c r="C36" s="171" t="s">
        <v>110</v>
      </c>
      <c r="D36" s="171" t="s">
        <v>24</v>
      </c>
      <c r="E36" s="171" t="s">
        <v>41</v>
      </c>
      <c r="F36" s="171" t="s">
        <v>138</v>
      </c>
      <c r="G36" s="171" t="s">
        <v>112</v>
      </c>
      <c r="H36" s="176">
        <v>1</v>
      </c>
      <c r="I36" s="177">
        <v>1687</v>
      </c>
      <c r="J36" s="175">
        <v>46027</v>
      </c>
      <c r="K36" s="171" t="s">
        <v>113</v>
      </c>
      <c r="L36" s="171" t="s">
        <v>114</v>
      </c>
      <c r="M36" s="178">
        <v>0.43</v>
      </c>
      <c r="N36" s="176"/>
      <c r="O36" s="176">
        <v>41</v>
      </c>
      <c r="P36" s="179">
        <v>-117.58</v>
      </c>
    </row>
    <row r="37" spans="1:16" ht="19.5" customHeight="1">
      <c r="A37" s="171" t="s">
        <v>139</v>
      </c>
      <c r="B37" s="175">
        <v>46034</v>
      </c>
      <c r="C37" s="171" t="s">
        <v>127</v>
      </c>
      <c r="D37" s="171" t="s">
        <v>128</v>
      </c>
      <c r="E37" s="171" t="s">
        <v>41</v>
      </c>
      <c r="F37" s="171" t="s">
        <v>138</v>
      </c>
      <c r="G37" s="171" t="s">
        <v>112</v>
      </c>
      <c r="H37" s="176">
        <v>1</v>
      </c>
      <c r="I37" s="177">
        <v>1687</v>
      </c>
      <c r="J37" s="175">
        <v>46027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642.25</v>
      </c>
    </row>
    <row r="38" spans="1:16" ht="19.5" customHeight="1">
      <c r="A38" s="171" t="s">
        <v>139</v>
      </c>
      <c r="B38" s="175">
        <v>46034</v>
      </c>
      <c r="C38" s="171" t="s">
        <v>127</v>
      </c>
      <c r="D38" s="171" t="s">
        <v>129</v>
      </c>
      <c r="E38" s="171" t="s">
        <v>41</v>
      </c>
      <c r="F38" s="171" t="s">
        <v>138</v>
      </c>
      <c r="G38" s="171" t="s">
        <v>112</v>
      </c>
      <c r="H38" s="176">
        <v>1</v>
      </c>
      <c r="I38" s="177">
        <v>1687</v>
      </c>
      <c r="J38" s="175">
        <v>46027</v>
      </c>
      <c r="K38" s="171" t="s">
        <v>113</v>
      </c>
      <c r="L38" s="171" t="s">
        <v>114</v>
      </c>
      <c r="M38" s="178">
        <v>0</v>
      </c>
      <c r="N38" s="176"/>
      <c r="O38" s="176"/>
      <c r="P38" s="179">
        <v>0</v>
      </c>
    </row>
    <row r="39" spans="1:16" ht="19.5" customHeight="1">
      <c r="A39" s="171" t="s">
        <v>139</v>
      </c>
      <c r="B39" s="175">
        <v>46034</v>
      </c>
      <c r="C39" s="171" t="s">
        <v>127</v>
      </c>
      <c r="D39" s="171" t="s">
        <v>130</v>
      </c>
      <c r="E39" s="171" t="s">
        <v>41</v>
      </c>
      <c r="F39" s="171" t="s">
        <v>138</v>
      </c>
      <c r="G39" s="171" t="s">
        <v>112</v>
      </c>
      <c r="H39" s="176">
        <v>1</v>
      </c>
      <c r="I39" s="177">
        <v>1687</v>
      </c>
      <c r="J39" s="175">
        <v>46027</v>
      </c>
      <c r="K39" s="171" t="s">
        <v>113</v>
      </c>
      <c r="L39" s="171" t="s">
        <v>114</v>
      </c>
      <c r="M39" s="178">
        <v>0</v>
      </c>
      <c r="N39" s="176"/>
      <c r="O39" s="176"/>
      <c r="P39" s="179">
        <v>1044.75</v>
      </c>
    </row>
    <row r="40" spans="1:16" ht="19.5" customHeight="1">
      <c r="A40" s="171" t="s">
        <v>139</v>
      </c>
      <c r="B40" s="175">
        <v>46034</v>
      </c>
      <c r="C40" s="171" t="s">
        <v>131</v>
      </c>
      <c r="D40" s="171" t="s">
        <v>132</v>
      </c>
      <c r="E40" s="171" t="s">
        <v>41</v>
      </c>
      <c r="F40" s="171" t="s">
        <v>138</v>
      </c>
      <c r="G40" s="171" t="s">
        <v>112</v>
      </c>
      <c r="H40" s="176">
        <v>1</v>
      </c>
      <c r="I40" s="177">
        <v>1687</v>
      </c>
      <c r="J40" s="175">
        <v>46027</v>
      </c>
      <c r="K40" s="171" t="s">
        <v>113</v>
      </c>
      <c r="L40" s="171" t="s">
        <v>114</v>
      </c>
      <c r="M40" s="178">
        <v>0.43</v>
      </c>
      <c r="N40" s="176"/>
      <c r="O40" s="176"/>
      <c r="P40" s="179">
        <v>-725.41</v>
      </c>
    </row>
    <row r="41" spans="1:16" ht="19.5" customHeight="1">
      <c r="A41" s="171" t="s">
        <v>139</v>
      </c>
      <c r="B41" s="175">
        <v>46034</v>
      </c>
      <c r="C41" s="171" t="s">
        <v>115</v>
      </c>
      <c r="D41" s="171" t="s">
        <v>116</v>
      </c>
      <c r="E41" s="171" t="s">
        <v>41</v>
      </c>
      <c r="F41" s="171" t="s">
        <v>138</v>
      </c>
      <c r="G41" s="171" t="s">
        <v>112</v>
      </c>
      <c r="H41" s="176">
        <v>1</v>
      </c>
      <c r="I41" s="177">
        <v>1687</v>
      </c>
      <c r="J41" s="175">
        <v>46027</v>
      </c>
      <c r="K41" s="171" t="s">
        <v>113</v>
      </c>
      <c r="L41" s="171" t="s">
        <v>114</v>
      </c>
      <c r="M41" s="178">
        <v>0.43</v>
      </c>
      <c r="N41" s="176"/>
      <c r="O41" s="176"/>
      <c r="P41" s="179">
        <v>-7.31</v>
      </c>
    </row>
    <row r="42" spans="1:16" ht="19.5" customHeight="1">
      <c r="A42" s="171" t="s">
        <v>139</v>
      </c>
      <c r="B42" s="175">
        <v>46034</v>
      </c>
      <c r="C42" s="171" t="s">
        <v>115</v>
      </c>
      <c r="D42" s="171" t="s">
        <v>135</v>
      </c>
      <c r="E42" s="171" t="s">
        <v>41</v>
      </c>
      <c r="F42" s="171" t="s">
        <v>138</v>
      </c>
      <c r="G42" s="171" t="s">
        <v>112</v>
      </c>
      <c r="H42" s="176">
        <v>1</v>
      </c>
      <c r="I42" s="177">
        <v>0</v>
      </c>
      <c r="J42" s="175">
        <v>46027</v>
      </c>
      <c r="K42" s="171" t="s">
        <v>125</v>
      </c>
      <c r="L42" s="171" t="s">
        <v>125</v>
      </c>
      <c r="M42" s="178">
        <v>0</v>
      </c>
      <c r="N42" s="176"/>
      <c r="O42" s="176"/>
      <c r="P42" s="179">
        <v>-4.9400000000000004</v>
      </c>
    </row>
    <row r="43" spans="1:16" ht="19.5" customHeight="1">
      <c r="A43" s="171" t="s">
        <v>140</v>
      </c>
      <c r="B43" s="175">
        <v>46034</v>
      </c>
      <c r="C43" s="171" t="s">
        <v>110</v>
      </c>
      <c r="D43" s="171" t="s">
        <v>24</v>
      </c>
      <c r="E43" s="171" t="s">
        <v>39</v>
      </c>
      <c r="F43" s="171" t="s">
        <v>141</v>
      </c>
      <c r="G43" s="171" t="s">
        <v>112</v>
      </c>
      <c r="H43" s="176">
        <v>1</v>
      </c>
      <c r="I43" s="177">
        <v>1634</v>
      </c>
      <c r="J43" s="175">
        <v>46031</v>
      </c>
      <c r="K43" s="171" t="s">
        <v>113</v>
      </c>
      <c r="L43" s="171" t="s">
        <v>114</v>
      </c>
      <c r="M43" s="178">
        <v>0.43</v>
      </c>
      <c r="N43" s="176"/>
      <c r="O43" s="176">
        <v>46</v>
      </c>
      <c r="P43" s="179">
        <v>-135.41</v>
      </c>
    </row>
    <row r="44" spans="1:16" ht="19.5" customHeight="1">
      <c r="A44" s="171" t="s">
        <v>140</v>
      </c>
      <c r="B44" s="175">
        <v>46034</v>
      </c>
      <c r="C44" s="171" t="s">
        <v>127</v>
      </c>
      <c r="D44" s="171" t="s">
        <v>128</v>
      </c>
      <c r="E44" s="171" t="s">
        <v>39</v>
      </c>
      <c r="F44" s="171" t="s">
        <v>141</v>
      </c>
      <c r="G44" s="171" t="s">
        <v>112</v>
      </c>
      <c r="H44" s="176">
        <v>1</v>
      </c>
      <c r="I44" s="177">
        <v>1634</v>
      </c>
      <c r="J44" s="175">
        <v>46031</v>
      </c>
      <c r="K44" s="171" t="s">
        <v>113</v>
      </c>
      <c r="L44" s="171" t="s">
        <v>114</v>
      </c>
      <c r="M44" s="178">
        <v>0</v>
      </c>
      <c r="N44" s="176"/>
      <c r="O44" s="176"/>
      <c r="P44" s="179">
        <v>784.76</v>
      </c>
    </row>
    <row r="45" spans="1:16" ht="19.5" customHeight="1">
      <c r="A45" s="171" t="s">
        <v>140</v>
      </c>
      <c r="B45" s="175">
        <v>46034</v>
      </c>
      <c r="C45" s="171" t="s">
        <v>127</v>
      </c>
      <c r="D45" s="171" t="s">
        <v>129</v>
      </c>
      <c r="E45" s="171" t="s">
        <v>39</v>
      </c>
      <c r="F45" s="171" t="s">
        <v>141</v>
      </c>
      <c r="G45" s="171" t="s">
        <v>112</v>
      </c>
      <c r="H45" s="176">
        <v>1</v>
      </c>
      <c r="I45" s="177">
        <v>1634</v>
      </c>
      <c r="J45" s="175">
        <v>46031</v>
      </c>
      <c r="K45" s="171" t="s">
        <v>113</v>
      </c>
      <c r="L45" s="171" t="s">
        <v>114</v>
      </c>
      <c r="M45" s="178">
        <v>0</v>
      </c>
      <c r="N45" s="176"/>
      <c r="O45" s="176"/>
      <c r="P45" s="179">
        <v>7.85</v>
      </c>
    </row>
    <row r="46" spans="1:16" ht="19.5" customHeight="1">
      <c r="A46" s="171" t="s">
        <v>140</v>
      </c>
      <c r="B46" s="175">
        <v>46034</v>
      </c>
      <c r="C46" s="171" t="s">
        <v>127</v>
      </c>
      <c r="D46" s="171" t="s">
        <v>130</v>
      </c>
      <c r="E46" s="171" t="s">
        <v>39</v>
      </c>
      <c r="F46" s="171" t="s">
        <v>141</v>
      </c>
      <c r="G46" s="171" t="s">
        <v>112</v>
      </c>
      <c r="H46" s="176">
        <v>1</v>
      </c>
      <c r="I46" s="177">
        <v>1634</v>
      </c>
      <c r="J46" s="175">
        <v>46031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841.39</v>
      </c>
    </row>
    <row r="47" spans="1:16" ht="19.5" customHeight="1">
      <c r="A47" s="171" t="s">
        <v>140</v>
      </c>
      <c r="B47" s="175">
        <v>46034</v>
      </c>
      <c r="C47" s="171" t="s">
        <v>131</v>
      </c>
      <c r="D47" s="171" t="s">
        <v>132</v>
      </c>
      <c r="E47" s="171" t="s">
        <v>39</v>
      </c>
      <c r="F47" s="171" t="s">
        <v>141</v>
      </c>
      <c r="G47" s="171" t="s">
        <v>112</v>
      </c>
      <c r="H47" s="176">
        <v>1</v>
      </c>
      <c r="I47" s="177">
        <v>1634</v>
      </c>
      <c r="J47" s="175">
        <v>46031</v>
      </c>
      <c r="K47" s="171" t="s">
        <v>113</v>
      </c>
      <c r="L47" s="171" t="s">
        <v>114</v>
      </c>
      <c r="M47" s="178">
        <v>0.43</v>
      </c>
      <c r="N47" s="176"/>
      <c r="O47" s="176"/>
      <c r="P47" s="179">
        <v>-702.62</v>
      </c>
    </row>
    <row r="48" spans="1:16" ht="19.5" customHeight="1">
      <c r="A48" s="171" t="s">
        <v>140</v>
      </c>
      <c r="B48" s="175">
        <v>46034</v>
      </c>
      <c r="C48" s="171" t="s">
        <v>115</v>
      </c>
      <c r="D48" s="171" t="s">
        <v>116</v>
      </c>
      <c r="E48" s="171" t="s">
        <v>39</v>
      </c>
      <c r="F48" s="171" t="s">
        <v>141</v>
      </c>
      <c r="G48" s="171" t="s">
        <v>112</v>
      </c>
      <c r="H48" s="176">
        <v>1</v>
      </c>
      <c r="I48" s="177">
        <v>1634</v>
      </c>
      <c r="J48" s="175">
        <v>46031</v>
      </c>
      <c r="K48" s="171" t="s">
        <v>113</v>
      </c>
      <c r="L48" s="171" t="s">
        <v>114</v>
      </c>
      <c r="M48" s="178">
        <v>0.43</v>
      </c>
      <c r="N48" s="176"/>
      <c r="O48" s="176"/>
      <c r="P48" s="179">
        <v>-16.34</v>
      </c>
    </row>
    <row r="49" spans="1:16" ht="19.5" customHeight="1">
      <c r="A49" s="171" t="s">
        <v>142</v>
      </c>
      <c r="B49" s="175">
        <v>46034</v>
      </c>
      <c r="C49" s="171" t="s">
        <v>110</v>
      </c>
      <c r="D49" s="171" t="s">
        <v>117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0</v>
      </c>
      <c r="J49" s="175">
        <v>46011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0</v>
      </c>
    </row>
    <row r="50" spans="1:16" ht="19.5" customHeight="1">
      <c r="A50" s="171" t="s">
        <v>142</v>
      </c>
      <c r="B50" s="175">
        <v>46034</v>
      </c>
      <c r="C50" s="171" t="s">
        <v>110</v>
      </c>
      <c r="D50" s="171" t="s">
        <v>118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0</v>
      </c>
      <c r="J50" s="175">
        <v>46011</v>
      </c>
      <c r="K50" s="171" t="s">
        <v>113</v>
      </c>
      <c r="L50" s="171" t="s">
        <v>114</v>
      </c>
      <c r="M50" s="178">
        <v>0</v>
      </c>
      <c r="N50" s="176"/>
      <c r="O50" s="176"/>
      <c r="P50" s="179">
        <v>-46.77</v>
      </c>
    </row>
    <row r="51" spans="1:16" ht="19.5" customHeight="1">
      <c r="A51" s="171" t="s">
        <v>142</v>
      </c>
      <c r="B51" s="175">
        <v>46034</v>
      </c>
      <c r="C51" s="171" t="s">
        <v>115</v>
      </c>
      <c r="D51" s="171" t="s">
        <v>119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46011</v>
      </c>
      <c r="K51" s="171" t="s">
        <v>113</v>
      </c>
      <c r="L51" s="171" t="s">
        <v>114</v>
      </c>
      <c r="M51" s="178">
        <v>0</v>
      </c>
      <c r="N51" s="176"/>
      <c r="O51" s="176"/>
      <c r="P51" s="179">
        <v>-15</v>
      </c>
    </row>
    <row r="52" spans="1:16" ht="19.5" customHeight="1">
      <c r="A52" s="171" t="s">
        <v>143</v>
      </c>
      <c r="B52" s="175">
        <v>46034</v>
      </c>
      <c r="C52" s="171" t="s">
        <v>110</v>
      </c>
      <c r="D52" s="171" t="s">
        <v>24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1704</v>
      </c>
      <c r="J52" s="175">
        <v>46029</v>
      </c>
      <c r="K52" s="171" t="s">
        <v>113</v>
      </c>
      <c r="L52" s="171" t="s">
        <v>114</v>
      </c>
      <c r="M52" s="178">
        <v>0.43</v>
      </c>
      <c r="N52" s="176"/>
      <c r="O52" s="176">
        <v>46</v>
      </c>
      <c r="P52" s="179">
        <v>-137.83000000000001</v>
      </c>
    </row>
    <row r="53" spans="1:16" ht="19.5" customHeight="1">
      <c r="A53" s="171" t="s">
        <v>143</v>
      </c>
      <c r="B53" s="175">
        <v>46034</v>
      </c>
      <c r="C53" s="171" t="s">
        <v>127</v>
      </c>
      <c r="D53" s="171" t="s">
        <v>128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46029</v>
      </c>
      <c r="K53" s="171" t="s">
        <v>113</v>
      </c>
      <c r="L53" s="171" t="s">
        <v>114</v>
      </c>
      <c r="M53" s="178">
        <v>0</v>
      </c>
      <c r="N53" s="176"/>
      <c r="O53" s="176"/>
      <c r="P53" s="179">
        <v>645.25</v>
      </c>
    </row>
    <row r="54" spans="1:16" ht="19.5" customHeight="1">
      <c r="A54" s="171" t="s">
        <v>143</v>
      </c>
      <c r="B54" s="175">
        <v>46034</v>
      </c>
      <c r="C54" s="171" t="s">
        <v>127</v>
      </c>
      <c r="D54" s="171" t="s">
        <v>129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46029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143</v>
      </c>
      <c r="B55" s="175">
        <v>46034</v>
      </c>
      <c r="C55" s="171" t="s">
        <v>127</v>
      </c>
      <c r="D55" s="171" t="s">
        <v>130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46029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1058.75</v>
      </c>
    </row>
    <row r="56" spans="1:16" ht="19.5" customHeight="1">
      <c r="A56" s="171" t="s">
        <v>143</v>
      </c>
      <c r="B56" s="175">
        <v>46034</v>
      </c>
      <c r="C56" s="171" t="s">
        <v>131</v>
      </c>
      <c r="D56" s="171" t="s">
        <v>132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46029</v>
      </c>
      <c r="K56" s="171" t="s">
        <v>113</v>
      </c>
      <c r="L56" s="171" t="s">
        <v>114</v>
      </c>
      <c r="M56" s="178">
        <v>0.43</v>
      </c>
      <c r="N56" s="176"/>
      <c r="O56" s="176"/>
      <c r="P56" s="179">
        <v>-732.72</v>
      </c>
    </row>
    <row r="57" spans="1:16" ht="19.5" customHeight="1">
      <c r="A57" s="171" t="s">
        <v>144</v>
      </c>
      <c r="B57" s="175">
        <v>46034</v>
      </c>
      <c r="C57" s="171" t="s">
        <v>110</v>
      </c>
      <c r="D57" s="171" t="s">
        <v>24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46030</v>
      </c>
      <c r="K57" s="171" t="s">
        <v>113</v>
      </c>
      <c r="L57" s="171" t="s">
        <v>114</v>
      </c>
      <c r="M57" s="178">
        <v>0.43</v>
      </c>
      <c r="N57" s="176"/>
      <c r="O57" s="176">
        <v>46</v>
      </c>
      <c r="P57" s="179">
        <v>-137.83000000000001</v>
      </c>
    </row>
    <row r="58" spans="1:16" ht="19.5" customHeight="1">
      <c r="A58" s="171" t="s">
        <v>144</v>
      </c>
      <c r="B58" s="175">
        <v>46034</v>
      </c>
      <c r="C58" s="171" t="s">
        <v>127</v>
      </c>
      <c r="D58" s="171" t="s">
        <v>128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46030</v>
      </c>
      <c r="K58" s="171" t="s">
        <v>113</v>
      </c>
      <c r="L58" s="171" t="s">
        <v>114</v>
      </c>
      <c r="M58" s="178">
        <v>0</v>
      </c>
      <c r="N58" s="176"/>
      <c r="O58" s="176"/>
      <c r="P58" s="179">
        <v>585.71</v>
      </c>
    </row>
    <row r="59" spans="1:16" ht="19.5" customHeight="1">
      <c r="A59" s="171" t="s">
        <v>144</v>
      </c>
      <c r="B59" s="175">
        <v>46034</v>
      </c>
      <c r="C59" s="171" t="s">
        <v>127</v>
      </c>
      <c r="D59" s="171" t="s">
        <v>129</v>
      </c>
      <c r="E59" s="171" t="s">
        <v>38</v>
      </c>
      <c r="F59" s="171" t="s">
        <v>111</v>
      </c>
      <c r="G59" s="171" t="s">
        <v>112</v>
      </c>
      <c r="H59" s="176">
        <v>1</v>
      </c>
      <c r="I59" s="177">
        <v>1704</v>
      </c>
      <c r="J59" s="175">
        <v>46030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5.86</v>
      </c>
    </row>
    <row r="60" spans="1:16" ht="19.5" customHeight="1">
      <c r="A60" s="171" t="s">
        <v>144</v>
      </c>
      <c r="B60" s="175">
        <v>46034</v>
      </c>
      <c r="C60" s="171" t="s">
        <v>127</v>
      </c>
      <c r="D60" s="171" t="s">
        <v>130</v>
      </c>
      <c r="E60" s="171" t="s">
        <v>38</v>
      </c>
      <c r="F60" s="171" t="s">
        <v>111</v>
      </c>
      <c r="G60" s="171" t="s">
        <v>112</v>
      </c>
      <c r="H60" s="176">
        <v>1</v>
      </c>
      <c r="I60" s="177">
        <v>1704</v>
      </c>
      <c r="J60" s="175">
        <v>46030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1112.43</v>
      </c>
    </row>
    <row r="61" spans="1:16" ht="19.5" customHeight="1">
      <c r="A61" s="171" t="s">
        <v>144</v>
      </c>
      <c r="B61" s="175">
        <v>46034</v>
      </c>
      <c r="C61" s="171" t="s">
        <v>131</v>
      </c>
      <c r="D61" s="171" t="s">
        <v>132</v>
      </c>
      <c r="E61" s="171" t="s">
        <v>38</v>
      </c>
      <c r="F61" s="171" t="s">
        <v>111</v>
      </c>
      <c r="G61" s="171" t="s">
        <v>112</v>
      </c>
      <c r="H61" s="176">
        <v>1</v>
      </c>
      <c r="I61" s="177">
        <v>1704</v>
      </c>
      <c r="J61" s="175">
        <v>46030</v>
      </c>
      <c r="K61" s="171" t="s">
        <v>113</v>
      </c>
      <c r="L61" s="171" t="s">
        <v>114</v>
      </c>
      <c r="M61" s="178">
        <v>0.43</v>
      </c>
      <c r="N61" s="176"/>
      <c r="O61" s="176"/>
      <c r="P61" s="179">
        <v>-732.72</v>
      </c>
    </row>
    <row r="62" spans="1:16" ht="19.5" customHeight="1">
      <c r="A62" s="171" t="s">
        <v>144</v>
      </c>
      <c r="B62" s="175">
        <v>46034</v>
      </c>
      <c r="C62" s="171" t="s">
        <v>115</v>
      </c>
      <c r="D62" s="171" t="s">
        <v>116</v>
      </c>
      <c r="E62" s="171" t="s">
        <v>38</v>
      </c>
      <c r="F62" s="171" t="s">
        <v>111</v>
      </c>
      <c r="G62" s="171" t="s">
        <v>112</v>
      </c>
      <c r="H62" s="176">
        <v>1</v>
      </c>
      <c r="I62" s="177">
        <v>1704</v>
      </c>
      <c r="J62" s="175">
        <v>46030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-15.29</v>
      </c>
    </row>
    <row r="63" spans="1:16" ht="19.5" customHeight="1">
      <c r="A63" s="171" t="s">
        <v>142</v>
      </c>
      <c r="B63" s="175">
        <v>46034</v>
      </c>
      <c r="C63" s="171" t="s">
        <v>110</v>
      </c>
      <c r="D63" s="171" t="s">
        <v>24</v>
      </c>
      <c r="E63" s="171" t="s">
        <v>38</v>
      </c>
      <c r="F63" s="171" t="s">
        <v>111</v>
      </c>
      <c r="G63" s="171" t="s">
        <v>112</v>
      </c>
      <c r="H63" s="176">
        <v>1</v>
      </c>
      <c r="I63" s="177">
        <v>0</v>
      </c>
      <c r="J63" s="175">
        <v>46011</v>
      </c>
      <c r="K63" s="171" t="s">
        <v>113</v>
      </c>
      <c r="L63" s="171" t="s">
        <v>114</v>
      </c>
      <c r="M63" s="178">
        <v>0</v>
      </c>
      <c r="N63" s="176"/>
      <c r="O63" s="176">
        <v>39</v>
      </c>
      <c r="P63" s="179">
        <v>-46.77</v>
      </c>
    </row>
    <row r="64" spans="1:16" ht="19.5" customHeight="1">
      <c r="A64" s="171" t="s">
        <v>142</v>
      </c>
      <c r="B64" s="175">
        <v>46034</v>
      </c>
      <c r="C64" s="171" t="s">
        <v>115</v>
      </c>
      <c r="D64" s="171" t="s">
        <v>116</v>
      </c>
      <c r="E64" s="171" t="s">
        <v>38</v>
      </c>
      <c r="F64" s="171" t="s">
        <v>111</v>
      </c>
      <c r="G64" s="171" t="s">
        <v>112</v>
      </c>
      <c r="H64" s="176">
        <v>1</v>
      </c>
      <c r="I64" s="177">
        <v>0</v>
      </c>
      <c r="J64" s="175">
        <v>46011</v>
      </c>
      <c r="K64" s="171" t="s">
        <v>113</v>
      </c>
      <c r="L64" s="171" t="s">
        <v>114</v>
      </c>
      <c r="M64" s="178">
        <v>0</v>
      </c>
      <c r="N64" s="176"/>
      <c r="O64" s="176"/>
      <c r="P64" s="179">
        <v>-13.01</v>
      </c>
    </row>
    <row r="65" spans="1:16" ht="19.5" customHeight="1">
      <c r="A65" s="171" t="s">
        <v>145</v>
      </c>
      <c r="B65" s="175">
        <v>46034</v>
      </c>
      <c r="C65" s="171" t="s">
        <v>110</v>
      </c>
      <c r="D65" s="171" t="s">
        <v>24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1704</v>
      </c>
      <c r="J65" s="175">
        <v>46027</v>
      </c>
      <c r="K65" s="171" t="s">
        <v>113</v>
      </c>
      <c r="L65" s="171" t="s">
        <v>114</v>
      </c>
      <c r="M65" s="178">
        <v>0.43</v>
      </c>
      <c r="N65" s="176"/>
      <c r="O65" s="176">
        <v>41</v>
      </c>
      <c r="P65" s="179">
        <v>-118.04</v>
      </c>
    </row>
    <row r="66" spans="1:16" ht="19.5" customHeight="1">
      <c r="A66" s="171" t="s">
        <v>145</v>
      </c>
      <c r="B66" s="175">
        <v>46034</v>
      </c>
      <c r="C66" s="171" t="s">
        <v>127</v>
      </c>
      <c r="D66" s="171" t="s">
        <v>128</v>
      </c>
      <c r="E66" s="171" t="s">
        <v>38</v>
      </c>
      <c r="F66" s="171" t="s">
        <v>111</v>
      </c>
      <c r="G66" s="171" t="s">
        <v>112</v>
      </c>
      <c r="H66" s="176">
        <v>1</v>
      </c>
      <c r="I66" s="177">
        <v>1704</v>
      </c>
      <c r="J66" s="175">
        <v>46027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585.16</v>
      </c>
    </row>
    <row r="67" spans="1:16" ht="19.5" customHeight="1">
      <c r="A67" s="171" t="s">
        <v>145</v>
      </c>
      <c r="B67" s="175">
        <v>46034</v>
      </c>
      <c r="C67" s="171" t="s">
        <v>127</v>
      </c>
      <c r="D67" s="171" t="s">
        <v>129</v>
      </c>
      <c r="E67" s="171" t="s">
        <v>38</v>
      </c>
      <c r="F67" s="171" t="s">
        <v>111</v>
      </c>
      <c r="G67" s="171" t="s">
        <v>112</v>
      </c>
      <c r="H67" s="176">
        <v>1</v>
      </c>
      <c r="I67" s="177">
        <v>1704</v>
      </c>
      <c r="J67" s="175">
        <v>46027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5.85</v>
      </c>
    </row>
    <row r="68" spans="1:16" ht="19.5" customHeight="1">
      <c r="A68" s="171" t="s">
        <v>145</v>
      </c>
      <c r="B68" s="175">
        <v>46034</v>
      </c>
      <c r="C68" s="171" t="s">
        <v>127</v>
      </c>
      <c r="D68" s="171" t="s">
        <v>130</v>
      </c>
      <c r="E68" s="171" t="s">
        <v>38</v>
      </c>
      <c r="F68" s="171" t="s">
        <v>111</v>
      </c>
      <c r="G68" s="171" t="s">
        <v>112</v>
      </c>
      <c r="H68" s="176">
        <v>1</v>
      </c>
      <c r="I68" s="177">
        <v>1704</v>
      </c>
      <c r="J68" s="175">
        <v>46027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1112.99</v>
      </c>
    </row>
    <row r="69" spans="1:16" ht="19.5" customHeight="1">
      <c r="A69" s="171" t="s">
        <v>145</v>
      </c>
      <c r="B69" s="175">
        <v>46034</v>
      </c>
      <c r="C69" s="171" t="s">
        <v>131</v>
      </c>
      <c r="D69" s="171" t="s">
        <v>132</v>
      </c>
      <c r="E69" s="171" t="s">
        <v>38</v>
      </c>
      <c r="F69" s="171" t="s">
        <v>111</v>
      </c>
      <c r="G69" s="171" t="s">
        <v>112</v>
      </c>
      <c r="H69" s="176">
        <v>1</v>
      </c>
      <c r="I69" s="177">
        <v>1704</v>
      </c>
      <c r="J69" s="175">
        <v>46027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-732.72</v>
      </c>
    </row>
    <row r="70" spans="1:16" ht="19.5" customHeight="1">
      <c r="A70" s="171" t="s">
        <v>145</v>
      </c>
      <c r="B70" s="175">
        <v>46034</v>
      </c>
      <c r="C70" s="171" t="s">
        <v>115</v>
      </c>
      <c r="D70" s="171" t="s">
        <v>116</v>
      </c>
      <c r="E70" s="171" t="s">
        <v>38</v>
      </c>
      <c r="F70" s="171" t="s">
        <v>111</v>
      </c>
      <c r="G70" s="171" t="s">
        <v>112</v>
      </c>
      <c r="H70" s="176">
        <v>1</v>
      </c>
      <c r="I70" s="177">
        <v>1704</v>
      </c>
      <c r="J70" s="175">
        <v>46027</v>
      </c>
      <c r="K70" s="171" t="s">
        <v>113</v>
      </c>
      <c r="L70" s="171" t="s">
        <v>114</v>
      </c>
      <c r="M70" s="178">
        <v>0.43</v>
      </c>
      <c r="N70" s="176"/>
      <c r="O70" s="176"/>
      <c r="P70" s="179">
        <v>-10.74</v>
      </c>
    </row>
    <row r="71" spans="1:16" ht="19.5" customHeight="1">
      <c r="A71" s="171" t="s">
        <v>145</v>
      </c>
      <c r="B71" s="175">
        <v>46034</v>
      </c>
      <c r="C71" s="171" t="s">
        <v>115</v>
      </c>
      <c r="D71" s="171" t="s">
        <v>135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46027</v>
      </c>
      <c r="K71" s="171" t="s">
        <v>125</v>
      </c>
      <c r="L71" s="171" t="s">
        <v>125</v>
      </c>
      <c r="M71" s="178">
        <v>0</v>
      </c>
      <c r="N71" s="176"/>
      <c r="O71" s="176"/>
      <c r="P71" s="179">
        <v>-11.12</v>
      </c>
    </row>
    <row r="72" spans="1:16" ht="19.5" customHeight="1">
      <c r="A72" s="171" t="s">
        <v>146</v>
      </c>
      <c r="B72" s="175">
        <v>46034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46034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-3.93</v>
      </c>
    </row>
    <row r="73" spans="1:16" ht="19.5" customHeight="1">
      <c r="A73" s="171" t="s">
        <v>147</v>
      </c>
      <c r="B73" s="175">
        <v>46034</v>
      </c>
      <c r="C73" s="171" t="s">
        <v>110</v>
      </c>
      <c r="D73" s="171" t="s">
        <v>117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0</v>
      </c>
      <c r="J73" s="175">
        <v>46029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0</v>
      </c>
    </row>
    <row r="74" spans="1:16" ht="19.5" customHeight="1">
      <c r="A74" s="171" t="s">
        <v>147</v>
      </c>
      <c r="B74" s="175">
        <v>46034</v>
      </c>
      <c r="C74" s="171" t="s">
        <v>110</v>
      </c>
      <c r="D74" s="171" t="s">
        <v>118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0</v>
      </c>
      <c r="J74" s="175">
        <v>46029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-46.77</v>
      </c>
    </row>
    <row r="75" spans="1:16" ht="19.5" customHeight="1">
      <c r="A75" s="171" t="s">
        <v>147</v>
      </c>
      <c r="B75" s="175">
        <v>46034</v>
      </c>
      <c r="C75" s="171" t="s">
        <v>115</v>
      </c>
      <c r="D75" s="171" t="s">
        <v>119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0</v>
      </c>
      <c r="J75" s="175">
        <v>46029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-15</v>
      </c>
    </row>
    <row r="76" spans="1:16" ht="19.5" customHeight="1">
      <c r="A76" s="171" t="s">
        <v>147</v>
      </c>
      <c r="B76" s="175">
        <v>46034</v>
      </c>
      <c r="C76" s="171" t="s">
        <v>110</v>
      </c>
      <c r="D76" s="171" t="s">
        <v>24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0</v>
      </c>
      <c r="J76" s="175">
        <v>46029</v>
      </c>
      <c r="K76" s="171" t="s">
        <v>113</v>
      </c>
      <c r="L76" s="171" t="s">
        <v>114</v>
      </c>
      <c r="M76" s="178">
        <v>0</v>
      </c>
      <c r="N76" s="176"/>
      <c r="O76" s="176">
        <v>46</v>
      </c>
      <c r="P76" s="179">
        <v>-46.77</v>
      </c>
    </row>
    <row r="77" spans="1:16" ht="19.5" customHeight="1">
      <c r="A77" s="171" t="s">
        <v>147</v>
      </c>
      <c r="B77" s="175">
        <v>46034</v>
      </c>
      <c r="C77" s="171" t="s">
        <v>115</v>
      </c>
      <c r="D77" s="171" t="s">
        <v>116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0</v>
      </c>
      <c r="J77" s="175">
        <v>46029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-9.19</v>
      </c>
    </row>
    <row r="78" spans="1:16" ht="19.5" customHeight="1">
      <c r="A78" s="171" t="s">
        <v>148</v>
      </c>
      <c r="B78" s="175">
        <v>46034</v>
      </c>
      <c r="C78" s="171" t="s">
        <v>115</v>
      </c>
      <c r="D78" s="171" t="s">
        <v>135</v>
      </c>
      <c r="E78" s="171" t="s">
        <v>40</v>
      </c>
      <c r="F78" s="171" t="s">
        <v>149</v>
      </c>
      <c r="G78" s="171" t="s">
        <v>112</v>
      </c>
      <c r="H78" s="176">
        <v>1</v>
      </c>
      <c r="I78" s="177">
        <v>0</v>
      </c>
      <c r="J78" s="175">
        <v>46034</v>
      </c>
      <c r="K78" s="171" t="s">
        <v>125</v>
      </c>
      <c r="L78" s="171" t="s">
        <v>125</v>
      </c>
      <c r="M78" s="178">
        <v>0</v>
      </c>
      <c r="N78" s="176"/>
      <c r="O78" s="176"/>
      <c r="P78" s="179">
        <v>-11.93</v>
      </c>
    </row>
    <row r="79" spans="1:16" ht="19.5" customHeight="1">
      <c r="A79" s="171" t="s">
        <v>150</v>
      </c>
      <c r="B79" s="175">
        <v>46034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46034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-236.79</v>
      </c>
    </row>
    <row r="80" spans="1:16" ht="19.5" customHeight="1">
      <c r="A80" s="171" t="s">
        <v>153</v>
      </c>
      <c r="B80" s="175">
        <v>46034</v>
      </c>
      <c r="C80" s="171" t="s">
        <v>151</v>
      </c>
      <c r="D80" s="171" t="s">
        <v>152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46034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-27.04</v>
      </c>
    </row>
    <row r="81" spans="1:16" ht="19.5" customHeight="1">
      <c r="A81" s="171" t="s">
        <v>154</v>
      </c>
      <c r="B81" s="175">
        <v>46034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46034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-11.8</v>
      </c>
    </row>
    <row r="82" spans="1:16" ht="19.5" customHeight="1">
      <c r="A82" s="171" t="s">
        <v>155</v>
      </c>
      <c r="B82" s="175">
        <v>46034</v>
      </c>
      <c r="C82" s="171" t="s">
        <v>151</v>
      </c>
      <c r="D82" s="171" t="s">
        <v>156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46034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-679.9</v>
      </c>
    </row>
    <row r="83" spans="1:16" ht="19.5" customHeight="1">
      <c r="A83" s="171" t="s">
        <v>157</v>
      </c>
      <c r="B83" s="175">
        <v>46035</v>
      </c>
      <c r="C83" s="171" t="s">
        <v>110</v>
      </c>
      <c r="D83" s="171" t="s">
        <v>117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46027</v>
      </c>
      <c r="K83" s="171" t="s">
        <v>113</v>
      </c>
      <c r="L83" s="171" t="s">
        <v>114</v>
      </c>
      <c r="M83" s="178">
        <v>0</v>
      </c>
      <c r="N83" s="176"/>
      <c r="O83" s="176"/>
      <c r="P83" s="179">
        <v>0</v>
      </c>
    </row>
    <row r="84" spans="1:16" ht="19.5" customHeight="1">
      <c r="A84" s="171" t="s">
        <v>157</v>
      </c>
      <c r="B84" s="175">
        <v>46035</v>
      </c>
      <c r="C84" s="171" t="s">
        <v>110</v>
      </c>
      <c r="D84" s="171" t="s">
        <v>118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46027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-46.77</v>
      </c>
    </row>
    <row r="85" spans="1:16" ht="19.5" customHeight="1">
      <c r="A85" s="171" t="s">
        <v>157</v>
      </c>
      <c r="B85" s="175">
        <v>46035</v>
      </c>
      <c r="C85" s="171" t="s">
        <v>110</v>
      </c>
      <c r="D85" s="171" t="s">
        <v>24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46027</v>
      </c>
      <c r="K85" s="171" t="s">
        <v>113</v>
      </c>
      <c r="L85" s="171" t="s">
        <v>114</v>
      </c>
      <c r="M85" s="178">
        <v>0</v>
      </c>
      <c r="N85" s="176"/>
      <c r="O85" s="176">
        <v>41</v>
      </c>
      <c r="P85" s="179">
        <v>-46.77</v>
      </c>
    </row>
    <row r="86" spans="1:16" ht="19.5" customHeight="1">
      <c r="A86" s="171" t="s">
        <v>157</v>
      </c>
      <c r="B86" s="175">
        <v>46035</v>
      </c>
      <c r="C86" s="171" t="s">
        <v>115</v>
      </c>
      <c r="D86" s="171" t="s">
        <v>116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46027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-13.33</v>
      </c>
    </row>
    <row r="87" spans="1:16" ht="19.5" customHeight="1">
      <c r="A87" s="171" t="s">
        <v>158</v>
      </c>
      <c r="B87" s="175">
        <v>46035</v>
      </c>
      <c r="C87" s="171" t="s">
        <v>115</v>
      </c>
      <c r="D87" s="171" t="s">
        <v>135</v>
      </c>
      <c r="E87" s="171" t="s">
        <v>41</v>
      </c>
      <c r="F87" s="171" t="s">
        <v>138</v>
      </c>
      <c r="G87" s="171" t="s">
        <v>112</v>
      </c>
      <c r="H87" s="176">
        <v>1</v>
      </c>
      <c r="I87" s="177">
        <v>0</v>
      </c>
      <c r="J87" s="175">
        <v>46035</v>
      </c>
      <c r="K87" s="171" t="s">
        <v>125</v>
      </c>
      <c r="L87" s="171" t="s">
        <v>125</v>
      </c>
      <c r="M87" s="178">
        <v>0</v>
      </c>
      <c r="N87" s="176"/>
      <c r="O87" s="176"/>
      <c r="P87" s="179">
        <v>-12.46</v>
      </c>
    </row>
    <row r="88" spans="1:16" ht="19.5" customHeight="1">
      <c r="A88" s="171" t="s">
        <v>159</v>
      </c>
      <c r="B88" s="175">
        <v>46035</v>
      </c>
      <c r="C88" s="171" t="s">
        <v>110</v>
      </c>
      <c r="D88" s="171" t="s">
        <v>24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1704</v>
      </c>
      <c r="J88" s="175">
        <v>46027</v>
      </c>
      <c r="K88" s="171" t="s">
        <v>113</v>
      </c>
      <c r="L88" s="171" t="s">
        <v>114</v>
      </c>
      <c r="M88" s="178">
        <v>0.43</v>
      </c>
      <c r="N88" s="176"/>
      <c r="O88" s="176">
        <v>41</v>
      </c>
      <c r="P88" s="179">
        <v>-118.04</v>
      </c>
    </row>
    <row r="89" spans="1:16" ht="19.5" customHeight="1">
      <c r="A89" s="171" t="s">
        <v>159</v>
      </c>
      <c r="B89" s="175">
        <v>46035</v>
      </c>
      <c r="C89" s="171" t="s">
        <v>127</v>
      </c>
      <c r="D89" s="171" t="s">
        <v>128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1704</v>
      </c>
      <c r="J89" s="175">
        <v>46027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594.29</v>
      </c>
    </row>
    <row r="90" spans="1:16" ht="19.5" customHeight="1">
      <c r="A90" s="171" t="s">
        <v>159</v>
      </c>
      <c r="B90" s="175">
        <v>46035</v>
      </c>
      <c r="C90" s="171" t="s">
        <v>127</v>
      </c>
      <c r="D90" s="171" t="s">
        <v>129</v>
      </c>
      <c r="E90" s="171" t="s">
        <v>38</v>
      </c>
      <c r="F90" s="171" t="s">
        <v>111</v>
      </c>
      <c r="G90" s="171" t="s">
        <v>112</v>
      </c>
      <c r="H90" s="176">
        <v>1</v>
      </c>
      <c r="I90" s="177">
        <v>1704</v>
      </c>
      <c r="J90" s="175">
        <v>46027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5.94</v>
      </c>
    </row>
    <row r="91" spans="1:16" ht="19.5" customHeight="1">
      <c r="A91" s="171" t="s">
        <v>159</v>
      </c>
      <c r="B91" s="175">
        <v>46035</v>
      </c>
      <c r="C91" s="171" t="s">
        <v>127</v>
      </c>
      <c r="D91" s="171" t="s">
        <v>130</v>
      </c>
      <c r="E91" s="171" t="s">
        <v>38</v>
      </c>
      <c r="F91" s="171" t="s">
        <v>111</v>
      </c>
      <c r="G91" s="171" t="s">
        <v>112</v>
      </c>
      <c r="H91" s="176">
        <v>1</v>
      </c>
      <c r="I91" s="177">
        <v>1704</v>
      </c>
      <c r="J91" s="175">
        <v>46027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1103.77</v>
      </c>
    </row>
    <row r="92" spans="1:16" ht="19.5" customHeight="1">
      <c r="A92" s="171" t="s">
        <v>159</v>
      </c>
      <c r="B92" s="175">
        <v>46035</v>
      </c>
      <c r="C92" s="171" t="s">
        <v>131</v>
      </c>
      <c r="D92" s="171" t="s">
        <v>132</v>
      </c>
      <c r="E92" s="171" t="s">
        <v>38</v>
      </c>
      <c r="F92" s="171" t="s">
        <v>111</v>
      </c>
      <c r="G92" s="171" t="s">
        <v>112</v>
      </c>
      <c r="H92" s="176">
        <v>1</v>
      </c>
      <c r="I92" s="177">
        <v>1704</v>
      </c>
      <c r="J92" s="175">
        <v>46027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-732.72</v>
      </c>
    </row>
    <row r="93" spans="1:16" ht="19.5" customHeight="1">
      <c r="A93" s="171" t="s">
        <v>159</v>
      </c>
      <c r="B93" s="175">
        <v>46035</v>
      </c>
      <c r="C93" s="171" t="s">
        <v>115</v>
      </c>
      <c r="D93" s="171" t="s">
        <v>116</v>
      </c>
      <c r="E93" s="171" t="s">
        <v>38</v>
      </c>
      <c r="F93" s="171" t="s">
        <v>111</v>
      </c>
      <c r="G93" s="171" t="s">
        <v>112</v>
      </c>
      <c r="H93" s="176">
        <v>1</v>
      </c>
      <c r="I93" s="177">
        <v>1704</v>
      </c>
      <c r="J93" s="175">
        <v>46027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-20.309999999999999</v>
      </c>
    </row>
    <row r="94" spans="1:16" ht="19.5" customHeight="1">
      <c r="A94" s="171" t="s">
        <v>159</v>
      </c>
      <c r="B94" s="175">
        <v>46035</v>
      </c>
      <c r="C94" s="171" t="s">
        <v>115</v>
      </c>
      <c r="D94" s="171" t="s">
        <v>135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0</v>
      </c>
      <c r="J94" s="175">
        <v>46027</v>
      </c>
      <c r="K94" s="171" t="s">
        <v>125</v>
      </c>
      <c r="L94" s="171" t="s">
        <v>125</v>
      </c>
      <c r="M94" s="178">
        <v>0</v>
      </c>
      <c r="N94" s="176"/>
      <c r="O94" s="176"/>
      <c r="P94" s="179">
        <v>-11.29</v>
      </c>
    </row>
    <row r="95" spans="1:16" ht="19.5" customHeight="1">
      <c r="A95" s="171" t="s">
        <v>160</v>
      </c>
      <c r="B95" s="175">
        <v>46035</v>
      </c>
      <c r="C95" s="171" t="s">
        <v>110</v>
      </c>
      <c r="D95" s="171" t="s">
        <v>24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0</v>
      </c>
      <c r="J95" s="175">
        <v>46020</v>
      </c>
      <c r="K95" s="171" t="s">
        <v>113</v>
      </c>
      <c r="L95" s="171" t="s">
        <v>114</v>
      </c>
      <c r="M95" s="178">
        <v>0</v>
      </c>
      <c r="N95" s="176"/>
      <c r="O95" s="176">
        <v>38</v>
      </c>
      <c r="P95" s="179">
        <v>-46.77</v>
      </c>
    </row>
    <row r="96" spans="1:16" ht="19.5" customHeight="1">
      <c r="A96" s="171" t="s">
        <v>160</v>
      </c>
      <c r="B96" s="175">
        <v>46035</v>
      </c>
      <c r="C96" s="171" t="s">
        <v>115</v>
      </c>
      <c r="D96" s="171" t="s">
        <v>116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0</v>
      </c>
      <c r="J96" s="175">
        <v>46020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-9.08</v>
      </c>
    </row>
    <row r="97" spans="1:16" ht="19.5" customHeight="1">
      <c r="A97" s="171" t="s">
        <v>160</v>
      </c>
      <c r="B97" s="175">
        <v>46035</v>
      </c>
      <c r="C97" s="171" t="s">
        <v>110</v>
      </c>
      <c r="D97" s="171" t="s">
        <v>117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0</v>
      </c>
      <c r="J97" s="175">
        <v>46020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0</v>
      </c>
    </row>
    <row r="98" spans="1:16" ht="19.5" customHeight="1">
      <c r="A98" s="171" t="s">
        <v>160</v>
      </c>
      <c r="B98" s="175">
        <v>46035</v>
      </c>
      <c r="C98" s="171" t="s">
        <v>110</v>
      </c>
      <c r="D98" s="171" t="s">
        <v>118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0</v>
      </c>
      <c r="J98" s="175">
        <v>46020</v>
      </c>
      <c r="K98" s="171" t="s">
        <v>113</v>
      </c>
      <c r="L98" s="171" t="s">
        <v>114</v>
      </c>
      <c r="M98" s="178">
        <v>0</v>
      </c>
      <c r="N98" s="176"/>
      <c r="O98" s="176"/>
      <c r="P98" s="179">
        <v>-46.77</v>
      </c>
    </row>
    <row r="99" spans="1:16" ht="19.5" customHeight="1">
      <c r="A99" s="171" t="s">
        <v>160</v>
      </c>
      <c r="B99" s="175">
        <v>46035</v>
      </c>
      <c r="C99" s="171" t="s">
        <v>115</v>
      </c>
      <c r="D99" s="171" t="s">
        <v>119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0</v>
      </c>
      <c r="J99" s="175">
        <v>46020</v>
      </c>
      <c r="K99" s="171" t="s">
        <v>113</v>
      </c>
      <c r="L99" s="171" t="s">
        <v>114</v>
      </c>
      <c r="M99" s="178">
        <v>0</v>
      </c>
      <c r="N99" s="176"/>
      <c r="O99" s="176"/>
      <c r="P99" s="179">
        <v>-15</v>
      </c>
    </row>
    <row r="100" spans="1:16" ht="19.5" customHeight="1">
      <c r="A100" s="171" t="s">
        <v>161</v>
      </c>
      <c r="B100" s="175">
        <v>46035</v>
      </c>
      <c r="C100" s="171" t="s">
        <v>115</v>
      </c>
      <c r="D100" s="171" t="s">
        <v>135</v>
      </c>
      <c r="E100" s="171" t="s">
        <v>45</v>
      </c>
      <c r="F100" s="171" t="s">
        <v>162</v>
      </c>
      <c r="G100" s="171" t="s">
        <v>163</v>
      </c>
      <c r="H100" s="176">
        <v>1</v>
      </c>
      <c r="I100" s="177">
        <v>0</v>
      </c>
      <c r="J100" s="175">
        <v>46035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-16.760000000000002</v>
      </c>
    </row>
    <row r="101" spans="1:16" ht="19.5" customHeight="1">
      <c r="A101" s="171" t="s">
        <v>164</v>
      </c>
      <c r="B101" s="175">
        <v>46035</v>
      </c>
      <c r="C101" s="171" t="s">
        <v>110</v>
      </c>
      <c r="D101" s="171" t="s">
        <v>24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46022</v>
      </c>
      <c r="K101" s="171" t="s">
        <v>113</v>
      </c>
      <c r="L101" s="171" t="s">
        <v>114</v>
      </c>
      <c r="M101" s="178">
        <v>0.43</v>
      </c>
      <c r="N101" s="176"/>
      <c r="O101" s="176">
        <v>38</v>
      </c>
      <c r="P101" s="179">
        <v>-104.84</v>
      </c>
    </row>
    <row r="102" spans="1:16" ht="19.5" customHeight="1">
      <c r="A102" s="171" t="s">
        <v>164</v>
      </c>
      <c r="B102" s="175">
        <v>46035</v>
      </c>
      <c r="C102" s="171" t="s">
        <v>127</v>
      </c>
      <c r="D102" s="171" t="s">
        <v>128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46022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585.71</v>
      </c>
    </row>
    <row r="103" spans="1:16" ht="19.5" customHeight="1">
      <c r="A103" s="171" t="s">
        <v>164</v>
      </c>
      <c r="B103" s="175">
        <v>46035</v>
      </c>
      <c r="C103" s="171" t="s">
        <v>127</v>
      </c>
      <c r="D103" s="171" t="s">
        <v>129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46022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5.86</v>
      </c>
    </row>
    <row r="104" spans="1:16" ht="19.5" customHeight="1">
      <c r="A104" s="171" t="s">
        <v>164</v>
      </c>
      <c r="B104" s="175">
        <v>46035</v>
      </c>
      <c r="C104" s="171" t="s">
        <v>127</v>
      </c>
      <c r="D104" s="171" t="s">
        <v>130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46022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1112.43</v>
      </c>
    </row>
    <row r="105" spans="1:16" ht="19.5" customHeight="1">
      <c r="A105" s="171" t="s">
        <v>164</v>
      </c>
      <c r="B105" s="175">
        <v>46035</v>
      </c>
      <c r="C105" s="171" t="s">
        <v>131</v>
      </c>
      <c r="D105" s="171" t="s">
        <v>132</v>
      </c>
      <c r="E105" s="171" t="s">
        <v>38</v>
      </c>
      <c r="F105" s="171" t="s">
        <v>111</v>
      </c>
      <c r="G105" s="171" t="s">
        <v>112</v>
      </c>
      <c r="H105" s="176">
        <v>1</v>
      </c>
      <c r="I105" s="177">
        <v>1704</v>
      </c>
      <c r="J105" s="175">
        <v>46022</v>
      </c>
      <c r="K105" s="171" t="s">
        <v>113</v>
      </c>
      <c r="L105" s="171" t="s">
        <v>114</v>
      </c>
      <c r="M105" s="178">
        <v>0.43</v>
      </c>
      <c r="N105" s="176"/>
      <c r="O105" s="176"/>
      <c r="P105" s="179">
        <v>-732.72</v>
      </c>
    </row>
    <row r="106" spans="1:16" ht="19.5" customHeight="1">
      <c r="A106" s="171" t="s">
        <v>164</v>
      </c>
      <c r="B106" s="175">
        <v>46035</v>
      </c>
      <c r="C106" s="171" t="s">
        <v>115</v>
      </c>
      <c r="D106" s="171" t="s">
        <v>116</v>
      </c>
      <c r="E106" s="171" t="s">
        <v>38</v>
      </c>
      <c r="F106" s="171" t="s">
        <v>111</v>
      </c>
      <c r="G106" s="171" t="s">
        <v>112</v>
      </c>
      <c r="H106" s="176">
        <v>1</v>
      </c>
      <c r="I106" s="177">
        <v>1704</v>
      </c>
      <c r="J106" s="175">
        <v>46022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-25</v>
      </c>
    </row>
    <row r="107" spans="1:16" ht="19.5" customHeight="1">
      <c r="A107" s="171" t="s">
        <v>165</v>
      </c>
      <c r="B107" s="175">
        <v>46035</v>
      </c>
      <c r="C107" s="171" t="s">
        <v>115</v>
      </c>
      <c r="D107" s="171" t="s">
        <v>135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0</v>
      </c>
      <c r="J107" s="175">
        <v>46033</v>
      </c>
      <c r="K107" s="171" t="s">
        <v>125</v>
      </c>
      <c r="L107" s="171" t="s">
        <v>125</v>
      </c>
      <c r="M107" s="178">
        <v>0</v>
      </c>
      <c r="N107" s="176"/>
      <c r="O107" s="176"/>
      <c r="P107" s="179">
        <v>11.02</v>
      </c>
    </row>
    <row r="108" spans="1:16" ht="19.5" customHeight="1">
      <c r="A108" s="171" t="s">
        <v>166</v>
      </c>
      <c r="B108" s="175">
        <v>46035</v>
      </c>
      <c r="C108" s="171" t="s">
        <v>110</v>
      </c>
      <c r="D108" s="171" t="s">
        <v>24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46004</v>
      </c>
      <c r="K108" s="171" t="s">
        <v>113</v>
      </c>
      <c r="L108" s="171" t="s">
        <v>114</v>
      </c>
      <c r="M108" s="178">
        <v>0</v>
      </c>
      <c r="N108" s="176"/>
      <c r="O108" s="176">
        <v>41</v>
      </c>
      <c r="P108" s="179">
        <v>-46.77</v>
      </c>
    </row>
    <row r="109" spans="1:16" ht="19.5" customHeight="1">
      <c r="A109" s="171" t="s">
        <v>167</v>
      </c>
      <c r="B109" s="175">
        <v>46035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1687</v>
      </c>
      <c r="J109" s="175">
        <v>46033</v>
      </c>
      <c r="K109" s="171" t="s">
        <v>113</v>
      </c>
      <c r="L109" s="171" t="s">
        <v>114</v>
      </c>
      <c r="M109" s="178">
        <v>0.43</v>
      </c>
      <c r="N109" s="176"/>
      <c r="O109" s="176">
        <v>50</v>
      </c>
      <c r="P109" s="179">
        <v>-146.43</v>
      </c>
    </row>
    <row r="110" spans="1:16" ht="19.5" customHeight="1">
      <c r="A110" s="171" t="s">
        <v>167</v>
      </c>
      <c r="B110" s="175">
        <v>46035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1687</v>
      </c>
      <c r="J110" s="175">
        <v>46033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580</v>
      </c>
    </row>
    <row r="111" spans="1:16" ht="19.5" customHeight="1">
      <c r="A111" s="171" t="s">
        <v>167</v>
      </c>
      <c r="B111" s="175">
        <v>46035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1687</v>
      </c>
      <c r="J111" s="175">
        <v>46033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5.8</v>
      </c>
    </row>
    <row r="112" spans="1:16" ht="19.5" customHeight="1">
      <c r="A112" s="171" t="s">
        <v>167</v>
      </c>
      <c r="B112" s="175">
        <v>46035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1687</v>
      </c>
      <c r="J112" s="175">
        <v>46033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1101.2</v>
      </c>
    </row>
    <row r="113" spans="1:16" ht="19.5" customHeight="1">
      <c r="A113" s="171" t="s">
        <v>167</v>
      </c>
      <c r="B113" s="175">
        <v>46035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1687</v>
      </c>
      <c r="J113" s="175">
        <v>46033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-725.41</v>
      </c>
    </row>
    <row r="114" spans="1:16" ht="19.5" customHeight="1">
      <c r="A114" s="171" t="s">
        <v>167</v>
      </c>
      <c r="B114" s="175">
        <v>46035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1687</v>
      </c>
      <c r="J114" s="175">
        <v>46033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-12.5</v>
      </c>
    </row>
    <row r="115" spans="1:16" ht="19.5" customHeight="1">
      <c r="A115" s="171" t="s">
        <v>166</v>
      </c>
      <c r="B115" s="175">
        <v>46035</v>
      </c>
      <c r="C115" s="171" t="s">
        <v>110</v>
      </c>
      <c r="D115" s="171" t="s">
        <v>117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46004</v>
      </c>
      <c r="K115" s="171" t="s">
        <v>113</v>
      </c>
      <c r="L115" s="171" t="s">
        <v>114</v>
      </c>
      <c r="M115" s="178">
        <v>0</v>
      </c>
      <c r="N115" s="176"/>
      <c r="O115" s="176"/>
      <c r="P115" s="179">
        <v>0</v>
      </c>
    </row>
    <row r="116" spans="1:16" ht="19.5" customHeight="1">
      <c r="A116" s="171" t="s">
        <v>166</v>
      </c>
      <c r="B116" s="175">
        <v>46035</v>
      </c>
      <c r="C116" s="171" t="s">
        <v>110</v>
      </c>
      <c r="D116" s="171" t="s">
        <v>118</v>
      </c>
      <c r="E116" s="171" t="s">
        <v>41</v>
      </c>
      <c r="F116" s="171" t="s">
        <v>138</v>
      </c>
      <c r="G116" s="171" t="s">
        <v>112</v>
      </c>
      <c r="H116" s="176">
        <v>1</v>
      </c>
      <c r="I116" s="177">
        <v>0</v>
      </c>
      <c r="J116" s="175">
        <v>46004</v>
      </c>
      <c r="K116" s="171" t="s">
        <v>113</v>
      </c>
      <c r="L116" s="171" t="s">
        <v>114</v>
      </c>
      <c r="M116" s="178">
        <v>0</v>
      </c>
      <c r="N116" s="176"/>
      <c r="O116" s="176"/>
      <c r="P116" s="179">
        <v>-46.77</v>
      </c>
    </row>
    <row r="117" spans="1:16" ht="19.5" customHeight="1">
      <c r="A117" s="171" t="s">
        <v>168</v>
      </c>
      <c r="B117" s="175">
        <v>46035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46033</v>
      </c>
      <c r="K117" s="171" t="s">
        <v>113</v>
      </c>
      <c r="L117" s="171" t="s">
        <v>114</v>
      </c>
      <c r="M117" s="178">
        <v>0.43</v>
      </c>
      <c r="N117" s="176"/>
      <c r="O117" s="176">
        <v>50</v>
      </c>
      <c r="P117" s="179">
        <v>-147.07</v>
      </c>
    </row>
    <row r="118" spans="1:16" ht="19.5" customHeight="1">
      <c r="A118" s="171" t="s">
        <v>168</v>
      </c>
      <c r="B118" s="175">
        <v>46035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46033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647.62</v>
      </c>
    </row>
    <row r="119" spans="1:16" ht="19.5" customHeight="1">
      <c r="A119" s="171" t="s">
        <v>168</v>
      </c>
      <c r="B119" s="175">
        <v>46035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46033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6.48</v>
      </c>
    </row>
    <row r="120" spans="1:16" ht="19.5" customHeight="1">
      <c r="A120" s="171" t="s">
        <v>168</v>
      </c>
      <c r="B120" s="175">
        <v>46035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46033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1049.9000000000001</v>
      </c>
    </row>
    <row r="121" spans="1:16" ht="19.5" customHeight="1">
      <c r="A121" s="171" t="s">
        <v>168</v>
      </c>
      <c r="B121" s="175">
        <v>46035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46033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168</v>
      </c>
      <c r="B122" s="175">
        <v>46035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46033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-14.38</v>
      </c>
    </row>
    <row r="123" spans="1:16" ht="19.5" customHeight="1">
      <c r="A123" s="171" t="s">
        <v>167</v>
      </c>
      <c r="B123" s="175">
        <v>46035</v>
      </c>
      <c r="C123" s="171" t="s">
        <v>115</v>
      </c>
      <c r="D123" s="171" t="s">
        <v>135</v>
      </c>
      <c r="E123" s="171" t="s">
        <v>41</v>
      </c>
      <c r="F123" s="171" t="s">
        <v>138</v>
      </c>
      <c r="G123" s="171" t="s">
        <v>112</v>
      </c>
      <c r="H123" s="176">
        <v>1</v>
      </c>
      <c r="I123" s="177">
        <v>0</v>
      </c>
      <c r="J123" s="175">
        <v>46033</v>
      </c>
      <c r="K123" s="171" t="s">
        <v>125</v>
      </c>
      <c r="L123" s="171" t="s">
        <v>125</v>
      </c>
      <c r="M123" s="178">
        <v>0</v>
      </c>
      <c r="N123" s="176"/>
      <c r="O123" s="176"/>
      <c r="P123" s="179">
        <v>-11.02</v>
      </c>
    </row>
    <row r="124" spans="1:16" ht="19.5" customHeight="1">
      <c r="A124" s="171" t="s">
        <v>168</v>
      </c>
      <c r="B124" s="175">
        <v>46035</v>
      </c>
      <c r="C124" s="171" t="s">
        <v>115</v>
      </c>
      <c r="D124" s="171" t="s">
        <v>135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0</v>
      </c>
      <c r="J124" s="175">
        <v>46033</v>
      </c>
      <c r="K124" s="171" t="s">
        <v>125</v>
      </c>
      <c r="L124" s="171" t="s">
        <v>125</v>
      </c>
      <c r="M124" s="178">
        <v>0</v>
      </c>
      <c r="N124" s="176"/>
      <c r="O124" s="176"/>
      <c r="P124" s="179">
        <v>-12.3</v>
      </c>
    </row>
    <row r="125" spans="1:16" ht="19.5" customHeight="1">
      <c r="A125" s="171" t="s">
        <v>169</v>
      </c>
      <c r="B125" s="175">
        <v>46035</v>
      </c>
      <c r="C125" s="171" t="s">
        <v>110</v>
      </c>
      <c r="D125" s="171" t="s">
        <v>24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46033</v>
      </c>
      <c r="K125" s="171" t="s">
        <v>113</v>
      </c>
      <c r="L125" s="171" t="s">
        <v>114</v>
      </c>
      <c r="M125" s="178">
        <v>0.43</v>
      </c>
      <c r="N125" s="176"/>
      <c r="O125" s="176">
        <v>50</v>
      </c>
      <c r="P125" s="179">
        <v>-147.07</v>
      </c>
    </row>
    <row r="126" spans="1:16" ht="19.5" customHeight="1">
      <c r="A126" s="171" t="s">
        <v>169</v>
      </c>
      <c r="B126" s="175">
        <v>46035</v>
      </c>
      <c r="C126" s="171" t="s">
        <v>127</v>
      </c>
      <c r="D126" s="171" t="s">
        <v>128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46033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610.48</v>
      </c>
    </row>
    <row r="127" spans="1:16" ht="19.5" customHeight="1">
      <c r="A127" s="171" t="s">
        <v>169</v>
      </c>
      <c r="B127" s="175">
        <v>46035</v>
      </c>
      <c r="C127" s="171" t="s">
        <v>127</v>
      </c>
      <c r="D127" s="171" t="s">
        <v>129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46033</v>
      </c>
      <c r="K127" s="171" t="s">
        <v>113</v>
      </c>
      <c r="L127" s="171" t="s">
        <v>114</v>
      </c>
      <c r="M127" s="178">
        <v>0</v>
      </c>
      <c r="N127" s="176"/>
      <c r="O127" s="176"/>
      <c r="P127" s="179">
        <v>6.1</v>
      </c>
    </row>
    <row r="128" spans="1:16" ht="19.5" customHeight="1">
      <c r="A128" s="171" t="s">
        <v>169</v>
      </c>
      <c r="B128" s="175">
        <v>46035</v>
      </c>
      <c r="C128" s="171" t="s">
        <v>127</v>
      </c>
      <c r="D128" s="171" t="s">
        <v>130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46033</v>
      </c>
      <c r="K128" s="171" t="s">
        <v>113</v>
      </c>
      <c r="L128" s="171" t="s">
        <v>114</v>
      </c>
      <c r="M128" s="178">
        <v>0</v>
      </c>
      <c r="N128" s="176"/>
      <c r="O128" s="176"/>
      <c r="P128" s="179">
        <v>1087.42</v>
      </c>
    </row>
    <row r="129" spans="1:16" ht="19.5" customHeight="1">
      <c r="A129" s="171" t="s">
        <v>169</v>
      </c>
      <c r="B129" s="175">
        <v>46035</v>
      </c>
      <c r="C129" s="171" t="s">
        <v>131</v>
      </c>
      <c r="D129" s="171" t="s">
        <v>132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1704</v>
      </c>
      <c r="J129" s="175">
        <v>46033</v>
      </c>
      <c r="K129" s="171" t="s">
        <v>113</v>
      </c>
      <c r="L129" s="171" t="s">
        <v>114</v>
      </c>
      <c r="M129" s="178">
        <v>0.43</v>
      </c>
      <c r="N129" s="176"/>
      <c r="O129" s="176"/>
      <c r="P129" s="179">
        <v>-732.72</v>
      </c>
    </row>
    <row r="130" spans="1:16" ht="19.5" customHeight="1">
      <c r="A130" s="171" t="s">
        <v>169</v>
      </c>
      <c r="B130" s="175">
        <v>46035</v>
      </c>
      <c r="C130" s="171" t="s">
        <v>115</v>
      </c>
      <c r="D130" s="171" t="s">
        <v>116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46033</v>
      </c>
      <c r="K130" s="171" t="s">
        <v>113</v>
      </c>
      <c r="L130" s="171" t="s">
        <v>114</v>
      </c>
      <c r="M130" s="178">
        <v>0.43</v>
      </c>
      <c r="N130" s="176"/>
      <c r="O130" s="176"/>
      <c r="P130" s="179">
        <v>-8.4600000000000009</v>
      </c>
    </row>
    <row r="131" spans="1:16" ht="19.5" customHeight="1">
      <c r="A131" s="171" t="s">
        <v>169</v>
      </c>
      <c r="B131" s="175">
        <v>46035</v>
      </c>
      <c r="C131" s="171" t="s">
        <v>115</v>
      </c>
      <c r="D131" s="171" t="s">
        <v>135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0</v>
      </c>
      <c r="J131" s="175">
        <v>46033</v>
      </c>
      <c r="K131" s="171" t="s">
        <v>125</v>
      </c>
      <c r="L131" s="171" t="s">
        <v>125</v>
      </c>
      <c r="M131" s="178">
        <v>0</v>
      </c>
      <c r="N131" s="176"/>
      <c r="O131" s="176"/>
      <c r="P131" s="179">
        <v>-11.6</v>
      </c>
    </row>
    <row r="132" spans="1:16" ht="19.5" customHeight="1">
      <c r="A132" s="171" t="s">
        <v>170</v>
      </c>
      <c r="B132" s="175">
        <v>46035</v>
      </c>
      <c r="C132" s="171" t="s">
        <v>110</v>
      </c>
      <c r="D132" s="171" t="s">
        <v>24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46033</v>
      </c>
      <c r="K132" s="171" t="s">
        <v>113</v>
      </c>
      <c r="L132" s="171" t="s">
        <v>114</v>
      </c>
      <c r="M132" s="178">
        <v>0.43</v>
      </c>
      <c r="N132" s="176"/>
      <c r="O132" s="176">
        <v>50</v>
      </c>
      <c r="P132" s="179">
        <v>-147.07</v>
      </c>
    </row>
    <row r="133" spans="1:16" ht="19.5" customHeight="1">
      <c r="A133" s="171" t="s">
        <v>170</v>
      </c>
      <c r="B133" s="175">
        <v>46035</v>
      </c>
      <c r="C133" s="171" t="s">
        <v>127</v>
      </c>
      <c r="D133" s="171" t="s">
        <v>128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46033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647.62</v>
      </c>
    </row>
    <row r="134" spans="1:16" ht="19.5" customHeight="1">
      <c r="A134" s="171" t="s">
        <v>170</v>
      </c>
      <c r="B134" s="175">
        <v>46035</v>
      </c>
      <c r="C134" s="171" t="s">
        <v>127</v>
      </c>
      <c r="D134" s="171" t="s">
        <v>129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46033</v>
      </c>
      <c r="K134" s="171" t="s">
        <v>113</v>
      </c>
      <c r="L134" s="171" t="s">
        <v>114</v>
      </c>
      <c r="M134" s="178">
        <v>0</v>
      </c>
      <c r="N134" s="176"/>
      <c r="O134" s="176"/>
      <c r="P134" s="179">
        <v>6.48</v>
      </c>
    </row>
    <row r="135" spans="1:16" ht="19.5" customHeight="1">
      <c r="A135" s="171" t="s">
        <v>170</v>
      </c>
      <c r="B135" s="175">
        <v>46035</v>
      </c>
      <c r="C135" s="171" t="s">
        <v>127</v>
      </c>
      <c r="D135" s="171" t="s">
        <v>130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46033</v>
      </c>
      <c r="K135" s="171" t="s">
        <v>113</v>
      </c>
      <c r="L135" s="171" t="s">
        <v>114</v>
      </c>
      <c r="M135" s="178">
        <v>0</v>
      </c>
      <c r="N135" s="176"/>
      <c r="O135" s="176"/>
      <c r="P135" s="179">
        <v>1049.9000000000001</v>
      </c>
    </row>
    <row r="136" spans="1:16" ht="19.5" customHeight="1">
      <c r="A136" s="171" t="s">
        <v>170</v>
      </c>
      <c r="B136" s="175">
        <v>46035</v>
      </c>
      <c r="C136" s="171" t="s">
        <v>131</v>
      </c>
      <c r="D136" s="171" t="s">
        <v>132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46033</v>
      </c>
      <c r="K136" s="171" t="s">
        <v>113</v>
      </c>
      <c r="L136" s="171" t="s">
        <v>114</v>
      </c>
      <c r="M136" s="178">
        <v>0.43</v>
      </c>
      <c r="N136" s="176"/>
      <c r="O136" s="176"/>
      <c r="P136" s="179">
        <v>-732.72</v>
      </c>
    </row>
    <row r="137" spans="1:16" ht="19.5" customHeight="1">
      <c r="A137" s="171" t="s">
        <v>170</v>
      </c>
      <c r="B137" s="175">
        <v>46035</v>
      </c>
      <c r="C137" s="171" t="s">
        <v>115</v>
      </c>
      <c r="D137" s="171" t="s">
        <v>116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46033</v>
      </c>
      <c r="K137" s="171" t="s">
        <v>113</v>
      </c>
      <c r="L137" s="171" t="s">
        <v>114</v>
      </c>
      <c r="M137" s="178">
        <v>0.43</v>
      </c>
      <c r="N137" s="176"/>
      <c r="O137" s="176"/>
      <c r="P137" s="179">
        <v>-25</v>
      </c>
    </row>
    <row r="138" spans="1:16" ht="19.5" customHeight="1">
      <c r="A138" s="171" t="s">
        <v>171</v>
      </c>
      <c r="B138" s="175">
        <v>46035</v>
      </c>
      <c r="C138" s="171" t="s">
        <v>110</v>
      </c>
      <c r="D138" s="171" t="s">
        <v>24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46033</v>
      </c>
      <c r="K138" s="171" t="s">
        <v>113</v>
      </c>
      <c r="L138" s="171" t="s">
        <v>114</v>
      </c>
      <c r="M138" s="178">
        <v>0.43</v>
      </c>
      <c r="N138" s="176"/>
      <c r="O138" s="176">
        <v>50</v>
      </c>
      <c r="P138" s="179">
        <v>-147.07</v>
      </c>
    </row>
    <row r="139" spans="1:16" ht="19.5" customHeight="1">
      <c r="A139" s="171" t="s">
        <v>171</v>
      </c>
      <c r="B139" s="175">
        <v>46035</v>
      </c>
      <c r="C139" s="171" t="s">
        <v>127</v>
      </c>
      <c r="D139" s="171" t="s">
        <v>128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46033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647.62</v>
      </c>
    </row>
    <row r="140" spans="1:16" ht="19.5" customHeight="1">
      <c r="A140" s="171" t="s">
        <v>171</v>
      </c>
      <c r="B140" s="175">
        <v>46035</v>
      </c>
      <c r="C140" s="171" t="s">
        <v>127</v>
      </c>
      <c r="D140" s="171" t="s">
        <v>129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46033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6.48</v>
      </c>
    </row>
    <row r="141" spans="1:16" ht="19.5" customHeight="1">
      <c r="A141" s="171" t="s">
        <v>171</v>
      </c>
      <c r="B141" s="175">
        <v>46035</v>
      </c>
      <c r="C141" s="171" t="s">
        <v>127</v>
      </c>
      <c r="D141" s="171" t="s">
        <v>130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1704</v>
      </c>
      <c r="J141" s="175">
        <v>46033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1049.9000000000001</v>
      </c>
    </row>
    <row r="142" spans="1:16" ht="19.5" customHeight="1">
      <c r="A142" s="171" t="s">
        <v>171</v>
      </c>
      <c r="B142" s="175">
        <v>46035</v>
      </c>
      <c r="C142" s="171" t="s">
        <v>131</v>
      </c>
      <c r="D142" s="171" t="s">
        <v>132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1704</v>
      </c>
      <c r="J142" s="175">
        <v>46033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-732.72</v>
      </c>
    </row>
    <row r="143" spans="1:16" ht="19.5" customHeight="1">
      <c r="A143" s="171" t="s">
        <v>171</v>
      </c>
      <c r="B143" s="175">
        <v>46035</v>
      </c>
      <c r="C143" s="171" t="s">
        <v>115</v>
      </c>
      <c r="D143" s="171" t="s">
        <v>116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1704</v>
      </c>
      <c r="J143" s="175">
        <v>46033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-25</v>
      </c>
    </row>
    <row r="144" spans="1:16" ht="19.5" customHeight="1">
      <c r="A144" s="171" t="s">
        <v>172</v>
      </c>
      <c r="B144" s="175">
        <v>46035</v>
      </c>
      <c r="C144" s="171" t="s">
        <v>110</v>
      </c>
      <c r="D144" s="171" t="s">
        <v>24</v>
      </c>
      <c r="E144" s="171" t="s">
        <v>41</v>
      </c>
      <c r="F144" s="171" t="s">
        <v>138</v>
      </c>
      <c r="G144" s="171" t="s">
        <v>112</v>
      </c>
      <c r="H144" s="176">
        <v>1</v>
      </c>
      <c r="I144" s="177">
        <v>1687</v>
      </c>
      <c r="J144" s="175">
        <v>46032</v>
      </c>
      <c r="K144" s="171" t="s">
        <v>113</v>
      </c>
      <c r="L144" s="171" t="s">
        <v>114</v>
      </c>
      <c r="M144" s="178">
        <v>0.43</v>
      </c>
      <c r="N144" s="176"/>
      <c r="O144" s="176">
        <v>47</v>
      </c>
      <c r="P144" s="179">
        <v>-138.55000000000001</v>
      </c>
    </row>
    <row r="145" spans="1:16" ht="19.5" customHeight="1">
      <c r="A145" s="171" t="s">
        <v>172</v>
      </c>
      <c r="B145" s="175">
        <v>46035</v>
      </c>
      <c r="C145" s="171" t="s">
        <v>127</v>
      </c>
      <c r="D145" s="171" t="s">
        <v>128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46032</v>
      </c>
      <c r="K145" s="171" t="s">
        <v>113</v>
      </c>
      <c r="L145" s="171" t="s">
        <v>114</v>
      </c>
      <c r="M145" s="178">
        <v>0</v>
      </c>
      <c r="N145" s="176"/>
      <c r="O145" s="176"/>
      <c r="P145" s="179">
        <v>580</v>
      </c>
    </row>
    <row r="146" spans="1:16" ht="19.5" customHeight="1">
      <c r="A146" s="171" t="s">
        <v>172</v>
      </c>
      <c r="B146" s="175">
        <v>46035</v>
      </c>
      <c r="C146" s="171" t="s">
        <v>127</v>
      </c>
      <c r="D146" s="171" t="s">
        <v>129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46032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5.8</v>
      </c>
    </row>
    <row r="147" spans="1:16" ht="19.5" customHeight="1">
      <c r="A147" s="171" t="s">
        <v>172</v>
      </c>
      <c r="B147" s="175">
        <v>46035</v>
      </c>
      <c r="C147" s="171" t="s">
        <v>127</v>
      </c>
      <c r="D147" s="171" t="s">
        <v>130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46032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1101.2</v>
      </c>
    </row>
    <row r="148" spans="1:16" ht="19.5" customHeight="1">
      <c r="A148" s="171" t="s">
        <v>172</v>
      </c>
      <c r="B148" s="175">
        <v>46035</v>
      </c>
      <c r="C148" s="171" t="s">
        <v>131</v>
      </c>
      <c r="D148" s="171" t="s">
        <v>132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46032</v>
      </c>
      <c r="K148" s="171" t="s">
        <v>113</v>
      </c>
      <c r="L148" s="171" t="s">
        <v>114</v>
      </c>
      <c r="M148" s="178">
        <v>0.43</v>
      </c>
      <c r="N148" s="176"/>
      <c r="O148" s="176"/>
      <c r="P148" s="179">
        <v>-725.41</v>
      </c>
    </row>
    <row r="149" spans="1:16" ht="19.5" customHeight="1">
      <c r="A149" s="171" t="s">
        <v>172</v>
      </c>
      <c r="B149" s="175">
        <v>46035</v>
      </c>
      <c r="C149" s="171" t="s">
        <v>115</v>
      </c>
      <c r="D149" s="171" t="s">
        <v>116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46032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-25</v>
      </c>
    </row>
    <row r="150" spans="1:16" ht="19.5" customHeight="1">
      <c r="A150" s="171" t="s">
        <v>173</v>
      </c>
      <c r="B150" s="175">
        <v>46035</v>
      </c>
      <c r="C150" s="171" t="s">
        <v>115</v>
      </c>
      <c r="D150" s="171" t="s">
        <v>135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0</v>
      </c>
      <c r="J150" s="175">
        <v>46029</v>
      </c>
      <c r="K150" s="171" t="s">
        <v>125</v>
      </c>
      <c r="L150" s="171" t="s">
        <v>125</v>
      </c>
      <c r="M150" s="178">
        <v>0</v>
      </c>
      <c r="N150" s="176"/>
      <c r="O150" s="176"/>
      <c r="P150" s="179">
        <v>3.45</v>
      </c>
    </row>
    <row r="151" spans="1:16" ht="19.5" customHeight="1">
      <c r="A151" s="171" t="s">
        <v>174</v>
      </c>
      <c r="B151" s="175">
        <v>46035</v>
      </c>
      <c r="C151" s="171" t="s">
        <v>110</v>
      </c>
      <c r="D151" s="171" t="s">
        <v>24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46028</v>
      </c>
      <c r="K151" s="171" t="s">
        <v>113</v>
      </c>
      <c r="L151" s="171" t="s">
        <v>114</v>
      </c>
      <c r="M151" s="178">
        <v>0.43</v>
      </c>
      <c r="N151" s="176"/>
      <c r="O151" s="176">
        <v>44</v>
      </c>
      <c r="P151" s="179">
        <v>-129.91999999999999</v>
      </c>
    </row>
    <row r="152" spans="1:16" ht="19.5" customHeight="1">
      <c r="A152" s="171" t="s">
        <v>174</v>
      </c>
      <c r="B152" s="175">
        <v>46035</v>
      </c>
      <c r="C152" s="171" t="s">
        <v>127</v>
      </c>
      <c r="D152" s="171" t="s">
        <v>128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46028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585.16</v>
      </c>
    </row>
    <row r="153" spans="1:16" ht="19.5" customHeight="1">
      <c r="A153" s="171" t="s">
        <v>174</v>
      </c>
      <c r="B153" s="175">
        <v>46035</v>
      </c>
      <c r="C153" s="171" t="s">
        <v>127</v>
      </c>
      <c r="D153" s="171" t="s">
        <v>129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46028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5.85</v>
      </c>
    </row>
    <row r="154" spans="1:16" ht="19.5" customHeight="1">
      <c r="A154" s="171" t="s">
        <v>174</v>
      </c>
      <c r="B154" s="175">
        <v>46035</v>
      </c>
      <c r="C154" s="171" t="s">
        <v>127</v>
      </c>
      <c r="D154" s="171" t="s">
        <v>130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46028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1112.99</v>
      </c>
    </row>
    <row r="155" spans="1:16" ht="19.5" customHeight="1">
      <c r="A155" s="171" t="s">
        <v>174</v>
      </c>
      <c r="B155" s="175">
        <v>46035</v>
      </c>
      <c r="C155" s="171" t="s">
        <v>131</v>
      </c>
      <c r="D155" s="171" t="s">
        <v>132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46028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-732.72</v>
      </c>
    </row>
    <row r="156" spans="1:16" ht="19.5" customHeight="1">
      <c r="A156" s="171" t="s">
        <v>174</v>
      </c>
      <c r="B156" s="175">
        <v>46035</v>
      </c>
      <c r="C156" s="171" t="s">
        <v>115</v>
      </c>
      <c r="D156" s="171" t="s">
        <v>116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1704</v>
      </c>
      <c r="J156" s="175">
        <v>46028</v>
      </c>
      <c r="K156" s="171" t="s">
        <v>113</v>
      </c>
      <c r="L156" s="171" t="s">
        <v>114</v>
      </c>
      <c r="M156" s="178">
        <v>0.43</v>
      </c>
      <c r="N156" s="176"/>
      <c r="O156" s="176"/>
      <c r="P156" s="179">
        <v>-8.8000000000000007</v>
      </c>
    </row>
    <row r="157" spans="1:16" ht="19.5" customHeight="1">
      <c r="A157" s="171" t="s">
        <v>175</v>
      </c>
      <c r="B157" s="175">
        <v>46035</v>
      </c>
      <c r="C157" s="171" t="s">
        <v>110</v>
      </c>
      <c r="D157" s="171" t="s">
        <v>24</v>
      </c>
      <c r="E157" s="171" t="s">
        <v>78</v>
      </c>
      <c r="F157" s="171" t="s">
        <v>176</v>
      </c>
      <c r="G157" s="171" t="s">
        <v>177</v>
      </c>
      <c r="H157" s="176">
        <v>1</v>
      </c>
      <c r="I157" s="177">
        <v>0</v>
      </c>
      <c r="J157" s="175">
        <v>46029</v>
      </c>
      <c r="K157" s="171" t="s">
        <v>113</v>
      </c>
      <c r="L157" s="171" t="s">
        <v>114</v>
      </c>
      <c r="M157" s="178">
        <v>0</v>
      </c>
      <c r="N157" s="176"/>
      <c r="O157" s="176">
        <v>46</v>
      </c>
      <c r="P157" s="179">
        <v>-56.94</v>
      </c>
    </row>
    <row r="158" spans="1:16" ht="19.5" customHeight="1">
      <c r="A158" s="171" t="s">
        <v>175</v>
      </c>
      <c r="B158" s="175">
        <v>46035</v>
      </c>
      <c r="C158" s="171" t="s">
        <v>115</v>
      </c>
      <c r="D158" s="171" t="s">
        <v>116</v>
      </c>
      <c r="E158" s="171" t="s">
        <v>78</v>
      </c>
      <c r="F158" s="171" t="s">
        <v>176</v>
      </c>
      <c r="G158" s="171" t="s">
        <v>177</v>
      </c>
      <c r="H158" s="176">
        <v>1</v>
      </c>
      <c r="I158" s="177">
        <v>0</v>
      </c>
      <c r="J158" s="175">
        <v>46029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-12.16</v>
      </c>
    </row>
    <row r="159" spans="1:16" ht="19.5" customHeight="1">
      <c r="A159" s="171" t="s">
        <v>175</v>
      </c>
      <c r="B159" s="175">
        <v>46035</v>
      </c>
      <c r="C159" s="171" t="s">
        <v>110</v>
      </c>
      <c r="D159" s="171" t="s">
        <v>117</v>
      </c>
      <c r="E159" s="171" t="s">
        <v>78</v>
      </c>
      <c r="F159" s="171" t="s">
        <v>176</v>
      </c>
      <c r="G159" s="171" t="s">
        <v>177</v>
      </c>
      <c r="H159" s="176">
        <v>1</v>
      </c>
      <c r="I159" s="177">
        <v>0</v>
      </c>
      <c r="J159" s="175">
        <v>46029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0</v>
      </c>
    </row>
    <row r="160" spans="1:16" ht="19.5" customHeight="1">
      <c r="A160" s="171" t="s">
        <v>175</v>
      </c>
      <c r="B160" s="175">
        <v>46035</v>
      </c>
      <c r="C160" s="171" t="s">
        <v>110</v>
      </c>
      <c r="D160" s="171" t="s">
        <v>118</v>
      </c>
      <c r="E160" s="171" t="s">
        <v>78</v>
      </c>
      <c r="F160" s="171" t="s">
        <v>176</v>
      </c>
      <c r="G160" s="171" t="s">
        <v>177</v>
      </c>
      <c r="H160" s="176">
        <v>1</v>
      </c>
      <c r="I160" s="177">
        <v>0</v>
      </c>
      <c r="J160" s="175">
        <v>46029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-56.94</v>
      </c>
    </row>
    <row r="161" spans="1:16" ht="19.5" customHeight="1">
      <c r="A161" s="171" t="s">
        <v>175</v>
      </c>
      <c r="B161" s="175">
        <v>46035</v>
      </c>
      <c r="C161" s="171" t="s">
        <v>115</v>
      </c>
      <c r="D161" s="171" t="s">
        <v>119</v>
      </c>
      <c r="E161" s="171" t="s">
        <v>78</v>
      </c>
      <c r="F161" s="171" t="s">
        <v>176</v>
      </c>
      <c r="G161" s="171" t="s">
        <v>177</v>
      </c>
      <c r="H161" s="176">
        <v>1</v>
      </c>
      <c r="I161" s="177">
        <v>0</v>
      </c>
      <c r="J161" s="175">
        <v>46029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-15</v>
      </c>
    </row>
    <row r="162" spans="1:16" ht="19.5" customHeight="1">
      <c r="A162" s="171" t="s">
        <v>178</v>
      </c>
      <c r="B162" s="175">
        <v>46035</v>
      </c>
      <c r="C162" s="171" t="s">
        <v>110</v>
      </c>
      <c r="D162" s="171" t="s">
        <v>24</v>
      </c>
      <c r="E162" s="171" t="s">
        <v>78</v>
      </c>
      <c r="F162" s="171" t="s">
        <v>176</v>
      </c>
      <c r="G162" s="171" t="s">
        <v>177</v>
      </c>
      <c r="H162" s="176">
        <v>1</v>
      </c>
      <c r="I162" s="177">
        <v>0</v>
      </c>
      <c r="J162" s="175">
        <v>46024</v>
      </c>
      <c r="K162" s="171" t="s">
        <v>113</v>
      </c>
      <c r="L162" s="171" t="s">
        <v>114</v>
      </c>
      <c r="M162" s="178">
        <v>0</v>
      </c>
      <c r="N162" s="176"/>
      <c r="O162" s="176">
        <v>39</v>
      </c>
      <c r="P162" s="179">
        <v>-56.94</v>
      </c>
    </row>
    <row r="163" spans="1:16" ht="19.5" customHeight="1">
      <c r="A163" s="171" t="s">
        <v>178</v>
      </c>
      <c r="B163" s="175">
        <v>46035</v>
      </c>
      <c r="C163" s="171" t="s">
        <v>110</v>
      </c>
      <c r="D163" s="171" t="s">
        <v>117</v>
      </c>
      <c r="E163" s="171" t="s">
        <v>78</v>
      </c>
      <c r="F163" s="171" t="s">
        <v>176</v>
      </c>
      <c r="G163" s="171" t="s">
        <v>177</v>
      </c>
      <c r="H163" s="176">
        <v>1</v>
      </c>
      <c r="I163" s="177">
        <v>0</v>
      </c>
      <c r="J163" s="175">
        <v>46024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178</v>
      </c>
      <c r="B164" s="175">
        <v>46035</v>
      </c>
      <c r="C164" s="171" t="s">
        <v>110</v>
      </c>
      <c r="D164" s="171" t="s">
        <v>118</v>
      </c>
      <c r="E164" s="171" t="s">
        <v>78</v>
      </c>
      <c r="F164" s="171" t="s">
        <v>176</v>
      </c>
      <c r="G164" s="171" t="s">
        <v>177</v>
      </c>
      <c r="H164" s="176">
        <v>1</v>
      </c>
      <c r="I164" s="177">
        <v>0</v>
      </c>
      <c r="J164" s="175">
        <v>46024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-56.94</v>
      </c>
    </row>
    <row r="165" spans="1:16" ht="19.5" customHeight="1">
      <c r="A165" s="171" t="s">
        <v>150</v>
      </c>
      <c r="B165" s="175">
        <v>46035</v>
      </c>
      <c r="C165" s="171" t="s">
        <v>151</v>
      </c>
      <c r="D165" s="171" t="s">
        <v>152</v>
      </c>
      <c r="E165" s="171" t="s">
        <v>125</v>
      </c>
      <c r="F165" s="171" t="s">
        <v>125</v>
      </c>
      <c r="G165" s="171" t="s">
        <v>125</v>
      </c>
      <c r="H165" s="176">
        <v>0</v>
      </c>
      <c r="I165" s="177">
        <v>0</v>
      </c>
      <c r="J165" s="175">
        <v>46035</v>
      </c>
      <c r="K165" s="171" t="s">
        <v>125</v>
      </c>
      <c r="L165" s="171" t="s">
        <v>125</v>
      </c>
      <c r="M165" s="178">
        <v>0</v>
      </c>
      <c r="N165" s="176"/>
      <c r="O165" s="176"/>
      <c r="P165" s="179">
        <v>-2237.35</v>
      </c>
    </row>
    <row r="166" spans="1:16" ht="19.5" customHeight="1">
      <c r="A166" s="171" t="s">
        <v>155</v>
      </c>
      <c r="B166" s="175">
        <v>46035</v>
      </c>
      <c r="C166" s="171" t="s">
        <v>151</v>
      </c>
      <c r="D166" s="171" t="s">
        <v>156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46035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-459.7</v>
      </c>
    </row>
    <row r="167" spans="1:16" ht="19.5" customHeight="1">
      <c r="A167" s="171" t="s">
        <v>179</v>
      </c>
      <c r="B167" s="175">
        <v>46035</v>
      </c>
      <c r="C167" s="171" t="s">
        <v>151</v>
      </c>
      <c r="D167" s="171" t="s">
        <v>152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46035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-226.35</v>
      </c>
    </row>
    <row r="168" spans="1:16" ht="19.5" customHeight="1">
      <c r="A168" s="171" t="s">
        <v>180</v>
      </c>
      <c r="B168" s="175">
        <v>46035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46035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-238.5</v>
      </c>
    </row>
    <row r="169" spans="1:16" ht="19.5" customHeight="1">
      <c r="A169" s="171" t="s">
        <v>181</v>
      </c>
      <c r="B169" s="175">
        <v>46036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46036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-5.9</v>
      </c>
    </row>
    <row r="170" spans="1:16" ht="19.5" customHeight="1">
      <c r="A170" s="171" t="s">
        <v>182</v>
      </c>
      <c r="B170" s="175">
        <v>46036</v>
      </c>
      <c r="C170" s="171" t="s">
        <v>115</v>
      </c>
      <c r="D170" s="171" t="s">
        <v>135</v>
      </c>
      <c r="E170" s="171" t="s">
        <v>38</v>
      </c>
      <c r="F170" s="171" t="s">
        <v>111</v>
      </c>
      <c r="G170" s="171" t="s">
        <v>112</v>
      </c>
      <c r="H170" s="176">
        <v>1</v>
      </c>
      <c r="I170" s="177">
        <v>0</v>
      </c>
      <c r="J170" s="175">
        <v>46036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-11.18</v>
      </c>
    </row>
    <row r="171" spans="1:16" ht="19.5" customHeight="1">
      <c r="A171" s="171" t="s">
        <v>183</v>
      </c>
      <c r="B171" s="175">
        <v>46036</v>
      </c>
      <c r="C171" s="171" t="s">
        <v>110</v>
      </c>
      <c r="D171" s="171" t="s">
        <v>24</v>
      </c>
      <c r="E171" s="171" t="s">
        <v>41</v>
      </c>
      <c r="F171" s="171" t="s">
        <v>138</v>
      </c>
      <c r="G171" s="171" t="s">
        <v>112</v>
      </c>
      <c r="H171" s="176">
        <v>1</v>
      </c>
      <c r="I171" s="177">
        <v>1687</v>
      </c>
      <c r="J171" s="175">
        <v>46034</v>
      </c>
      <c r="K171" s="171" t="s">
        <v>113</v>
      </c>
      <c r="L171" s="171" t="s">
        <v>114</v>
      </c>
      <c r="M171" s="178">
        <v>0.43</v>
      </c>
      <c r="N171" s="176"/>
      <c r="O171" s="176">
        <v>48</v>
      </c>
      <c r="P171" s="179">
        <v>-142.49</v>
      </c>
    </row>
    <row r="172" spans="1:16" ht="19.5" customHeight="1">
      <c r="A172" s="171" t="s">
        <v>183</v>
      </c>
      <c r="B172" s="175">
        <v>46036</v>
      </c>
      <c r="C172" s="171" t="s">
        <v>127</v>
      </c>
      <c r="D172" s="171" t="s">
        <v>128</v>
      </c>
      <c r="E172" s="171" t="s">
        <v>41</v>
      </c>
      <c r="F172" s="171" t="s">
        <v>138</v>
      </c>
      <c r="G172" s="171" t="s">
        <v>112</v>
      </c>
      <c r="H172" s="176">
        <v>1</v>
      </c>
      <c r="I172" s="177">
        <v>1687</v>
      </c>
      <c r="J172" s="175">
        <v>46034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578.9</v>
      </c>
    </row>
    <row r="173" spans="1:16" ht="19.5" customHeight="1">
      <c r="A173" s="171" t="s">
        <v>183</v>
      </c>
      <c r="B173" s="175">
        <v>46036</v>
      </c>
      <c r="C173" s="171" t="s">
        <v>127</v>
      </c>
      <c r="D173" s="171" t="s">
        <v>129</v>
      </c>
      <c r="E173" s="171" t="s">
        <v>41</v>
      </c>
      <c r="F173" s="171" t="s">
        <v>138</v>
      </c>
      <c r="G173" s="171" t="s">
        <v>112</v>
      </c>
      <c r="H173" s="176">
        <v>1</v>
      </c>
      <c r="I173" s="177">
        <v>1687</v>
      </c>
      <c r="J173" s="175">
        <v>46034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5.79</v>
      </c>
    </row>
    <row r="174" spans="1:16" ht="19.5" customHeight="1">
      <c r="A174" s="171" t="s">
        <v>183</v>
      </c>
      <c r="B174" s="175">
        <v>46036</v>
      </c>
      <c r="C174" s="171" t="s">
        <v>127</v>
      </c>
      <c r="D174" s="171" t="s">
        <v>130</v>
      </c>
      <c r="E174" s="171" t="s">
        <v>41</v>
      </c>
      <c r="F174" s="171" t="s">
        <v>138</v>
      </c>
      <c r="G174" s="171" t="s">
        <v>112</v>
      </c>
      <c r="H174" s="176">
        <v>1</v>
      </c>
      <c r="I174" s="177">
        <v>1687</v>
      </c>
      <c r="J174" s="175">
        <v>46034</v>
      </c>
      <c r="K174" s="171" t="s">
        <v>113</v>
      </c>
      <c r="L174" s="171" t="s">
        <v>114</v>
      </c>
      <c r="M174" s="178">
        <v>0</v>
      </c>
      <c r="N174" s="176"/>
      <c r="O174" s="176"/>
      <c r="P174" s="179">
        <v>1102.31</v>
      </c>
    </row>
    <row r="175" spans="1:16" ht="19.5" customHeight="1">
      <c r="A175" s="171" t="s">
        <v>183</v>
      </c>
      <c r="B175" s="175">
        <v>46036</v>
      </c>
      <c r="C175" s="171" t="s">
        <v>131</v>
      </c>
      <c r="D175" s="171" t="s">
        <v>132</v>
      </c>
      <c r="E175" s="171" t="s">
        <v>41</v>
      </c>
      <c r="F175" s="171" t="s">
        <v>138</v>
      </c>
      <c r="G175" s="171" t="s">
        <v>112</v>
      </c>
      <c r="H175" s="176">
        <v>1</v>
      </c>
      <c r="I175" s="177">
        <v>1687</v>
      </c>
      <c r="J175" s="175">
        <v>46034</v>
      </c>
      <c r="K175" s="171" t="s">
        <v>113</v>
      </c>
      <c r="L175" s="171" t="s">
        <v>114</v>
      </c>
      <c r="M175" s="178">
        <v>0.43</v>
      </c>
      <c r="N175" s="176"/>
      <c r="O175" s="176"/>
      <c r="P175" s="179">
        <v>-725.41</v>
      </c>
    </row>
    <row r="176" spans="1:16" ht="19.5" customHeight="1">
      <c r="A176" s="171" t="s">
        <v>183</v>
      </c>
      <c r="B176" s="175">
        <v>46036</v>
      </c>
      <c r="C176" s="171" t="s">
        <v>115</v>
      </c>
      <c r="D176" s="171" t="s">
        <v>116</v>
      </c>
      <c r="E176" s="171" t="s">
        <v>41</v>
      </c>
      <c r="F176" s="171" t="s">
        <v>138</v>
      </c>
      <c r="G176" s="171" t="s">
        <v>112</v>
      </c>
      <c r="H176" s="176">
        <v>1</v>
      </c>
      <c r="I176" s="177">
        <v>1687</v>
      </c>
      <c r="J176" s="175">
        <v>46034</v>
      </c>
      <c r="K176" s="171" t="s">
        <v>113</v>
      </c>
      <c r="L176" s="171" t="s">
        <v>114</v>
      </c>
      <c r="M176" s="178">
        <v>0.43</v>
      </c>
      <c r="N176" s="176"/>
      <c r="O176" s="176"/>
      <c r="P176" s="179">
        <v>-10.87</v>
      </c>
    </row>
    <row r="177" spans="1:16" ht="19.5" customHeight="1">
      <c r="A177" s="171" t="s">
        <v>183</v>
      </c>
      <c r="B177" s="175">
        <v>46036</v>
      </c>
      <c r="C177" s="171" t="s">
        <v>115</v>
      </c>
      <c r="D177" s="171" t="s">
        <v>135</v>
      </c>
      <c r="E177" s="171" t="s">
        <v>41</v>
      </c>
      <c r="F177" s="171" t="s">
        <v>138</v>
      </c>
      <c r="G177" s="171" t="s">
        <v>112</v>
      </c>
      <c r="H177" s="176">
        <v>1</v>
      </c>
      <c r="I177" s="177">
        <v>0</v>
      </c>
      <c r="J177" s="175">
        <v>46034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-11</v>
      </c>
    </row>
    <row r="178" spans="1:16" ht="19.5" customHeight="1">
      <c r="A178" s="171" t="s">
        <v>184</v>
      </c>
      <c r="B178" s="175">
        <v>46036</v>
      </c>
      <c r="C178" s="171" t="s">
        <v>115</v>
      </c>
      <c r="D178" s="171" t="s">
        <v>135</v>
      </c>
      <c r="E178" s="171" t="s">
        <v>71</v>
      </c>
      <c r="F178" s="171" t="s">
        <v>185</v>
      </c>
      <c r="G178" s="171" t="s">
        <v>177</v>
      </c>
      <c r="H178" s="176">
        <v>1</v>
      </c>
      <c r="I178" s="177">
        <v>0</v>
      </c>
      <c r="J178" s="175">
        <v>46036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-41.86</v>
      </c>
    </row>
    <row r="179" spans="1:16" ht="19.5" customHeight="1">
      <c r="A179" s="171" t="s">
        <v>186</v>
      </c>
      <c r="B179" s="175">
        <v>46036</v>
      </c>
      <c r="C179" s="171" t="s">
        <v>110</v>
      </c>
      <c r="D179" s="171" t="s">
        <v>121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186</v>
      </c>
      <c r="B180" s="175">
        <v>46036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186</v>
      </c>
      <c r="B181" s="175">
        <v>46036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187</v>
      </c>
      <c r="B182" s="175">
        <v>46036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1704</v>
      </c>
      <c r="J182" s="175">
        <v>46025</v>
      </c>
      <c r="K182" s="171" t="s">
        <v>113</v>
      </c>
      <c r="L182" s="171" t="s">
        <v>114</v>
      </c>
      <c r="M182" s="178">
        <v>0.43</v>
      </c>
      <c r="N182" s="176"/>
      <c r="O182" s="176">
        <v>39</v>
      </c>
      <c r="P182" s="179">
        <v>-110.12</v>
      </c>
    </row>
    <row r="183" spans="1:16" ht="19.5" customHeight="1">
      <c r="A183" s="171" t="s">
        <v>187</v>
      </c>
      <c r="B183" s="175">
        <v>46036</v>
      </c>
      <c r="C183" s="171" t="s">
        <v>127</v>
      </c>
      <c r="D183" s="171" t="s">
        <v>128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1704</v>
      </c>
      <c r="J183" s="175">
        <v>46025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585.71</v>
      </c>
    </row>
    <row r="184" spans="1:16" ht="19.5" customHeight="1">
      <c r="A184" s="171" t="s">
        <v>187</v>
      </c>
      <c r="B184" s="175">
        <v>46036</v>
      </c>
      <c r="C184" s="171" t="s">
        <v>127</v>
      </c>
      <c r="D184" s="171" t="s">
        <v>129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46025</v>
      </c>
      <c r="K184" s="171" t="s">
        <v>113</v>
      </c>
      <c r="L184" s="171" t="s">
        <v>114</v>
      </c>
      <c r="M184" s="178">
        <v>0</v>
      </c>
      <c r="N184" s="176"/>
      <c r="O184" s="176"/>
      <c r="P184" s="179">
        <v>5.86</v>
      </c>
    </row>
    <row r="185" spans="1:16" ht="19.5" customHeight="1">
      <c r="A185" s="171" t="s">
        <v>187</v>
      </c>
      <c r="B185" s="175">
        <v>46036</v>
      </c>
      <c r="C185" s="171" t="s">
        <v>127</v>
      </c>
      <c r="D185" s="171" t="s">
        <v>130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46025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1112.43</v>
      </c>
    </row>
    <row r="186" spans="1:16" ht="19.5" customHeight="1">
      <c r="A186" s="171" t="s">
        <v>187</v>
      </c>
      <c r="B186" s="175">
        <v>46036</v>
      </c>
      <c r="C186" s="171" t="s">
        <v>131</v>
      </c>
      <c r="D186" s="171" t="s">
        <v>132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46025</v>
      </c>
      <c r="K186" s="171" t="s">
        <v>113</v>
      </c>
      <c r="L186" s="171" t="s">
        <v>114</v>
      </c>
      <c r="M186" s="178">
        <v>0.43</v>
      </c>
      <c r="N186" s="176"/>
      <c r="O186" s="176"/>
      <c r="P186" s="179">
        <v>-732.72</v>
      </c>
    </row>
    <row r="187" spans="1:16" ht="19.5" customHeight="1">
      <c r="A187" s="171" t="s">
        <v>187</v>
      </c>
      <c r="B187" s="175">
        <v>46036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46025</v>
      </c>
      <c r="K187" s="171" t="s">
        <v>113</v>
      </c>
      <c r="L187" s="171" t="s">
        <v>114</v>
      </c>
      <c r="M187" s="178">
        <v>0.43</v>
      </c>
      <c r="N187" s="176"/>
      <c r="O187" s="176"/>
      <c r="P187" s="179">
        <v>-10.27</v>
      </c>
    </row>
    <row r="188" spans="1:16" ht="19.5" customHeight="1">
      <c r="A188" s="171" t="s">
        <v>188</v>
      </c>
      <c r="B188" s="175">
        <v>46036</v>
      </c>
      <c r="C188" s="171" t="s">
        <v>110</v>
      </c>
      <c r="D188" s="171" t="s">
        <v>24</v>
      </c>
      <c r="E188" s="171" t="s">
        <v>40</v>
      </c>
      <c r="F188" s="171" t="s">
        <v>149</v>
      </c>
      <c r="G188" s="171" t="s">
        <v>112</v>
      </c>
      <c r="H188" s="176">
        <v>1</v>
      </c>
      <c r="I188" s="177">
        <v>1206</v>
      </c>
      <c r="J188" s="175">
        <v>46025</v>
      </c>
      <c r="K188" s="171" t="s">
        <v>113</v>
      </c>
      <c r="L188" s="171" t="s">
        <v>114</v>
      </c>
      <c r="M188" s="178">
        <v>0.43</v>
      </c>
      <c r="N188" s="176"/>
      <c r="O188" s="176">
        <v>39</v>
      </c>
      <c r="P188" s="179">
        <v>-98.16</v>
      </c>
    </row>
    <row r="189" spans="1:16" ht="19.5" customHeight="1">
      <c r="A189" s="171" t="s">
        <v>188</v>
      </c>
      <c r="B189" s="175">
        <v>46036</v>
      </c>
      <c r="C189" s="171" t="s">
        <v>127</v>
      </c>
      <c r="D189" s="171" t="s">
        <v>128</v>
      </c>
      <c r="E189" s="171" t="s">
        <v>40</v>
      </c>
      <c r="F189" s="171" t="s">
        <v>149</v>
      </c>
      <c r="G189" s="171" t="s">
        <v>112</v>
      </c>
      <c r="H189" s="176">
        <v>1</v>
      </c>
      <c r="I189" s="177">
        <v>1206</v>
      </c>
      <c r="J189" s="175">
        <v>46025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605.71</v>
      </c>
    </row>
    <row r="190" spans="1:16" ht="19.5" customHeight="1">
      <c r="A190" s="171" t="s">
        <v>188</v>
      </c>
      <c r="B190" s="175">
        <v>46036</v>
      </c>
      <c r="C190" s="171" t="s">
        <v>127</v>
      </c>
      <c r="D190" s="171" t="s">
        <v>129</v>
      </c>
      <c r="E190" s="171" t="s">
        <v>40</v>
      </c>
      <c r="F190" s="171" t="s">
        <v>149</v>
      </c>
      <c r="G190" s="171" t="s">
        <v>112</v>
      </c>
      <c r="H190" s="176">
        <v>1</v>
      </c>
      <c r="I190" s="177">
        <v>1206</v>
      </c>
      <c r="J190" s="175">
        <v>46025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6.06</v>
      </c>
    </row>
    <row r="191" spans="1:16" ht="19.5" customHeight="1">
      <c r="A191" s="171" t="s">
        <v>188</v>
      </c>
      <c r="B191" s="175">
        <v>46036</v>
      </c>
      <c r="C191" s="171" t="s">
        <v>127</v>
      </c>
      <c r="D191" s="171" t="s">
        <v>130</v>
      </c>
      <c r="E191" s="171" t="s">
        <v>40</v>
      </c>
      <c r="F191" s="171" t="s">
        <v>149</v>
      </c>
      <c r="G191" s="171" t="s">
        <v>112</v>
      </c>
      <c r="H191" s="176">
        <v>1</v>
      </c>
      <c r="I191" s="177">
        <v>1206</v>
      </c>
      <c r="J191" s="175">
        <v>46025</v>
      </c>
      <c r="K191" s="171" t="s">
        <v>113</v>
      </c>
      <c r="L191" s="171" t="s">
        <v>114</v>
      </c>
      <c r="M191" s="178">
        <v>0</v>
      </c>
      <c r="N191" s="176"/>
      <c r="O191" s="176"/>
      <c r="P191" s="179">
        <v>594.23</v>
      </c>
    </row>
    <row r="192" spans="1:16" ht="19.5" customHeight="1">
      <c r="A192" s="171" t="s">
        <v>188</v>
      </c>
      <c r="B192" s="175">
        <v>46036</v>
      </c>
      <c r="C192" s="171" t="s">
        <v>131</v>
      </c>
      <c r="D192" s="171" t="s">
        <v>132</v>
      </c>
      <c r="E192" s="171" t="s">
        <v>40</v>
      </c>
      <c r="F192" s="171" t="s">
        <v>149</v>
      </c>
      <c r="G192" s="171" t="s">
        <v>112</v>
      </c>
      <c r="H192" s="176">
        <v>1</v>
      </c>
      <c r="I192" s="177">
        <v>1206</v>
      </c>
      <c r="J192" s="175">
        <v>46025</v>
      </c>
      <c r="K192" s="171" t="s">
        <v>113</v>
      </c>
      <c r="L192" s="171" t="s">
        <v>114</v>
      </c>
      <c r="M192" s="178">
        <v>0.43</v>
      </c>
      <c r="N192" s="176"/>
      <c r="O192" s="176"/>
      <c r="P192" s="179">
        <v>-518.58000000000004</v>
      </c>
    </row>
    <row r="193" spans="1:16" ht="19.5" customHeight="1">
      <c r="A193" s="171" t="s">
        <v>188</v>
      </c>
      <c r="B193" s="175">
        <v>46036</v>
      </c>
      <c r="C193" s="171" t="s">
        <v>115</v>
      </c>
      <c r="D193" s="171" t="s">
        <v>116</v>
      </c>
      <c r="E193" s="171" t="s">
        <v>40</v>
      </c>
      <c r="F193" s="171" t="s">
        <v>149</v>
      </c>
      <c r="G193" s="171" t="s">
        <v>112</v>
      </c>
      <c r="H193" s="176">
        <v>1</v>
      </c>
      <c r="I193" s="177">
        <v>1206</v>
      </c>
      <c r="J193" s="175">
        <v>46025</v>
      </c>
      <c r="K193" s="171" t="s">
        <v>113</v>
      </c>
      <c r="L193" s="171" t="s">
        <v>114</v>
      </c>
      <c r="M193" s="178">
        <v>0.43</v>
      </c>
      <c r="N193" s="176"/>
      <c r="O193" s="176"/>
      <c r="P193" s="179">
        <v>-7.27</v>
      </c>
    </row>
    <row r="194" spans="1:16" ht="19.5" customHeight="1">
      <c r="A194" s="171" t="s">
        <v>189</v>
      </c>
      <c r="B194" s="175">
        <v>46036</v>
      </c>
      <c r="C194" s="171" t="s">
        <v>110</v>
      </c>
      <c r="D194" s="171" t="s">
        <v>24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891</v>
      </c>
      <c r="J194" s="175">
        <v>46036</v>
      </c>
      <c r="K194" s="171" t="s">
        <v>113</v>
      </c>
      <c r="L194" s="171" t="s">
        <v>114</v>
      </c>
      <c r="M194" s="178">
        <v>0.43</v>
      </c>
      <c r="N194" s="176"/>
      <c r="O194" s="176">
        <v>44</v>
      </c>
      <c r="P194" s="179">
        <v>-104.31</v>
      </c>
    </row>
    <row r="195" spans="1:16" ht="19.5" customHeight="1">
      <c r="A195" s="171" t="s">
        <v>189</v>
      </c>
      <c r="B195" s="175">
        <v>46036</v>
      </c>
      <c r="C195" s="171" t="s">
        <v>127</v>
      </c>
      <c r="D195" s="171" t="s">
        <v>128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891</v>
      </c>
      <c r="J195" s="175">
        <v>46036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339.05</v>
      </c>
    </row>
    <row r="196" spans="1:16" ht="19.5" customHeight="1">
      <c r="A196" s="171" t="s">
        <v>189</v>
      </c>
      <c r="B196" s="175">
        <v>46036</v>
      </c>
      <c r="C196" s="171" t="s">
        <v>127</v>
      </c>
      <c r="D196" s="171" t="s">
        <v>129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891</v>
      </c>
      <c r="J196" s="175">
        <v>46036</v>
      </c>
      <c r="K196" s="171" t="s">
        <v>113</v>
      </c>
      <c r="L196" s="171" t="s">
        <v>114</v>
      </c>
      <c r="M196" s="178">
        <v>0</v>
      </c>
      <c r="N196" s="176"/>
      <c r="O196" s="176"/>
      <c r="P196" s="179">
        <v>0</v>
      </c>
    </row>
    <row r="197" spans="1:16" ht="19.5" customHeight="1">
      <c r="A197" s="171" t="s">
        <v>189</v>
      </c>
      <c r="B197" s="175">
        <v>46036</v>
      </c>
      <c r="C197" s="171" t="s">
        <v>127</v>
      </c>
      <c r="D197" s="171" t="s">
        <v>130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891</v>
      </c>
      <c r="J197" s="175">
        <v>46036</v>
      </c>
      <c r="K197" s="171" t="s">
        <v>113</v>
      </c>
      <c r="L197" s="171" t="s">
        <v>114</v>
      </c>
      <c r="M197" s="178">
        <v>0</v>
      </c>
      <c r="N197" s="176"/>
      <c r="O197" s="176"/>
      <c r="P197" s="179">
        <v>551.95000000000005</v>
      </c>
    </row>
    <row r="198" spans="1:16" ht="19.5" customHeight="1">
      <c r="A198" s="171" t="s">
        <v>189</v>
      </c>
      <c r="B198" s="175">
        <v>46036</v>
      </c>
      <c r="C198" s="171" t="s">
        <v>131</v>
      </c>
      <c r="D198" s="171" t="s">
        <v>132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891</v>
      </c>
      <c r="J198" s="175">
        <v>46036</v>
      </c>
      <c r="K198" s="171" t="s">
        <v>113</v>
      </c>
      <c r="L198" s="171" t="s">
        <v>114</v>
      </c>
      <c r="M198" s="178">
        <v>0.43</v>
      </c>
      <c r="N198" s="176"/>
      <c r="O198" s="176"/>
      <c r="P198" s="179">
        <v>-383.13</v>
      </c>
    </row>
    <row r="199" spans="1:16" ht="19.5" customHeight="1">
      <c r="A199" s="171" t="s">
        <v>189</v>
      </c>
      <c r="B199" s="175">
        <v>46036</v>
      </c>
      <c r="C199" s="171" t="s">
        <v>115</v>
      </c>
      <c r="D199" s="171" t="s">
        <v>116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891</v>
      </c>
      <c r="J199" s="175">
        <v>46036</v>
      </c>
      <c r="K199" s="171" t="s">
        <v>113</v>
      </c>
      <c r="L199" s="171" t="s">
        <v>114</v>
      </c>
      <c r="M199" s="178">
        <v>0.43</v>
      </c>
      <c r="N199" s="176"/>
      <c r="O199" s="176"/>
      <c r="P199" s="179">
        <v>-8.7200000000000006</v>
      </c>
    </row>
    <row r="200" spans="1:16" ht="19.5" customHeight="1">
      <c r="A200" s="171" t="s">
        <v>188</v>
      </c>
      <c r="B200" s="175">
        <v>46036</v>
      </c>
      <c r="C200" s="171" t="s">
        <v>115</v>
      </c>
      <c r="D200" s="171" t="s">
        <v>135</v>
      </c>
      <c r="E200" s="171" t="s">
        <v>40</v>
      </c>
      <c r="F200" s="171" t="s">
        <v>149</v>
      </c>
      <c r="G200" s="171" t="s">
        <v>112</v>
      </c>
      <c r="H200" s="176">
        <v>1</v>
      </c>
      <c r="I200" s="177">
        <v>0</v>
      </c>
      <c r="J200" s="175">
        <v>46025</v>
      </c>
      <c r="K200" s="171" t="s">
        <v>125</v>
      </c>
      <c r="L200" s="171" t="s">
        <v>125</v>
      </c>
      <c r="M200" s="178">
        <v>0</v>
      </c>
      <c r="N200" s="176"/>
      <c r="O200" s="176"/>
      <c r="P200" s="179">
        <v>-11.51</v>
      </c>
    </row>
    <row r="201" spans="1:16" ht="19.5" customHeight="1">
      <c r="A201" s="171" t="s">
        <v>187</v>
      </c>
      <c r="B201" s="175">
        <v>46036</v>
      </c>
      <c r="C201" s="171" t="s">
        <v>115</v>
      </c>
      <c r="D201" s="171" t="s">
        <v>135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0</v>
      </c>
      <c r="J201" s="175">
        <v>46025</v>
      </c>
      <c r="K201" s="171" t="s">
        <v>125</v>
      </c>
      <c r="L201" s="171" t="s">
        <v>125</v>
      </c>
      <c r="M201" s="178">
        <v>0</v>
      </c>
      <c r="N201" s="176"/>
      <c r="O201" s="176"/>
      <c r="P201" s="179">
        <v>-11.13</v>
      </c>
    </row>
    <row r="202" spans="1:16" ht="19.5" customHeight="1">
      <c r="A202" s="171" t="s">
        <v>189</v>
      </c>
      <c r="B202" s="175">
        <v>46036</v>
      </c>
      <c r="C202" s="171" t="s">
        <v>115</v>
      </c>
      <c r="D202" s="171" t="s">
        <v>135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0</v>
      </c>
      <c r="J202" s="175">
        <v>46036</v>
      </c>
      <c r="K202" s="171" t="s">
        <v>125</v>
      </c>
      <c r="L202" s="171" t="s">
        <v>125</v>
      </c>
      <c r="M202" s="178">
        <v>0</v>
      </c>
      <c r="N202" s="176"/>
      <c r="O202" s="176"/>
      <c r="P202" s="179">
        <v>-1.82</v>
      </c>
    </row>
    <row r="203" spans="1:16" ht="19.5" customHeight="1">
      <c r="A203" s="171" t="s">
        <v>190</v>
      </c>
      <c r="B203" s="175">
        <v>46036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46033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11.02</v>
      </c>
    </row>
    <row r="204" spans="1:16" ht="19.5" customHeight="1">
      <c r="A204" s="171" t="s">
        <v>191</v>
      </c>
      <c r="B204" s="175">
        <v>46036</v>
      </c>
      <c r="C204" s="171" t="s">
        <v>110</v>
      </c>
      <c r="D204" s="171" t="s">
        <v>24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46032</v>
      </c>
      <c r="K204" s="171" t="s">
        <v>113</v>
      </c>
      <c r="L204" s="171" t="s">
        <v>114</v>
      </c>
      <c r="M204" s="178">
        <v>0</v>
      </c>
      <c r="N204" s="176"/>
      <c r="O204" s="176">
        <v>47</v>
      </c>
      <c r="P204" s="179">
        <v>-46.77</v>
      </c>
    </row>
    <row r="205" spans="1:16" ht="19.5" customHeight="1">
      <c r="A205" s="171" t="s">
        <v>191</v>
      </c>
      <c r="B205" s="175">
        <v>46036</v>
      </c>
      <c r="C205" s="171" t="s">
        <v>115</v>
      </c>
      <c r="D205" s="171" t="s">
        <v>116</v>
      </c>
      <c r="E205" s="171" t="s">
        <v>38</v>
      </c>
      <c r="F205" s="171" t="s">
        <v>111</v>
      </c>
      <c r="G205" s="171" t="s">
        <v>112</v>
      </c>
      <c r="H205" s="176">
        <v>1</v>
      </c>
      <c r="I205" s="177">
        <v>0</v>
      </c>
      <c r="J205" s="175">
        <v>46032</v>
      </c>
      <c r="K205" s="171" t="s">
        <v>113</v>
      </c>
      <c r="L205" s="171" t="s">
        <v>114</v>
      </c>
      <c r="M205" s="178">
        <v>0</v>
      </c>
      <c r="N205" s="176"/>
      <c r="O205" s="176"/>
      <c r="P205" s="179">
        <v>-9.76</v>
      </c>
    </row>
    <row r="206" spans="1:16" ht="19.5" customHeight="1">
      <c r="A206" s="171" t="s">
        <v>191</v>
      </c>
      <c r="B206" s="175">
        <v>46036</v>
      </c>
      <c r="C206" s="171" t="s">
        <v>110</v>
      </c>
      <c r="D206" s="171" t="s">
        <v>117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0</v>
      </c>
      <c r="J206" s="175">
        <v>46032</v>
      </c>
      <c r="K206" s="171" t="s">
        <v>113</v>
      </c>
      <c r="L206" s="171" t="s">
        <v>114</v>
      </c>
      <c r="M206" s="178">
        <v>0</v>
      </c>
      <c r="N206" s="176"/>
      <c r="O206" s="176"/>
      <c r="P206" s="179">
        <v>0</v>
      </c>
    </row>
    <row r="207" spans="1:16" ht="19.5" customHeight="1">
      <c r="A207" s="171" t="s">
        <v>191</v>
      </c>
      <c r="B207" s="175">
        <v>46036</v>
      </c>
      <c r="C207" s="171" t="s">
        <v>110</v>
      </c>
      <c r="D207" s="171" t="s">
        <v>118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0</v>
      </c>
      <c r="J207" s="175">
        <v>46032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-46.77</v>
      </c>
    </row>
    <row r="208" spans="1:16" ht="19.5" customHeight="1">
      <c r="A208" s="171" t="s">
        <v>191</v>
      </c>
      <c r="B208" s="175">
        <v>46036</v>
      </c>
      <c r="C208" s="171" t="s">
        <v>115</v>
      </c>
      <c r="D208" s="171" t="s">
        <v>119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0</v>
      </c>
      <c r="J208" s="175">
        <v>46032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-15</v>
      </c>
    </row>
    <row r="209" spans="1:16" ht="19.5" customHeight="1">
      <c r="A209" s="171" t="s">
        <v>192</v>
      </c>
      <c r="B209" s="175">
        <v>46036</v>
      </c>
      <c r="C209" s="171" t="s">
        <v>110</v>
      </c>
      <c r="D209" s="171" t="s">
        <v>24</v>
      </c>
      <c r="E209" s="171" t="s">
        <v>40</v>
      </c>
      <c r="F209" s="171" t="s">
        <v>149</v>
      </c>
      <c r="G209" s="171" t="s">
        <v>112</v>
      </c>
      <c r="H209" s="176">
        <v>1</v>
      </c>
      <c r="I209" s="177">
        <v>1206</v>
      </c>
      <c r="J209" s="175">
        <v>46034</v>
      </c>
      <c r="K209" s="171" t="s">
        <v>113</v>
      </c>
      <c r="L209" s="171" t="s">
        <v>114</v>
      </c>
      <c r="M209" s="178">
        <v>0.43</v>
      </c>
      <c r="N209" s="176"/>
      <c r="O209" s="176">
        <v>48</v>
      </c>
      <c r="P209" s="179">
        <v>-124.93</v>
      </c>
    </row>
    <row r="210" spans="1:16" ht="19.5" customHeight="1">
      <c r="A210" s="171" t="s">
        <v>192</v>
      </c>
      <c r="B210" s="175">
        <v>46036</v>
      </c>
      <c r="C210" s="171" t="s">
        <v>127</v>
      </c>
      <c r="D210" s="171" t="s">
        <v>128</v>
      </c>
      <c r="E210" s="171" t="s">
        <v>40</v>
      </c>
      <c r="F210" s="171" t="s">
        <v>149</v>
      </c>
      <c r="G210" s="171" t="s">
        <v>112</v>
      </c>
      <c r="H210" s="176">
        <v>1</v>
      </c>
      <c r="I210" s="177">
        <v>1206</v>
      </c>
      <c r="J210" s="175">
        <v>46034</v>
      </c>
      <c r="K210" s="171" t="s">
        <v>113</v>
      </c>
      <c r="L210" s="171" t="s">
        <v>114</v>
      </c>
      <c r="M210" s="178">
        <v>0</v>
      </c>
      <c r="N210" s="176"/>
      <c r="O210" s="176"/>
      <c r="P210" s="179">
        <v>627.97</v>
      </c>
    </row>
    <row r="211" spans="1:16" ht="19.5" customHeight="1">
      <c r="A211" s="171" t="s">
        <v>192</v>
      </c>
      <c r="B211" s="175">
        <v>46036</v>
      </c>
      <c r="C211" s="171" t="s">
        <v>127</v>
      </c>
      <c r="D211" s="171" t="s">
        <v>129</v>
      </c>
      <c r="E211" s="171" t="s">
        <v>40</v>
      </c>
      <c r="F211" s="171" t="s">
        <v>149</v>
      </c>
      <c r="G211" s="171" t="s">
        <v>112</v>
      </c>
      <c r="H211" s="176">
        <v>1</v>
      </c>
      <c r="I211" s="177">
        <v>1206</v>
      </c>
      <c r="J211" s="175">
        <v>46034</v>
      </c>
      <c r="K211" s="171" t="s">
        <v>113</v>
      </c>
      <c r="L211" s="171" t="s">
        <v>114</v>
      </c>
      <c r="M211" s="178">
        <v>0</v>
      </c>
      <c r="N211" s="176"/>
      <c r="O211" s="176"/>
      <c r="P211" s="179">
        <v>6.28</v>
      </c>
    </row>
    <row r="212" spans="1:16" ht="19.5" customHeight="1">
      <c r="A212" s="171" t="s">
        <v>192</v>
      </c>
      <c r="B212" s="175">
        <v>46036</v>
      </c>
      <c r="C212" s="171" t="s">
        <v>127</v>
      </c>
      <c r="D212" s="171" t="s">
        <v>130</v>
      </c>
      <c r="E212" s="171" t="s">
        <v>40</v>
      </c>
      <c r="F212" s="171" t="s">
        <v>149</v>
      </c>
      <c r="G212" s="171" t="s">
        <v>112</v>
      </c>
      <c r="H212" s="176">
        <v>1</v>
      </c>
      <c r="I212" s="177">
        <v>1206</v>
      </c>
      <c r="J212" s="175">
        <v>46034</v>
      </c>
      <c r="K212" s="171" t="s">
        <v>113</v>
      </c>
      <c r="L212" s="171" t="s">
        <v>114</v>
      </c>
      <c r="M212" s="178">
        <v>0</v>
      </c>
      <c r="N212" s="176"/>
      <c r="O212" s="176"/>
      <c r="P212" s="179">
        <v>571.75</v>
      </c>
    </row>
    <row r="213" spans="1:16" ht="19.5" customHeight="1">
      <c r="A213" s="171" t="s">
        <v>192</v>
      </c>
      <c r="B213" s="175">
        <v>46036</v>
      </c>
      <c r="C213" s="171" t="s">
        <v>131</v>
      </c>
      <c r="D213" s="171" t="s">
        <v>132</v>
      </c>
      <c r="E213" s="171" t="s">
        <v>40</v>
      </c>
      <c r="F213" s="171" t="s">
        <v>149</v>
      </c>
      <c r="G213" s="171" t="s">
        <v>112</v>
      </c>
      <c r="H213" s="176">
        <v>1</v>
      </c>
      <c r="I213" s="177">
        <v>1206</v>
      </c>
      <c r="J213" s="175">
        <v>46034</v>
      </c>
      <c r="K213" s="171" t="s">
        <v>113</v>
      </c>
      <c r="L213" s="171" t="s">
        <v>114</v>
      </c>
      <c r="M213" s="178">
        <v>0.43</v>
      </c>
      <c r="N213" s="176"/>
      <c r="O213" s="176"/>
      <c r="P213" s="179">
        <v>-518.58000000000004</v>
      </c>
    </row>
    <row r="214" spans="1:16" ht="19.5" customHeight="1">
      <c r="A214" s="171" t="s">
        <v>192</v>
      </c>
      <c r="B214" s="175">
        <v>46036</v>
      </c>
      <c r="C214" s="171" t="s">
        <v>115</v>
      </c>
      <c r="D214" s="171" t="s">
        <v>116</v>
      </c>
      <c r="E214" s="171" t="s">
        <v>40</v>
      </c>
      <c r="F214" s="171" t="s">
        <v>149</v>
      </c>
      <c r="G214" s="171" t="s">
        <v>112</v>
      </c>
      <c r="H214" s="176">
        <v>1</v>
      </c>
      <c r="I214" s="177">
        <v>1206</v>
      </c>
      <c r="J214" s="175">
        <v>46034</v>
      </c>
      <c r="K214" s="171" t="s">
        <v>113</v>
      </c>
      <c r="L214" s="171" t="s">
        <v>114</v>
      </c>
      <c r="M214" s="178">
        <v>0.43</v>
      </c>
      <c r="N214" s="176"/>
      <c r="O214" s="176"/>
      <c r="P214" s="179">
        <v>-11.52</v>
      </c>
    </row>
    <row r="215" spans="1:16" ht="19.5" customHeight="1">
      <c r="A215" s="171" t="s">
        <v>193</v>
      </c>
      <c r="B215" s="175">
        <v>46036</v>
      </c>
      <c r="C215" s="171" t="s">
        <v>115</v>
      </c>
      <c r="D215" s="171" t="s">
        <v>135</v>
      </c>
      <c r="E215" s="171" t="s">
        <v>77</v>
      </c>
      <c r="F215" s="171" t="s">
        <v>194</v>
      </c>
      <c r="G215" s="171" t="s">
        <v>177</v>
      </c>
      <c r="H215" s="176">
        <v>1</v>
      </c>
      <c r="I215" s="177">
        <v>0</v>
      </c>
      <c r="J215" s="175">
        <v>46036</v>
      </c>
      <c r="K215" s="171" t="s">
        <v>125</v>
      </c>
      <c r="L215" s="171" t="s">
        <v>125</v>
      </c>
      <c r="M215" s="178">
        <v>0</v>
      </c>
      <c r="N215" s="176"/>
      <c r="O215" s="176"/>
      <c r="P215" s="179">
        <v>-43.7</v>
      </c>
    </row>
    <row r="216" spans="1:16" ht="19.5" customHeight="1">
      <c r="A216" s="171" t="s">
        <v>195</v>
      </c>
      <c r="B216" s="175">
        <v>46036</v>
      </c>
      <c r="C216" s="171" t="s">
        <v>110</v>
      </c>
      <c r="D216" s="171" t="s">
        <v>24</v>
      </c>
      <c r="E216" s="171" t="s">
        <v>38</v>
      </c>
      <c r="F216" s="171" t="s">
        <v>111</v>
      </c>
      <c r="G216" s="171" t="s">
        <v>112</v>
      </c>
      <c r="H216" s="176">
        <v>1</v>
      </c>
      <c r="I216" s="177">
        <v>1704</v>
      </c>
      <c r="J216" s="175">
        <v>46033</v>
      </c>
      <c r="K216" s="171" t="s">
        <v>113</v>
      </c>
      <c r="L216" s="171" t="s">
        <v>114</v>
      </c>
      <c r="M216" s="178">
        <v>0.43</v>
      </c>
      <c r="N216" s="176"/>
      <c r="O216" s="176">
        <v>50</v>
      </c>
      <c r="P216" s="179">
        <v>-147.07</v>
      </c>
    </row>
    <row r="217" spans="1:16" ht="19.5" customHeight="1">
      <c r="A217" s="171" t="s">
        <v>195</v>
      </c>
      <c r="B217" s="175">
        <v>46036</v>
      </c>
      <c r="C217" s="171" t="s">
        <v>127</v>
      </c>
      <c r="D217" s="171" t="s">
        <v>128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46033</v>
      </c>
      <c r="K217" s="171" t="s">
        <v>113</v>
      </c>
      <c r="L217" s="171" t="s">
        <v>114</v>
      </c>
      <c r="M217" s="178">
        <v>0</v>
      </c>
      <c r="N217" s="176"/>
      <c r="O217" s="176"/>
      <c r="P217" s="179">
        <v>647</v>
      </c>
    </row>
    <row r="218" spans="1:16" ht="19.5" customHeight="1">
      <c r="A218" s="171" t="s">
        <v>195</v>
      </c>
      <c r="B218" s="175">
        <v>46036</v>
      </c>
      <c r="C218" s="171" t="s">
        <v>127</v>
      </c>
      <c r="D218" s="171" t="s">
        <v>129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46033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6.47</v>
      </c>
    </row>
    <row r="219" spans="1:16" ht="19.5" customHeight="1">
      <c r="A219" s="171" t="s">
        <v>195</v>
      </c>
      <c r="B219" s="175">
        <v>46036</v>
      </c>
      <c r="C219" s="171" t="s">
        <v>127</v>
      </c>
      <c r="D219" s="171" t="s">
        <v>130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46033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1050.53</v>
      </c>
    </row>
    <row r="220" spans="1:16" ht="19.5" customHeight="1">
      <c r="A220" s="171" t="s">
        <v>195</v>
      </c>
      <c r="B220" s="175">
        <v>46036</v>
      </c>
      <c r="C220" s="171" t="s">
        <v>131</v>
      </c>
      <c r="D220" s="171" t="s">
        <v>132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46033</v>
      </c>
      <c r="K220" s="171" t="s">
        <v>113</v>
      </c>
      <c r="L220" s="171" t="s">
        <v>114</v>
      </c>
      <c r="M220" s="178">
        <v>0.43</v>
      </c>
      <c r="N220" s="176"/>
      <c r="O220" s="176"/>
      <c r="P220" s="179">
        <v>-732.72</v>
      </c>
    </row>
    <row r="221" spans="1:16" ht="19.5" customHeight="1">
      <c r="A221" s="171" t="s">
        <v>195</v>
      </c>
      <c r="B221" s="175">
        <v>46036</v>
      </c>
      <c r="C221" s="171" t="s">
        <v>115</v>
      </c>
      <c r="D221" s="171" t="s">
        <v>116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46033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-10.56</v>
      </c>
    </row>
    <row r="222" spans="1:16" ht="19.5" customHeight="1">
      <c r="A222" s="171" t="s">
        <v>195</v>
      </c>
      <c r="B222" s="175">
        <v>46036</v>
      </c>
      <c r="C222" s="171" t="s">
        <v>115</v>
      </c>
      <c r="D222" s="171" t="s">
        <v>135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0</v>
      </c>
      <c r="J222" s="175">
        <v>46033</v>
      </c>
      <c r="K222" s="171" t="s">
        <v>125</v>
      </c>
      <c r="L222" s="171" t="s">
        <v>125</v>
      </c>
      <c r="M222" s="178">
        <v>0</v>
      </c>
      <c r="N222" s="176"/>
      <c r="O222" s="176"/>
      <c r="P222" s="179">
        <v>-12.29</v>
      </c>
    </row>
    <row r="223" spans="1:16" ht="19.5" customHeight="1">
      <c r="A223" s="171" t="s">
        <v>155</v>
      </c>
      <c r="B223" s="175">
        <v>46036</v>
      </c>
      <c r="C223" s="171" t="s">
        <v>151</v>
      </c>
      <c r="D223" s="171" t="s">
        <v>156</v>
      </c>
      <c r="E223" s="171" t="s">
        <v>125</v>
      </c>
      <c r="F223" s="171" t="s">
        <v>125</v>
      </c>
      <c r="G223" s="171" t="s">
        <v>125</v>
      </c>
      <c r="H223" s="176">
        <v>0</v>
      </c>
      <c r="I223" s="177">
        <v>0</v>
      </c>
      <c r="J223" s="175">
        <v>46036</v>
      </c>
      <c r="K223" s="171" t="s">
        <v>125</v>
      </c>
      <c r="L223" s="171" t="s">
        <v>125</v>
      </c>
      <c r="M223" s="178">
        <v>0</v>
      </c>
      <c r="N223" s="176"/>
      <c r="O223" s="176"/>
      <c r="P223" s="179">
        <v>-1580.7</v>
      </c>
    </row>
    <row r="224" spans="1:16" ht="19.5" customHeight="1">
      <c r="A224" s="171" t="s">
        <v>150</v>
      </c>
      <c r="B224" s="175">
        <v>46036</v>
      </c>
      <c r="C224" s="171" t="s">
        <v>151</v>
      </c>
      <c r="D224" s="171" t="s">
        <v>152</v>
      </c>
      <c r="E224" s="171" t="s">
        <v>125</v>
      </c>
      <c r="F224" s="171" t="s">
        <v>125</v>
      </c>
      <c r="G224" s="171" t="s">
        <v>125</v>
      </c>
      <c r="H224" s="176">
        <v>0</v>
      </c>
      <c r="I224" s="177">
        <v>0</v>
      </c>
      <c r="J224" s="175">
        <v>46036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-1289.83</v>
      </c>
    </row>
    <row r="225" spans="1:16" ht="19.5" customHeight="1">
      <c r="A225" s="171" t="s">
        <v>179</v>
      </c>
      <c r="B225" s="175">
        <v>46036</v>
      </c>
      <c r="C225" s="171" t="s">
        <v>151</v>
      </c>
      <c r="D225" s="171" t="s">
        <v>152</v>
      </c>
      <c r="E225" s="171" t="s">
        <v>125</v>
      </c>
      <c r="F225" s="171" t="s">
        <v>125</v>
      </c>
      <c r="G225" s="171" t="s">
        <v>125</v>
      </c>
      <c r="H225" s="176">
        <v>0</v>
      </c>
      <c r="I225" s="177">
        <v>0</v>
      </c>
      <c r="J225" s="175">
        <v>46036</v>
      </c>
      <c r="K225" s="171" t="s">
        <v>125</v>
      </c>
      <c r="L225" s="171" t="s">
        <v>125</v>
      </c>
      <c r="M225" s="178">
        <v>0</v>
      </c>
      <c r="N225" s="176"/>
      <c r="O225" s="176"/>
      <c r="P225" s="179">
        <v>-284.51</v>
      </c>
    </row>
    <row r="226" spans="1:16" ht="19.5" customHeight="1">
      <c r="A226" s="171" t="s">
        <v>180</v>
      </c>
      <c r="B226" s="175">
        <v>46036</v>
      </c>
      <c r="C226" s="171" t="s">
        <v>151</v>
      </c>
      <c r="D226" s="171" t="s">
        <v>152</v>
      </c>
      <c r="E226" s="171" t="s">
        <v>125</v>
      </c>
      <c r="F226" s="171" t="s">
        <v>125</v>
      </c>
      <c r="G226" s="171" t="s">
        <v>125</v>
      </c>
      <c r="H226" s="176">
        <v>0</v>
      </c>
      <c r="I226" s="177">
        <v>0</v>
      </c>
      <c r="J226" s="175">
        <v>46036</v>
      </c>
      <c r="K226" s="171" t="s">
        <v>125</v>
      </c>
      <c r="L226" s="171" t="s">
        <v>125</v>
      </c>
      <c r="M226" s="178">
        <v>0</v>
      </c>
      <c r="N226" s="176"/>
      <c r="O226" s="176"/>
      <c r="P226" s="179">
        <v>-297.93</v>
      </c>
    </row>
    <row r="227" spans="1:16" ht="19.5" customHeight="1">
      <c r="A227" s="171" t="s">
        <v>196</v>
      </c>
      <c r="B227" s="175">
        <v>46036</v>
      </c>
      <c r="C227" s="171" t="s">
        <v>151</v>
      </c>
      <c r="D227" s="171" t="s">
        <v>152</v>
      </c>
      <c r="E227" s="171" t="s">
        <v>125</v>
      </c>
      <c r="F227" s="171" t="s">
        <v>125</v>
      </c>
      <c r="G227" s="171" t="s">
        <v>125</v>
      </c>
      <c r="H227" s="176">
        <v>0</v>
      </c>
      <c r="I227" s="177">
        <v>0</v>
      </c>
      <c r="J227" s="175">
        <v>46036</v>
      </c>
      <c r="K227" s="171" t="s">
        <v>125</v>
      </c>
      <c r="L227" s="171" t="s">
        <v>125</v>
      </c>
      <c r="M227" s="178">
        <v>0</v>
      </c>
      <c r="N227" s="176"/>
      <c r="O227" s="176"/>
      <c r="P227" s="179">
        <v>-233.03</v>
      </c>
    </row>
    <row r="228" spans="1:16" ht="19.5" customHeight="1">
      <c r="A228" s="171" t="s">
        <v>197</v>
      </c>
      <c r="B228" s="175">
        <v>46037</v>
      </c>
      <c r="C228" s="171" t="s">
        <v>110</v>
      </c>
      <c r="D228" s="171" t="s">
        <v>117</v>
      </c>
      <c r="E228" s="171" t="s">
        <v>48</v>
      </c>
      <c r="F228" s="171" t="s">
        <v>198</v>
      </c>
      <c r="G228" s="171" t="s">
        <v>112</v>
      </c>
      <c r="H228" s="176">
        <v>1</v>
      </c>
      <c r="I228" s="177">
        <v>0</v>
      </c>
      <c r="J228" s="175">
        <v>46018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0</v>
      </c>
    </row>
    <row r="229" spans="1:16" ht="19.5" customHeight="1">
      <c r="A229" s="171" t="s">
        <v>197</v>
      </c>
      <c r="B229" s="175">
        <v>46037</v>
      </c>
      <c r="C229" s="171" t="s">
        <v>110</v>
      </c>
      <c r="D229" s="171" t="s">
        <v>118</v>
      </c>
      <c r="E229" s="171" t="s">
        <v>48</v>
      </c>
      <c r="F229" s="171" t="s">
        <v>198</v>
      </c>
      <c r="G229" s="171" t="s">
        <v>112</v>
      </c>
      <c r="H229" s="176">
        <v>1</v>
      </c>
      <c r="I229" s="177">
        <v>0</v>
      </c>
      <c r="J229" s="175">
        <v>46018</v>
      </c>
      <c r="K229" s="171" t="s">
        <v>113</v>
      </c>
      <c r="L229" s="171" t="s">
        <v>114</v>
      </c>
      <c r="M229" s="178">
        <v>0</v>
      </c>
      <c r="N229" s="176"/>
      <c r="O229" s="176"/>
      <c r="P229" s="179">
        <v>-46.77</v>
      </c>
    </row>
    <row r="230" spans="1:16" ht="19.5" customHeight="1">
      <c r="A230" s="171" t="s">
        <v>197</v>
      </c>
      <c r="B230" s="175">
        <v>46037</v>
      </c>
      <c r="C230" s="171" t="s">
        <v>115</v>
      </c>
      <c r="D230" s="171" t="s">
        <v>119</v>
      </c>
      <c r="E230" s="171" t="s">
        <v>48</v>
      </c>
      <c r="F230" s="171" t="s">
        <v>198</v>
      </c>
      <c r="G230" s="171" t="s">
        <v>112</v>
      </c>
      <c r="H230" s="176">
        <v>1</v>
      </c>
      <c r="I230" s="177">
        <v>0</v>
      </c>
      <c r="J230" s="175">
        <v>46018</v>
      </c>
      <c r="K230" s="171" t="s">
        <v>113</v>
      </c>
      <c r="L230" s="171" t="s">
        <v>114</v>
      </c>
      <c r="M230" s="178">
        <v>0</v>
      </c>
      <c r="N230" s="176"/>
      <c r="O230" s="176"/>
      <c r="P230" s="179">
        <v>-15</v>
      </c>
    </row>
    <row r="231" spans="1:16" ht="19.5" customHeight="1">
      <c r="A231" s="171" t="s">
        <v>197</v>
      </c>
      <c r="B231" s="175">
        <v>46037</v>
      </c>
      <c r="C231" s="171" t="s">
        <v>110</v>
      </c>
      <c r="D231" s="171" t="s">
        <v>24</v>
      </c>
      <c r="E231" s="171" t="s">
        <v>48</v>
      </c>
      <c r="F231" s="171" t="s">
        <v>198</v>
      </c>
      <c r="G231" s="171" t="s">
        <v>112</v>
      </c>
      <c r="H231" s="176">
        <v>1</v>
      </c>
      <c r="I231" s="177">
        <v>0</v>
      </c>
      <c r="J231" s="175">
        <v>46018</v>
      </c>
      <c r="K231" s="171" t="s">
        <v>113</v>
      </c>
      <c r="L231" s="171" t="s">
        <v>114</v>
      </c>
      <c r="M231" s="178">
        <v>0</v>
      </c>
      <c r="N231" s="176"/>
      <c r="O231" s="176">
        <v>39</v>
      </c>
      <c r="P231" s="179">
        <v>-46.77</v>
      </c>
    </row>
    <row r="232" spans="1:16" ht="19.5" customHeight="1">
      <c r="A232" s="171" t="s">
        <v>197</v>
      </c>
      <c r="B232" s="175">
        <v>46037</v>
      </c>
      <c r="C232" s="171" t="s">
        <v>115</v>
      </c>
      <c r="D232" s="171" t="s">
        <v>116</v>
      </c>
      <c r="E232" s="171" t="s">
        <v>48</v>
      </c>
      <c r="F232" s="171" t="s">
        <v>198</v>
      </c>
      <c r="G232" s="171" t="s">
        <v>112</v>
      </c>
      <c r="H232" s="176">
        <v>1</v>
      </c>
      <c r="I232" s="177">
        <v>0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-9.3000000000000007</v>
      </c>
    </row>
    <row r="233" spans="1:16" ht="19.5" customHeight="1">
      <c r="A233" s="171" t="s">
        <v>199</v>
      </c>
      <c r="B233" s="175">
        <v>46037</v>
      </c>
      <c r="C233" s="171" t="s">
        <v>110</v>
      </c>
      <c r="D233" s="171" t="s">
        <v>24</v>
      </c>
      <c r="E233" s="171" t="s">
        <v>78</v>
      </c>
      <c r="F233" s="171" t="s">
        <v>176</v>
      </c>
      <c r="G233" s="171" t="s">
        <v>177</v>
      </c>
      <c r="H233" s="176">
        <v>1</v>
      </c>
      <c r="I233" s="177">
        <v>0</v>
      </c>
      <c r="J233" s="175">
        <v>46026</v>
      </c>
      <c r="K233" s="171" t="s">
        <v>113</v>
      </c>
      <c r="L233" s="171" t="s">
        <v>114</v>
      </c>
      <c r="M233" s="178">
        <v>0</v>
      </c>
      <c r="N233" s="176"/>
      <c r="O233" s="176">
        <v>37</v>
      </c>
      <c r="P233" s="179">
        <v>-56.94</v>
      </c>
    </row>
    <row r="234" spans="1:16" ht="19.5" customHeight="1">
      <c r="A234" s="171" t="s">
        <v>199</v>
      </c>
      <c r="B234" s="175">
        <v>46037</v>
      </c>
      <c r="C234" s="171" t="s">
        <v>115</v>
      </c>
      <c r="D234" s="171" t="s">
        <v>116</v>
      </c>
      <c r="E234" s="171" t="s">
        <v>78</v>
      </c>
      <c r="F234" s="171" t="s">
        <v>176</v>
      </c>
      <c r="G234" s="171" t="s">
        <v>177</v>
      </c>
      <c r="H234" s="176">
        <v>1</v>
      </c>
      <c r="I234" s="177">
        <v>0</v>
      </c>
      <c r="J234" s="175">
        <v>46026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-13.35</v>
      </c>
    </row>
    <row r="235" spans="1:16" ht="19.5" customHeight="1">
      <c r="A235" s="171" t="s">
        <v>199</v>
      </c>
      <c r="B235" s="175">
        <v>46037</v>
      </c>
      <c r="C235" s="171" t="s">
        <v>110</v>
      </c>
      <c r="D235" s="171" t="s">
        <v>117</v>
      </c>
      <c r="E235" s="171" t="s">
        <v>78</v>
      </c>
      <c r="F235" s="171" t="s">
        <v>176</v>
      </c>
      <c r="G235" s="171" t="s">
        <v>177</v>
      </c>
      <c r="H235" s="176">
        <v>1</v>
      </c>
      <c r="I235" s="177">
        <v>0</v>
      </c>
      <c r="J235" s="175">
        <v>46026</v>
      </c>
      <c r="K235" s="171" t="s">
        <v>113</v>
      </c>
      <c r="L235" s="171" t="s">
        <v>114</v>
      </c>
      <c r="M235" s="178">
        <v>0</v>
      </c>
      <c r="N235" s="176"/>
      <c r="O235" s="176"/>
      <c r="P235" s="179">
        <v>0</v>
      </c>
    </row>
    <row r="236" spans="1:16" ht="19.5" customHeight="1">
      <c r="A236" s="171" t="s">
        <v>199</v>
      </c>
      <c r="B236" s="175">
        <v>46037</v>
      </c>
      <c r="C236" s="171" t="s">
        <v>110</v>
      </c>
      <c r="D236" s="171" t="s">
        <v>118</v>
      </c>
      <c r="E236" s="171" t="s">
        <v>78</v>
      </c>
      <c r="F236" s="171" t="s">
        <v>176</v>
      </c>
      <c r="G236" s="171" t="s">
        <v>177</v>
      </c>
      <c r="H236" s="176">
        <v>1</v>
      </c>
      <c r="I236" s="177">
        <v>0</v>
      </c>
      <c r="J236" s="175">
        <v>46026</v>
      </c>
      <c r="K236" s="171" t="s">
        <v>113</v>
      </c>
      <c r="L236" s="171" t="s">
        <v>114</v>
      </c>
      <c r="M236" s="178">
        <v>0</v>
      </c>
      <c r="N236" s="176"/>
      <c r="O236" s="176"/>
      <c r="P236" s="179">
        <v>-56.94</v>
      </c>
    </row>
    <row r="237" spans="1:16" ht="19.5" customHeight="1">
      <c r="A237" s="171" t="s">
        <v>199</v>
      </c>
      <c r="B237" s="175">
        <v>46037</v>
      </c>
      <c r="C237" s="171" t="s">
        <v>115</v>
      </c>
      <c r="D237" s="171" t="s">
        <v>119</v>
      </c>
      <c r="E237" s="171" t="s">
        <v>78</v>
      </c>
      <c r="F237" s="171" t="s">
        <v>176</v>
      </c>
      <c r="G237" s="171" t="s">
        <v>177</v>
      </c>
      <c r="H237" s="176">
        <v>1</v>
      </c>
      <c r="I237" s="177">
        <v>0</v>
      </c>
      <c r="J237" s="175">
        <v>46026</v>
      </c>
      <c r="K237" s="171" t="s">
        <v>113</v>
      </c>
      <c r="L237" s="171" t="s">
        <v>114</v>
      </c>
      <c r="M237" s="178">
        <v>0</v>
      </c>
      <c r="N237" s="176"/>
      <c r="O237" s="176"/>
      <c r="P237" s="179">
        <v>-15</v>
      </c>
    </row>
    <row r="238" spans="1:16" ht="19.5" customHeight="1">
      <c r="A238" s="171" t="s">
        <v>200</v>
      </c>
      <c r="B238" s="175">
        <v>46037</v>
      </c>
      <c r="C238" s="171" t="s">
        <v>110</v>
      </c>
      <c r="D238" s="171" t="s">
        <v>24</v>
      </c>
      <c r="E238" s="171" t="s">
        <v>45</v>
      </c>
      <c r="F238" s="171" t="s">
        <v>162</v>
      </c>
      <c r="G238" s="171" t="s">
        <v>163</v>
      </c>
      <c r="H238" s="176">
        <v>1</v>
      </c>
      <c r="I238" s="177">
        <v>0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200</v>
      </c>
      <c r="B239" s="175">
        <v>46037</v>
      </c>
      <c r="C239" s="171" t="s">
        <v>115</v>
      </c>
      <c r="D239" s="171" t="s">
        <v>116</v>
      </c>
      <c r="E239" s="171" t="s">
        <v>45</v>
      </c>
      <c r="F239" s="171" t="s">
        <v>162</v>
      </c>
      <c r="G239" s="171" t="s">
        <v>163</v>
      </c>
      <c r="H239" s="176">
        <v>1</v>
      </c>
      <c r="I239" s="177">
        <v>0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-6.51</v>
      </c>
    </row>
    <row r="240" spans="1:16" ht="19.5" customHeight="1">
      <c r="A240" s="171" t="s">
        <v>200</v>
      </c>
      <c r="B240" s="175">
        <v>46037</v>
      </c>
      <c r="C240" s="171" t="s">
        <v>110</v>
      </c>
      <c r="D240" s="171" t="s">
        <v>117</v>
      </c>
      <c r="E240" s="171" t="s">
        <v>45</v>
      </c>
      <c r="F240" s="171" t="s">
        <v>162</v>
      </c>
      <c r="G240" s="171" t="s">
        <v>163</v>
      </c>
      <c r="H240" s="176">
        <v>1</v>
      </c>
      <c r="I240" s="177">
        <v>0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200</v>
      </c>
      <c r="B241" s="175">
        <v>46037</v>
      </c>
      <c r="C241" s="171" t="s">
        <v>110</v>
      </c>
      <c r="D241" s="171" t="s">
        <v>118</v>
      </c>
      <c r="E241" s="171" t="s">
        <v>45</v>
      </c>
      <c r="F241" s="171" t="s">
        <v>162</v>
      </c>
      <c r="G241" s="171" t="s">
        <v>163</v>
      </c>
      <c r="H241" s="176">
        <v>1</v>
      </c>
      <c r="I241" s="177">
        <v>0</v>
      </c>
      <c r="J241" s="175">
        <v>46023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200</v>
      </c>
      <c r="B242" s="175">
        <v>46037</v>
      </c>
      <c r="C242" s="171" t="s">
        <v>115</v>
      </c>
      <c r="D242" s="171" t="s">
        <v>119</v>
      </c>
      <c r="E242" s="171" t="s">
        <v>45</v>
      </c>
      <c r="F242" s="171" t="s">
        <v>162</v>
      </c>
      <c r="G242" s="171" t="s">
        <v>163</v>
      </c>
      <c r="H242" s="176">
        <v>1</v>
      </c>
      <c r="I242" s="177">
        <v>0</v>
      </c>
      <c r="J242" s="175">
        <v>46023</v>
      </c>
      <c r="K242" s="171" t="s">
        <v>113</v>
      </c>
      <c r="L242" s="171" t="s">
        <v>114</v>
      </c>
      <c r="M242" s="178">
        <v>0</v>
      </c>
      <c r="N242" s="176"/>
      <c r="O242" s="176"/>
      <c r="P242" s="179">
        <v>-15</v>
      </c>
    </row>
    <row r="243" spans="1:16" ht="19.5" customHeight="1">
      <c r="A243" s="171" t="s">
        <v>201</v>
      </c>
      <c r="B243" s="175">
        <v>46037</v>
      </c>
      <c r="C243" s="171" t="s">
        <v>115</v>
      </c>
      <c r="D243" s="171" t="s">
        <v>135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0</v>
      </c>
      <c r="J243" s="175">
        <v>46037</v>
      </c>
      <c r="K243" s="171" t="s">
        <v>125</v>
      </c>
      <c r="L243" s="171" t="s">
        <v>125</v>
      </c>
      <c r="M243" s="178">
        <v>0</v>
      </c>
      <c r="N243" s="176"/>
      <c r="O243" s="176"/>
      <c r="P243" s="179">
        <v>-7.77</v>
      </c>
    </row>
    <row r="244" spans="1:16" ht="19.5" customHeight="1">
      <c r="A244" s="171" t="s">
        <v>202</v>
      </c>
      <c r="B244" s="175">
        <v>46037</v>
      </c>
      <c r="C244" s="171" t="s">
        <v>110</v>
      </c>
      <c r="D244" s="171" t="s">
        <v>24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1092</v>
      </c>
      <c r="J244" s="175">
        <v>46015</v>
      </c>
      <c r="K244" s="171" t="s">
        <v>113</v>
      </c>
      <c r="L244" s="171" t="s">
        <v>114</v>
      </c>
      <c r="M244" s="178">
        <v>0.43</v>
      </c>
      <c r="N244" s="176"/>
      <c r="O244" s="176">
        <v>39</v>
      </c>
      <c r="P244" s="179">
        <v>-95.43</v>
      </c>
    </row>
    <row r="245" spans="1:16" ht="19.5" customHeight="1">
      <c r="A245" s="171" t="s">
        <v>202</v>
      </c>
      <c r="B245" s="175">
        <v>46037</v>
      </c>
      <c r="C245" s="171" t="s">
        <v>127</v>
      </c>
      <c r="D245" s="171" t="s">
        <v>128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1092</v>
      </c>
      <c r="J245" s="175">
        <v>46015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383.44</v>
      </c>
    </row>
    <row r="246" spans="1:16" ht="19.5" customHeight="1">
      <c r="A246" s="171" t="s">
        <v>202</v>
      </c>
      <c r="B246" s="175">
        <v>46037</v>
      </c>
      <c r="C246" s="171" t="s">
        <v>127</v>
      </c>
      <c r="D246" s="171" t="s">
        <v>129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1092</v>
      </c>
      <c r="J246" s="175">
        <v>46015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3.83</v>
      </c>
    </row>
    <row r="247" spans="1:16" ht="19.5" customHeight="1">
      <c r="A247" s="171" t="s">
        <v>202</v>
      </c>
      <c r="B247" s="175">
        <v>46037</v>
      </c>
      <c r="C247" s="171" t="s">
        <v>127</v>
      </c>
      <c r="D247" s="171" t="s">
        <v>130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1092</v>
      </c>
      <c r="J247" s="175">
        <v>46015</v>
      </c>
      <c r="K247" s="171" t="s">
        <v>113</v>
      </c>
      <c r="L247" s="171" t="s">
        <v>114</v>
      </c>
      <c r="M247" s="178">
        <v>0</v>
      </c>
      <c r="N247" s="176"/>
      <c r="O247" s="176"/>
      <c r="P247" s="179">
        <v>704.73</v>
      </c>
    </row>
    <row r="248" spans="1:16" ht="19.5" customHeight="1">
      <c r="A248" s="171" t="s">
        <v>202</v>
      </c>
      <c r="B248" s="175">
        <v>46037</v>
      </c>
      <c r="C248" s="171" t="s">
        <v>131</v>
      </c>
      <c r="D248" s="171" t="s">
        <v>132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1092</v>
      </c>
      <c r="J248" s="175">
        <v>46015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-469.56</v>
      </c>
    </row>
    <row r="249" spans="1:16" ht="19.5" customHeight="1">
      <c r="A249" s="171" t="s">
        <v>203</v>
      </c>
      <c r="B249" s="175">
        <v>46037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46037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-14.16</v>
      </c>
    </row>
    <row r="250" spans="1:16" ht="19.5" customHeight="1">
      <c r="A250" s="171" t="s">
        <v>204</v>
      </c>
      <c r="B250" s="175">
        <v>46037</v>
      </c>
      <c r="C250" s="171" t="s">
        <v>110</v>
      </c>
      <c r="D250" s="171" t="s">
        <v>24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46031</v>
      </c>
      <c r="K250" s="171" t="s">
        <v>113</v>
      </c>
      <c r="L250" s="171" t="s">
        <v>114</v>
      </c>
      <c r="M250" s="178">
        <v>0.43</v>
      </c>
      <c r="N250" s="176"/>
      <c r="O250" s="176">
        <v>46</v>
      </c>
      <c r="P250" s="179">
        <v>-137.83000000000001</v>
      </c>
    </row>
    <row r="251" spans="1:16" ht="19.5" customHeight="1">
      <c r="A251" s="171" t="s">
        <v>204</v>
      </c>
      <c r="B251" s="175">
        <v>46037</v>
      </c>
      <c r="C251" s="171" t="s">
        <v>127</v>
      </c>
      <c r="D251" s="171" t="s">
        <v>128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46031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630.33000000000004</v>
      </c>
    </row>
    <row r="252" spans="1:16" ht="19.5" customHeight="1">
      <c r="A252" s="171" t="s">
        <v>204</v>
      </c>
      <c r="B252" s="175">
        <v>46037</v>
      </c>
      <c r="C252" s="171" t="s">
        <v>127</v>
      </c>
      <c r="D252" s="171" t="s">
        <v>129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46031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0</v>
      </c>
    </row>
    <row r="253" spans="1:16" ht="19.5" customHeight="1">
      <c r="A253" s="171" t="s">
        <v>204</v>
      </c>
      <c r="B253" s="175">
        <v>46037</v>
      </c>
      <c r="C253" s="171" t="s">
        <v>127</v>
      </c>
      <c r="D253" s="171" t="s">
        <v>130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46031</v>
      </c>
      <c r="K253" s="171" t="s">
        <v>113</v>
      </c>
      <c r="L253" s="171" t="s">
        <v>114</v>
      </c>
      <c r="M253" s="178">
        <v>0</v>
      </c>
      <c r="N253" s="176"/>
      <c r="O253" s="176"/>
      <c r="P253" s="179">
        <v>1073.67</v>
      </c>
    </row>
    <row r="254" spans="1:16" ht="19.5" customHeight="1">
      <c r="A254" s="171" t="s">
        <v>204</v>
      </c>
      <c r="B254" s="175">
        <v>46037</v>
      </c>
      <c r="C254" s="171" t="s">
        <v>131</v>
      </c>
      <c r="D254" s="171" t="s">
        <v>132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46031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-732.72</v>
      </c>
    </row>
    <row r="255" spans="1:16" ht="19.5" customHeight="1">
      <c r="A255" s="171" t="s">
        <v>205</v>
      </c>
      <c r="B255" s="175">
        <v>46037</v>
      </c>
      <c r="C255" s="171" t="s">
        <v>110</v>
      </c>
      <c r="D255" s="171" t="s">
        <v>24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1704</v>
      </c>
      <c r="J255" s="175">
        <v>46024</v>
      </c>
      <c r="K255" s="171" t="s">
        <v>113</v>
      </c>
      <c r="L255" s="171" t="s">
        <v>114</v>
      </c>
      <c r="M255" s="178">
        <v>0.43</v>
      </c>
      <c r="N255" s="176"/>
      <c r="O255" s="176">
        <v>39</v>
      </c>
      <c r="P255" s="179">
        <v>-110.12</v>
      </c>
    </row>
    <row r="256" spans="1:16" ht="19.5" customHeight="1">
      <c r="A256" s="171" t="s">
        <v>205</v>
      </c>
      <c r="B256" s="175">
        <v>46037</v>
      </c>
      <c r="C256" s="171" t="s">
        <v>127</v>
      </c>
      <c r="D256" s="171" t="s">
        <v>128</v>
      </c>
      <c r="E256" s="171" t="s">
        <v>38</v>
      </c>
      <c r="F256" s="171" t="s">
        <v>111</v>
      </c>
      <c r="G256" s="171" t="s">
        <v>112</v>
      </c>
      <c r="H256" s="176">
        <v>1</v>
      </c>
      <c r="I256" s="177">
        <v>1704</v>
      </c>
      <c r="J256" s="175">
        <v>46024</v>
      </c>
      <c r="K256" s="171" t="s">
        <v>113</v>
      </c>
      <c r="L256" s="171" t="s">
        <v>114</v>
      </c>
      <c r="M256" s="178">
        <v>0</v>
      </c>
      <c r="N256" s="176"/>
      <c r="O256" s="176"/>
      <c r="P256" s="179">
        <v>649.52</v>
      </c>
    </row>
    <row r="257" spans="1:16" ht="19.5" customHeight="1">
      <c r="A257" s="171" t="s">
        <v>205</v>
      </c>
      <c r="B257" s="175">
        <v>46037</v>
      </c>
      <c r="C257" s="171" t="s">
        <v>127</v>
      </c>
      <c r="D257" s="171" t="s">
        <v>129</v>
      </c>
      <c r="E257" s="171" t="s">
        <v>38</v>
      </c>
      <c r="F257" s="171" t="s">
        <v>111</v>
      </c>
      <c r="G257" s="171" t="s">
        <v>112</v>
      </c>
      <c r="H257" s="176">
        <v>1</v>
      </c>
      <c r="I257" s="177">
        <v>1704</v>
      </c>
      <c r="J257" s="175">
        <v>46024</v>
      </c>
      <c r="K257" s="171" t="s">
        <v>113</v>
      </c>
      <c r="L257" s="171" t="s">
        <v>114</v>
      </c>
      <c r="M257" s="178">
        <v>0</v>
      </c>
      <c r="N257" s="176"/>
      <c r="O257" s="176"/>
      <c r="P257" s="179">
        <v>0</v>
      </c>
    </row>
    <row r="258" spans="1:16" ht="19.5" customHeight="1">
      <c r="A258" s="171" t="s">
        <v>205</v>
      </c>
      <c r="B258" s="175">
        <v>46037</v>
      </c>
      <c r="C258" s="171" t="s">
        <v>127</v>
      </c>
      <c r="D258" s="171" t="s">
        <v>130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1704</v>
      </c>
      <c r="J258" s="175">
        <v>46024</v>
      </c>
      <c r="K258" s="171" t="s">
        <v>113</v>
      </c>
      <c r="L258" s="171" t="s">
        <v>114</v>
      </c>
      <c r="M258" s="178">
        <v>0</v>
      </c>
      <c r="N258" s="176"/>
      <c r="O258" s="176"/>
      <c r="P258" s="179">
        <v>1054.48</v>
      </c>
    </row>
    <row r="259" spans="1:16" ht="19.5" customHeight="1">
      <c r="A259" s="171" t="s">
        <v>205</v>
      </c>
      <c r="B259" s="175">
        <v>46037</v>
      </c>
      <c r="C259" s="171" t="s">
        <v>131</v>
      </c>
      <c r="D259" s="171" t="s">
        <v>132</v>
      </c>
      <c r="E259" s="171" t="s">
        <v>38</v>
      </c>
      <c r="F259" s="171" t="s">
        <v>111</v>
      </c>
      <c r="G259" s="171" t="s">
        <v>112</v>
      </c>
      <c r="H259" s="176">
        <v>1</v>
      </c>
      <c r="I259" s="177">
        <v>1704</v>
      </c>
      <c r="J259" s="175">
        <v>46024</v>
      </c>
      <c r="K259" s="171" t="s">
        <v>113</v>
      </c>
      <c r="L259" s="171" t="s">
        <v>114</v>
      </c>
      <c r="M259" s="178">
        <v>0.43</v>
      </c>
      <c r="N259" s="176"/>
      <c r="O259" s="176"/>
      <c r="P259" s="179">
        <v>-732.72</v>
      </c>
    </row>
    <row r="260" spans="1:16" ht="19.5" customHeight="1">
      <c r="A260" s="171" t="s">
        <v>205</v>
      </c>
      <c r="B260" s="175">
        <v>46037</v>
      </c>
      <c r="C260" s="171" t="s">
        <v>115</v>
      </c>
      <c r="D260" s="171" t="s">
        <v>116</v>
      </c>
      <c r="E260" s="171" t="s">
        <v>38</v>
      </c>
      <c r="F260" s="171" t="s">
        <v>111</v>
      </c>
      <c r="G260" s="171" t="s">
        <v>112</v>
      </c>
      <c r="H260" s="176">
        <v>1</v>
      </c>
      <c r="I260" s="177">
        <v>1704</v>
      </c>
      <c r="J260" s="175">
        <v>46024</v>
      </c>
      <c r="K260" s="171" t="s">
        <v>113</v>
      </c>
      <c r="L260" s="171" t="s">
        <v>114</v>
      </c>
      <c r="M260" s="178">
        <v>0.43</v>
      </c>
      <c r="N260" s="176"/>
      <c r="O260" s="176"/>
      <c r="P260" s="179">
        <v>-9.2100000000000009</v>
      </c>
    </row>
    <row r="261" spans="1:16" ht="19.5" customHeight="1">
      <c r="A261" s="171" t="s">
        <v>206</v>
      </c>
      <c r="B261" s="175">
        <v>46037</v>
      </c>
      <c r="C261" s="171" t="s">
        <v>110</v>
      </c>
      <c r="D261" s="171" t="s">
        <v>24</v>
      </c>
      <c r="E261" s="171" t="s">
        <v>38</v>
      </c>
      <c r="F261" s="171" t="s">
        <v>111</v>
      </c>
      <c r="G261" s="171" t="s">
        <v>112</v>
      </c>
      <c r="H261" s="176">
        <v>1</v>
      </c>
      <c r="I261" s="177">
        <v>1704</v>
      </c>
      <c r="J261" s="175">
        <v>46035</v>
      </c>
      <c r="K261" s="171" t="s">
        <v>113</v>
      </c>
      <c r="L261" s="171" t="s">
        <v>114</v>
      </c>
      <c r="M261" s="178">
        <v>0.43</v>
      </c>
      <c r="N261" s="176"/>
      <c r="O261" s="176">
        <v>46</v>
      </c>
      <c r="P261" s="179">
        <v>-137.83000000000001</v>
      </c>
    </row>
    <row r="262" spans="1:16" ht="19.5" customHeight="1">
      <c r="A262" s="171" t="s">
        <v>206</v>
      </c>
      <c r="B262" s="175">
        <v>46037</v>
      </c>
      <c r="C262" s="171" t="s">
        <v>127</v>
      </c>
      <c r="D262" s="171" t="s">
        <v>128</v>
      </c>
      <c r="E262" s="171" t="s">
        <v>38</v>
      </c>
      <c r="F262" s="171" t="s">
        <v>111</v>
      </c>
      <c r="G262" s="171" t="s">
        <v>112</v>
      </c>
      <c r="H262" s="176">
        <v>1</v>
      </c>
      <c r="I262" s="177">
        <v>1704</v>
      </c>
      <c r="J262" s="175">
        <v>46035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649.52</v>
      </c>
    </row>
    <row r="263" spans="1:16" ht="19.5" customHeight="1">
      <c r="A263" s="171" t="s">
        <v>206</v>
      </c>
      <c r="B263" s="175">
        <v>46037</v>
      </c>
      <c r="C263" s="171" t="s">
        <v>127</v>
      </c>
      <c r="D263" s="171" t="s">
        <v>129</v>
      </c>
      <c r="E263" s="171" t="s">
        <v>38</v>
      </c>
      <c r="F263" s="171" t="s">
        <v>111</v>
      </c>
      <c r="G263" s="171" t="s">
        <v>112</v>
      </c>
      <c r="H263" s="176">
        <v>1</v>
      </c>
      <c r="I263" s="177">
        <v>1704</v>
      </c>
      <c r="J263" s="175">
        <v>46035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0</v>
      </c>
    </row>
    <row r="264" spans="1:16" ht="19.5" customHeight="1">
      <c r="A264" s="171" t="s">
        <v>206</v>
      </c>
      <c r="B264" s="175">
        <v>46037</v>
      </c>
      <c r="C264" s="171" t="s">
        <v>127</v>
      </c>
      <c r="D264" s="171" t="s">
        <v>130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1704</v>
      </c>
      <c r="J264" s="175">
        <v>46035</v>
      </c>
      <c r="K264" s="171" t="s">
        <v>113</v>
      </c>
      <c r="L264" s="171" t="s">
        <v>114</v>
      </c>
      <c r="M264" s="178">
        <v>0</v>
      </c>
      <c r="N264" s="176"/>
      <c r="O264" s="176"/>
      <c r="P264" s="179">
        <v>1054.48</v>
      </c>
    </row>
    <row r="265" spans="1:16" ht="19.5" customHeight="1">
      <c r="A265" s="171" t="s">
        <v>206</v>
      </c>
      <c r="B265" s="175">
        <v>46037</v>
      </c>
      <c r="C265" s="171" t="s">
        <v>131</v>
      </c>
      <c r="D265" s="171" t="s">
        <v>132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1704</v>
      </c>
      <c r="J265" s="175">
        <v>46035</v>
      </c>
      <c r="K265" s="171" t="s">
        <v>113</v>
      </c>
      <c r="L265" s="171" t="s">
        <v>114</v>
      </c>
      <c r="M265" s="178">
        <v>0.43</v>
      </c>
      <c r="N265" s="176"/>
      <c r="O265" s="176"/>
      <c r="P265" s="179">
        <v>-732.72</v>
      </c>
    </row>
    <row r="266" spans="1:16" ht="19.5" customHeight="1">
      <c r="A266" s="171" t="s">
        <v>206</v>
      </c>
      <c r="B266" s="175">
        <v>46037</v>
      </c>
      <c r="C266" s="171" t="s">
        <v>115</v>
      </c>
      <c r="D266" s="171" t="s">
        <v>116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1704</v>
      </c>
      <c r="J266" s="175">
        <v>46035</v>
      </c>
      <c r="K266" s="171" t="s">
        <v>113</v>
      </c>
      <c r="L266" s="171" t="s">
        <v>114</v>
      </c>
      <c r="M266" s="178">
        <v>0.43</v>
      </c>
      <c r="N266" s="176"/>
      <c r="O266" s="176"/>
      <c r="P266" s="179">
        <v>-7.96</v>
      </c>
    </row>
    <row r="267" spans="1:16" ht="19.5" customHeight="1">
      <c r="A267" s="171" t="s">
        <v>206</v>
      </c>
      <c r="B267" s="175">
        <v>46037</v>
      </c>
      <c r="C267" s="171" t="s">
        <v>115</v>
      </c>
      <c r="D267" s="171" t="s">
        <v>135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46035</v>
      </c>
      <c r="K267" s="171" t="s">
        <v>125</v>
      </c>
      <c r="L267" s="171" t="s">
        <v>125</v>
      </c>
      <c r="M267" s="178">
        <v>0</v>
      </c>
      <c r="N267" s="176"/>
      <c r="O267" s="176"/>
      <c r="P267" s="179">
        <v>-6.66</v>
      </c>
    </row>
    <row r="268" spans="1:16" ht="19.5" customHeight="1">
      <c r="A268" s="171" t="s">
        <v>207</v>
      </c>
      <c r="B268" s="175">
        <v>46037</v>
      </c>
      <c r="C268" s="171" t="s">
        <v>115</v>
      </c>
      <c r="D268" s="171" t="s">
        <v>135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46037</v>
      </c>
      <c r="K268" s="171" t="s">
        <v>125</v>
      </c>
      <c r="L268" s="171" t="s">
        <v>125</v>
      </c>
      <c r="M268" s="178">
        <v>0</v>
      </c>
      <c r="N268" s="176"/>
      <c r="O268" s="176"/>
      <c r="P268" s="179">
        <v>-11.13</v>
      </c>
    </row>
    <row r="269" spans="1:16" ht="19.5" customHeight="1">
      <c r="A269" s="171" t="s">
        <v>208</v>
      </c>
      <c r="B269" s="175">
        <v>46037</v>
      </c>
      <c r="C269" s="171" t="s">
        <v>115</v>
      </c>
      <c r="D269" s="171" t="s">
        <v>135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0</v>
      </c>
      <c r="J269" s="175">
        <v>46037</v>
      </c>
      <c r="K269" s="171" t="s">
        <v>125</v>
      </c>
      <c r="L269" s="171" t="s">
        <v>125</v>
      </c>
      <c r="M269" s="178">
        <v>0</v>
      </c>
      <c r="N269" s="176"/>
      <c r="O269" s="176"/>
      <c r="P269" s="179">
        <v>-11.13</v>
      </c>
    </row>
    <row r="270" spans="1:16" ht="19.5" customHeight="1">
      <c r="A270" s="171" t="s">
        <v>209</v>
      </c>
      <c r="B270" s="175">
        <v>46037</v>
      </c>
      <c r="C270" s="171" t="s">
        <v>110</v>
      </c>
      <c r="D270" s="171" t="s">
        <v>24</v>
      </c>
      <c r="E270" s="171" t="s">
        <v>41</v>
      </c>
      <c r="F270" s="171" t="s">
        <v>138</v>
      </c>
      <c r="G270" s="171" t="s">
        <v>112</v>
      </c>
      <c r="H270" s="176">
        <v>1</v>
      </c>
      <c r="I270" s="177">
        <v>1687</v>
      </c>
      <c r="J270" s="175">
        <v>46035</v>
      </c>
      <c r="K270" s="171" t="s">
        <v>113</v>
      </c>
      <c r="L270" s="171" t="s">
        <v>114</v>
      </c>
      <c r="M270" s="178">
        <v>0.43</v>
      </c>
      <c r="N270" s="176"/>
      <c r="O270" s="176">
        <v>46</v>
      </c>
      <c r="P270" s="179">
        <v>-137.24</v>
      </c>
    </row>
    <row r="271" spans="1:16" ht="19.5" customHeight="1">
      <c r="A271" s="171" t="s">
        <v>209</v>
      </c>
      <c r="B271" s="175">
        <v>46037</v>
      </c>
      <c r="C271" s="171" t="s">
        <v>127</v>
      </c>
      <c r="D271" s="171" t="s">
        <v>128</v>
      </c>
      <c r="E271" s="171" t="s">
        <v>41</v>
      </c>
      <c r="F271" s="171" t="s">
        <v>138</v>
      </c>
      <c r="G271" s="171" t="s">
        <v>112</v>
      </c>
      <c r="H271" s="176">
        <v>1</v>
      </c>
      <c r="I271" s="177">
        <v>1687</v>
      </c>
      <c r="J271" s="175">
        <v>46035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655.57</v>
      </c>
    </row>
    <row r="272" spans="1:16" ht="19.5" customHeight="1">
      <c r="A272" s="171" t="s">
        <v>209</v>
      </c>
      <c r="B272" s="175">
        <v>46037</v>
      </c>
      <c r="C272" s="171" t="s">
        <v>127</v>
      </c>
      <c r="D272" s="171" t="s">
        <v>129</v>
      </c>
      <c r="E272" s="171" t="s">
        <v>41</v>
      </c>
      <c r="F272" s="171" t="s">
        <v>138</v>
      </c>
      <c r="G272" s="171" t="s">
        <v>112</v>
      </c>
      <c r="H272" s="176">
        <v>1</v>
      </c>
      <c r="I272" s="177">
        <v>1687</v>
      </c>
      <c r="J272" s="175">
        <v>46035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6.56</v>
      </c>
    </row>
    <row r="273" spans="1:16" ht="19.5" customHeight="1">
      <c r="A273" s="171" t="s">
        <v>209</v>
      </c>
      <c r="B273" s="175">
        <v>46037</v>
      </c>
      <c r="C273" s="171" t="s">
        <v>127</v>
      </c>
      <c r="D273" s="171" t="s">
        <v>130</v>
      </c>
      <c r="E273" s="171" t="s">
        <v>41</v>
      </c>
      <c r="F273" s="171" t="s">
        <v>138</v>
      </c>
      <c r="G273" s="171" t="s">
        <v>112</v>
      </c>
      <c r="H273" s="176">
        <v>1</v>
      </c>
      <c r="I273" s="177">
        <v>1687</v>
      </c>
      <c r="J273" s="175">
        <v>46035</v>
      </c>
      <c r="K273" s="171" t="s">
        <v>113</v>
      </c>
      <c r="L273" s="171" t="s">
        <v>114</v>
      </c>
      <c r="M273" s="178">
        <v>0</v>
      </c>
      <c r="N273" s="176"/>
      <c r="O273" s="176"/>
      <c r="P273" s="179">
        <v>1024.8699999999999</v>
      </c>
    </row>
    <row r="274" spans="1:16" ht="19.5" customHeight="1">
      <c r="A274" s="171" t="s">
        <v>209</v>
      </c>
      <c r="B274" s="175">
        <v>46037</v>
      </c>
      <c r="C274" s="171" t="s">
        <v>131</v>
      </c>
      <c r="D274" s="171" t="s">
        <v>132</v>
      </c>
      <c r="E274" s="171" t="s">
        <v>41</v>
      </c>
      <c r="F274" s="171" t="s">
        <v>138</v>
      </c>
      <c r="G274" s="171" t="s">
        <v>112</v>
      </c>
      <c r="H274" s="176">
        <v>1</v>
      </c>
      <c r="I274" s="177">
        <v>1687</v>
      </c>
      <c r="J274" s="175">
        <v>46035</v>
      </c>
      <c r="K274" s="171" t="s">
        <v>113</v>
      </c>
      <c r="L274" s="171" t="s">
        <v>114</v>
      </c>
      <c r="M274" s="178">
        <v>0.43</v>
      </c>
      <c r="N274" s="176"/>
      <c r="O274" s="176"/>
      <c r="P274" s="179">
        <v>-725.41</v>
      </c>
    </row>
    <row r="275" spans="1:16" ht="19.5" customHeight="1">
      <c r="A275" s="171" t="s">
        <v>209</v>
      </c>
      <c r="B275" s="175">
        <v>46037</v>
      </c>
      <c r="C275" s="171" t="s">
        <v>115</v>
      </c>
      <c r="D275" s="171" t="s">
        <v>116</v>
      </c>
      <c r="E275" s="171" t="s">
        <v>41</v>
      </c>
      <c r="F275" s="171" t="s">
        <v>138</v>
      </c>
      <c r="G275" s="171" t="s">
        <v>112</v>
      </c>
      <c r="H275" s="176">
        <v>1</v>
      </c>
      <c r="I275" s="177">
        <v>1687</v>
      </c>
      <c r="J275" s="175">
        <v>46035</v>
      </c>
      <c r="K275" s="171" t="s">
        <v>113</v>
      </c>
      <c r="L275" s="171" t="s">
        <v>114</v>
      </c>
      <c r="M275" s="178">
        <v>0.43</v>
      </c>
      <c r="N275" s="176"/>
      <c r="O275" s="176"/>
      <c r="P275" s="179">
        <v>-8.41</v>
      </c>
    </row>
    <row r="276" spans="1:16" ht="19.5" customHeight="1">
      <c r="A276" s="171" t="s">
        <v>210</v>
      </c>
      <c r="B276" s="175">
        <v>46037</v>
      </c>
      <c r="C276" s="171" t="s">
        <v>110</v>
      </c>
      <c r="D276" s="171" t="s">
        <v>24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1704</v>
      </c>
      <c r="J276" s="175">
        <v>46036</v>
      </c>
      <c r="K276" s="171" t="s">
        <v>113</v>
      </c>
      <c r="L276" s="171" t="s">
        <v>114</v>
      </c>
      <c r="M276" s="178">
        <v>0.43</v>
      </c>
      <c r="N276" s="176"/>
      <c r="O276" s="176">
        <v>44</v>
      </c>
      <c r="P276" s="179">
        <v>-129.91999999999999</v>
      </c>
    </row>
    <row r="277" spans="1:16" ht="19.5" customHeight="1">
      <c r="A277" s="171" t="s">
        <v>210</v>
      </c>
      <c r="B277" s="175">
        <v>46037</v>
      </c>
      <c r="C277" s="171" t="s">
        <v>127</v>
      </c>
      <c r="D277" s="171" t="s">
        <v>128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1704</v>
      </c>
      <c r="J277" s="175">
        <v>46036</v>
      </c>
      <c r="K277" s="171" t="s">
        <v>113</v>
      </c>
      <c r="L277" s="171" t="s">
        <v>114</v>
      </c>
      <c r="M277" s="178">
        <v>0</v>
      </c>
      <c r="N277" s="176"/>
      <c r="O277" s="176"/>
      <c r="P277" s="179">
        <v>588.57000000000005</v>
      </c>
    </row>
    <row r="278" spans="1:16" ht="19.5" customHeight="1">
      <c r="A278" s="171" t="s">
        <v>210</v>
      </c>
      <c r="B278" s="175">
        <v>46037</v>
      </c>
      <c r="C278" s="171" t="s">
        <v>127</v>
      </c>
      <c r="D278" s="171" t="s">
        <v>129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1704</v>
      </c>
      <c r="J278" s="175">
        <v>46036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5.89</v>
      </c>
    </row>
    <row r="279" spans="1:16" ht="19.5" customHeight="1">
      <c r="A279" s="171" t="s">
        <v>210</v>
      </c>
      <c r="B279" s="175">
        <v>46037</v>
      </c>
      <c r="C279" s="171" t="s">
        <v>127</v>
      </c>
      <c r="D279" s="171" t="s">
        <v>130</v>
      </c>
      <c r="E279" s="171" t="s">
        <v>38</v>
      </c>
      <c r="F279" s="171" t="s">
        <v>111</v>
      </c>
      <c r="G279" s="171" t="s">
        <v>112</v>
      </c>
      <c r="H279" s="176">
        <v>1</v>
      </c>
      <c r="I279" s="177">
        <v>1704</v>
      </c>
      <c r="J279" s="175">
        <v>46036</v>
      </c>
      <c r="K279" s="171" t="s">
        <v>113</v>
      </c>
      <c r="L279" s="171" t="s">
        <v>114</v>
      </c>
      <c r="M279" s="178">
        <v>0</v>
      </c>
      <c r="N279" s="176"/>
      <c r="O279" s="176"/>
      <c r="P279" s="179">
        <v>1109.54</v>
      </c>
    </row>
    <row r="280" spans="1:16" ht="19.5" customHeight="1">
      <c r="A280" s="171" t="s">
        <v>210</v>
      </c>
      <c r="B280" s="175">
        <v>46037</v>
      </c>
      <c r="C280" s="171" t="s">
        <v>131</v>
      </c>
      <c r="D280" s="171" t="s">
        <v>132</v>
      </c>
      <c r="E280" s="171" t="s">
        <v>38</v>
      </c>
      <c r="F280" s="171" t="s">
        <v>111</v>
      </c>
      <c r="G280" s="171" t="s">
        <v>112</v>
      </c>
      <c r="H280" s="176">
        <v>1</v>
      </c>
      <c r="I280" s="177">
        <v>1704</v>
      </c>
      <c r="J280" s="175">
        <v>46036</v>
      </c>
      <c r="K280" s="171" t="s">
        <v>113</v>
      </c>
      <c r="L280" s="171" t="s">
        <v>114</v>
      </c>
      <c r="M280" s="178">
        <v>0.43</v>
      </c>
      <c r="N280" s="176"/>
      <c r="O280" s="176"/>
      <c r="P280" s="179">
        <v>-732.72</v>
      </c>
    </row>
    <row r="281" spans="1:16" ht="19.5" customHeight="1">
      <c r="A281" s="171" t="s">
        <v>210</v>
      </c>
      <c r="B281" s="175">
        <v>46037</v>
      </c>
      <c r="C281" s="171" t="s">
        <v>115</v>
      </c>
      <c r="D281" s="171" t="s">
        <v>116</v>
      </c>
      <c r="E281" s="171" t="s">
        <v>38</v>
      </c>
      <c r="F281" s="171" t="s">
        <v>111</v>
      </c>
      <c r="G281" s="171" t="s">
        <v>112</v>
      </c>
      <c r="H281" s="176">
        <v>1</v>
      </c>
      <c r="I281" s="177">
        <v>1704</v>
      </c>
      <c r="J281" s="175">
        <v>46036</v>
      </c>
      <c r="K281" s="171" t="s">
        <v>113</v>
      </c>
      <c r="L281" s="171" t="s">
        <v>114</v>
      </c>
      <c r="M281" s="178">
        <v>0.43</v>
      </c>
      <c r="N281" s="176"/>
      <c r="O281" s="176"/>
      <c r="P281" s="179">
        <v>-8.9700000000000006</v>
      </c>
    </row>
    <row r="282" spans="1:16" ht="19.5" customHeight="1">
      <c r="A282" s="171" t="s">
        <v>211</v>
      </c>
      <c r="B282" s="175">
        <v>46037</v>
      </c>
      <c r="C282" s="171" t="s">
        <v>110</v>
      </c>
      <c r="D282" s="171" t="s">
        <v>24</v>
      </c>
      <c r="E282" s="171" t="s">
        <v>38</v>
      </c>
      <c r="F282" s="171" t="s">
        <v>111</v>
      </c>
      <c r="G282" s="171" t="s">
        <v>112</v>
      </c>
      <c r="H282" s="176">
        <v>1</v>
      </c>
      <c r="I282" s="177">
        <v>1704</v>
      </c>
      <c r="J282" s="175">
        <v>46027</v>
      </c>
      <c r="K282" s="171" t="s">
        <v>113</v>
      </c>
      <c r="L282" s="171" t="s">
        <v>114</v>
      </c>
      <c r="M282" s="178">
        <v>0.43</v>
      </c>
      <c r="N282" s="176"/>
      <c r="O282" s="176">
        <v>41</v>
      </c>
      <c r="P282" s="179">
        <v>-118.04</v>
      </c>
    </row>
    <row r="283" spans="1:16" ht="19.5" customHeight="1">
      <c r="A283" s="171" t="s">
        <v>211</v>
      </c>
      <c r="B283" s="175">
        <v>46037</v>
      </c>
      <c r="C283" s="171" t="s">
        <v>127</v>
      </c>
      <c r="D283" s="171" t="s">
        <v>128</v>
      </c>
      <c r="E283" s="171" t="s">
        <v>38</v>
      </c>
      <c r="F283" s="171" t="s">
        <v>111</v>
      </c>
      <c r="G283" s="171" t="s">
        <v>112</v>
      </c>
      <c r="H283" s="176">
        <v>1</v>
      </c>
      <c r="I283" s="177">
        <v>1704</v>
      </c>
      <c r="J283" s="175">
        <v>46027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582.94000000000005</v>
      </c>
    </row>
    <row r="284" spans="1:16" ht="19.5" customHeight="1">
      <c r="A284" s="171" t="s">
        <v>211</v>
      </c>
      <c r="B284" s="175">
        <v>46037</v>
      </c>
      <c r="C284" s="171" t="s">
        <v>127</v>
      </c>
      <c r="D284" s="171" t="s">
        <v>129</v>
      </c>
      <c r="E284" s="171" t="s">
        <v>38</v>
      </c>
      <c r="F284" s="171" t="s">
        <v>111</v>
      </c>
      <c r="G284" s="171" t="s">
        <v>112</v>
      </c>
      <c r="H284" s="176">
        <v>1</v>
      </c>
      <c r="I284" s="177">
        <v>1704</v>
      </c>
      <c r="J284" s="175">
        <v>46027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5.83</v>
      </c>
    </row>
    <row r="285" spans="1:16" ht="19.5" customHeight="1">
      <c r="A285" s="171" t="s">
        <v>211</v>
      </c>
      <c r="B285" s="175">
        <v>46037</v>
      </c>
      <c r="C285" s="171" t="s">
        <v>127</v>
      </c>
      <c r="D285" s="171" t="s">
        <v>130</v>
      </c>
      <c r="E285" s="171" t="s">
        <v>38</v>
      </c>
      <c r="F285" s="171" t="s">
        <v>111</v>
      </c>
      <c r="G285" s="171" t="s">
        <v>112</v>
      </c>
      <c r="H285" s="176">
        <v>1</v>
      </c>
      <c r="I285" s="177">
        <v>1704</v>
      </c>
      <c r="J285" s="175">
        <v>46027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1115.23</v>
      </c>
    </row>
    <row r="286" spans="1:16" ht="19.5" customHeight="1">
      <c r="A286" s="171" t="s">
        <v>211</v>
      </c>
      <c r="B286" s="175">
        <v>46037</v>
      </c>
      <c r="C286" s="171" t="s">
        <v>131</v>
      </c>
      <c r="D286" s="171" t="s">
        <v>132</v>
      </c>
      <c r="E286" s="171" t="s">
        <v>38</v>
      </c>
      <c r="F286" s="171" t="s">
        <v>111</v>
      </c>
      <c r="G286" s="171" t="s">
        <v>112</v>
      </c>
      <c r="H286" s="176">
        <v>1</v>
      </c>
      <c r="I286" s="177">
        <v>1704</v>
      </c>
      <c r="J286" s="175">
        <v>46027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-732.72</v>
      </c>
    </row>
    <row r="287" spans="1:16" ht="19.5" customHeight="1">
      <c r="A287" s="171" t="s">
        <v>211</v>
      </c>
      <c r="B287" s="175">
        <v>46037</v>
      </c>
      <c r="C287" s="171" t="s">
        <v>115</v>
      </c>
      <c r="D287" s="171" t="s">
        <v>116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1704</v>
      </c>
      <c r="J287" s="175">
        <v>46027</v>
      </c>
      <c r="K287" s="171" t="s">
        <v>113</v>
      </c>
      <c r="L287" s="171" t="s">
        <v>114</v>
      </c>
      <c r="M287" s="178">
        <v>0.43</v>
      </c>
      <c r="N287" s="176"/>
      <c r="O287" s="176"/>
      <c r="P287" s="179">
        <v>-8.77</v>
      </c>
    </row>
    <row r="288" spans="1:16" ht="19.5" customHeight="1">
      <c r="A288" s="171" t="s">
        <v>211</v>
      </c>
      <c r="B288" s="175">
        <v>46037</v>
      </c>
      <c r="C288" s="171" t="s">
        <v>115</v>
      </c>
      <c r="D288" s="171" t="s">
        <v>135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0</v>
      </c>
      <c r="J288" s="175">
        <v>46027</v>
      </c>
      <c r="K288" s="171" t="s">
        <v>125</v>
      </c>
      <c r="L288" s="171" t="s">
        <v>125</v>
      </c>
      <c r="M288" s="178">
        <v>0</v>
      </c>
      <c r="N288" s="176"/>
      <c r="O288" s="176"/>
      <c r="P288" s="179">
        <v>-11.08</v>
      </c>
    </row>
    <row r="289" spans="1:16" ht="19.5" customHeight="1">
      <c r="A289" s="171" t="s">
        <v>212</v>
      </c>
      <c r="B289" s="175">
        <v>46037</v>
      </c>
      <c r="C289" s="171" t="s">
        <v>115</v>
      </c>
      <c r="D289" s="171" t="s">
        <v>135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0</v>
      </c>
      <c r="J289" s="175">
        <v>46037</v>
      </c>
      <c r="K289" s="171" t="s">
        <v>125</v>
      </c>
      <c r="L289" s="171" t="s">
        <v>125</v>
      </c>
      <c r="M289" s="178">
        <v>0</v>
      </c>
      <c r="N289" s="176"/>
      <c r="O289" s="176"/>
      <c r="P289" s="179">
        <v>-11.29</v>
      </c>
    </row>
    <row r="290" spans="1:16" ht="19.5" customHeight="1">
      <c r="A290" s="171" t="s">
        <v>212</v>
      </c>
      <c r="B290" s="175">
        <v>46037</v>
      </c>
      <c r="C290" s="171" t="s">
        <v>115</v>
      </c>
      <c r="D290" s="171" t="s">
        <v>135</v>
      </c>
      <c r="E290" s="171" t="s">
        <v>39</v>
      </c>
      <c r="F290" s="171" t="s">
        <v>141</v>
      </c>
      <c r="G290" s="171" t="s">
        <v>112</v>
      </c>
      <c r="H290" s="176">
        <v>1</v>
      </c>
      <c r="I290" s="177">
        <v>0</v>
      </c>
      <c r="J290" s="175">
        <v>46037</v>
      </c>
      <c r="K290" s="171" t="s">
        <v>125</v>
      </c>
      <c r="L290" s="171" t="s">
        <v>125</v>
      </c>
      <c r="M290" s="178">
        <v>0</v>
      </c>
      <c r="N290" s="176"/>
      <c r="O290" s="176"/>
      <c r="P290" s="179">
        <v>-10.82</v>
      </c>
    </row>
    <row r="291" spans="1:16" ht="19.5" customHeight="1">
      <c r="A291" s="171" t="s">
        <v>212</v>
      </c>
      <c r="B291" s="175">
        <v>46037</v>
      </c>
      <c r="C291" s="171" t="s">
        <v>115</v>
      </c>
      <c r="D291" s="171" t="s">
        <v>135</v>
      </c>
      <c r="E291" s="171" t="s">
        <v>44</v>
      </c>
      <c r="F291" s="171" t="s">
        <v>213</v>
      </c>
      <c r="G291" s="171" t="s">
        <v>214</v>
      </c>
      <c r="H291" s="176">
        <v>1</v>
      </c>
      <c r="I291" s="177">
        <v>0</v>
      </c>
      <c r="J291" s="175">
        <v>46037</v>
      </c>
      <c r="K291" s="171" t="s">
        <v>125</v>
      </c>
      <c r="L291" s="171" t="s">
        <v>125</v>
      </c>
      <c r="M291" s="178">
        <v>0</v>
      </c>
      <c r="N291" s="176"/>
      <c r="O291" s="176"/>
      <c r="P291" s="179">
        <v>-12.2</v>
      </c>
    </row>
    <row r="292" spans="1:16" ht="19.5" customHeight="1">
      <c r="A292" s="171" t="s">
        <v>215</v>
      </c>
      <c r="B292" s="175">
        <v>46037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46037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-3.49</v>
      </c>
    </row>
    <row r="293" spans="1:16" ht="19.5" customHeight="1">
      <c r="A293" s="171" t="s">
        <v>216</v>
      </c>
      <c r="B293" s="175">
        <v>46037</v>
      </c>
      <c r="C293" s="171" t="s">
        <v>115</v>
      </c>
      <c r="D293" s="171" t="s">
        <v>135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46037</v>
      </c>
      <c r="K293" s="171" t="s">
        <v>125</v>
      </c>
      <c r="L293" s="171" t="s">
        <v>125</v>
      </c>
      <c r="M293" s="178">
        <v>0</v>
      </c>
      <c r="N293" s="176"/>
      <c r="O293" s="176"/>
      <c r="P293" s="179">
        <v>-4.97</v>
      </c>
    </row>
    <row r="294" spans="1:16" ht="19.5" customHeight="1">
      <c r="A294" s="171" t="s">
        <v>217</v>
      </c>
      <c r="B294" s="175">
        <v>46037</v>
      </c>
      <c r="C294" s="171" t="s">
        <v>115</v>
      </c>
      <c r="D294" s="171" t="s">
        <v>135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46037</v>
      </c>
      <c r="K294" s="171" t="s">
        <v>125</v>
      </c>
      <c r="L294" s="171" t="s">
        <v>125</v>
      </c>
      <c r="M294" s="178">
        <v>0</v>
      </c>
      <c r="N294" s="176"/>
      <c r="O294" s="176"/>
      <c r="P294" s="179">
        <v>-6.65</v>
      </c>
    </row>
    <row r="295" spans="1:16" ht="19.5" customHeight="1">
      <c r="A295" s="171" t="s">
        <v>218</v>
      </c>
      <c r="B295" s="175">
        <v>46037</v>
      </c>
      <c r="C295" s="171" t="s">
        <v>110</v>
      </c>
      <c r="D295" s="171" t="s">
        <v>24</v>
      </c>
      <c r="E295" s="171" t="s">
        <v>71</v>
      </c>
      <c r="F295" s="171" t="s">
        <v>185</v>
      </c>
      <c r="G295" s="171" t="s">
        <v>177</v>
      </c>
      <c r="H295" s="176">
        <v>1</v>
      </c>
      <c r="I295" s="177">
        <v>3546</v>
      </c>
      <c r="J295" s="175">
        <v>46036</v>
      </c>
      <c r="K295" s="171" t="s">
        <v>113</v>
      </c>
      <c r="L295" s="171" t="s">
        <v>114</v>
      </c>
      <c r="M295" s="178">
        <v>0.43</v>
      </c>
      <c r="N295" s="176"/>
      <c r="O295" s="176">
        <v>44</v>
      </c>
      <c r="P295" s="179">
        <v>-204.51</v>
      </c>
    </row>
    <row r="296" spans="1:16" ht="19.5" customHeight="1">
      <c r="A296" s="171" t="s">
        <v>218</v>
      </c>
      <c r="B296" s="175">
        <v>46037</v>
      </c>
      <c r="C296" s="171" t="s">
        <v>127</v>
      </c>
      <c r="D296" s="171" t="s">
        <v>128</v>
      </c>
      <c r="E296" s="171" t="s">
        <v>71</v>
      </c>
      <c r="F296" s="171" t="s">
        <v>185</v>
      </c>
      <c r="G296" s="171" t="s">
        <v>177</v>
      </c>
      <c r="H296" s="176">
        <v>1</v>
      </c>
      <c r="I296" s="177">
        <v>3546</v>
      </c>
      <c r="J296" s="175">
        <v>46036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2203.42</v>
      </c>
    </row>
    <row r="297" spans="1:16" ht="19.5" customHeight="1">
      <c r="A297" s="171" t="s">
        <v>218</v>
      </c>
      <c r="B297" s="175">
        <v>46037</v>
      </c>
      <c r="C297" s="171" t="s">
        <v>127</v>
      </c>
      <c r="D297" s="171" t="s">
        <v>129</v>
      </c>
      <c r="E297" s="171" t="s">
        <v>71</v>
      </c>
      <c r="F297" s="171" t="s">
        <v>185</v>
      </c>
      <c r="G297" s="171" t="s">
        <v>177</v>
      </c>
      <c r="H297" s="176">
        <v>1</v>
      </c>
      <c r="I297" s="177">
        <v>3546</v>
      </c>
      <c r="J297" s="175">
        <v>46036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22.03</v>
      </c>
    </row>
    <row r="298" spans="1:16" ht="19.5" customHeight="1">
      <c r="A298" s="171" t="s">
        <v>218</v>
      </c>
      <c r="B298" s="175">
        <v>46037</v>
      </c>
      <c r="C298" s="171" t="s">
        <v>127</v>
      </c>
      <c r="D298" s="171" t="s">
        <v>130</v>
      </c>
      <c r="E298" s="171" t="s">
        <v>71</v>
      </c>
      <c r="F298" s="171" t="s">
        <v>185</v>
      </c>
      <c r="G298" s="171" t="s">
        <v>177</v>
      </c>
      <c r="H298" s="176">
        <v>1</v>
      </c>
      <c r="I298" s="177">
        <v>3546</v>
      </c>
      <c r="J298" s="175">
        <v>46036</v>
      </c>
      <c r="K298" s="171" t="s">
        <v>113</v>
      </c>
      <c r="L298" s="171" t="s">
        <v>114</v>
      </c>
      <c r="M298" s="178">
        <v>0</v>
      </c>
      <c r="N298" s="176"/>
      <c r="O298" s="176"/>
      <c r="P298" s="179">
        <v>1320.55</v>
      </c>
    </row>
    <row r="299" spans="1:16" ht="19.5" customHeight="1">
      <c r="A299" s="171" t="s">
        <v>218</v>
      </c>
      <c r="B299" s="175">
        <v>46037</v>
      </c>
      <c r="C299" s="171" t="s">
        <v>131</v>
      </c>
      <c r="D299" s="171" t="s">
        <v>132</v>
      </c>
      <c r="E299" s="171" t="s">
        <v>71</v>
      </c>
      <c r="F299" s="171" t="s">
        <v>185</v>
      </c>
      <c r="G299" s="171" t="s">
        <v>177</v>
      </c>
      <c r="H299" s="176">
        <v>1</v>
      </c>
      <c r="I299" s="177">
        <v>3546</v>
      </c>
      <c r="J299" s="175">
        <v>46036</v>
      </c>
      <c r="K299" s="171" t="s">
        <v>113</v>
      </c>
      <c r="L299" s="171" t="s">
        <v>114</v>
      </c>
      <c r="M299" s="178">
        <v>0.43</v>
      </c>
      <c r="N299" s="176"/>
      <c r="O299" s="176"/>
      <c r="P299" s="179">
        <v>-1524.78</v>
      </c>
    </row>
    <row r="300" spans="1:16" ht="19.5" customHeight="1">
      <c r="A300" s="171" t="s">
        <v>219</v>
      </c>
      <c r="B300" s="175">
        <v>46037</v>
      </c>
      <c r="C300" s="171" t="s">
        <v>110</v>
      </c>
      <c r="D300" s="171" t="s">
        <v>24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46036</v>
      </c>
      <c r="K300" s="171" t="s">
        <v>113</v>
      </c>
      <c r="L300" s="171" t="s">
        <v>114</v>
      </c>
      <c r="M300" s="178">
        <v>0.43</v>
      </c>
      <c r="N300" s="176"/>
      <c r="O300" s="176">
        <v>44</v>
      </c>
      <c r="P300" s="179">
        <v>-129.91999999999999</v>
      </c>
    </row>
    <row r="301" spans="1:16" ht="19.5" customHeight="1">
      <c r="A301" s="171" t="s">
        <v>219</v>
      </c>
      <c r="B301" s="175">
        <v>46037</v>
      </c>
      <c r="C301" s="171" t="s">
        <v>127</v>
      </c>
      <c r="D301" s="171" t="s">
        <v>128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46036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588.57000000000005</v>
      </c>
    </row>
    <row r="302" spans="1:16" ht="19.5" customHeight="1">
      <c r="A302" s="171" t="s">
        <v>219</v>
      </c>
      <c r="B302" s="175">
        <v>46037</v>
      </c>
      <c r="C302" s="171" t="s">
        <v>127</v>
      </c>
      <c r="D302" s="171" t="s">
        <v>129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46036</v>
      </c>
      <c r="K302" s="171" t="s">
        <v>113</v>
      </c>
      <c r="L302" s="171" t="s">
        <v>114</v>
      </c>
      <c r="M302" s="178">
        <v>0</v>
      </c>
      <c r="N302" s="176"/>
      <c r="O302" s="176"/>
      <c r="P302" s="179">
        <v>5.89</v>
      </c>
    </row>
    <row r="303" spans="1:16" ht="19.5" customHeight="1">
      <c r="A303" s="171" t="s">
        <v>219</v>
      </c>
      <c r="B303" s="175">
        <v>46037</v>
      </c>
      <c r="C303" s="171" t="s">
        <v>127</v>
      </c>
      <c r="D303" s="171" t="s">
        <v>130</v>
      </c>
      <c r="E303" s="171" t="s">
        <v>38</v>
      </c>
      <c r="F303" s="171" t="s">
        <v>111</v>
      </c>
      <c r="G303" s="171" t="s">
        <v>112</v>
      </c>
      <c r="H303" s="176">
        <v>1</v>
      </c>
      <c r="I303" s="177">
        <v>1704</v>
      </c>
      <c r="J303" s="175">
        <v>46036</v>
      </c>
      <c r="K303" s="171" t="s">
        <v>113</v>
      </c>
      <c r="L303" s="171" t="s">
        <v>114</v>
      </c>
      <c r="M303" s="178">
        <v>0</v>
      </c>
      <c r="N303" s="176"/>
      <c r="O303" s="176"/>
      <c r="P303" s="179">
        <v>1109.54</v>
      </c>
    </row>
    <row r="304" spans="1:16" ht="19.5" customHeight="1">
      <c r="A304" s="171" t="s">
        <v>219</v>
      </c>
      <c r="B304" s="175">
        <v>46037</v>
      </c>
      <c r="C304" s="171" t="s">
        <v>131</v>
      </c>
      <c r="D304" s="171" t="s">
        <v>132</v>
      </c>
      <c r="E304" s="171" t="s">
        <v>38</v>
      </c>
      <c r="F304" s="171" t="s">
        <v>111</v>
      </c>
      <c r="G304" s="171" t="s">
        <v>112</v>
      </c>
      <c r="H304" s="176">
        <v>1</v>
      </c>
      <c r="I304" s="177">
        <v>1704</v>
      </c>
      <c r="J304" s="175">
        <v>46036</v>
      </c>
      <c r="K304" s="171" t="s">
        <v>113</v>
      </c>
      <c r="L304" s="171" t="s">
        <v>114</v>
      </c>
      <c r="M304" s="178">
        <v>0.43</v>
      </c>
      <c r="N304" s="176"/>
      <c r="O304" s="176"/>
      <c r="P304" s="179">
        <v>-732.72</v>
      </c>
    </row>
    <row r="305" spans="1:16" ht="19.5" customHeight="1">
      <c r="A305" s="171" t="s">
        <v>219</v>
      </c>
      <c r="B305" s="175">
        <v>46037</v>
      </c>
      <c r="C305" s="171" t="s">
        <v>115</v>
      </c>
      <c r="D305" s="171" t="s">
        <v>116</v>
      </c>
      <c r="E305" s="171" t="s">
        <v>38</v>
      </c>
      <c r="F305" s="171" t="s">
        <v>111</v>
      </c>
      <c r="G305" s="171" t="s">
        <v>112</v>
      </c>
      <c r="H305" s="176">
        <v>1</v>
      </c>
      <c r="I305" s="177">
        <v>1704</v>
      </c>
      <c r="J305" s="175">
        <v>46036</v>
      </c>
      <c r="K305" s="171" t="s">
        <v>113</v>
      </c>
      <c r="L305" s="171" t="s">
        <v>114</v>
      </c>
      <c r="M305" s="178">
        <v>0.43</v>
      </c>
      <c r="N305" s="176"/>
      <c r="O305" s="176"/>
      <c r="P305" s="179">
        <v>-16.13</v>
      </c>
    </row>
    <row r="306" spans="1:16" ht="19.5" customHeight="1">
      <c r="A306" s="171" t="s">
        <v>220</v>
      </c>
      <c r="B306" s="175">
        <v>46037</v>
      </c>
      <c r="C306" s="171" t="s">
        <v>115</v>
      </c>
      <c r="D306" s="171" t="s">
        <v>135</v>
      </c>
      <c r="E306" s="171" t="s">
        <v>38</v>
      </c>
      <c r="F306" s="171" t="s">
        <v>111</v>
      </c>
      <c r="G306" s="171" t="s">
        <v>112</v>
      </c>
      <c r="H306" s="176">
        <v>1</v>
      </c>
      <c r="I306" s="177">
        <v>0</v>
      </c>
      <c r="J306" s="175">
        <v>46037</v>
      </c>
      <c r="K306" s="171" t="s">
        <v>125</v>
      </c>
      <c r="L306" s="171" t="s">
        <v>125</v>
      </c>
      <c r="M306" s="178">
        <v>0</v>
      </c>
      <c r="N306" s="176"/>
      <c r="O306" s="176"/>
      <c r="P306" s="179">
        <v>-11.13</v>
      </c>
    </row>
    <row r="307" spans="1:16" ht="19.5" customHeight="1">
      <c r="A307" s="171" t="s">
        <v>219</v>
      </c>
      <c r="B307" s="175">
        <v>46037</v>
      </c>
      <c r="C307" s="171" t="s">
        <v>115</v>
      </c>
      <c r="D307" s="171" t="s">
        <v>135</v>
      </c>
      <c r="E307" s="171" t="s">
        <v>38</v>
      </c>
      <c r="F307" s="171" t="s">
        <v>111</v>
      </c>
      <c r="G307" s="171" t="s">
        <v>112</v>
      </c>
      <c r="H307" s="176">
        <v>1</v>
      </c>
      <c r="I307" s="177">
        <v>0</v>
      </c>
      <c r="J307" s="175">
        <v>46036</v>
      </c>
      <c r="K307" s="171" t="s">
        <v>125</v>
      </c>
      <c r="L307" s="171" t="s">
        <v>125</v>
      </c>
      <c r="M307" s="178">
        <v>0</v>
      </c>
      <c r="N307" s="176"/>
      <c r="O307" s="176"/>
      <c r="P307" s="179">
        <v>-11.18</v>
      </c>
    </row>
    <row r="308" spans="1:16" ht="19.5" customHeight="1">
      <c r="A308" s="171" t="s">
        <v>221</v>
      </c>
      <c r="B308" s="175">
        <v>46037</v>
      </c>
      <c r="C308" s="171" t="s">
        <v>110</v>
      </c>
      <c r="D308" s="171" t="s">
        <v>24</v>
      </c>
      <c r="E308" s="171" t="s">
        <v>38</v>
      </c>
      <c r="F308" s="171" t="s">
        <v>111</v>
      </c>
      <c r="G308" s="171" t="s">
        <v>112</v>
      </c>
      <c r="H308" s="176">
        <v>1</v>
      </c>
      <c r="I308" s="177">
        <v>0</v>
      </c>
      <c r="J308" s="175">
        <v>46028</v>
      </c>
      <c r="K308" s="171" t="s">
        <v>113</v>
      </c>
      <c r="L308" s="171" t="s">
        <v>114</v>
      </c>
      <c r="M308" s="178">
        <v>0</v>
      </c>
      <c r="N308" s="176"/>
      <c r="O308" s="176">
        <v>44</v>
      </c>
      <c r="P308" s="179">
        <v>-46.77</v>
      </c>
    </row>
    <row r="309" spans="1:16" ht="19.5" customHeight="1">
      <c r="A309" s="171" t="s">
        <v>221</v>
      </c>
      <c r="B309" s="175">
        <v>46037</v>
      </c>
      <c r="C309" s="171" t="s">
        <v>115</v>
      </c>
      <c r="D309" s="171" t="s">
        <v>116</v>
      </c>
      <c r="E309" s="171" t="s">
        <v>38</v>
      </c>
      <c r="F309" s="171" t="s">
        <v>111</v>
      </c>
      <c r="G309" s="171" t="s">
        <v>112</v>
      </c>
      <c r="H309" s="176">
        <v>1</v>
      </c>
      <c r="I309" s="177">
        <v>0</v>
      </c>
      <c r="J309" s="175">
        <v>46028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-9.08</v>
      </c>
    </row>
    <row r="310" spans="1:16" ht="19.5" customHeight="1">
      <c r="A310" s="171" t="s">
        <v>221</v>
      </c>
      <c r="B310" s="175">
        <v>46037</v>
      </c>
      <c r="C310" s="171" t="s">
        <v>110</v>
      </c>
      <c r="D310" s="171" t="s">
        <v>117</v>
      </c>
      <c r="E310" s="171" t="s">
        <v>38</v>
      </c>
      <c r="F310" s="171" t="s">
        <v>111</v>
      </c>
      <c r="G310" s="171" t="s">
        <v>112</v>
      </c>
      <c r="H310" s="176">
        <v>1</v>
      </c>
      <c r="I310" s="177">
        <v>0</v>
      </c>
      <c r="J310" s="175">
        <v>46028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0</v>
      </c>
    </row>
    <row r="311" spans="1:16" ht="19.5" customHeight="1">
      <c r="A311" s="171" t="s">
        <v>221</v>
      </c>
      <c r="B311" s="175">
        <v>46037</v>
      </c>
      <c r="C311" s="171" t="s">
        <v>110</v>
      </c>
      <c r="D311" s="171" t="s">
        <v>118</v>
      </c>
      <c r="E311" s="171" t="s">
        <v>38</v>
      </c>
      <c r="F311" s="171" t="s">
        <v>111</v>
      </c>
      <c r="G311" s="171" t="s">
        <v>112</v>
      </c>
      <c r="H311" s="176">
        <v>1</v>
      </c>
      <c r="I311" s="177">
        <v>0</v>
      </c>
      <c r="J311" s="175">
        <v>46028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-46.77</v>
      </c>
    </row>
    <row r="312" spans="1:16" ht="19.5" customHeight="1">
      <c r="A312" s="171" t="s">
        <v>221</v>
      </c>
      <c r="B312" s="175">
        <v>46037</v>
      </c>
      <c r="C312" s="171" t="s">
        <v>115</v>
      </c>
      <c r="D312" s="171" t="s">
        <v>119</v>
      </c>
      <c r="E312" s="171" t="s">
        <v>38</v>
      </c>
      <c r="F312" s="171" t="s">
        <v>111</v>
      </c>
      <c r="G312" s="171" t="s">
        <v>112</v>
      </c>
      <c r="H312" s="176">
        <v>1</v>
      </c>
      <c r="I312" s="177">
        <v>0</v>
      </c>
      <c r="J312" s="175">
        <v>46028</v>
      </c>
      <c r="K312" s="171" t="s">
        <v>113</v>
      </c>
      <c r="L312" s="171" t="s">
        <v>114</v>
      </c>
      <c r="M312" s="178">
        <v>0</v>
      </c>
      <c r="N312" s="176"/>
      <c r="O312" s="176"/>
      <c r="P312" s="179">
        <v>-15</v>
      </c>
    </row>
    <row r="313" spans="1:16" ht="19.5" customHeight="1">
      <c r="A313" s="171" t="s">
        <v>150</v>
      </c>
      <c r="B313" s="175">
        <v>46037</v>
      </c>
      <c r="C313" s="171" t="s">
        <v>151</v>
      </c>
      <c r="D313" s="171" t="s">
        <v>152</v>
      </c>
      <c r="E313" s="171" t="s">
        <v>125</v>
      </c>
      <c r="F313" s="171" t="s">
        <v>125</v>
      </c>
      <c r="G313" s="171" t="s">
        <v>125</v>
      </c>
      <c r="H313" s="176">
        <v>0</v>
      </c>
      <c r="I313" s="177">
        <v>0</v>
      </c>
      <c r="J313" s="175">
        <v>46037</v>
      </c>
      <c r="K313" s="171" t="s">
        <v>125</v>
      </c>
      <c r="L313" s="171" t="s">
        <v>125</v>
      </c>
      <c r="M313" s="178">
        <v>0</v>
      </c>
      <c r="N313" s="176"/>
      <c r="O313" s="176"/>
      <c r="P313" s="179">
        <v>-1287.49</v>
      </c>
    </row>
    <row r="314" spans="1:16" ht="19.5" customHeight="1">
      <c r="A314" s="171" t="s">
        <v>155</v>
      </c>
      <c r="B314" s="175">
        <v>46037</v>
      </c>
      <c r="C314" s="171" t="s">
        <v>151</v>
      </c>
      <c r="D314" s="171" t="s">
        <v>156</v>
      </c>
      <c r="E314" s="171" t="s">
        <v>125</v>
      </c>
      <c r="F314" s="171" t="s">
        <v>125</v>
      </c>
      <c r="G314" s="171" t="s">
        <v>125</v>
      </c>
      <c r="H314" s="176">
        <v>0</v>
      </c>
      <c r="I314" s="177">
        <v>0</v>
      </c>
      <c r="J314" s="175">
        <v>46037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-1533.6</v>
      </c>
    </row>
    <row r="315" spans="1:16" ht="19.5" customHeight="1">
      <c r="A315" s="171" t="s">
        <v>179</v>
      </c>
      <c r="B315" s="175">
        <v>46037</v>
      </c>
      <c r="C315" s="171" t="s">
        <v>151</v>
      </c>
      <c r="D315" s="171" t="s">
        <v>152</v>
      </c>
      <c r="E315" s="171" t="s">
        <v>125</v>
      </c>
      <c r="F315" s="171" t="s">
        <v>125</v>
      </c>
      <c r="G315" s="171" t="s">
        <v>125</v>
      </c>
      <c r="H315" s="176">
        <v>0</v>
      </c>
      <c r="I315" s="177">
        <v>0</v>
      </c>
      <c r="J315" s="175">
        <v>46037</v>
      </c>
      <c r="K315" s="171" t="s">
        <v>125</v>
      </c>
      <c r="L315" s="171" t="s">
        <v>125</v>
      </c>
      <c r="M315" s="178">
        <v>0</v>
      </c>
      <c r="N315" s="176"/>
      <c r="O315" s="176"/>
      <c r="P315" s="179">
        <v>-291.36</v>
      </c>
    </row>
    <row r="316" spans="1:16" ht="19.5" customHeight="1">
      <c r="A316" s="171" t="s">
        <v>180</v>
      </c>
      <c r="B316" s="175">
        <v>46037</v>
      </c>
      <c r="C316" s="171" t="s">
        <v>151</v>
      </c>
      <c r="D316" s="171" t="s">
        <v>152</v>
      </c>
      <c r="E316" s="171" t="s">
        <v>125</v>
      </c>
      <c r="F316" s="171" t="s">
        <v>125</v>
      </c>
      <c r="G316" s="171" t="s">
        <v>125</v>
      </c>
      <c r="H316" s="176">
        <v>0</v>
      </c>
      <c r="I316" s="177">
        <v>0</v>
      </c>
      <c r="J316" s="175">
        <v>46037</v>
      </c>
      <c r="K316" s="171" t="s">
        <v>125</v>
      </c>
      <c r="L316" s="171" t="s">
        <v>125</v>
      </c>
      <c r="M316" s="178">
        <v>0</v>
      </c>
      <c r="N316" s="176"/>
      <c r="O316" s="176"/>
      <c r="P316" s="179">
        <v>-295.14</v>
      </c>
    </row>
    <row r="317" spans="1:16" ht="19.5" customHeight="1">
      <c r="A317" s="171" t="s">
        <v>196</v>
      </c>
      <c r="B317" s="175">
        <v>46037</v>
      </c>
      <c r="C317" s="171" t="s">
        <v>151</v>
      </c>
      <c r="D317" s="171" t="s">
        <v>152</v>
      </c>
      <c r="E317" s="171" t="s">
        <v>125</v>
      </c>
      <c r="F317" s="171" t="s">
        <v>125</v>
      </c>
      <c r="G317" s="171" t="s">
        <v>125</v>
      </c>
      <c r="H317" s="176">
        <v>0</v>
      </c>
      <c r="I317" s="177">
        <v>0</v>
      </c>
      <c r="J317" s="175">
        <v>46037</v>
      </c>
      <c r="K317" s="171" t="s">
        <v>125</v>
      </c>
      <c r="L317" s="171" t="s">
        <v>125</v>
      </c>
      <c r="M317" s="178">
        <v>0</v>
      </c>
      <c r="N317" s="176"/>
      <c r="O317" s="176"/>
      <c r="P317" s="179">
        <v>-295.88</v>
      </c>
    </row>
    <row r="318" spans="1:16" ht="19.5" customHeight="1">
      <c r="A318" s="171" t="s">
        <v>222</v>
      </c>
      <c r="B318" s="175">
        <v>46038</v>
      </c>
      <c r="C318" s="171" t="s">
        <v>110</v>
      </c>
      <c r="D318" s="171" t="s">
        <v>24</v>
      </c>
      <c r="E318" s="171" t="s">
        <v>41</v>
      </c>
      <c r="F318" s="171" t="s">
        <v>138</v>
      </c>
      <c r="G318" s="171" t="s">
        <v>112</v>
      </c>
      <c r="H318" s="176">
        <v>1</v>
      </c>
      <c r="I318" s="177">
        <v>0</v>
      </c>
      <c r="J318" s="175">
        <v>46033</v>
      </c>
      <c r="K318" s="171" t="s">
        <v>113</v>
      </c>
      <c r="L318" s="171" t="s">
        <v>114</v>
      </c>
      <c r="M318" s="178">
        <v>0</v>
      </c>
      <c r="N318" s="176"/>
      <c r="O318" s="176">
        <v>50</v>
      </c>
      <c r="P318" s="179">
        <v>-46.77</v>
      </c>
    </row>
    <row r="319" spans="1:16" ht="19.5" customHeight="1">
      <c r="A319" s="171" t="s">
        <v>222</v>
      </c>
      <c r="B319" s="175">
        <v>46038</v>
      </c>
      <c r="C319" s="171" t="s">
        <v>110</v>
      </c>
      <c r="D319" s="171" t="s">
        <v>117</v>
      </c>
      <c r="E319" s="171" t="s">
        <v>41</v>
      </c>
      <c r="F319" s="171" t="s">
        <v>138</v>
      </c>
      <c r="G319" s="171" t="s">
        <v>112</v>
      </c>
      <c r="H319" s="176">
        <v>1</v>
      </c>
      <c r="I319" s="177">
        <v>0</v>
      </c>
      <c r="J319" s="175">
        <v>46033</v>
      </c>
      <c r="K319" s="171" t="s">
        <v>113</v>
      </c>
      <c r="L319" s="171" t="s">
        <v>114</v>
      </c>
      <c r="M319" s="178">
        <v>0</v>
      </c>
      <c r="N319" s="176"/>
      <c r="O319" s="176"/>
      <c r="P319" s="179">
        <v>0</v>
      </c>
    </row>
    <row r="320" spans="1:16" ht="19.5" customHeight="1">
      <c r="A320" s="171" t="s">
        <v>222</v>
      </c>
      <c r="B320" s="175">
        <v>46038</v>
      </c>
      <c r="C320" s="171" t="s">
        <v>110</v>
      </c>
      <c r="D320" s="171" t="s">
        <v>118</v>
      </c>
      <c r="E320" s="171" t="s">
        <v>41</v>
      </c>
      <c r="F320" s="171" t="s">
        <v>138</v>
      </c>
      <c r="G320" s="171" t="s">
        <v>112</v>
      </c>
      <c r="H320" s="176">
        <v>1</v>
      </c>
      <c r="I320" s="177">
        <v>0</v>
      </c>
      <c r="J320" s="175">
        <v>46033</v>
      </c>
      <c r="K320" s="171" t="s">
        <v>113</v>
      </c>
      <c r="L320" s="171" t="s">
        <v>114</v>
      </c>
      <c r="M320" s="178">
        <v>0</v>
      </c>
      <c r="N320" s="176"/>
      <c r="O320" s="176"/>
      <c r="P320" s="179">
        <v>-46.77</v>
      </c>
    </row>
    <row r="321" spans="1:16" ht="19.5" customHeight="1">
      <c r="A321" s="171" t="s">
        <v>222</v>
      </c>
      <c r="B321" s="175">
        <v>46038</v>
      </c>
      <c r="C321" s="171" t="s">
        <v>115</v>
      </c>
      <c r="D321" s="171" t="s">
        <v>119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0</v>
      </c>
      <c r="J321" s="175">
        <v>46033</v>
      </c>
      <c r="K321" s="171" t="s">
        <v>113</v>
      </c>
      <c r="L321" s="171" t="s">
        <v>114</v>
      </c>
      <c r="M321" s="178">
        <v>0</v>
      </c>
      <c r="N321" s="176"/>
      <c r="O321" s="176"/>
      <c r="P321" s="179">
        <v>-15</v>
      </c>
    </row>
    <row r="322" spans="1:16" ht="19.5" customHeight="1">
      <c r="A322" s="171" t="s">
        <v>223</v>
      </c>
      <c r="B322" s="175">
        <v>46038</v>
      </c>
      <c r="C322" s="171" t="s">
        <v>115</v>
      </c>
      <c r="D322" s="171" t="s">
        <v>135</v>
      </c>
      <c r="E322" s="171" t="s">
        <v>38</v>
      </c>
      <c r="F322" s="171" t="s">
        <v>111</v>
      </c>
      <c r="G322" s="171" t="s">
        <v>112</v>
      </c>
      <c r="H322" s="176">
        <v>1</v>
      </c>
      <c r="I322" s="177">
        <v>0</v>
      </c>
      <c r="J322" s="175">
        <v>46038</v>
      </c>
      <c r="K322" s="171" t="s">
        <v>125</v>
      </c>
      <c r="L322" s="171" t="s">
        <v>125</v>
      </c>
      <c r="M322" s="178">
        <v>0</v>
      </c>
      <c r="N322" s="176"/>
      <c r="O322" s="176"/>
      <c r="P322" s="179">
        <v>-10.89</v>
      </c>
    </row>
    <row r="323" spans="1:16" ht="19.5" customHeight="1">
      <c r="A323" s="171" t="s">
        <v>224</v>
      </c>
      <c r="B323" s="175">
        <v>46038</v>
      </c>
      <c r="C323" s="171" t="s">
        <v>110</v>
      </c>
      <c r="D323" s="171" t="s">
        <v>117</v>
      </c>
      <c r="E323" s="171" t="s">
        <v>38</v>
      </c>
      <c r="F323" s="171" t="s">
        <v>111</v>
      </c>
      <c r="G323" s="171" t="s">
        <v>112</v>
      </c>
      <c r="H323" s="176">
        <v>1</v>
      </c>
      <c r="I323" s="177">
        <v>0</v>
      </c>
      <c r="J323" s="175">
        <v>46029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224</v>
      </c>
      <c r="B324" s="175">
        <v>46038</v>
      </c>
      <c r="C324" s="171" t="s">
        <v>110</v>
      </c>
      <c r="D324" s="171" t="s">
        <v>118</v>
      </c>
      <c r="E324" s="171" t="s">
        <v>38</v>
      </c>
      <c r="F324" s="171" t="s">
        <v>111</v>
      </c>
      <c r="G324" s="171" t="s">
        <v>112</v>
      </c>
      <c r="H324" s="176">
        <v>1</v>
      </c>
      <c r="I324" s="177">
        <v>0</v>
      </c>
      <c r="J324" s="175">
        <v>46029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-46.77</v>
      </c>
    </row>
    <row r="325" spans="1:16" ht="19.5" customHeight="1">
      <c r="A325" s="171" t="s">
        <v>224</v>
      </c>
      <c r="B325" s="175">
        <v>46038</v>
      </c>
      <c r="C325" s="171" t="s">
        <v>115</v>
      </c>
      <c r="D325" s="171" t="s">
        <v>119</v>
      </c>
      <c r="E325" s="171" t="s">
        <v>38</v>
      </c>
      <c r="F325" s="171" t="s">
        <v>111</v>
      </c>
      <c r="G325" s="171" t="s">
        <v>112</v>
      </c>
      <c r="H325" s="176">
        <v>1</v>
      </c>
      <c r="I325" s="177">
        <v>0</v>
      </c>
      <c r="J325" s="175">
        <v>46029</v>
      </c>
      <c r="K325" s="171" t="s">
        <v>113</v>
      </c>
      <c r="L325" s="171" t="s">
        <v>114</v>
      </c>
      <c r="M325" s="178">
        <v>0</v>
      </c>
      <c r="N325" s="176"/>
      <c r="O325" s="176"/>
      <c r="P325" s="179">
        <v>-15</v>
      </c>
    </row>
    <row r="326" spans="1:16" ht="19.5" customHeight="1">
      <c r="A326" s="171" t="s">
        <v>224</v>
      </c>
      <c r="B326" s="175">
        <v>46038</v>
      </c>
      <c r="C326" s="171" t="s">
        <v>110</v>
      </c>
      <c r="D326" s="171" t="s">
        <v>24</v>
      </c>
      <c r="E326" s="171" t="s">
        <v>38</v>
      </c>
      <c r="F326" s="171" t="s">
        <v>111</v>
      </c>
      <c r="G326" s="171" t="s">
        <v>112</v>
      </c>
      <c r="H326" s="176">
        <v>1</v>
      </c>
      <c r="I326" s="177">
        <v>0</v>
      </c>
      <c r="J326" s="175">
        <v>46029</v>
      </c>
      <c r="K326" s="171" t="s">
        <v>113</v>
      </c>
      <c r="L326" s="171" t="s">
        <v>114</v>
      </c>
      <c r="M326" s="178">
        <v>0</v>
      </c>
      <c r="N326" s="176"/>
      <c r="O326" s="176">
        <v>46</v>
      </c>
      <c r="P326" s="179">
        <v>-46.77</v>
      </c>
    </row>
    <row r="327" spans="1:16" ht="19.5" customHeight="1">
      <c r="A327" s="171" t="s">
        <v>224</v>
      </c>
      <c r="B327" s="175">
        <v>46038</v>
      </c>
      <c r="C327" s="171" t="s">
        <v>115</v>
      </c>
      <c r="D327" s="171" t="s">
        <v>116</v>
      </c>
      <c r="E327" s="171" t="s">
        <v>38</v>
      </c>
      <c r="F327" s="171" t="s">
        <v>111</v>
      </c>
      <c r="G327" s="171" t="s">
        <v>112</v>
      </c>
      <c r="H327" s="176">
        <v>1</v>
      </c>
      <c r="I327" s="177">
        <v>0</v>
      </c>
      <c r="J327" s="175">
        <v>46029</v>
      </c>
      <c r="K327" s="171" t="s">
        <v>113</v>
      </c>
      <c r="L327" s="171" t="s">
        <v>114</v>
      </c>
      <c r="M327" s="178">
        <v>0</v>
      </c>
      <c r="N327" s="176"/>
      <c r="O327" s="176"/>
      <c r="P327" s="179">
        <v>-9.4499999999999993</v>
      </c>
    </row>
    <row r="328" spans="1:16" ht="19.5" customHeight="1">
      <c r="A328" s="171" t="s">
        <v>225</v>
      </c>
      <c r="B328" s="175">
        <v>46038</v>
      </c>
      <c r="C328" s="171" t="s">
        <v>115</v>
      </c>
      <c r="D328" s="171" t="s">
        <v>135</v>
      </c>
      <c r="E328" s="171" t="s">
        <v>39</v>
      </c>
      <c r="F328" s="171" t="s">
        <v>141</v>
      </c>
      <c r="G328" s="171" t="s">
        <v>112</v>
      </c>
      <c r="H328" s="176">
        <v>1</v>
      </c>
      <c r="I328" s="177">
        <v>0</v>
      </c>
      <c r="J328" s="175">
        <v>46038</v>
      </c>
      <c r="K328" s="171" t="s">
        <v>125</v>
      </c>
      <c r="L328" s="171" t="s">
        <v>125</v>
      </c>
      <c r="M328" s="178">
        <v>0</v>
      </c>
      <c r="N328" s="176"/>
      <c r="O328" s="176"/>
      <c r="P328" s="179">
        <v>-6.36</v>
      </c>
    </row>
    <row r="329" spans="1:16" ht="19.5" customHeight="1">
      <c r="A329" s="171" t="s">
        <v>226</v>
      </c>
      <c r="B329" s="175">
        <v>46038</v>
      </c>
      <c r="C329" s="171" t="s">
        <v>110</v>
      </c>
      <c r="D329" s="171" t="s">
        <v>24</v>
      </c>
      <c r="E329" s="171" t="s">
        <v>51</v>
      </c>
      <c r="F329" s="171" t="s">
        <v>227</v>
      </c>
      <c r="G329" s="171" t="s">
        <v>112</v>
      </c>
      <c r="H329" s="176">
        <v>1</v>
      </c>
      <c r="I329" s="177">
        <v>1298</v>
      </c>
      <c r="J329" s="175">
        <v>46029</v>
      </c>
      <c r="K329" s="171" t="s">
        <v>113</v>
      </c>
      <c r="L329" s="171" t="s">
        <v>114</v>
      </c>
      <c r="M329" s="178">
        <v>0.43</v>
      </c>
      <c r="N329" s="176"/>
      <c r="O329" s="176">
        <v>46</v>
      </c>
      <c r="P329" s="179">
        <v>-123.82</v>
      </c>
    </row>
    <row r="330" spans="1:16" ht="19.5" customHeight="1">
      <c r="A330" s="171" t="s">
        <v>226</v>
      </c>
      <c r="B330" s="175">
        <v>46038</v>
      </c>
      <c r="C330" s="171" t="s">
        <v>127</v>
      </c>
      <c r="D330" s="171" t="s">
        <v>128</v>
      </c>
      <c r="E330" s="171" t="s">
        <v>51</v>
      </c>
      <c r="F330" s="171" t="s">
        <v>227</v>
      </c>
      <c r="G330" s="171" t="s">
        <v>112</v>
      </c>
      <c r="H330" s="176">
        <v>1</v>
      </c>
      <c r="I330" s="177">
        <v>1298</v>
      </c>
      <c r="J330" s="175">
        <v>46029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454.29</v>
      </c>
    </row>
    <row r="331" spans="1:16" ht="19.5" customHeight="1">
      <c r="A331" s="171" t="s">
        <v>226</v>
      </c>
      <c r="B331" s="175">
        <v>46038</v>
      </c>
      <c r="C331" s="171" t="s">
        <v>127</v>
      </c>
      <c r="D331" s="171" t="s">
        <v>129</v>
      </c>
      <c r="E331" s="171" t="s">
        <v>51</v>
      </c>
      <c r="F331" s="171" t="s">
        <v>227</v>
      </c>
      <c r="G331" s="171" t="s">
        <v>112</v>
      </c>
      <c r="H331" s="176">
        <v>1</v>
      </c>
      <c r="I331" s="177">
        <v>1298</v>
      </c>
      <c r="J331" s="175">
        <v>46029</v>
      </c>
      <c r="K331" s="171" t="s">
        <v>113</v>
      </c>
      <c r="L331" s="171" t="s">
        <v>114</v>
      </c>
      <c r="M331" s="178">
        <v>0</v>
      </c>
      <c r="N331" s="176"/>
      <c r="O331" s="176"/>
      <c r="P331" s="179">
        <v>4.54</v>
      </c>
    </row>
    <row r="332" spans="1:16" ht="19.5" customHeight="1">
      <c r="A332" s="171" t="s">
        <v>226</v>
      </c>
      <c r="B332" s="175">
        <v>46038</v>
      </c>
      <c r="C332" s="171" t="s">
        <v>127</v>
      </c>
      <c r="D332" s="171" t="s">
        <v>130</v>
      </c>
      <c r="E332" s="171" t="s">
        <v>51</v>
      </c>
      <c r="F332" s="171" t="s">
        <v>227</v>
      </c>
      <c r="G332" s="171" t="s">
        <v>112</v>
      </c>
      <c r="H332" s="176">
        <v>1</v>
      </c>
      <c r="I332" s="177">
        <v>1298</v>
      </c>
      <c r="J332" s="175">
        <v>46029</v>
      </c>
      <c r="K332" s="171" t="s">
        <v>113</v>
      </c>
      <c r="L332" s="171" t="s">
        <v>114</v>
      </c>
      <c r="M332" s="178">
        <v>0</v>
      </c>
      <c r="N332" s="176"/>
      <c r="O332" s="176"/>
      <c r="P332" s="179">
        <v>839.17</v>
      </c>
    </row>
    <row r="333" spans="1:16" ht="19.5" customHeight="1">
      <c r="A333" s="171" t="s">
        <v>226</v>
      </c>
      <c r="B333" s="175">
        <v>46038</v>
      </c>
      <c r="C333" s="171" t="s">
        <v>131</v>
      </c>
      <c r="D333" s="171" t="s">
        <v>132</v>
      </c>
      <c r="E333" s="171" t="s">
        <v>51</v>
      </c>
      <c r="F333" s="171" t="s">
        <v>227</v>
      </c>
      <c r="G333" s="171" t="s">
        <v>112</v>
      </c>
      <c r="H333" s="176">
        <v>1</v>
      </c>
      <c r="I333" s="177">
        <v>1298</v>
      </c>
      <c r="J333" s="175">
        <v>46029</v>
      </c>
      <c r="K333" s="171" t="s">
        <v>113</v>
      </c>
      <c r="L333" s="171" t="s">
        <v>114</v>
      </c>
      <c r="M333" s="178">
        <v>0.43</v>
      </c>
      <c r="N333" s="176"/>
      <c r="O333" s="176"/>
      <c r="P333" s="179">
        <v>-558.14</v>
      </c>
    </row>
    <row r="334" spans="1:16" ht="19.5" customHeight="1">
      <c r="A334" s="171" t="s">
        <v>226</v>
      </c>
      <c r="B334" s="175">
        <v>46038</v>
      </c>
      <c r="C334" s="171" t="s">
        <v>115</v>
      </c>
      <c r="D334" s="171" t="s">
        <v>116</v>
      </c>
      <c r="E334" s="171" t="s">
        <v>51</v>
      </c>
      <c r="F334" s="171" t="s">
        <v>227</v>
      </c>
      <c r="G334" s="171" t="s">
        <v>112</v>
      </c>
      <c r="H334" s="176">
        <v>1</v>
      </c>
      <c r="I334" s="177">
        <v>1298</v>
      </c>
      <c r="J334" s="175">
        <v>46029</v>
      </c>
      <c r="K334" s="171" t="s">
        <v>113</v>
      </c>
      <c r="L334" s="171" t="s">
        <v>114</v>
      </c>
      <c r="M334" s="178">
        <v>0.43</v>
      </c>
      <c r="N334" s="176"/>
      <c r="O334" s="176"/>
      <c r="P334" s="179">
        <v>-11.83</v>
      </c>
    </row>
    <row r="335" spans="1:16" ht="19.5" customHeight="1">
      <c r="A335" s="171" t="s">
        <v>228</v>
      </c>
      <c r="B335" s="175">
        <v>46038</v>
      </c>
      <c r="C335" s="171" t="s">
        <v>110</v>
      </c>
      <c r="D335" s="171" t="s">
        <v>24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46035</v>
      </c>
      <c r="K335" s="171" t="s">
        <v>113</v>
      </c>
      <c r="L335" s="171" t="s">
        <v>114</v>
      </c>
      <c r="M335" s="178">
        <v>0.43</v>
      </c>
      <c r="N335" s="176"/>
      <c r="O335" s="176">
        <v>46</v>
      </c>
      <c r="P335" s="179">
        <v>-137.83000000000001</v>
      </c>
    </row>
    <row r="336" spans="1:16" ht="19.5" customHeight="1">
      <c r="A336" s="171" t="s">
        <v>228</v>
      </c>
      <c r="B336" s="175">
        <v>46038</v>
      </c>
      <c r="C336" s="171" t="s">
        <v>127</v>
      </c>
      <c r="D336" s="171" t="s">
        <v>128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46035</v>
      </c>
      <c r="K336" s="171" t="s">
        <v>113</v>
      </c>
      <c r="L336" s="171" t="s">
        <v>114</v>
      </c>
      <c r="M336" s="178">
        <v>0</v>
      </c>
      <c r="N336" s="176"/>
      <c r="O336" s="176"/>
      <c r="P336" s="179">
        <v>588.57000000000005</v>
      </c>
    </row>
    <row r="337" spans="1:16" ht="19.5" customHeight="1">
      <c r="A337" s="171" t="s">
        <v>228</v>
      </c>
      <c r="B337" s="175">
        <v>46038</v>
      </c>
      <c r="C337" s="171" t="s">
        <v>127</v>
      </c>
      <c r="D337" s="171" t="s">
        <v>129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46035</v>
      </c>
      <c r="K337" s="171" t="s">
        <v>113</v>
      </c>
      <c r="L337" s="171" t="s">
        <v>114</v>
      </c>
      <c r="M337" s="178">
        <v>0</v>
      </c>
      <c r="N337" s="176"/>
      <c r="O337" s="176"/>
      <c r="P337" s="179">
        <v>5.89</v>
      </c>
    </row>
    <row r="338" spans="1:16" ht="19.5" customHeight="1">
      <c r="A338" s="171" t="s">
        <v>228</v>
      </c>
      <c r="B338" s="175">
        <v>46038</v>
      </c>
      <c r="C338" s="171" t="s">
        <v>127</v>
      </c>
      <c r="D338" s="171" t="s">
        <v>130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1704</v>
      </c>
      <c r="J338" s="175">
        <v>46035</v>
      </c>
      <c r="K338" s="171" t="s">
        <v>113</v>
      </c>
      <c r="L338" s="171" t="s">
        <v>114</v>
      </c>
      <c r="M338" s="178">
        <v>0</v>
      </c>
      <c r="N338" s="176"/>
      <c r="O338" s="176"/>
      <c r="P338" s="179">
        <v>1109.54</v>
      </c>
    </row>
    <row r="339" spans="1:16" ht="19.5" customHeight="1">
      <c r="A339" s="171" t="s">
        <v>228</v>
      </c>
      <c r="B339" s="175">
        <v>46038</v>
      </c>
      <c r="C339" s="171" t="s">
        <v>131</v>
      </c>
      <c r="D339" s="171" t="s">
        <v>132</v>
      </c>
      <c r="E339" s="171" t="s">
        <v>38</v>
      </c>
      <c r="F339" s="171" t="s">
        <v>111</v>
      </c>
      <c r="G339" s="171" t="s">
        <v>112</v>
      </c>
      <c r="H339" s="176">
        <v>1</v>
      </c>
      <c r="I339" s="177">
        <v>1704</v>
      </c>
      <c r="J339" s="175">
        <v>46035</v>
      </c>
      <c r="K339" s="171" t="s">
        <v>113</v>
      </c>
      <c r="L339" s="171" t="s">
        <v>114</v>
      </c>
      <c r="M339" s="178">
        <v>0.43</v>
      </c>
      <c r="N339" s="176"/>
      <c r="O339" s="176"/>
      <c r="P339" s="179">
        <v>-732.72</v>
      </c>
    </row>
    <row r="340" spans="1:16" ht="19.5" customHeight="1">
      <c r="A340" s="171" t="s">
        <v>228</v>
      </c>
      <c r="B340" s="175">
        <v>46038</v>
      </c>
      <c r="C340" s="171" t="s">
        <v>115</v>
      </c>
      <c r="D340" s="171" t="s">
        <v>116</v>
      </c>
      <c r="E340" s="171" t="s">
        <v>38</v>
      </c>
      <c r="F340" s="171" t="s">
        <v>111</v>
      </c>
      <c r="G340" s="171" t="s">
        <v>112</v>
      </c>
      <c r="H340" s="176">
        <v>1</v>
      </c>
      <c r="I340" s="177">
        <v>1704</v>
      </c>
      <c r="J340" s="175">
        <v>46035</v>
      </c>
      <c r="K340" s="171" t="s">
        <v>113</v>
      </c>
      <c r="L340" s="171" t="s">
        <v>114</v>
      </c>
      <c r="M340" s="178">
        <v>0.43</v>
      </c>
      <c r="N340" s="176"/>
      <c r="O340" s="176"/>
      <c r="P340" s="179">
        <v>-11.68</v>
      </c>
    </row>
    <row r="341" spans="1:16" ht="19.5" customHeight="1">
      <c r="A341" s="171" t="s">
        <v>229</v>
      </c>
      <c r="B341" s="175">
        <v>46038</v>
      </c>
      <c r="C341" s="171" t="s">
        <v>115</v>
      </c>
      <c r="D341" s="171" t="s">
        <v>135</v>
      </c>
      <c r="E341" s="171" t="s">
        <v>48</v>
      </c>
      <c r="F341" s="171" t="s">
        <v>198</v>
      </c>
      <c r="G341" s="171" t="s">
        <v>112</v>
      </c>
      <c r="H341" s="176">
        <v>1</v>
      </c>
      <c r="I341" s="177">
        <v>0</v>
      </c>
      <c r="J341" s="175">
        <v>46038</v>
      </c>
      <c r="K341" s="171" t="s">
        <v>125</v>
      </c>
      <c r="L341" s="171" t="s">
        <v>125</v>
      </c>
      <c r="M341" s="178">
        <v>0</v>
      </c>
      <c r="N341" s="176"/>
      <c r="O341" s="176"/>
      <c r="P341" s="179">
        <v>-14.1</v>
      </c>
    </row>
    <row r="342" spans="1:16" ht="19.5" customHeight="1">
      <c r="A342" s="171" t="s">
        <v>228</v>
      </c>
      <c r="B342" s="175">
        <v>46038</v>
      </c>
      <c r="C342" s="171" t="s">
        <v>115</v>
      </c>
      <c r="D342" s="171" t="s">
        <v>135</v>
      </c>
      <c r="E342" s="171" t="s">
        <v>38</v>
      </c>
      <c r="F342" s="171" t="s">
        <v>111</v>
      </c>
      <c r="G342" s="171" t="s">
        <v>112</v>
      </c>
      <c r="H342" s="176">
        <v>1</v>
      </c>
      <c r="I342" s="177">
        <v>0</v>
      </c>
      <c r="J342" s="175">
        <v>46035</v>
      </c>
      <c r="K342" s="171" t="s">
        <v>125</v>
      </c>
      <c r="L342" s="171" t="s">
        <v>125</v>
      </c>
      <c r="M342" s="178">
        <v>0</v>
      </c>
      <c r="N342" s="176"/>
      <c r="O342" s="176"/>
      <c r="P342" s="179">
        <v>-11.18</v>
      </c>
    </row>
    <row r="343" spans="1:16" ht="19.5" customHeight="1">
      <c r="A343" s="171" t="s">
        <v>230</v>
      </c>
      <c r="B343" s="175">
        <v>46038</v>
      </c>
      <c r="C343" s="171" t="s">
        <v>110</v>
      </c>
      <c r="D343" s="171" t="s">
        <v>24</v>
      </c>
      <c r="E343" s="171" t="s">
        <v>41</v>
      </c>
      <c r="F343" s="171" t="s">
        <v>138</v>
      </c>
      <c r="G343" s="171" t="s">
        <v>112</v>
      </c>
      <c r="H343" s="176">
        <v>1</v>
      </c>
      <c r="I343" s="177">
        <v>0</v>
      </c>
      <c r="J343" s="175">
        <v>46012</v>
      </c>
      <c r="K343" s="171" t="s">
        <v>113</v>
      </c>
      <c r="L343" s="171" t="s">
        <v>114</v>
      </c>
      <c r="M343" s="178">
        <v>0</v>
      </c>
      <c r="N343" s="176"/>
      <c r="O343" s="176">
        <v>40</v>
      </c>
      <c r="P343" s="179">
        <v>-46.77</v>
      </c>
    </row>
    <row r="344" spans="1:16" ht="19.5" customHeight="1">
      <c r="A344" s="171" t="s">
        <v>230</v>
      </c>
      <c r="B344" s="175">
        <v>46038</v>
      </c>
      <c r="C344" s="171" t="s">
        <v>115</v>
      </c>
      <c r="D344" s="171" t="s">
        <v>116</v>
      </c>
      <c r="E344" s="171" t="s">
        <v>41</v>
      </c>
      <c r="F344" s="171" t="s">
        <v>138</v>
      </c>
      <c r="G344" s="171" t="s">
        <v>112</v>
      </c>
      <c r="H344" s="176">
        <v>1</v>
      </c>
      <c r="I344" s="177">
        <v>0</v>
      </c>
      <c r="J344" s="175">
        <v>46012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-9.16</v>
      </c>
    </row>
    <row r="345" spans="1:16" ht="19.5" customHeight="1">
      <c r="A345" s="171" t="s">
        <v>230</v>
      </c>
      <c r="B345" s="175">
        <v>46038</v>
      </c>
      <c r="C345" s="171" t="s">
        <v>110</v>
      </c>
      <c r="D345" s="171" t="s">
        <v>117</v>
      </c>
      <c r="E345" s="171" t="s">
        <v>41</v>
      </c>
      <c r="F345" s="171" t="s">
        <v>138</v>
      </c>
      <c r="G345" s="171" t="s">
        <v>112</v>
      </c>
      <c r="H345" s="176">
        <v>1</v>
      </c>
      <c r="I345" s="177">
        <v>0</v>
      </c>
      <c r="J345" s="175">
        <v>46012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0</v>
      </c>
    </row>
    <row r="346" spans="1:16" ht="19.5" customHeight="1">
      <c r="A346" s="171" t="s">
        <v>230</v>
      </c>
      <c r="B346" s="175">
        <v>46038</v>
      </c>
      <c r="C346" s="171" t="s">
        <v>110</v>
      </c>
      <c r="D346" s="171" t="s">
        <v>118</v>
      </c>
      <c r="E346" s="171" t="s">
        <v>41</v>
      </c>
      <c r="F346" s="171" t="s">
        <v>138</v>
      </c>
      <c r="G346" s="171" t="s">
        <v>112</v>
      </c>
      <c r="H346" s="176">
        <v>1</v>
      </c>
      <c r="I346" s="177">
        <v>0</v>
      </c>
      <c r="J346" s="175">
        <v>46012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-46.77</v>
      </c>
    </row>
    <row r="347" spans="1:16" ht="19.5" customHeight="1">
      <c r="A347" s="171" t="s">
        <v>230</v>
      </c>
      <c r="B347" s="175">
        <v>46038</v>
      </c>
      <c r="C347" s="171" t="s">
        <v>115</v>
      </c>
      <c r="D347" s="171" t="s">
        <v>119</v>
      </c>
      <c r="E347" s="171" t="s">
        <v>41</v>
      </c>
      <c r="F347" s="171" t="s">
        <v>138</v>
      </c>
      <c r="G347" s="171" t="s">
        <v>112</v>
      </c>
      <c r="H347" s="176">
        <v>1</v>
      </c>
      <c r="I347" s="177">
        <v>0</v>
      </c>
      <c r="J347" s="175">
        <v>46012</v>
      </c>
      <c r="K347" s="171" t="s">
        <v>113</v>
      </c>
      <c r="L347" s="171" t="s">
        <v>114</v>
      </c>
      <c r="M347" s="178">
        <v>0</v>
      </c>
      <c r="N347" s="176"/>
      <c r="O347" s="176"/>
      <c r="P347" s="179">
        <v>-15</v>
      </c>
    </row>
    <row r="348" spans="1:16" ht="19.5" customHeight="1">
      <c r="A348" s="171" t="s">
        <v>231</v>
      </c>
      <c r="B348" s="175">
        <v>46038</v>
      </c>
      <c r="C348" s="171" t="s">
        <v>115</v>
      </c>
      <c r="D348" s="171" t="s">
        <v>135</v>
      </c>
      <c r="E348" s="171" t="s">
        <v>38</v>
      </c>
      <c r="F348" s="171" t="s">
        <v>111</v>
      </c>
      <c r="G348" s="171" t="s">
        <v>112</v>
      </c>
      <c r="H348" s="176">
        <v>1</v>
      </c>
      <c r="I348" s="177">
        <v>0</v>
      </c>
      <c r="J348" s="175">
        <v>46038</v>
      </c>
      <c r="K348" s="171" t="s">
        <v>125</v>
      </c>
      <c r="L348" s="171" t="s">
        <v>125</v>
      </c>
      <c r="M348" s="178">
        <v>0</v>
      </c>
      <c r="N348" s="176"/>
      <c r="O348" s="176"/>
      <c r="P348" s="179">
        <v>-10.91</v>
      </c>
    </row>
    <row r="349" spans="1:16" ht="19.5" customHeight="1">
      <c r="A349" s="171" t="s">
        <v>232</v>
      </c>
      <c r="B349" s="175">
        <v>46038</v>
      </c>
      <c r="C349" s="171" t="s">
        <v>110</v>
      </c>
      <c r="D349" s="171" t="s">
        <v>24</v>
      </c>
      <c r="E349" s="171" t="s">
        <v>38</v>
      </c>
      <c r="F349" s="171" t="s">
        <v>111</v>
      </c>
      <c r="G349" s="171" t="s">
        <v>112</v>
      </c>
      <c r="H349" s="176">
        <v>1</v>
      </c>
      <c r="I349" s="177">
        <v>0</v>
      </c>
      <c r="J349" s="175">
        <v>46031</v>
      </c>
      <c r="K349" s="171" t="s">
        <v>113</v>
      </c>
      <c r="L349" s="171" t="s">
        <v>114</v>
      </c>
      <c r="M349" s="178">
        <v>0</v>
      </c>
      <c r="N349" s="176"/>
      <c r="O349" s="176">
        <v>46</v>
      </c>
      <c r="P349" s="179">
        <v>-46</v>
      </c>
    </row>
    <row r="350" spans="1:16" ht="19.5" customHeight="1">
      <c r="A350" s="171" t="s">
        <v>232</v>
      </c>
      <c r="B350" s="175">
        <v>46038</v>
      </c>
      <c r="C350" s="171" t="s">
        <v>115</v>
      </c>
      <c r="D350" s="171" t="s">
        <v>116</v>
      </c>
      <c r="E350" s="171" t="s">
        <v>38</v>
      </c>
      <c r="F350" s="171" t="s">
        <v>111</v>
      </c>
      <c r="G350" s="171" t="s">
        <v>112</v>
      </c>
      <c r="H350" s="176">
        <v>1</v>
      </c>
      <c r="I350" s="177">
        <v>0</v>
      </c>
      <c r="J350" s="175">
        <v>46031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-8.7799999999999994</v>
      </c>
    </row>
    <row r="351" spans="1:16" ht="19.5" customHeight="1">
      <c r="A351" s="171" t="s">
        <v>232</v>
      </c>
      <c r="B351" s="175">
        <v>46038</v>
      </c>
      <c r="C351" s="171" t="s">
        <v>110</v>
      </c>
      <c r="D351" s="171" t="s">
        <v>117</v>
      </c>
      <c r="E351" s="171" t="s">
        <v>38</v>
      </c>
      <c r="F351" s="171" t="s">
        <v>111</v>
      </c>
      <c r="G351" s="171" t="s">
        <v>112</v>
      </c>
      <c r="H351" s="176">
        <v>1</v>
      </c>
      <c r="I351" s="177">
        <v>0</v>
      </c>
      <c r="J351" s="175">
        <v>46031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0</v>
      </c>
    </row>
    <row r="352" spans="1:16" ht="19.5" customHeight="1">
      <c r="A352" s="171" t="s">
        <v>232</v>
      </c>
      <c r="B352" s="175">
        <v>46038</v>
      </c>
      <c r="C352" s="171" t="s">
        <v>110</v>
      </c>
      <c r="D352" s="171" t="s">
        <v>118</v>
      </c>
      <c r="E352" s="171" t="s">
        <v>38</v>
      </c>
      <c r="F352" s="171" t="s">
        <v>111</v>
      </c>
      <c r="G352" s="171" t="s">
        <v>112</v>
      </c>
      <c r="H352" s="176">
        <v>1</v>
      </c>
      <c r="I352" s="177">
        <v>0</v>
      </c>
      <c r="J352" s="175">
        <v>46031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-46</v>
      </c>
    </row>
    <row r="353" spans="1:16" ht="19.5" customHeight="1">
      <c r="A353" s="171" t="s">
        <v>232</v>
      </c>
      <c r="B353" s="175">
        <v>46038</v>
      </c>
      <c r="C353" s="171" t="s">
        <v>115</v>
      </c>
      <c r="D353" s="171" t="s">
        <v>119</v>
      </c>
      <c r="E353" s="171" t="s">
        <v>38</v>
      </c>
      <c r="F353" s="171" t="s">
        <v>111</v>
      </c>
      <c r="G353" s="171" t="s">
        <v>112</v>
      </c>
      <c r="H353" s="176">
        <v>1</v>
      </c>
      <c r="I353" s="177">
        <v>0</v>
      </c>
      <c r="J353" s="175">
        <v>46031</v>
      </c>
      <c r="K353" s="171" t="s">
        <v>113</v>
      </c>
      <c r="L353" s="171" t="s">
        <v>114</v>
      </c>
      <c r="M353" s="178">
        <v>0</v>
      </c>
      <c r="N353" s="176"/>
      <c r="O353" s="176"/>
      <c r="P353" s="179">
        <v>-15</v>
      </c>
    </row>
    <row r="354" spans="1:16" ht="19.5" customHeight="1">
      <c r="A354" s="171" t="s">
        <v>233</v>
      </c>
      <c r="B354" s="175">
        <v>46038</v>
      </c>
      <c r="C354" s="171" t="s">
        <v>110</v>
      </c>
      <c r="D354" s="171" t="s">
        <v>24</v>
      </c>
      <c r="E354" s="171" t="s">
        <v>38</v>
      </c>
      <c r="F354" s="171" t="s">
        <v>111</v>
      </c>
      <c r="G354" s="171" t="s">
        <v>112</v>
      </c>
      <c r="H354" s="176">
        <v>1</v>
      </c>
      <c r="I354" s="177">
        <v>1704</v>
      </c>
      <c r="J354" s="175">
        <v>46035</v>
      </c>
      <c r="K354" s="171" t="s">
        <v>113</v>
      </c>
      <c r="L354" s="171" t="s">
        <v>114</v>
      </c>
      <c r="M354" s="178">
        <v>0.43</v>
      </c>
      <c r="N354" s="176"/>
      <c r="O354" s="176">
        <v>46</v>
      </c>
      <c r="P354" s="179">
        <v>-137.83000000000001</v>
      </c>
    </row>
    <row r="355" spans="1:16" ht="19.5" customHeight="1">
      <c r="A355" s="171" t="s">
        <v>233</v>
      </c>
      <c r="B355" s="175">
        <v>46038</v>
      </c>
      <c r="C355" s="171" t="s">
        <v>127</v>
      </c>
      <c r="D355" s="171" t="s">
        <v>128</v>
      </c>
      <c r="E355" s="171" t="s">
        <v>38</v>
      </c>
      <c r="F355" s="171" t="s">
        <v>111</v>
      </c>
      <c r="G355" s="171" t="s">
        <v>112</v>
      </c>
      <c r="H355" s="176">
        <v>1</v>
      </c>
      <c r="I355" s="177">
        <v>1704</v>
      </c>
      <c r="J355" s="175">
        <v>46035</v>
      </c>
      <c r="K355" s="171" t="s">
        <v>113</v>
      </c>
      <c r="L355" s="171" t="s">
        <v>114</v>
      </c>
      <c r="M355" s="178">
        <v>0</v>
      </c>
      <c r="N355" s="176"/>
      <c r="O355" s="176"/>
      <c r="P355" s="179">
        <v>587.62</v>
      </c>
    </row>
    <row r="356" spans="1:16" ht="19.5" customHeight="1">
      <c r="A356" s="171" t="s">
        <v>233</v>
      </c>
      <c r="B356" s="175">
        <v>46038</v>
      </c>
      <c r="C356" s="171" t="s">
        <v>127</v>
      </c>
      <c r="D356" s="171" t="s">
        <v>129</v>
      </c>
      <c r="E356" s="171" t="s">
        <v>38</v>
      </c>
      <c r="F356" s="171" t="s">
        <v>111</v>
      </c>
      <c r="G356" s="171" t="s">
        <v>112</v>
      </c>
      <c r="H356" s="176">
        <v>1</v>
      </c>
      <c r="I356" s="177">
        <v>1704</v>
      </c>
      <c r="J356" s="175">
        <v>46035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5.88</v>
      </c>
    </row>
    <row r="357" spans="1:16" ht="19.5" customHeight="1">
      <c r="A357" s="171" t="s">
        <v>233</v>
      </c>
      <c r="B357" s="175">
        <v>46038</v>
      </c>
      <c r="C357" s="171" t="s">
        <v>127</v>
      </c>
      <c r="D357" s="171" t="s">
        <v>130</v>
      </c>
      <c r="E357" s="171" t="s">
        <v>38</v>
      </c>
      <c r="F357" s="171" t="s">
        <v>111</v>
      </c>
      <c r="G357" s="171" t="s">
        <v>112</v>
      </c>
      <c r="H357" s="176">
        <v>1</v>
      </c>
      <c r="I357" s="177">
        <v>1704</v>
      </c>
      <c r="J357" s="175">
        <v>46035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1110.5</v>
      </c>
    </row>
    <row r="358" spans="1:16" ht="19.5" customHeight="1">
      <c r="A358" s="171" t="s">
        <v>233</v>
      </c>
      <c r="B358" s="175">
        <v>46038</v>
      </c>
      <c r="C358" s="171" t="s">
        <v>131</v>
      </c>
      <c r="D358" s="171" t="s">
        <v>132</v>
      </c>
      <c r="E358" s="171" t="s">
        <v>38</v>
      </c>
      <c r="F358" s="171" t="s">
        <v>111</v>
      </c>
      <c r="G358" s="171" t="s">
        <v>112</v>
      </c>
      <c r="H358" s="176">
        <v>1</v>
      </c>
      <c r="I358" s="177">
        <v>1704</v>
      </c>
      <c r="J358" s="175">
        <v>46035</v>
      </c>
      <c r="K358" s="171" t="s">
        <v>113</v>
      </c>
      <c r="L358" s="171" t="s">
        <v>114</v>
      </c>
      <c r="M358" s="178">
        <v>0.43</v>
      </c>
      <c r="N358" s="176"/>
      <c r="O358" s="176"/>
      <c r="P358" s="179">
        <v>-732.72</v>
      </c>
    </row>
    <row r="359" spans="1:16" ht="19.5" customHeight="1">
      <c r="A359" s="171" t="s">
        <v>233</v>
      </c>
      <c r="B359" s="175">
        <v>46038</v>
      </c>
      <c r="C359" s="171" t="s">
        <v>115</v>
      </c>
      <c r="D359" s="171" t="s">
        <v>116</v>
      </c>
      <c r="E359" s="171" t="s">
        <v>38</v>
      </c>
      <c r="F359" s="171" t="s">
        <v>111</v>
      </c>
      <c r="G359" s="171" t="s">
        <v>112</v>
      </c>
      <c r="H359" s="176">
        <v>1</v>
      </c>
      <c r="I359" s="177">
        <v>1704</v>
      </c>
      <c r="J359" s="175">
        <v>46035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-25</v>
      </c>
    </row>
    <row r="360" spans="1:16" ht="19.5" customHeight="1">
      <c r="A360" s="171" t="s">
        <v>233</v>
      </c>
      <c r="B360" s="175">
        <v>46038</v>
      </c>
      <c r="C360" s="171" t="s">
        <v>115</v>
      </c>
      <c r="D360" s="171" t="s">
        <v>135</v>
      </c>
      <c r="E360" s="171" t="s">
        <v>38</v>
      </c>
      <c r="F360" s="171" t="s">
        <v>111</v>
      </c>
      <c r="G360" s="171" t="s">
        <v>112</v>
      </c>
      <c r="H360" s="176">
        <v>1</v>
      </c>
      <c r="I360" s="177">
        <v>0</v>
      </c>
      <c r="J360" s="175">
        <v>46035</v>
      </c>
      <c r="K360" s="171" t="s">
        <v>125</v>
      </c>
      <c r="L360" s="171" t="s">
        <v>125</v>
      </c>
      <c r="M360" s="178">
        <v>0</v>
      </c>
      <c r="N360" s="176"/>
      <c r="O360" s="176"/>
      <c r="P360" s="179">
        <v>-11.16</v>
      </c>
    </row>
    <row r="361" spans="1:16" ht="19.5" customHeight="1">
      <c r="A361" s="171" t="s">
        <v>234</v>
      </c>
      <c r="B361" s="175">
        <v>46038</v>
      </c>
      <c r="C361" s="171" t="s">
        <v>110</v>
      </c>
      <c r="D361" s="171" t="s">
        <v>24</v>
      </c>
      <c r="E361" s="171" t="s">
        <v>38</v>
      </c>
      <c r="F361" s="171" t="s">
        <v>111</v>
      </c>
      <c r="G361" s="171" t="s">
        <v>112</v>
      </c>
      <c r="H361" s="176">
        <v>1</v>
      </c>
      <c r="I361" s="177">
        <v>0</v>
      </c>
      <c r="J361" s="175">
        <v>46004</v>
      </c>
      <c r="K361" s="171" t="s">
        <v>113</v>
      </c>
      <c r="L361" s="171" t="s">
        <v>114</v>
      </c>
      <c r="M361" s="178">
        <v>0</v>
      </c>
      <c r="N361" s="176"/>
      <c r="O361" s="176">
        <v>41</v>
      </c>
      <c r="P361" s="179">
        <v>-46</v>
      </c>
    </row>
    <row r="362" spans="1:16" ht="19.5" customHeight="1">
      <c r="A362" s="171" t="s">
        <v>234</v>
      </c>
      <c r="B362" s="175">
        <v>46038</v>
      </c>
      <c r="C362" s="171" t="s">
        <v>115</v>
      </c>
      <c r="D362" s="171" t="s">
        <v>116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0</v>
      </c>
      <c r="J362" s="175">
        <v>46004</v>
      </c>
      <c r="K362" s="171" t="s">
        <v>113</v>
      </c>
      <c r="L362" s="171" t="s">
        <v>114</v>
      </c>
      <c r="M362" s="178">
        <v>0</v>
      </c>
      <c r="N362" s="176"/>
      <c r="O362" s="176"/>
      <c r="P362" s="179">
        <v>-7.4</v>
      </c>
    </row>
    <row r="363" spans="1:16" ht="19.5" customHeight="1">
      <c r="A363" s="171" t="s">
        <v>234</v>
      </c>
      <c r="B363" s="175">
        <v>46038</v>
      </c>
      <c r="C363" s="171" t="s">
        <v>110</v>
      </c>
      <c r="D363" s="171" t="s">
        <v>117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0</v>
      </c>
      <c r="J363" s="175">
        <v>46004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0</v>
      </c>
    </row>
    <row r="364" spans="1:16" ht="19.5" customHeight="1">
      <c r="A364" s="171" t="s">
        <v>234</v>
      </c>
      <c r="B364" s="175">
        <v>46038</v>
      </c>
      <c r="C364" s="171" t="s">
        <v>110</v>
      </c>
      <c r="D364" s="171" t="s">
        <v>118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0</v>
      </c>
      <c r="J364" s="175">
        <v>46004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-46</v>
      </c>
    </row>
    <row r="365" spans="1:16" ht="19.5" customHeight="1">
      <c r="A365" s="171" t="s">
        <v>234</v>
      </c>
      <c r="B365" s="175">
        <v>46038</v>
      </c>
      <c r="C365" s="171" t="s">
        <v>115</v>
      </c>
      <c r="D365" s="171" t="s">
        <v>119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0</v>
      </c>
      <c r="J365" s="175">
        <v>46004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-15</v>
      </c>
    </row>
    <row r="366" spans="1:16" ht="19.5" customHeight="1">
      <c r="A366" s="171" t="s">
        <v>235</v>
      </c>
      <c r="B366" s="175">
        <v>46038</v>
      </c>
      <c r="C366" s="171" t="s">
        <v>110</v>
      </c>
      <c r="D366" s="171" t="s">
        <v>24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46034</v>
      </c>
      <c r="K366" s="171" t="s">
        <v>113</v>
      </c>
      <c r="L366" s="171" t="s">
        <v>114</v>
      </c>
      <c r="M366" s="178">
        <v>0.43</v>
      </c>
      <c r="N366" s="176"/>
      <c r="O366" s="176">
        <v>48</v>
      </c>
      <c r="P366" s="179">
        <v>-141.78</v>
      </c>
    </row>
    <row r="367" spans="1:16" ht="19.5" customHeight="1">
      <c r="A367" s="171" t="s">
        <v>235</v>
      </c>
      <c r="B367" s="175">
        <v>46038</v>
      </c>
      <c r="C367" s="171" t="s">
        <v>127</v>
      </c>
      <c r="D367" s="171" t="s">
        <v>128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46034</v>
      </c>
      <c r="K367" s="171" t="s">
        <v>113</v>
      </c>
      <c r="L367" s="171" t="s">
        <v>114</v>
      </c>
      <c r="M367" s="178">
        <v>0</v>
      </c>
      <c r="N367" s="176"/>
      <c r="O367" s="176"/>
      <c r="P367" s="179">
        <v>732.38</v>
      </c>
    </row>
    <row r="368" spans="1:16" ht="19.5" customHeight="1">
      <c r="A368" s="171" t="s">
        <v>235</v>
      </c>
      <c r="B368" s="175">
        <v>46038</v>
      </c>
      <c r="C368" s="171" t="s">
        <v>127</v>
      </c>
      <c r="D368" s="171" t="s">
        <v>129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1704</v>
      </c>
      <c r="J368" s="175">
        <v>46034</v>
      </c>
      <c r="K368" s="171" t="s">
        <v>113</v>
      </c>
      <c r="L368" s="171" t="s">
        <v>114</v>
      </c>
      <c r="M368" s="178">
        <v>0</v>
      </c>
      <c r="N368" s="176"/>
      <c r="O368" s="176"/>
      <c r="P368" s="179">
        <v>0</v>
      </c>
    </row>
    <row r="369" spans="1:16" ht="19.5" customHeight="1">
      <c r="A369" s="171" t="s">
        <v>235</v>
      </c>
      <c r="B369" s="175">
        <v>46038</v>
      </c>
      <c r="C369" s="171" t="s">
        <v>127</v>
      </c>
      <c r="D369" s="171" t="s">
        <v>130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1704</v>
      </c>
      <c r="J369" s="175">
        <v>46034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971.62</v>
      </c>
    </row>
    <row r="370" spans="1:16" ht="19.5" customHeight="1">
      <c r="A370" s="171" t="s">
        <v>235</v>
      </c>
      <c r="B370" s="175">
        <v>46038</v>
      </c>
      <c r="C370" s="171" t="s">
        <v>131</v>
      </c>
      <c r="D370" s="171" t="s">
        <v>132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1704</v>
      </c>
      <c r="J370" s="175">
        <v>46034</v>
      </c>
      <c r="K370" s="171" t="s">
        <v>113</v>
      </c>
      <c r="L370" s="171" t="s">
        <v>114</v>
      </c>
      <c r="M370" s="178">
        <v>0.43</v>
      </c>
      <c r="N370" s="176"/>
      <c r="O370" s="176"/>
      <c r="P370" s="179">
        <v>-732.72</v>
      </c>
    </row>
    <row r="371" spans="1:16" ht="19.5" customHeight="1">
      <c r="A371" s="171" t="s">
        <v>235</v>
      </c>
      <c r="B371" s="175">
        <v>46038</v>
      </c>
      <c r="C371" s="171" t="s">
        <v>115</v>
      </c>
      <c r="D371" s="171" t="s">
        <v>116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1704</v>
      </c>
      <c r="J371" s="175">
        <v>46034</v>
      </c>
      <c r="K371" s="171" t="s">
        <v>113</v>
      </c>
      <c r="L371" s="171" t="s">
        <v>114</v>
      </c>
      <c r="M371" s="178">
        <v>0.43</v>
      </c>
      <c r="N371" s="176"/>
      <c r="O371" s="176"/>
      <c r="P371" s="179">
        <v>-11.96</v>
      </c>
    </row>
    <row r="372" spans="1:16" ht="19.5" customHeight="1">
      <c r="A372" s="171" t="s">
        <v>236</v>
      </c>
      <c r="B372" s="175">
        <v>46038</v>
      </c>
      <c r="C372" s="171" t="s">
        <v>115</v>
      </c>
      <c r="D372" s="171" t="s">
        <v>135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46038</v>
      </c>
      <c r="K372" s="171" t="s">
        <v>125</v>
      </c>
      <c r="L372" s="171" t="s">
        <v>125</v>
      </c>
      <c r="M372" s="178">
        <v>0</v>
      </c>
      <c r="N372" s="176"/>
      <c r="O372" s="176"/>
      <c r="P372" s="179">
        <v>-4.8899999999999997</v>
      </c>
    </row>
    <row r="373" spans="1:16" ht="19.5" customHeight="1">
      <c r="A373" s="171" t="s">
        <v>150</v>
      </c>
      <c r="B373" s="175">
        <v>46038</v>
      </c>
      <c r="C373" s="171" t="s">
        <v>151</v>
      </c>
      <c r="D373" s="171" t="s">
        <v>152</v>
      </c>
      <c r="E373" s="171" t="s">
        <v>125</v>
      </c>
      <c r="F373" s="171" t="s">
        <v>125</v>
      </c>
      <c r="G373" s="171" t="s">
        <v>125</v>
      </c>
      <c r="H373" s="176">
        <v>0</v>
      </c>
      <c r="I373" s="177">
        <v>0</v>
      </c>
      <c r="J373" s="175">
        <v>46038</v>
      </c>
      <c r="K373" s="171" t="s">
        <v>125</v>
      </c>
      <c r="L373" s="171" t="s">
        <v>125</v>
      </c>
      <c r="M373" s="178">
        <v>0</v>
      </c>
      <c r="N373" s="176"/>
      <c r="O373" s="176"/>
      <c r="P373" s="179">
        <v>-1286.52</v>
      </c>
    </row>
    <row r="374" spans="1:16" ht="19.5" customHeight="1">
      <c r="A374" s="171" t="s">
        <v>155</v>
      </c>
      <c r="B374" s="175">
        <v>46038</v>
      </c>
      <c r="C374" s="171" t="s">
        <v>151</v>
      </c>
      <c r="D374" s="171" t="s">
        <v>156</v>
      </c>
      <c r="E374" s="171" t="s">
        <v>125</v>
      </c>
      <c r="F374" s="171" t="s">
        <v>125</v>
      </c>
      <c r="G374" s="171" t="s">
        <v>125</v>
      </c>
      <c r="H374" s="176">
        <v>0</v>
      </c>
      <c r="I374" s="177">
        <v>0</v>
      </c>
      <c r="J374" s="175">
        <v>46038</v>
      </c>
      <c r="K374" s="171" t="s">
        <v>125</v>
      </c>
      <c r="L374" s="171" t="s">
        <v>125</v>
      </c>
      <c r="M374" s="178">
        <v>0</v>
      </c>
      <c r="N374" s="176"/>
      <c r="O374" s="176"/>
      <c r="P374" s="179">
        <v>-667.8</v>
      </c>
    </row>
    <row r="375" spans="1:16" ht="19.5" customHeight="1">
      <c r="A375" s="171" t="s">
        <v>179</v>
      </c>
      <c r="B375" s="175">
        <v>46038</v>
      </c>
      <c r="C375" s="171" t="s">
        <v>151</v>
      </c>
      <c r="D375" s="171" t="s">
        <v>152</v>
      </c>
      <c r="E375" s="171" t="s">
        <v>125</v>
      </c>
      <c r="F375" s="171" t="s">
        <v>125</v>
      </c>
      <c r="G375" s="171" t="s">
        <v>125</v>
      </c>
      <c r="H375" s="176">
        <v>0</v>
      </c>
      <c r="I375" s="177">
        <v>0</v>
      </c>
      <c r="J375" s="175">
        <v>46038</v>
      </c>
      <c r="K375" s="171" t="s">
        <v>125</v>
      </c>
      <c r="L375" s="171" t="s">
        <v>125</v>
      </c>
      <c r="M375" s="178">
        <v>0</v>
      </c>
      <c r="N375" s="176"/>
      <c r="O375" s="176"/>
      <c r="P375" s="179">
        <v>-301.58999999999997</v>
      </c>
    </row>
    <row r="376" spans="1:16" ht="19.5" customHeight="1">
      <c r="A376" s="171" t="s">
        <v>180</v>
      </c>
      <c r="B376" s="175">
        <v>46038</v>
      </c>
      <c r="C376" s="171" t="s">
        <v>151</v>
      </c>
      <c r="D376" s="171" t="s">
        <v>152</v>
      </c>
      <c r="E376" s="171" t="s">
        <v>125</v>
      </c>
      <c r="F376" s="171" t="s">
        <v>125</v>
      </c>
      <c r="G376" s="171" t="s">
        <v>125</v>
      </c>
      <c r="H376" s="176">
        <v>0</v>
      </c>
      <c r="I376" s="177">
        <v>0</v>
      </c>
      <c r="J376" s="175">
        <v>46038</v>
      </c>
      <c r="K376" s="171" t="s">
        <v>125</v>
      </c>
      <c r="L376" s="171" t="s">
        <v>125</v>
      </c>
      <c r="M376" s="178">
        <v>0</v>
      </c>
      <c r="N376" s="176"/>
      <c r="O376" s="176"/>
      <c r="P376" s="179">
        <v>-291.16000000000003</v>
      </c>
    </row>
    <row r="377" spans="1:16" ht="19.5" customHeight="1">
      <c r="A377" s="171" t="s">
        <v>196</v>
      </c>
      <c r="B377" s="175">
        <v>46038</v>
      </c>
      <c r="C377" s="171" t="s">
        <v>151</v>
      </c>
      <c r="D377" s="171" t="s">
        <v>152</v>
      </c>
      <c r="E377" s="171" t="s">
        <v>125</v>
      </c>
      <c r="F377" s="171" t="s">
        <v>125</v>
      </c>
      <c r="G377" s="171" t="s">
        <v>125</v>
      </c>
      <c r="H377" s="176">
        <v>0</v>
      </c>
      <c r="I377" s="177">
        <v>0</v>
      </c>
      <c r="J377" s="175">
        <v>46038</v>
      </c>
      <c r="K377" s="171" t="s">
        <v>125</v>
      </c>
      <c r="L377" s="171" t="s">
        <v>125</v>
      </c>
      <c r="M377" s="178">
        <v>0</v>
      </c>
      <c r="N377" s="176"/>
      <c r="O377" s="176"/>
      <c r="P377" s="179">
        <v>-295.61</v>
      </c>
    </row>
    <row r="378" spans="1:16" ht="19.5" customHeight="1">
      <c r="A378" s="171" t="s">
        <v>237</v>
      </c>
      <c r="B378" s="175">
        <v>46039</v>
      </c>
      <c r="C378" s="171" t="s">
        <v>110</v>
      </c>
      <c r="D378" s="171" t="s">
        <v>117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46033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0</v>
      </c>
    </row>
    <row r="379" spans="1:16" ht="19.5" customHeight="1">
      <c r="A379" s="171" t="s">
        <v>237</v>
      </c>
      <c r="B379" s="175">
        <v>46039</v>
      </c>
      <c r="C379" s="171" t="s">
        <v>110</v>
      </c>
      <c r="D379" s="171" t="s">
        <v>118</v>
      </c>
      <c r="E379" s="171" t="s">
        <v>38</v>
      </c>
      <c r="F379" s="171" t="s">
        <v>111</v>
      </c>
      <c r="G379" s="171" t="s">
        <v>112</v>
      </c>
      <c r="H379" s="176">
        <v>1</v>
      </c>
      <c r="I379" s="177">
        <v>0</v>
      </c>
      <c r="J379" s="175">
        <v>46033</v>
      </c>
      <c r="K379" s="171" t="s">
        <v>113</v>
      </c>
      <c r="L379" s="171" t="s">
        <v>114</v>
      </c>
      <c r="M379" s="178">
        <v>0</v>
      </c>
      <c r="N379" s="176"/>
      <c r="O379" s="176"/>
      <c r="P379" s="179">
        <v>-46.77</v>
      </c>
    </row>
    <row r="380" spans="1:16" ht="19.5" customHeight="1">
      <c r="A380" s="171" t="s">
        <v>237</v>
      </c>
      <c r="B380" s="175">
        <v>46039</v>
      </c>
      <c r="C380" s="171" t="s">
        <v>115</v>
      </c>
      <c r="D380" s="171" t="s">
        <v>119</v>
      </c>
      <c r="E380" s="171" t="s">
        <v>38</v>
      </c>
      <c r="F380" s="171" t="s">
        <v>111</v>
      </c>
      <c r="G380" s="171" t="s">
        <v>112</v>
      </c>
      <c r="H380" s="176">
        <v>1</v>
      </c>
      <c r="I380" s="177">
        <v>0</v>
      </c>
      <c r="J380" s="175">
        <v>46033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</v>
      </c>
    </row>
    <row r="381" spans="1:16" ht="19.5" customHeight="1">
      <c r="A381" s="171" t="s">
        <v>237</v>
      </c>
      <c r="B381" s="175">
        <v>46039</v>
      </c>
      <c r="C381" s="171" t="s">
        <v>110</v>
      </c>
      <c r="D381" s="171" t="s">
        <v>24</v>
      </c>
      <c r="E381" s="171" t="s">
        <v>38</v>
      </c>
      <c r="F381" s="171" t="s">
        <v>111</v>
      </c>
      <c r="G381" s="171" t="s">
        <v>112</v>
      </c>
      <c r="H381" s="176">
        <v>1</v>
      </c>
      <c r="I381" s="177">
        <v>0</v>
      </c>
      <c r="J381" s="175">
        <v>46033</v>
      </c>
      <c r="K381" s="171" t="s">
        <v>113</v>
      </c>
      <c r="L381" s="171" t="s">
        <v>114</v>
      </c>
      <c r="M381" s="178">
        <v>0</v>
      </c>
      <c r="N381" s="176"/>
      <c r="O381" s="176">
        <v>50</v>
      </c>
      <c r="P381" s="179">
        <v>-46.77</v>
      </c>
    </row>
    <row r="382" spans="1:16" ht="19.5" customHeight="1">
      <c r="A382" s="171" t="s">
        <v>237</v>
      </c>
      <c r="B382" s="175">
        <v>46039</v>
      </c>
      <c r="C382" s="171" t="s">
        <v>115</v>
      </c>
      <c r="D382" s="171" t="s">
        <v>116</v>
      </c>
      <c r="E382" s="171" t="s">
        <v>38</v>
      </c>
      <c r="F382" s="171" t="s">
        <v>111</v>
      </c>
      <c r="G382" s="171" t="s">
        <v>112</v>
      </c>
      <c r="H382" s="176">
        <v>1</v>
      </c>
      <c r="I382" s="177">
        <v>0</v>
      </c>
      <c r="J382" s="175">
        <v>46033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-10.81</v>
      </c>
    </row>
    <row r="383" spans="1:16" ht="19.5" customHeight="1">
      <c r="A383" s="171" t="s">
        <v>238</v>
      </c>
      <c r="B383" s="175">
        <v>46039</v>
      </c>
      <c r="C383" s="171" t="s">
        <v>110</v>
      </c>
      <c r="D383" s="171" t="s">
        <v>24</v>
      </c>
      <c r="E383" s="171" t="s">
        <v>39</v>
      </c>
      <c r="F383" s="171" t="s">
        <v>141</v>
      </c>
      <c r="G383" s="171" t="s">
        <v>112</v>
      </c>
      <c r="H383" s="176">
        <v>1</v>
      </c>
      <c r="I383" s="177">
        <v>0</v>
      </c>
      <c r="J383" s="175">
        <v>46016</v>
      </c>
      <c r="K383" s="171" t="s">
        <v>113</v>
      </c>
      <c r="L383" s="171" t="s">
        <v>114</v>
      </c>
      <c r="M383" s="178">
        <v>0</v>
      </c>
      <c r="N383" s="176"/>
      <c r="O383" s="176">
        <v>38</v>
      </c>
      <c r="P383" s="179">
        <v>-46.77</v>
      </c>
    </row>
    <row r="384" spans="1:16" ht="19.5" customHeight="1">
      <c r="A384" s="171" t="s">
        <v>238</v>
      </c>
      <c r="B384" s="175">
        <v>46039</v>
      </c>
      <c r="C384" s="171" t="s">
        <v>115</v>
      </c>
      <c r="D384" s="171" t="s">
        <v>116</v>
      </c>
      <c r="E384" s="171" t="s">
        <v>39</v>
      </c>
      <c r="F384" s="171" t="s">
        <v>141</v>
      </c>
      <c r="G384" s="171" t="s">
        <v>112</v>
      </c>
      <c r="H384" s="176">
        <v>1</v>
      </c>
      <c r="I384" s="177">
        <v>0</v>
      </c>
      <c r="J384" s="175">
        <v>46016</v>
      </c>
      <c r="K384" s="171" t="s">
        <v>113</v>
      </c>
      <c r="L384" s="171" t="s">
        <v>114</v>
      </c>
      <c r="M384" s="178">
        <v>0</v>
      </c>
      <c r="N384" s="176"/>
      <c r="O384" s="176"/>
      <c r="P384" s="179">
        <v>-5.39</v>
      </c>
    </row>
    <row r="385" spans="1:16" ht="19.5" customHeight="1">
      <c r="A385" s="171" t="s">
        <v>238</v>
      </c>
      <c r="B385" s="175">
        <v>46039</v>
      </c>
      <c r="C385" s="171" t="s">
        <v>110</v>
      </c>
      <c r="D385" s="171" t="s">
        <v>117</v>
      </c>
      <c r="E385" s="171" t="s">
        <v>39</v>
      </c>
      <c r="F385" s="171" t="s">
        <v>141</v>
      </c>
      <c r="G385" s="171" t="s">
        <v>112</v>
      </c>
      <c r="H385" s="176">
        <v>1</v>
      </c>
      <c r="I385" s="177">
        <v>0</v>
      </c>
      <c r="J385" s="175">
        <v>46016</v>
      </c>
      <c r="K385" s="171" t="s">
        <v>113</v>
      </c>
      <c r="L385" s="171" t="s">
        <v>114</v>
      </c>
      <c r="M385" s="178">
        <v>0</v>
      </c>
      <c r="N385" s="176"/>
      <c r="O385" s="176"/>
      <c r="P385" s="179">
        <v>0</v>
      </c>
    </row>
    <row r="386" spans="1:16" ht="19.5" customHeight="1">
      <c r="A386" s="171" t="s">
        <v>238</v>
      </c>
      <c r="B386" s="175">
        <v>46039</v>
      </c>
      <c r="C386" s="171" t="s">
        <v>110</v>
      </c>
      <c r="D386" s="171" t="s">
        <v>118</v>
      </c>
      <c r="E386" s="171" t="s">
        <v>39</v>
      </c>
      <c r="F386" s="171" t="s">
        <v>141</v>
      </c>
      <c r="G386" s="171" t="s">
        <v>112</v>
      </c>
      <c r="H386" s="176">
        <v>1</v>
      </c>
      <c r="I386" s="177">
        <v>0</v>
      </c>
      <c r="J386" s="175">
        <v>46016</v>
      </c>
      <c r="K386" s="171" t="s">
        <v>113</v>
      </c>
      <c r="L386" s="171" t="s">
        <v>114</v>
      </c>
      <c r="M386" s="178">
        <v>0</v>
      </c>
      <c r="N386" s="176"/>
      <c r="O386" s="176"/>
      <c r="P386" s="179">
        <v>-46.77</v>
      </c>
    </row>
    <row r="387" spans="1:16" ht="19.5" customHeight="1">
      <c r="A387" s="171" t="s">
        <v>238</v>
      </c>
      <c r="B387" s="175">
        <v>46039</v>
      </c>
      <c r="C387" s="171" t="s">
        <v>115</v>
      </c>
      <c r="D387" s="171" t="s">
        <v>119</v>
      </c>
      <c r="E387" s="171" t="s">
        <v>39</v>
      </c>
      <c r="F387" s="171" t="s">
        <v>141</v>
      </c>
      <c r="G387" s="171" t="s">
        <v>112</v>
      </c>
      <c r="H387" s="176">
        <v>1</v>
      </c>
      <c r="I387" s="177">
        <v>0</v>
      </c>
      <c r="J387" s="175">
        <v>46016</v>
      </c>
      <c r="K387" s="171" t="s">
        <v>113</v>
      </c>
      <c r="L387" s="171" t="s">
        <v>114</v>
      </c>
      <c r="M387" s="178">
        <v>0</v>
      </c>
      <c r="N387" s="176"/>
      <c r="O387" s="176"/>
      <c r="P387" s="179">
        <v>-15</v>
      </c>
    </row>
    <row r="388" spans="1:16" ht="19.5" customHeight="1">
      <c r="A388" s="171" t="s">
        <v>239</v>
      </c>
      <c r="B388" s="175">
        <v>46039</v>
      </c>
      <c r="C388" s="171" t="s">
        <v>110</v>
      </c>
      <c r="D388" s="171" t="s">
        <v>117</v>
      </c>
      <c r="E388" s="171" t="s">
        <v>38</v>
      </c>
      <c r="F388" s="171" t="s">
        <v>111</v>
      </c>
      <c r="G388" s="171" t="s">
        <v>112</v>
      </c>
      <c r="H388" s="176">
        <v>1</v>
      </c>
      <c r="I388" s="177">
        <v>0</v>
      </c>
      <c r="J388" s="175">
        <v>46033</v>
      </c>
      <c r="K388" s="171" t="s">
        <v>113</v>
      </c>
      <c r="L388" s="171" t="s">
        <v>114</v>
      </c>
      <c r="M388" s="178">
        <v>0</v>
      </c>
      <c r="N388" s="176"/>
      <c r="O388" s="176"/>
      <c r="P388" s="179">
        <v>0</v>
      </c>
    </row>
    <row r="389" spans="1:16" ht="19.5" customHeight="1">
      <c r="A389" s="171" t="s">
        <v>239</v>
      </c>
      <c r="B389" s="175">
        <v>46039</v>
      </c>
      <c r="C389" s="171" t="s">
        <v>110</v>
      </c>
      <c r="D389" s="171" t="s">
        <v>118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46033</v>
      </c>
      <c r="K389" s="171" t="s">
        <v>113</v>
      </c>
      <c r="L389" s="171" t="s">
        <v>114</v>
      </c>
      <c r="M389" s="178">
        <v>0</v>
      </c>
      <c r="N389" s="176"/>
      <c r="O389" s="176"/>
      <c r="P389" s="179">
        <v>-46.77</v>
      </c>
    </row>
    <row r="390" spans="1:16" ht="19.5" customHeight="1">
      <c r="A390" s="171" t="s">
        <v>239</v>
      </c>
      <c r="B390" s="175">
        <v>46039</v>
      </c>
      <c r="C390" s="171" t="s">
        <v>115</v>
      </c>
      <c r="D390" s="171" t="s">
        <v>119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46033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-15</v>
      </c>
    </row>
    <row r="391" spans="1:16" ht="19.5" customHeight="1">
      <c r="A391" s="171" t="s">
        <v>239</v>
      </c>
      <c r="B391" s="175">
        <v>46039</v>
      </c>
      <c r="C391" s="171" t="s">
        <v>110</v>
      </c>
      <c r="D391" s="171" t="s">
        <v>24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46033</v>
      </c>
      <c r="K391" s="171" t="s">
        <v>113</v>
      </c>
      <c r="L391" s="171" t="s">
        <v>114</v>
      </c>
      <c r="M391" s="178">
        <v>0</v>
      </c>
      <c r="N391" s="176"/>
      <c r="O391" s="176">
        <v>50</v>
      </c>
      <c r="P391" s="179">
        <v>-46.77</v>
      </c>
    </row>
    <row r="392" spans="1:16" ht="19.5" customHeight="1">
      <c r="A392" s="171" t="s">
        <v>239</v>
      </c>
      <c r="B392" s="175">
        <v>46039</v>
      </c>
      <c r="C392" s="171" t="s">
        <v>115</v>
      </c>
      <c r="D392" s="171" t="s">
        <v>116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46033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-8.66</v>
      </c>
    </row>
    <row r="393" spans="1:16" ht="19.5" customHeight="1">
      <c r="A393" s="171" t="s">
        <v>240</v>
      </c>
      <c r="B393" s="175">
        <v>46039</v>
      </c>
      <c r="C393" s="171" t="s">
        <v>110</v>
      </c>
      <c r="D393" s="171" t="s">
        <v>24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46029</v>
      </c>
      <c r="K393" s="171" t="s">
        <v>113</v>
      </c>
      <c r="L393" s="171" t="s">
        <v>114</v>
      </c>
      <c r="M393" s="178">
        <v>0</v>
      </c>
      <c r="N393" s="176"/>
      <c r="O393" s="176">
        <v>46</v>
      </c>
      <c r="P393" s="179">
        <v>-46</v>
      </c>
    </row>
    <row r="394" spans="1:16" ht="19.5" customHeight="1">
      <c r="A394" s="171" t="s">
        <v>240</v>
      </c>
      <c r="B394" s="175">
        <v>46039</v>
      </c>
      <c r="C394" s="171" t="s">
        <v>115</v>
      </c>
      <c r="D394" s="171" t="s">
        <v>116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46029</v>
      </c>
      <c r="K394" s="171" t="s">
        <v>113</v>
      </c>
      <c r="L394" s="171" t="s">
        <v>114</v>
      </c>
      <c r="M394" s="178">
        <v>0</v>
      </c>
      <c r="N394" s="176"/>
      <c r="O394" s="176"/>
      <c r="P394" s="179">
        <v>-10.38</v>
      </c>
    </row>
    <row r="395" spans="1:16" ht="19.5" customHeight="1">
      <c r="A395" s="171" t="s">
        <v>240</v>
      </c>
      <c r="B395" s="175">
        <v>46039</v>
      </c>
      <c r="C395" s="171" t="s">
        <v>110</v>
      </c>
      <c r="D395" s="171" t="s">
        <v>117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46029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0</v>
      </c>
    </row>
    <row r="396" spans="1:16" ht="19.5" customHeight="1">
      <c r="A396" s="171" t="s">
        <v>240</v>
      </c>
      <c r="B396" s="175">
        <v>46039</v>
      </c>
      <c r="C396" s="171" t="s">
        <v>110</v>
      </c>
      <c r="D396" s="171" t="s">
        <v>118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46029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-46</v>
      </c>
    </row>
    <row r="397" spans="1:16" ht="19.5" customHeight="1">
      <c r="A397" s="171" t="s">
        <v>240</v>
      </c>
      <c r="B397" s="175">
        <v>46039</v>
      </c>
      <c r="C397" s="171" t="s">
        <v>115</v>
      </c>
      <c r="D397" s="171" t="s">
        <v>119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46029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-15</v>
      </c>
    </row>
    <row r="398" spans="1:16" ht="19.5" customHeight="1">
      <c r="A398" s="171" t="s">
        <v>241</v>
      </c>
      <c r="B398" s="175">
        <v>46039</v>
      </c>
      <c r="C398" s="171" t="s">
        <v>115</v>
      </c>
      <c r="D398" s="171" t="s">
        <v>135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46039</v>
      </c>
      <c r="K398" s="171" t="s">
        <v>125</v>
      </c>
      <c r="L398" s="171" t="s">
        <v>125</v>
      </c>
      <c r="M398" s="178">
        <v>0</v>
      </c>
      <c r="N398" s="176"/>
      <c r="O398" s="176"/>
      <c r="P398" s="179">
        <v>-10.91</v>
      </c>
    </row>
    <row r="399" spans="1:16" ht="19.5" customHeight="1">
      <c r="A399" s="171" t="s">
        <v>242</v>
      </c>
      <c r="B399" s="175">
        <v>46039</v>
      </c>
      <c r="C399" s="171" t="s">
        <v>110</v>
      </c>
      <c r="D399" s="171" t="s">
        <v>24</v>
      </c>
      <c r="E399" s="171" t="s">
        <v>38</v>
      </c>
      <c r="F399" s="171" t="s">
        <v>111</v>
      </c>
      <c r="G399" s="171" t="s">
        <v>112</v>
      </c>
      <c r="H399" s="176">
        <v>1</v>
      </c>
      <c r="I399" s="177">
        <v>1704</v>
      </c>
      <c r="J399" s="175">
        <v>46031</v>
      </c>
      <c r="K399" s="171" t="s">
        <v>113</v>
      </c>
      <c r="L399" s="171" t="s">
        <v>114</v>
      </c>
      <c r="M399" s="178">
        <v>0.43</v>
      </c>
      <c r="N399" s="176"/>
      <c r="O399" s="176">
        <v>46</v>
      </c>
      <c r="P399" s="179">
        <v>-137.83000000000001</v>
      </c>
    </row>
    <row r="400" spans="1:16" ht="19.5" customHeight="1">
      <c r="A400" s="171" t="s">
        <v>242</v>
      </c>
      <c r="B400" s="175">
        <v>46039</v>
      </c>
      <c r="C400" s="171" t="s">
        <v>127</v>
      </c>
      <c r="D400" s="171" t="s">
        <v>128</v>
      </c>
      <c r="E400" s="171" t="s">
        <v>38</v>
      </c>
      <c r="F400" s="171" t="s">
        <v>111</v>
      </c>
      <c r="G400" s="171" t="s">
        <v>112</v>
      </c>
      <c r="H400" s="176">
        <v>1</v>
      </c>
      <c r="I400" s="177">
        <v>1704</v>
      </c>
      <c r="J400" s="175">
        <v>46031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585.71</v>
      </c>
    </row>
    <row r="401" spans="1:16" ht="19.5" customHeight="1">
      <c r="A401" s="171" t="s">
        <v>242</v>
      </c>
      <c r="B401" s="175">
        <v>46039</v>
      </c>
      <c r="C401" s="171" t="s">
        <v>127</v>
      </c>
      <c r="D401" s="171" t="s">
        <v>129</v>
      </c>
      <c r="E401" s="171" t="s">
        <v>38</v>
      </c>
      <c r="F401" s="171" t="s">
        <v>111</v>
      </c>
      <c r="G401" s="171" t="s">
        <v>112</v>
      </c>
      <c r="H401" s="176">
        <v>1</v>
      </c>
      <c r="I401" s="177">
        <v>1704</v>
      </c>
      <c r="J401" s="175">
        <v>46031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5.86</v>
      </c>
    </row>
    <row r="402" spans="1:16" ht="19.5" customHeight="1">
      <c r="A402" s="171" t="s">
        <v>242</v>
      </c>
      <c r="B402" s="175">
        <v>46039</v>
      </c>
      <c r="C402" s="171" t="s">
        <v>127</v>
      </c>
      <c r="D402" s="171" t="s">
        <v>130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1704</v>
      </c>
      <c r="J402" s="175">
        <v>46031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1112.43</v>
      </c>
    </row>
    <row r="403" spans="1:16" ht="19.5" customHeight="1">
      <c r="A403" s="171" t="s">
        <v>242</v>
      </c>
      <c r="B403" s="175">
        <v>46039</v>
      </c>
      <c r="C403" s="171" t="s">
        <v>131</v>
      </c>
      <c r="D403" s="171" t="s">
        <v>132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1704</v>
      </c>
      <c r="J403" s="175">
        <v>46031</v>
      </c>
      <c r="K403" s="171" t="s">
        <v>113</v>
      </c>
      <c r="L403" s="171" t="s">
        <v>114</v>
      </c>
      <c r="M403" s="178">
        <v>0.43</v>
      </c>
      <c r="N403" s="176"/>
      <c r="O403" s="176"/>
      <c r="P403" s="179">
        <v>-732.72</v>
      </c>
    </row>
    <row r="404" spans="1:16" ht="19.5" customHeight="1">
      <c r="A404" s="171" t="s">
        <v>243</v>
      </c>
      <c r="B404" s="175">
        <v>46039</v>
      </c>
      <c r="C404" s="171" t="s">
        <v>110</v>
      </c>
      <c r="D404" s="171" t="s">
        <v>24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46002</v>
      </c>
      <c r="K404" s="171" t="s">
        <v>113</v>
      </c>
      <c r="L404" s="171" t="s">
        <v>114</v>
      </c>
      <c r="M404" s="178">
        <v>0</v>
      </c>
      <c r="N404" s="176"/>
      <c r="O404" s="176">
        <v>40</v>
      </c>
      <c r="P404" s="179">
        <v>-46.77</v>
      </c>
    </row>
    <row r="405" spans="1:16" ht="19.5" customHeight="1">
      <c r="A405" s="171" t="s">
        <v>243</v>
      </c>
      <c r="B405" s="175">
        <v>46039</v>
      </c>
      <c r="C405" s="171" t="s">
        <v>115</v>
      </c>
      <c r="D405" s="171" t="s">
        <v>116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46002</v>
      </c>
      <c r="K405" s="171" t="s">
        <v>113</v>
      </c>
      <c r="L405" s="171" t="s">
        <v>114</v>
      </c>
      <c r="M405" s="178">
        <v>0</v>
      </c>
      <c r="N405" s="176"/>
      <c r="O405" s="176"/>
      <c r="P405" s="179">
        <v>-6.32</v>
      </c>
    </row>
    <row r="406" spans="1:16" ht="19.5" customHeight="1">
      <c r="A406" s="171" t="s">
        <v>243</v>
      </c>
      <c r="B406" s="175">
        <v>46039</v>
      </c>
      <c r="C406" s="171" t="s">
        <v>110</v>
      </c>
      <c r="D406" s="171" t="s">
        <v>117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46002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0</v>
      </c>
    </row>
    <row r="407" spans="1:16" ht="19.5" customHeight="1">
      <c r="A407" s="171" t="s">
        <v>243</v>
      </c>
      <c r="B407" s="175">
        <v>46039</v>
      </c>
      <c r="C407" s="171" t="s">
        <v>110</v>
      </c>
      <c r="D407" s="171" t="s">
        <v>118</v>
      </c>
      <c r="E407" s="171" t="s">
        <v>38</v>
      </c>
      <c r="F407" s="171" t="s">
        <v>111</v>
      </c>
      <c r="G407" s="171" t="s">
        <v>112</v>
      </c>
      <c r="H407" s="176">
        <v>1</v>
      </c>
      <c r="I407" s="177">
        <v>0</v>
      </c>
      <c r="J407" s="175">
        <v>46002</v>
      </c>
      <c r="K407" s="171" t="s">
        <v>113</v>
      </c>
      <c r="L407" s="171" t="s">
        <v>114</v>
      </c>
      <c r="M407" s="178">
        <v>0</v>
      </c>
      <c r="N407" s="176"/>
      <c r="O407" s="176"/>
      <c r="P407" s="179">
        <v>-46.77</v>
      </c>
    </row>
    <row r="408" spans="1:16" ht="19.5" customHeight="1">
      <c r="A408" s="171" t="s">
        <v>243</v>
      </c>
      <c r="B408" s="175">
        <v>46039</v>
      </c>
      <c r="C408" s="171" t="s">
        <v>115</v>
      </c>
      <c r="D408" s="171" t="s">
        <v>119</v>
      </c>
      <c r="E408" s="171" t="s">
        <v>38</v>
      </c>
      <c r="F408" s="171" t="s">
        <v>111</v>
      </c>
      <c r="G408" s="171" t="s">
        <v>112</v>
      </c>
      <c r="H408" s="176">
        <v>1</v>
      </c>
      <c r="I408" s="177">
        <v>0</v>
      </c>
      <c r="J408" s="175">
        <v>46002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-15</v>
      </c>
    </row>
    <row r="409" spans="1:16" ht="19.5" customHeight="1">
      <c r="A409" s="171" t="s">
        <v>242</v>
      </c>
      <c r="B409" s="175">
        <v>46039</v>
      </c>
      <c r="C409" s="171" t="s">
        <v>115</v>
      </c>
      <c r="D409" s="171" t="s">
        <v>135</v>
      </c>
      <c r="E409" s="171" t="s">
        <v>38</v>
      </c>
      <c r="F409" s="171" t="s">
        <v>111</v>
      </c>
      <c r="G409" s="171" t="s">
        <v>112</v>
      </c>
      <c r="H409" s="176">
        <v>1</v>
      </c>
      <c r="I409" s="177">
        <v>0</v>
      </c>
      <c r="J409" s="175">
        <v>46031</v>
      </c>
      <c r="K409" s="171" t="s">
        <v>125</v>
      </c>
      <c r="L409" s="171" t="s">
        <v>125</v>
      </c>
      <c r="M409" s="178">
        <v>0</v>
      </c>
      <c r="N409" s="176"/>
      <c r="O409" s="176"/>
      <c r="P409" s="179">
        <v>-11.13</v>
      </c>
    </row>
    <row r="410" spans="1:16" ht="19.5" customHeight="1">
      <c r="A410" s="171" t="s">
        <v>244</v>
      </c>
      <c r="B410" s="175">
        <v>46039</v>
      </c>
      <c r="C410" s="171" t="s">
        <v>115</v>
      </c>
      <c r="D410" s="171" t="s">
        <v>135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0</v>
      </c>
      <c r="J410" s="175">
        <v>46039</v>
      </c>
      <c r="K410" s="171" t="s">
        <v>125</v>
      </c>
      <c r="L410" s="171" t="s">
        <v>125</v>
      </c>
      <c r="M410" s="178">
        <v>0</v>
      </c>
      <c r="N410" s="176"/>
      <c r="O410" s="176"/>
      <c r="P410" s="179">
        <v>-3.37</v>
      </c>
    </row>
    <row r="411" spans="1:16" ht="19.5" customHeight="1">
      <c r="A411" s="171" t="s">
        <v>245</v>
      </c>
      <c r="B411" s="175">
        <v>46039</v>
      </c>
      <c r="C411" s="171" t="s">
        <v>110</v>
      </c>
      <c r="D411" s="171" t="s">
        <v>24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46037</v>
      </c>
      <c r="K411" s="171" t="s">
        <v>113</v>
      </c>
      <c r="L411" s="171" t="s">
        <v>114</v>
      </c>
      <c r="M411" s="178">
        <v>0.43</v>
      </c>
      <c r="N411" s="176"/>
      <c r="O411" s="176">
        <v>43</v>
      </c>
      <c r="P411" s="179">
        <v>-125.95</v>
      </c>
    </row>
    <row r="412" spans="1:16" ht="19.5" customHeight="1">
      <c r="A412" s="171" t="s">
        <v>245</v>
      </c>
      <c r="B412" s="175">
        <v>46039</v>
      </c>
      <c r="C412" s="171" t="s">
        <v>127</v>
      </c>
      <c r="D412" s="171" t="s">
        <v>128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46037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826.67</v>
      </c>
    </row>
    <row r="413" spans="1:16" ht="19.5" customHeight="1">
      <c r="A413" s="171" t="s">
        <v>245</v>
      </c>
      <c r="B413" s="175">
        <v>46039</v>
      </c>
      <c r="C413" s="171" t="s">
        <v>127</v>
      </c>
      <c r="D413" s="171" t="s">
        <v>129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46037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0</v>
      </c>
    </row>
    <row r="414" spans="1:16" ht="19.5" customHeight="1">
      <c r="A414" s="171" t="s">
        <v>245</v>
      </c>
      <c r="B414" s="175">
        <v>46039</v>
      </c>
      <c r="C414" s="171" t="s">
        <v>127</v>
      </c>
      <c r="D414" s="171" t="s">
        <v>130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46037</v>
      </c>
      <c r="K414" s="171" t="s">
        <v>113</v>
      </c>
      <c r="L414" s="171" t="s">
        <v>114</v>
      </c>
      <c r="M414" s="178">
        <v>0</v>
      </c>
      <c r="N414" s="176"/>
      <c r="O414" s="176"/>
      <c r="P414" s="179">
        <v>877.33</v>
      </c>
    </row>
    <row r="415" spans="1:16" ht="19.5" customHeight="1">
      <c r="A415" s="171" t="s">
        <v>245</v>
      </c>
      <c r="B415" s="175">
        <v>46039</v>
      </c>
      <c r="C415" s="171" t="s">
        <v>131</v>
      </c>
      <c r="D415" s="171" t="s">
        <v>132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46037</v>
      </c>
      <c r="K415" s="171" t="s">
        <v>113</v>
      </c>
      <c r="L415" s="171" t="s">
        <v>114</v>
      </c>
      <c r="M415" s="178">
        <v>0.43</v>
      </c>
      <c r="N415" s="176"/>
      <c r="O415" s="176"/>
      <c r="P415" s="179">
        <v>-732.72</v>
      </c>
    </row>
    <row r="416" spans="1:16" ht="19.5" customHeight="1">
      <c r="A416" s="171" t="s">
        <v>245</v>
      </c>
      <c r="B416" s="175">
        <v>46039</v>
      </c>
      <c r="C416" s="171" t="s">
        <v>115</v>
      </c>
      <c r="D416" s="171" t="s">
        <v>116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46037</v>
      </c>
      <c r="K416" s="171" t="s">
        <v>113</v>
      </c>
      <c r="L416" s="171" t="s">
        <v>114</v>
      </c>
      <c r="M416" s="178">
        <v>0.43</v>
      </c>
      <c r="N416" s="176"/>
      <c r="O416" s="176"/>
      <c r="P416" s="179">
        <v>-8.69</v>
      </c>
    </row>
    <row r="417" spans="1:16" ht="19.5" customHeight="1">
      <c r="A417" s="171" t="s">
        <v>246</v>
      </c>
      <c r="B417" s="175">
        <v>46039</v>
      </c>
      <c r="C417" s="171" t="s">
        <v>110</v>
      </c>
      <c r="D417" s="171" t="s">
        <v>24</v>
      </c>
      <c r="E417" s="171" t="s">
        <v>41</v>
      </c>
      <c r="F417" s="171" t="s">
        <v>138</v>
      </c>
      <c r="G417" s="171" t="s">
        <v>112</v>
      </c>
      <c r="H417" s="176">
        <v>1</v>
      </c>
      <c r="I417" s="177">
        <v>1687</v>
      </c>
      <c r="J417" s="175">
        <v>46031</v>
      </c>
      <c r="K417" s="171" t="s">
        <v>113</v>
      </c>
      <c r="L417" s="171" t="s">
        <v>114</v>
      </c>
      <c r="M417" s="178">
        <v>0.43</v>
      </c>
      <c r="N417" s="176"/>
      <c r="O417" s="176">
        <v>46</v>
      </c>
      <c r="P417" s="179">
        <v>-137.24</v>
      </c>
    </row>
    <row r="418" spans="1:16" ht="19.5" customHeight="1">
      <c r="A418" s="171" t="s">
        <v>246</v>
      </c>
      <c r="B418" s="175">
        <v>46039</v>
      </c>
      <c r="C418" s="171" t="s">
        <v>127</v>
      </c>
      <c r="D418" s="171" t="s">
        <v>128</v>
      </c>
      <c r="E418" s="171" t="s">
        <v>41</v>
      </c>
      <c r="F418" s="171" t="s">
        <v>138</v>
      </c>
      <c r="G418" s="171" t="s">
        <v>112</v>
      </c>
      <c r="H418" s="176">
        <v>1</v>
      </c>
      <c r="I418" s="177">
        <v>1687</v>
      </c>
      <c r="J418" s="175">
        <v>46031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580</v>
      </c>
    </row>
    <row r="419" spans="1:16" ht="19.5" customHeight="1">
      <c r="A419" s="171" t="s">
        <v>246</v>
      </c>
      <c r="B419" s="175">
        <v>46039</v>
      </c>
      <c r="C419" s="171" t="s">
        <v>127</v>
      </c>
      <c r="D419" s="171" t="s">
        <v>129</v>
      </c>
      <c r="E419" s="171" t="s">
        <v>41</v>
      </c>
      <c r="F419" s="171" t="s">
        <v>138</v>
      </c>
      <c r="G419" s="171" t="s">
        <v>112</v>
      </c>
      <c r="H419" s="176">
        <v>1</v>
      </c>
      <c r="I419" s="177">
        <v>1687</v>
      </c>
      <c r="J419" s="175">
        <v>46031</v>
      </c>
      <c r="K419" s="171" t="s">
        <v>113</v>
      </c>
      <c r="L419" s="171" t="s">
        <v>114</v>
      </c>
      <c r="M419" s="178">
        <v>0</v>
      </c>
      <c r="N419" s="176"/>
      <c r="O419" s="176"/>
      <c r="P419" s="179">
        <v>5.8</v>
      </c>
    </row>
    <row r="420" spans="1:16" ht="19.5" customHeight="1">
      <c r="A420" s="171" t="s">
        <v>246</v>
      </c>
      <c r="B420" s="175">
        <v>46039</v>
      </c>
      <c r="C420" s="171" t="s">
        <v>127</v>
      </c>
      <c r="D420" s="171" t="s">
        <v>130</v>
      </c>
      <c r="E420" s="171" t="s">
        <v>41</v>
      </c>
      <c r="F420" s="171" t="s">
        <v>138</v>
      </c>
      <c r="G420" s="171" t="s">
        <v>112</v>
      </c>
      <c r="H420" s="176">
        <v>1</v>
      </c>
      <c r="I420" s="177">
        <v>1687</v>
      </c>
      <c r="J420" s="175">
        <v>46031</v>
      </c>
      <c r="K420" s="171" t="s">
        <v>113</v>
      </c>
      <c r="L420" s="171" t="s">
        <v>114</v>
      </c>
      <c r="M420" s="178">
        <v>0</v>
      </c>
      <c r="N420" s="176"/>
      <c r="O420" s="176"/>
      <c r="P420" s="179">
        <v>1101.2</v>
      </c>
    </row>
    <row r="421" spans="1:16" ht="19.5" customHeight="1">
      <c r="A421" s="171" t="s">
        <v>246</v>
      </c>
      <c r="B421" s="175">
        <v>46039</v>
      </c>
      <c r="C421" s="171" t="s">
        <v>131</v>
      </c>
      <c r="D421" s="171" t="s">
        <v>132</v>
      </c>
      <c r="E421" s="171" t="s">
        <v>41</v>
      </c>
      <c r="F421" s="171" t="s">
        <v>138</v>
      </c>
      <c r="G421" s="171" t="s">
        <v>112</v>
      </c>
      <c r="H421" s="176">
        <v>1</v>
      </c>
      <c r="I421" s="177">
        <v>1687</v>
      </c>
      <c r="J421" s="175">
        <v>46031</v>
      </c>
      <c r="K421" s="171" t="s">
        <v>113</v>
      </c>
      <c r="L421" s="171" t="s">
        <v>114</v>
      </c>
      <c r="M421" s="178">
        <v>0.43</v>
      </c>
      <c r="N421" s="176"/>
      <c r="O421" s="176"/>
      <c r="P421" s="179">
        <v>-725.41</v>
      </c>
    </row>
    <row r="422" spans="1:16" ht="19.5" customHeight="1">
      <c r="A422" s="171" t="s">
        <v>247</v>
      </c>
      <c r="B422" s="175">
        <v>46039</v>
      </c>
      <c r="C422" s="171" t="s">
        <v>115</v>
      </c>
      <c r="D422" s="171" t="s">
        <v>135</v>
      </c>
      <c r="E422" s="171" t="s">
        <v>42</v>
      </c>
      <c r="F422" s="171" t="s">
        <v>248</v>
      </c>
      <c r="G422" s="171" t="s">
        <v>112</v>
      </c>
      <c r="H422" s="176">
        <v>1</v>
      </c>
      <c r="I422" s="177">
        <v>0</v>
      </c>
      <c r="J422" s="175">
        <v>46039</v>
      </c>
      <c r="K422" s="171" t="s">
        <v>125</v>
      </c>
      <c r="L422" s="171" t="s">
        <v>125</v>
      </c>
      <c r="M422" s="178">
        <v>0</v>
      </c>
      <c r="N422" s="176"/>
      <c r="O422" s="176"/>
      <c r="P422" s="179">
        <v>-17.21</v>
      </c>
    </row>
    <row r="423" spans="1:16" ht="19.5" customHeight="1">
      <c r="A423" s="171" t="s">
        <v>249</v>
      </c>
      <c r="B423" s="175">
        <v>46039</v>
      </c>
      <c r="C423" s="171" t="s">
        <v>115</v>
      </c>
      <c r="D423" s="171" t="s">
        <v>135</v>
      </c>
      <c r="E423" s="171" t="s">
        <v>39</v>
      </c>
      <c r="F423" s="171" t="s">
        <v>141</v>
      </c>
      <c r="G423" s="171" t="s">
        <v>112</v>
      </c>
      <c r="H423" s="176">
        <v>1</v>
      </c>
      <c r="I423" s="177">
        <v>0</v>
      </c>
      <c r="J423" s="175">
        <v>46039</v>
      </c>
      <c r="K423" s="171" t="s">
        <v>125</v>
      </c>
      <c r="L423" s="171" t="s">
        <v>125</v>
      </c>
      <c r="M423" s="178">
        <v>0</v>
      </c>
      <c r="N423" s="176"/>
      <c r="O423" s="176"/>
      <c r="P423" s="179">
        <v>-10.61</v>
      </c>
    </row>
    <row r="424" spans="1:16" ht="19.5" customHeight="1">
      <c r="A424" s="171" t="s">
        <v>250</v>
      </c>
      <c r="B424" s="175">
        <v>46039</v>
      </c>
      <c r="C424" s="171" t="s">
        <v>110</v>
      </c>
      <c r="D424" s="171" t="s">
        <v>24</v>
      </c>
      <c r="E424" s="171" t="s">
        <v>38</v>
      </c>
      <c r="F424" s="171" t="s">
        <v>111</v>
      </c>
      <c r="G424" s="171" t="s">
        <v>112</v>
      </c>
      <c r="H424" s="176">
        <v>1</v>
      </c>
      <c r="I424" s="177">
        <v>1704</v>
      </c>
      <c r="J424" s="175">
        <v>46037</v>
      </c>
      <c r="K424" s="171" t="s">
        <v>113</v>
      </c>
      <c r="L424" s="171" t="s">
        <v>114</v>
      </c>
      <c r="M424" s="178">
        <v>0.43</v>
      </c>
      <c r="N424" s="176"/>
      <c r="O424" s="176">
        <v>43</v>
      </c>
      <c r="P424" s="179">
        <v>-125.95</v>
      </c>
    </row>
    <row r="425" spans="1:16" ht="19.5" customHeight="1">
      <c r="A425" s="171" t="s">
        <v>250</v>
      </c>
      <c r="B425" s="175">
        <v>46039</v>
      </c>
      <c r="C425" s="171" t="s">
        <v>127</v>
      </c>
      <c r="D425" s="171" t="s">
        <v>128</v>
      </c>
      <c r="E425" s="171" t="s">
        <v>38</v>
      </c>
      <c r="F425" s="171" t="s">
        <v>111</v>
      </c>
      <c r="G425" s="171" t="s">
        <v>112</v>
      </c>
      <c r="H425" s="176">
        <v>1</v>
      </c>
      <c r="I425" s="177">
        <v>1704</v>
      </c>
      <c r="J425" s="175">
        <v>46037</v>
      </c>
      <c r="K425" s="171" t="s">
        <v>113</v>
      </c>
      <c r="L425" s="171" t="s">
        <v>114</v>
      </c>
      <c r="M425" s="178">
        <v>0</v>
      </c>
      <c r="N425" s="176"/>
      <c r="O425" s="176"/>
      <c r="P425" s="179">
        <v>649.52</v>
      </c>
    </row>
    <row r="426" spans="1:16" ht="19.5" customHeight="1">
      <c r="A426" s="171" t="s">
        <v>250</v>
      </c>
      <c r="B426" s="175">
        <v>46039</v>
      </c>
      <c r="C426" s="171" t="s">
        <v>127</v>
      </c>
      <c r="D426" s="171" t="s">
        <v>129</v>
      </c>
      <c r="E426" s="171" t="s">
        <v>38</v>
      </c>
      <c r="F426" s="171" t="s">
        <v>111</v>
      </c>
      <c r="G426" s="171" t="s">
        <v>112</v>
      </c>
      <c r="H426" s="176">
        <v>1</v>
      </c>
      <c r="I426" s="177">
        <v>1704</v>
      </c>
      <c r="J426" s="175">
        <v>46037</v>
      </c>
      <c r="K426" s="171" t="s">
        <v>113</v>
      </c>
      <c r="L426" s="171" t="s">
        <v>114</v>
      </c>
      <c r="M426" s="178">
        <v>0</v>
      </c>
      <c r="N426" s="176"/>
      <c r="O426" s="176"/>
      <c r="P426" s="179">
        <v>0</v>
      </c>
    </row>
    <row r="427" spans="1:16" ht="19.5" customHeight="1">
      <c r="A427" s="171" t="s">
        <v>250</v>
      </c>
      <c r="B427" s="175">
        <v>46039</v>
      </c>
      <c r="C427" s="171" t="s">
        <v>127</v>
      </c>
      <c r="D427" s="171" t="s">
        <v>130</v>
      </c>
      <c r="E427" s="171" t="s">
        <v>38</v>
      </c>
      <c r="F427" s="171" t="s">
        <v>111</v>
      </c>
      <c r="G427" s="171" t="s">
        <v>112</v>
      </c>
      <c r="H427" s="176">
        <v>1</v>
      </c>
      <c r="I427" s="177">
        <v>1704</v>
      </c>
      <c r="J427" s="175">
        <v>46037</v>
      </c>
      <c r="K427" s="171" t="s">
        <v>113</v>
      </c>
      <c r="L427" s="171" t="s">
        <v>114</v>
      </c>
      <c r="M427" s="178">
        <v>0</v>
      </c>
      <c r="N427" s="176"/>
      <c r="O427" s="176"/>
      <c r="P427" s="179">
        <v>1054.48</v>
      </c>
    </row>
    <row r="428" spans="1:16" ht="19.5" customHeight="1">
      <c r="A428" s="171" t="s">
        <v>250</v>
      </c>
      <c r="B428" s="175">
        <v>46039</v>
      </c>
      <c r="C428" s="171" t="s">
        <v>131</v>
      </c>
      <c r="D428" s="171" t="s">
        <v>132</v>
      </c>
      <c r="E428" s="171" t="s">
        <v>38</v>
      </c>
      <c r="F428" s="171" t="s">
        <v>111</v>
      </c>
      <c r="G428" s="171" t="s">
        <v>112</v>
      </c>
      <c r="H428" s="176">
        <v>1</v>
      </c>
      <c r="I428" s="177">
        <v>1704</v>
      </c>
      <c r="J428" s="175">
        <v>46037</v>
      </c>
      <c r="K428" s="171" t="s">
        <v>113</v>
      </c>
      <c r="L428" s="171" t="s">
        <v>114</v>
      </c>
      <c r="M428" s="178">
        <v>0.43</v>
      </c>
      <c r="N428" s="176"/>
      <c r="O428" s="176"/>
      <c r="P428" s="179">
        <v>-732.72</v>
      </c>
    </row>
    <row r="429" spans="1:16" ht="19.5" customHeight="1">
      <c r="A429" s="171" t="s">
        <v>250</v>
      </c>
      <c r="B429" s="175">
        <v>46039</v>
      </c>
      <c r="C429" s="171" t="s">
        <v>115</v>
      </c>
      <c r="D429" s="171" t="s">
        <v>116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1704</v>
      </c>
      <c r="J429" s="175">
        <v>46037</v>
      </c>
      <c r="K429" s="171" t="s">
        <v>113</v>
      </c>
      <c r="L429" s="171" t="s">
        <v>114</v>
      </c>
      <c r="M429" s="178">
        <v>0.43</v>
      </c>
      <c r="N429" s="176"/>
      <c r="O429" s="176"/>
      <c r="P429" s="179">
        <v>-14.7</v>
      </c>
    </row>
    <row r="430" spans="1:16" ht="19.5" customHeight="1">
      <c r="A430" s="171" t="s">
        <v>251</v>
      </c>
      <c r="B430" s="175">
        <v>46039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46037</v>
      </c>
      <c r="K430" s="171" t="s">
        <v>113</v>
      </c>
      <c r="L430" s="171" t="s">
        <v>114</v>
      </c>
      <c r="M430" s="178">
        <v>0.43</v>
      </c>
      <c r="N430" s="176"/>
      <c r="O430" s="176">
        <v>43</v>
      </c>
      <c r="P430" s="179">
        <v>-125.95</v>
      </c>
    </row>
    <row r="431" spans="1:16" ht="19.5" customHeight="1">
      <c r="A431" s="171" t="s">
        <v>251</v>
      </c>
      <c r="B431" s="175">
        <v>46039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46037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825.1</v>
      </c>
    </row>
    <row r="432" spans="1:16" ht="19.5" customHeight="1">
      <c r="A432" s="171" t="s">
        <v>251</v>
      </c>
      <c r="B432" s="175">
        <v>46039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46037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251</v>
      </c>
      <c r="B433" s="175">
        <v>46039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46037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878.9</v>
      </c>
    </row>
    <row r="434" spans="1:16" ht="19.5" customHeight="1">
      <c r="A434" s="171" t="s">
        <v>251</v>
      </c>
      <c r="B434" s="175">
        <v>46039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46037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251</v>
      </c>
      <c r="B435" s="175">
        <v>46039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46037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-10.66</v>
      </c>
    </row>
    <row r="436" spans="1:16" ht="19.5" customHeight="1">
      <c r="A436" s="171" t="s">
        <v>251</v>
      </c>
      <c r="B436" s="175">
        <v>46039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46037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-7.76</v>
      </c>
    </row>
    <row r="437" spans="1:16" ht="19.5" customHeight="1">
      <c r="A437" s="171" t="s">
        <v>252</v>
      </c>
      <c r="B437" s="175">
        <v>46039</v>
      </c>
      <c r="C437" s="171" t="s">
        <v>110</v>
      </c>
      <c r="D437" s="171" t="s">
        <v>24</v>
      </c>
      <c r="E437" s="171" t="s">
        <v>38</v>
      </c>
      <c r="F437" s="171" t="s">
        <v>111</v>
      </c>
      <c r="G437" s="171" t="s">
        <v>112</v>
      </c>
      <c r="H437" s="176">
        <v>1</v>
      </c>
      <c r="I437" s="177">
        <v>1704</v>
      </c>
      <c r="J437" s="175">
        <v>46037</v>
      </c>
      <c r="K437" s="171" t="s">
        <v>113</v>
      </c>
      <c r="L437" s="171" t="s">
        <v>114</v>
      </c>
      <c r="M437" s="178">
        <v>0.43</v>
      </c>
      <c r="N437" s="176"/>
      <c r="O437" s="176">
        <v>43</v>
      </c>
      <c r="P437" s="179">
        <v>-125.95</v>
      </c>
    </row>
    <row r="438" spans="1:16" ht="19.5" customHeight="1">
      <c r="A438" s="171" t="s">
        <v>252</v>
      </c>
      <c r="B438" s="175">
        <v>46039</v>
      </c>
      <c r="C438" s="171" t="s">
        <v>127</v>
      </c>
      <c r="D438" s="171" t="s">
        <v>128</v>
      </c>
      <c r="E438" s="171" t="s">
        <v>38</v>
      </c>
      <c r="F438" s="171" t="s">
        <v>111</v>
      </c>
      <c r="G438" s="171" t="s">
        <v>112</v>
      </c>
      <c r="H438" s="176">
        <v>1</v>
      </c>
      <c r="I438" s="177">
        <v>1704</v>
      </c>
      <c r="J438" s="175">
        <v>46037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585.71</v>
      </c>
    </row>
    <row r="439" spans="1:16" ht="19.5" customHeight="1">
      <c r="A439" s="171" t="s">
        <v>252</v>
      </c>
      <c r="B439" s="175">
        <v>46039</v>
      </c>
      <c r="C439" s="171" t="s">
        <v>127</v>
      </c>
      <c r="D439" s="171" t="s">
        <v>129</v>
      </c>
      <c r="E439" s="171" t="s">
        <v>38</v>
      </c>
      <c r="F439" s="171" t="s">
        <v>111</v>
      </c>
      <c r="G439" s="171" t="s">
        <v>112</v>
      </c>
      <c r="H439" s="176">
        <v>1</v>
      </c>
      <c r="I439" s="177">
        <v>1704</v>
      </c>
      <c r="J439" s="175">
        <v>46037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5.86</v>
      </c>
    </row>
    <row r="440" spans="1:16" ht="19.5" customHeight="1">
      <c r="A440" s="171" t="s">
        <v>252</v>
      </c>
      <c r="B440" s="175">
        <v>46039</v>
      </c>
      <c r="C440" s="171" t="s">
        <v>127</v>
      </c>
      <c r="D440" s="171" t="s">
        <v>130</v>
      </c>
      <c r="E440" s="171" t="s">
        <v>38</v>
      </c>
      <c r="F440" s="171" t="s">
        <v>111</v>
      </c>
      <c r="G440" s="171" t="s">
        <v>112</v>
      </c>
      <c r="H440" s="176">
        <v>1</v>
      </c>
      <c r="I440" s="177">
        <v>1704</v>
      </c>
      <c r="J440" s="175">
        <v>46037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1112.43</v>
      </c>
    </row>
    <row r="441" spans="1:16" ht="19.5" customHeight="1">
      <c r="A441" s="171" t="s">
        <v>252</v>
      </c>
      <c r="B441" s="175">
        <v>46039</v>
      </c>
      <c r="C441" s="171" t="s">
        <v>131</v>
      </c>
      <c r="D441" s="171" t="s">
        <v>132</v>
      </c>
      <c r="E441" s="171" t="s">
        <v>38</v>
      </c>
      <c r="F441" s="171" t="s">
        <v>111</v>
      </c>
      <c r="G441" s="171" t="s">
        <v>112</v>
      </c>
      <c r="H441" s="176">
        <v>1</v>
      </c>
      <c r="I441" s="177">
        <v>1704</v>
      </c>
      <c r="J441" s="175">
        <v>46037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-732.72</v>
      </c>
    </row>
    <row r="442" spans="1:16" ht="19.5" customHeight="1">
      <c r="A442" s="171" t="s">
        <v>252</v>
      </c>
      <c r="B442" s="175">
        <v>46039</v>
      </c>
      <c r="C442" s="171" t="s">
        <v>115</v>
      </c>
      <c r="D442" s="171" t="s">
        <v>116</v>
      </c>
      <c r="E442" s="171" t="s">
        <v>38</v>
      </c>
      <c r="F442" s="171" t="s">
        <v>111</v>
      </c>
      <c r="G442" s="171" t="s">
        <v>112</v>
      </c>
      <c r="H442" s="176">
        <v>1</v>
      </c>
      <c r="I442" s="177">
        <v>1704</v>
      </c>
      <c r="J442" s="175">
        <v>46037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-9.0500000000000007</v>
      </c>
    </row>
    <row r="443" spans="1:16" ht="19.5" customHeight="1">
      <c r="A443" s="171" t="s">
        <v>253</v>
      </c>
      <c r="B443" s="175">
        <v>46039</v>
      </c>
      <c r="C443" s="171" t="s">
        <v>110</v>
      </c>
      <c r="D443" s="171" t="s">
        <v>24</v>
      </c>
      <c r="E443" s="171" t="s">
        <v>38</v>
      </c>
      <c r="F443" s="171" t="s">
        <v>111</v>
      </c>
      <c r="G443" s="171" t="s">
        <v>112</v>
      </c>
      <c r="H443" s="176">
        <v>1</v>
      </c>
      <c r="I443" s="177">
        <v>1704</v>
      </c>
      <c r="J443" s="175">
        <v>46037</v>
      </c>
      <c r="K443" s="171" t="s">
        <v>113</v>
      </c>
      <c r="L443" s="171" t="s">
        <v>114</v>
      </c>
      <c r="M443" s="178">
        <v>0.43</v>
      </c>
      <c r="N443" s="176"/>
      <c r="O443" s="176">
        <v>43</v>
      </c>
      <c r="P443" s="179">
        <v>-125.95</v>
      </c>
    </row>
    <row r="444" spans="1:16" ht="19.5" customHeight="1">
      <c r="A444" s="171" t="s">
        <v>253</v>
      </c>
      <c r="B444" s="175">
        <v>46039</v>
      </c>
      <c r="C444" s="171" t="s">
        <v>127</v>
      </c>
      <c r="D444" s="171" t="s">
        <v>128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46037</v>
      </c>
      <c r="K444" s="171" t="s">
        <v>113</v>
      </c>
      <c r="L444" s="171" t="s">
        <v>114</v>
      </c>
      <c r="M444" s="178">
        <v>0</v>
      </c>
      <c r="N444" s="176"/>
      <c r="O444" s="176"/>
      <c r="P444" s="179">
        <v>745.71</v>
      </c>
    </row>
    <row r="445" spans="1:16" ht="19.5" customHeight="1">
      <c r="A445" s="171" t="s">
        <v>253</v>
      </c>
      <c r="B445" s="175">
        <v>46039</v>
      </c>
      <c r="C445" s="171" t="s">
        <v>127</v>
      </c>
      <c r="D445" s="171" t="s">
        <v>129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46037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7.46</v>
      </c>
    </row>
    <row r="446" spans="1:16" ht="19.5" customHeight="1">
      <c r="A446" s="171" t="s">
        <v>253</v>
      </c>
      <c r="B446" s="175">
        <v>46039</v>
      </c>
      <c r="C446" s="171" t="s">
        <v>127</v>
      </c>
      <c r="D446" s="171" t="s">
        <v>130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46037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950.83</v>
      </c>
    </row>
    <row r="447" spans="1:16" ht="19.5" customHeight="1">
      <c r="A447" s="171" t="s">
        <v>253</v>
      </c>
      <c r="B447" s="175">
        <v>46039</v>
      </c>
      <c r="C447" s="171" t="s">
        <v>131</v>
      </c>
      <c r="D447" s="171" t="s">
        <v>132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46037</v>
      </c>
      <c r="K447" s="171" t="s">
        <v>113</v>
      </c>
      <c r="L447" s="171" t="s">
        <v>114</v>
      </c>
      <c r="M447" s="178">
        <v>0.43</v>
      </c>
      <c r="N447" s="176"/>
      <c r="O447" s="176"/>
      <c r="P447" s="179">
        <v>-732.72</v>
      </c>
    </row>
    <row r="448" spans="1:16" ht="19.5" customHeight="1">
      <c r="A448" s="171" t="s">
        <v>253</v>
      </c>
      <c r="B448" s="175">
        <v>46039</v>
      </c>
      <c r="C448" s="171" t="s">
        <v>115</v>
      </c>
      <c r="D448" s="171" t="s">
        <v>116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46037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-12.11</v>
      </c>
    </row>
    <row r="449" spans="1:16" ht="19.5" customHeight="1">
      <c r="A449" s="171" t="s">
        <v>253</v>
      </c>
      <c r="B449" s="175">
        <v>46039</v>
      </c>
      <c r="C449" s="171" t="s">
        <v>115</v>
      </c>
      <c r="D449" s="171" t="s">
        <v>135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0</v>
      </c>
      <c r="J449" s="175">
        <v>46037</v>
      </c>
      <c r="K449" s="171" t="s">
        <v>125</v>
      </c>
      <c r="L449" s="171" t="s">
        <v>125</v>
      </c>
      <c r="M449" s="178">
        <v>0</v>
      </c>
      <c r="N449" s="176"/>
      <c r="O449" s="176"/>
      <c r="P449" s="179">
        <v>-14.17</v>
      </c>
    </row>
    <row r="450" spans="1:16" ht="19.5" customHeight="1">
      <c r="A450" s="171" t="s">
        <v>254</v>
      </c>
      <c r="B450" s="175">
        <v>46039</v>
      </c>
      <c r="C450" s="171" t="s">
        <v>110</v>
      </c>
      <c r="D450" s="171" t="s">
        <v>24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1704</v>
      </c>
      <c r="J450" s="175">
        <v>46037</v>
      </c>
      <c r="K450" s="171" t="s">
        <v>113</v>
      </c>
      <c r="L450" s="171" t="s">
        <v>114</v>
      </c>
      <c r="M450" s="178">
        <v>0.43</v>
      </c>
      <c r="N450" s="176"/>
      <c r="O450" s="176">
        <v>43</v>
      </c>
      <c r="P450" s="179">
        <v>-125.95</v>
      </c>
    </row>
    <row r="451" spans="1:16" ht="19.5" customHeight="1">
      <c r="A451" s="171" t="s">
        <v>254</v>
      </c>
      <c r="B451" s="175">
        <v>46039</v>
      </c>
      <c r="C451" s="171" t="s">
        <v>127</v>
      </c>
      <c r="D451" s="171" t="s">
        <v>128</v>
      </c>
      <c r="E451" s="171" t="s">
        <v>38</v>
      </c>
      <c r="F451" s="171" t="s">
        <v>111</v>
      </c>
      <c r="G451" s="171" t="s">
        <v>112</v>
      </c>
      <c r="H451" s="176">
        <v>1</v>
      </c>
      <c r="I451" s="177">
        <v>1704</v>
      </c>
      <c r="J451" s="175">
        <v>46037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585.71</v>
      </c>
    </row>
    <row r="452" spans="1:16" ht="19.5" customHeight="1">
      <c r="A452" s="171" t="s">
        <v>254</v>
      </c>
      <c r="B452" s="175">
        <v>46039</v>
      </c>
      <c r="C452" s="171" t="s">
        <v>127</v>
      </c>
      <c r="D452" s="171" t="s">
        <v>129</v>
      </c>
      <c r="E452" s="171" t="s">
        <v>38</v>
      </c>
      <c r="F452" s="171" t="s">
        <v>111</v>
      </c>
      <c r="G452" s="171" t="s">
        <v>112</v>
      </c>
      <c r="H452" s="176">
        <v>1</v>
      </c>
      <c r="I452" s="177">
        <v>1704</v>
      </c>
      <c r="J452" s="175">
        <v>46037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5.86</v>
      </c>
    </row>
    <row r="453" spans="1:16" ht="19.5" customHeight="1">
      <c r="A453" s="171" t="s">
        <v>254</v>
      </c>
      <c r="B453" s="175">
        <v>46039</v>
      </c>
      <c r="C453" s="171" t="s">
        <v>127</v>
      </c>
      <c r="D453" s="171" t="s">
        <v>130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46037</v>
      </c>
      <c r="K453" s="171" t="s">
        <v>113</v>
      </c>
      <c r="L453" s="171" t="s">
        <v>114</v>
      </c>
      <c r="M453" s="178">
        <v>0</v>
      </c>
      <c r="N453" s="176"/>
      <c r="O453" s="176"/>
      <c r="P453" s="179">
        <v>1112.43</v>
      </c>
    </row>
    <row r="454" spans="1:16" ht="19.5" customHeight="1">
      <c r="A454" s="171" t="s">
        <v>254</v>
      </c>
      <c r="B454" s="175">
        <v>46039</v>
      </c>
      <c r="C454" s="171" t="s">
        <v>131</v>
      </c>
      <c r="D454" s="171" t="s">
        <v>132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46037</v>
      </c>
      <c r="K454" s="171" t="s">
        <v>113</v>
      </c>
      <c r="L454" s="171" t="s">
        <v>114</v>
      </c>
      <c r="M454" s="178">
        <v>0.43</v>
      </c>
      <c r="N454" s="176"/>
      <c r="O454" s="176"/>
      <c r="P454" s="179">
        <v>-732.72</v>
      </c>
    </row>
    <row r="455" spans="1:16" ht="19.5" customHeight="1">
      <c r="A455" s="171" t="s">
        <v>254</v>
      </c>
      <c r="B455" s="175">
        <v>46039</v>
      </c>
      <c r="C455" s="171" t="s">
        <v>115</v>
      </c>
      <c r="D455" s="171" t="s">
        <v>116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46037</v>
      </c>
      <c r="K455" s="171" t="s">
        <v>113</v>
      </c>
      <c r="L455" s="171" t="s">
        <v>114</v>
      </c>
      <c r="M455" s="178">
        <v>0.43</v>
      </c>
      <c r="N455" s="176"/>
      <c r="O455" s="176"/>
      <c r="P455" s="179">
        <v>-14.86</v>
      </c>
    </row>
    <row r="456" spans="1:16" ht="19.5" customHeight="1">
      <c r="A456" s="171" t="s">
        <v>255</v>
      </c>
      <c r="B456" s="175">
        <v>46039</v>
      </c>
      <c r="C456" s="171" t="s">
        <v>110</v>
      </c>
      <c r="D456" s="171" t="s">
        <v>24</v>
      </c>
      <c r="E456" s="171" t="s">
        <v>77</v>
      </c>
      <c r="F456" s="171" t="s">
        <v>194</v>
      </c>
      <c r="G456" s="171" t="s">
        <v>177</v>
      </c>
      <c r="H456" s="176">
        <v>1</v>
      </c>
      <c r="I456" s="177">
        <v>4178</v>
      </c>
      <c r="J456" s="175">
        <v>46036</v>
      </c>
      <c r="K456" s="171" t="s">
        <v>113</v>
      </c>
      <c r="L456" s="171" t="s">
        <v>114</v>
      </c>
      <c r="M456" s="178">
        <v>0.43</v>
      </c>
      <c r="N456" s="176"/>
      <c r="O456" s="176">
        <v>44</v>
      </c>
      <c r="P456" s="179">
        <v>-224.42</v>
      </c>
    </row>
    <row r="457" spans="1:16" ht="19.5" customHeight="1">
      <c r="A457" s="171" t="s">
        <v>255</v>
      </c>
      <c r="B457" s="175">
        <v>46039</v>
      </c>
      <c r="C457" s="171" t="s">
        <v>127</v>
      </c>
      <c r="D457" s="171" t="s">
        <v>128</v>
      </c>
      <c r="E457" s="171" t="s">
        <v>77</v>
      </c>
      <c r="F457" s="171" t="s">
        <v>194</v>
      </c>
      <c r="G457" s="171" t="s">
        <v>177</v>
      </c>
      <c r="H457" s="176">
        <v>1</v>
      </c>
      <c r="I457" s="177">
        <v>4178</v>
      </c>
      <c r="J457" s="175">
        <v>46036</v>
      </c>
      <c r="K457" s="171" t="s">
        <v>113</v>
      </c>
      <c r="L457" s="171" t="s">
        <v>114</v>
      </c>
      <c r="M457" s="178">
        <v>0</v>
      </c>
      <c r="N457" s="176"/>
      <c r="O457" s="176"/>
      <c r="P457" s="179">
        <v>2300</v>
      </c>
    </row>
    <row r="458" spans="1:16" ht="19.5" customHeight="1">
      <c r="A458" s="171" t="s">
        <v>255</v>
      </c>
      <c r="B458" s="175">
        <v>46039</v>
      </c>
      <c r="C458" s="171" t="s">
        <v>127</v>
      </c>
      <c r="D458" s="171" t="s">
        <v>129</v>
      </c>
      <c r="E458" s="171" t="s">
        <v>77</v>
      </c>
      <c r="F458" s="171" t="s">
        <v>194</v>
      </c>
      <c r="G458" s="171" t="s">
        <v>177</v>
      </c>
      <c r="H458" s="176">
        <v>1</v>
      </c>
      <c r="I458" s="177">
        <v>4178</v>
      </c>
      <c r="J458" s="175">
        <v>46036</v>
      </c>
      <c r="K458" s="171" t="s">
        <v>113</v>
      </c>
      <c r="L458" s="171" t="s">
        <v>114</v>
      </c>
      <c r="M458" s="178">
        <v>0</v>
      </c>
      <c r="N458" s="176"/>
      <c r="O458" s="176"/>
      <c r="P458" s="179">
        <v>23</v>
      </c>
    </row>
    <row r="459" spans="1:16" ht="19.5" customHeight="1">
      <c r="A459" s="171" t="s">
        <v>255</v>
      </c>
      <c r="B459" s="175">
        <v>46039</v>
      </c>
      <c r="C459" s="171" t="s">
        <v>127</v>
      </c>
      <c r="D459" s="171" t="s">
        <v>130</v>
      </c>
      <c r="E459" s="171" t="s">
        <v>77</v>
      </c>
      <c r="F459" s="171" t="s">
        <v>194</v>
      </c>
      <c r="G459" s="171" t="s">
        <v>177</v>
      </c>
      <c r="H459" s="176">
        <v>1</v>
      </c>
      <c r="I459" s="177">
        <v>4178</v>
      </c>
      <c r="J459" s="175">
        <v>46036</v>
      </c>
      <c r="K459" s="171" t="s">
        <v>113</v>
      </c>
      <c r="L459" s="171" t="s">
        <v>114</v>
      </c>
      <c r="M459" s="178">
        <v>0</v>
      </c>
      <c r="N459" s="176"/>
      <c r="O459" s="176"/>
      <c r="P459" s="179">
        <v>1855</v>
      </c>
    </row>
    <row r="460" spans="1:16" ht="19.5" customHeight="1">
      <c r="A460" s="171" t="s">
        <v>255</v>
      </c>
      <c r="B460" s="175">
        <v>46039</v>
      </c>
      <c r="C460" s="171" t="s">
        <v>131</v>
      </c>
      <c r="D460" s="171" t="s">
        <v>132</v>
      </c>
      <c r="E460" s="171" t="s">
        <v>77</v>
      </c>
      <c r="F460" s="171" t="s">
        <v>194</v>
      </c>
      <c r="G460" s="171" t="s">
        <v>177</v>
      </c>
      <c r="H460" s="176">
        <v>1</v>
      </c>
      <c r="I460" s="177">
        <v>4178</v>
      </c>
      <c r="J460" s="175">
        <v>46036</v>
      </c>
      <c r="K460" s="171" t="s">
        <v>113</v>
      </c>
      <c r="L460" s="171" t="s">
        <v>114</v>
      </c>
      <c r="M460" s="178">
        <v>0.43</v>
      </c>
      <c r="N460" s="176"/>
      <c r="O460" s="176"/>
      <c r="P460" s="179">
        <v>-1796.54</v>
      </c>
    </row>
    <row r="461" spans="1:16" ht="19.5" customHeight="1">
      <c r="A461" s="171" t="s">
        <v>255</v>
      </c>
      <c r="B461" s="175">
        <v>46039</v>
      </c>
      <c r="C461" s="171" t="s">
        <v>115</v>
      </c>
      <c r="D461" s="171" t="s">
        <v>116</v>
      </c>
      <c r="E461" s="171" t="s">
        <v>77</v>
      </c>
      <c r="F461" s="171" t="s">
        <v>194</v>
      </c>
      <c r="G461" s="171" t="s">
        <v>177</v>
      </c>
      <c r="H461" s="176">
        <v>1</v>
      </c>
      <c r="I461" s="177">
        <v>4178</v>
      </c>
      <c r="J461" s="175">
        <v>46036</v>
      </c>
      <c r="K461" s="171" t="s">
        <v>113</v>
      </c>
      <c r="L461" s="171" t="s">
        <v>114</v>
      </c>
      <c r="M461" s="178">
        <v>0.43</v>
      </c>
      <c r="N461" s="176"/>
      <c r="O461" s="176"/>
      <c r="P461" s="179">
        <v>-16.03</v>
      </c>
    </row>
    <row r="462" spans="1:16" ht="19.5" customHeight="1">
      <c r="A462" s="171" t="s">
        <v>256</v>
      </c>
      <c r="B462" s="175">
        <v>46039</v>
      </c>
      <c r="C462" s="171" t="s">
        <v>115</v>
      </c>
      <c r="D462" s="171" t="s">
        <v>135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0</v>
      </c>
      <c r="J462" s="175">
        <v>46039</v>
      </c>
      <c r="K462" s="171" t="s">
        <v>125</v>
      </c>
      <c r="L462" s="171" t="s">
        <v>125</v>
      </c>
      <c r="M462" s="178">
        <v>0</v>
      </c>
      <c r="N462" s="176"/>
      <c r="O462" s="176"/>
      <c r="P462" s="179">
        <v>-10.91</v>
      </c>
    </row>
    <row r="463" spans="1:16" ht="19.5" customHeight="1">
      <c r="A463" s="171" t="s">
        <v>257</v>
      </c>
      <c r="B463" s="175">
        <v>46039</v>
      </c>
      <c r="C463" s="171" t="s">
        <v>115</v>
      </c>
      <c r="D463" s="171" t="s">
        <v>135</v>
      </c>
      <c r="E463" s="171" t="s">
        <v>44</v>
      </c>
      <c r="F463" s="171" t="s">
        <v>213</v>
      </c>
      <c r="G463" s="171" t="s">
        <v>214</v>
      </c>
      <c r="H463" s="176">
        <v>1</v>
      </c>
      <c r="I463" s="177">
        <v>0</v>
      </c>
      <c r="J463" s="175">
        <v>46039</v>
      </c>
      <c r="K463" s="171" t="s">
        <v>125</v>
      </c>
      <c r="L463" s="171" t="s">
        <v>125</v>
      </c>
      <c r="M463" s="178">
        <v>0</v>
      </c>
      <c r="N463" s="176"/>
      <c r="O463" s="176"/>
      <c r="P463" s="179">
        <v>-11.96</v>
      </c>
    </row>
    <row r="464" spans="1:16" ht="19.5" customHeight="1">
      <c r="A464" s="171" t="s">
        <v>258</v>
      </c>
      <c r="B464" s="175">
        <v>46039</v>
      </c>
      <c r="C464" s="171" t="s">
        <v>110</v>
      </c>
      <c r="D464" s="171" t="s">
        <v>24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1670</v>
      </c>
      <c r="J464" s="175">
        <v>46038</v>
      </c>
      <c r="K464" s="171" t="s">
        <v>113</v>
      </c>
      <c r="L464" s="171" t="s">
        <v>114</v>
      </c>
      <c r="M464" s="178">
        <v>0.43</v>
      </c>
      <c r="N464" s="176"/>
      <c r="O464" s="176">
        <v>48</v>
      </c>
      <c r="P464" s="179">
        <v>-141.87</v>
      </c>
    </row>
    <row r="465" spans="1:16" ht="19.5" customHeight="1">
      <c r="A465" s="171" t="s">
        <v>258</v>
      </c>
      <c r="B465" s="175">
        <v>46039</v>
      </c>
      <c r="C465" s="171" t="s">
        <v>127</v>
      </c>
      <c r="D465" s="171" t="s">
        <v>128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1670</v>
      </c>
      <c r="J465" s="175">
        <v>46038</v>
      </c>
      <c r="K465" s="171" t="s">
        <v>113</v>
      </c>
      <c r="L465" s="171" t="s">
        <v>114</v>
      </c>
      <c r="M465" s="178">
        <v>0</v>
      </c>
      <c r="N465" s="176"/>
      <c r="O465" s="176"/>
      <c r="P465" s="179">
        <v>574.29</v>
      </c>
    </row>
    <row r="466" spans="1:16" ht="19.5" customHeight="1">
      <c r="A466" s="171" t="s">
        <v>258</v>
      </c>
      <c r="B466" s="175">
        <v>46039</v>
      </c>
      <c r="C466" s="171" t="s">
        <v>127</v>
      </c>
      <c r="D466" s="171" t="s">
        <v>129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1670</v>
      </c>
      <c r="J466" s="175">
        <v>46038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5.74</v>
      </c>
    </row>
    <row r="467" spans="1:16" ht="19.5" customHeight="1">
      <c r="A467" s="171" t="s">
        <v>258</v>
      </c>
      <c r="B467" s="175">
        <v>46039</v>
      </c>
      <c r="C467" s="171" t="s">
        <v>127</v>
      </c>
      <c r="D467" s="171" t="s">
        <v>130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1670</v>
      </c>
      <c r="J467" s="175">
        <v>46038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1089.97</v>
      </c>
    </row>
    <row r="468" spans="1:16" ht="19.5" customHeight="1">
      <c r="A468" s="171" t="s">
        <v>258</v>
      </c>
      <c r="B468" s="175">
        <v>46039</v>
      </c>
      <c r="C468" s="171" t="s">
        <v>131</v>
      </c>
      <c r="D468" s="171" t="s">
        <v>132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1670</v>
      </c>
      <c r="J468" s="175">
        <v>46038</v>
      </c>
      <c r="K468" s="171" t="s">
        <v>113</v>
      </c>
      <c r="L468" s="171" t="s">
        <v>114</v>
      </c>
      <c r="M468" s="178">
        <v>0.43</v>
      </c>
      <c r="N468" s="176"/>
      <c r="O468" s="176"/>
      <c r="P468" s="179">
        <v>-718.1</v>
      </c>
    </row>
    <row r="469" spans="1:16" ht="19.5" customHeight="1">
      <c r="A469" s="171" t="s">
        <v>258</v>
      </c>
      <c r="B469" s="175">
        <v>46039</v>
      </c>
      <c r="C469" s="171" t="s">
        <v>115</v>
      </c>
      <c r="D469" s="171" t="s">
        <v>116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1670</v>
      </c>
      <c r="J469" s="175">
        <v>46038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-15.61</v>
      </c>
    </row>
    <row r="470" spans="1:16" ht="19.5" customHeight="1">
      <c r="A470" s="171" t="s">
        <v>259</v>
      </c>
      <c r="B470" s="175">
        <v>46039</v>
      </c>
      <c r="C470" s="171" t="s">
        <v>110</v>
      </c>
      <c r="D470" s="171" t="s">
        <v>24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0</v>
      </c>
      <c r="J470" s="175">
        <v>46036</v>
      </c>
      <c r="K470" s="171" t="s">
        <v>113</v>
      </c>
      <c r="L470" s="171" t="s">
        <v>114</v>
      </c>
      <c r="M470" s="178">
        <v>0</v>
      </c>
      <c r="N470" s="176"/>
      <c r="O470" s="176">
        <v>44</v>
      </c>
      <c r="P470" s="179">
        <v>-46.77</v>
      </c>
    </row>
    <row r="471" spans="1:16" ht="19.5" customHeight="1">
      <c r="A471" s="171" t="s">
        <v>259</v>
      </c>
      <c r="B471" s="175">
        <v>46039</v>
      </c>
      <c r="C471" s="171" t="s">
        <v>115</v>
      </c>
      <c r="D471" s="171" t="s">
        <v>116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46036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-7.8</v>
      </c>
    </row>
    <row r="472" spans="1:16" ht="19.5" customHeight="1">
      <c r="A472" s="171" t="s">
        <v>259</v>
      </c>
      <c r="B472" s="175">
        <v>46039</v>
      </c>
      <c r="C472" s="171" t="s">
        <v>110</v>
      </c>
      <c r="D472" s="171" t="s">
        <v>117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46036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0</v>
      </c>
    </row>
    <row r="473" spans="1:16" ht="19.5" customHeight="1">
      <c r="A473" s="171" t="s">
        <v>259</v>
      </c>
      <c r="B473" s="175">
        <v>46039</v>
      </c>
      <c r="C473" s="171" t="s">
        <v>110</v>
      </c>
      <c r="D473" s="171" t="s">
        <v>118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46036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-46.77</v>
      </c>
    </row>
    <row r="474" spans="1:16" ht="19.5" customHeight="1">
      <c r="A474" s="171" t="s">
        <v>259</v>
      </c>
      <c r="B474" s="175">
        <v>46039</v>
      </c>
      <c r="C474" s="171" t="s">
        <v>115</v>
      </c>
      <c r="D474" s="171" t="s">
        <v>119</v>
      </c>
      <c r="E474" s="171" t="s">
        <v>38</v>
      </c>
      <c r="F474" s="171" t="s">
        <v>111</v>
      </c>
      <c r="G474" s="171" t="s">
        <v>112</v>
      </c>
      <c r="H474" s="176">
        <v>1</v>
      </c>
      <c r="I474" s="177">
        <v>0</v>
      </c>
      <c r="J474" s="175">
        <v>46036</v>
      </c>
      <c r="K474" s="171" t="s">
        <v>113</v>
      </c>
      <c r="L474" s="171" t="s">
        <v>114</v>
      </c>
      <c r="M474" s="178">
        <v>0</v>
      </c>
      <c r="N474" s="176"/>
      <c r="O474" s="176"/>
      <c r="P474" s="179">
        <v>-15</v>
      </c>
    </row>
    <row r="475" spans="1:16" ht="19.5" customHeight="1">
      <c r="A475" s="171" t="s">
        <v>258</v>
      </c>
      <c r="B475" s="175">
        <v>46039</v>
      </c>
      <c r="C475" s="171" t="s">
        <v>115</v>
      </c>
      <c r="D475" s="171" t="s">
        <v>135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46038</v>
      </c>
      <c r="K475" s="171" t="s">
        <v>125</v>
      </c>
      <c r="L475" s="171" t="s">
        <v>125</v>
      </c>
      <c r="M475" s="178">
        <v>0</v>
      </c>
      <c r="N475" s="176"/>
      <c r="O475" s="176"/>
      <c r="P475" s="179">
        <v>-10.91</v>
      </c>
    </row>
    <row r="476" spans="1:16" ht="19.5" customHeight="1">
      <c r="A476" s="171" t="s">
        <v>260</v>
      </c>
      <c r="B476" s="175">
        <v>46039</v>
      </c>
      <c r="C476" s="171" t="s">
        <v>115</v>
      </c>
      <c r="D476" s="171" t="s">
        <v>135</v>
      </c>
      <c r="E476" s="171" t="s">
        <v>78</v>
      </c>
      <c r="F476" s="171" t="s">
        <v>176</v>
      </c>
      <c r="G476" s="171" t="s">
        <v>177</v>
      </c>
      <c r="H476" s="176">
        <v>1</v>
      </c>
      <c r="I476" s="177">
        <v>0</v>
      </c>
      <c r="J476" s="175">
        <v>46039</v>
      </c>
      <c r="K476" s="171" t="s">
        <v>125</v>
      </c>
      <c r="L476" s="171" t="s">
        <v>125</v>
      </c>
      <c r="M476" s="178">
        <v>0</v>
      </c>
      <c r="N476" s="176"/>
      <c r="O476" s="176"/>
      <c r="P476" s="179">
        <v>-36.14</v>
      </c>
    </row>
    <row r="477" spans="1:16" ht="19.5" customHeight="1">
      <c r="A477" s="171" t="s">
        <v>261</v>
      </c>
      <c r="B477" s="175">
        <v>46039</v>
      </c>
      <c r="C477" s="171" t="s">
        <v>115</v>
      </c>
      <c r="D477" s="171" t="s">
        <v>135</v>
      </c>
      <c r="E477" s="171" t="s">
        <v>78</v>
      </c>
      <c r="F477" s="171" t="s">
        <v>176</v>
      </c>
      <c r="G477" s="171" t="s">
        <v>177</v>
      </c>
      <c r="H477" s="176">
        <v>1</v>
      </c>
      <c r="I477" s="177">
        <v>0</v>
      </c>
      <c r="J477" s="175">
        <v>46039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-40.409999999999997</v>
      </c>
    </row>
    <row r="478" spans="1:16" ht="19.5" customHeight="1">
      <c r="A478" s="171" t="s">
        <v>262</v>
      </c>
      <c r="B478" s="175">
        <v>46039</v>
      </c>
      <c r="C478" s="171" t="s">
        <v>110</v>
      </c>
      <c r="D478" s="171" t="s">
        <v>24</v>
      </c>
      <c r="E478" s="171" t="s">
        <v>38</v>
      </c>
      <c r="F478" s="171" t="s">
        <v>111</v>
      </c>
      <c r="G478" s="171" t="s">
        <v>112</v>
      </c>
      <c r="H478" s="176">
        <v>1</v>
      </c>
      <c r="I478" s="177">
        <v>1670</v>
      </c>
      <c r="J478" s="175">
        <v>46038</v>
      </c>
      <c r="K478" s="171" t="s">
        <v>113</v>
      </c>
      <c r="L478" s="171" t="s">
        <v>114</v>
      </c>
      <c r="M478" s="178">
        <v>0.43</v>
      </c>
      <c r="N478" s="176"/>
      <c r="O478" s="176">
        <v>48</v>
      </c>
      <c r="P478" s="179">
        <v>-141.87</v>
      </c>
    </row>
    <row r="479" spans="1:16" ht="19.5" customHeight="1">
      <c r="A479" s="171" t="s">
        <v>262</v>
      </c>
      <c r="B479" s="175">
        <v>46039</v>
      </c>
      <c r="C479" s="171" t="s">
        <v>127</v>
      </c>
      <c r="D479" s="171" t="s">
        <v>128</v>
      </c>
      <c r="E479" s="171" t="s">
        <v>38</v>
      </c>
      <c r="F479" s="171" t="s">
        <v>111</v>
      </c>
      <c r="G479" s="171" t="s">
        <v>112</v>
      </c>
      <c r="H479" s="176">
        <v>1</v>
      </c>
      <c r="I479" s="177">
        <v>1670</v>
      </c>
      <c r="J479" s="175">
        <v>46038</v>
      </c>
      <c r="K479" s="171" t="s">
        <v>113</v>
      </c>
      <c r="L479" s="171" t="s">
        <v>114</v>
      </c>
      <c r="M479" s="178">
        <v>0</v>
      </c>
      <c r="N479" s="176"/>
      <c r="O479" s="176"/>
      <c r="P479" s="179">
        <v>573.74</v>
      </c>
    </row>
    <row r="480" spans="1:16" ht="19.5" customHeight="1">
      <c r="A480" s="171" t="s">
        <v>262</v>
      </c>
      <c r="B480" s="175">
        <v>46039</v>
      </c>
      <c r="C480" s="171" t="s">
        <v>127</v>
      </c>
      <c r="D480" s="171" t="s">
        <v>129</v>
      </c>
      <c r="E480" s="171" t="s">
        <v>38</v>
      </c>
      <c r="F480" s="171" t="s">
        <v>111</v>
      </c>
      <c r="G480" s="171" t="s">
        <v>112</v>
      </c>
      <c r="H480" s="176">
        <v>1</v>
      </c>
      <c r="I480" s="177">
        <v>1670</v>
      </c>
      <c r="J480" s="175">
        <v>46038</v>
      </c>
      <c r="K480" s="171" t="s">
        <v>113</v>
      </c>
      <c r="L480" s="171" t="s">
        <v>114</v>
      </c>
      <c r="M480" s="178">
        <v>0</v>
      </c>
      <c r="N480" s="176"/>
      <c r="O480" s="176"/>
      <c r="P480" s="179">
        <v>5.74</v>
      </c>
    </row>
    <row r="481" spans="1:16" ht="19.5" customHeight="1">
      <c r="A481" s="171" t="s">
        <v>262</v>
      </c>
      <c r="B481" s="175">
        <v>46039</v>
      </c>
      <c r="C481" s="171" t="s">
        <v>127</v>
      </c>
      <c r="D481" s="171" t="s">
        <v>130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1670</v>
      </c>
      <c r="J481" s="175">
        <v>46038</v>
      </c>
      <c r="K481" s="171" t="s">
        <v>113</v>
      </c>
      <c r="L481" s="171" t="s">
        <v>114</v>
      </c>
      <c r="M481" s="178">
        <v>0</v>
      </c>
      <c r="N481" s="176"/>
      <c r="O481" s="176"/>
      <c r="P481" s="179">
        <v>1090.52</v>
      </c>
    </row>
    <row r="482" spans="1:16" ht="19.5" customHeight="1">
      <c r="A482" s="171" t="s">
        <v>262</v>
      </c>
      <c r="B482" s="175">
        <v>46039</v>
      </c>
      <c r="C482" s="171" t="s">
        <v>131</v>
      </c>
      <c r="D482" s="171" t="s">
        <v>132</v>
      </c>
      <c r="E482" s="171" t="s">
        <v>38</v>
      </c>
      <c r="F482" s="171" t="s">
        <v>111</v>
      </c>
      <c r="G482" s="171" t="s">
        <v>112</v>
      </c>
      <c r="H482" s="176">
        <v>1</v>
      </c>
      <c r="I482" s="177">
        <v>1670</v>
      </c>
      <c r="J482" s="175">
        <v>46038</v>
      </c>
      <c r="K482" s="171" t="s">
        <v>113</v>
      </c>
      <c r="L482" s="171" t="s">
        <v>114</v>
      </c>
      <c r="M482" s="178">
        <v>0.43</v>
      </c>
      <c r="N482" s="176"/>
      <c r="O482" s="176"/>
      <c r="P482" s="179">
        <v>-718.1</v>
      </c>
    </row>
    <row r="483" spans="1:16" ht="19.5" customHeight="1">
      <c r="A483" s="171" t="s">
        <v>262</v>
      </c>
      <c r="B483" s="175">
        <v>46039</v>
      </c>
      <c r="C483" s="171" t="s">
        <v>115</v>
      </c>
      <c r="D483" s="171" t="s">
        <v>116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1670</v>
      </c>
      <c r="J483" s="175">
        <v>46038</v>
      </c>
      <c r="K483" s="171" t="s">
        <v>113</v>
      </c>
      <c r="L483" s="171" t="s">
        <v>114</v>
      </c>
      <c r="M483" s="178">
        <v>0.43</v>
      </c>
      <c r="N483" s="176"/>
      <c r="O483" s="176"/>
      <c r="P483" s="179">
        <v>-7.92</v>
      </c>
    </row>
    <row r="484" spans="1:16" ht="19.5" customHeight="1">
      <c r="A484" s="171" t="s">
        <v>262</v>
      </c>
      <c r="B484" s="175">
        <v>46039</v>
      </c>
      <c r="C484" s="171" t="s">
        <v>115</v>
      </c>
      <c r="D484" s="171" t="s">
        <v>135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0</v>
      </c>
      <c r="J484" s="175">
        <v>46038</v>
      </c>
      <c r="K484" s="171" t="s">
        <v>125</v>
      </c>
      <c r="L484" s="171" t="s">
        <v>125</v>
      </c>
      <c r="M484" s="178">
        <v>0</v>
      </c>
      <c r="N484" s="176"/>
      <c r="O484" s="176"/>
      <c r="P484" s="179">
        <v>-10.9</v>
      </c>
    </row>
    <row r="485" spans="1:16" ht="19.5" customHeight="1">
      <c r="A485" s="171" t="s">
        <v>263</v>
      </c>
      <c r="B485" s="175">
        <v>46039</v>
      </c>
      <c r="C485" s="171" t="s">
        <v>110</v>
      </c>
      <c r="D485" s="171" t="s">
        <v>24</v>
      </c>
      <c r="E485" s="171" t="s">
        <v>51</v>
      </c>
      <c r="F485" s="171" t="s">
        <v>227</v>
      </c>
      <c r="G485" s="171" t="s">
        <v>112</v>
      </c>
      <c r="H485" s="176">
        <v>1</v>
      </c>
      <c r="I485" s="177">
        <v>1298</v>
      </c>
      <c r="J485" s="175">
        <v>46034</v>
      </c>
      <c r="K485" s="171" t="s">
        <v>113</v>
      </c>
      <c r="L485" s="171" t="s">
        <v>114</v>
      </c>
      <c r="M485" s="178">
        <v>0.43</v>
      </c>
      <c r="N485" s="176"/>
      <c r="O485" s="176">
        <v>48</v>
      </c>
      <c r="P485" s="179">
        <v>-128.29</v>
      </c>
    </row>
    <row r="486" spans="1:16" ht="19.5" customHeight="1">
      <c r="A486" s="171" t="s">
        <v>263</v>
      </c>
      <c r="B486" s="175">
        <v>46039</v>
      </c>
      <c r="C486" s="171" t="s">
        <v>127</v>
      </c>
      <c r="D486" s="171" t="s">
        <v>128</v>
      </c>
      <c r="E486" s="171" t="s">
        <v>51</v>
      </c>
      <c r="F486" s="171" t="s">
        <v>227</v>
      </c>
      <c r="G486" s="171" t="s">
        <v>112</v>
      </c>
      <c r="H486" s="176">
        <v>1</v>
      </c>
      <c r="I486" s="177">
        <v>1298</v>
      </c>
      <c r="J486" s="175">
        <v>46034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454.29</v>
      </c>
    </row>
    <row r="487" spans="1:16" ht="19.5" customHeight="1">
      <c r="A487" s="171" t="s">
        <v>263</v>
      </c>
      <c r="B487" s="175">
        <v>46039</v>
      </c>
      <c r="C487" s="171" t="s">
        <v>127</v>
      </c>
      <c r="D487" s="171" t="s">
        <v>129</v>
      </c>
      <c r="E487" s="171" t="s">
        <v>51</v>
      </c>
      <c r="F487" s="171" t="s">
        <v>227</v>
      </c>
      <c r="G487" s="171" t="s">
        <v>112</v>
      </c>
      <c r="H487" s="176">
        <v>1</v>
      </c>
      <c r="I487" s="177">
        <v>1298</v>
      </c>
      <c r="J487" s="175">
        <v>46034</v>
      </c>
      <c r="K487" s="171" t="s">
        <v>113</v>
      </c>
      <c r="L487" s="171" t="s">
        <v>114</v>
      </c>
      <c r="M487" s="178">
        <v>0</v>
      </c>
      <c r="N487" s="176"/>
      <c r="O487" s="176"/>
      <c r="P487" s="179">
        <v>4.54</v>
      </c>
    </row>
    <row r="488" spans="1:16" ht="19.5" customHeight="1">
      <c r="A488" s="171" t="s">
        <v>263</v>
      </c>
      <c r="B488" s="175">
        <v>46039</v>
      </c>
      <c r="C488" s="171" t="s">
        <v>127</v>
      </c>
      <c r="D488" s="171" t="s">
        <v>130</v>
      </c>
      <c r="E488" s="171" t="s">
        <v>51</v>
      </c>
      <c r="F488" s="171" t="s">
        <v>227</v>
      </c>
      <c r="G488" s="171" t="s">
        <v>112</v>
      </c>
      <c r="H488" s="176">
        <v>1</v>
      </c>
      <c r="I488" s="177">
        <v>1298</v>
      </c>
      <c r="J488" s="175">
        <v>46034</v>
      </c>
      <c r="K488" s="171" t="s">
        <v>113</v>
      </c>
      <c r="L488" s="171" t="s">
        <v>114</v>
      </c>
      <c r="M488" s="178">
        <v>0</v>
      </c>
      <c r="N488" s="176"/>
      <c r="O488" s="176"/>
      <c r="P488" s="179">
        <v>839.17</v>
      </c>
    </row>
    <row r="489" spans="1:16" ht="19.5" customHeight="1">
      <c r="A489" s="171" t="s">
        <v>263</v>
      </c>
      <c r="B489" s="175">
        <v>46039</v>
      </c>
      <c r="C489" s="171" t="s">
        <v>131</v>
      </c>
      <c r="D489" s="171" t="s">
        <v>132</v>
      </c>
      <c r="E489" s="171" t="s">
        <v>51</v>
      </c>
      <c r="F489" s="171" t="s">
        <v>227</v>
      </c>
      <c r="G489" s="171" t="s">
        <v>112</v>
      </c>
      <c r="H489" s="176">
        <v>1</v>
      </c>
      <c r="I489" s="177">
        <v>1298</v>
      </c>
      <c r="J489" s="175">
        <v>46034</v>
      </c>
      <c r="K489" s="171" t="s">
        <v>113</v>
      </c>
      <c r="L489" s="171" t="s">
        <v>114</v>
      </c>
      <c r="M489" s="178">
        <v>0.43</v>
      </c>
      <c r="N489" s="176"/>
      <c r="O489" s="176"/>
      <c r="P489" s="179">
        <v>-558.14</v>
      </c>
    </row>
    <row r="490" spans="1:16" ht="19.5" customHeight="1">
      <c r="A490" s="171" t="s">
        <v>263</v>
      </c>
      <c r="B490" s="175">
        <v>46039</v>
      </c>
      <c r="C490" s="171" t="s">
        <v>115</v>
      </c>
      <c r="D490" s="171" t="s">
        <v>116</v>
      </c>
      <c r="E490" s="171" t="s">
        <v>51</v>
      </c>
      <c r="F490" s="171" t="s">
        <v>227</v>
      </c>
      <c r="G490" s="171" t="s">
        <v>112</v>
      </c>
      <c r="H490" s="176">
        <v>1</v>
      </c>
      <c r="I490" s="177">
        <v>1298</v>
      </c>
      <c r="J490" s="175">
        <v>46034</v>
      </c>
      <c r="K490" s="171" t="s">
        <v>113</v>
      </c>
      <c r="L490" s="171" t="s">
        <v>114</v>
      </c>
      <c r="M490" s="178">
        <v>0.43</v>
      </c>
      <c r="N490" s="176"/>
      <c r="O490" s="176"/>
      <c r="P490" s="179">
        <v>-6.05</v>
      </c>
    </row>
    <row r="491" spans="1:16" ht="19.5" customHeight="1">
      <c r="A491" s="171" t="s">
        <v>264</v>
      </c>
      <c r="B491" s="175">
        <v>46039</v>
      </c>
      <c r="C491" s="171" t="s">
        <v>110</v>
      </c>
      <c r="D491" s="171" t="s">
        <v>24</v>
      </c>
      <c r="E491" s="171" t="s">
        <v>38</v>
      </c>
      <c r="F491" s="171" t="s">
        <v>111</v>
      </c>
      <c r="G491" s="171" t="s">
        <v>112</v>
      </c>
      <c r="H491" s="176">
        <v>1</v>
      </c>
      <c r="I491" s="177">
        <v>0</v>
      </c>
      <c r="J491" s="175">
        <v>46026</v>
      </c>
      <c r="K491" s="171" t="s">
        <v>113</v>
      </c>
      <c r="L491" s="171" t="s">
        <v>114</v>
      </c>
      <c r="M491" s="178">
        <v>0</v>
      </c>
      <c r="N491" s="176"/>
      <c r="O491" s="176">
        <v>37</v>
      </c>
      <c r="P491" s="179">
        <v>-46.77</v>
      </c>
    </row>
    <row r="492" spans="1:16" ht="19.5" customHeight="1">
      <c r="A492" s="171" t="s">
        <v>264</v>
      </c>
      <c r="B492" s="175">
        <v>46039</v>
      </c>
      <c r="C492" s="171" t="s">
        <v>115</v>
      </c>
      <c r="D492" s="171" t="s">
        <v>116</v>
      </c>
      <c r="E492" s="171" t="s">
        <v>38</v>
      </c>
      <c r="F492" s="171" t="s">
        <v>111</v>
      </c>
      <c r="G492" s="171" t="s">
        <v>112</v>
      </c>
      <c r="H492" s="176">
        <v>1</v>
      </c>
      <c r="I492" s="177">
        <v>0</v>
      </c>
      <c r="J492" s="175">
        <v>46026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-18.3</v>
      </c>
    </row>
    <row r="493" spans="1:16" ht="19.5" customHeight="1">
      <c r="A493" s="171" t="s">
        <v>263</v>
      </c>
      <c r="B493" s="175">
        <v>46039</v>
      </c>
      <c r="C493" s="171" t="s">
        <v>115</v>
      </c>
      <c r="D493" s="171" t="s">
        <v>135</v>
      </c>
      <c r="E493" s="171" t="s">
        <v>51</v>
      </c>
      <c r="F493" s="171" t="s">
        <v>227</v>
      </c>
      <c r="G493" s="171" t="s">
        <v>112</v>
      </c>
      <c r="H493" s="176">
        <v>1</v>
      </c>
      <c r="I493" s="177">
        <v>0</v>
      </c>
      <c r="J493" s="175">
        <v>46034</v>
      </c>
      <c r="K493" s="171" t="s">
        <v>125</v>
      </c>
      <c r="L493" s="171" t="s">
        <v>125</v>
      </c>
      <c r="M493" s="178">
        <v>0</v>
      </c>
      <c r="N493" s="176"/>
      <c r="O493" s="176"/>
      <c r="P493" s="179">
        <v>-8.6300000000000008</v>
      </c>
    </row>
    <row r="494" spans="1:16" ht="19.5" customHeight="1">
      <c r="A494" s="171" t="s">
        <v>264</v>
      </c>
      <c r="B494" s="175">
        <v>46039</v>
      </c>
      <c r="C494" s="171" t="s">
        <v>110</v>
      </c>
      <c r="D494" s="171" t="s">
        <v>117</v>
      </c>
      <c r="E494" s="171" t="s">
        <v>38</v>
      </c>
      <c r="F494" s="171" t="s">
        <v>111</v>
      </c>
      <c r="G494" s="171" t="s">
        <v>112</v>
      </c>
      <c r="H494" s="176">
        <v>1</v>
      </c>
      <c r="I494" s="177">
        <v>0</v>
      </c>
      <c r="J494" s="175">
        <v>46026</v>
      </c>
      <c r="K494" s="171" t="s">
        <v>113</v>
      </c>
      <c r="L494" s="171" t="s">
        <v>114</v>
      </c>
      <c r="M494" s="178">
        <v>0</v>
      </c>
      <c r="N494" s="176"/>
      <c r="O494" s="176"/>
      <c r="P494" s="179">
        <v>0</v>
      </c>
    </row>
    <row r="495" spans="1:16" ht="19.5" customHeight="1">
      <c r="A495" s="171" t="s">
        <v>264</v>
      </c>
      <c r="B495" s="175">
        <v>46039</v>
      </c>
      <c r="C495" s="171" t="s">
        <v>110</v>
      </c>
      <c r="D495" s="171" t="s">
        <v>118</v>
      </c>
      <c r="E495" s="171" t="s">
        <v>38</v>
      </c>
      <c r="F495" s="171" t="s">
        <v>111</v>
      </c>
      <c r="G495" s="171" t="s">
        <v>112</v>
      </c>
      <c r="H495" s="176">
        <v>1</v>
      </c>
      <c r="I495" s="177">
        <v>0</v>
      </c>
      <c r="J495" s="175">
        <v>46026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-46.77</v>
      </c>
    </row>
    <row r="496" spans="1:16" ht="19.5" customHeight="1">
      <c r="A496" s="171" t="s">
        <v>264</v>
      </c>
      <c r="B496" s="175">
        <v>46039</v>
      </c>
      <c r="C496" s="171" t="s">
        <v>115</v>
      </c>
      <c r="D496" s="171" t="s">
        <v>119</v>
      </c>
      <c r="E496" s="171" t="s">
        <v>38</v>
      </c>
      <c r="F496" s="171" t="s">
        <v>111</v>
      </c>
      <c r="G496" s="171" t="s">
        <v>112</v>
      </c>
      <c r="H496" s="176">
        <v>1</v>
      </c>
      <c r="I496" s="177">
        <v>0</v>
      </c>
      <c r="J496" s="175">
        <v>46026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-15</v>
      </c>
    </row>
    <row r="497" spans="1:16" ht="19.5" customHeight="1">
      <c r="A497" s="171" t="s">
        <v>265</v>
      </c>
      <c r="B497" s="175">
        <v>46039</v>
      </c>
      <c r="C497" s="171" t="s">
        <v>115</v>
      </c>
      <c r="D497" s="171" t="s">
        <v>135</v>
      </c>
      <c r="E497" s="171" t="s">
        <v>38</v>
      </c>
      <c r="F497" s="171" t="s">
        <v>111</v>
      </c>
      <c r="G497" s="171" t="s">
        <v>112</v>
      </c>
      <c r="H497" s="176">
        <v>1</v>
      </c>
      <c r="I497" s="177">
        <v>0</v>
      </c>
      <c r="J497" s="175">
        <v>46039</v>
      </c>
      <c r="K497" s="171" t="s">
        <v>125</v>
      </c>
      <c r="L497" s="171" t="s">
        <v>125</v>
      </c>
      <c r="M497" s="178">
        <v>0</v>
      </c>
      <c r="N497" s="176"/>
      <c r="O497" s="176"/>
      <c r="P497" s="179">
        <v>-3.37</v>
      </c>
    </row>
    <row r="498" spans="1:16" ht="19.5" customHeight="1">
      <c r="A498" s="171" t="s">
        <v>266</v>
      </c>
      <c r="B498" s="175">
        <v>46039</v>
      </c>
      <c r="C498" s="171" t="s">
        <v>110</v>
      </c>
      <c r="D498" s="171" t="s">
        <v>24</v>
      </c>
      <c r="E498" s="171" t="s">
        <v>39</v>
      </c>
      <c r="F498" s="171" t="s">
        <v>141</v>
      </c>
      <c r="G498" s="171" t="s">
        <v>112</v>
      </c>
      <c r="H498" s="176">
        <v>1</v>
      </c>
      <c r="I498" s="177">
        <v>1634</v>
      </c>
      <c r="J498" s="175">
        <v>46038</v>
      </c>
      <c r="K498" s="171" t="s">
        <v>113</v>
      </c>
      <c r="L498" s="171" t="s">
        <v>114</v>
      </c>
      <c r="M498" s="178">
        <v>0.43</v>
      </c>
      <c r="N498" s="176"/>
      <c r="O498" s="176">
        <v>48</v>
      </c>
      <c r="P498" s="179">
        <v>-140.55000000000001</v>
      </c>
    </row>
    <row r="499" spans="1:16" ht="19.5" customHeight="1">
      <c r="A499" s="171" t="s">
        <v>266</v>
      </c>
      <c r="B499" s="175">
        <v>46039</v>
      </c>
      <c r="C499" s="171" t="s">
        <v>127</v>
      </c>
      <c r="D499" s="171" t="s">
        <v>128</v>
      </c>
      <c r="E499" s="171" t="s">
        <v>39</v>
      </c>
      <c r="F499" s="171" t="s">
        <v>141</v>
      </c>
      <c r="G499" s="171" t="s">
        <v>112</v>
      </c>
      <c r="H499" s="176">
        <v>1</v>
      </c>
      <c r="I499" s="177">
        <v>1634</v>
      </c>
      <c r="J499" s="175">
        <v>46038</v>
      </c>
      <c r="K499" s="171" t="s">
        <v>113</v>
      </c>
      <c r="L499" s="171" t="s">
        <v>114</v>
      </c>
      <c r="M499" s="178">
        <v>0</v>
      </c>
      <c r="N499" s="176"/>
      <c r="O499" s="176"/>
      <c r="P499" s="179">
        <v>619.91</v>
      </c>
    </row>
    <row r="500" spans="1:16" ht="19.5" customHeight="1">
      <c r="A500" s="171" t="s">
        <v>266</v>
      </c>
      <c r="B500" s="175">
        <v>46039</v>
      </c>
      <c r="C500" s="171" t="s">
        <v>127</v>
      </c>
      <c r="D500" s="171" t="s">
        <v>129</v>
      </c>
      <c r="E500" s="171" t="s">
        <v>39</v>
      </c>
      <c r="F500" s="171" t="s">
        <v>141</v>
      </c>
      <c r="G500" s="171" t="s">
        <v>112</v>
      </c>
      <c r="H500" s="176">
        <v>1</v>
      </c>
      <c r="I500" s="177">
        <v>1634</v>
      </c>
      <c r="J500" s="175">
        <v>46038</v>
      </c>
      <c r="K500" s="171" t="s">
        <v>113</v>
      </c>
      <c r="L500" s="171" t="s">
        <v>114</v>
      </c>
      <c r="M500" s="178">
        <v>0</v>
      </c>
      <c r="N500" s="176"/>
      <c r="O500" s="176"/>
      <c r="P500" s="179">
        <v>0</v>
      </c>
    </row>
    <row r="501" spans="1:16" ht="19.5" customHeight="1">
      <c r="A501" s="171" t="s">
        <v>266</v>
      </c>
      <c r="B501" s="175">
        <v>46039</v>
      </c>
      <c r="C501" s="171" t="s">
        <v>127</v>
      </c>
      <c r="D501" s="171" t="s">
        <v>130</v>
      </c>
      <c r="E501" s="171" t="s">
        <v>39</v>
      </c>
      <c r="F501" s="171" t="s">
        <v>141</v>
      </c>
      <c r="G501" s="171" t="s">
        <v>112</v>
      </c>
      <c r="H501" s="176">
        <v>1</v>
      </c>
      <c r="I501" s="177">
        <v>1634</v>
      </c>
      <c r="J501" s="175">
        <v>46038</v>
      </c>
      <c r="K501" s="171" t="s">
        <v>113</v>
      </c>
      <c r="L501" s="171" t="s">
        <v>114</v>
      </c>
      <c r="M501" s="178">
        <v>0</v>
      </c>
      <c r="N501" s="176"/>
      <c r="O501" s="176"/>
      <c r="P501" s="179">
        <v>1014.09</v>
      </c>
    </row>
    <row r="502" spans="1:16" ht="19.5" customHeight="1">
      <c r="A502" s="171" t="s">
        <v>266</v>
      </c>
      <c r="B502" s="175">
        <v>46039</v>
      </c>
      <c r="C502" s="171" t="s">
        <v>131</v>
      </c>
      <c r="D502" s="171" t="s">
        <v>132</v>
      </c>
      <c r="E502" s="171" t="s">
        <v>39</v>
      </c>
      <c r="F502" s="171" t="s">
        <v>141</v>
      </c>
      <c r="G502" s="171" t="s">
        <v>112</v>
      </c>
      <c r="H502" s="176">
        <v>1</v>
      </c>
      <c r="I502" s="177">
        <v>1634</v>
      </c>
      <c r="J502" s="175">
        <v>46038</v>
      </c>
      <c r="K502" s="171" t="s">
        <v>113</v>
      </c>
      <c r="L502" s="171" t="s">
        <v>114</v>
      </c>
      <c r="M502" s="178">
        <v>0.43</v>
      </c>
      <c r="N502" s="176"/>
      <c r="O502" s="176"/>
      <c r="P502" s="179">
        <v>-702.62</v>
      </c>
    </row>
    <row r="503" spans="1:16" ht="19.5" customHeight="1">
      <c r="A503" s="171" t="s">
        <v>266</v>
      </c>
      <c r="B503" s="175">
        <v>46039</v>
      </c>
      <c r="C503" s="171" t="s">
        <v>115</v>
      </c>
      <c r="D503" s="171" t="s">
        <v>116</v>
      </c>
      <c r="E503" s="171" t="s">
        <v>39</v>
      </c>
      <c r="F503" s="171" t="s">
        <v>141</v>
      </c>
      <c r="G503" s="171" t="s">
        <v>112</v>
      </c>
      <c r="H503" s="176">
        <v>1</v>
      </c>
      <c r="I503" s="177">
        <v>1634</v>
      </c>
      <c r="J503" s="175">
        <v>46038</v>
      </c>
      <c r="K503" s="171" t="s">
        <v>113</v>
      </c>
      <c r="L503" s="171" t="s">
        <v>114</v>
      </c>
      <c r="M503" s="178">
        <v>0.43</v>
      </c>
      <c r="N503" s="176"/>
      <c r="O503" s="176"/>
      <c r="P503" s="179">
        <v>-9.59</v>
      </c>
    </row>
    <row r="504" spans="1:16" ht="19.5" customHeight="1">
      <c r="A504" s="171" t="s">
        <v>267</v>
      </c>
      <c r="B504" s="175">
        <v>46039</v>
      </c>
      <c r="C504" s="171" t="s">
        <v>115</v>
      </c>
      <c r="D504" s="171" t="s">
        <v>135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0</v>
      </c>
      <c r="J504" s="175">
        <v>46039</v>
      </c>
      <c r="K504" s="171" t="s">
        <v>125</v>
      </c>
      <c r="L504" s="171" t="s">
        <v>125</v>
      </c>
      <c r="M504" s="178">
        <v>0</v>
      </c>
      <c r="N504" s="176"/>
      <c r="O504" s="176"/>
      <c r="P504" s="179">
        <v>-3.37</v>
      </c>
    </row>
    <row r="505" spans="1:16" ht="19.5" customHeight="1">
      <c r="A505" s="171" t="s">
        <v>268</v>
      </c>
      <c r="B505" s="175">
        <v>46039</v>
      </c>
      <c r="C505" s="171" t="s">
        <v>110</v>
      </c>
      <c r="D505" s="171" t="s">
        <v>24</v>
      </c>
      <c r="E505" s="171" t="s">
        <v>77</v>
      </c>
      <c r="F505" s="171" t="s">
        <v>194</v>
      </c>
      <c r="G505" s="171" t="s">
        <v>177</v>
      </c>
      <c r="H505" s="176">
        <v>1</v>
      </c>
      <c r="I505" s="177">
        <v>4178</v>
      </c>
      <c r="J505" s="175">
        <v>46037</v>
      </c>
      <c r="K505" s="171" t="s">
        <v>113</v>
      </c>
      <c r="L505" s="171" t="s">
        <v>114</v>
      </c>
      <c r="M505" s="178">
        <v>0.43</v>
      </c>
      <c r="N505" s="176"/>
      <c r="O505" s="176">
        <v>43</v>
      </c>
      <c r="P505" s="179">
        <v>-216.44</v>
      </c>
    </row>
    <row r="506" spans="1:16" ht="19.5" customHeight="1">
      <c r="A506" s="171" t="s">
        <v>268</v>
      </c>
      <c r="B506" s="175">
        <v>46039</v>
      </c>
      <c r="C506" s="171" t="s">
        <v>127</v>
      </c>
      <c r="D506" s="171" t="s">
        <v>128</v>
      </c>
      <c r="E506" s="171" t="s">
        <v>77</v>
      </c>
      <c r="F506" s="171" t="s">
        <v>194</v>
      </c>
      <c r="G506" s="171" t="s">
        <v>177</v>
      </c>
      <c r="H506" s="176">
        <v>1</v>
      </c>
      <c r="I506" s="177">
        <v>4178</v>
      </c>
      <c r="J506" s="175">
        <v>46037</v>
      </c>
      <c r="K506" s="171" t="s">
        <v>113</v>
      </c>
      <c r="L506" s="171" t="s">
        <v>114</v>
      </c>
      <c r="M506" s="178">
        <v>0</v>
      </c>
      <c r="N506" s="176"/>
      <c r="O506" s="176"/>
      <c r="P506" s="179">
        <v>2481.94</v>
      </c>
    </row>
    <row r="507" spans="1:16" ht="19.5" customHeight="1">
      <c r="A507" s="171" t="s">
        <v>268</v>
      </c>
      <c r="B507" s="175">
        <v>46039</v>
      </c>
      <c r="C507" s="171" t="s">
        <v>127</v>
      </c>
      <c r="D507" s="171" t="s">
        <v>129</v>
      </c>
      <c r="E507" s="171" t="s">
        <v>77</v>
      </c>
      <c r="F507" s="171" t="s">
        <v>194</v>
      </c>
      <c r="G507" s="171" t="s">
        <v>177</v>
      </c>
      <c r="H507" s="176">
        <v>1</v>
      </c>
      <c r="I507" s="177">
        <v>4178</v>
      </c>
      <c r="J507" s="175">
        <v>46037</v>
      </c>
      <c r="K507" s="171" t="s">
        <v>113</v>
      </c>
      <c r="L507" s="171" t="s">
        <v>114</v>
      </c>
      <c r="M507" s="178">
        <v>0</v>
      </c>
      <c r="N507" s="176"/>
      <c r="O507" s="176"/>
      <c r="P507" s="179">
        <v>24.82</v>
      </c>
    </row>
    <row r="508" spans="1:16" ht="19.5" customHeight="1">
      <c r="A508" s="171" t="s">
        <v>268</v>
      </c>
      <c r="B508" s="175">
        <v>46039</v>
      </c>
      <c r="C508" s="171" t="s">
        <v>127</v>
      </c>
      <c r="D508" s="171" t="s">
        <v>130</v>
      </c>
      <c r="E508" s="171" t="s">
        <v>77</v>
      </c>
      <c r="F508" s="171" t="s">
        <v>194</v>
      </c>
      <c r="G508" s="171" t="s">
        <v>177</v>
      </c>
      <c r="H508" s="176">
        <v>1</v>
      </c>
      <c r="I508" s="177">
        <v>4178</v>
      </c>
      <c r="J508" s="175">
        <v>46037</v>
      </c>
      <c r="K508" s="171" t="s">
        <v>113</v>
      </c>
      <c r="L508" s="171" t="s">
        <v>114</v>
      </c>
      <c r="M508" s="178">
        <v>0</v>
      </c>
      <c r="N508" s="176"/>
      <c r="O508" s="176"/>
      <c r="P508" s="179">
        <v>1671.24</v>
      </c>
    </row>
    <row r="509" spans="1:16" ht="19.5" customHeight="1">
      <c r="A509" s="171" t="s">
        <v>268</v>
      </c>
      <c r="B509" s="175">
        <v>46039</v>
      </c>
      <c r="C509" s="171" t="s">
        <v>131</v>
      </c>
      <c r="D509" s="171" t="s">
        <v>132</v>
      </c>
      <c r="E509" s="171" t="s">
        <v>77</v>
      </c>
      <c r="F509" s="171" t="s">
        <v>194</v>
      </c>
      <c r="G509" s="171" t="s">
        <v>177</v>
      </c>
      <c r="H509" s="176">
        <v>1</v>
      </c>
      <c r="I509" s="177">
        <v>4178</v>
      </c>
      <c r="J509" s="175">
        <v>46037</v>
      </c>
      <c r="K509" s="171" t="s">
        <v>113</v>
      </c>
      <c r="L509" s="171" t="s">
        <v>114</v>
      </c>
      <c r="M509" s="178">
        <v>0.43</v>
      </c>
      <c r="N509" s="176"/>
      <c r="O509" s="176"/>
      <c r="P509" s="179">
        <v>-1796.54</v>
      </c>
    </row>
    <row r="510" spans="1:16" ht="19.5" customHeight="1">
      <c r="A510" s="171" t="s">
        <v>268</v>
      </c>
      <c r="B510" s="175">
        <v>46039</v>
      </c>
      <c r="C510" s="171" t="s">
        <v>115</v>
      </c>
      <c r="D510" s="171" t="s">
        <v>116</v>
      </c>
      <c r="E510" s="171" t="s">
        <v>77</v>
      </c>
      <c r="F510" s="171" t="s">
        <v>194</v>
      </c>
      <c r="G510" s="171" t="s">
        <v>177</v>
      </c>
      <c r="H510" s="176">
        <v>1</v>
      </c>
      <c r="I510" s="177">
        <v>4178</v>
      </c>
      <c r="J510" s="175">
        <v>46037</v>
      </c>
      <c r="K510" s="171" t="s">
        <v>113</v>
      </c>
      <c r="L510" s="171" t="s">
        <v>114</v>
      </c>
      <c r="M510" s="178">
        <v>0.43</v>
      </c>
      <c r="N510" s="176"/>
      <c r="O510" s="176"/>
      <c r="P510" s="179">
        <v>-13.01</v>
      </c>
    </row>
    <row r="511" spans="1:16" ht="19.5" customHeight="1">
      <c r="A511" s="171" t="s">
        <v>269</v>
      </c>
      <c r="B511" s="175">
        <v>46039</v>
      </c>
      <c r="C511" s="171" t="s">
        <v>110</v>
      </c>
      <c r="D511" s="171" t="s">
        <v>117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46029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0</v>
      </c>
    </row>
    <row r="512" spans="1:16" ht="19.5" customHeight="1">
      <c r="A512" s="171" t="s">
        <v>269</v>
      </c>
      <c r="B512" s="175">
        <v>46039</v>
      </c>
      <c r="C512" s="171" t="s">
        <v>110</v>
      </c>
      <c r="D512" s="171" t="s">
        <v>118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46029</v>
      </c>
      <c r="K512" s="171" t="s">
        <v>113</v>
      </c>
      <c r="L512" s="171" t="s">
        <v>114</v>
      </c>
      <c r="M512" s="178">
        <v>0</v>
      </c>
      <c r="N512" s="176"/>
      <c r="O512" s="176"/>
      <c r="P512" s="179">
        <v>-46</v>
      </c>
    </row>
    <row r="513" spans="1:16" ht="19.5" customHeight="1">
      <c r="A513" s="171" t="s">
        <v>269</v>
      </c>
      <c r="B513" s="175">
        <v>46039</v>
      </c>
      <c r="C513" s="171" t="s">
        <v>115</v>
      </c>
      <c r="D513" s="171" t="s">
        <v>119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46029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-15</v>
      </c>
    </row>
    <row r="514" spans="1:16" ht="19.5" customHeight="1">
      <c r="A514" s="171" t="s">
        <v>269</v>
      </c>
      <c r="B514" s="175">
        <v>46039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0</v>
      </c>
      <c r="J514" s="175">
        <v>46029</v>
      </c>
      <c r="K514" s="171" t="s">
        <v>113</v>
      </c>
      <c r="L514" s="171" t="s">
        <v>114</v>
      </c>
      <c r="M514" s="178">
        <v>0</v>
      </c>
      <c r="N514" s="176"/>
      <c r="O514" s="176">
        <v>46</v>
      </c>
      <c r="P514" s="179">
        <v>-46</v>
      </c>
    </row>
    <row r="515" spans="1:16" ht="19.5" customHeight="1">
      <c r="A515" s="171" t="s">
        <v>269</v>
      </c>
      <c r="B515" s="175">
        <v>46039</v>
      </c>
      <c r="C515" s="171" t="s">
        <v>115</v>
      </c>
      <c r="D515" s="171" t="s">
        <v>116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0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-9.06</v>
      </c>
    </row>
    <row r="516" spans="1:16" ht="19.5" customHeight="1">
      <c r="A516" s="171" t="s">
        <v>268</v>
      </c>
      <c r="B516" s="175">
        <v>46039</v>
      </c>
      <c r="C516" s="171" t="s">
        <v>115</v>
      </c>
      <c r="D516" s="171" t="s">
        <v>135</v>
      </c>
      <c r="E516" s="171" t="s">
        <v>77</v>
      </c>
      <c r="F516" s="171" t="s">
        <v>194</v>
      </c>
      <c r="G516" s="171" t="s">
        <v>177</v>
      </c>
      <c r="H516" s="176">
        <v>1</v>
      </c>
      <c r="I516" s="177">
        <v>0</v>
      </c>
      <c r="J516" s="175">
        <v>46037</v>
      </c>
      <c r="K516" s="171" t="s">
        <v>125</v>
      </c>
      <c r="L516" s="171" t="s">
        <v>125</v>
      </c>
      <c r="M516" s="178">
        <v>0</v>
      </c>
      <c r="N516" s="176"/>
      <c r="O516" s="176"/>
      <c r="P516" s="179">
        <v>-47.16</v>
      </c>
    </row>
    <row r="517" spans="1:16" ht="19.5" customHeight="1">
      <c r="A517" s="171" t="s">
        <v>270</v>
      </c>
      <c r="B517" s="175">
        <v>46039</v>
      </c>
      <c r="C517" s="171" t="s">
        <v>115</v>
      </c>
      <c r="D517" s="171" t="s">
        <v>135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0</v>
      </c>
      <c r="J517" s="175">
        <v>46039</v>
      </c>
      <c r="K517" s="171" t="s">
        <v>125</v>
      </c>
      <c r="L517" s="171" t="s">
        <v>125</v>
      </c>
      <c r="M517" s="178">
        <v>0</v>
      </c>
      <c r="N517" s="176"/>
      <c r="O517" s="176"/>
      <c r="P517" s="179">
        <v>-4.84</v>
      </c>
    </row>
    <row r="518" spans="1:16" ht="19.5" customHeight="1">
      <c r="A518" s="171" t="s">
        <v>150</v>
      </c>
      <c r="B518" s="175">
        <v>46039</v>
      </c>
      <c r="C518" s="171" t="s">
        <v>151</v>
      </c>
      <c r="D518" s="171" t="s">
        <v>152</v>
      </c>
      <c r="E518" s="171" t="s">
        <v>125</v>
      </c>
      <c r="F518" s="171" t="s">
        <v>125</v>
      </c>
      <c r="G518" s="171" t="s">
        <v>125</v>
      </c>
      <c r="H518" s="176">
        <v>0</v>
      </c>
      <c r="I518" s="177">
        <v>0</v>
      </c>
      <c r="J518" s="175">
        <v>46039</v>
      </c>
      <c r="K518" s="171" t="s">
        <v>125</v>
      </c>
      <c r="L518" s="171" t="s">
        <v>125</v>
      </c>
      <c r="M518" s="178">
        <v>0</v>
      </c>
      <c r="N518" s="176"/>
      <c r="O518" s="176"/>
      <c r="P518" s="179">
        <v>-1288.56</v>
      </c>
    </row>
    <row r="519" spans="1:16" ht="19.5" customHeight="1">
      <c r="A519" s="171" t="s">
        <v>179</v>
      </c>
      <c r="B519" s="175">
        <v>46039</v>
      </c>
      <c r="C519" s="171" t="s">
        <v>151</v>
      </c>
      <c r="D519" s="171" t="s">
        <v>152</v>
      </c>
      <c r="E519" s="171" t="s">
        <v>125</v>
      </c>
      <c r="F519" s="171" t="s">
        <v>125</v>
      </c>
      <c r="G519" s="171" t="s">
        <v>125</v>
      </c>
      <c r="H519" s="176">
        <v>0</v>
      </c>
      <c r="I519" s="177">
        <v>0</v>
      </c>
      <c r="J519" s="175">
        <v>46039</v>
      </c>
      <c r="K519" s="171" t="s">
        <v>125</v>
      </c>
      <c r="L519" s="171" t="s">
        <v>125</v>
      </c>
      <c r="M519" s="178">
        <v>0</v>
      </c>
      <c r="N519" s="176"/>
      <c r="O519" s="176"/>
      <c r="P519" s="179">
        <v>-298.86</v>
      </c>
    </row>
    <row r="520" spans="1:16" ht="19.5" customHeight="1">
      <c r="A520" s="171" t="s">
        <v>180</v>
      </c>
      <c r="B520" s="175">
        <v>46039</v>
      </c>
      <c r="C520" s="171" t="s">
        <v>151</v>
      </c>
      <c r="D520" s="171" t="s">
        <v>152</v>
      </c>
      <c r="E520" s="171" t="s">
        <v>125</v>
      </c>
      <c r="F520" s="171" t="s">
        <v>125</v>
      </c>
      <c r="G520" s="171" t="s">
        <v>125</v>
      </c>
      <c r="H520" s="176">
        <v>0</v>
      </c>
      <c r="I520" s="177">
        <v>0</v>
      </c>
      <c r="J520" s="175">
        <v>46039</v>
      </c>
      <c r="K520" s="171" t="s">
        <v>125</v>
      </c>
      <c r="L520" s="171" t="s">
        <v>125</v>
      </c>
      <c r="M520" s="178">
        <v>0</v>
      </c>
      <c r="N520" s="176"/>
      <c r="O520" s="176"/>
      <c r="P520" s="179">
        <v>-295.02999999999997</v>
      </c>
    </row>
    <row r="521" spans="1:16" ht="19.5" customHeight="1">
      <c r="A521" s="171" t="s">
        <v>196</v>
      </c>
      <c r="B521" s="175">
        <v>46039</v>
      </c>
      <c r="C521" s="171" t="s">
        <v>151</v>
      </c>
      <c r="D521" s="171" t="s">
        <v>152</v>
      </c>
      <c r="E521" s="171" t="s">
        <v>125</v>
      </c>
      <c r="F521" s="171" t="s">
        <v>125</v>
      </c>
      <c r="G521" s="171" t="s">
        <v>125</v>
      </c>
      <c r="H521" s="176">
        <v>0</v>
      </c>
      <c r="I521" s="177">
        <v>0</v>
      </c>
      <c r="J521" s="175">
        <v>46039</v>
      </c>
      <c r="K521" s="171" t="s">
        <v>125</v>
      </c>
      <c r="L521" s="171" t="s">
        <v>125</v>
      </c>
      <c r="M521" s="178">
        <v>0</v>
      </c>
      <c r="N521" s="176"/>
      <c r="O521" s="176"/>
      <c r="P521" s="179">
        <v>-294.33999999999997</v>
      </c>
    </row>
    <row r="522" spans="1:16" ht="19.5" customHeight="1">
      <c r="A522" s="171" t="s">
        <v>155</v>
      </c>
      <c r="B522" s="175">
        <v>46039</v>
      </c>
      <c r="C522" s="171" t="s">
        <v>151</v>
      </c>
      <c r="D522" s="171" t="s">
        <v>156</v>
      </c>
      <c r="E522" s="171" t="s">
        <v>125</v>
      </c>
      <c r="F522" s="171" t="s">
        <v>125</v>
      </c>
      <c r="G522" s="171" t="s">
        <v>125</v>
      </c>
      <c r="H522" s="176">
        <v>0</v>
      </c>
      <c r="I522" s="177">
        <v>0</v>
      </c>
      <c r="J522" s="175">
        <v>46039</v>
      </c>
      <c r="K522" s="171" t="s">
        <v>125</v>
      </c>
      <c r="L522" s="171" t="s">
        <v>125</v>
      </c>
      <c r="M522" s="178">
        <v>0</v>
      </c>
      <c r="N522" s="176"/>
      <c r="O522" s="176"/>
      <c r="P522" s="179">
        <v>-3834.85</v>
      </c>
    </row>
    <row r="523" spans="1:16" ht="19.5" customHeight="1">
      <c r="A523" s="171" t="s">
        <v>271</v>
      </c>
      <c r="B523" s="175">
        <v>46040</v>
      </c>
      <c r="C523" s="171" t="s">
        <v>115</v>
      </c>
      <c r="D523" s="171" t="s">
        <v>135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46040</v>
      </c>
      <c r="K523" s="171" t="s">
        <v>125</v>
      </c>
      <c r="L523" s="171" t="s">
        <v>125</v>
      </c>
      <c r="M523" s="178">
        <v>0</v>
      </c>
      <c r="N523" s="176"/>
      <c r="O523" s="176"/>
      <c r="P523" s="179">
        <v>-10.95</v>
      </c>
    </row>
    <row r="524" spans="1:16" ht="19.5" customHeight="1">
      <c r="A524" s="171" t="s">
        <v>272</v>
      </c>
      <c r="B524" s="175">
        <v>46040</v>
      </c>
      <c r="C524" s="171" t="s">
        <v>110</v>
      </c>
      <c r="D524" s="171" t="s">
        <v>24</v>
      </c>
      <c r="E524" s="171" t="s">
        <v>39</v>
      </c>
      <c r="F524" s="171" t="s">
        <v>141</v>
      </c>
      <c r="G524" s="171" t="s">
        <v>112</v>
      </c>
      <c r="H524" s="176">
        <v>1</v>
      </c>
      <c r="I524" s="177">
        <v>0</v>
      </c>
      <c r="J524" s="175">
        <v>46019</v>
      </c>
      <c r="K524" s="171" t="s">
        <v>113</v>
      </c>
      <c r="L524" s="171" t="s">
        <v>114</v>
      </c>
      <c r="M524" s="178">
        <v>0</v>
      </c>
      <c r="N524" s="176"/>
      <c r="O524" s="176">
        <v>39</v>
      </c>
      <c r="P524" s="179">
        <v>-46.77</v>
      </c>
    </row>
    <row r="525" spans="1:16" ht="19.5" customHeight="1">
      <c r="A525" s="171" t="s">
        <v>272</v>
      </c>
      <c r="B525" s="175">
        <v>46040</v>
      </c>
      <c r="C525" s="171" t="s">
        <v>115</v>
      </c>
      <c r="D525" s="171" t="s">
        <v>116</v>
      </c>
      <c r="E525" s="171" t="s">
        <v>39</v>
      </c>
      <c r="F525" s="171" t="s">
        <v>141</v>
      </c>
      <c r="G525" s="171" t="s">
        <v>112</v>
      </c>
      <c r="H525" s="176">
        <v>1</v>
      </c>
      <c r="I525" s="177">
        <v>0</v>
      </c>
      <c r="J525" s="175">
        <v>46019</v>
      </c>
      <c r="K525" s="171" t="s">
        <v>113</v>
      </c>
      <c r="L525" s="171" t="s">
        <v>114</v>
      </c>
      <c r="M525" s="178">
        <v>0</v>
      </c>
      <c r="N525" s="176"/>
      <c r="O525" s="176"/>
      <c r="P525" s="179">
        <v>-6.95</v>
      </c>
    </row>
    <row r="526" spans="1:16" ht="19.5" customHeight="1">
      <c r="A526" s="171" t="s">
        <v>272</v>
      </c>
      <c r="B526" s="175">
        <v>46040</v>
      </c>
      <c r="C526" s="171" t="s">
        <v>110</v>
      </c>
      <c r="D526" s="171" t="s">
        <v>117</v>
      </c>
      <c r="E526" s="171" t="s">
        <v>39</v>
      </c>
      <c r="F526" s="171" t="s">
        <v>141</v>
      </c>
      <c r="G526" s="171" t="s">
        <v>112</v>
      </c>
      <c r="H526" s="176">
        <v>1</v>
      </c>
      <c r="I526" s="177">
        <v>0</v>
      </c>
      <c r="J526" s="175">
        <v>46019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0</v>
      </c>
    </row>
    <row r="527" spans="1:16" ht="19.5" customHeight="1">
      <c r="A527" s="171" t="s">
        <v>272</v>
      </c>
      <c r="B527" s="175">
        <v>46040</v>
      </c>
      <c r="C527" s="171" t="s">
        <v>110</v>
      </c>
      <c r="D527" s="171" t="s">
        <v>118</v>
      </c>
      <c r="E527" s="171" t="s">
        <v>39</v>
      </c>
      <c r="F527" s="171" t="s">
        <v>141</v>
      </c>
      <c r="G527" s="171" t="s">
        <v>112</v>
      </c>
      <c r="H527" s="176">
        <v>1</v>
      </c>
      <c r="I527" s="177">
        <v>0</v>
      </c>
      <c r="J527" s="175">
        <v>46019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-46.77</v>
      </c>
    </row>
    <row r="528" spans="1:16" ht="19.5" customHeight="1">
      <c r="A528" s="171" t="s">
        <v>272</v>
      </c>
      <c r="B528" s="175">
        <v>46040</v>
      </c>
      <c r="C528" s="171" t="s">
        <v>115</v>
      </c>
      <c r="D528" s="171" t="s">
        <v>119</v>
      </c>
      <c r="E528" s="171" t="s">
        <v>39</v>
      </c>
      <c r="F528" s="171" t="s">
        <v>141</v>
      </c>
      <c r="G528" s="171" t="s">
        <v>112</v>
      </c>
      <c r="H528" s="176">
        <v>1</v>
      </c>
      <c r="I528" s="177">
        <v>0</v>
      </c>
      <c r="J528" s="175">
        <v>46019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-15</v>
      </c>
    </row>
    <row r="529" spans="1:16" ht="19.5" customHeight="1">
      <c r="A529" s="171" t="s">
        <v>273</v>
      </c>
      <c r="B529" s="175">
        <v>46040</v>
      </c>
      <c r="C529" s="171" t="s">
        <v>110</v>
      </c>
      <c r="D529" s="171" t="s">
        <v>24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46034</v>
      </c>
      <c r="K529" s="171" t="s">
        <v>113</v>
      </c>
      <c r="L529" s="171" t="s">
        <v>114</v>
      </c>
      <c r="M529" s="178">
        <v>0.43</v>
      </c>
      <c r="N529" s="176"/>
      <c r="O529" s="176">
        <v>48</v>
      </c>
      <c r="P529" s="179">
        <v>-141.78</v>
      </c>
    </row>
    <row r="530" spans="1:16" ht="19.5" customHeight="1">
      <c r="A530" s="171" t="s">
        <v>273</v>
      </c>
      <c r="B530" s="175">
        <v>46040</v>
      </c>
      <c r="C530" s="171" t="s">
        <v>127</v>
      </c>
      <c r="D530" s="171" t="s">
        <v>128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46034</v>
      </c>
      <c r="K530" s="171" t="s">
        <v>113</v>
      </c>
      <c r="L530" s="171" t="s">
        <v>114</v>
      </c>
      <c r="M530" s="178">
        <v>0</v>
      </c>
      <c r="N530" s="176"/>
      <c r="O530" s="176"/>
      <c r="P530" s="179">
        <v>585.71</v>
      </c>
    </row>
    <row r="531" spans="1:16" ht="19.5" customHeight="1">
      <c r="A531" s="171" t="s">
        <v>273</v>
      </c>
      <c r="B531" s="175">
        <v>46040</v>
      </c>
      <c r="C531" s="171" t="s">
        <v>127</v>
      </c>
      <c r="D531" s="171" t="s">
        <v>129</v>
      </c>
      <c r="E531" s="171" t="s">
        <v>38</v>
      </c>
      <c r="F531" s="171" t="s">
        <v>111</v>
      </c>
      <c r="G531" s="171" t="s">
        <v>112</v>
      </c>
      <c r="H531" s="176">
        <v>1</v>
      </c>
      <c r="I531" s="177">
        <v>1704</v>
      </c>
      <c r="J531" s="175">
        <v>46034</v>
      </c>
      <c r="K531" s="171" t="s">
        <v>113</v>
      </c>
      <c r="L531" s="171" t="s">
        <v>114</v>
      </c>
      <c r="M531" s="178">
        <v>0</v>
      </c>
      <c r="N531" s="176"/>
      <c r="O531" s="176"/>
      <c r="P531" s="179">
        <v>5.86</v>
      </c>
    </row>
    <row r="532" spans="1:16" ht="19.5" customHeight="1">
      <c r="A532" s="171" t="s">
        <v>273</v>
      </c>
      <c r="B532" s="175">
        <v>46040</v>
      </c>
      <c r="C532" s="171" t="s">
        <v>127</v>
      </c>
      <c r="D532" s="171" t="s">
        <v>130</v>
      </c>
      <c r="E532" s="171" t="s">
        <v>38</v>
      </c>
      <c r="F532" s="171" t="s">
        <v>111</v>
      </c>
      <c r="G532" s="171" t="s">
        <v>112</v>
      </c>
      <c r="H532" s="176">
        <v>1</v>
      </c>
      <c r="I532" s="177">
        <v>1704</v>
      </c>
      <c r="J532" s="175">
        <v>46034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1112.43</v>
      </c>
    </row>
    <row r="533" spans="1:16" ht="19.5" customHeight="1">
      <c r="A533" s="171" t="s">
        <v>273</v>
      </c>
      <c r="B533" s="175">
        <v>46040</v>
      </c>
      <c r="C533" s="171" t="s">
        <v>131</v>
      </c>
      <c r="D533" s="171" t="s">
        <v>132</v>
      </c>
      <c r="E533" s="171" t="s">
        <v>38</v>
      </c>
      <c r="F533" s="171" t="s">
        <v>111</v>
      </c>
      <c r="G533" s="171" t="s">
        <v>112</v>
      </c>
      <c r="H533" s="176">
        <v>1</v>
      </c>
      <c r="I533" s="177">
        <v>1704</v>
      </c>
      <c r="J533" s="175">
        <v>46034</v>
      </c>
      <c r="K533" s="171" t="s">
        <v>113</v>
      </c>
      <c r="L533" s="171" t="s">
        <v>114</v>
      </c>
      <c r="M533" s="178">
        <v>0.43</v>
      </c>
      <c r="N533" s="176"/>
      <c r="O533" s="176"/>
      <c r="P533" s="179">
        <v>-732.72</v>
      </c>
    </row>
    <row r="534" spans="1:16" ht="19.5" customHeight="1">
      <c r="A534" s="171" t="s">
        <v>273</v>
      </c>
      <c r="B534" s="175">
        <v>46040</v>
      </c>
      <c r="C534" s="171" t="s">
        <v>115</v>
      </c>
      <c r="D534" s="171" t="s">
        <v>116</v>
      </c>
      <c r="E534" s="171" t="s">
        <v>38</v>
      </c>
      <c r="F534" s="171" t="s">
        <v>111</v>
      </c>
      <c r="G534" s="171" t="s">
        <v>112</v>
      </c>
      <c r="H534" s="176">
        <v>1</v>
      </c>
      <c r="I534" s="177">
        <v>1704</v>
      </c>
      <c r="J534" s="175">
        <v>46034</v>
      </c>
      <c r="K534" s="171" t="s">
        <v>113</v>
      </c>
      <c r="L534" s="171" t="s">
        <v>114</v>
      </c>
      <c r="M534" s="178">
        <v>0.43</v>
      </c>
      <c r="N534" s="176"/>
      <c r="O534" s="176"/>
      <c r="P534" s="179">
        <v>-10.24</v>
      </c>
    </row>
    <row r="535" spans="1:16" ht="19.5" customHeight="1">
      <c r="A535" s="171" t="s">
        <v>274</v>
      </c>
      <c r="B535" s="175">
        <v>46040</v>
      </c>
      <c r="C535" s="171" t="s">
        <v>110</v>
      </c>
      <c r="D535" s="171" t="s">
        <v>24</v>
      </c>
      <c r="E535" s="171" t="s">
        <v>38</v>
      </c>
      <c r="F535" s="171" t="s">
        <v>111</v>
      </c>
      <c r="G535" s="171" t="s">
        <v>112</v>
      </c>
      <c r="H535" s="176">
        <v>1</v>
      </c>
      <c r="I535" s="177">
        <v>0</v>
      </c>
      <c r="J535" s="175">
        <v>46035</v>
      </c>
      <c r="K535" s="171" t="s">
        <v>113</v>
      </c>
      <c r="L535" s="171" t="s">
        <v>114</v>
      </c>
      <c r="M535" s="178">
        <v>0</v>
      </c>
      <c r="N535" s="176"/>
      <c r="O535" s="176">
        <v>46</v>
      </c>
      <c r="P535" s="179">
        <v>-46</v>
      </c>
    </row>
    <row r="536" spans="1:16" ht="19.5" customHeight="1">
      <c r="A536" s="171" t="s">
        <v>274</v>
      </c>
      <c r="B536" s="175">
        <v>46040</v>
      </c>
      <c r="C536" s="171" t="s">
        <v>115</v>
      </c>
      <c r="D536" s="171" t="s">
        <v>116</v>
      </c>
      <c r="E536" s="171" t="s">
        <v>38</v>
      </c>
      <c r="F536" s="171" t="s">
        <v>111</v>
      </c>
      <c r="G536" s="171" t="s">
        <v>112</v>
      </c>
      <c r="H536" s="176">
        <v>1</v>
      </c>
      <c r="I536" s="177">
        <v>0</v>
      </c>
      <c r="J536" s="175">
        <v>46035</v>
      </c>
      <c r="K536" s="171" t="s">
        <v>113</v>
      </c>
      <c r="L536" s="171" t="s">
        <v>114</v>
      </c>
      <c r="M536" s="178">
        <v>0</v>
      </c>
      <c r="N536" s="176"/>
      <c r="O536" s="176"/>
      <c r="P536" s="179">
        <v>-8.3699999999999992</v>
      </c>
    </row>
    <row r="537" spans="1:16" ht="19.5" customHeight="1">
      <c r="A537" s="171" t="s">
        <v>274</v>
      </c>
      <c r="B537" s="175">
        <v>46040</v>
      </c>
      <c r="C537" s="171" t="s">
        <v>110</v>
      </c>
      <c r="D537" s="171" t="s">
        <v>117</v>
      </c>
      <c r="E537" s="171" t="s">
        <v>38</v>
      </c>
      <c r="F537" s="171" t="s">
        <v>111</v>
      </c>
      <c r="G537" s="171" t="s">
        <v>112</v>
      </c>
      <c r="H537" s="176">
        <v>1</v>
      </c>
      <c r="I537" s="177">
        <v>0</v>
      </c>
      <c r="J537" s="175">
        <v>46035</v>
      </c>
      <c r="K537" s="171" t="s">
        <v>113</v>
      </c>
      <c r="L537" s="171" t="s">
        <v>114</v>
      </c>
      <c r="M537" s="178">
        <v>0</v>
      </c>
      <c r="N537" s="176"/>
      <c r="O537" s="176"/>
      <c r="P537" s="179">
        <v>0</v>
      </c>
    </row>
    <row r="538" spans="1:16" ht="19.5" customHeight="1">
      <c r="A538" s="171" t="s">
        <v>274</v>
      </c>
      <c r="B538" s="175">
        <v>46040</v>
      </c>
      <c r="C538" s="171" t="s">
        <v>110</v>
      </c>
      <c r="D538" s="171" t="s">
        <v>118</v>
      </c>
      <c r="E538" s="171" t="s">
        <v>38</v>
      </c>
      <c r="F538" s="171" t="s">
        <v>111</v>
      </c>
      <c r="G538" s="171" t="s">
        <v>112</v>
      </c>
      <c r="H538" s="176">
        <v>1</v>
      </c>
      <c r="I538" s="177">
        <v>0</v>
      </c>
      <c r="J538" s="175">
        <v>46035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-46</v>
      </c>
    </row>
    <row r="539" spans="1:16" ht="19.5" customHeight="1">
      <c r="A539" s="171" t="s">
        <v>274</v>
      </c>
      <c r="B539" s="175">
        <v>46040</v>
      </c>
      <c r="C539" s="171" t="s">
        <v>115</v>
      </c>
      <c r="D539" s="171" t="s">
        <v>119</v>
      </c>
      <c r="E539" s="171" t="s">
        <v>38</v>
      </c>
      <c r="F539" s="171" t="s">
        <v>111</v>
      </c>
      <c r="G539" s="171" t="s">
        <v>112</v>
      </c>
      <c r="H539" s="176">
        <v>1</v>
      </c>
      <c r="I539" s="177">
        <v>0</v>
      </c>
      <c r="J539" s="175">
        <v>46035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-15</v>
      </c>
    </row>
    <row r="540" spans="1:16" ht="19.5" customHeight="1">
      <c r="A540" s="171" t="s">
        <v>275</v>
      </c>
      <c r="B540" s="175">
        <v>46040</v>
      </c>
      <c r="C540" s="171" t="s">
        <v>110</v>
      </c>
      <c r="D540" s="171" t="s">
        <v>24</v>
      </c>
      <c r="E540" s="171" t="s">
        <v>38</v>
      </c>
      <c r="F540" s="171" t="s">
        <v>111</v>
      </c>
      <c r="G540" s="171" t="s">
        <v>112</v>
      </c>
      <c r="H540" s="176">
        <v>1</v>
      </c>
      <c r="I540" s="177">
        <v>1704</v>
      </c>
      <c r="J540" s="175">
        <v>46022</v>
      </c>
      <c r="K540" s="171" t="s">
        <v>113</v>
      </c>
      <c r="L540" s="171" t="s">
        <v>114</v>
      </c>
      <c r="M540" s="178">
        <v>0.43</v>
      </c>
      <c r="N540" s="176"/>
      <c r="O540" s="176">
        <v>38</v>
      </c>
      <c r="P540" s="179">
        <v>-103.73</v>
      </c>
    </row>
    <row r="541" spans="1:16" ht="19.5" customHeight="1">
      <c r="A541" s="171" t="s">
        <v>275</v>
      </c>
      <c r="B541" s="175">
        <v>46040</v>
      </c>
      <c r="C541" s="171" t="s">
        <v>127</v>
      </c>
      <c r="D541" s="171" t="s">
        <v>128</v>
      </c>
      <c r="E541" s="171" t="s">
        <v>38</v>
      </c>
      <c r="F541" s="171" t="s">
        <v>111</v>
      </c>
      <c r="G541" s="171" t="s">
        <v>112</v>
      </c>
      <c r="H541" s="176">
        <v>1</v>
      </c>
      <c r="I541" s="177">
        <v>1704</v>
      </c>
      <c r="J541" s="175">
        <v>46022</v>
      </c>
      <c r="K541" s="171" t="s">
        <v>113</v>
      </c>
      <c r="L541" s="171" t="s">
        <v>114</v>
      </c>
      <c r="M541" s="178">
        <v>0</v>
      </c>
      <c r="N541" s="176"/>
      <c r="O541" s="176"/>
      <c r="P541" s="179">
        <v>584.41999999999996</v>
      </c>
    </row>
    <row r="542" spans="1:16" ht="19.5" customHeight="1">
      <c r="A542" s="171" t="s">
        <v>275</v>
      </c>
      <c r="B542" s="175">
        <v>46040</v>
      </c>
      <c r="C542" s="171" t="s">
        <v>127</v>
      </c>
      <c r="D542" s="171" t="s">
        <v>129</v>
      </c>
      <c r="E542" s="171" t="s">
        <v>38</v>
      </c>
      <c r="F542" s="171" t="s">
        <v>111</v>
      </c>
      <c r="G542" s="171" t="s">
        <v>112</v>
      </c>
      <c r="H542" s="176">
        <v>1</v>
      </c>
      <c r="I542" s="177">
        <v>1704</v>
      </c>
      <c r="J542" s="175">
        <v>46022</v>
      </c>
      <c r="K542" s="171" t="s">
        <v>113</v>
      </c>
      <c r="L542" s="171" t="s">
        <v>114</v>
      </c>
      <c r="M542" s="178">
        <v>0</v>
      </c>
      <c r="N542" s="176"/>
      <c r="O542" s="176"/>
      <c r="P542" s="179">
        <v>0</v>
      </c>
    </row>
    <row r="543" spans="1:16" ht="19.5" customHeight="1">
      <c r="A543" s="171" t="s">
        <v>275</v>
      </c>
      <c r="B543" s="175">
        <v>46040</v>
      </c>
      <c r="C543" s="171" t="s">
        <v>127</v>
      </c>
      <c r="D543" s="171" t="s">
        <v>130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1704</v>
      </c>
      <c r="J543" s="175">
        <v>46022</v>
      </c>
      <c r="K543" s="171" t="s">
        <v>113</v>
      </c>
      <c r="L543" s="171" t="s">
        <v>114</v>
      </c>
      <c r="M543" s="178">
        <v>0</v>
      </c>
      <c r="N543" s="176"/>
      <c r="O543" s="176"/>
      <c r="P543" s="179">
        <v>1119.58</v>
      </c>
    </row>
    <row r="544" spans="1:16" ht="19.5" customHeight="1">
      <c r="A544" s="171" t="s">
        <v>275</v>
      </c>
      <c r="B544" s="175">
        <v>46040</v>
      </c>
      <c r="C544" s="171" t="s">
        <v>131</v>
      </c>
      <c r="D544" s="171" t="s">
        <v>132</v>
      </c>
      <c r="E544" s="171" t="s">
        <v>38</v>
      </c>
      <c r="F544" s="171" t="s">
        <v>111</v>
      </c>
      <c r="G544" s="171" t="s">
        <v>112</v>
      </c>
      <c r="H544" s="176">
        <v>1</v>
      </c>
      <c r="I544" s="177">
        <v>1704</v>
      </c>
      <c r="J544" s="175">
        <v>46022</v>
      </c>
      <c r="K544" s="171" t="s">
        <v>113</v>
      </c>
      <c r="L544" s="171" t="s">
        <v>114</v>
      </c>
      <c r="M544" s="178">
        <v>0.43</v>
      </c>
      <c r="N544" s="176"/>
      <c r="O544" s="176"/>
      <c r="P544" s="179">
        <v>-732.72</v>
      </c>
    </row>
    <row r="545" spans="1:16" ht="19.5" customHeight="1">
      <c r="A545" s="171" t="s">
        <v>275</v>
      </c>
      <c r="B545" s="175">
        <v>46040</v>
      </c>
      <c r="C545" s="171" t="s">
        <v>115</v>
      </c>
      <c r="D545" s="171" t="s">
        <v>116</v>
      </c>
      <c r="E545" s="171" t="s">
        <v>38</v>
      </c>
      <c r="F545" s="171" t="s">
        <v>111</v>
      </c>
      <c r="G545" s="171" t="s">
        <v>112</v>
      </c>
      <c r="H545" s="176">
        <v>1</v>
      </c>
      <c r="I545" s="177">
        <v>1704</v>
      </c>
      <c r="J545" s="175">
        <v>46022</v>
      </c>
      <c r="K545" s="171" t="s">
        <v>113</v>
      </c>
      <c r="L545" s="171" t="s">
        <v>114</v>
      </c>
      <c r="M545" s="178">
        <v>0.43</v>
      </c>
      <c r="N545" s="176"/>
      <c r="O545" s="176"/>
      <c r="P545" s="179">
        <v>-8.24</v>
      </c>
    </row>
    <row r="546" spans="1:16" ht="19.5" customHeight="1">
      <c r="A546" s="171" t="s">
        <v>276</v>
      </c>
      <c r="B546" s="175">
        <v>46040</v>
      </c>
      <c r="C546" s="171" t="s">
        <v>115</v>
      </c>
      <c r="D546" s="171" t="s">
        <v>135</v>
      </c>
      <c r="E546" s="171" t="s">
        <v>38</v>
      </c>
      <c r="F546" s="171" t="s">
        <v>111</v>
      </c>
      <c r="G546" s="171" t="s">
        <v>112</v>
      </c>
      <c r="H546" s="176">
        <v>1</v>
      </c>
      <c r="I546" s="177">
        <v>0</v>
      </c>
      <c r="J546" s="175">
        <v>46040</v>
      </c>
      <c r="K546" s="171" t="s">
        <v>125</v>
      </c>
      <c r="L546" s="171" t="s">
        <v>125</v>
      </c>
      <c r="M546" s="178">
        <v>0</v>
      </c>
      <c r="N546" s="176"/>
      <c r="O546" s="176"/>
      <c r="P546" s="179">
        <v>-10.91</v>
      </c>
    </row>
    <row r="547" spans="1:16" ht="19.5" customHeight="1">
      <c r="A547" s="171" t="s">
        <v>277</v>
      </c>
      <c r="B547" s="175">
        <v>46040</v>
      </c>
      <c r="C547" s="171" t="s">
        <v>110</v>
      </c>
      <c r="D547" s="171" t="s">
        <v>24</v>
      </c>
      <c r="E547" s="171" t="s">
        <v>38</v>
      </c>
      <c r="F547" s="171" t="s">
        <v>111</v>
      </c>
      <c r="G547" s="171" t="s">
        <v>112</v>
      </c>
      <c r="H547" s="176">
        <v>1</v>
      </c>
      <c r="I547" s="177">
        <v>1704</v>
      </c>
      <c r="J547" s="175">
        <v>46037</v>
      </c>
      <c r="K547" s="171" t="s">
        <v>113</v>
      </c>
      <c r="L547" s="171" t="s">
        <v>114</v>
      </c>
      <c r="M547" s="178">
        <v>0.43</v>
      </c>
      <c r="N547" s="176"/>
      <c r="O547" s="176">
        <v>43</v>
      </c>
      <c r="P547" s="179">
        <v>-125.95</v>
      </c>
    </row>
    <row r="548" spans="1:16" ht="19.5" customHeight="1">
      <c r="A548" s="171" t="s">
        <v>277</v>
      </c>
      <c r="B548" s="175">
        <v>46040</v>
      </c>
      <c r="C548" s="171" t="s">
        <v>127</v>
      </c>
      <c r="D548" s="171" t="s">
        <v>128</v>
      </c>
      <c r="E548" s="171" t="s">
        <v>38</v>
      </c>
      <c r="F548" s="171" t="s">
        <v>111</v>
      </c>
      <c r="G548" s="171" t="s">
        <v>112</v>
      </c>
      <c r="H548" s="176">
        <v>1</v>
      </c>
      <c r="I548" s="177">
        <v>1704</v>
      </c>
      <c r="J548" s="175">
        <v>46037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648.91</v>
      </c>
    </row>
    <row r="549" spans="1:16" ht="19.5" customHeight="1">
      <c r="A549" s="171" t="s">
        <v>277</v>
      </c>
      <c r="B549" s="175">
        <v>46040</v>
      </c>
      <c r="C549" s="171" t="s">
        <v>127</v>
      </c>
      <c r="D549" s="171" t="s">
        <v>129</v>
      </c>
      <c r="E549" s="171" t="s">
        <v>38</v>
      </c>
      <c r="F549" s="171" t="s">
        <v>111</v>
      </c>
      <c r="G549" s="171" t="s">
        <v>112</v>
      </c>
      <c r="H549" s="176">
        <v>1</v>
      </c>
      <c r="I549" s="177">
        <v>1704</v>
      </c>
      <c r="J549" s="175">
        <v>46037</v>
      </c>
      <c r="K549" s="171" t="s">
        <v>113</v>
      </c>
      <c r="L549" s="171" t="s">
        <v>114</v>
      </c>
      <c r="M549" s="178">
        <v>0</v>
      </c>
      <c r="N549" s="176"/>
      <c r="O549" s="176"/>
      <c r="P549" s="179">
        <v>0</v>
      </c>
    </row>
    <row r="550" spans="1:16" ht="19.5" customHeight="1">
      <c r="A550" s="171" t="s">
        <v>277</v>
      </c>
      <c r="B550" s="175">
        <v>46040</v>
      </c>
      <c r="C550" s="171" t="s">
        <v>127</v>
      </c>
      <c r="D550" s="171" t="s">
        <v>130</v>
      </c>
      <c r="E550" s="171" t="s">
        <v>38</v>
      </c>
      <c r="F550" s="171" t="s">
        <v>111</v>
      </c>
      <c r="G550" s="171" t="s">
        <v>112</v>
      </c>
      <c r="H550" s="176">
        <v>1</v>
      </c>
      <c r="I550" s="177">
        <v>1704</v>
      </c>
      <c r="J550" s="175">
        <v>46037</v>
      </c>
      <c r="K550" s="171" t="s">
        <v>113</v>
      </c>
      <c r="L550" s="171" t="s">
        <v>114</v>
      </c>
      <c r="M550" s="178">
        <v>0</v>
      </c>
      <c r="N550" s="176"/>
      <c r="O550" s="176"/>
      <c r="P550" s="179">
        <v>1055.0899999999999</v>
      </c>
    </row>
    <row r="551" spans="1:16" ht="19.5" customHeight="1">
      <c r="A551" s="171" t="s">
        <v>277</v>
      </c>
      <c r="B551" s="175">
        <v>46040</v>
      </c>
      <c r="C551" s="171" t="s">
        <v>131</v>
      </c>
      <c r="D551" s="171" t="s">
        <v>132</v>
      </c>
      <c r="E551" s="171" t="s">
        <v>38</v>
      </c>
      <c r="F551" s="171" t="s">
        <v>111</v>
      </c>
      <c r="G551" s="171" t="s">
        <v>112</v>
      </c>
      <c r="H551" s="176">
        <v>1</v>
      </c>
      <c r="I551" s="177">
        <v>1704</v>
      </c>
      <c r="J551" s="175">
        <v>46037</v>
      </c>
      <c r="K551" s="171" t="s">
        <v>113</v>
      </c>
      <c r="L551" s="171" t="s">
        <v>114</v>
      </c>
      <c r="M551" s="178">
        <v>0.43</v>
      </c>
      <c r="N551" s="176"/>
      <c r="O551" s="176"/>
      <c r="P551" s="179">
        <v>-732.72</v>
      </c>
    </row>
    <row r="552" spans="1:16" ht="19.5" customHeight="1">
      <c r="A552" s="171" t="s">
        <v>277</v>
      </c>
      <c r="B552" s="175">
        <v>46040</v>
      </c>
      <c r="C552" s="171" t="s">
        <v>115</v>
      </c>
      <c r="D552" s="171" t="s">
        <v>116</v>
      </c>
      <c r="E552" s="171" t="s">
        <v>38</v>
      </c>
      <c r="F552" s="171" t="s">
        <v>111</v>
      </c>
      <c r="G552" s="171" t="s">
        <v>112</v>
      </c>
      <c r="H552" s="176">
        <v>1</v>
      </c>
      <c r="I552" s="177">
        <v>1704</v>
      </c>
      <c r="J552" s="175">
        <v>46037</v>
      </c>
      <c r="K552" s="171" t="s">
        <v>113</v>
      </c>
      <c r="L552" s="171" t="s">
        <v>114</v>
      </c>
      <c r="M552" s="178">
        <v>0.43</v>
      </c>
      <c r="N552" s="176"/>
      <c r="O552" s="176"/>
      <c r="P552" s="179">
        <v>-10.72</v>
      </c>
    </row>
    <row r="553" spans="1:16" ht="19.5" customHeight="1">
      <c r="A553" s="171" t="s">
        <v>278</v>
      </c>
      <c r="B553" s="175">
        <v>46040</v>
      </c>
      <c r="C553" s="171" t="s">
        <v>110</v>
      </c>
      <c r="D553" s="171" t="s">
        <v>24</v>
      </c>
      <c r="E553" s="171" t="s">
        <v>38</v>
      </c>
      <c r="F553" s="171" t="s">
        <v>111</v>
      </c>
      <c r="G553" s="171" t="s">
        <v>112</v>
      </c>
      <c r="H553" s="176">
        <v>1</v>
      </c>
      <c r="I553" s="177">
        <v>1670</v>
      </c>
      <c r="J553" s="175">
        <v>46038</v>
      </c>
      <c r="K553" s="171" t="s">
        <v>113</v>
      </c>
      <c r="L553" s="171" t="s">
        <v>114</v>
      </c>
      <c r="M553" s="178">
        <v>0.43</v>
      </c>
      <c r="N553" s="176"/>
      <c r="O553" s="176">
        <v>48</v>
      </c>
      <c r="P553" s="179">
        <v>-141.87</v>
      </c>
    </row>
    <row r="554" spans="1:16" ht="19.5" customHeight="1">
      <c r="A554" s="171" t="s">
        <v>278</v>
      </c>
      <c r="B554" s="175">
        <v>46040</v>
      </c>
      <c r="C554" s="171" t="s">
        <v>127</v>
      </c>
      <c r="D554" s="171" t="s">
        <v>128</v>
      </c>
      <c r="E554" s="171" t="s">
        <v>38</v>
      </c>
      <c r="F554" s="171" t="s">
        <v>111</v>
      </c>
      <c r="G554" s="171" t="s">
        <v>112</v>
      </c>
      <c r="H554" s="176">
        <v>1</v>
      </c>
      <c r="I554" s="177">
        <v>1670</v>
      </c>
      <c r="J554" s="175">
        <v>46038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574.29</v>
      </c>
    </row>
    <row r="555" spans="1:16" ht="19.5" customHeight="1">
      <c r="A555" s="171" t="s">
        <v>278</v>
      </c>
      <c r="B555" s="175">
        <v>46040</v>
      </c>
      <c r="C555" s="171" t="s">
        <v>127</v>
      </c>
      <c r="D555" s="171" t="s">
        <v>129</v>
      </c>
      <c r="E555" s="171" t="s">
        <v>38</v>
      </c>
      <c r="F555" s="171" t="s">
        <v>111</v>
      </c>
      <c r="G555" s="171" t="s">
        <v>112</v>
      </c>
      <c r="H555" s="176">
        <v>1</v>
      </c>
      <c r="I555" s="177">
        <v>1670</v>
      </c>
      <c r="J555" s="175">
        <v>46038</v>
      </c>
      <c r="K555" s="171" t="s">
        <v>113</v>
      </c>
      <c r="L555" s="171" t="s">
        <v>114</v>
      </c>
      <c r="M555" s="178">
        <v>0</v>
      </c>
      <c r="N555" s="176"/>
      <c r="O555" s="176"/>
      <c r="P555" s="179">
        <v>5.74</v>
      </c>
    </row>
    <row r="556" spans="1:16" ht="19.5" customHeight="1">
      <c r="A556" s="171" t="s">
        <v>278</v>
      </c>
      <c r="B556" s="175">
        <v>46040</v>
      </c>
      <c r="C556" s="171" t="s">
        <v>127</v>
      </c>
      <c r="D556" s="171" t="s">
        <v>130</v>
      </c>
      <c r="E556" s="171" t="s">
        <v>38</v>
      </c>
      <c r="F556" s="171" t="s">
        <v>111</v>
      </c>
      <c r="G556" s="171" t="s">
        <v>112</v>
      </c>
      <c r="H556" s="176">
        <v>1</v>
      </c>
      <c r="I556" s="177">
        <v>1670</v>
      </c>
      <c r="J556" s="175">
        <v>46038</v>
      </c>
      <c r="K556" s="171" t="s">
        <v>113</v>
      </c>
      <c r="L556" s="171" t="s">
        <v>114</v>
      </c>
      <c r="M556" s="178">
        <v>0</v>
      </c>
      <c r="N556" s="176"/>
      <c r="O556" s="176"/>
      <c r="P556" s="179">
        <v>1089.97</v>
      </c>
    </row>
    <row r="557" spans="1:16" ht="19.5" customHeight="1">
      <c r="A557" s="171" t="s">
        <v>278</v>
      </c>
      <c r="B557" s="175">
        <v>46040</v>
      </c>
      <c r="C557" s="171" t="s">
        <v>131</v>
      </c>
      <c r="D557" s="171" t="s">
        <v>132</v>
      </c>
      <c r="E557" s="171" t="s">
        <v>38</v>
      </c>
      <c r="F557" s="171" t="s">
        <v>111</v>
      </c>
      <c r="G557" s="171" t="s">
        <v>112</v>
      </c>
      <c r="H557" s="176">
        <v>1</v>
      </c>
      <c r="I557" s="177">
        <v>1670</v>
      </c>
      <c r="J557" s="175">
        <v>46038</v>
      </c>
      <c r="K557" s="171" t="s">
        <v>113</v>
      </c>
      <c r="L557" s="171" t="s">
        <v>114</v>
      </c>
      <c r="M557" s="178">
        <v>0.43</v>
      </c>
      <c r="N557" s="176"/>
      <c r="O557" s="176"/>
      <c r="P557" s="179">
        <v>-718.1</v>
      </c>
    </row>
    <row r="558" spans="1:16" ht="19.5" customHeight="1">
      <c r="A558" s="171" t="s">
        <v>278</v>
      </c>
      <c r="B558" s="175">
        <v>46040</v>
      </c>
      <c r="C558" s="171" t="s">
        <v>115</v>
      </c>
      <c r="D558" s="171" t="s">
        <v>116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1670</v>
      </c>
      <c r="J558" s="175">
        <v>46038</v>
      </c>
      <c r="K558" s="171" t="s">
        <v>113</v>
      </c>
      <c r="L558" s="171" t="s">
        <v>114</v>
      </c>
      <c r="M558" s="178">
        <v>0.43</v>
      </c>
      <c r="N558" s="176"/>
      <c r="O558" s="176"/>
      <c r="P558" s="179">
        <v>-8.14</v>
      </c>
    </row>
    <row r="559" spans="1:16" ht="19.5" customHeight="1">
      <c r="A559" s="171" t="s">
        <v>279</v>
      </c>
      <c r="B559" s="175">
        <v>46040</v>
      </c>
      <c r="C559" s="171" t="s">
        <v>110</v>
      </c>
      <c r="D559" s="171" t="s">
        <v>24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1704</v>
      </c>
      <c r="J559" s="175">
        <v>46035</v>
      </c>
      <c r="K559" s="171" t="s">
        <v>113</v>
      </c>
      <c r="L559" s="171" t="s">
        <v>114</v>
      </c>
      <c r="M559" s="178">
        <v>0.43</v>
      </c>
      <c r="N559" s="176"/>
      <c r="O559" s="176">
        <v>46</v>
      </c>
      <c r="P559" s="179">
        <v>-137.83000000000001</v>
      </c>
    </row>
    <row r="560" spans="1:16" ht="19.5" customHeight="1">
      <c r="A560" s="171" t="s">
        <v>279</v>
      </c>
      <c r="B560" s="175">
        <v>46040</v>
      </c>
      <c r="C560" s="171" t="s">
        <v>127</v>
      </c>
      <c r="D560" s="171" t="s">
        <v>128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1704</v>
      </c>
      <c r="J560" s="175">
        <v>46035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648.29</v>
      </c>
    </row>
    <row r="561" spans="1:16" ht="19.5" customHeight="1">
      <c r="A561" s="171" t="s">
        <v>279</v>
      </c>
      <c r="B561" s="175">
        <v>46040</v>
      </c>
      <c r="C561" s="171" t="s">
        <v>127</v>
      </c>
      <c r="D561" s="171" t="s">
        <v>129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1704</v>
      </c>
      <c r="J561" s="175">
        <v>46035</v>
      </c>
      <c r="K561" s="171" t="s">
        <v>113</v>
      </c>
      <c r="L561" s="171" t="s">
        <v>114</v>
      </c>
      <c r="M561" s="178">
        <v>0</v>
      </c>
      <c r="N561" s="176"/>
      <c r="O561" s="176"/>
      <c r="P561" s="179">
        <v>0</v>
      </c>
    </row>
    <row r="562" spans="1:16" ht="19.5" customHeight="1">
      <c r="A562" s="171" t="s">
        <v>279</v>
      </c>
      <c r="B562" s="175">
        <v>46040</v>
      </c>
      <c r="C562" s="171" t="s">
        <v>127</v>
      </c>
      <c r="D562" s="171" t="s">
        <v>130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1704</v>
      </c>
      <c r="J562" s="175">
        <v>46035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1055.71</v>
      </c>
    </row>
    <row r="563" spans="1:16" ht="19.5" customHeight="1">
      <c r="A563" s="171" t="s">
        <v>279</v>
      </c>
      <c r="B563" s="175">
        <v>46040</v>
      </c>
      <c r="C563" s="171" t="s">
        <v>131</v>
      </c>
      <c r="D563" s="171" t="s">
        <v>132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1704</v>
      </c>
      <c r="J563" s="175">
        <v>46035</v>
      </c>
      <c r="K563" s="171" t="s">
        <v>113</v>
      </c>
      <c r="L563" s="171" t="s">
        <v>114</v>
      </c>
      <c r="M563" s="178">
        <v>0.43</v>
      </c>
      <c r="N563" s="176"/>
      <c r="O563" s="176"/>
      <c r="P563" s="179">
        <v>-732.72</v>
      </c>
    </row>
    <row r="564" spans="1:16" ht="19.5" customHeight="1">
      <c r="A564" s="171" t="s">
        <v>279</v>
      </c>
      <c r="B564" s="175">
        <v>46040</v>
      </c>
      <c r="C564" s="171" t="s">
        <v>115</v>
      </c>
      <c r="D564" s="171" t="s">
        <v>116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1704</v>
      </c>
      <c r="J564" s="175">
        <v>46035</v>
      </c>
      <c r="K564" s="171" t="s">
        <v>113</v>
      </c>
      <c r="L564" s="171" t="s">
        <v>114</v>
      </c>
      <c r="M564" s="178">
        <v>0.43</v>
      </c>
      <c r="N564" s="176"/>
      <c r="O564" s="176"/>
      <c r="P564" s="179">
        <v>-9.59</v>
      </c>
    </row>
    <row r="565" spans="1:16" ht="19.5" customHeight="1">
      <c r="A565" s="171" t="s">
        <v>278</v>
      </c>
      <c r="B565" s="175">
        <v>46040</v>
      </c>
      <c r="C565" s="171" t="s">
        <v>115</v>
      </c>
      <c r="D565" s="171" t="s">
        <v>135</v>
      </c>
      <c r="E565" s="171" t="s">
        <v>38</v>
      </c>
      <c r="F565" s="171" t="s">
        <v>111</v>
      </c>
      <c r="G565" s="171" t="s">
        <v>112</v>
      </c>
      <c r="H565" s="176">
        <v>1</v>
      </c>
      <c r="I565" s="177">
        <v>0</v>
      </c>
      <c r="J565" s="175">
        <v>46038</v>
      </c>
      <c r="K565" s="171" t="s">
        <v>125</v>
      </c>
      <c r="L565" s="171" t="s">
        <v>125</v>
      </c>
      <c r="M565" s="178">
        <v>0</v>
      </c>
      <c r="N565" s="176"/>
      <c r="O565" s="176"/>
      <c r="P565" s="179">
        <v>-10.91</v>
      </c>
    </row>
    <row r="566" spans="1:16" ht="19.5" customHeight="1">
      <c r="A566" s="171" t="s">
        <v>280</v>
      </c>
      <c r="B566" s="175">
        <v>46040</v>
      </c>
      <c r="C566" s="171" t="s">
        <v>110</v>
      </c>
      <c r="D566" s="171" t="s">
        <v>24</v>
      </c>
      <c r="E566" s="171" t="s">
        <v>78</v>
      </c>
      <c r="F566" s="171" t="s">
        <v>176</v>
      </c>
      <c r="G566" s="171" t="s">
        <v>177</v>
      </c>
      <c r="H566" s="176">
        <v>1</v>
      </c>
      <c r="I566" s="177">
        <v>4940</v>
      </c>
      <c r="J566" s="175">
        <v>46039</v>
      </c>
      <c r="K566" s="171" t="s">
        <v>113</v>
      </c>
      <c r="L566" s="171" t="s">
        <v>114</v>
      </c>
      <c r="M566" s="178">
        <v>0.43</v>
      </c>
      <c r="N566" s="176"/>
      <c r="O566" s="176">
        <v>51</v>
      </c>
      <c r="P566" s="179">
        <v>-290.97000000000003</v>
      </c>
    </row>
    <row r="567" spans="1:16" ht="19.5" customHeight="1">
      <c r="A567" s="171" t="s">
        <v>280</v>
      </c>
      <c r="B567" s="175">
        <v>46040</v>
      </c>
      <c r="C567" s="171" t="s">
        <v>127</v>
      </c>
      <c r="D567" s="171" t="s">
        <v>128</v>
      </c>
      <c r="E567" s="171" t="s">
        <v>78</v>
      </c>
      <c r="F567" s="171" t="s">
        <v>176</v>
      </c>
      <c r="G567" s="171" t="s">
        <v>177</v>
      </c>
      <c r="H567" s="176">
        <v>1</v>
      </c>
      <c r="I567" s="177">
        <v>4940</v>
      </c>
      <c r="J567" s="175">
        <v>46039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1902.09</v>
      </c>
    </row>
    <row r="568" spans="1:16" ht="19.5" customHeight="1">
      <c r="A568" s="171" t="s">
        <v>280</v>
      </c>
      <c r="B568" s="175">
        <v>46040</v>
      </c>
      <c r="C568" s="171" t="s">
        <v>127</v>
      </c>
      <c r="D568" s="171" t="s">
        <v>129</v>
      </c>
      <c r="E568" s="171" t="s">
        <v>78</v>
      </c>
      <c r="F568" s="171" t="s">
        <v>176</v>
      </c>
      <c r="G568" s="171" t="s">
        <v>177</v>
      </c>
      <c r="H568" s="176">
        <v>1</v>
      </c>
      <c r="I568" s="177">
        <v>4940</v>
      </c>
      <c r="J568" s="175">
        <v>46039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19.02</v>
      </c>
    </row>
    <row r="569" spans="1:16" ht="19.5" customHeight="1">
      <c r="A569" s="171" t="s">
        <v>280</v>
      </c>
      <c r="B569" s="175">
        <v>46040</v>
      </c>
      <c r="C569" s="171" t="s">
        <v>127</v>
      </c>
      <c r="D569" s="171" t="s">
        <v>130</v>
      </c>
      <c r="E569" s="171" t="s">
        <v>78</v>
      </c>
      <c r="F569" s="171" t="s">
        <v>176</v>
      </c>
      <c r="G569" s="171" t="s">
        <v>177</v>
      </c>
      <c r="H569" s="176">
        <v>1</v>
      </c>
      <c r="I569" s="177">
        <v>4940</v>
      </c>
      <c r="J569" s="175">
        <v>46039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3018.89</v>
      </c>
    </row>
    <row r="570" spans="1:16" ht="19.5" customHeight="1">
      <c r="A570" s="171" t="s">
        <v>280</v>
      </c>
      <c r="B570" s="175">
        <v>46040</v>
      </c>
      <c r="C570" s="171" t="s">
        <v>131</v>
      </c>
      <c r="D570" s="171" t="s">
        <v>132</v>
      </c>
      <c r="E570" s="171" t="s">
        <v>78</v>
      </c>
      <c r="F570" s="171" t="s">
        <v>176</v>
      </c>
      <c r="G570" s="171" t="s">
        <v>177</v>
      </c>
      <c r="H570" s="176">
        <v>1</v>
      </c>
      <c r="I570" s="177">
        <v>4940</v>
      </c>
      <c r="J570" s="175">
        <v>46039</v>
      </c>
      <c r="K570" s="171" t="s">
        <v>113</v>
      </c>
      <c r="L570" s="171" t="s">
        <v>114</v>
      </c>
      <c r="M570" s="178">
        <v>0.43</v>
      </c>
      <c r="N570" s="176"/>
      <c r="O570" s="176"/>
      <c r="P570" s="179">
        <v>-2124.1999999999998</v>
      </c>
    </row>
    <row r="571" spans="1:16" ht="19.5" customHeight="1">
      <c r="A571" s="171" t="s">
        <v>279</v>
      </c>
      <c r="B571" s="175">
        <v>46040</v>
      </c>
      <c r="C571" s="171" t="s">
        <v>115</v>
      </c>
      <c r="D571" s="171" t="s">
        <v>135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46035</v>
      </c>
      <c r="K571" s="171" t="s">
        <v>125</v>
      </c>
      <c r="L571" s="171" t="s">
        <v>125</v>
      </c>
      <c r="M571" s="178">
        <v>0</v>
      </c>
      <c r="N571" s="176"/>
      <c r="O571" s="176"/>
      <c r="P571" s="179">
        <v>-4.93</v>
      </c>
    </row>
    <row r="572" spans="1:16" ht="19.5" customHeight="1">
      <c r="A572" s="171" t="s">
        <v>281</v>
      </c>
      <c r="B572" s="175">
        <v>46040</v>
      </c>
      <c r="C572" s="171" t="s">
        <v>110</v>
      </c>
      <c r="D572" s="171" t="s">
        <v>24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1704</v>
      </c>
      <c r="J572" s="175">
        <v>46037</v>
      </c>
      <c r="K572" s="171" t="s">
        <v>113</v>
      </c>
      <c r="L572" s="171" t="s">
        <v>114</v>
      </c>
      <c r="M572" s="178">
        <v>0.43</v>
      </c>
      <c r="N572" s="176"/>
      <c r="O572" s="176">
        <v>43</v>
      </c>
      <c r="P572" s="179">
        <v>-125.95</v>
      </c>
    </row>
    <row r="573" spans="1:16" ht="19.5" customHeight="1">
      <c r="A573" s="171" t="s">
        <v>281</v>
      </c>
      <c r="B573" s="175">
        <v>46040</v>
      </c>
      <c r="C573" s="171" t="s">
        <v>127</v>
      </c>
      <c r="D573" s="171" t="s">
        <v>128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1704</v>
      </c>
      <c r="J573" s="175">
        <v>46037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585.71</v>
      </c>
    </row>
    <row r="574" spans="1:16" ht="19.5" customHeight="1">
      <c r="A574" s="171" t="s">
        <v>281</v>
      </c>
      <c r="B574" s="175">
        <v>46040</v>
      </c>
      <c r="C574" s="171" t="s">
        <v>127</v>
      </c>
      <c r="D574" s="171" t="s">
        <v>129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1704</v>
      </c>
      <c r="J574" s="175">
        <v>46037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5.86</v>
      </c>
    </row>
    <row r="575" spans="1:16" ht="19.5" customHeight="1">
      <c r="A575" s="171" t="s">
        <v>281</v>
      </c>
      <c r="B575" s="175">
        <v>46040</v>
      </c>
      <c r="C575" s="171" t="s">
        <v>127</v>
      </c>
      <c r="D575" s="171" t="s">
        <v>130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1704</v>
      </c>
      <c r="J575" s="175">
        <v>46037</v>
      </c>
      <c r="K575" s="171" t="s">
        <v>113</v>
      </c>
      <c r="L575" s="171" t="s">
        <v>114</v>
      </c>
      <c r="M575" s="178">
        <v>0</v>
      </c>
      <c r="N575" s="176"/>
      <c r="O575" s="176"/>
      <c r="P575" s="179">
        <v>1112.43</v>
      </c>
    </row>
    <row r="576" spans="1:16" ht="19.5" customHeight="1">
      <c r="A576" s="171" t="s">
        <v>281</v>
      </c>
      <c r="B576" s="175">
        <v>46040</v>
      </c>
      <c r="C576" s="171" t="s">
        <v>131</v>
      </c>
      <c r="D576" s="171" t="s">
        <v>132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1704</v>
      </c>
      <c r="J576" s="175">
        <v>46037</v>
      </c>
      <c r="K576" s="171" t="s">
        <v>113</v>
      </c>
      <c r="L576" s="171" t="s">
        <v>114</v>
      </c>
      <c r="M576" s="178">
        <v>0.43</v>
      </c>
      <c r="N576" s="176"/>
      <c r="O576" s="176"/>
      <c r="P576" s="179">
        <v>-732.72</v>
      </c>
    </row>
    <row r="577" spans="1:16" ht="19.5" customHeight="1">
      <c r="A577" s="171" t="s">
        <v>281</v>
      </c>
      <c r="B577" s="175">
        <v>46040</v>
      </c>
      <c r="C577" s="171" t="s">
        <v>115</v>
      </c>
      <c r="D577" s="171" t="s">
        <v>116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1704</v>
      </c>
      <c r="J577" s="175">
        <v>46037</v>
      </c>
      <c r="K577" s="171" t="s">
        <v>113</v>
      </c>
      <c r="L577" s="171" t="s">
        <v>114</v>
      </c>
      <c r="M577" s="178">
        <v>0.43</v>
      </c>
      <c r="N577" s="176"/>
      <c r="O577" s="176"/>
      <c r="P577" s="179">
        <v>-10.77</v>
      </c>
    </row>
    <row r="578" spans="1:16" ht="19.5" customHeight="1">
      <c r="A578" s="171" t="s">
        <v>282</v>
      </c>
      <c r="B578" s="175">
        <v>46040</v>
      </c>
      <c r="C578" s="171" t="s">
        <v>115</v>
      </c>
      <c r="D578" s="171" t="s">
        <v>135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0</v>
      </c>
      <c r="J578" s="175">
        <v>46040</v>
      </c>
      <c r="K578" s="171" t="s">
        <v>125</v>
      </c>
      <c r="L578" s="171" t="s">
        <v>125</v>
      </c>
      <c r="M578" s="178">
        <v>0</v>
      </c>
      <c r="N578" s="176"/>
      <c r="O578" s="176"/>
      <c r="P578" s="179">
        <v>-10.91</v>
      </c>
    </row>
    <row r="579" spans="1:16" ht="19.5" customHeight="1">
      <c r="A579" s="171" t="s">
        <v>283</v>
      </c>
      <c r="B579" s="175">
        <v>46040</v>
      </c>
      <c r="C579" s="171" t="s">
        <v>110</v>
      </c>
      <c r="D579" s="171" t="s">
        <v>24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1670</v>
      </c>
      <c r="J579" s="175">
        <v>46039</v>
      </c>
      <c r="K579" s="171" t="s">
        <v>113</v>
      </c>
      <c r="L579" s="171" t="s">
        <v>114</v>
      </c>
      <c r="M579" s="178">
        <v>0.43</v>
      </c>
      <c r="N579" s="176"/>
      <c r="O579" s="176">
        <v>51</v>
      </c>
      <c r="P579" s="179">
        <v>-147.08000000000001</v>
      </c>
    </row>
    <row r="580" spans="1:16" ht="19.5" customHeight="1">
      <c r="A580" s="171" t="s">
        <v>283</v>
      </c>
      <c r="B580" s="175">
        <v>46040</v>
      </c>
      <c r="C580" s="171" t="s">
        <v>127</v>
      </c>
      <c r="D580" s="171" t="s">
        <v>128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1670</v>
      </c>
      <c r="J580" s="175">
        <v>46039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574.29</v>
      </c>
    </row>
    <row r="581" spans="1:16" ht="19.5" customHeight="1">
      <c r="A581" s="171" t="s">
        <v>283</v>
      </c>
      <c r="B581" s="175">
        <v>46040</v>
      </c>
      <c r="C581" s="171" t="s">
        <v>127</v>
      </c>
      <c r="D581" s="171" t="s">
        <v>129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1670</v>
      </c>
      <c r="J581" s="175">
        <v>46039</v>
      </c>
      <c r="K581" s="171" t="s">
        <v>113</v>
      </c>
      <c r="L581" s="171" t="s">
        <v>114</v>
      </c>
      <c r="M581" s="178">
        <v>0</v>
      </c>
      <c r="N581" s="176"/>
      <c r="O581" s="176"/>
      <c r="P581" s="179">
        <v>5.74</v>
      </c>
    </row>
    <row r="582" spans="1:16" ht="19.5" customHeight="1">
      <c r="A582" s="171" t="s">
        <v>283</v>
      </c>
      <c r="B582" s="175">
        <v>46040</v>
      </c>
      <c r="C582" s="171" t="s">
        <v>127</v>
      </c>
      <c r="D582" s="171" t="s">
        <v>130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1670</v>
      </c>
      <c r="J582" s="175">
        <v>46039</v>
      </c>
      <c r="K582" s="171" t="s">
        <v>113</v>
      </c>
      <c r="L582" s="171" t="s">
        <v>114</v>
      </c>
      <c r="M582" s="178">
        <v>0</v>
      </c>
      <c r="N582" s="176"/>
      <c r="O582" s="176"/>
      <c r="P582" s="179">
        <v>1089.97</v>
      </c>
    </row>
    <row r="583" spans="1:16" ht="19.5" customHeight="1">
      <c r="A583" s="171" t="s">
        <v>283</v>
      </c>
      <c r="B583" s="175">
        <v>46040</v>
      </c>
      <c r="C583" s="171" t="s">
        <v>131</v>
      </c>
      <c r="D583" s="171" t="s">
        <v>132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1670</v>
      </c>
      <c r="J583" s="175">
        <v>46039</v>
      </c>
      <c r="K583" s="171" t="s">
        <v>113</v>
      </c>
      <c r="L583" s="171" t="s">
        <v>114</v>
      </c>
      <c r="M583" s="178">
        <v>0.43</v>
      </c>
      <c r="N583" s="176"/>
      <c r="O583" s="176"/>
      <c r="P583" s="179">
        <v>-718.1</v>
      </c>
    </row>
    <row r="584" spans="1:16" ht="19.5" customHeight="1">
      <c r="A584" s="171" t="s">
        <v>283</v>
      </c>
      <c r="B584" s="175">
        <v>46040</v>
      </c>
      <c r="C584" s="171" t="s">
        <v>115</v>
      </c>
      <c r="D584" s="171" t="s">
        <v>116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1670</v>
      </c>
      <c r="J584" s="175">
        <v>46039</v>
      </c>
      <c r="K584" s="171" t="s">
        <v>113</v>
      </c>
      <c r="L584" s="171" t="s">
        <v>114</v>
      </c>
      <c r="M584" s="178">
        <v>0.43</v>
      </c>
      <c r="N584" s="176"/>
      <c r="O584" s="176"/>
      <c r="P584" s="179">
        <v>-15.19</v>
      </c>
    </row>
    <row r="585" spans="1:16" ht="19.5" customHeight="1">
      <c r="A585" s="171" t="s">
        <v>284</v>
      </c>
      <c r="B585" s="175">
        <v>46040</v>
      </c>
      <c r="C585" s="171" t="s">
        <v>115</v>
      </c>
      <c r="D585" s="171" t="s">
        <v>135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0</v>
      </c>
      <c r="J585" s="175">
        <v>46040</v>
      </c>
      <c r="K585" s="171" t="s">
        <v>125</v>
      </c>
      <c r="L585" s="171" t="s">
        <v>125</v>
      </c>
      <c r="M585" s="178">
        <v>0</v>
      </c>
      <c r="N585" s="176"/>
      <c r="O585" s="176"/>
      <c r="P585" s="179">
        <v>-10.91</v>
      </c>
    </row>
    <row r="586" spans="1:16" ht="19.5" customHeight="1">
      <c r="A586" s="171" t="s">
        <v>285</v>
      </c>
      <c r="B586" s="175">
        <v>46040</v>
      </c>
      <c r="C586" s="171" t="s">
        <v>110</v>
      </c>
      <c r="D586" s="171" t="s">
        <v>24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46037</v>
      </c>
      <c r="K586" s="171" t="s">
        <v>113</v>
      </c>
      <c r="L586" s="171" t="s">
        <v>114</v>
      </c>
      <c r="M586" s="178">
        <v>0.43</v>
      </c>
      <c r="N586" s="176"/>
      <c r="O586" s="176">
        <v>43</v>
      </c>
      <c r="P586" s="179">
        <v>-125.95</v>
      </c>
    </row>
    <row r="587" spans="1:16" ht="19.5" customHeight="1">
      <c r="A587" s="171" t="s">
        <v>285</v>
      </c>
      <c r="B587" s="175">
        <v>46040</v>
      </c>
      <c r="C587" s="171" t="s">
        <v>127</v>
      </c>
      <c r="D587" s="171" t="s">
        <v>128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46037</v>
      </c>
      <c r="K587" s="171" t="s">
        <v>113</v>
      </c>
      <c r="L587" s="171" t="s">
        <v>114</v>
      </c>
      <c r="M587" s="178">
        <v>0</v>
      </c>
      <c r="N587" s="176"/>
      <c r="O587" s="176"/>
      <c r="P587" s="179">
        <v>646.45000000000005</v>
      </c>
    </row>
    <row r="588" spans="1:16" ht="19.5" customHeight="1">
      <c r="A588" s="171" t="s">
        <v>285</v>
      </c>
      <c r="B588" s="175">
        <v>46040</v>
      </c>
      <c r="C588" s="171" t="s">
        <v>127</v>
      </c>
      <c r="D588" s="171" t="s">
        <v>129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46037</v>
      </c>
      <c r="K588" s="171" t="s">
        <v>113</v>
      </c>
      <c r="L588" s="171" t="s">
        <v>114</v>
      </c>
      <c r="M588" s="178">
        <v>0</v>
      </c>
      <c r="N588" s="176"/>
      <c r="O588" s="176"/>
      <c r="P588" s="179">
        <v>0</v>
      </c>
    </row>
    <row r="589" spans="1:16" ht="19.5" customHeight="1">
      <c r="A589" s="171" t="s">
        <v>285</v>
      </c>
      <c r="B589" s="175">
        <v>46040</v>
      </c>
      <c r="C589" s="171" t="s">
        <v>127</v>
      </c>
      <c r="D589" s="171" t="s">
        <v>130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1704</v>
      </c>
      <c r="J589" s="175">
        <v>46037</v>
      </c>
      <c r="K589" s="171" t="s">
        <v>113</v>
      </c>
      <c r="L589" s="171" t="s">
        <v>114</v>
      </c>
      <c r="M589" s="178">
        <v>0</v>
      </c>
      <c r="N589" s="176"/>
      <c r="O589" s="176"/>
      <c r="P589" s="179">
        <v>1057.55</v>
      </c>
    </row>
    <row r="590" spans="1:16" ht="19.5" customHeight="1">
      <c r="A590" s="171" t="s">
        <v>285</v>
      </c>
      <c r="B590" s="175">
        <v>46040</v>
      </c>
      <c r="C590" s="171" t="s">
        <v>131</v>
      </c>
      <c r="D590" s="171" t="s">
        <v>132</v>
      </c>
      <c r="E590" s="171" t="s">
        <v>38</v>
      </c>
      <c r="F590" s="171" t="s">
        <v>111</v>
      </c>
      <c r="G590" s="171" t="s">
        <v>112</v>
      </c>
      <c r="H590" s="176">
        <v>1</v>
      </c>
      <c r="I590" s="177">
        <v>1704</v>
      </c>
      <c r="J590" s="175">
        <v>46037</v>
      </c>
      <c r="K590" s="171" t="s">
        <v>113</v>
      </c>
      <c r="L590" s="171" t="s">
        <v>114</v>
      </c>
      <c r="M590" s="178">
        <v>0.43</v>
      </c>
      <c r="N590" s="176"/>
      <c r="O590" s="176"/>
      <c r="P590" s="179">
        <v>-732.72</v>
      </c>
    </row>
    <row r="591" spans="1:16" ht="19.5" customHeight="1">
      <c r="A591" s="171" t="s">
        <v>285</v>
      </c>
      <c r="B591" s="175">
        <v>46040</v>
      </c>
      <c r="C591" s="171" t="s">
        <v>115</v>
      </c>
      <c r="D591" s="171" t="s">
        <v>116</v>
      </c>
      <c r="E591" s="171" t="s">
        <v>38</v>
      </c>
      <c r="F591" s="171" t="s">
        <v>111</v>
      </c>
      <c r="G591" s="171" t="s">
        <v>112</v>
      </c>
      <c r="H591" s="176">
        <v>1</v>
      </c>
      <c r="I591" s="177">
        <v>1704</v>
      </c>
      <c r="J591" s="175">
        <v>46037</v>
      </c>
      <c r="K591" s="171" t="s">
        <v>113</v>
      </c>
      <c r="L591" s="171" t="s">
        <v>114</v>
      </c>
      <c r="M591" s="178">
        <v>0.43</v>
      </c>
      <c r="N591" s="176"/>
      <c r="O591" s="176"/>
      <c r="P591" s="179">
        <v>-9.91</v>
      </c>
    </row>
    <row r="592" spans="1:16" ht="19.5" customHeight="1">
      <c r="A592" s="171" t="s">
        <v>286</v>
      </c>
      <c r="B592" s="175">
        <v>46040</v>
      </c>
      <c r="C592" s="171" t="s">
        <v>110</v>
      </c>
      <c r="D592" s="171" t="s">
        <v>24</v>
      </c>
      <c r="E592" s="171" t="s">
        <v>77</v>
      </c>
      <c r="F592" s="171" t="s">
        <v>194</v>
      </c>
      <c r="G592" s="171" t="s">
        <v>177</v>
      </c>
      <c r="H592" s="176">
        <v>1</v>
      </c>
      <c r="I592" s="177">
        <v>4178</v>
      </c>
      <c r="J592" s="175">
        <v>46038</v>
      </c>
      <c r="K592" s="171" t="s">
        <v>113</v>
      </c>
      <c r="L592" s="171" t="s">
        <v>114</v>
      </c>
      <c r="M592" s="178">
        <v>0.43</v>
      </c>
      <c r="N592" s="176"/>
      <c r="O592" s="176">
        <v>48</v>
      </c>
      <c r="P592" s="179">
        <v>-251.01</v>
      </c>
    </row>
    <row r="593" spans="1:16" ht="19.5" customHeight="1">
      <c r="A593" s="171" t="s">
        <v>286</v>
      </c>
      <c r="B593" s="175">
        <v>46040</v>
      </c>
      <c r="C593" s="171" t="s">
        <v>127</v>
      </c>
      <c r="D593" s="171" t="s">
        <v>128</v>
      </c>
      <c r="E593" s="171" t="s">
        <v>77</v>
      </c>
      <c r="F593" s="171" t="s">
        <v>194</v>
      </c>
      <c r="G593" s="171" t="s">
        <v>177</v>
      </c>
      <c r="H593" s="176">
        <v>1</v>
      </c>
      <c r="I593" s="177">
        <v>4178</v>
      </c>
      <c r="J593" s="175">
        <v>46038</v>
      </c>
      <c r="K593" s="171" t="s">
        <v>113</v>
      </c>
      <c r="L593" s="171" t="s">
        <v>114</v>
      </c>
      <c r="M593" s="178">
        <v>0</v>
      </c>
      <c r="N593" s="176"/>
      <c r="O593" s="176"/>
      <c r="P593" s="179">
        <v>1771.43</v>
      </c>
    </row>
    <row r="594" spans="1:16" ht="19.5" customHeight="1">
      <c r="A594" s="171" t="s">
        <v>286</v>
      </c>
      <c r="B594" s="175">
        <v>46040</v>
      </c>
      <c r="C594" s="171" t="s">
        <v>127</v>
      </c>
      <c r="D594" s="171" t="s">
        <v>129</v>
      </c>
      <c r="E594" s="171" t="s">
        <v>77</v>
      </c>
      <c r="F594" s="171" t="s">
        <v>194</v>
      </c>
      <c r="G594" s="171" t="s">
        <v>177</v>
      </c>
      <c r="H594" s="176">
        <v>1</v>
      </c>
      <c r="I594" s="177">
        <v>4178</v>
      </c>
      <c r="J594" s="175">
        <v>46038</v>
      </c>
      <c r="K594" s="171" t="s">
        <v>113</v>
      </c>
      <c r="L594" s="171" t="s">
        <v>114</v>
      </c>
      <c r="M594" s="178">
        <v>0</v>
      </c>
      <c r="N594" s="176"/>
      <c r="O594" s="176"/>
      <c r="P594" s="179">
        <v>17.71</v>
      </c>
    </row>
    <row r="595" spans="1:16" ht="19.5" customHeight="1">
      <c r="A595" s="171" t="s">
        <v>286</v>
      </c>
      <c r="B595" s="175">
        <v>46040</v>
      </c>
      <c r="C595" s="171" t="s">
        <v>127</v>
      </c>
      <c r="D595" s="171" t="s">
        <v>130</v>
      </c>
      <c r="E595" s="171" t="s">
        <v>77</v>
      </c>
      <c r="F595" s="171" t="s">
        <v>194</v>
      </c>
      <c r="G595" s="171" t="s">
        <v>177</v>
      </c>
      <c r="H595" s="176">
        <v>1</v>
      </c>
      <c r="I595" s="177">
        <v>4178</v>
      </c>
      <c r="J595" s="175">
        <v>46038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2388.86</v>
      </c>
    </row>
    <row r="596" spans="1:16" ht="19.5" customHeight="1">
      <c r="A596" s="171" t="s">
        <v>286</v>
      </c>
      <c r="B596" s="175">
        <v>46040</v>
      </c>
      <c r="C596" s="171" t="s">
        <v>131</v>
      </c>
      <c r="D596" s="171" t="s">
        <v>132</v>
      </c>
      <c r="E596" s="171" t="s">
        <v>77</v>
      </c>
      <c r="F596" s="171" t="s">
        <v>194</v>
      </c>
      <c r="G596" s="171" t="s">
        <v>177</v>
      </c>
      <c r="H596" s="176">
        <v>1</v>
      </c>
      <c r="I596" s="177">
        <v>4178</v>
      </c>
      <c r="J596" s="175">
        <v>46038</v>
      </c>
      <c r="K596" s="171" t="s">
        <v>113</v>
      </c>
      <c r="L596" s="171" t="s">
        <v>114</v>
      </c>
      <c r="M596" s="178">
        <v>0.43</v>
      </c>
      <c r="N596" s="176"/>
      <c r="O596" s="176"/>
      <c r="P596" s="179">
        <v>-1796.54</v>
      </c>
    </row>
    <row r="597" spans="1:16" ht="19.5" customHeight="1">
      <c r="A597" s="171" t="s">
        <v>286</v>
      </c>
      <c r="B597" s="175">
        <v>46040</v>
      </c>
      <c r="C597" s="171" t="s">
        <v>115</v>
      </c>
      <c r="D597" s="171" t="s">
        <v>116</v>
      </c>
      <c r="E597" s="171" t="s">
        <v>77</v>
      </c>
      <c r="F597" s="171" t="s">
        <v>194</v>
      </c>
      <c r="G597" s="171" t="s">
        <v>177</v>
      </c>
      <c r="H597" s="176">
        <v>1</v>
      </c>
      <c r="I597" s="177">
        <v>4178</v>
      </c>
      <c r="J597" s="175">
        <v>46038</v>
      </c>
      <c r="K597" s="171" t="s">
        <v>113</v>
      </c>
      <c r="L597" s="171" t="s">
        <v>114</v>
      </c>
      <c r="M597" s="178">
        <v>0.43</v>
      </c>
      <c r="N597" s="176"/>
      <c r="O597" s="176"/>
      <c r="P597" s="179">
        <v>-18.37</v>
      </c>
    </row>
    <row r="598" spans="1:16" ht="19.5" customHeight="1">
      <c r="A598" s="171" t="s">
        <v>287</v>
      </c>
      <c r="B598" s="175">
        <v>46040</v>
      </c>
      <c r="C598" s="171" t="s">
        <v>110</v>
      </c>
      <c r="D598" s="171" t="s">
        <v>24</v>
      </c>
      <c r="E598" s="171" t="s">
        <v>38</v>
      </c>
      <c r="F598" s="171" t="s">
        <v>111</v>
      </c>
      <c r="G598" s="171" t="s">
        <v>112</v>
      </c>
      <c r="H598" s="176">
        <v>1</v>
      </c>
      <c r="I598" s="177">
        <v>1670</v>
      </c>
      <c r="J598" s="175">
        <v>46038</v>
      </c>
      <c r="K598" s="171" t="s">
        <v>113</v>
      </c>
      <c r="L598" s="171" t="s">
        <v>114</v>
      </c>
      <c r="M598" s="178">
        <v>0.43</v>
      </c>
      <c r="N598" s="176"/>
      <c r="O598" s="176">
        <v>48</v>
      </c>
      <c r="P598" s="179">
        <v>-141.87</v>
      </c>
    </row>
    <row r="599" spans="1:16" ht="19.5" customHeight="1">
      <c r="A599" s="171" t="s">
        <v>287</v>
      </c>
      <c r="B599" s="175">
        <v>46040</v>
      </c>
      <c r="C599" s="171" t="s">
        <v>127</v>
      </c>
      <c r="D599" s="171" t="s">
        <v>128</v>
      </c>
      <c r="E599" s="171" t="s">
        <v>38</v>
      </c>
      <c r="F599" s="171" t="s">
        <v>111</v>
      </c>
      <c r="G599" s="171" t="s">
        <v>112</v>
      </c>
      <c r="H599" s="176">
        <v>1</v>
      </c>
      <c r="I599" s="177">
        <v>1670</v>
      </c>
      <c r="J599" s="175">
        <v>46038</v>
      </c>
      <c r="K599" s="171" t="s">
        <v>113</v>
      </c>
      <c r="L599" s="171" t="s">
        <v>114</v>
      </c>
      <c r="M599" s="178">
        <v>0</v>
      </c>
      <c r="N599" s="176"/>
      <c r="O599" s="176"/>
      <c r="P599" s="179">
        <v>573.74</v>
      </c>
    </row>
    <row r="600" spans="1:16" ht="19.5" customHeight="1">
      <c r="A600" s="171" t="s">
        <v>287</v>
      </c>
      <c r="B600" s="175">
        <v>46040</v>
      </c>
      <c r="C600" s="171" t="s">
        <v>127</v>
      </c>
      <c r="D600" s="171" t="s">
        <v>129</v>
      </c>
      <c r="E600" s="171" t="s">
        <v>38</v>
      </c>
      <c r="F600" s="171" t="s">
        <v>111</v>
      </c>
      <c r="G600" s="171" t="s">
        <v>112</v>
      </c>
      <c r="H600" s="176">
        <v>1</v>
      </c>
      <c r="I600" s="177">
        <v>1670</v>
      </c>
      <c r="J600" s="175">
        <v>46038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5.74</v>
      </c>
    </row>
    <row r="601" spans="1:16" ht="19.5" customHeight="1">
      <c r="A601" s="171" t="s">
        <v>287</v>
      </c>
      <c r="B601" s="175">
        <v>46040</v>
      </c>
      <c r="C601" s="171" t="s">
        <v>127</v>
      </c>
      <c r="D601" s="171" t="s">
        <v>130</v>
      </c>
      <c r="E601" s="171" t="s">
        <v>38</v>
      </c>
      <c r="F601" s="171" t="s">
        <v>111</v>
      </c>
      <c r="G601" s="171" t="s">
        <v>112</v>
      </c>
      <c r="H601" s="176">
        <v>1</v>
      </c>
      <c r="I601" s="177">
        <v>1670</v>
      </c>
      <c r="J601" s="175">
        <v>46038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1090.52</v>
      </c>
    </row>
    <row r="602" spans="1:16" ht="19.5" customHeight="1">
      <c r="A602" s="171" t="s">
        <v>287</v>
      </c>
      <c r="B602" s="175">
        <v>46040</v>
      </c>
      <c r="C602" s="171" t="s">
        <v>131</v>
      </c>
      <c r="D602" s="171" t="s">
        <v>132</v>
      </c>
      <c r="E602" s="171" t="s">
        <v>38</v>
      </c>
      <c r="F602" s="171" t="s">
        <v>111</v>
      </c>
      <c r="G602" s="171" t="s">
        <v>112</v>
      </c>
      <c r="H602" s="176">
        <v>1</v>
      </c>
      <c r="I602" s="177">
        <v>1670</v>
      </c>
      <c r="J602" s="175">
        <v>46038</v>
      </c>
      <c r="K602" s="171" t="s">
        <v>113</v>
      </c>
      <c r="L602" s="171" t="s">
        <v>114</v>
      </c>
      <c r="M602" s="178">
        <v>0.43</v>
      </c>
      <c r="N602" s="176"/>
      <c r="O602" s="176"/>
      <c r="P602" s="179">
        <v>-718.1</v>
      </c>
    </row>
    <row r="603" spans="1:16" ht="19.5" customHeight="1">
      <c r="A603" s="171" t="s">
        <v>287</v>
      </c>
      <c r="B603" s="175">
        <v>46040</v>
      </c>
      <c r="C603" s="171" t="s">
        <v>115</v>
      </c>
      <c r="D603" s="171" t="s">
        <v>116</v>
      </c>
      <c r="E603" s="171" t="s">
        <v>38</v>
      </c>
      <c r="F603" s="171" t="s">
        <v>111</v>
      </c>
      <c r="G603" s="171" t="s">
        <v>112</v>
      </c>
      <c r="H603" s="176">
        <v>1</v>
      </c>
      <c r="I603" s="177">
        <v>1670</v>
      </c>
      <c r="J603" s="175">
        <v>46038</v>
      </c>
      <c r="K603" s="171" t="s">
        <v>113</v>
      </c>
      <c r="L603" s="171" t="s">
        <v>114</v>
      </c>
      <c r="M603" s="178">
        <v>0.43</v>
      </c>
      <c r="N603" s="176"/>
      <c r="O603" s="176"/>
      <c r="P603" s="179">
        <v>-9.3800000000000008</v>
      </c>
    </row>
    <row r="604" spans="1:16" ht="19.5" customHeight="1">
      <c r="A604" s="171" t="s">
        <v>286</v>
      </c>
      <c r="B604" s="175">
        <v>46040</v>
      </c>
      <c r="C604" s="171" t="s">
        <v>115</v>
      </c>
      <c r="D604" s="171" t="s">
        <v>135</v>
      </c>
      <c r="E604" s="171" t="s">
        <v>77</v>
      </c>
      <c r="F604" s="171" t="s">
        <v>194</v>
      </c>
      <c r="G604" s="171" t="s">
        <v>177</v>
      </c>
      <c r="H604" s="176">
        <v>1</v>
      </c>
      <c r="I604" s="177">
        <v>0</v>
      </c>
      <c r="J604" s="175">
        <v>46038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-33.659999999999997</v>
      </c>
    </row>
    <row r="605" spans="1:16" ht="19.5" customHeight="1">
      <c r="A605" s="171" t="s">
        <v>287</v>
      </c>
      <c r="B605" s="175">
        <v>46040</v>
      </c>
      <c r="C605" s="171" t="s">
        <v>115</v>
      </c>
      <c r="D605" s="171" t="s">
        <v>135</v>
      </c>
      <c r="E605" s="171" t="s">
        <v>38</v>
      </c>
      <c r="F605" s="171" t="s">
        <v>111</v>
      </c>
      <c r="G605" s="171" t="s">
        <v>112</v>
      </c>
      <c r="H605" s="176">
        <v>1</v>
      </c>
      <c r="I605" s="177">
        <v>0</v>
      </c>
      <c r="J605" s="175">
        <v>46038</v>
      </c>
      <c r="K605" s="171" t="s">
        <v>125</v>
      </c>
      <c r="L605" s="171" t="s">
        <v>125</v>
      </c>
      <c r="M605" s="178">
        <v>0</v>
      </c>
      <c r="N605" s="176"/>
      <c r="O605" s="176"/>
      <c r="P605" s="179">
        <v>-10.9</v>
      </c>
    </row>
    <row r="606" spans="1:16" ht="19.5" customHeight="1">
      <c r="A606" s="171" t="s">
        <v>288</v>
      </c>
      <c r="B606" s="175">
        <v>46040</v>
      </c>
      <c r="C606" s="171" t="s">
        <v>115</v>
      </c>
      <c r="D606" s="171" t="s">
        <v>135</v>
      </c>
      <c r="E606" s="171" t="s">
        <v>48</v>
      </c>
      <c r="F606" s="171" t="s">
        <v>198</v>
      </c>
      <c r="G606" s="171" t="s">
        <v>112</v>
      </c>
      <c r="H606" s="176">
        <v>1</v>
      </c>
      <c r="I606" s="177">
        <v>0</v>
      </c>
      <c r="J606" s="175">
        <v>46040</v>
      </c>
      <c r="K606" s="171" t="s">
        <v>125</v>
      </c>
      <c r="L606" s="171" t="s">
        <v>125</v>
      </c>
      <c r="M606" s="178">
        <v>0</v>
      </c>
      <c r="N606" s="176"/>
      <c r="O606" s="176"/>
      <c r="P606" s="179">
        <v>-13.61</v>
      </c>
    </row>
    <row r="607" spans="1:16" ht="19.5" customHeight="1">
      <c r="A607" s="171" t="s">
        <v>196</v>
      </c>
      <c r="B607" s="175">
        <v>46040</v>
      </c>
      <c r="C607" s="171" t="s">
        <v>151</v>
      </c>
      <c r="D607" s="171" t="s">
        <v>152</v>
      </c>
      <c r="E607" s="171" t="s">
        <v>125</v>
      </c>
      <c r="F607" s="171" t="s">
        <v>125</v>
      </c>
      <c r="G607" s="171" t="s">
        <v>125</v>
      </c>
      <c r="H607" s="176">
        <v>0</v>
      </c>
      <c r="I607" s="177">
        <v>0</v>
      </c>
      <c r="J607" s="175">
        <v>46040</v>
      </c>
      <c r="K607" s="171" t="s">
        <v>125</v>
      </c>
      <c r="L607" s="171" t="s">
        <v>125</v>
      </c>
      <c r="M607" s="178">
        <v>0</v>
      </c>
      <c r="N607" s="176"/>
      <c r="O607" s="176"/>
      <c r="P607" s="179">
        <v>-295.23</v>
      </c>
    </row>
    <row r="608" spans="1:16" ht="19.5" customHeight="1">
      <c r="A608" s="171" t="s">
        <v>180</v>
      </c>
      <c r="B608" s="175">
        <v>46040</v>
      </c>
      <c r="C608" s="171" t="s">
        <v>151</v>
      </c>
      <c r="D608" s="171" t="s">
        <v>152</v>
      </c>
      <c r="E608" s="171" t="s">
        <v>125</v>
      </c>
      <c r="F608" s="171" t="s">
        <v>125</v>
      </c>
      <c r="G608" s="171" t="s">
        <v>125</v>
      </c>
      <c r="H608" s="176">
        <v>0</v>
      </c>
      <c r="I608" s="177">
        <v>0</v>
      </c>
      <c r="J608" s="175">
        <v>46040</v>
      </c>
      <c r="K608" s="171" t="s">
        <v>125</v>
      </c>
      <c r="L608" s="171" t="s">
        <v>125</v>
      </c>
      <c r="M608" s="178">
        <v>0</v>
      </c>
      <c r="N608" s="176"/>
      <c r="O608" s="176"/>
      <c r="P608" s="179">
        <v>-291.93</v>
      </c>
    </row>
    <row r="609" spans="1:16" ht="19.5" customHeight="1">
      <c r="A609" s="171" t="s">
        <v>179</v>
      </c>
      <c r="B609" s="175">
        <v>46040</v>
      </c>
      <c r="C609" s="171" t="s">
        <v>151</v>
      </c>
      <c r="D609" s="171" t="s">
        <v>152</v>
      </c>
      <c r="E609" s="171" t="s">
        <v>125</v>
      </c>
      <c r="F609" s="171" t="s">
        <v>125</v>
      </c>
      <c r="G609" s="171" t="s">
        <v>125</v>
      </c>
      <c r="H609" s="176">
        <v>0</v>
      </c>
      <c r="I609" s="177">
        <v>0</v>
      </c>
      <c r="J609" s="175">
        <v>46040</v>
      </c>
      <c r="K609" s="171" t="s">
        <v>125</v>
      </c>
      <c r="L609" s="171" t="s">
        <v>125</v>
      </c>
      <c r="M609" s="178">
        <v>0</v>
      </c>
      <c r="N609" s="176"/>
      <c r="O609" s="176"/>
      <c r="P609" s="179">
        <v>-301.89999999999998</v>
      </c>
    </row>
    <row r="610" spans="1:16" ht="19.5" customHeight="1">
      <c r="A610" s="171" t="s">
        <v>153</v>
      </c>
      <c r="B610" s="175">
        <v>46040</v>
      </c>
      <c r="C610" s="171" t="s">
        <v>151</v>
      </c>
      <c r="D610" s="171" t="s">
        <v>152</v>
      </c>
      <c r="E610" s="171" t="s">
        <v>125</v>
      </c>
      <c r="F610" s="171" t="s">
        <v>125</v>
      </c>
      <c r="G610" s="171" t="s">
        <v>125</v>
      </c>
      <c r="H610" s="176">
        <v>0</v>
      </c>
      <c r="I610" s="177">
        <v>0</v>
      </c>
      <c r="J610" s="175">
        <v>46040</v>
      </c>
      <c r="K610" s="171" t="s">
        <v>125</v>
      </c>
      <c r="L610" s="171" t="s">
        <v>125</v>
      </c>
      <c r="M610" s="178">
        <v>0</v>
      </c>
      <c r="N610" s="176"/>
      <c r="O610" s="176"/>
      <c r="P610" s="179">
        <v>-410.44</v>
      </c>
    </row>
    <row r="611" spans="1:16" ht="19.5" customHeight="1">
      <c r="A611" s="171" t="s">
        <v>150</v>
      </c>
      <c r="B611" s="175">
        <v>46040</v>
      </c>
      <c r="C611" s="171" t="s">
        <v>151</v>
      </c>
      <c r="D611" s="171" t="s">
        <v>152</v>
      </c>
      <c r="E611" s="171" t="s">
        <v>125</v>
      </c>
      <c r="F611" s="171" t="s">
        <v>125</v>
      </c>
      <c r="G611" s="171" t="s">
        <v>125</v>
      </c>
      <c r="H611" s="176">
        <v>0</v>
      </c>
      <c r="I611" s="177">
        <v>0</v>
      </c>
      <c r="J611" s="175">
        <v>46040</v>
      </c>
      <c r="K611" s="171" t="s">
        <v>125</v>
      </c>
      <c r="L611" s="171" t="s">
        <v>125</v>
      </c>
      <c r="M611" s="178">
        <v>0</v>
      </c>
      <c r="N611" s="176"/>
      <c r="O611" s="176"/>
      <c r="P611" s="179">
        <v>-1286.9100000000001</v>
      </c>
    </row>
    <row r="612" spans="1:16" ht="19.5" customHeight="1">
      <c r="A612" s="171" t="s">
        <v>155</v>
      </c>
      <c r="B612" s="175">
        <v>46040</v>
      </c>
      <c r="C612" s="171" t="s">
        <v>151</v>
      </c>
      <c r="D612" s="171" t="s">
        <v>156</v>
      </c>
      <c r="E612" s="171" t="s">
        <v>125</v>
      </c>
      <c r="F612" s="171" t="s">
        <v>125</v>
      </c>
      <c r="G612" s="171" t="s">
        <v>125</v>
      </c>
      <c r="H612" s="176">
        <v>0</v>
      </c>
      <c r="I612" s="177">
        <v>0</v>
      </c>
      <c r="J612" s="175">
        <v>46040</v>
      </c>
      <c r="K612" s="171" t="s">
        <v>125</v>
      </c>
      <c r="L612" s="171" t="s">
        <v>125</v>
      </c>
      <c r="M612" s="178">
        <v>0</v>
      </c>
      <c r="N612" s="176"/>
      <c r="O612" s="176"/>
      <c r="P612" s="179">
        <v>-1590.2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E660-FACC-416A-AE6A-9E8107BE6D73}">
  <dimension ref="A1:P653"/>
  <sheetViews>
    <sheetView workbookViewId="0">
      <selection activeCell="C10" sqref="C10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406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407</v>
      </c>
      <c r="B3" s="175">
        <v>46027</v>
      </c>
      <c r="C3" s="171" t="s">
        <v>110</v>
      </c>
      <c r="D3" s="171" t="s">
        <v>117</v>
      </c>
      <c r="E3" s="171" t="s">
        <v>40</v>
      </c>
      <c r="F3" s="171" t="s">
        <v>149</v>
      </c>
      <c r="G3" s="171" t="s">
        <v>112</v>
      </c>
      <c r="H3" s="176">
        <v>1</v>
      </c>
      <c r="I3" s="177">
        <v>0</v>
      </c>
      <c r="J3" s="175">
        <v>46013</v>
      </c>
      <c r="K3" s="171" t="s">
        <v>113</v>
      </c>
      <c r="L3" s="171" t="s">
        <v>114</v>
      </c>
      <c r="M3" s="178">
        <v>0</v>
      </c>
      <c r="N3" s="176"/>
      <c r="O3" s="176"/>
      <c r="P3" s="179">
        <v>0</v>
      </c>
    </row>
    <row r="4" spans="1:16" ht="19.5" customHeight="1">
      <c r="A4" s="171" t="s">
        <v>407</v>
      </c>
      <c r="B4" s="175">
        <v>46027</v>
      </c>
      <c r="C4" s="171" t="s">
        <v>110</v>
      </c>
      <c r="D4" s="171" t="s">
        <v>118</v>
      </c>
      <c r="E4" s="171" t="s">
        <v>40</v>
      </c>
      <c r="F4" s="171" t="s">
        <v>149</v>
      </c>
      <c r="G4" s="171" t="s">
        <v>112</v>
      </c>
      <c r="H4" s="176">
        <v>1</v>
      </c>
      <c r="I4" s="177">
        <v>0</v>
      </c>
      <c r="J4" s="175">
        <v>46013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-46.77</v>
      </c>
    </row>
    <row r="5" spans="1:16" ht="19.5" customHeight="1">
      <c r="A5" s="171" t="s">
        <v>407</v>
      </c>
      <c r="B5" s="175">
        <v>46027</v>
      </c>
      <c r="C5" s="171" t="s">
        <v>115</v>
      </c>
      <c r="D5" s="171" t="s">
        <v>119</v>
      </c>
      <c r="E5" s="171" t="s">
        <v>40</v>
      </c>
      <c r="F5" s="171" t="s">
        <v>149</v>
      </c>
      <c r="G5" s="171" t="s">
        <v>112</v>
      </c>
      <c r="H5" s="176">
        <v>1</v>
      </c>
      <c r="I5" s="177">
        <v>0</v>
      </c>
      <c r="J5" s="175">
        <v>46013</v>
      </c>
      <c r="K5" s="171" t="s">
        <v>113</v>
      </c>
      <c r="L5" s="171" t="s">
        <v>114</v>
      </c>
      <c r="M5" s="178">
        <v>0</v>
      </c>
      <c r="N5" s="176"/>
      <c r="O5" s="176"/>
      <c r="P5" s="179">
        <v>-15</v>
      </c>
    </row>
    <row r="6" spans="1:16" ht="19.5" customHeight="1">
      <c r="A6" s="171" t="s">
        <v>407</v>
      </c>
      <c r="B6" s="175">
        <v>46027</v>
      </c>
      <c r="C6" s="171" t="s">
        <v>110</v>
      </c>
      <c r="D6" s="171" t="s">
        <v>24</v>
      </c>
      <c r="E6" s="171" t="s">
        <v>40</v>
      </c>
      <c r="F6" s="171" t="s">
        <v>149</v>
      </c>
      <c r="G6" s="171" t="s">
        <v>112</v>
      </c>
      <c r="H6" s="176">
        <v>1</v>
      </c>
      <c r="I6" s="177">
        <v>0</v>
      </c>
      <c r="J6" s="175">
        <v>46013</v>
      </c>
      <c r="K6" s="171" t="s">
        <v>113</v>
      </c>
      <c r="L6" s="171" t="s">
        <v>114</v>
      </c>
      <c r="M6" s="178">
        <v>0</v>
      </c>
      <c r="N6" s="176"/>
      <c r="O6" s="176">
        <v>42</v>
      </c>
      <c r="P6" s="179">
        <v>-46.77</v>
      </c>
    </row>
    <row r="7" spans="1:16" ht="19.5" customHeight="1">
      <c r="A7" s="171" t="s">
        <v>407</v>
      </c>
      <c r="B7" s="175">
        <v>46027</v>
      </c>
      <c r="C7" s="171" t="s">
        <v>115</v>
      </c>
      <c r="D7" s="171" t="s">
        <v>116</v>
      </c>
      <c r="E7" s="171" t="s">
        <v>40</v>
      </c>
      <c r="F7" s="171" t="s">
        <v>149</v>
      </c>
      <c r="G7" s="171" t="s">
        <v>112</v>
      </c>
      <c r="H7" s="176">
        <v>1</v>
      </c>
      <c r="I7" s="177">
        <v>0</v>
      </c>
      <c r="J7" s="175">
        <v>46013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-14.4</v>
      </c>
    </row>
    <row r="8" spans="1:16" ht="19.5" customHeight="1">
      <c r="A8" s="171" t="s">
        <v>408</v>
      </c>
      <c r="B8" s="175">
        <v>46027</v>
      </c>
      <c r="C8" s="171" t="s">
        <v>110</v>
      </c>
      <c r="D8" s="171" t="s">
        <v>24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1704</v>
      </c>
      <c r="J8" s="175">
        <v>46026</v>
      </c>
      <c r="K8" s="171" t="s">
        <v>113</v>
      </c>
      <c r="L8" s="171" t="s">
        <v>114</v>
      </c>
      <c r="M8" s="178">
        <v>0.43</v>
      </c>
      <c r="N8" s="176"/>
      <c r="O8" s="176">
        <v>37</v>
      </c>
      <c r="P8" s="179">
        <v>-99.56</v>
      </c>
    </row>
    <row r="9" spans="1:16" ht="19.5" customHeight="1">
      <c r="A9" s="171" t="s">
        <v>408</v>
      </c>
      <c r="B9" s="175">
        <v>46027</v>
      </c>
      <c r="C9" s="171" t="s">
        <v>127</v>
      </c>
      <c r="D9" s="171" t="s">
        <v>128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1704</v>
      </c>
      <c r="J9" s="175">
        <v>46026</v>
      </c>
      <c r="K9" s="171" t="s">
        <v>113</v>
      </c>
      <c r="L9" s="171" t="s">
        <v>114</v>
      </c>
      <c r="M9" s="178">
        <v>0</v>
      </c>
      <c r="N9" s="176"/>
      <c r="O9" s="176"/>
      <c r="P9" s="179">
        <v>649.52</v>
      </c>
    </row>
    <row r="10" spans="1:16" ht="19.5" customHeight="1">
      <c r="A10" s="171" t="s">
        <v>408</v>
      </c>
      <c r="B10" s="175">
        <v>46027</v>
      </c>
      <c r="C10" s="171" t="s">
        <v>127</v>
      </c>
      <c r="D10" s="171" t="s">
        <v>129</v>
      </c>
      <c r="E10" s="171" t="s">
        <v>38</v>
      </c>
      <c r="F10" s="171" t="s">
        <v>111</v>
      </c>
      <c r="G10" s="171" t="s">
        <v>112</v>
      </c>
      <c r="H10" s="176">
        <v>1</v>
      </c>
      <c r="I10" s="177">
        <v>1704</v>
      </c>
      <c r="J10" s="175">
        <v>46026</v>
      </c>
      <c r="K10" s="171" t="s">
        <v>113</v>
      </c>
      <c r="L10" s="171" t="s">
        <v>114</v>
      </c>
      <c r="M10" s="178">
        <v>0</v>
      </c>
      <c r="N10" s="176"/>
      <c r="O10" s="176"/>
      <c r="P10" s="179">
        <v>0</v>
      </c>
    </row>
    <row r="11" spans="1:16" ht="19.5" customHeight="1">
      <c r="A11" s="171" t="s">
        <v>408</v>
      </c>
      <c r="B11" s="175">
        <v>46027</v>
      </c>
      <c r="C11" s="171" t="s">
        <v>127</v>
      </c>
      <c r="D11" s="171" t="s">
        <v>130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1704</v>
      </c>
      <c r="J11" s="175">
        <v>46026</v>
      </c>
      <c r="K11" s="171" t="s">
        <v>113</v>
      </c>
      <c r="L11" s="171" t="s">
        <v>114</v>
      </c>
      <c r="M11" s="178">
        <v>0</v>
      </c>
      <c r="N11" s="176"/>
      <c r="O11" s="176"/>
      <c r="P11" s="179">
        <v>1054.48</v>
      </c>
    </row>
    <row r="12" spans="1:16" ht="19.5" customHeight="1">
      <c r="A12" s="171" t="s">
        <v>408</v>
      </c>
      <c r="B12" s="175">
        <v>46027</v>
      </c>
      <c r="C12" s="171" t="s">
        <v>131</v>
      </c>
      <c r="D12" s="171" t="s">
        <v>132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1704</v>
      </c>
      <c r="J12" s="175">
        <v>46026</v>
      </c>
      <c r="K12" s="171" t="s">
        <v>113</v>
      </c>
      <c r="L12" s="171" t="s">
        <v>114</v>
      </c>
      <c r="M12" s="178">
        <v>0.43</v>
      </c>
      <c r="N12" s="176"/>
      <c r="O12" s="176"/>
      <c r="P12" s="179">
        <v>-732.72</v>
      </c>
    </row>
    <row r="13" spans="1:16" ht="19.5" customHeight="1">
      <c r="A13" s="171" t="s">
        <v>408</v>
      </c>
      <c r="B13" s="175">
        <v>46027</v>
      </c>
      <c r="C13" s="171" t="s">
        <v>115</v>
      </c>
      <c r="D13" s="171" t="s">
        <v>116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1704</v>
      </c>
      <c r="J13" s="175">
        <v>46026</v>
      </c>
      <c r="K13" s="171" t="s">
        <v>113</v>
      </c>
      <c r="L13" s="171" t="s">
        <v>114</v>
      </c>
      <c r="M13" s="178">
        <v>0.43</v>
      </c>
      <c r="N13" s="176"/>
      <c r="O13" s="176"/>
      <c r="P13" s="179">
        <v>-9.18</v>
      </c>
    </row>
    <row r="14" spans="1:16" ht="19.5" customHeight="1">
      <c r="A14" s="171" t="s">
        <v>409</v>
      </c>
      <c r="B14" s="175">
        <v>46027</v>
      </c>
      <c r="C14" s="171" t="s">
        <v>110</v>
      </c>
      <c r="D14" s="171" t="s">
        <v>24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1704</v>
      </c>
      <c r="J14" s="175">
        <v>46019</v>
      </c>
      <c r="K14" s="171" t="s">
        <v>113</v>
      </c>
      <c r="L14" s="171" t="s">
        <v>114</v>
      </c>
      <c r="M14" s="178">
        <v>0.43</v>
      </c>
      <c r="N14" s="176"/>
      <c r="O14" s="176">
        <v>39</v>
      </c>
      <c r="P14" s="179">
        <v>-108.98</v>
      </c>
    </row>
    <row r="15" spans="1:16" ht="19.5" customHeight="1">
      <c r="A15" s="171" t="s">
        <v>409</v>
      </c>
      <c r="B15" s="175">
        <v>46027</v>
      </c>
      <c r="C15" s="171" t="s">
        <v>127</v>
      </c>
      <c r="D15" s="171" t="s">
        <v>128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1704</v>
      </c>
      <c r="J15" s="175">
        <v>46019</v>
      </c>
      <c r="K15" s="171" t="s">
        <v>113</v>
      </c>
      <c r="L15" s="171" t="s">
        <v>114</v>
      </c>
      <c r="M15" s="178">
        <v>0</v>
      </c>
      <c r="N15" s="176"/>
      <c r="O15" s="176"/>
      <c r="P15" s="179">
        <v>644.64</v>
      </c>
    </row>
    <row r="16" spans="1:16" ht="19.5" customHeight="1">
      <c r="A16" s="171" t="s">
        <v>409</v>
      </c>
      <c r="B16" s="175">
        <v>46027</v>
      </c>
      <c r="C16" s="171" t="s">
        <v>127</v>
      </c>
      <c r="D16" s="171" t="s">
        <v>129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1704</v>
      </c>
      <c r="J16" s="175">
        <v>46019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0</v>
      </c>
    </row>
    <row r="17" spans="1:16" ht="19.5" customHeight="1">
      <c r="A17" s="171" t="s">
        <v>409</v>
      </c>
      <c r="B17" s="175">
        <v>46027</v>
      </c>
      <c r="C17" s="171" t="s">
        <v>127</v>
      </c>
      <c r="D17" s="171" t="s">
        <v>130</v>
      </c>
      <c r="E17" s="171" t="s">
        <v>38</v>
      </c>
      <c r="F17" s="171" t="s">
        <v>111</v>
      </c>
      <c r="G17" s="171" t="s">
        <v>112</v>
      </c>
      <c r="H17" s="176">
        <v>1</v>
      </c>
      <c r="I17" s="177">
        <v>1704</v>
      </c>
      <c r="J17" s="175">
        <v>46019</v>
      </c>
      <c r="K17" s="171" t="s">
        <v>113</v>
      </c>
      <c r="L17" s="171" t="s">
        <v>114</v>
      </c>
      <c r="M17" s="178">
        <v>0</v>
      </c>
      <c r="N17" s="176"/>
      <c r="O17" s="176"/>
      <c r="P17" s="179">
        <v>1059.3599999999999</v>
      </c>
    </row>
    <row r="18" spans="1:16" ht="19.5" customHeight="1">
      <c r="A18" s="171" t="s">
        <v>409</v>
      </c>
      <c r="B18" s="175">
        <v>46027</v>
      </c>
      <c r="C18" s="171" t="s">
        <v>131</v>
      </c>
      <c r="D18" s="171" t="s">
        <v>132</v>
      </c>
      <c r="E18" s="171" t="s">
        <v>38</v>
      </c>
      <c r="F18" s="171" t="s">
        <v>111</v>
      </c>
      <c r="G18" s="171" t="s">
        <v>112</v>
      </c>
      <c r="H18" s="176">
        <v>1</v>
      </c>
      <c r="I18" s="177">
        <v>1704</v>
      </c>
      <c r="J18" s="175">
        <v>46019</v>
      </c>
      <c r="K18" s="171" t="s">
        <v>113</v>
      </c>
      <c r="L18" s="171" t="s">
        <v>114</v>
      </c>
      <c r="M18" s="178">
        <v>0.43</v>
      </c>
      <c r="N18" s="176"/>
      <c r="O18" s="176"/>
      <c r="P18" s="179">
        <v>-732.72</v>
      </c>
    </row>
    <row r="19" spans="1:16" ht="19.5" customHeight="1">
      <c r="A19" s="171" t="s">
        <v>410</v>
      </c>
      <c r="B19" s="175">
        <v>46027</v>
      </c>
      <c r="C19" s="171" t="s">
        <v>115</v>
      </c>
      <c r="D19" s="171" t="s">
        <v>135</v>
      </c>
      <c r="E19" s="171" t="s">
        <v>41</v>
      </c>
      <c r="F19" s="171" t="s">
        <v>138</v>
      </c>
      <c r="G19" s="171" t="s">
        <v>112</v>
      </c>
      <c r="H19" s="176">
        <v>1</v>
      </c>
      <c r="I19" s="177">
        <v>0</v>
      </c>
      <c r="J19" s="175">
        <v>46027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-3.45</v>
      </c>
    </row>
    <row r="20" spans="1:16" ht="19.5" customHeight="1">
      <c r="A20" s="171" t="s">
        <v>411</v>
      </c>
      <c r="B20" s="175">
        <v>46027</v>
      </c>
      <c r="C20" s="171" t="s">
        <v>115</v>
      </c>
      <c r="D20" s="171" t="s">
        <v>135</v>
      </c>
      <c r="E20" s="171" t="s">
        <v>48</v>
      </c>
      <c r="F20" s="171" t="s">
        <v>198</v>
      </c>
      <c r="G20" s="171" t="s">
        <v>112</v>
      </c>
      <c r="H20" s="176">
        <v>1</v>
      </c>
      <c r="I20" s="177">
        <v>0</v>
      </c>
      <c r="J20" s="175">
        <v>46027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-12.79</v>
      </c>
    </row>
    <row r="21" spans="1:16" ht="19.5" customHeight="1">
      <c r="A21" s="171" t="s">
        <v>412</v>
      </c>
      <c r="B21" s="175">
        <v>46027</v>
      </c>
      <c r="C21" s="171" t="s">
        <v>115</v>
      </c>
      <c r="D21" s="171" t="s">
        <v>135</v>
      </c>
      <c r="E21" s="171" t="s">
        <v>50</v>
      </c>
      <c r="F21" s="171" t="s">
        <v>413</v>
      </c>
      <c r="G21" s="171" t="s">
        <v>112</v>
      </c>
      <c r="H21" s="176">
        <v>1</v>
      </c>
      <c r="I21" s="177">
        <v>0</v>
      </c>
      <c r="J21" s="175">
        <v>46027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-12.25</v>
      </c>
    </row>
    <row r="22" spans="1:16" ht="19.5" customHeight="1">
      <c r="A22" s="171" t="s">
        <v>414</v>
      </c>
      <c r="B22" s="175">
        <v>46027</v>
      </c>
      <c r="C22" s="171" t="s">
        <v>110</v>
      </c>
      <c r="D22" s="171" t="s">
        <v>24</v>
      </c>
      <c r="E22" s="171" t="s">
        <v>41</v>
      </c>
      <c r="F22" s="171" t="s">
        <v>138</v>
      </c>
      <c r="G22" s="171" t="s">
        <v>112</v>
      </c>
      <c r="H22" s="176">
        <v>1</v>
      </c>
      <c r="I22" s="177">
        <v>0</v>
      </c>
      <c r="J22" s="175">
        <v>46020</v>
      </c>
      <c r="K22" s="171" t="s">
        <v>113</v>
      </c>
      <c r="L22" s="171" t="s">
        <v>114</v>
      </c>
      <c r="M22" s="178">
        <v>0</v>
      </c>
      <c r="N22" s="176"/>
      <c r="O22" s="176">
        <v>38</v>
      </c>
      <c r="P22" s="179">
        <v>-46.77</v>
      </c>
    </row>
    <row r="23" spans="1:16" ht="19.5" customHeight="1">
      <c r="A23" s="171" t="s">
        <v>414</v>
      </c>
      <c r="B23" s="175">
        <v>46027</v>
      </c>
      <c r="C23" s="171" t="s">
        <v>115</v>
      </c>
      <c r="D23" s="171" t="s">
        <v>116</v>
      </c>
      <c r="E23" s="171" t="s">
        <v>41</v>
      </c>
      <c r="F23" s="171" t="s">
        <v>138</v>
      </c>
      <c r="G23" s="171" t="s">
        <v>112</v>
      </c>
      <c r="H23" s="176">
        <v>1</v>
      </c>
      <c r="I23" s="177">
        <v>0</v>
      </c>
      <c r="J23" s="175">
        <v>46020</v>
      </c>
      <c r="K23" s="171" t="s">
        <v>113</v>
      </c>
      <c r="L23" s="171" t="s">
        <v>114</v>
      </c>
      <c r="M23" s="178">
        <v>0</v>
      </c>
      <c r="N23" s="176"/>
      <c r="O23" s="176"/>
      <c r="P23" s="179">
        <v>-9.93</v>
      </c>
    </row>
    <row r="24" spans="1:16" ht="19.5" customHeight="1">
      <c r="A24" s="171" t="s">
        <v>414</v>
      </c>
      <c r="B24" s="175">
        <v>46027</v>
      </c>
      <c r="C24" s="171" t="s">
        <v>110</v>
      </c>
      <c r="D24" s="171" t="s">
        <v>117</v>
      </c>
      <c r="E24" s="171" t="s">
        <v>41</v>
      </c>
      <c r="F24" s="171" t="s">
        <v>138</v>
      </c>
      <c r="G24" s="171" t="s">
        <v>112</v>
      </c>
      <c r="H24" s="176">
        <v>1</v>
      </c>
      <c r="I24" s="177">
        <v>0</v>
      </c>
      <c r="J24" s="175">
        <v>46020</v>
      </c>
      <c r="K24" s="171" t="s">
        <v>113</v>
      </c>
      <c r="L24" s="171" t="s">
        <v>114</v>
      </c>
      <c r="M24" s="178">
        <v>0</v>
      </c>
      <c r="N24" s="176"/>
      <c r="O24" s="176"/>
      <c r="P24" s="179">
        <v>0</v>
      </c>
    </row>
    <row r="25" spans="1:16" ht="19.5" customHeight="1">
      <c r="A25" s="171" t="s">
        <v>414</v>
      </c>
      <c r="B25" s="175">
        <v>46027</v>
      </c>
      <c r="C25" s="171" t="s">
        <v>110</v>
      </c>
      <c r="D25" s="171" t="s">
        <v>118</v>
      </c>
      <c r="E25" s="171" t="s">
        <v>41</v>
      </c>
      <c r="F25" s="171" t="s">
        <v>138</v>
      </c>
      <c r="G25" s="171" t="s">
        <v>112</v>
      </c>
      <c r="H25" s="176">
        <v>1</v>
      </c>
      <c r="I25" s="177">
        <v>0</v>
      </c>
      <c r="J25" s="175">
        <v>46020</v>
      </c>
      <c r="K25" s="171" t="s">
        <v>113</v>
      </c>
      <c r="L25" s="171" t="s">
        <v>114</v>
      </c>
      <c r="M25" s="178">
        <v>0</v>
      </c>
      <c r="N25" s="176"/>
      <c r="O25" s="176"/>
      <c r="P25" s="179">
        <v>-46.77</v>
      </c>
    </row>
    <row r="26" spans="1:16" ht="19.5" customHeight="1">
      <c r="A26" s="171" t="s">
        <v>414</v>
      </c>
      <c r="B26" s="175">
        <v>46027</v>
      </c>
      <c r="C26" s="171" t="s">
        <v>115</v>
      </c>
      <c r="D26" s="171" t="s">
        <v>119</v>
      </c>
      <c r="E26" s="171" t="s">
        <v>41</v>
      </c>
      <c r="F26" s="171" t="s">
        <v>138</v>
      </c>
      <c r="G26" s="171" t="s">
        <v>112</v>
      </c>
      <c r="H26" s="176">
        <v>1</v>
      </c>
      <c r="I26" s="177">
        <v>0</v>
      </c>
      <c r="J26" s="175">
        <v>46020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-15</v>
      </c>
    </row>
    <row r="27" spans="1:16" ht="19.5" customHeight="1">
      <c r="A27" s="171" t="s">
        <v>415</v>
      </c>
      <c r="B27" s="175">
        <v>46027</v>
      </c>
      <c r="C27" s="171" t="s">
        <v>110</v>
      </c>
      <c r="D27" s="171" t="s">
        <v>24</v>
      </c>
      <c r="E27" s="171" t="s">
        <v>50</v>
      </c>
      <c r="F27" s="171" t="s">
        <v>413</v>
      </c>
      <c r="G27" s="171" t="s">
        <v>112</v>
      </c>
      <c r="H27" s="176">
        <v>1</v>
      </c>
      <c r="I27" s="177">
        <v>1335</v>
      </c>
      <c r="J27" s="175">
        <v>46019</v>
      </c>
      <c r="K27" s="171" t="s">
        <v>113</v>
      </c>
      <c r="L27" s="171" t="s">
        <v>114</v>
      </c>
      <c r="M27" s="178">
        <v>0.43</v>
      </c>
      <c r="N27" s="176"/>
      <c r="O27" s="176">
        <v>39</v>
      </c>
      <c r="P27" s="179">
        <v>-101.26</v>
      </c>
    </row>
    <row r="28" spans="1:16" ht="19.5" customHeight="1">
      <c r="A28" s="171" t="s">
        <v>415</v>
      </c>
      <c r="B28" s="175">
        <v>46027</v>
      </c>
      <c r="C28" s="171" t="s">
        <v>127</v>
      </c>
      <c r="D28" s="171" t="s">
        <v>128</v>
      </c>
      <c r="E28" s="171" t="s">
        <v>50</v>
      </c>
      <c r="F28" s="171" t="s">
        <v>413</v>
      </c>
      <c r="G28" s="171" t="s">
        <v>112</v>
      </c>
      <c r="H28" s="176">
        <v>1</v>
      </c>
      <c r="I28" s="177">
        <v>1335</v>
      </c>
      <c r="J28" s="175">
        <v>46019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467.17</v>
      </c>
    </row>
    <row r="29" spans="1:16" ht="19.5" customHeight="1">
      <c r="A29" s="171" t="s">
        <v>415</v>
      </c>
      <c r="B29" s="175">
        <v>46027</v>
      </c>
      <c r="C29" s="171" t="s">
        <v>127</v>
      </c>
      <c r="D29" s="171" t="s">
        <v>129</v>
      </c>
      <c r="E29" s="171" t="s">
        <v>50</v>
      </c>
      <c r="F29" s="171" t="s">
        <v>413</v>
      </c>
      <c r="G29" s="171" t="s">
        <v>112</v>
      </c>
      <c r="H29" s="176">
        <v>1</v>
      </c>
      <c r="I29" s="177">
        <v>1335</v>
      </c>
      <c r="J29" s="175">
        <v>46019</v>
      </c>
      <c r="K29" s="171" t="s">
        <v>113</v>
      </c>
      <c r="L29" s="171" t="s">
        <v>114</v>
      </c>
      <c r="M29" s="178">
        <v>0</v>
      </c>
      <c r="N29" s="176"/>
      <c r="O29" s="176"/>
      <c r="P29" s="179">
        <v>4.67</v>
      </c>
    </row>
    <row r="30" spans="1:16" ht="19.5" customHeight="1">
      <c r="A30" s="171" t="s">
        <v>415</v>
      </c>
      <c r="B30" s="175">
        <v>46027</v>
      </c>
      <c r="C30" s="171" t="s">
        <v>127</v>
      </c>
      <c r="D30" s="171" t="s">
        <v>130</v>
      </c>
      <c r="E30" s="171" t="s">
        <v>50</v>
      </c>
      <c r="F30" s="171" t="s">
        <v>413</v>
      </c>
      <c r="G30" s="171" t="s">
        <v>112</v>
      </c>
      <c r="H30" s="176">
        <v>1</v>
      </c>
      <c r="I30" s="177">
        <v>1335</v>
      </c>
      <c r="J30" s="175">
        <v>46019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863.16</v>
      </c>
    </row>
    <row r="31" spans="1:16" ht="19.5" customHeight="1">
      <c r="A31" s="171" t="s">
        <v>415</v>
      </c>
      <c r="B31" s="175">
        <v>46027</v>
      </c>
      <c r="C31" s="171" t="s">
        <v>131</v>
      </c>
      <c r="D31" s="171" t="s">
        <v>132</v>
      </c>
      <c r="E31" s="171" t="s">
        <v>50</v>
      </c>
      <c r="F31" s="171" t="s">
        <v>413</v>
      </c>
      <c r="G31" s="171" t="s">
        <v>112</v>
      </c>
      <c r="H31" s="176">
        <v>1</v>
      </c>
      <c r="I31" s="177">
        <v>1335</v>
      </c>
      <c r="J31" s="175">
        <v>46019</v>
      </c>
      <c r="K31" s="171" t="s">
        <v>113</v>
      </c>
      <c r="L31" s="171" t="s">
        <v>114</v>
      </c>
      <c r="M31" s="178">
        <v>0.43</v>
      </c>
      <c r="N31" s="176"/>
      <c r="O31" s="176"/>
      <c r="P31" s="179">
        <v>-574.04999999999995</v>
      </c>
    </row>
    <row r="32" spans="1:16" ht="19.5" customHeight="1">
      <c r="A32" s="171" t="s">
        <v>415</v>
      </c>
      <c r="B32" s="175">
        <v>46027</v>
      </c>
      <c r="C32" s="171" t="s">
        <v>115</v>
      </c>
      <c r="D32" s="171" t="s">
        <v>116</v>
      </c>
      <c r="E32" s="171" t="s">
        <v>50</v>
      </c>
      <c r="F32" s="171" t="s">
        <v>413</v>
      </c>
      <c r="G32" s="171" t="s">
        <v>112</v>
      </c>
      <c r="H32" s="176">
        <v>1</v>
      </c>
      <c r="I32" s="177">
        <v>1335</v>
      </c>
      <c r="J32" s="175">
        <v>46019</v>
      </c>
      <c r="K32" s="171" t="s">
        <v>113</v>
      </c>
      <c r="L32" s="171" t="s">
        <v>114</v>
      </c>
      <c r="M32" s="178">
        <v>0.43</v>
      </c>
      <c r="N32" s="176"/>
      <c r="O32" s="176"/>
      <c r="P32" s="179">
        <v>-13.34</v>
      </c>
    </row>
    <row r="33" spans="1:16" ht="19.5" customHeight="1">
      <c r="A33" s="171" t="s">
        <v>416</v>
      </c>
      <c r="B33" s="175">
        <v>46027</v>
      </c>
      <c r="C33" s="171" t="s">
        <v>110</v>
      </c>
      <c r="D33" s="171" t="s">
        <v>24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1704</v>
      </c>
      <c r="J33" s="175">
        <v>46024</v>
      </c>
      <c r="K33" s="171" t="s">
        <v>113</v>
      </c>
      <c r="L33" s="171" t="s">
        <v>114</v>
      </c>
      <c r="M33" s="178">
        <v>0.43</v>
      </c>
      <c r="N33" s="176"/>
      <c r="O33" s="176">
        <v>39</v>
      </c>
      <c r="P33" s="179">
        <v>-108.98</v>
      </c>
    </row>
    <row r="34" spans="1:16" ht="19.5" customHeight="1">
      <c r="A34" s="171" t="s">
        <v>416</v>
      </c>
      <c r="B34" s="175">
        <v>46027</v>
      </c>
      <c r="C34" s="171" t="s">
        <v>127</v>
      </c>
      <c r="D34" s="171" t="s">
        <v>128</v>
      </c>
      <c r="E34" s="171" t="s">
        <v>38</v>
      </c>
      <c r="F34" s="171" t="s">
        <v>111</v>
      </c>
      <c r="G34" s="171" t="s">
        <v>112</v>
      </c>
      <c r="H34" s="176">
        <v>1</v>
      </c>
      <c r="I34" s="177">
        <v>1704</v>
      </c>
      <c r="J34" s="175">
        <v>46024</v>
      </c>
      <c r="K34" s="171" t="s">
        <v>113</v>
      </c>
      <c r="L34" s="171" t="s">
        <v>114</v>
      </c>
      <c r="M34" s="178">
        <v>0</v>
      </c>
      <c r="N34" s="176"/>
      <c r="O34" s="176"/>
      <c r="P34" s="179">
        <v>585.71</v>
      </c>
    </row>
    <row r="35" spans="1:16" ht="19.5" customHeight="1">
      <c r="A35" s="171" t="s">
        <v>416</v>
      </c>
      <c r="B35" s="175">
        <v>46027</v>
      </c>
      <c r="C35" s="171" t="s">
        <v>127</v>
      </c>
      <c r="D35" s="171" t="s">
        <v>129</v>
      </c>
      <c r="E35" s="171" t="s">
        <v>38</v>
      </c>
      <c r="F35" s="171" t="s">
        <v>111</v>
      </c>
      <c r="G35" s="171" t="s">
        <v>112</v>
      </c>
      <c r="H35" s="176">
        <v>1</v>
      </c>
      <c r="I35" s="177">
        <v>1704</v>
      </c>
      <c r="J35" s="175">
        <v>46024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5.86</v>
      </c>
    </row>
    <row r="36" spans="1:16" ht="19.5" customHeight="1">
      <c r="A36" s="171" t="s">
        <v>416</v>
      </c>
      <c r="B36" s="175">
        <v>46027</v>
      </c>
      <c r="C36" s="171" t="s">
        <v>127</v>
      </c>
      <c r="D36" s="171" t="s">
        <v>130</v>
      </c>
      <c r="E36" s="171" t="s">
        <v>38</v>
      </c>
      <c r="F36" s="171" t="s">
        <v>111</v>
      </c>
      <c r="G36" s="171" t="s">
        <v>112</v>
      </c>
      <c r="H36" s="176">
        <v>1</v>
      </c>
      <c r="I36" s="177">
        <v>1704</v>
      </c>
      <c r="J36" s="175">
        <v>46024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1112.43</v>
      </c>
    </row>
    <row r="37" spans="1:16" ht="19.5" customHeight="1">
      <c r="A37" s="171" t="s">
        <v>416</v>
      </c>
      <c r="B37" s="175">
        <v>46027</v>
      </c>
      <c r="C37" s="171" t="s">
        <v>131</v>
      </c>
      <c r="D37" s="171" t="s">
        <v>132</v>
      </c>
      <c r="E37" s="171" t="s">
        <v>38</v>
      </c>
      <c r="F37" s="171" t="s">
        <v>111</v>
      </c>
      <c r="G37" s="171" t="s">
        <v>112</v>
      </c>
      <c r="H37" s="176">
        <v>1</v>
      </c>
      <c r="I37" s="177">
        <v>1704</v>
      </c>
      <c r="J37" s="175">
        <v>46024</v>
      </c>
      <c r="K37" s="171" t="s">
        <v>113</v>
      </c>
      <c r="L37" s="171" t="s">
        <v>114</v>
      </c>
      <c r="M37" s="178">
        <v>0.43</v>
      </c>
      <c r="N37" s="176"/>
      <c r="O37" s="176"/>
      <c r="P37" s="179">
        <v>-732.72</v>
      </c>
    </row>
    <row r="38" spans="1:16" ht="19.5" customHeight="1">
      <c r="A38" s="171" t="s">
        <v>416</v>
      </c>
      <c r="B38" s="175">
        <v>46027</v>
      </c>
      <c r="C38" s="171" t="s">
        <v>115</v>
      </c>
      <c r="D38" s="171" t="s">
        <v>116</v>
      </c>
      <c r="E38" s="171" t="s">
        <v>38</v>
      </c>
      <c r="F38" s="171" t="s">
        <v>111</v>
      </c>
      <c r="G38" s="171" t="s">
        <v>112</v>
      </c>
      <c r="H38" s="176">
        <v>1</v>
      </c>
      <c r="I38" s="177">
        <v>1704</v>
      </c>
      <c r="J38" s="175">
        <v>46024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-8.02</v>
      </c>
    </row>
    <row r="39" spans="1:16" ht="19.5" customHeight="1">
      <c r="A39" s="171" t="s">
        <v>415</v>
      </c>
      <c r="B39" s="175">
        <v>46027</v>
      </c>
      <c r="C39" s="171" t="s">
        <v>115</v>
      </c>
      <c r="D39" s="171" t="s">
        <v>135</v>
      </c>
      <c r="E39" s="171" t="s">
        <v>50</v>
      </c>
      <c r="F39" s="171" t="s">
        <v>413</v>
      </c>
      <c r="G39" s="171" t="s">
        <v>112</v>
      </c>
      <c r="H39" s="176">
        <v>1</v>
      </c>
      <c r="I39" s="177">
        <v>0</v>
      </c>
      <c r="J39" s="175">
        <v>46019</v>
      </c>
      <c r="K39" s="171" t="s">
        <v>125</v>
      </c>
      <c r="L39" s="171" t="s">
        <v>125</v>
      </c>
      <c r="M39" s="178">
        <v>0</v>
      </c>
      <c r="N39" s="176"/>
      <c r="O39" s="176"/>
      <c r="P39" s="179">
        <v>-8.8800000000000008</v>
      </c>
    </row>
    <row r="40" spans="1:16" ht="19.5" customHeight="1">
      <c r="A40" s="171" t="s">
        <v>417</v>
      </c>
      <c r="B40" s="175">
        <v>46027</v>
      </c>
      <c r="C40" s="171" t="s">
        <v>110</v>
      </c>
      <c r="D40" s="171" t="s">
        <v>24</v>
      </c>
      <c r="E40" s="171" t="s">
        <v>38</v>
      </c>
      <c r="F40" s="171" t="s">
        <v>111</v>
      </c>
      <c r="G40" s="171" t="s">
        <v>112</v>
      </c>
      <c r="H40" s="176">
        <v>1</v>
      </c>
      <c r="I40" s="177">
        <v>1704</v>
      </c>
      <c r="J40" s="175">
        <v>46026</v>
      </c>
      <c r="K40" s="171" t="s">
        <v>113</v>
      </c>
      <c r="L40" s="171" t="s">
        <v>114</v>
      </c>
      <c r="M40" s="178">
        <v>0.43</v>
      </c>
      <c r="N40" s="176"/>
      <c r="O40" s="176">
        <v>37</v>
      </c>
      <c r="P40" s="179">
        <v>-99.56</v>
      </c>
    </row>
    <row r="41" spans="1:16" ht="19.5" customHeight="1">
      <c r="A41" s="171" t="s">
        <v>417</v>
      </c>
      <c r="B41" s="175">
        <v>46027</v>
      </c>
      <c r="C41" s="171" t="s">
        <v>127</v>
      </c>
      <c r="D41" s="171" t="s">
        <v>128</v>
      </c>
      <c r="E41" s="171" t="s">
        <v>38</v>
      </c>
      <c r="F41" s="171" t="s">
        <v>111</v>
      </c>
      <c r="G41" s="171" t="s">
        <v>112</v>
      </c>
      <c r="H41" s="176">
        <v>1</v>
      </c>
      <c r="I41" s="177">
        <v>1704</v>
      </c>
      <c r="J41" s="175">
        <v>46026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585.71</v>
      </c>
    </row>
    <row r="42" spans="1:16" ht="19.5" customHeight="1">
      <c r="A42" s="171" t="s">
        <v>417</v>
      </c>
      <c r="B42" s="175">
        <v>46027</v>
      </c>
      <c r="C42" s="171" t="s">
        <v>127</v>
      </c>
      <c r="D42" s="171" t="s">
        <v>129</v>
      </c>
      <c r="E42" s="171" t="s">
        <v>38</v>
      </c>
      <c r="F42" s="171" t="s">
        <v>111</v>
      </c>
      <c r="G42" s="171" t="s">
        <v>112</v>
      </c>
      <c r="H42" s="176">
        <v>1</v>
      </c>
      <c r="I42" s="177">
        <v>1704</v>
      </c>
      <c r="J42" s="175">
        <v>46026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5.86</v>
      </c>
    </row>
    <row r="43" spans="1:16" ht="19.5" customHeight="1">
      <c r="A43" s="171" t="s">
        <v>417</v>
      </c>
      <c r="B43" s="175">
        <v>46027</v>
      </c>
      <c r="C43" s="171" t="s">
        <v>127</v>
      </c>
      <c r="D43" s="171" t="s">
        <v>130</v>
      </c>
      <c r="E43" s="171" t="s">
        <v>38</v>
      </c>
      <c r="F43" s="171" t="s">
        <v>111</v>
      </c>
      <c r="G43" s="171" t="s">
        <v>112</v>
      </c>
      <c r="H43" s="176">
        <v>1</v>
      </c>
      <c r="I43" s="177">
        <v>1704</v>
      </c>
      <c r="J43" s="175">
        <v>46026</v>
      </c>
      <c r="K43" s="171" t="s">
        <v>113</v>
      </c>
      <c r="L43" s="171" t="s">
        <v>114</v>
      </c>
      <c r="M43" s="178">
        <v>0</v>
      </c>
      <c r="N43" s="176"/>
      <c r="O43" s="176"/>
      <c r="P43" s="179">
        <v>1112.43</v>
      </c>
    </row>
    <row r="44" spans="1:16" ht="19.5" customHeight="1">
      <c r="A44" s="171" t="s">
        <v>417</v>
      </c>
      <c r="B44" s="175">
        <v>46027</v>
      </c>
      <c r="C44" s="171" t="s">
        <v>131</v>
      </c>
      <c r="D44" s="171" t="s">
        <v>132</v>
      </c>
      <c r="E44" s="171" t="s">
        <v>38</v>
      </c>
      <c r="F44" s="171" t="s">
        <v>111</v>
      </c>
      <c r="G44" s="171" t="s">
        <v>112</v>
      </c>
      <c r="H44" s="176">
        <v>1</v>
      </c>
      <c r="I44" s="177">
        <v>1704</v>
      </c>
      <c r="J44" s="175">
        <v>46026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-732.72</v>
      </c>
    </row>
    <row r="45" spans="1:16" ht="19.5" customHeight="1">
      <c r="A45" s="171" t="s">
        <v>417</v>
      </c>
      <c r="B45" s="175">
        <v>46027</v>
      </c>
      <c r="C45" s="171" t="s">
        <v>115</v>
      </c>
      <c r="D45" s="171" t="s">
        <v>116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1704</v>
      </c>
      <c r="J45" s="175">
        <v>46026</v>
      </c>
      <c r="K45" s="171" t="s">
        <v>113</v>
      </c>
      <c r="L45" s="171" t="s">
        <v>114</v>
      </c>
      <c r="M45" s="178">
        <v>0.43</v>
      </c>
      <c r="N45" s="176"/>
      <c r="O45" s="176"/>
      <c r="P45" s="179">
        <v>-9.17</v>
      </c>
    </row>
    <row r="46" spans="1:16" ht="19.5" customHeight="1">
      <c r="A46" s="171" t="s">
        <v>416</v>
      </c>
      <c r="B46" s="175">
        <v>46027</v>
      </c>
      <c r="C46" s="171" t="s">
        <v>115</v>
      </c>
      <c r="D46" s="171" t="s">
        <v>135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0</v>
      </c>
      <c r="J46" s="175">
        <v>46024</v>
      </c>
      <c r="K46" s="171" t="s">
        <v>125</v>
      </c>
      <c r="L46" s="171" t="s">
        <v>125</v>
      </c>
      <c r="M46" s="178">
        <v>0</v>
      </c>
      <c r="N46" s="176"/>
      <c r="O46" s="176"/>
      <c r="P46" s="179">
        <v>-11.13</v>
      </c>
    </row>
    <row r="47" spans="1:16" ht="19.5" customHeight="1">
      <c r="A47" s="171" t="s">
        <v>418</v>
      </c>
      <c r="B47" s="175">
        <v>46027</v>
      </c>
      <c r="C47" s="171" t="s">
        <v>308</v>
      </c>
      <c r="D47" s="171" t="s">
        <v>419</v>
      </c>
      <c r="E47" s="171" t="s">
        <v>41</v>
      </c>
      <c r="F47" s="171" t="s">
        <v>138</v>
      </c>
      <c r="G47" s="171" t="s">
        <v>112</v>
      </c>
      <c r="H47" s="176">
        <v>1</v>
      </c>
      <c r="I47" s="177">
        <v>-1687</v>
      </c>
      <c r="J47" s="175">
        <v>46013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-577.25</v>
      </c>
    </row>
    <row r="48" spans="1:16" ht="19.5" customHeight="1">
      <c r="A48" s="171" t="s">
        <v>418</v>
      </c>
      <c r="B48" s="175">
        <v>46027</v>
      </c>
      <c r="C48" s="171" t="s">
        <v>308</v>
      </c>
      <c r="D48" s="171" t="s">
        <v>129</v>
      </c>
      <c r="E48" s="171" t="s">
        <v>41</v>
      </c>
      <c r="F48" s="171" t="s">
        <v>138</v>
      </c>
      <c r="G48" s="171" t="s">
        <v>112</v>
      </c>
      <c r="H48" s="176">
        <v>1</v>
      </c>
      <c r="I48" s="177">
        <v>-1687</v>
      </c>
      <c r="J48" s="175">
        <v>46013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-5.77</v>
      </c>
    </row>
    <row r="49" spans="1:16" ht="19.5" customHeight="1">
      <c r="A49" s="171" t="s">
        <v>418</v>
      </c>
      <c r="B49" s="175">
        <v>46027</v>
      </c>
      <c r="C49" s="171" t="s">
        <v>308</v>
      </c>
      <c r="D49" s="171" t="s">
        <v>130</v>
      </c>
      <c r="E49" s="171" t="s">
        <v>41</v>
      </c>
      <c r="F49" s="171" t="s">
        <v>138</v>
      </c>
      <c r="G49" s="171" t="s">
        <v>112</v>
      </c>
      <c r="H49" s="176">
        <v>1</v>
      </c>
      <c r="I49" s="177">
        <v>-1687</v>
      </c>
      <c r="J49" s="175">
        <v>46013</v>
      </c>
      <c r="K49" s="171" t="s">
        <v>113</v>
      </c>
      <c r="L49" s="171" t="s">
        <v>114</v>
      </c>
      <c r="M49" s="178">
        <v>0</v>
      </c>
      <c r="N49" s="176"/>
      <c r="O49" s="176"/>
      <c r="P49" s="179">
        <v>-1103.98</v>
      </c>
    </row>
    <row r="50" spans="1:16" ht="19.5" customHeight="1">
      <c r="A50" s="171" t="s">
        <v>418</v>
      </c>
      <c r="B50" s="175">
        <v>46027</v>
      </c>
      <c r="C50" s="171" t="s">
        <v>131</v>
      </c>
      <c r="D50" s="171" t="s">
        <v>420</v>
      </c>
      <c r="E50" s="171" t="s">
        <v>41</v>
      </c>
      <c r="F50" s="171" t="s">
        <v>138</v>
      </c>
      <c r="G50" s="171" t="s">
        <v>112</v>
      </c>
      <c r="H50" s="176">
        <v>1</v>
      </c>
      <c r="I50" s="177">
        <v>-1687</v>
      </c>
      <c r="J50" s="175">
        <v>46013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725.41</v>
      </c>
    </row>
    <row r="51" spans="1:16" ht="19.5" customHeight="1">
      <c r="A51" s="171" t="s">
        <v>421</v>
      </c>
      <c r="B51" s="175">
        <v>46027</v>
      </c>
      <c r="C51" s="171" t="s">
        <v>110</v>
      </c>
      <c r="D51" s="171" t="s">
        <v>24</v>
      </c>
      <c r="E51" s="171" t="s">
        <v>38</v>
      </c>
      <c r="F51" s="171" t="s">
        <v>111</v>
      </c>
      <c r="G51" s="171" t="s">
        <v>112</v>
      </c>
      <c r="H51" s="176">
        <v>1</v>
      </c>
      <c r="I51" s="177">
        <v>0</v>
      </c>
      <c r="J51" s="175">
        <v>46018</v>
      </c>
      <c r="K51" s="171" t="s">
        <v>113</v>
      </c>
      <c r="L51" s="171" t="s">
        <v>114</v>
      </c>
      <c r="M51" s="178">
        <v>0</v>
      </c>
      <c r="N51" s="176"/>
      <c r="O51" s="176">
        <v>39</v>
      </c>
      <c r="P51" s="179">
        <v>-46.77</v>
      </c>
    </row>
    <row r="52" spans="1:16" ht="19.5" customHeight="1">
      <c r="A52" s="171" t="s">
        <v>421</v>
      </c>
      <c r="B52" s="175">
        <v>46027</v>
      </c>
      <c r="C52" s="171" t="s">
        <v>115</v>
      </c>
      <c r="D52" s="171" t="s">
        <v>116</v>
      </c>
      <c r="E52" s="171" t="s">
        <v>38</v>
      </c>
      <c r="F52" s="171" t="s">
        <v>111</v>
      </c>
      <c r="G52" s="171" t="s">
        <v>112</v>
      </c>
      <c r="H52" s="176">
        <v>1</v>
      </c>
      <c r="I52" s="177">
        <v>0</v>
      </c>
      <c r="J52" s="175">
        <v>46018</v>
      </c>
      <c r="K52" s="171" t="s">
        <v>113</v>
      </c>
      <c r="L52" s="171" t="s">
        <v>114</v>
      </c>
      <c r="M52" s="178">
        <v>0</v>
      </c>
      <c r="N52" s="176"/>
      <c r="O52" s="176"/>
      <c r="P52" s="179">
        <v>-9.86</v>
      </c>
    </row>
    <row r="53" spans="1:16" ht="19.5" customHeight="1">
      <c r="A53" s="171" t="s">
        <v>418</v>
      </c>
      <c r="B53" s="175">
        <v>46027</v>
      </c>
      <c r="C53" s="171" t="s">
        <v>115</v>
      </c>
      <c r="D53" s="171" t="s">
        <v>135</v>
      </c>
      <c r="E53" s="171" t="s">
        <v>41</v>
      </c>
      <c r="F53" s="171" t="s">
        <v>138</v>
      </c>
      <c r="G53" s="171" t="s">
        <v>112</v>
      </c>
      <c r="H53" s="176">
        <v>1</v>
      </c>
      <c r="I53" s="177">
        <v>0</v>
      </c>
      <c r="J53" s="175">
        <v>46013</v>
      </c>
      <c r="K53" s="171" t="s">
        <v>125</v>
      </c>
      <c r="L53" s="171" t="s">
        <v>125</v>
      </c>
      <c r="M53" s="178">
        <v>0</v>
      </c>
      <c r="N53" s="176"/>
      <c r="O53" s="176"/>
      <c r="P53" s="179">
        <v>10.97</v>
      </c>
    </row>
    <row r="54" spans="1:16" ht="19.5" customHeight="1">
      <c r="A54" s="171" t="s">
        <v>421</v>
      </c>
      <c r="B54" s="175">
        <v>46027</v>
      </c>
      <c r="C54" s="171" t="s">
        <v>110</v>
      </c>
      <c r="D54" s="171" t="s">
        <v>117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0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0</v>
      </c>
    </row>
    <row r="55" spans="1:16" ht="19.5" customHeight="1">
      <c r="A55" s="171" t="s">
        <v>421</v>
      </c>
      <c r="B55" s="175">
        <v>46027</v>
      </c>
      <c r="C55" s="171" t="s">
        <v>110</v>
      </c>
      <c r="D55" s="171" t="s">
        <v>118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0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-46.77</v>
      </c>
    </row>
    <row r="56" spans="1:16" ht="19.5" customHeight="1">
      <c r="A56" s="171" t="s">
        <v>421</v>
      </c>
      <c r="B56" s="175">
        <v>46027</v>
      </c>
      <c r="C56" s="171" t="s">
        <v>115</v>
      </c>
      <c r="D56" s="171" t="s">
        <v>119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0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-15</v>
      </c>
    </row>
    <row r="57" spans="1:16" ht="19.5" customHeight="1">
      <c r="A57" s="171" t="s">
        <v>422</v>
      </c>
      <c r="B57" s="175">
        <v>46027</v>
      </c>
      <c r="C57" s="171" t="s">
        <v>115</v>
      </c>
      <c r="D57" s="171" t="s">
        <v>135</v>
      </c>
      <c r="E57" s="171" t="s">
        <v>41</v>
      </c>
      <c r="F57" s="171" t="s">
        <v>138</v>
      </c>
      <c r="G57" s="171" t="s">
        <v>112</v>
      </c>
      <c r="H57" s="176">
        <v>1</v>
      </c>
      <c r="I57" s="177">
        <v>0</v>
      </c>
      <c r="J57" s="175">
        <v>46027</v>
      </c>
      <c r="K57" s="171" t="s">
        <v>125</v>
      </c>
      <c r="L57" s="171" t="s">
        <v>125</v>
      </c>
      <c r="M57" s="178">
        <v>0</v>
      </c>
      <c r="N57" s="176"/>
      <c r="O57" s="176"/>
      <c r="P57" s="179">
        <v>-3.45</v>
      </c>
    </row>
    <row r="58" spans="1:16" ht="19.5" customHeight="1">
      <c r="A58" s="171" t="s">
        <v>423</v>
      </c>
      <c r="B58" s="175">
        <v>46027</v>
      </c>
      <c r="C58" s="171" t="s">
        <v>110</v>
      </c>
      <c r="D58" s="171" t="s">
        <v>24</v>
      </c>
      <c r="E58" s="171" t="s">
        <v>51</v>
      </c>
      <c r="F58" s="171" t="s">
        <v>227</v>
      </c>
      <c r="G58" s="171" t="s">
        <v>112</v>
      </c>
      <c r="H58" s="176">
        <v>1</v>
      </c>
      <c r="I58" s="177">
        <v>1285</v>
      </c>
      <c r="J58" s="175">
        <v>46025</v>
      </c>
      <c r="K58" s="171" t="s">
        <v>113</v>
      </c>
      <c r="L58" s="171" t="s">
        <v>114</v>
      </c>
      <c r="M58" s="178">
        <v>0.43</v>
      </c>
      <c r="N58" s="176"/>
      <c r="O58" s="176">
        <v>39</v>
      </c>
      <c r="P58" s="179">
        <v>-100.06</v>
      </c>
    </row>
    <row r="59" spans="1:16" ht="19.5" customHeight="1">
      <c r="A59" s="171" t="s">
        <v>423</v>
      </c>
      <c r="B59" s="175">
        <v>46027</v>
      </c>
      <c r="C59" s="171" t="s">
        <v>127</v>
      </c>
      <c r="D59" s="171" t="s">
        <v>128</v>
      </c>
      <c r="E59" s="171" t="s">
        <v>51</v>
      </c>
      <c r="F59" s="171" t="s">
        <v>227</v>
      </c>
      <c r="G59" s="171" t="s">
        <v>112</v>
      </c>
      <c r="H59" s="176">
        <v>1</v>
      </c>
      <c r="I59" s="177">
        <v>1285</v>
      </c>
      <c r="J59" s="175">
        <v>46025</v>
      </c>
      <c r="K59" s="171" t="s">
        <v>113</v>
      </c>
      <c r="L59" s="171" t="s">
        <v>114</v>
      </c>
      <c r="M59" s="178">
        <v>0</v>
      </c>
      <c r="N59" s="176"/>
      <c r="O59" s="176"/>
      <c r="P59" s="179">
        <v>635.24</v>
      </c>
    </row>
    <row r="60" spans="1:16" ht="19.5" customHeight="1">
      <c r="A60" s="171" t="s">
        <v>423</v>
      </c>
      <c r="B60" s="175">
        <v>46027</v>
      </c>
      <c r="C60" s="171" t="s">
        <v>127</v>
      </c>
      <c r="D60" s="171" t="s">
        <v>129</v>
      </c>
      <c r="E60" s="171" t="s">
        <v>51</v>
      </c>
      <c r="F60" s="171" t="s">
        <v>227</v>
      </c>
      <c r="G60" s="171" t="s">
        <v>112</v>
      </c>
      <c r="H60" s="176">
        <v>1</v>
      </c>
      <c r="I60" s="177">
        <v>1285</v>
      </c>
      <c r="J60" s="175">
        <v>46025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6.35</v>
      </c>
    </row>
    <row r="61" spans="1:16" ht="19.5" customHeight="1">
      <c r="A61" s="171" t="s">
        <v>423</v>
      </c>
      <c r="B61" s="175">
        <v>46027</v>
      </c>
      <c r="C61" s="171" t="s">
        <v>127</v>
      </c>
      <c r="D61" s="171" t="s">
        <v>130</v>
      </c>
      <c r="E61" s="171" t="s">
        <v>51</v>
      </c>
      <c r="F61" s="171" t="s">
        <v>227</v>
      </c>
      <c r="G61" s="171" t="s">
        <v>112</v>
      </c>
      <c r="H61" s="176">
        <v>1</v>
      </c>
      <c r="I61" s="177">
        <v>1285</v>
      </c>
      <c r="J61" s="175">
        <v>46025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643.41</v>
      </c>
    </row>
    <row r="62" spans="1:16" ht="19.5" customHeight="1">
      <c r="A62" s="171" t="s">
        <v>423</v>
      </c>
      <c r="B62" s="175">
        <v>46027</v>
      </c>
      <c r="C62" s="171" t="s">
        <v>131</v>
      </c>
      <c r="D62" s="171" t="s">
        <v>132</v>
      </c>
      <c r="E62" s="171" t="s">
        <v>51</v>
      </c>
      <c r="F62" s="171" t="s">
        <v>227</v>
      </c>
      <c r="G62" s="171" t="s">
        <v>112</v>
      </c>
      <c r="H62" s="176">
        <v>1</v>
      </c>
      <c r="I62" s="177">
        <v>1285</v>
      </c>
      <c r="J62" s="175">
        <v>46025</v>
      </c>
      <c r="K62" s="171" t="s">
        <v>113</v>
      </c>
      <c r="L62" s="171" t="s">
        <v>114</v>
      </c>
      <c r="M62" s="178">
        <v>0.43</v>
      </c>
      <c r="N62" s="176"/>
      <c r="O62" s="176"/>
      <c r="P62" s="179">
        <v>-552.54999999999995</v>
      </c>
    </row>
    <row r="63" spans="1:16" ht="19.5" customHeight="1">
      <c r="A63" s="171" t="s">
        <v>423</v>
      </c>
      <c r="B63" s="175">
        <v>46027</v>
      </c>
      <c r="C63" s="171" t="s">
        <v>115</v>
      </c>
      <c r="D63" s="171" t="s">
        <v>116</v>
      </c>
      <c r="E63" s="171" t="s">
        <v>51</v>
      </c>
      <c r="F63" s="171" t="s">
        <v>227</v>
      </c>
      <c r="G63" s="171" t="s">
        <v>112</v>
      </c>
      <c r="H63" s="176">
        <v>1</v>
      </c>
      <c r="I63" s="177">
        <v>1285</v>
      </c>
      <c r="J63" s="175">
        <v>46025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-9.16</v>
      </c>
    </row>
    <row r="64" spans="1:16" ht="19.5" customHeight="1">
      <c r="A64" s="171" t="s">
        <v>424</v>
      </c>
      <c r="B64" s="175">
        <v>46027</v>
      </c>
      <c r="C64" s="171" t="s">
        <v>110</v>
      </c>
      <c r="D64" s="171" t="s">
        <v>24</v>
      </c>
      <c r="E64" s="171" t="s">
        <v>40</v>
      </c>
      <c r="F64" s="171" t="s">
        <v>149</v>
      </c>
      <c r="G64" s="171" t="s">
        <v>112</v>
      </c>
      <c r="H64" s="176">
        <v>1</v>
      </c>
      <c r="I64" s="177">
        <v>1206</v>
      </c>
      <c r="J64" s="175">
        <v>46023</v>
      </c>
      <c r="K64" s="171" t="s">
        <v>113</v>
      </c>
      <c r="L64" s="171" t="s">
        <v>114</v>
      </c>
      <c r="M64" s="178">
        <v>0.43</v>
      </c>
      <c r="N64" s="176"/>
      <c r="O64" s="176">
        <v>39</v>
      </c>
      <c r="P64" s="179">
        <v>-98.16</v>
      </c>
    </row>
    <row r="65" spans="1:16" ht="19.5" customHeight="1">
      <c r="A65" s="171" t="s">
        <v>424</v>
      </c>
      <c r="B65" s="175">
        <v>46027</v>
      </c>
      <c r="C65" s="171" t="s">
        <v>127</v>
      </c>
      <c r="D65" s="171" t="s">
        <v>128</v>
      </c>
      <c r="E65" s="171" t="s">
        <v>40</v>
      </c>
      <c r="F65" s="171" t="s">
        <v>149</v>
      </c>
      <c r="G65" s="171" t="s">
        <v>112</v>
      </c>
      <c r="H65" s="176">
        <v>1</v>
      </c>
      <c r="I65" s="177">
        <v>1206</v>
      </c>
      <c r="J65" s="175">
        <v>46023</v>
      </c>
      <c r="K65" s="171" t="s">
        <v>113</v>
      </c>
      <c r="L65" s="171" t="s">
        <v>114</v>
      </c>
      <c r="M65" s="178">
        <v>0</v>
      </c>
      <c r="N65" s="176"/>
      <c r="O65" s="176"/>
      <c r="P65" s="179">
        <v>545.71</v>
      </c>
    </row>
    <row r="66" spans="1:16" ht="19.5" customHeight="1">
      <c r="A66" s="171" t="s">
        <v>424</v>
      </c>
      <c r="B66" s="175">
        <v>46027</v>
      </c>
      <c r="C66" s="171" t="s">
        <v>127</v>
      </c>
      <c r="D66" s="171" t="s">
        <v>129</v>
      </c>
      <c r="E66" s="171" t="s">
        <v>40</v>
      </c>
      <c r="F66" s="171" t="s">
        <v>149</v>
      </c>
      <c r="G66" s="171" t="s">
        <v>112</v>
      </c>
      <c r="H66" s="176">
        <v>1</v>
      </c>
      <c r="I66" s="177">
        <v>1206</v>
      </c>
      <c r="J66" s="175">
        <v>46023</v>
      </c>
      <c r="K66" s="171" t="s">
        <v>113</v>
      </c>
      <c r="L66" s="171" t="s">
        <v>114</v>
      </c>
      <c r="M66" s="178">
        <v>0</v>
      </c>
      <c r="N66" s="176"/>
      <c r="O66" s="176"/>
      <c r="P66" s="179">
        <v>5.46</v>
      </c>
    </row>
    <row r="67" spans="1:16" ht="19.5" customHeight="1">
      <c r="A67" s="171" t="s">
        <v>424</v>
      </c>
      <c r="B67" s="175">
        <v>46027</v>
      </c>
      <c r="C67" s="171" t="s">
        <v>127</v>
      </c>
      <c r="D67" s="171" t="s">
        <v>130</v>
      </c>
      <c r="E67" s="171" t="s">
        <v>40</v>
      </c>
      <c r="F67" s="171" t="s">
        <v>149</v>
      </c>
      <c r="G67" s="171" t="s">
        <v>112</v>
      </c>
      <c r="H67" s="176">
        <v>1</v>
      </c>
      <c r="I67" s="177">
        <v>1206</v>
      </c>
      <c r="J67" s="175">
        <v>46023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654.83000000000004</v>
      </c>
    </row>
    <row r="68" spans="1:16" ht="19.5" customHeight="1">
      <c r="A68" s="171" t="s">
        <v>424</v>
      </c>
      <c r="B68" s="175">
        <v>46027</v>
      </c>
      <c r="C68" s="171" t="s">
        <v>131</v>
      </c>
      <c r="D68" s="171" t="s">
        <v>132</v>
      </c>
      <c r="E68" s="171" t="s">
        <v>40</v>
      </c>
      <c r="F68" s="171" t="s">
        <v>149</v>
      </c>
      <c r="G68" s="171" t="s">
        <v>112</v>
      </c>
      <c r="H68" s="176">
        <v>1</v>
      </c>
      <c r="I68" s="177">
        <v>1206</v>
      </c>
      <c r="J68" s="175">
        <v>46023</v>
      </c>
      <c r="K68" s="171" t="s">
        <v>113</v>
      </c>
      <c r="L68" s="171" t="s">
        <v>114</v>
      </c>
      <c r="M68" s="178">
        <v>0.43</v>
      </c>
      <c r="N68" s="176"/>
      <c r="O68" s="176"/>
      <c r="P68" s="179">
        <v>-518.58000000000004</v>
      </c>
    </row>
    <row r="69" spans="1:16" ht="19.5" customHeight="1">
      <c r="A69" s="171" t="s">
        <v>424</v>
      </c>
      <c r="B69" s="175">
        <v>46027</v>
      </c>
      <c r="C69" s="171" t="s">
        <v>115</v>
      </c>
      <c r="D69" s="171" t="s">
        <v>116</v>
      </c>
      <c r="E69" s="171" t="s">
        <v>40</v>
      </c>
      <c r="F69" s="171" t="s">
        <v>149</v>
      </c>
      <c r="G69" s="171" t="s">
        <v>112</v>
      </c>
      <c r="H69" s="176">
        <v>1</v>
      </c>
      <c r="I69" s="177">
        <v>1206</v>
      </c>
      <c r="J69" s="175">
        <v>46023</v>
      </c>
      <c r="K69" s="171" t="s">
        <v>113</v>
      </c>
      <c r="L69" s="171" t="s">
        <v>114</v>
      </c>
      <c r="M69" s="178">
        <v>0.43</v>
      </c>
      <c r="N69" s="176"/>
      <c r="O69" s="176"/>
      <c r="P69" s="179">
        <v>-10.35</v>
      </c>
    </row>
    <row r="70" spans="1:16" ht="19.5" customHeight="1">
      <c r="A70" s="171" t="s">
        <v>424</v>
      </c>
      <c r="B70" s="175">
        <v>46027</v>
      </c>
      <c r="C70" s="171" t="s">
        <v>115</v>
      </c>
      <c r="D70" s="171" t="s">
        <v>135</v>
      </c>
      <c r="E70" s="171" t="s">
        <v>40</v>
      </c>
      <c r="F70" s="171" t="s">
        <v>149</v>
      </c>
      <c r="G70" s="171" t="s">
        <v>112</v>
      </c>
      <c r="H70" s="176">
        <v>1</v>
      </c>
      <c r="I70" s="177">
        <v>0</v>
      </c>
      <c r="J70" s="175">
        <v>46023</v>
      </c>
      <c r="K70" s="171" t="s">
        <v>125</v>
      </c>
      <c r="L70" s="171" t="s">
        <v>125</v>
      </c>
      <c r="M70" s="178">
        <v>0</v>
      </c>
      <c r="N70" s="176"/>
      <c r="O70" s="176"/>
      <c r="P70" s="179">
        <v>-10.37</v>
      </c>
    </row>
    <row r="71" spans="1:16" ht="19.5" customHeight="1">
      <c r="A71" s="171" t="s">
        <v>425</v>
      </c>
      <c r="B71" s="175">
        <v>46027</v>
      </c>
      <c r="C71" s="171" t="s">
        <v>110</v>
      </c>
      <c r="D71" s="171" t="s">
        <v>24</v>
      </c>
      <c r="E71" s="171" t="s">
        <v>38</v>
      </c>
      <c r="F71" s="171" t="s">
        <v>111</v>
      </c>
      <c r="G71" s="171" t="s">
        <v>112</v>
      </c>
      <c r="H71" s="176">
        <v>1</v>
      </c>
      <c r="I71" s="177">
        <v>0</v>
      </c>
      <c r="J71" s="175">
        <v>46020</v>
      </c>
      <c r="K71" s="171" t="s">
        <v>113</v>
      </c>
      <c r="L71" s="171" t="s">
        <v>114</v>
      </c>
      <c r="M71" s="178">
        <v>0</v>
      </c>
      <c r="N71" s="176"/>
      <c r="O71" s="176">
        <v>38</v>
      </c>
      <c r="P71" s="179">
        <v>-104.84</v>
      </c>
    </row>
    <row r="72" spans="1:16" ht="19.5" customHeight="1">
      <c r="A72" s="171" t="s">
        <v>426</v>
      </c>
      <c r="B72" s="175">
        <v>46027</v>
      </c>
      <c r="C72" s="171" t="s">
        <v>115</v>
      </c>
      <c r="D72" s="171" t="s">
        <v>135</v>
      </c>
      <c r="E72" s="171" t="s">
        <v>38</v>
      </c>
      <c r="F72" s="171" t="s">
        <v>111</v>
      </c>
      <c r="G72" s="171" t="s">
        <v>112</v>
      </c>
      <c r="H72" s="176">
        <v>1</v>
      </c>
      <c r="I72" s="177">
        <v>0</v>
      </c>
      <c r="J72" s="175">
        <v>46027</v>
      </c>
      <c r="K72" s="171" t="s">
        <v>125</v>
      </c>
      <c r="L72" s="171" t="s">
        <v>125</v>
      </c>
      <c r="M72" s="178">
        <v>0</v>
      </c>
      <c r="N72" s="176"/>
      <c r="O72" s="176"/>
      <c r="P72" s="179">
        <v>-11.13</v>
      </c>
    </row>
    <row r="73" spans="1:16" ht="19.5" customHeight="1">
      <c r="A73" s="171" t="s">
        <v>427</v>
      </c>
      <c r="B73" s="175">
        <v>46027</v>
      </c>
      <c r="C73" s="171" t="s">
        <v>110</v>
      </c>
      <c r="D73" s="171" t="s">
        <v>24</v>
      </c>
      <c r="E73" s="171" t="s">
        <v>38</v>
      </c>
      <c r="F73" s="171" t="s">
        <v>111</v>
      </c>
      <c r="G73" s="171" t="s">
        <v>112</v>
      </c>
      <c r="H73" s="176">
        <v>1</v>
      </c>
      <c r="I73" s="177">
        <v>1704</v>
      </c>
      <c r="J73" s="175">
        <v>46025</v>
      </c>
      <c r="K73" s="171" t="s">
        <v>113</v>
      </c>
      <c r="L73" s="171" t="s">
        <v>114</v>
      </c>
      <c r="M73" s="178">
        <v>0.43</v>
      </c>
      <c r="N73" s="176"/>
      <c r="O73" s="176">
        <v>39</v>
      </c>
      <c r="P73" s="179">
        <v>-110.12</v>
      </c>
    </row>
    <row r="74" spans="1:16" ht="19.5" customHeight="1">
      <c r="A74" s="171" t="s">
        <v>427</v>
      </c>
      <c r="B74" s="175">
        <v>46027</v>
      </c>
      <c r="C74" s="171" t="s">
        <v>127</v>
      </c>
      <c r="D74" s="171" t="s">
        <v>128</v>
      </c>
      <c r="E74" s="171" t="s">
        <v>38</v>
      </c>
      <c r="F74" s="171" t="s">
        <v>111</v>
      </c>
      <c r="G74" s="171" t="s">
        <v>112</v>
      </c>
      <c r="H74" s="176">
        <v>1</v>
      </c>
      <c r="I74" s="177">
        <v>1704</v>
      </c>
      <c r="J74" s="175">
        <v>46025</v>
      </c>
      <c r="K74" s="171" t="s">
        <v>113</v>
      </c>
      <c r="L74" s="171" t="s">
        <v>114</v>
      </c>
      <c r="M74" s="178">
        <v>0</v>
      </c>
      <c r="N74" s="176"/>
      <c r="O74" s="176"/>
      <c r="P74" s="179">
        <v>585.16</v>
      </c>
    </row>
    <row r="75" spans="1:16" ht="19.5" customHeight="1">
      <c r="A75" s="171" t="s">
        <v>427</v>
      </c>
      <c r="B75" s="175">
        <v>46027</v>
      </c>
      <c r="C75" s="171" t="s">
        <v>127</v>
      </c>
      <c r="D75" s="171" t="s">
        <v>129</v>
      </c>
      <c r="E75" s="171" t="s">
        <v>38</v>
      </c>
      <c r="F75" s="171" t="s">
        <v>111</v>
      </c>
      <c r="G75" s="171" t="s">
        <v>112</v>
      </c>
      <c r="H75" s="176">
        <v>1</v>
      </c>
      <c r="I75" s="177">
        <v>1704</v>
      </c>
      <c r="J75" s="175">
        <v>46025</v>
      </c>
      <c r="K75" s="171" t="s">
        <v>113</v>
      </c>
      <c r="L75" s="171" t="s">
        <v>114</v>
      </c>
      <c r="M75" s="178">
        <v>0</v>
      </c>
      <c r="N75" s="176"/>
      <c r="O75" s="176"/>
      <c r="P75" s="179">
        <v>5.85</v>
      </c>
    </row>
    <row r="76" spans="1:16" ht="19.5" customHeight="1">
      <c r="A76" s="171" t="s">
        <v>427</v>
      </c>
      <c r="B76" s="175">
        <v>46027</v>
      </c>
      <c r="C76" s="171" t="s">
        <v>127</v>
      </c>
      <c r="D76" s="171" t="s">
        <v>130</v>
      </c>
      <c r="E76" s="171" t="s">
        <v>38</v>
      </c>
      <c r="F76" s="171" t="s">
        <v>111</v>
      </c>
      <c r="G76" s="171" t="s">
        <v>112</v>
      </c>
      <c r="H76" s="176">
        <v>1</v>
      </c>
      <c r="I76" s="177">
        <v>1704</v>
      </c>
      <c r="J76" s="175">
        <v>46025</v>
      </c>
      <c r="K76" s="171" t="s">
        <v>113</v>
      </c>
      <c r="L76" s="171" t="s">
        <v>114</v>
      </c>
      <c r="M76" s="178">
        <v>0</v>
      </c>
      <c r="N76" s="176"/>
      <c r="O76" s="176"/>
      <c r="P76" s="179">
        <v>1112.99</v>
      </c>
    </row>
    <row r="77" spans="1:16" ht="19.5" customHeight="1">
      <c r="A77" s="171" t="s">
        <v>427</v>
      </c>
      <c r="B77" s="175">
        <v>46027</v>
      </c>
      <c r="C77" s="171" t="s">
        <v>131</v>
      </c>
      <c r="D77" s="171" t="s">
        <v>132</v>
      </c>
      <c r="E77" s="171" t="s">
        <v>38</v>
      </c>
      <c r="F77" s="171" t="s">
        <v>111</v>
      </c>
      <c r="G77" s="171" t="s">
        <v>112</v>
      </c>
      <c r="H77" s="176">
        <v>1</v>
      </c>
      <c r="I77" s="177">
        <v>1704</v>
      </c>
      <c r="J77" s="175">
        <v>46025</v>
      </c>
      <c r="K77" s="171" t="s">
        <v>113</v>
      </c>
      <c r="L77" s="171" t="s">
        <v>114</v>
      </c>
      <c r="M77" s="178">
        <v>0.43</v>
      </c>
      <c r="N77" s="176"/>
      <c r="O77" s="176"/>
      <c r="P77" s="179">
        <v>-732.72</v>
      </c>
    </row>
    <row r="78" spans="1:16" ht="19.5" customHeight="1">
      <c r="A78" s="171" t="s">
        <v>427</v>
      </c>
      <c r="B78" s="175">
        <v>46027</v>
      </c>
      <c r="C78" s="171" t="s">
        <v>115</v>
      </c>
      <c r="D78" s="171" t="s">
        <v>116</v>
      </c>
      <c r="E78" s="171" t="s">
        <v>38</v>
      </c>
      <c r="F78" s="171" t="s">
        <v>111</v>
      </c>
      <c r="G78" s="171" t="s">
        <v>112</v>
      </c>
      <c r="H78" s="176">
        <v>1</v>
      </c>
      <c r="I78" s="177">
        <v>1704</v>
      </c>
      <c r="J78" s="175">
        <v>46025</v>
      </c>
      <c r="K78" s="171" t="s">
        <v>113</v>
      </c>
      <c r="L78" s="171" t="s">
        <v>114</v>
      </c>
      <c r="M78" s="178">
        <v>0.43</v>
      </c>
      <c r="N78" s="176"/>
      <c r="O78" s="176"/>
      <c r="P78" s="179">
        <v>-9.19</v>
      </c>
    </row>
    <row r="79" spans="1:16" ht="19.5" customHeight="1">
      <c r="A79" s="171" t="s">
        <v>150</v>
      </c>
      <c r="B79" s="175">
        <v>46027</v>
      </c>
      <c r="C79" s="171" t="s">
        <v>151</v>
      </c>
      <c r="D79" s="171" t="s">
        <v>152</v>
      </c>
      <c r="E79" s="171" t="s">
        <v>125</v>
      </c>
      <c r="F79" s="171" t="s">
        <v>125</v>
      </c>
      <c r="G79" s="171" t="s">
        <v>125</v>
      </c>
      <c r="H79" s="176">
        <v>0</v>
      </c>
      <c r="I79" s="177">
        <v>0</v>
      </c>
      <c r="J79" s="175">
        <v>46027</v>
      </c>
      <c r="K79" s="171" t="s">
        <v>125</v>
      </c>
      <c r="L79" s="171" t="s">
        <v>125</v>
      </c>
      <c r="M79" s="178">
        <v>0</v>
      </c>
      <c r="N79" s="176"/>
      <c r="O79" s="176"/>
      <c r="P79" s="179">
        <v>-1336.58</v>
      </c>
    </row>
    <row r="80" spans="1:16" ht="19.5" customHeight="1">
      <c r="A80" s="171" t="s">
        <v>155</v>
      </c>
      <c r="B80" s="175">
        <v>46027</v>
      </c>
      <c r="C80" s="171" t="s">
        <v>151</v>
      </c>
      <c r="D80" s="171" t="s">
        <v>156</v>
      </c>
      <c r="E80" s="171" t="s">
        <v>125</v>
      </c>
      <c r="F80" s="171" t="s">
        <v>125</v>
      </c>
      <c r="G80" s="171" t="s">
        <v>125</v>
      </c>
      <c r="H80" s="176">
        <v>0</v>
      </c>
      <c r="I80" s="177">
        <v>0</v>
      </c>
      <c r="J80" s="175">
        <v>46027</v>
      </c>
      <c r="K80" s="171" t="s">
        <v>125</v>
      </c>
      <c r="L80" s="171" t="s">
        <v>125</v>
      </c>
      <c r="M80" s="178">
        <v>0</v>
      </c>
      <c r="N80" s="176"/>
      <c r="O80" s="176"/>
      <c r="P80" s="179">
        <v>-1474.66</v>
      </c>
    </row>
    <row r="81" spans="1:16" ht="19.5" customHeight="1">
      <c r="A81" s="171" t="s">
        <v>352</v>
      </c>
      <c r="B81" s="175">
        <v>46027</v>
      </c>
      <c r="C81" s="171" t="s">
        <v>151</v>
      </c>
      <c r="D81" s="171" t="s">
        <v>152</v>
      </c>
      <c r="E81" s="171" t="s">
        <v>125</v>
      </c>
      <c r="F81" s="171" t="s">
        <v>125</v>
      </c>
      <c r="G81" s="171" t="s">
        <v>125</v>
      </c>
      <c r="H81" s="176">
        <v>0</v>
      </c>
      <c r="I81" s="177">
        <v>0</v>
      </c>
      <c r="J81" s="175">
        <v>46027</v>
      </c>
      <c r="K81" s="171" t="s">
        <v>125</v>
      </c>
      <c r="L81" s="171" t="s">
        <v>125</v>
      </c>
      <c r="M81" s="178">
        <v>0</v>
      </c>
      <c r="N81" s="176"/>
      <c r="O81" s="176"/>
      <c r="P81" s="179">
        <v>-813</v>
      </c>
    </row>
    <row r="82" spans="1:16" ht="19.5" customHeight="1">
      <c r="A82" s="171" t="s">
        <v>349</v>
      </c>
      <c r="B82" s="175">
        <v>46027</v>
      </c>
      <c r="C82" s="171" t="s">
        <v>151</v>
      </c>
      <c r="D82" s="171" t="s">
        <v>152</v>
      </c>
      <c r="E82" s="171" t="s">
        <v>125</v>
      </c>
      <c r="F82" s="171" t="s">
        <v>125</v>
      </c>
      <c r="G82" s="171" t="s">
        <v>125</v>
      </c>
      <c r="H82" s="176">
        <v>0</v>
      </c>
      <c r="I82" s="177">
        <v>0</v>
      </c>
      <c r="J82" s="175">
        <v>46027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-275.31</v>
      </c>
    </row>
    <row r="83" spans="1:16" ht="19.5" customHeight="1">
      <c r="A83" s="171" t="s">
        <v>428</v>
      </c>
      <c r="B83" s="175">
        <v>46028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46018</v>
      </c>
      <c r="K83" s="171" t="s">
        <v>113</v>
      </c>
      <c r="L83" s="171" t="s">
        <v>114</v>
      </c>
      <c r="M83" s="178">
        <v>0</v>
      </c>
      <c r="N83" s="176"/>
      <c r="O83" s="176">
        <v>39</v>
      </c>
      <c r="P83" s="179">
        <v>-46</v>
      </c>
    </row>
    <row r="84" spans="1:16" ht="19.5" customHeight="1">
      <c r="A84" s="171" t="s">
        <v>428</v>
      </c>
      <c r="B84" s="175">
        <v>46028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46018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-7.7</v>
      </c>
    </row>
    <row r="85" spans="1:16" ht="19.5" customHeight="1">
      <c r="A85" s="171" t="s">
        <v>428</v>
      </c>
      <c r="B85" s="175">
        <v>46028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46018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428</v>
      </c>
      <c r="B86" s="175">
        <v>46028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46018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</v>
      </c>
    </row>
    <row r="87" spans="1:16" ht="19.5" customHeight="1">
      <c r="A87" s="171" t="s">
        <v>428</v>
      </c>
      <c r="B87" s="175">
        <v>46028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46018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429</v>
      </c>
      <c r="B88" s="175">
        <v>46028</v>
      </c>
      <c r="C88" s="171" t="s">
        <v>110</v>
      </c>
      <c r="D88" s="171" t="s">
        <v>24</v>
      </c>
      <c r="E88" s="171" t="s">
        <v>47</v>
      </c>
      <c r="F88" s="171" t="s">
        <v>430</v>
      </c>
      <c r="G88" s="171" t="s">
        <v>112</v>
      </c>
      <c r="H88" s="176">
        <v>1</v>
      </c>
      <c r="I88" s="177">
        <v>1090</v>
      </c>
      <c r="J88" s="175">
        <v>46018</v>
      </c>
      <c r="K88" s="171" t="s">
        <v>113</v>
      </c>
      <c r="L88" s="171" t="s">
        <v>114</v>
      </c>
      <c r="M88" s="178">
        <v>0.43</v>
      </c>
      <c r="N88" s="176"/>
      <c r="O88" s="176">
        <v>39</v>
      </c>
      <c r="P88" s="179">
        <v>-95.38</v>
      </c>
    </row>
    <row r="89" spans="1:16" ht="19.5" customHeight="1">
      <c r="A89" s="171" t="s">
        <v>429</v>
      </c>
      <c r="B89" s="175">
        <v>46028</v>
      </c>
      <c r="C89" s="171" t="s">
        <v>127</v>
      </c>
      <c r="D89" s="171" t="s">
        <v>128</v>
      </c>
      <c r="E89" s="171" t="s">
        <v>47</v>
      </c>
      <c r="F89" s="171" t="s">
        <v>430</v>
      </c>
      <c r="G89" s="171" t="s">
        <v>112</v>
      </c>
      <c r="H89" s="176">
        <v>1</v>
      </c>
      <c r="I89" s="177">
        <v>1090</v>
      </c>
      <c r="J89" s="175">
        <v>46018</v>
      </c>
      <c r="K89" s="171" t="s">
        <v>113</v>
      </c>
      <c r="L89" s="171" t="s">
        <v>114</v>
      </c>
      <c r="M89" s="178">
        <v>0</v>
      </c>
      <c r="N89" s="176"/>
      <c r="O89" s="176"/>
      <c r="P89" s="179">
        <v>524.76</v>
      </c>
    </row>
    <row r="90" spans="1:16" ht="19.5" customHeight="1">
      <c r="A90" s="171" t="s">
        <v>429</v>
      </c>
      <c r="B90" s="175">
        <v>46028</v>
      </c>
      <c r="C90" s="171" t="s">
        <v>127</v>
      </c>
      <c r="D90" s="171" t="s">
        <v>129</v>
      </c>
      <c r="E90" s="171" t="s">
        <v>47</v>
      </c>
      <c r="F90" s="171" t="s">
        <v>430</v>
      </c>
      <c r="G90" s="171" t="s">
        <v>112</v>
      </c>
      <c r="H90" s="176">
        <v>1</v>
      </c>
      <c r="I90" s="177">
        <v>1090</v>
      </c>
      <c r="J90" s="175">
        <v>46018</v>
      </c>
      <c r="K90" s="171" t="s">
        <v>113</v>
      </c>
      <c r="L90" s="171" t="s">
        <v>114</v>
      </c>
      <c r="M90" s="178">
        <v>0</v>
      </c>
      <c r="N90" s="176"/>
      <c r="O90" s="176"/>
      <c r="P90" s="179">
        <v>5.25</v>
      </c>
    </row>
    <row r="91" spans="1:16" ht="19.5" customHeight="1">
      <c r="A91" s="171" t="s">
        <v>429</v>
      </c>
      <c r="B91" s="175">
        <v>46028</v>
      </c>
      <c r="C91" s="171" t="s">
        <v>127</v>
      </c>
      <c r="D91" s="171" t="s">
        <v>130</v>
      </c>
      <c r="E91" s="171" t="s">
        <v>47</v>
      </c>
      <c r="F91" s="171" t="s">
        <v>430</v>
      </c>
      <c r="G91" s="171" t="s">
        <v>112</v>
      </c>
      <c r="H91" s="176">
        <v>1</v>
      </c>
      <c r="I91" s="177">
        <v>1090</v>
      </c>
      <c r="J91" s="175">
        <v>46018</v>
      </c>
      <c r="K91" s="171" t="s">
        <v>113</v>
      </c>
      <c r="L91" s="171" t="s">
        <v>114</v>
      </c>
      <c r="M91" s="178">
        <v>0</v>
      </c>
      <c r="N91" s="176"/>
      <c r="O91" s="176"/>
      <c r="P91" s="179">
        <v>559.99</v>
      </c>
    </row>
    <row r="92" spans="1:16" ht="19.5" customHeight="1">
      <c r="A92" s="171" t="s">
        <v>429</v>
      </c>
      <c r="B92" s="175">
        <v>46028</v>
      </c>
      <c r="C92" s="171" t="s">
        <v>131</v>
      </c>
      <c r="D92" s="171" t="s">
        <v>132</v>
      </c>
      <c r="E92" s="171" t="s">
        <v>47</v>
      </c>
      <c r="F92" s="171" t="s">
        <v>430</v>
      </c>
      <c r="G92" s="171" t="s">
        <v>112</v>
      </c>
      <c r="H92" s="176">
        <v>1</v>
      </c>
      <c r="I92" s="177">
        <v>1090</v>
      </c>
      <c r="J92" s="175">
        <v>46018</v>
      </c>
      <c r="K92" s="171" t="s">
        <v>113</v>
      </c>
      <c r="L92" s="171" t="s">
        <v>114</v>
      </c>
      <c r="M92" s="178">
        <v>0.43</v>
      </c>
      <c r="N92" s="176"/>
      <c r="O92" s="176"/>
      <c r="P92" s="179">
        <v>-468.7</v>
      </c>
    </row>
    <row r="93" spans="1:16" ht="19.5" customHeight="1">
      <c r="A93" s="171" t="s">
        <v>429</v>
      </c>
      <c r="B93" s="175">
        <v>46028</v>
      </c>
      <c r="C93" s="171" t="s">
        <v>115</v>
      </c>
      <c r="D93" s="171" t="s">
        <v>116</v>
      </c>
      <c r="E93" s="171" t="s">
        <v>47</v>
      </c>
      <c r="F93" s="171" t="s">
        <v>430</v>
      </c>
      <c r="G93" s="171" t="s">
        <v>112</v>
      </c>
      <c r="H93" s="176">
        <v>1</v>
      </c>
      <c r="I93" s="177">
        <v>1090</v>
      </c>
      <c r="J93" s="175">
        <v>46018</v>
      </c>
      <c r="K93" s="171" t="s">
        <v>113</v>
      </c>
      <c r="L93" s="171" t="s">
        <v>114</v>
      </c>
      <c r="M93" s="178">
        <v>0.43</v>
      </c>
      <c r="N93" s="176"/>
      <c r="O93" s="176"/>
      <c r="P93" s="179">
        <v>-10.47</v>
      </c>
    </row>
    <row r="94" spans="1:16" ht="19.5" customHeight="1">
      <c r="A94" s="171" t="s">
        <v>431</v>
      </c>
      <c r="B94" s="175">
        <v>46028</v>
      </c>
      <c r="C94" s="171" t="s">
        <v>110</v>
      </c>
      <c r="D94" s="171" t="s">
        <v>24</v>
      </c>
      <c r="E94" s="171" t="s">
        <v>38</v>
      </c>
      <c r="F94" s="171" t="s">
        <v>111</v>
      </c>
      <c r="G94" s="171" t="s">
        <v>112</v>
      </c>
      <c r="H94" s="176">
        <v>1</v>
      </c>
      <c r="I94" s="177">
        <v>1704</v>
      </c>
      <c r="J94" s="175">
        <v>46026</v>
      </c>
      <c r="K94" s="171" t="s">
        <v>113</v>
      </c>
      <c r="L94" s="171" t="s">
        <v>114</v>
      </c>
      <c r="M94" s="178">
        <v>0.43</v>
      </c>
      <c r="N94" s="176"/>
      <c r="O94" s="176">
        <v>37</v>
      </c>
      <c r="P94" s="179">
        <v>-99.56</v>
      </c>
    </row>
    <row r="95" spans="1:16" ht="19.5" customHeight="1">
      <c r="A95" s="171" t="s">
        <v>431</v>
      </c>
      <c r="B95" s="175">
        <v>46028</v>
      </c>
      <c r="C95" s="171" t="s">
        <v>127</v>
      </c>
      <c r="D95" s="171" t="s">
        <v>128</v>
      </c>
      <c r="E95" s="171" t="s">
        <v>38</v>
      </c>
      <c r="F95" s="171" t="s">
        <v>111</v>
      </c>
      <c r="G95" s="171" t="s">
        <v>112</v>
      </c>
      <c r="H95" s="176">
        <v>1</v>
      </c>
      <c r="I95" s="177">
        <v>1704</v>
      </c>
      <c r="J95" s="175">
        <v>46026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585.71</v>
      </c>
    </row>
    <row r="96" spans="1:16" ht="19.5" customHeight="1">
      <c r="A96" s="171" t="s">
        <v>431</v>
      </c>
      <c r="B96" s="175">
        <v>46028</v>
      </c>
      <c r="C96" s="171" t="s">
        <v>127</v>
      </c>
      <c r="D96" s="171" t="s">
        <v>129</v>
      </c>
      <c r="E96" s="171" t="s">
        <v>38</v>
      </c>
      <c r="F96" s="171" t="s">
        <v>111</v>
      </c>
      <c r="G96" s="171" t="s">
        <v>112</v>
      </c>
      <c r="H96" s="176">
        <v>1</v>
      </c>
      <c r="I96" s="177">
        <v>1704</v>
      </c>
      <c r="J96" s="175">
        <v>46026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5.86</v>
      </c>
    </row>
    <row r="97" spans="1:16" ht="19.5" customHeight="1">
      <c r="A97" s="171" t="s">
        <v>431</v>
      </c>
      <c r="B97" s="175">
        <v>46028</v>
      </c>
      <c r="C97" s="171" t="s">
        <v>127</v>
      </c>
      <c r="D97" s="171" t="s">
        <v>130</v>
      </c>
      <c r="E97" s="171" t="s">
        <v>38</v>
      </c>
      <c r="F97" s="171" t="s">
        <v>111</v>
      </c>
      <c r="G97" s="171" t="s">
        <v>112</v>
      </c>
      <c r="H97" s="176">
        <v>1</v>
      </c>
      <c r="I97" s="177">
        <v>1704</v>
      </c>
      <c r="J97" s="175">
        <v>46026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1112.43</v>
      </c>
    </row>
    <row r="98" spans="1:16" ht="19.5" customHeight="1">
      <c r="A98" s="171" t="s">
        <v>431</v>
      </c>
      <c r="B98" s="175">
        <v>46028</v>
      </c>
      <c r="C98" s="171" t="s">
        <v>131</v>
      </c>
      <c r="D98" s="171" t="s">
        <v>132</v>
      </c>
      <c r="E98" s="171" t="s">
        <v>38</v>
      </c>
      <c r="F98" s="171" t="s">
        <v>111</v>
      </c>
      <c r="G98" s="171" t="s">
        <v>112</v>
      </c>
      <c r="H98" s="176">
        <v>1</v>
      </c>
      <c r="I98" s="177">
        <v>1704</v>
      </c>
      <c r="J98" s="175">
        <v>46026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-732.72</v>
      </c>
    </row>
    <row r="99" spans="1:16" ht="19.5" customHeight="1">
      <c r="A99" s="171" t="s">
        <v>431</v>
      </c>
      <c r="B99" s="175">
        <v>46028</v>
      </c>
      <c r="C99" s="171" t="s">
        <v>115</v>
      </c>
      <c r="D99" s="171" t="s">
        <v>116</v>
      </c>
      <c r="E99" s="171" t="s">
        <v>38</v>
      </c>
      <c r="F99" s="171" t="s">
        <v>111</v>
      </c>
      <c r="G99" s="171" t="s">
        <v>112</v>
      </c>
      <c r="H99" s="176">
        <v>1</v>
      </c>
      <c r="I99" s="177">
        <v>1704</v>
      </c>
      <c r="J99" s="175">
        <v>46026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-13.16</v>
      </c>
    </row>
    <row r="100" spans="1:16" ht="19.5" customHeight="1">
      <c r="A100" s="171" t="s">
        <v>432</v>
      </c>
      <c r="B100" s="175">
        <v>46028</v>
      </c>
      <c r="C100" s="171" t="s">
        <v>110</v>
      </c>
      <c r="D100" s="171" t="s">
        <v>24</v>
      </c>
      <c r="E100" s="171" t="s">
        <v>38</v>
      </c>
      <c r="F100" s="171" t="s">
        <v>111</v>
      </c>
      <c r="G100" s="171" t="s">
        <v>112</v>
      </c>
      <c r="H100" s="176">
        <v>1</v>
      </c>
      <c r="I100" s="177">
        <v>1704</v>
      </c>
      <c r="J100" s="175">
        <v>46020</v>
      </c>
      <c r="K100" s="171" t="s">
        <v>113</v>
      </c>
      <c r="L100" s="171" t="s">
        <v>114</v>
      </c>
      <c r="M100" s="178">
        <v>0.43</v>
      </c>
      <c r="N100" s="176"/>
      <c r="O100" s="176">
        <v>38</v>
      </c>
      <c r="P100" s="179">
        <v>-104.84</v>
      </c>
    </row>
    <row r="101" spans="1:16" ht="19.5" customHeight="1">
      <c r="A101" s="171" t="s">
        <v>432</v>
      </c>
      <c r="B101" s="175">
        <v>46028</v>
      </c>
      <c r="C101" s="171" t="s">
        <v>127</v>
      </c>
      <c r="D101" s="171" t="s">
        <v>128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1704</v>
      </c>
      <c r="J101" s="175">
        <v>46020</v>
      </c>
      <c r="K101" s="171" t="s">
        <v>113</v>
      </c>
      <c r="L101" s="171" t="s">
        <v>114</v>
      </c>
      <c r="M101" s="178">
        <v>0</v>
      </c>
      <c r="N101" s="176"/>
      <c r="O101" s="176"/>
      <c r="P101" s="179">
        <v>585.71</v>
      </c>
    </row>
    <row r="102" spans="1:16" ht="19.5" customHeight="1">
      <c r="A102" s="171" t="s">
        <v>432</v>
      </c>
      <c r="B102" s="175">
        <v>46028</v>
      </c>
      <c r="C102" s="171" t="s">
        <v>127</v>
      </c>
      <c r="D102" s="171" t="s">
        <v>129</v>
      </c>
      <c r="E102" s="171" t="s">
        <v>38</v>
      </c>
      <c r="F102" s="171" t="s">
        <v>111</v>
      </c>
      <c r="G102" s="171" t="s">
        <v>112</v>
      </c>
      <c r="H102" s="176">
        <v>1</v>
      </c>
      <c r="I102" s="177">
        <v>1704</v>
      </c>
      <c r="J102" s="175">
        <v>46020</v>
      </c>
      <c r="K102" s="171" t="s">
        <v>113</v>
      </c>
      <c r="L102" s="171" t="s">
        <v>114</v>
      </c>
      <c r="M102" s="178">
        <v>0</v>
      </c>
      <c r="N102" s="176"/>
      <c r="O102" s="176"/>
      <c r="P102" s="179">
        <v>5.86</v>
      </c>
    </row>
    <row r="103" spans="1:16" ht="19.5" customHeight="1">
      <c r="A103" s="171" t="s">
        <v>432</v>
      </c>
      <c r="B103" s="175">
        <v>46028</v>
      </c>
      <c r="C103" s="171" t="s">
        <v>127</v>
      </c>
      <c r="D103" s="171" t="s">
        <v>130</v>
      </c>
      <c r="E103" s="171" t="s">
        <v>38</v>
      </c>
      <c r="F103" s="171" t="s">
        <v>111</v>
      </c>
      <c r="G103" s="171" t="s">
        <v>112</v>
      </c>
      <c r="H103" s="176">
        <v>1</v>
      </c>
      <c r="I103" s="177">
        <v>1704</v>
      </c>
      <c r="J103" s="175">
        <v>46020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1112.43</v>
      </c>
    </row>
    <row r="104" spans="1:16" ht="19.5" customHeight="1">
      <c r="A104" s="171" t="s">
        <v>432</v>
      </c>
      <c r="B104" s="175">
        <v>46028</v>
      </c>
      <c r="C104" s="171" t="s">
        <v>131</v>
      </c>
      <c r="D104" s="171" t="s">
        <v>132</v>
      </c>
      <c r="E104" s="171" t="s">
        <v>38</v>
      </c>
      <c r="F104" s="171" t="s">
        <v>111</v>
      </c>
      <c r="G104" s="171" t="s">
        <v>112</v>
      </c>
      <c r="H104" s="176">
        <v>1</v>
      </c>
      <c r="I104" s="177">
        <v>1704</v>
      </c>
      <c r="J104" s="175">
        <v>46020</v>
      </c>
      <c r="K104" s="171" t="s">
        <v>113</v>
      </c>
      <c r="L104" s="171" t="s">
        <v>114</v>
      </c>
      <c r="M104" s="178">
        <v>0.43</v>
      </c>
      <c r="N104" s="176"/>
      <c r="O104" s="176"/>
      <c r="P104" s="179">
        <v>-732.72</v>
      </c>
    </row>
    <row r="105" spans="1:16" ht="19.5" customHeight="1">
      <c r="A105" s="171" t="s">
        <v>433</v>
      </c>
      <c r="B105" s="175">
        <v>46028</v>
      </c>
      <c r="C105" s="171" t="s">
        <v>110</v>
      </c>
      <c r="D105" s="171" t="s">
        <v>24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0.43</v>
      </c>
      <c r="N105" s="176"/>
      <c r="O105" s="176">
        <v>38</v>
      </c>
      <c r="P105" s="179">
        <v>-96.04</v>
      </c>
    </row>
    <row r="106" spans="1:16" ht="19.5" customHeight="1">
      <c r="A106" s="171" t="s">
        <v>433</v>
      </c>
      <c r="B106" s="175">
        <v>46028</v>
      </c>
      <c r="C106" s="171" t="s">
        <v>127</v>
      </c>
      <c r="D106" s="171" t="s">
        <v>128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</v>
      </c>
      <c r="N106" s="176"/>
      <c r="O106" s="176"/>
      <c r="P106" s="179">
        <v>435.45</v>
      </c>
    </row>
    <row r="107" spans="1:16" ht="19.5" customHeight="1">
      <c r="A107" s="171" t="s">
        <v>433</v>
      </c>
      <c r="B107" s="175">
        <v>46028</v>
      </c>
      <c r="C107" s="171" t="s">
        <v>127</v>
      </c>
      <c r="D107" s="171" t="s">
        <v>129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</v>
      </c>
      <c r="N107" s="176"/>
      <c r="O107" s="176"/>
      <c r="P107" s="179">
        <v>4.3499999999999996</v>
      </c>
    </row>
    <row r="108" spans="1:16" ht="19.5" customHeight="1">
      <c r="A108" s="171" t="s">
        <v>433</v>
      </c>
      <c r="B108" s="175">
        <v>46028</v>
      </c>
      <c r="C108" s="171" t="s">
        <v>127</v>
      </c>
      <c r="D108" s="171" t="s">
        <v>130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1304</v>
      </c>
      <c r="J108" s="175">
        <v>46021</v>
      </c>
      <c r="K108" s="171" t="s">
        <v>113</v>
      </c>
      <c r="L108" s="171" t="s">
        <v>114</v>
      </c>
      <c r="M108" s="178">
        <v>0</v>
      </c>
      <c r="N108" s="176"/>
      <c r="O108" s="176"/>
      <c r="P108" s="179">
        <v>864.2</v>
      </c>
    </row>
    <row r="109" spans="1:16" ht="19.5" customHeight="1">
      <c r="A109" s="171" t="s">
        <v>433</v>
      </c>
      <c r="B109" s="175">
        <v>46028</v>
      </c>
      <c r="C109" s="171" t="s">
        <v>131</v>
      </c>
      <c r="D109" s="171" t="s">
        <v>132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46021</v>
      </c>
      <c r="K109" s="171" t="s">
        <v>113</v>
      </c>
      <c r="L109" s="171" t="s">
        <v>114</v>
      </c>
      <c r="M109" s="178">
        <v>0.43</v>
      </c>
      <c r="N109" s="176"/>
      <c r="O109" s="176"/>
      <c r="P109" s="179">
        <v>-560.72</v>
      </c>
    </row>
    <row r="110" spans="1:16" ht="19.5" customHeight="1">
      <c r="A110" s="171" t="s">
        <v>433</v>
      </c>
      <c r="B110" s="175">
        <v>46028</v>
      </c>
      <c r="C110" s="171" t="s">
        <v>115</v>
      </c>
      <c r="D110" s="171" t="s">
        <v>116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46021</v>
      </c>
      <c r="K110" s="171" t="s">
        <v>113</v>
      </c>
      <c r="L110" s="171" t="s">
        <v>114</v>
      </c>
      <c r="M110" s="178">
        <v>0.43</v>
      </c>
      <c r="N110" s="176"/>
      <c r="O110" s="176"/>
      <c r="P110" s="179">
        <v>-12.6</v>
      </c>
    </row>
    <row r="111" spans="1:16" ht="19.5" customHeight="1">
      <c r="A111" s="171" t="s">
        <v>433</v>
      </c>
      <c r="B111" s="175">
        <v>46028</v>
      </c>
      <c r="C111" s="171" t="s">
        <v>115</v>
      </c>
      <c r="D111" s="171" t="s">
        <v>135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0</v>
      </c>
      <c r="J111" s="175">
        <v>46021</v>
      </c>
      <c r="K111" s="171" t="s">
        <v>125</v>
      </c>
      <c r="L111" s="171" t="s">
        <v>125</v>
      </c>
      <c r="M111" s="178">
        <v>0</v>
      </c>
      <c r="N111" s="176"/>
      <c r="O111" s="176"/>
      <c r="P111" s="179">
        <v>-8.27</v>
      </c>
    </row>
    <row r="112" spans="1:16" ht="19.5" customHeight="1">
      <c r="A112" s="171" t="s">
        <v>120</v>
      </c>
      <c r="B112" s="175">
        <v>46028</v>
      </c>
      <c r="C112" s="171" t="s">
        <v>308</v>
      </c>
      <c r="D112" s="171" t="s">
        <v>419</v>
      </c>
      <c r="E112" s="171" t="s">
        <v>38</v>
      </c>
      <c r="F112" s="171" t="s">
        <v>111</v>
      </c>
      <c r="G112" s="171" t="s">
        <v>112</v>
      </c>
      <c r="H112" s="176">
        <v>1</v>
      </c>
      <c r="I112" s="177">
        <v>-1704</v>
      </c>
      <c r="J112" s="175">
        <v>46018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-585.71</v>
      </c>
    </row>
    <row r="113" spans="1:16" ht="19.5" customHeight="1">
      <c r="A113" s="171" t="s">
        <v>120</v>
      </c>
      <c r="B113" s="175">
        <v>46028</v>
      </c>
      <c r="C113" s="171" t="s">
        <v>308</v>
      </c>
      <c r="D113" s="171" t="s">
        <v>129</v>
      </c>
      <c r="E113" s="171" t="s">
        <v>38</v>
      </c>
      <c r="F113" s="171" t="s">
        <v>111</v>
      </c>
      <c r="G113" s="171" t="s">
        <v>112</v>
      </c>
      <c r="H113" s="176">
        <v>1</v>
      </c>
      <c r="I113" s="177">
        <v>-1704</v>
      </c>
      <c r="J113" s="175">
        <v>46018</v>
      </c>
      <c r="K113" s="171" t="s">
        <v>113</v>
      </c>
      <c r="L113" s="171" t="s">
        <v>114</v>
      </c>
      <c r="M113" s="178">
        <v>0</v>
      </c>
      <c r="N113" s="176"/>
      <c r="O113" s="176"/>
      <c r="P113" s="179">
        <v>-5.86</v>
      </c>
    </row>
    <row r="114" spans="1:16" ht="19.5" customHeight="1">
      <c r="A114" s="171" t="s">
        <v>120</v>
      </c>
      <c r="B114" s="175">
        <v>46028</v>
      </c>
      <c r="C114" s="171" t="s">
        <v>308</v>
      </c>
      <c r="D114" s="171" t="s">
        <v>130</v>
      </c>
      <c r="E114" s="171" t="s">
        <v>38</v>
      </c>
      <c r="F114" s="171" t="s">
        <v>111</v>
      </c>
      <c r="G114" s="171" t="s">
        <v>112</v>
      </c>
      <c r="H114" s="176">
        <v>1</v>
      </c>
      <c r="I114" s="177">
        <v>-1704</v>
      </c>
      <c r="J114" s="175">
        <v>46018</v>
      </c>
      <c r="K114" s="171" t="s">
        <v>113</v>
      </c>
      <c r="L114" s="171" t="s">
        <v>114</v>
      </c>
      <c r="M114" s="178">
        <v>0</v>
      </c>
      <c r="N114" s="176"/>
      <c r="O114" s="176"/>
      <c r="P114" s="179">
        <v>-1112.43</v>
      </c>
    </row>
    <row r="115" spans="1:16" ht="19.5" customHeight="1">
      <c r="A115" s="171" t="s">
        <v>120</v>
      </c>
      <c r="B115" s="175">
        <v>46028</v>
      </c>
      <c r="C115" s="171" t="s">
        <v>131</v>
      </c>
      <c r="D115" s="171" t="s">
        <v>420</v>
      </c>
      <c r="E115" s="171" t="s">
        <v>38</v>
      </c>
      <c r="F115" s="171" t="s">
        <v>111</v>
      </c>
      <c r="G115" s="171" t="s">
        <v>112</v>
      </c>
      <c r="H115" s="176">
        <v>1</v>
      </c>
      <c r="I115" s="177">
        <v>-1704</v>
      </c>
      <c r="J115" s="175">
        <v>46018</v>
      </c>
      <c r="K115" s="171" t="s">
        <v>113</v>
      </c>
      <c r="L115" s="171" t="s">
        <v>114</v>
      </c>
      <c r="M115" s="178">
        <v>0.43</v>
      </c>
      <c r="N115" s="176"/>
      <c r="O115" s="176"/>
      <c r="P115" s="179">
        <v>732.72</v>
      </c>
    </row>
    <row r="116" spans="1:16" ht="19.5" customHeight="1">
      <c r="A116" s="171" t="s">
        <v>120</v>
      </c>
      <c r="B116" s="175">
        <v>46028</v>
      </c>
      <c r="C116" s="171" t="s">
        <v>115</v>
      </c>
      <c r="D116" s="171" t="s">
        <v>135</v>
      </c>
      <c r="E116" s="171" t="s">
        <v>38</v>
      </c>
      <c r="F116" s="171" t="s">
        <v>111</v>
      </c>
      <c r="G116" s="171" t="s">
        <v>112</v>
      </c>
      <c r="H116" s="176">
        <v>1</v>
      </c>
      <c r="I116" s="177">
        <v>0</v>
      </c>
      <c r="J116" s="175">
        <v>46018</v>
      </c>
      <c r="K116" s="171" t="s">
        <v>125</v>
      </c>
      <c r="L116" s="171" t="s">
        <v>125</v>
      </c>
      <c r="M116" s="178">
        <v>0</v>
      </c>
      <c r="N116" s="176"/>
      <c r="O116" s="176"/>
      <c r="P116" s="179">
        <v>11.13</v>
      </c>
    </row>
    <row r="117" spans="1:16" ht="19.5" customHeight="1">
      <c r="A117" s="171" t="s">
        <v>434</v>
      </c>
      <c r="B117" s="175">
        <v>46028</v>
      </c>
      <c r="C117" s="171" t="s">
        <v>110</v>
      </c>
      <c r="D117" s="171" t="s">
        <v>24</v>
      </c>
      <c r="E117" s="171" t="s">
        <v>38</v>
      </c>
      <c r="F117" s="171" t="s">
        <v>111</v>
      </c>
      <c r="G117" s="171" t="s">
        <v>112</v>
      </c>
      <c r="H117" s="176">
        <v>1</v>
      </c>
      <c r="I117" s="177">
        <v>1704</v>
      </c>
      <c r="J117" s="175">
        <v>46021</v>
      </c>
      <c r="K117" s="171" t="s">
        <v>113</v>
      </c>
      <c r="L117" s="171" t="s">
        <v>114</v>
      </c>
      <c r="M117" s="178">
        <v>0.43</v>
      </c>
      <c r="N117" s="176"/>
      <c r="O117" s="176">
        <v>38</v>
      </c>
      <c r="P117" s="179">
        <v>-103.73</v>
      </c>
    </row>
    <row r="118" spans="1:16" ht="19.5" customHeight="1">
      <c r="A118" s="171" t="s">
        <v>434</v>
      </c>
      <c r="B118" s="175">
        <v>46028</v>
      </c>
      <c r="C118" s="171" t="s">
        <v>127</v>
      </c>
      <c r="D118" s="171" t="s">
        <v>128</v>
      </c>
      <c r="E118" s="171" t="s">
        <v>38</v>
      </c>
      <c r="F118" s="171" t="s">
        <v>111</v>
      </c>
      <c r="G118" s="171" t="s">
        <v>112</v>
      </c>
      <c r="H118" s="176">
        <v>1</v>
      </c>
      <c r="I118" s="177">
        <v>1704</v>
      </c>
      <c r="J118" s="175">
        <v>46021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649.52</v>
      </c>
    </row>
    <row r="119" spans="1:16" ht="19.5" customHeight="1">
      <c r="A119" s="171" t="s">
        <v>434</v>
      </c>
      <c r="B119" s="175">
        <v>46028</v>
      </c>
      <c r="C119" s="171" t="s">
        <v>127</v>
      </c>
      <c r="D119" s="171" t="s">
        <v>129</v>
      </c>
      <c r="E119" s="171" t="s">
        <v>38</v>
      </c>
      <c r="F119" s="171" t="s">
        <v>111</v>
      </c>
      <c r="G119" s="171" t="s">
        <v>112</v>
      </c>
      <c r="H119" s="176">
        <v>1</v>
      </c>
      <c r="I119" s="177">
        <v>1704</v>
      </c>
      <c r="J119" s="175">
        <v>46021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0</v>
      </c>
    </row>
    <row r="120" spans="1:16" ht="19.5" customHeight="1">
      <c r="A120" s="171" t="s">
        <v>434</v>
      </c>
      <c r="B120" s="175">
        <v>46028</v>
      </c>
      <c r="C120" s="171" t="s">
        <v>127</v>
      </c>
      <c r="D120" s="171" t="s">
        <v>130</v>
      </c>
      <c r="E120" s="171" t="s">
        <v>38</v>
      </c>
      <c r="F120" s="171" t="s">
        <v>111</v>
      </c>
      <c r="G120" s="171" t="s">
        <v>112</v>
      </c>
      <c r="H120" s="176">
        <v>1</v>
      </c>
      <c r="I120" s="177">
        <v>1704</v>
      </c>
      <c r="J120" s="175">
        <v>46021</v>
      </c>
      <c r="K120" s="171" t="s">
        <v>113</v>
      </c>
      <c r="L120" s="171" t="s">
        <v>114</v>
      </c>
      <c r="M120" s="178">
        <v>0</v>
      </c>
      <c r="N120" s="176"/>
      <c r="O120" s="176"/>
      <c r="P120" s="179">
        <v>1054.48</v>
      </c>
    </row>
    <row r="121" spans="1:16" ht="19.5" customHeight="1">
      <c r="A121" s="171" t="s">
        <v>434</v>
      </c>
      <c r="B121" s="175">
        <v>46028</v>
      </c>
      <c r="C121" s="171" t="s">
        <v>131</v>
      </c>
      <c r="D121" s="171" t="s">
        <v>132</v>
      </c>
      <c r="E121" s="171" t="s">
        <v>38</v>
      </c>
      <c r="F121" s="171" t="s">
        <v>111</v>
      </c>
      <c r="G121" s="171" t="s">
        <v>112</v>
      </c>
      <c r="H121" s="176">
        <v>1</v>
      </c>
      <c r="I121" s="177">
        <v>1704</v>
      </c>
      <c r="J121" s="175">
        <v>46021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-732.72</v>
      </c>
    </row>
    <row r="122" spans="1:16" ht="19.5" customHeight="1">
      <c r="A122" s="171" t="s">
        <v>434</v>
      </c>
      <c r="B122" s="175">
        <v>46028</v>
      </c>
      <c r="C122" s="171" t="s">
        <v>115</v>
      </c>
      <c r="D122" s="171" t="s">
        <v>116</v>
      </c>
      <c r="E122" s="171" t="s">
        <v>38</v>
      </c>
      <c r="F122" s="171" t="s">
        <v>111</v>
      </c>
      <c r="G122" s="171" t="s">
        <v>112</v>
      </c>
      <c r="H122" s="176">
        <v>1</v>
      </c>
      <c r="I122" s="177">
        <v>1704</v>
      </c>
      <c r="J122" s="175">
        <v>46021</v>
      </c>
      <c r="K122" s="171" t="s">
        <v>113</v>
      </c>
      <c r="L122" s="171" t="s">
        <v>114</v>
      </c>
      <c r="M122" s="178">
        <v>0.43</v>
      </c>
      <c r="N122" s="176"/>
      <c r="O122" s="176"/>
      <c r="P122" s="179">
        <v>-9.64</v>
      </c>
    </row>
    <row r="123" spans="1:16" ht="19.5" customHeight="1">
      <c r="A123" s="171" t="s">
        <v>435</v>
      </c>
      <c r="B123" s="175">
        <v>46028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-103.73</v>
      </c>
    </row>
    <row r="124" spans="1:16" ht="19.5" customHeight="1">
      <c r="A124" s="171" t="s">
        <v>435</v>
      </c>
      <c r="B124" s="175">
        <v>46028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585.71</v>
      </c>
    </row>
    <row r="125" spans="1:16" ht="19.5" customHeight="1">
      <c r="A125" s="171" t="s">
        <v>435</v>
      </c>
      <c r="B125" s="175">
        <v>46028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5.86</v>
      </c>
    </row>
    <row r="126" spans="1:16" ht="19.5" customHeight="1">
      <c r="A126" s="171" t="s">
        <v>435</v>
      </c>
      <c r="B126" s="175">
        <v>46028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1112.43</v>
      </c>
    </row>
    <row r="127" spans="1:16" ht="19.5" customHeight="1">
      <c r="A127" s="171" t="s">
        <v>435</v>
      </c>
      <c r="B127" s="175">
        <v>46028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435</v>
      </c>
      <c r="B128" s="175">
        <v>46028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-15.22</v>
      </c>
    </row>
    <row r="129" spans="1:16" ht="19.5" customHeight="1">
      <c r="A129" s="171" t="s">
        <v>434</v>
      </c>
      <c r="B129" s="175">
        <v>46028</v>
      </c>
      <c r="C129" s="171" t="s">
        <v>115</v>
      </c>
      <c r="D129" s="171" t="s">
        <v>135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0</v>
      </c>
      <c r="J129" s="175">
        <v>46021</v>
      </c>
      <c r="K129" s="171" t="s">
        <v>125</v>
      </c>
      <c r="L129" s="171" t="s">
        <v>125</v>
      </c>
      <c r="M129" s="178">
        <v>0</v>
      </c>
      <c r="N129" s="176"/>
      <c r="O129" s="176"/>
      <c r="P129" s="179">
        <v>-4.99</v>
      </c>
    </row>
    <row r="130" spans="1:16" ht="19.5" customHeight="1">
      <c r="A130" s="171" t="s">
        <v>436</v>
      </c>
      <c r="B130" s="175">
        <v>46028</v>
      </c>
      <c r="C130" s="171" t="s">
        <v>110</v>
      </c>
      <c r="D130" s="171" t="s">
        <v>24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1704</v>
      </c>
      <c r="J130" s="175">
        <v>46024</v>
      </c>
      <c r="K130" s="171" t="s">
        <v>113</v>
      </c>
      <c r="L130" s="171" t="s">
        <v>114</v>
      </c>
      <c r="M130" s="178">
        <v>0.43</v>
      </c>
      <c r="N130" s="176"/>
      <c r="O130" s="176">
        <v>39</v>
      </c>
      <c r="P130" s="179">
        <v>-110.12</v>
      </c>
    </row>
    <row r="131" spans="1:16" ht="19.5" customHeight="1">
      <c r="A131" s="171" t="s">
        <v>436</v>
      </c>
      <c r="B131" s="175">
        <v>46028</v>
      </c>
      <c r="C131" s="171" t="s">
        <v>127</v>
      </c>
      <c r="D131" s="171" t="s">
        <v>128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1704</v>
      </c>
      <c r="J131" s="175">
        <v>46024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649.52</v>
      </c>
    </row>
    <row r="132" spans="1:16" ht="19.5" customHeight="1">
      <c r="A132" s="171" t="s">
        <v>436</v>
      </c>
      <c r="B132" s="175">
        <v>46028</v>
      </c>
      <c r="C132" s="171" t="s">
        <v>127</v>
      </c>
      <c r="D132" s="171" t="s">
        <v>129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1704</v>
      </c>
      <c r="J132" s="175">
        <v>46024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0</v>
      </c>
    </row>
    <row r="133" spans="1:16" ht="19.5" customHeight="1">
      <c r="A133" s="171" t="s">
        <v>436</v>
      </c>
      <c r="B133" s="175">
        <v>46028</v>
      </c>
      <c r="C133" s="171" t="s">
        <v>127</v>
      </c>
      <c r="D133" s="171" t="s">
        <v>130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1704</v>
      </c>
      <c r="J133" s="175">
        <v>46024</v>
      </c>
      <c r="K133" s="171" t="s">
        <v>113</v>
      </c>
      <c r="L133" s="171" t="s">
        <v>114</v>
      </c>
      <c r="M133" s="178">
        <v>0</v>
      </c>
      <c r="N133" s="176"/>
      <c r="O133" s="176"/>
      <c r="P133" s="179">
        <v>1054.48</v>
      </c>
    </row>
    <row r="134" spans="1:16" ht="19.5" customHeight="1">
      <c r="A134" s="171" t="s">
        <v>436</v>
      </c>
      <c r="B134" s="175">
        <v>46028</v>
      </c>
      <c r="C134" s="171" t="s">
        <v>131</v>
      </c>
      <c r="D134" s="171" t="s">
        <v>132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1704</v>
      </c>
      <c r="J134" s="175">
        <v>46024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-732.72</v>
      </c>
    </row>
    <row r="135" spans="1:16" ht="19.5" customHeight="1">
      <c r="A135" s="171" t="s">
        <v>436</v>
      </c>
      <c r="B135" s="175">
        <v>46028</v>
      </c>
      <c r="C135" s="171" t="s">
        <v>115</v>
      </c>
      <c r="D135" s="171" t="s">
        <v>116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46024</v>
      </c>
      <c r="K135" s="171" t="s">
        <v>113</v>
      </c>
      <c r="L135" s="171" t="s">
        <v>114</v>
      </c>
      <c r="M135" s="178">
        <v>0.43</v>
      </c>
      <c r="N135" s="176"/>
      <c r="O135" s="176"/>
      <c r="P135" s="179">
        <v>-12.3</v>
      </c>
    </row>
    <row r="136" spans="1:16" ht="19.5" customHeight="1">
      <c r="A136" s="171" t="s">
        <v>435</v>
      </c>
      <c r="B136" s="175">
        <v>46028</v>
      </c>
      <c r="C136" s="171" t="s">
        <v>115</v>
      </c>
      <c r="D136" s="171" t="s">
        <v>135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0</v>
      </c>
      <c r="J136" s="175">
        <v>46021</v>
      </c>
      <c r="K136" s="171" t="s">
        <v>125</v>
      </c>
      <c r="L136" s="171" t="s">
        <v>125</v>
      </c>
      <c r="M136" s="178">
        <v>0</v>
      </c>
      <c r="N136" s="176"/>
      <c r="O136" s="176"/>
      <c r="P136" s="179">
        <v>-11.13</v>
      </c>
    </row>
    <row r="137" spans="1:16" ht="19.5" customHeight="1">
      <c r="A137" s="171" t="s">
        <v>436</v>
      </c>
      <c r="B137" s="175">
        <v>46028</v>
      </c>
      <c r="C137" s="171" t="s">
        <v>115</v>
      </c>
      <c r="D137" s="171" t="s">
        <v>135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0</v>
      </c>
      <c r="J137" s="175">
        <v>46024</v>
      </c>
      <c r="K137" s="171" t="s">
        <v>125</v>
      </c>
      <c r="L137" s="171" t="s">
        <v>125</v>
      </c>
      <c r="M137" s="178">
        <v>0</v>
      </c>
      <c r="N137" s="176"/>
      <c r="O137" s="176"/>
      <c r="P137" s="179">
        <v>-3.49</v>
      </c>
    </row>
    <row r="138" spans="1:16" ht="19.5" customHeight="1">
      <c r="A138" s="171" t="s">
        <v>437</v>
      </c>
      <c r="B138" s="175">
        <v>46028</v>
      </c>
      <c r="C138" s="171" t="s">
        <v>110</v>
      </c>
      <c r="D138" s="171" t="s">
        <v>24</v>
      </c>
      <c r="E138" s="171" t="s">
        <v>41</v>
      </c>
      <c r="F138" s="171" t="s">
        <v>138</v>
      </c>
      <c r="G138" s="171" t="s">
        <v>112</v>
      </c>
      <c r="H138" s="176">
        <v>1</v>
      </c>
      <c r="I138" s="177">
        <v>1304</v>
      </c>
      <c r="J138" s="175">
        <v>46022</v>
      </c>
      <c r="K138" s="171" t="s">
        <v>113</v>
      </c>
      <c r="L138" s="171" t="s">
        <v>114</v>
      </c>
      <c r="M138" s="178">
        <v>0.43</v>
      </c>
      <c r="N138" s="176"/>
      <c r="O138" s="176">
        <v>38</v>
      </c>
      <c r="P138" s="179">
        <v>-96.04</v>
      </c>
    </row>
    <row r="139" spans="1:16" ht="19.5" customHeight="1">
      <c r="A139" s="171" t="s">
        <v>437</v>
      </c>
      <c r="B139" s="175">
        <v>46028</v>
      </c>
      <c r="C139" s="171" t="s">
        <v>127</v>
      </c>
      <c r="D139" s="171" t="s">
        <v>128</v>
      </c>
      <c r="E139" s="171" t="s">
        <v>41</v>
      </c>
      <c r="F139" s="171" t="s">
        <v>138</v>
      </c>
      <c r="G139" s="171" t="s">
        <v>112</v>
      </c>
      <c r="H139" s="176">
        <v>1</v>
      </c>
      <c r="I139" s="177">
        <v>1304</v>
      </c>
      <c r="J139" s="175">
        <v>46022</v>
      </c>
      <c r="K139" s="171" t="s">
        <v>113</v>
      </c>
      <c r="L139" s="171" t="s">
        <v>114</v>
      </c>
      <c r="M139" s="178">
        <v>0</v>
      </c>
      <c r="N139" s="176"/>
      <c r="O139" s="176"/>
      <c r="P139" s="179">
        <v>496.67</v>
      </c>
    </row>
    <row r="140" spans="1:16" ht="19.5" customHeight="1">
      <c r="A140" s="171" t="s">
        <v>437</v>
      </c>
      <c r="B140" s="175">
        <v>46028</v>
      </c>
      <c r="C140" s="171" t="s">
        <v>127</v>
      </c>
      <c r="D140" s="171" t="s">
        <v>129</v>
      </c>
      <c r="E140" s="171" t="s">
        <v>41</v>
      </c>
      <c r="F140" s="171" t="s">
        <v>138</v>
      </c>
      <c r="G140" s="171" t="s">
        <v>112</v>
      </c>
      <c r="H140" s="176">
        <v>1</v>
      </c>
      <c r="I140" s="177">
        <v>1304</v>
      </c>
      <c r="J140" s="175">
        <v>46022</v>
      </c>
      <c r="K140" s="171" t="s">
        <v>113</v>
      </c>
      <c r="L140" s="171" t="s">
        <v>114</v>
      </c>
      <c r="M140" s="178">
        <v>0</v>
      </c>
      <c r="N140" s="176"/>
      <c r="O140" s="176"/>
      <c r="P140" s="179">
        <v>0</v>
      </c>
    </row>
    <row r="141" spans="1:16" ht="19.5" customHeight="1">
      <c r="A141" s="171" t="s">
        <v>437</v>
      </c>
      <c r="B141" s="175">
        <v>46028</v>
      </c>
      <c r="C141" s="171" t="s">
        <v>127</v>
      </c>
      <c r="D141" s="171" t="s">
        <v>130</v>
      </c>
      <c r="E141" s="171" t="s">
        <v>41</v>
      </c>
      <c r="F141" s="171" t="s">
        <v>138</v>
      </c>
      <c r="G141" s="171" t="s">
        <v>112</v>
      </c>
      <c r="H141" s="176">
        <v>1</v>
      </c>
      <c r="I141" s="177">
        <v>1304</v>
      </c>
      <c r="J141" s="175">
        <v>46022</v>
      </c>
      <c r="K141" s="171" t="s">
        <v>113</v>
      </c>
      <c r="L141" s="171" t="s">
        <v>114</v>
      </c>
      <c r="M141" s="178">
        <v>0</v>
      </c>
      <c r="N141" s="176"/>
      <c r="O141" s="176"/>
      <c r="P141" s="179">
        <v>807.33</v>
      </c>
    </row>
    <row r="142" spans="1:16" ht="19.5" customHeight="1">
      <c r="A142" s="171" t="s">
        <v>437</v>
      </c>
      <c r="B142" s="175">
        <v>46028</v>
      </c>
      <c r="C142" s="171" t="s">
        <v>131</v>
      </c>
      <c r="D142" s="171" t="s">
        <v>132</v>
      </c>
      <c r="E142" s="171" t="s">
        <v>41</v>
      </c>
      <c r="F142" s="171" t="s">
        <v>138</v>
      </c>
      <c r="G142" s="171" t="s">
        <v>112</v>
      </c>
      <c r="H142" s="176">
        <v>1</v>
      </c>
      <c r="I142" s="177">
        <v>1304</v>
      </c>
      <c r="J142" s="175">
        <v>46022</v>
      </c>
      <c r="K142" s="171" t="s">
        <v>113</v>
      </c>
      <c r="L142" s="171" t="s">
        <v>114</v>
      </c>
      <c r="M142" s="178">
        <v>0.43</v>
      </c>
      <c r="N142" s="176"/>
      <c r="O142" s="176"/>
      <c r="P142" s="179">
        <v>-560.72</v>
      </c>
    </row>
    <row r="143" spans="1:16" ht="19.5" customHeight="1">
      <c r="A143" s="171" t="s">
        <v>437</v>
      </c>
      <c r="B143" s="175">
        <v>46028</v>
      </c>
      <c r="C143" s="171" t="s">
        <v>115</v>
      </c>
      <c r="D143" s="171" t="s">
        <v>116</v>
      </c>
      <c r="E143" s="171" t="s">
        <v>41</v>
      </c>
      <c r="F143" s="171" t="s">
        <v>138</v>
      </c>
      <c r="G143" s="171" t="s">
        <v>112</v>
      </c>
      <c r="H143" s="176">
        <v>1</v>
      </c>
      <c r="I143" s="177">
        <v>1304</v>
      </c>
      <c r="J143" s="175">
        <v>46022</v>
      </c>
      <c r="K143" s="171" t="s">
        <v>113</v>
      </c>
      <c r="L143" s="171" t="s">
        <v>114</v>
      </c>
      <c r="M143" s="178">
        <v>0.43</v>
      </c>
      <c r="N143" s="176"/>
      <c r="O143" s="176"/>
      <c r="P143" s="179">
        <v>-16.739999999999998</v>
      </c>
    </row>
    <row r="144" spans="1:16" ht="19.5" customHeight="1">
      <c r="A144" s="171" t="s">
        <v>438</v>
      </c>
      <c r="B144" s="175">
        <v>46028</v>
      </c>
      <c r="C144" s="171" t="s">
        <v>115</v>
      </c>
      <c r="D144" s="171" t="s">
        <v>135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0</v>
      </c>
      <c r="J144" s="175">
        <v>46028</v>
      </c>
      <c r="K144" s="171" t="s">
        <v>125</v>
      </c>
      <c r="L144" s="171" t="s">
        <v>125</v>
      </c>
      <c r="M144" s="178">
        <v>0</v>
      </c>
      <c r="N144" s="176"/>
      <c r="O144" s="176"/>
      <c r="P144" s="179">
        <v>-11.12</v>
      </c>
    </row>
    <row r="145" spans="1:16" ht="19.5" customHeight="1">
      <c r="A145" s="171" t="s">
        <v>439</v>
      </c>
      <c r="B145" s="175">
        <v>46028</v>
      </c>
      <c r="C145" s="171" t="s">
        <v>110</v>
      </c>
      <c r="D145" s="171" t="s">
        <v>24</v>
      </c>
      <c r="E145" s="171" t="s">
        <v>41</v>
      </c>
      <c r="F145" s="171" t="s">
        <v>138</v>
      </c>
      <c r="G145" s="171" t="s">
        <v>112</v>
      </c>
      <c r="H145" s="176">
        <v>1</v>
      </c>
      <c r="I145" s="177">
        <v>1687</v>
      </c>
      <c r="J145" s="175">
        <v>46027</v>
      </c>
      <c r="K145" s="171" t="s">
        <v>113</v>
      </c>
      <c r="L145" s="171" t="s">
        <v>114</v>
      </c>
      <c r="M145" s="178">
        <v>0.43</v>
      </c>
      <c r="N145" s="176"/>
      <c r="O145" s="176">
        <v>41</v>
      </c>
      <c r="P145" s="179">
        <v>-117.58</v>
      </c>
    </row>
    <row r="146" spans="1:16" ht="19.5" customHeight="1">
      <c r="A146" s="171" t="s">
        <v>439</v>
      </c>
      <c r="B146" s="175">
        <v>46028</v>
      </c>
      <c r="C146" s="171" t="s">
        <v>127</v>
      </c>
      <c r="D146" s="171" t="s">
        <v>128</v>
      </c>
      <c r="E146" s="171" t="s">
        <v>41</v>
      </c>
      <c r="F146" s="171" t="s">
        <v>138</v>
      </c>
      <c r="G146" s="171" t="s">
        <v>112</v>
      </c>
      <c r="H146" s="176">
        <v>1</v>
      </c>
      <c r="I146" s="177">
        <v>1687</v>
      </c>
      <c r="J146" s="175">
        <v>46027</v>
      </c>
      <c r="K146" s="171" t="s">
        <v>113</v>
      </c>
      <c r="L146" s="171" t="s">
        <v>114</v>
      </c>
      <c r="M146" s="178">
        <v>0</v>
      </c>
      <c r="N146" s="176"/>
      <c r="O146" s="176"/>
      <c r="P146" s="179">
        <v>642.86</v>
      </c>
    </row>
    <row r="147" spans="1:16" ht="19.5" customHeight="1">
      <c r="A147" s="171" t="s">
        <v>439</v>
      </c>
      <c r="B147" s="175">
        <v>46028</v>
      </c>
      <c r="C147" s="171" t="s">
        <v>127</v>
      </c>
      <c r="D147" s="171" t="s">
        <v>129</v>
      </c>
      <c r="E147" s="171" t="s">
        <v>41</v>
      </c>
      <c r="F147" s="171" t="s">
        <v>138</v>
      </c>
      <c r="G147" s="171" t="s">
        <v>112</v>
      </c>
      <c r="H147" s="176">
        <v>1</v>
      </c>
      <c r="I147" s="177">
        <v>1687</v>
      </c>
      <c r="J147" s="175">
        <v>46027</v>
      </c>
      <c r="K147" s="171" t="s">
        <v>113</v>
      </c>
      <c r="L147" s="171" t="s">
        <v>114</v>
      </c>
      <c r="M147" s="178">
        <v>0</v>
      </c>
      <c r="N147" s="176"/>
      <c r="O147" s="176"/>
      <c r="P147" s="179">
        <v>0</v>
      </c>
    </row>
    <row r="148" spans="1:16" ht="19.5" customHeight="1">
      <c r="A148" s="171" t="s">
        <v>439</v>
      </c>
      <c r="B148" s="175">
        <v>46028</v>
      </c>
      <c r="C148" s="171" t="s">
        <v>127</v>
      </c>
      <c r="D148" s="171" t="s">
        <v>130</v>
      </c>
      <c r="E148" s="171" t="s">
        <v>41</v>
      </c>
      <c r="F148" s="171" t="s">
        <v>138</v>
      </c>
      <c r="G148" s="171" t="s">
        <v>112</v>
      </c>
      <c r="H148" s="176">
        <v>1</v>
      </c>
      <c r="I148" s="177">
        <v>1687</v>
      </c>
      <c r="J148" s="175">
        <v>46027</v>
      </c>
      <c r="K148" s="171" t="s">
        <v>113</v>
      </c>
      <c r="L148" s="171" t="s">
        <v>114</v>
      </c>
      <c r="M148" s="178">
        <v>0</v>
      </c>
      <c r="N148" s="176"/>
      <c r="O148" s="176"/>
      <c r="P148" s="179">
        <v>1044.1400000000001</v>
      </c>
    </row>
    <row r="149" spans="1:16" ht="19.5" customHeight="1">
      <c r="A149" s="171" t="s">
        <v>439</v>
      </c>
      <c r="B149" s="175">
        <v>46028</v>
      </c>
      <c r="C149" s="171" t="s">
        <v>131</v>
      </c>
      <c r="D149" s="171" t="s">
        <v>132</v>
      </c>
      <c r="E149" s="171" t="s">
        <v>41</v>
      </c>
      <c r="F149" s="171" t="s">
        <v>138</v>
      </c>
      <c r="G149" s="171" t="s">
        <v>112</v>
      </c>
      <c r="H149" s="176">
        <v>1</v>
      </c>
      <c r="I149" s="177">
        <v>1687</v>
      </c>
      <c r="J149" s="175">
        <v>46027</v>
      </c>
      <c r="K149" s="171" t="s">
        <v>113</v>
      </c>
      <c r="L149" s="171" t="s">
        <v>114</v>
      </c>
      <c r="M149" s="178">
        <v>0.43</v>
      </c>
      <c r="N149" s="176"/>
      <c r="O149" s="176"/>
      <c r="P149" s="179">
        <v>-725.41</v>
      </c>
    </row>
    <row r="150" spans="1:16" ht="19.5" customHeight="1">
      <c r="A150" s="171" t="s">
        <v>439</v>
      </c>
      <c r="B150" s="175">
        <v>46028</v>
      </c>
      <c r="C150" s="171" t="s">
        <v>115</v>
      </c>
      <c r="D150" s="171" t="s">
        <v>116</v>
      </c>
      <c r="E150" s="171" t="s">
        <v>41</v>
      </c>
      <c r="F150" s="171" t="s">
        <v>138</v>
      </c>
      <c r="G150" s="171" t="s">
        <v>112</v>
      </c>
      <c r="H150" s="176">
        <v>1</v>
      </c>
      <c r="I150" s="177">
        <v>1687</v>
      </c>
      <c r="J150" s="175">
        <v>46027</v>
      </c>
      <c r="K150" s="171" t="s">
        <v>113</v>
      </c>
      <c r="L150" s="171" t="s">
        <v>114</v>
      </c>
      <c r="M150" s="178">
        <v>0.43</v>
      </c>
      <c r="N150" s="176"/>
      <c r="O150" s="176"/>
      <c r="P150" s="179">
        <v>-21.5</v>
      </c>
    </row>
    <row r="151" spans="1:16" ht="19.5" customHeight="1">
      <c r="A151" s="171" t="s">
        <v>440</v>
      </c>
      <c r="B151" s="175">
        <v>46028</v>
      </c>
      <c r="C151" s="171" t="s">
        <v>110</v>
      </c>
      <c r="D151" s="171" t="s">
        <v>24</v>
      </c>
      <c r="E151" s="171" t="s">
        <v>79</v>
      </c>
      <c r="F151" s="171" t="s">
        <v>441</v>
      </c>
      <c r="G151" s="171" t="s">
        <v>177</v>
      </c>
      <c r="H151" s="176">
        <v>1</v>
      </c>
      <c r="I151" s="177">
        <v>0</v>
      </c>
      <c r="J151" s="175">
        <v>46020</v>
      </c>
      <c r="K151" s="171" t="s">
        <v>113</v>
      </c>
      <c r="L151" s="171" t="s">
        <v>114</v>
      </c>
      <c r="M151" s="178">
        <v>0</v>
      </c>
      <c r="N151" s="176"/>
      <c r="O151" s="176">
        <v>38</v>
      </c>
      <c r="P151" s="179">
        <v>-56.94</v>
      </c>
    </row>
    <row r="152" spans="1:16" ht="19.5" customHeight="1">
      <c r="A152" s="171" t="s">
        <v>440</v>
      </c>
      <c r="B152" s="175">
        <v>46028</v>
      </c>
      <c r="C152" s="171" t="s">
        <v>115</v>
      </c>
      <c r="D152" s="171" t="s">
        <v>116</v>
      </c>
      <c r="E152" s="171" t="s">
        <v>79</v>
      </c>
      <c r="F152" s="171" t="s">
        <v>441</v>
      </c>
      <c r="G152" s="171" t="s">
        <v>177</v>
      </c>
      <c r="H152" s="176">
        <v>1</v>
      </c>
      <c r="I152" s="177">
        <v>0</v>
      </c>
      <c r="J152" s="175">
        <v>46020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-10.99</v>
      </c>
    </row>
    <row r="153" spans="1:16" ht="19.5" customHeight="1">
      <c r="A153" s="171" t="s">
        <v>440</v>
      </c>
      <c r="B153" s="175">
        <v>46028</v>
      </c>
      <c r="C153" s="171" t="s">
        <v>110</v>
      </c>
      <c r="D153" s="171" t="s">
        <v>117</v>
      </c>
      <c r="E153" s="171" t="s">
        <v>79</v>
      </c>
      <c r="F153" s="171" t="s">
        <v>441</v>
      </c>
      <c r="G153" s="171" t="s">
        <v>177</v>
      </c>
      <c r="H153" s="176">
        <v>1</v>
      </c>
      <c r="I153" s="177">
        <v>0</v>
      </c>
      <c r="J153" s="175">
        <v>46020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0</v>
      </c>
    </row>
    <row r="154" spans="1:16" ht="19.5" customHeight="1">
      <c r="A154" s="171" t="s">
        <v>440</v>
      </c>
      <c r="B154" s="175">
        <v>46028</v>
      </c>
      <c r="C154" s="171" t="s">
        <v>110</v>
      </c>
      <c r="D154" s="171" t="s">
        <v>118</v>
      </c>
      <c r="E154" s="171" t="s">
        <v>79</v>
      </c>
      <c r="F154" s="171" t="s">
        <v>441</v>
      </c>
      <c r="G154" s="171" t="s">
        <v>177</v>
      </c>
      <c r="H154" s="176">
        <v>1</v>
      </c>
      <c r="I154" s="177">
        <v>0</v>
      </c>
      <c r="J154" s="175">
        <v>46020</v>
      </c>
      <c r="K154" s="171" t="s">
        <v>113</v>
      </c>
      <c r="L154" s="171" t="s">
        <v>114</v>
      </c>
      <c r="M154" s="178">
        <v>0</v>
      </c>
      <c r="N154" s="176"/>
      <c r="O154" s="176"/>
      <c r="P154" s="179">
        <v>-56.94</v>
      </c>
    </row>
    <row r="155" spans="1:16" ht="19.5" customHeight="1">
      <c r="A155" s="171" t="s">
        <v>440</v>
      </c>
      <c r="B155" s="175">
        <v>46028</v>
      </c>
      <c r="C155" s="171" t="s">
        <v>115</v>
      </c>
      <c r="D155" s="171" t="s">
        <v>119</v>
      </c>
      <c r="E155" s="171" t="s">
        <v>79</v>
      </c>
      <c r="F155" s="171" t="s">
        <v>441</v>
      </c>
      <c r="G155" s="171" t="s">
        <v>177</v>
      </c>
      <c r="H155" s="176">
        <v>1</v>
      </c>
      <c r="I155" s="177">
        <v>0</v>
      </c>
      <c r="J155" s="175">
        <v>46020</v>
      </c>
      <c r="K155" s="171" t="s">
        <v>113</v>
      </c>
      <c r="L155" s="171" t="s">
        <v>114</v>
      </c>
      <c r="M155" s="178">
        <v>0</v>
      </c>
      <c r="N155" s="176"/>
      <c r="O155" s="176"/>
      <c r="P155" s="179">
        <v>-15</v>
      </c>
    </row>
    <row r="156" spans="1:16" ht="19.5" customHeight="1">
      <c r="A156" s="171" t="s">
        <v>442</v>
      </c>
      <c r="B156" s="175">
        <v>46028</v>
      </c>
      <c r="C156" s="171" t="s">
        <v>115</v>
      </c>
      <c r="D156" s="171" t="s">
        <v>135</v>
      </c>
      <c r="E156" s="171" t="s">
        <v>38</v>
      </c>
      <c r="F156" s="171" t="s">
        <v>111</v>
      </c>
      <c r="G156" s="171" t="s">
        <v>112</v>
      </c>
      <c r="H156" s="176">
        <v>1</v>
      </c>
      <c r="I156" s="177">
        <v>0</v>
      </c>
      <c r="J156" s="175">
        <v>46028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-11.08</v>
      </c>
    </row>
    <row r="157" spans="1:16" ht="19.5" customHeight="1">
      <c r="A157" s="171" t="s">
        <v>443</v>
      </c>
      <c r="B157" s="175">
        <v>46028</v>
      </c>
      <c r="C157" s="171" t="s">
        <v>110</v>
      </c>
      <c r="D157" s="171" t="s">
        <v>24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46013</v>
      </c>
      <c r="K157" s="171" t="s">
        <v>113</v>
      </c>
      <c r="L157" s="171" t="s">
        <v>114</v>
      </c>
      <c r="M157" s="178">
        <v>0</v>
      </c>
      <c r="N157" s="176"/>
      <c r="O157" s="176">
        <v>42</v>
      </c>
      <c r="P157" s="179">
        <v>-46.77</v>
      </c>
    </row>
    <row r="158" spans="1:16" ht="19.5" customHeight="1">
      <c r="A158" s="171" t="s">
        <v>443</v>
      </c>
      <c r="B158" s="175">
        <v>46028</v>
      </c>
      <c r="C158" s="171" t="s">
        <v>110</v>
      </c>
      <c r="D158" s="171" t="s">
        <v>117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0</v>
      </c>
      <c r="J158" s="175">
        <v>46013</v>
      </c>
      <c r="K158" s="171" t="s">
        <v>113</v>
      </c>
      <c r="L158" s="171" t="s">
        <v>114</v>
      </c>
      <c r="M158" s="178">
        <v>0</v>
      </c>
      <c r="N158" s="176"/>
      <c r="O158" s="176"/>
      <c r="P158" s="179">
        <v>0</v>
      </c>
    </row>
    <row r="159" spans="1:16" ht="19.5" customHeight="1">
      <c r="A159" s="171" t="s">
        <v>443</v>
      </c>
      <c r="B159" s="175">
        <v>46028</v>
      </c>
      <c r="C159" s="171" t="s">
        <v>110</v>
      </c>
      <c r="D159" s="171" t="s">
        <v>118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0</v>
      </c>
      <c r="J159" s="175">
        <v>46013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-46.77</v>
      </c>
    </row>
    <row r="160" spans="1:16" ht="19.5" customHeight="1">
      <c r="A160" s="171" t="s">
        <v>444</v>
      </c>
      <c r="B160" s="175">
        <v>46028</v>
      </c>
      <c r="C160" s="171" t="s">
        <v>115</v>
      </c>
      <c r="D160" s="171" t="s">
        <v>135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0</v>
      </c>
      <c r="J160" s="175">
        <v>46028</v>
      </c>
      <c r="K160" s="171" t="s">
        <v>125</v>
      </c>
      <c r="L160" s="171" t="s">
        <v>125</v>
      </c>
      <c r="M160" s="178">
        <v>0</v>
      </c>
      <c r="N160" s="176"/>
      <c r="O160" s="176"/>
      <c r="P160" s="179">
        <v>-11.02</v>
      </c>
    </row>
    <row r="161" spans="1:16" ht="19.5" customHeight="1">
      <c r="A161" s="171" t="s">
        <v>445</v>
      </c>
      <c r="B161" s="175">
        <v>46028</v>
      </c>
      <c r="C161" s="171" t="s">
        <v>110</v>
      </c>
      <c r="D161" s="171" t="s">
        <v>24</v>
      </c>
      <c r="E161" s="171" t="s">
        <v>38</v>
      </c>
      <c r="F161" s="171" t="s">
        <v>111</v>
      </c>
      <c r="G161" s="171" t="s">
        <v>112</v>
      </c>
      <c r="H161" s="176">
        <v>1</v>
      </c>
      <c r="I161" s="177">
        <v>0</v>
      </c>
      <c r="J161" s="175">
        <v>46024</v>
      </c>
      <c r="K161" s="171" t="s">
        <v>113</v>
      </c>
      <c r="L161" s="171" t="s">
        <v>114</v>
      </c>
      <c r="M161" s="178">
        <v>0</v>
      </c>
      <c r="N161" s="176"/>
      <c r="O161" s="176">
        <v>39</v>
      </c>
      <c r="P161" s="179">
        <v>-108.98</v>
      </c>
    </row>
    <row r="162" spans="1:16" ht="19.5" customHeight="1">
      <c r="A162" s="171" t="s">
        <v>446</v>
      </c>
      <c r="B162" s="175">
        <v>46028</v>
      </c>
      <c r="C162" s="171" t="s">
        <v>115</v>
      </c>
      <c r="D162" s="171" t="s">
        <v>135</v>
      </c>
      <c r="E162" s="171" t="s">
        <v>38</v>
      </c>
      <c r="F162" s="171" t="s">
        <v>111</v>
      </c>
      <c r="G162" s="171" t="s">
        <v>112</v>
      </c>
      <c r="H162" s="176">
        <v>1</v>
      </c>
      <c r="I162" s="177">
        <v>0</v>
      </c>
      <c r="J162" s="175">
        <v>46015</v>
      </c>
      <c r="K162" s="171" t="s">
        <v>125</v>
      </c>
      <c r="L162" s="171" t="s">
        <v>125</v>
      </c>
      <c r="M162" s="178">
        <v>0</v>
      </c>
      <c r="N162" s="176"/>
      <c r="O162" s="176"/>
      <c r="P162" s="179">
        <v>7.98</v>
      </c>
    </row>
    <row r="163" spans="1:16" ht="19.5" customHeight="1">
      <c r="A163" s="171" t="s">
        <v>447</v>
      </c>
      <c r="B163" s="175">
        <v>46028</v>
      </c>
      <c r="C163" s="171" t="s">
        <v>110</v>
      </c>
      <c r="D163" s="171" t="s">
        <v>121</v>
      </c>
      <c r="E163" s="171" t="s">
        <v>41</v>
      </c>
      <c r="F163" s="171" t="s">
        <v>138</v>
      </c>
      <c r="G163" s="171" t="s">
        <v>112</v>
      </c>
      <c r="H163" s="176">
        <v>1</v>
      </c>
      <c r="I163" s="177">
        <v>0</v>
      </c>
      <c r="J163" s="175">
        <v>45995</v>
      </c>
      <c r="K163" s="171" t="s">
        <v>113</v>
      </c>
      <c r="L163" s="171" t="s">
        <v>114</v>
      </c>
      <c r="M163" s="178">
        <v>0</v>
      </c>
      <c r="N163" s="176"/>
      <c r="O163" s="176"/>
      <c r="P163" s="179">
        <v>0</v>
      </c>
    </row>
    <row r="164" spans="1:16" ht="19.5" customHeight="1">
      <c r="A164" s="171" t="s">
        <v>447</v>
      </c>
      <c r="B164" s="175">
        <v>46028</v>
      </c>
      <c r="C164" s="171" t="s">
        <v>110</v>
      </c>
      <c r="D164" s="171" t="s">
        <v>118</v>
      </c>
      <c r="E164" s="171" t="s">
        <v>41</v>
      </c>
      <c r="F164" s="171" t="s">
        <v>138</v>
      </c>
      <c r="G164" s="171" t="s">
        <v>112</v>
      </c>
      <c r="H164" s="176">
        <v>1</v>
      </c>
      <c r="I164" s="177">
        <v>0</v>
      </c>
      <c r="J164" s="175">
        <v>45995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-46.77</v>
      </c>
    </row>
    <row r="165" spans="1:16" ht="19.5" customHeight="1">
      <c r="A165" s="171" t="s">
        <v>447</v>
      </c>
      <c r="B165" s="175">
        <v>46028</v>
      </c>
      <c r="C165" s="171" t="s">
        <v>115</v>
      </c>
      <c r="D165" s="171" t="s">
        <v>119</v>
      </c>
      <c r="E165" s="171" t="s">
        <v>41</v>
      </c>
      <c r="F165" s="171" t="s">
        <v>138</v>
      </c>
      <c r="G165" s="171" t="s">
        <v>112</v>
      </c>
      <c r="H165" s="176">
        <v>1</v>
      </c>
      <c r="I165" s="177">
        <v>0</v>
      </c>
      <c r="J165" s="175">
        <v>45995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-15</v>
      </c>
    </row>
    <row r="166" spans="1:16" ht="19.5" customHeight="1">
      <c r="A166" s="171" t="s">
        <v>150</v>
      </c>
      <c r="B166" s="175">
        <v>46028</v>
      </c>
      <c r="C166" s="171" t="s">
        <v>151</v>
      </c>
      <c r="D166" s="171" t="s">
        <v>152</v>
      </c>
      <c r="E166" s="171" t="s">
        <v>125</v>
      </c>
      <c r="F166" s="171" t="s">
        <v>125</v>
      </c>
      <c r="G166" s="171" t="s">
        <v>125</v>
      </c>
      <c r="H166" s="176">
        <v>0</v>
      </c>
      <c r="I166" s="177">
        <v>0</v>
      </c>
      <c r="J166" s="175">
        <v>46028</v>
      </c>
      <c r="K166" s="171" t="s">
        <v>125</v>
      </c>
      <c r="L166" s="171" t="s">
        <v>125</v>
      </c>
      <c r="M166" s="178">
        <v>0</v>
      </c>
      <c r="N166" s="176"/>
      <c r="O166" s="176"/>
      <c r="P166" s="179">
        <v>-1371.7</v>
      </c>
    </row>
    <row r="167" spans="1:16" ht="19.5" customHeight="1">
      <c r="A167" s="171" t="s">
        <v>155</v>
      </c>
      <c r="B167" s="175">
        <v>46028</v>
      </c>
      <c r="C167" s="171" t="s">
        <v>151</v>
      </c>
      <c r="D167" s="171" t="s">
        <v>156</v>
      </c>
      <c r="E167" s="171" t="s">
        <v>125</v>
      </c>
      <c r="F167" s="171" t="s">
        <v>125</v>
      </c>
      <c r="G167" s="171" t="s">
        <v>125</v>
      </c>
      <c r="H167" s="176">
        <v>0</v>
      </c>
      <c r="I167" s="177">
        <v>0</v>
      </c>
      <c r="J167" s="175">
        <v>46028</v>
      </c>
      <c r="K167" s="171" t="s">
        <v>125</v>
      </c>
      <c r="L167" s="171" t="s">
        <v>125</v>
      </c>
      <c r="M167" s="178">
        <v>0</v>
      </c>
      <c r="N167" s="176"/>
      <c r="O167" s="176"/>
      <c r="P167" s="179">
        <v>-1191.0999999999999</v>
      </c>
    </row>
    <row r="168" spans="1:16" ht="19.5" customHeight="1">
      <c r="A168" s="171" t="s">
        <v>352</v>
      </c>
      <c r="B168" s="175">
        <v>46028</v>
      </c>
      <c r="C168" s="171" t="s">
        <v>151</v>
      </c>
      <c r="D168" s="171" t="s">
        <v>152</v>
      </c>
      <c r="E168" s="171" t="s">
        <v>125</v>
      </c>
      <c r="F168" s="171" t="s">
        <v>125</v>
      </c>
      <c r="G168" s="171" t="s">
        <v>125</v>
      </c>
      <c r="H168" s="176">
        <v>0</v>
      </c>
      <c r="I168" s="177">
        <v>0</v>
      </c>
      <c r="J168" s="175">
        <v>46028</v>
      </c>
      <c r="K168" s="171" t="s">
        <v>125</v>
      </c>
      <c r="L168" s="171" t="s">
        <v>125</v>
      </c>
      <c r="M168" s="178">
        <v>0</v>
      </c>
      <c r="N168" s="176"/>
      <c r="O168" s="176"/>
      <c r="P168" s="179">
        <v>-606.51</v>
      </c>
    </row>
    <row r="169" spans="1:16" ht="19.5" customHeight="1">
      <c r="A169" s="171" t="s">
        <v>349</v>
      </c>
      <c r="B169" s="175">
        <v>46028</v>
      </c>
      <c r="C169" s="171" t="s">
        <v>151</v>
      </c>
      <c r="D169" s="171" t="s">
        <v>152</v>
      </c>
      <c r="E169" s="171" t="s">
        <v>125</v>
      </c>
      <c r="F169" s="171" t="s">
        <v>125</v>
      </c>
      <c r="G169" s="171" t="s">
        <v>125</v>
      </c>
      <c r="H169" s="176">
        <v>0</v>
      </c>
      <c r="I169" s="177">
        <v>0</v>
      </c>
      <c r="J169" s="175">
        <v>46028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-286.17</v>
      </c>
    </row>
    <row r="170" spans="1:16" ht="19.5" customHeight="1">
      <c r="A170" s="171" t="s">
        <v>448</v>
      </c>
      <c r="B170" s="175">
        <v>46028</v>
      </c>
      <c r="C170" s="171" t="s">
        <v>151</v>
      </c>
      <c r="D170" s="171" t="s">
        <v>152</v>
      </c>
      <c r="E170" s="171" t="s">
        <v>125</v>
      </c>
      <c r="F170" s="171" t="s">
        <v>125</v>
      </c>
      <c r="G170" s="171" t="s">
        <v>125</v>
      </c>
      <c r="H170" s="176">
        <v>0</v>
      </c>
      <c r="I170" s="177">
        <v>0</v>
      </c>
      <c r="J170" s="175">
        <v>46028</v>
      </c>
      <c r="K170" s="171" t="s">
        <v>125</v>
      </c>
      <c r="L170" s="171" t="s">
        <v>125</v>
      </c>
      <c r="M170" s="178">
        <v>0</v>
      </c>
      <c r="N170" s="176"/>
      <c r="O170" s="176"/>
      <c r="P170" s="179">
        <v>-271.89</v>
      </c>
    </row>
    <row r="171" spans="1:16" ht="19.5" customHeight="1">
      <c r="A171" s="171" t="s">
        <v>449</v>
      </c>
      <c r="B171" s="175">
        <v>46029</v>
      </c>
      <c r="C171" s="171" t="s">
        <v>110</v>
      </c>
      <c r="D171" s="171" t="s">
        <v>117</v>
      </c>
      <c r="E171" s="171" t="s">
        <v>38</v>
      </c>
      <c r="F171" s="171" t="s">
        <v>111</v>
      </c>
      <c r="G171" s="171" t="s">
        <v>112</v>
      </c>
      <c r="H171" s="176">
        <v>1</v>
      </c>
      <c r="I171" s="177">
        <v>0</v>
      </c>
      <c r="J171" s="175">
        <v>46017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449</v>
      </c>
      <c r="B172" s="175">
        <v>46029</v>
      </c>
      <c r="C172" s="171" t="s">
        <v>110</v>
      </c>
      <c r="D172" s="171" t="s">
        <v>118</v>
      </c>
      <c r="E172" s="171" t="s">
        <v>38</v>
      </c>
      <c r="F172" s="171" t="s">
        <v>111</v>
      </c>
      <c r="G172" s="171" t="s">
        <v>112</v>
      </c>
      <c r="H172" s="176">
        <v>1</v>
      </c>
      <c r="I172" s="177">
        <v>0</v>
      </c>
      <c r="J172" s="175">
        <v>46017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449</v>
      </c>
      <c r="B173" s="175">
        <v>46029</v>
      </c>
      <c r="C173" s="171" t="s">
        <v>115</v>
      </c>
      <c r="D173" s="171" t="s">
        <v>119</v>
      </c>
      <c r="E173" s="171" t="s">
        <v>38</v>
      </c>
      <c r="F173" s="171" t="s">
        <v>111</v>
      </c>
      <c r="G173" s="171" t="s">
        <v>112</v>
      </c>
      <c r="H173" s="176">
        <v>1</v>
      </c>
      <c r="I173" s="177">
        <v>0</v>
      </c>
      <c r="J173" s="175">
        <v>46017</v>
      </c>
      <c r="K173" s="171" t="s">
        <v>113</v>
      </c>
      <c r="L173" s="171" t="s">
        <v>114</v>
      </c>
      <c r="M173" s="178">
        <v>0</v>
      </c>
      <c r="N173" s="176"/>
      <c r="O173" s="176"/>
      <c r="P173" s="179">
        <v>-15</v>
      </c>
    </row>
    <row r="174" spans="1:16" ht="19.5" customHeight="1">
      <c r="A174" s="171" t="s">
        <v>450</v>
      </c>
      <c r="B174" s="175">
        <v>46029</v>
      </c>
      <c r="C174" s="171" t="s">
        <v>110</v>
      </c>
      <c r="D174" s="171" t="s">
        <v>24</v>
      </c>
      <c r="E174" s="171" t="s">
        <v>38</v>
      </c>
      <c r="F174" s="171" t="s">
        <v>111</v>
      </c>
      <c r="G174" s="171" t="s">
        <v>112</v>
      </c>
      <c r="H174" s="176">
        <v>1</v>
      </c>
      <c r="I174" s="177">
        <v>0</v>
      </c>
      <c r="J174" s="175">
        <v>46019</v>
      </c>
      <c r="K174" s="171" t="s">
        <v>113</v>
      </c>
      <c r="L174" s="171" t="s">
        <v>114</v>
      </c>
      <c r="M174" s="178">
        <v>0</v>
      </c>
      <c r="N174" s="176"/>
      <c r="O174" s="176">
        <v>39</v>
      </c>
      <c r="P174" s="179">
        <v>-46.77</v>
      </c>
    </row>
    <row r="175" spans="1:16" ht="19.5" customHeight="1">
      <c r="A175" s="171" t="s">
        <v>450</v>
      </c>
      <c r="B175" s="175">
        <v>46029</v>
      </c>
      <c r="C175" s="171" t="s">
        <v>115</v>
      </c>
      <c r="D175" s="171" t="s">
        <v>116</v>
      </c>
      <c r="E175" s="171" t="s">
        <v>38</v>
      </c>
      <c r="F175" s="171" t="s">
        <v>111</v>
      </c>
      <c r="G175" s="171" t="s">
        <v>112</v>
      </c>
      <c r="H175" s="176">
        <v>1</v>
      </c>
      <c r="I175" s="177">
        <v>0</v>
      </c>
      <c r="J175" s="175">
        <v>46019</v>
      </c>
      <c r="K175" s="171" t="s">
        <v>113</v>
      </c>
      <c r="L175" s="171" t="s">
        <v>114</v>
      </c>
      <c r="M175" s="178">
        <v>0</v>
      </c>
      <c r="N175" s="176"/>
      <c r="O175" s="176"/>
      <c r="P175" s="179">
        <v>-10.37</v>
      </c>
    </row>
    <row r="176" spans="1:16" ht="19.5" customHeight="1">
      <c r="A176" s="171" t="s">
        <v>450</v>
      </c>
      <c r="B176" s="175">
        <v>46029</v>
      </c>
      <c r="C176" s="171" t="s">
        <v>110</v>
      </c>
      <c r="D176" s="171" t="s">
        <v>117</v>
      </c>
      <c r="E176" s="171" t="s">
        <v>38</v>
      </c>
      <c r="F176" s="171" t="s">
        <v>111</v>
      </c>
      <c r="G176" s="171" t="s">
        <v>112</v>
      </c>
      <c r="H176" s="176">
        <v>1</v>
      </c>
      <c r="I176" s="177">
        <v>0</v>
      </c>
      <c r="J176" s="175">
        <v>46019</v>
      </c>
      <c r="K176" s="171" t="s">
        <v>113</v>
      </c>
      <c r="L176" s="171" t="s">
        <v>114</v>
      </c>
      <c r="M176" s="178">
        <v>0</v>
      </c>
      <c r="N176" s="176"/>
      <c r="O176" s="176"/>
      <c r="P176" s="179">
        <v>0</v>
      </c>
    </row>
    <row r="177" spans="1:16" ht="19.5" customHeight="1">
      <c r="A177" s="171" t="s">
        <v>450</v>
      </c>
      <c r="B177" s="175">
        <v>46029</v>
      </c>
      <c r="C177" s="171" t="s">
        <v>110</v>
      </c>
      <c r="D177" s="171" t="s">
        <v>118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46019</v>
      </c>
      <c r="K177" s="171" t="s">
        <v>113</v>
      </c>
      <c r="L177" s="171" t="s">
        <v>114</v>
      </c>
      <c r="M177" s="178">
        <v>0</v>
      </c>
      <c r="N177" s="176"/>
      <c r="O177" s="176"/>
      <c r="P177" s="179">
        <v>-46.77</v>
      </c>
    </row>
    <row r="178" spans="1:16" ht="19.5" customHeight="1">
      <c r="A178" s="171" t="s">
        <v>450</v>
      </c>
      <c r="B178" s="175">
        <v>46029</v>
      </c>
      <c r="C178" s="171" t="s">
        <v>115</v>
      </c>
      <c r="D178" s="171" t="s">
        <v>119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46019</v>
      </c>
      <c r="K178" s="171" t="s">
        <v>113</v>
      </c>
      <c r="L178" s="171" t="s">
        <v>114</v>
      </c>
      <c r="M178" s="178">
        <v>0</v>
      </c>
      <c r="N178" s="176"/>
      <c r="O178" s="176"/>
      <c r="P178" s="179">
        <v>-15</v>
      </c>
    </row>
    <row r="179" spans="1:16" ht="19.5" customHeight="1">
      <c r="A179" s="171" t="s">
        <v>449</v>
      </c>
      <c r="B179" s="175">
        <v>46029</v>
      </c>
      <c r="C179" s="171" t="s">
        <v>110</v>
      </c>
      <c r="D179" s="171" t="s">
        <v>24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46017</v>
      </c>
      <c r="K179" s="171" t="s">
        <v>113</v>
      </c>
      <c r="L179" s="171" t="s">
        <v>114</v>
      </c>
      <c r="M179" s="178">
        <v>0</v>
      </c>
      <c r="N179" s="176"/>
      <c r="O179" s="176">
        <v>38</v>
      </c>
      <c r="P179" s="179">
        <v>-46.77</v>
      </c>
    </row>
    <row r="180" spans="1:16" ht="19.5" customHeight="1">
      <c r="A180" s="171" t="s">
        <v>449</v>
      </c>
      <c r="B180" s="175">
        <v>46029</v>
      </c>
      <c r="C180" s="171" t="s">
        <v>115</v>
      </c>
      <c r="D180" s="171" t="s">
        <v>116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46017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-8.2899999999999991</v>
      </c>
    </row>
    <row r="181" spans="1:16" ht="19.5" customHeight="1">
      <c r="A181" s="171" t="s">
        <v>451</v>
      </c>
      <c r="B181" s="175">
        <v>46029</v>
      </c>
      <c r="C181" s="171" t="s">
        <v>110</v>
      </c>
      <c r="D181" s="171" t="s">
        <v>117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46008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0</v>
      </c>
    </row>
    <row r="182" spans="1:16" ht="19.5" customHeight="1">
      <c r="A182" s="171" t="s">
        <v>451</v>
      </c>
      <c r="B182" s="175">
        <v>46029</v>
      </c>
      <c r="C182" s="171" t="s">
        <v>110</v>
      </c>
      <c r="D182" s="171" t="s">
        <v>118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46008</v>
      </c>
      <c r="K182" s="171" t="s">
        <v>113</v>
      </c>
      <c r="L182" s="171" t="s">
        <v>114</v>
      </c>
      <c r="M182" s="178">
        <v>0</v>
      </c>
      <c r="N182" s="176"/>
      <c r="O182" s="176"/>
      <c r="P182" s="179">
        <v>-46.77</v>
      </c>
    </row>
    <row r="183" spans="1:16" ht="19.5" customHeight="1">
      <c r="A183" s="171" t="s">
        <v>451</v>
      </c>
      <c r="B183" s="175">
        <v>46029</v>
      </c>
      <c r="C183" s="171" t="s">
        <v>115</v>
      </c>
      <c r="D183" s="171" t="s">
        <v>119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46008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-15</v>
      </c>
    </row>
    <row r="184" spans="1:16" ht="19.5" customHeight="1">
      <c r="A184" s="171" t="s">
        <v>451</v>
      </c>
      <c r="B184" s="175">
        <v>46029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0</v>
      </c>
      <c r="J184" s="175">
        <v>46008</v>
      </c>
      <c r="K184" s="171" t="s">
        <v>113</v>
      </c>
      <c r="L184" s="171" t="s">
        <v>114</v>
      </c>
      <c r="M184" s="178">
        <v>0</v>
      </c>
      <c r="N184" s="176"/>
      <c r="O184" s="176">
        <v>41</v>
      </c>
      <c r="P184" s="179">
        <v>-46.77</v>
      </c>
    </row>
    <row r="185" spans="1:16" ht="19.5" customHeight="1">
      <c r="A185" s="171" t="s">
        <v>451</v>
      </c>
      <c r="B185" s="175">
        <v>46029</v>
      </c>
      <c r="C185" s="171" t="s">
        <v>115</v>
      </c>
      <c r="D185" s="171" t="s">
        <v>116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0</v>
      </c>
      <c r="J185" s="175">
        <v>46008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-5.27</v>
      </c>
    </row>
    <row r="186" spans="1:16" ht="19.5" customHeight="1">
      <c r="A186" s="171" t="s">
        <v>452</v>
      </c>
      <c r="B186" s="175">
        <v>46029</v>
      </c>
      <c r="C186" s="171" t="s">
        <v>110</v>
      </c>
      <c r="D186" s="171" t="s">
        <v>24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0</v>
      </c>
      <c r="J186" s="175">
        <v>46019</v>
      </c>
      <c r="K186" s="171" t="s">
        <v>113</v>
      </c>
      <c r="L186" s="171" t="s">
        <v>114</v>
      </c>
      <c r="M186" s="178">
        <v>0</v>
      </c>
      <c r="N186" s="176"/>
      <c r="O186" s="176">
        <v>39</v>
      </c>
      <c r="P186" s="179">
        <v>-46.77</v>
      </c>
    </row>
    <row r="187" spans="1:16" ht="19.5" customHeight="1">
      <c r="A187" s="171" t="s">
        <v>452</v>
      </c>
      <c r="B187" s="175">
        <v>46029</v>
      </c>
      <c r="C187" s="171" t="s">
        <v>115</v>
      </c>
      <c r="D187" s="171" t="s">
        <v>116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0</v>
      </c>
      <c r="J187" s="175">
        <v>46019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-8.6300000000000008</v>
      </c>
    </row>
    <row r="188" spans="1:16" ht="19.5" customHeight="1">
      <c r="A188" s="171" t="s">
        <v>452</v>
      </c>
      <c r="B188" s="175">
        <v>46029</v>
      </c>
      <c r="C188" s="171" t="s">
        <v>110</v>
      </c>
      <c r="D188" s="171" t="s">
        <v>117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0</v>
      </c>
      <c r="J188" s="175">
        <v>46019</v>
      </c>
      <c r="K188" s="171" t="s">
        <v>113</v>
      </c>
      <c r="L188" s="171" t="s">
        <v>114</v>
      </c>
      <c r="M188" s="178">
        <v>0</v>
      </c>
      <c r="N188" s="176"/>
      <c r="O188" s="176"/>
      <c r="P188" s="179">
        <v>0</v>
      </c>
    </row>
    <row r="189" spans="1:16" ht="19.5" customHeight="1">
      <c r="A189" s="171" t="s">
        <v>452</v>
      </c>
      <c r="B189" s="175">
        <v>46029</v>
      </c>
      <c r="C189" s="171" t="s">
        <v>110</v>
      </c>
      <c r="D189" s="171" t="s">
        <v>118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0</v>
      </c>
      <c r="J189" s="175">
        <v>46019</v>
      </c>
      <c r="K189" s="171" t="s">
        <v>113</v>
      </c>
      <c r="L189" s="171" t="s">
        <v>114</v>
      </c>
      <c r="M189" s="178">
        <v>0</v>
      </c>
      <c r="N189" s="176"/>
      <c r="O189" s="176"/>
      <c r="P189" s="179">
        <v>-46.77</v>
      </c>
    </row>
    <row r="190" spans="1:16" ht="19.5" customHeight="1">
      <c r="A190" s="171" t="s">
        <v>452</v>
      </c>
      <c r="B190" s="175">
        <v>46029</v>
      </c>
      <c r="C190" s="171" t="s">
        <v>115</v>
      </c>
      <c r="D190" s="171" t="s">
        <v>119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46019</v>
      </c>
      <c r="K190" s="171" t="s">
        <v>113</v>
      </c>
      <c r="L190" s="171" t="s">
        <v>114</v>
      </c>
      <c r="M190" s="178">
        <v>0</v>
      </c>
      <c r="N190" s="176"/>
      <c r="O190" s="176"/>
      <c r="P190" s="179">
        <v>-15</v>
      </c>
    </row>
    <row r="191" spans="1:16" ht="19.5" customHeight="1">
      <c r="A191" s="171" t="s">
        <v>453</v>
      </c>
      <c r="B191" s="175">
        <v>46029</v>
      </c>
      <c r="C191" s="171" t="s">
        <v>110</v>
      </c>
      <c r="D191" s="171" t="s">
        <v>24</v>
      </c>
      <c r="E191" s="171" t="s">
        <v>44</v>
      </c>
      <c r="F191" s="171" t="s">
        <v>213</v>
      </c>
      <c r="G191" s="171" t="s">
        <v>214</v>
      </c>
      <c r="H191" s="176">
        <v>1</v>
      </c>
      <c r="I191" s="177">
        <v>0</v>
      </c>
      <c r="J191" s="175">
        <v>46017</v>
      </c>
      <c r="K191" s="171" t="s">
        <v>113</v>
      </c>
      <c r="L191" s="171" t="s">
        <v>114</v>
      </c>
      <c r="M191" s="178">
        <v>0</v>
      </c>
      <c r="N191" s="176"/>
      <c r="O191" s="176">
        <v>38</v>
      </c>
      <c r="P191" s="179">
        <v>-46</v>
      </c>
    </row>
    <row r="192" spans="1:16" ht="19.5" customHeight="1">
      <c r="A192" s="171" t="s">
        <v>453</v>
      </c>
      <c r="B192" s="175">
        <v>46029</v>
      </c>
      <c r="C192" s="171" t="s">
        <v>115</v>
      </c>
      <c r="D192" s="171" t="s">
        <v>116</v>
      </c>
      <c r="E192" s="171" t="s">
        <v>44</v>
      </c>
      <c r="F192" s="171" t="s">
        <v>213</v>
      </c>
      <c r="G192" s="171" t="s">
        <v>214</v>
      </c>
      <c r="H192" s="176">
        <v>1</v>
      </c>
      <c r="I192" s="177">
        <v>0</v>
      </c>
      <c r="J192" s="175">
        <v>46017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-10.32</v>
      </c>
    </row>
    <row r="193" spans="1:16" ht="19.5" customHeight="1">
      <c r="A193" s="171" t="s">
        <v>453</v>
      </c>
      <c r="B193" s="175">
        <v>46029</v>
      </c>
      <c r="C193" s="171" t="s">
        <v>110</v>
      </c>
      <c r="D193" s="171" t="s">
        <v>117</v>
      </c>
      <c r="E193" s="171" t="s">
        <v>44</v>
      </c>
      <c r="F193" s="171" t="s">
        <v>213</v>
      </c>
      <c r="G193" s="171" t="s">
        <v>214</v>
      </c>
      <c r="H193" s="176">
        <v>1</v>
      </c>
      <c r="I193" s="177">
        <v>0</v>
      </c>
      <c r="J193" s="175">
        <v>46017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0</v>
      </c>
    </row>
    <row r="194" spans="1:16" ht="19.5" customHeight="1">
      <c r="A194" s="171" t="s">
        <v>453</v>
      </c>
      <c r="B194" s="175">
        <v>46029</v>
      </c>
      <c r="C194" s="171" t="s">
        <v>110</v>
      </c>
      <c r="D194" s="171" t="s">
        <v>118</v>
      </c>
      <c r="E194" s="171" t="s">
        <v>44</v>
      </c>
      <c r="F194" s="171" t="s">
        <v>213</v>
      </c>
      <c r="G194" s="171" t="s">
        <v>214</v>
      </c>
      <c r="H194" s="176">
        <v>1</v>
      </c>
      <c r="I194" s="177">
        <v>0</v>
      </c>
      <c r="J194" s="175">
        <v>46017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-46</v>
      </c>
    </row>
    <row r="195" spans="1:16" ht="19.5" customHeight="1">
      <c r="A195" s="171" t="s">
        <v>453</v>
      </c>
      <c r="B195" s="175">
        <v>46029</v>
      </c>
      <c r="C195" s="171" t="s">
        <v>115</v>
      </c>
      <c r="D195" s="171" t="s">
        <v>119</v>
      </c>
      <c r="E195" s="171" t="s">
        <v>44</v>
      </c>
      <c r="F195" s="171" t="s">
        <v>213</v>
      </c>
      <c r="G195" s="171" t="s">
        <v>214</v>
      </c>
      <c r="H195" s="176">
        <v>1</v>
      </c>
      <c r="I195" s="177">
        <v>0</v>
      </c>
      <c r="J195" s="175">
        <v>46017</v>
      </c>
      <c r="K195" s="171" t="s">
        <v>113</v>
      </c>
      <c r="L195" s="171" t="s">
        <v>114</v>
      </c>
      <c r="M195" s="178">
        <v>0</v>
      </c>
      <c r="N195" s="176"/>
      <c r="O195" s="176"/>
      <c r="P195" s="179">
        <v>-15</v>
      </c>
    </row>
    <row r="196" spans="1:16" ht="19.5" customHeight="1">
      <c r="A196" s="171" t="s">
        <v>454</v>
      </c>
      <c r="B196" s="175">
        <v>46029</v>
      </c>
      <c r="C196" s="171" t="s">
        <v>115</v>
      </c>
      <c r="D196" s="171" t="s">
        <v>135</v>
      </c>
      <c r="E196" s="171" t="s">
        <v>51</v>
      </c>
      <c r="F196" s="171" t="s">
        <v>227</v>
      </c>
      <c r="G196" s="171" t="s">
        <v>112</v>
      </c>
      <c r="H196" s="176">
        <v>1</v>
      </c>
      <c r="I196" s="177">
        <v>0</v>
      </c>
      <c r="J196" s="175">
        <v>46029</v>
      </c>
      <c r="K196" s="171" t="s">
        <v>125</v>
      </c>
      <c r="L196" s="171" t="s">
        <v>125</v>
      </c>
      <c r="M196" s="178">
        <v>0</v>
      </c>
      <c r="N196" s="176"/>
      <c r="O196" s="176"/>
      <c r="P196" s="179">
        <v>-8.6300000000000008</v>
      </c>
    </row>
    <row r="197" spans="1:16" ht="19.5" customHeight="1">
      <c r="A197" s="171" t="s">
        <v>455</v>
      </c>
      <c r="B197" s="175">
        <v>46029</v>
      </c>
      <c r="C197" s="171" t="s">
        <v>110</v>
      </c>
      <c r="D197" s="171" t="s">
        <v>24</v>
      </c>
      <c r="E197" s="171" t="s">
        <v>41</v>
      </c>
      <c r="F197" s="171" t="s">
        <v>138</v>
      </c>
      <c r="G197" s="171" t="s">
        <v>112</v>
      </c>
      <c r="H197" s="176">
        <v>1</v>
      </c>
      <c r="I197" s="177">
        <v>1687</v>
      </c>
      <c r="J197" s="175">
        <v>46027</v>
      </c>
      <c r="K197" s="171" t="s">
        <v>113</v>
      </c>
      <c r="L197" s="171" t="s">
        <v>114</v>
      </c>
      <c r="M197" s="178">
        <v>0.43</v>
      </c>
      <c r="N197" s="176"/>
      <c r="O197" s="176">
        <v>41</v>
      </c>
      <c r="P197" s="179">
        <v>-117.58</v>
      </c>
    </row>
    <row r="198" spans="1:16" ht="19.5" customHeight="1">
      <c r="A198" s="171" t="s">
        <v>455</v>
      </c>
      <c r="B198" s="175">
        <v>46029</v>
      </c>
      <c r="C198" s="171" t="s">
        <v>127</v>
      </c>
      <c r="D198" s="171" t="s">
        <v>128</v>
      </c>
      <c r="E198" s="171" t="s">
        <v>41</v>
      </c>
      <c r="F198" s="171" t="s">
        <v>138</v>
      </c>
      <c r="G198" s="171" t="s">
        <v>112</v>
      </c>
      <c r="H198" s="176">
        <v>1</v>
      </c>
      <c r="I198" s="177">
        <v>1687</v>
      </c>
      <c r="J198" s="175">
        <v>46027</v>
      </c>
      <c r="K198" s="171" t="s">
        <v>113</v>
      </c>
      <c r="L198" s="171" t="s">
        <v>114</v>
      </c>
      <c r="M198" s="178">
        <v>0</v>
      </c>
      <c r="N198" s="176"/>
      <c r="O198" s="176"/>
      <c r="P198" s="179">
        <v>580</v>
      </c>
    </row>
    <row r="199" spans="1:16" ht="19.5" customHeight="1">
      <c r="A199" s="171" t="s">
        <v>455</v>
      </c>
      <c r="B199" s="175">
        <v>46029</v>
      </c>
      <c r="C199" s="171" t="s">
        <v>127</v>
      </c>
      <c r="D199" s="171" t="s">
        <v>129</v>
      </c>
      <c r="E199" s="171" t="s">
        <v>41</v>
      </c>
      <c r="F199" s="171" t="s">
        <v>138</v>
      </c>
      <c r="G199" s="171" t="s">
        <v>112</v>
      </c>
      <c r="H199" s="176">
        <v>1</v>
      </c>
      <c r="I199" s="177">
        <v>1687</v>
      </c>
      <c r="J199" s="175">
        <v>46027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5.8</v>
      </c>
    </row>
    <row r="200" spans="1:16" ht="19.5" customHeight="1">
      <c r="A200" s="171" t="s">
        <v>455</v>
      </c>
      <c r="B200" s="175">
        <v>46029</v>
      </c>
      <c r="C200" s="171" t="s">
        <v>127</v>
      </c>
      <c r="D200" s="171" t="s">
        <v>130</v>
      </c>
      <c r="E200" s="171" t="s">
        <v>41</v>
      </c>
      <c r="F200" s="171" t="s">
        <v>138</v>
      </c>
      <c r="G200" s="171" t="s">
        <v>112</v>
      </c>
      <c r="H200" s="176">
        <v>1</v>
      </c>
      <c r="I200" s="177">
        <v>1687</v>
      </c>
      <c r="J200" s="175">
        <v>46027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1101.2</v>
      </c>
    </row>
    <row r="201" spans="1:16" ht="19.5" customHeight="1">
      <c r="A201" s="171" t="s">
        <v>455</v>
      </c>
      <c r="B201" s="175">
        <v>46029</v>
      </c>
      <c r="C201" s="171" t="s">
        <v>131</v>
      </c>
      <c r="D201" s="171" t="s">
        <v>132</v>
      </c>
      <c r="E201" s="171" t="s">
        <v>41</v>
      </c>
      <c r="F201" s="171" t="s">
        <v>138</v>
      </c>
      <c r="G201" s="171" t="s">
        <v>112</v>
      </c>
      <c r="H201" s="176">
        <v>1</v>
      </c>
      <c r="I201" s="177">
        <v>1687</v>
      </c>
      <c r="J201" s="175">
        <v>46027</v>
      </c>
      <c r="K201" s="171" t="s">
        <v>113</v>
      </c>
      <c r="L201" s="171" t="s">
        <v>114</v>
      </c>
      <c r="M201" s="178">
        <v>0.43</v>
      </c>
      <c r="N201" s="176"/>
      <c r="O201" s="176"/>
      <c r="P201" s="179">
        <v>-725.41</v>
      </c>
    </row>
    <row r="202" spans="1:16" ht="19.5" customHeight="1">
      <c r="A202" s="171" t="s">
        <v>455</v>
      </c>
      <c r="B202" s="175">
        <v>46029</v>
      </c>
      <c r="C202" s="171" t="s">
        <v>115</v>
      </c>
      <c r="D202" s="171" t="s">
        <v>116</v>
      </c>
      <c r="E202" s="171" t="s">
        <v>41</v>
      </c>
      <c r="F202" s="171" t="s">
        <v>138</v>
      </c>
      <c r="G202" s="171" t="s">
        <v>112</v>
      </c>
      <c r="H202" s="176">
        <v>1</v>
      </c>
      <c r="I202" s="177">
        <v>1687</v>
      </c>
      <c r="J202" s="175">
        <v>46027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-13.79</v>
      </c>
    </row>
    <row r="203" spans="1:16" ht="19.5" customHeight="1">
      <c r="A203" s="171" t="s">
        <v>455</v>
      </c>
      <c r="B203" s="175">
        <v>46029</v>
      </c>
      <c r="C203" s="171" t="s">
        <v>115</v>
      </c>
      <c r="D203" s="171" t="s">
        <v>135</v>
      </c>
      <c r="E203" s="171" t="s">
        <v>41</v>
      </c>
      <c r="F203" s="171" t="s">
        <v>138</v>
      </c>
      <c r="G203" s="171" t="s">
        <v>112</v>
      </c>
      <c r="H203" s="176">
        <v>1</v>
      </c>
      <c r="I203" s="177">
        <v>0</v>
      </c>
      <c r="J203" s="175">
        <v>46027</v>
      </c>
      <c r="K203" s="171" t="s">
        <v>125</v>
      </c>
      <c r="L203" s="171" t="s">
        <v>125</v>
      </c>
      <c r="M203" s="178">
        <v>0</v>
      </c>
      <c r="N203" s="176"/>
      <c r="O203" s="176"/>
      <c r="P203" s="179">
        <v>-11.02</v>
      </c>
    </row>
    <row r="204" spans="1:16" ht="19.5" customHeight="1">
      <c r="A204" s="171" t="s">
        <v>122</v>
      </c>
      <c r="B204" s="175">
        <v>46029</v>
      </c>
      <c r="C204" s="171" t="s">
        <v>123</v>
      </c>
      <c r="D204" s="171" t="s">
        <v>376</v>
      </c>
      <c r="E204" s="171" t="s">
        <v>125</v>
      </c>
      <c r="F204" s="171" t="s">
        <v>125</v>
      </c>
      <c r="G204" s="171" t="s">
        <v>125</v>
      </c>
      <c r="H204" s="176">
        <v>0</v>
      </c>
      <c r="I204" s="177">
        <v>0</v>
      </c>
      <c r="J204" s="175">
        <v>45989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-1165.8</v>
      </c>
    </row>
    <row r="205" spans="1:16" ht="19.5" customHeight="1">
      <c r="A205" s="171" t="s">
        <v>456</v>
      </c>
      <c r="B205" s="175">
        <v>46029</v>
      </c>
      <c r="C205" s="171" t="s">
        <v>115</v>
      </c>
      <c r="D205" s="171" t="s">
        <v>135</v>
      </c>
      <c r="E205" s="171" t="s">
        <v>51</v>
      </c>
      <c r="F205" s="171" t="s">
        <v>227</v>
      </c>
      <c r="G205" s="171" t="s">
        <v>112</v>
      </c>
      <c r="H205" s="176">
        <v>1</v>
      </c>
      <c r="I205" s="177">
        <v>0</v>
      </c>
      <c r="J205" s="175">
        <v>46029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-8.6300000000000008</v>
      </c>
    </row>
    <row r="206" spans="1:16" ht="19.5" customHeight="1">
      <c r="A206" s="171" t="s">
        <v>457</v>
      </c>
      <c r="B206" s="175">
        <v>46029</v>
      </c>
      <c r="C206" s="171" t="s">
        <v>110</v>
      </c>
      <c r="D206" s="171" t="s">
        <v>24</v>
      </c>
      <c r="E206" s="171" t="s">
        <v>41</v>
      </c>
      <c r="F206" s="171" t="s">
        <v>138</v>
      </c>
      <c r="G206" s="171" t="s">
        <v>112</v>
      </c>
      <c r="H206" s="176">
        <v>1</v>
      </c>
      <c r="I206" s="177">
        <v>1304</v>
      </c>
      <c r="J206" s="175">
        <v>46020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-96.04</v>
      </c>
    </row>
    <row r="207" spans="1:16" ht="19.5" customHeight="1">
      <c r="A207" s="171" t="s">
        <v>457</v>
      </c>
      <c r="B207" s="175">
        <v>46029</v>
      </c>
      <c r="C207" s="171" t="s">
        <v>127</v>
      </c>
      <c r="D207" s="171" t="s">
        <v>128</v>
      </c>
      <c r="E207" s="171" t="s">
        <v>41</v>
      </c>
      <c r="F207" s="171" t="s">
        <v>138</v>
      </c>
      <c r="G207" s="171" t="s">
        <v>112</v>
      </c>
      <c r="H207" s="176">
        <v>1</v>
      </c>
      <c r="I207" s="177">
        <v>1304</v>
      </c>
      <c r="J207" s="175">
        <v>46020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440.76</v>
      </c>
    </row>
    <row r="208" spans="1:16" ht="19.5" customHeight="1">
      <c r="A208" s="171" t="s">
        <v>457</v>
      </c>
      <c r="B208" s="175">
        <v>46029</v>
      </c>
      <c r="C208" s="171" t="s">
        <v>127</v>
      </c>
      <c r="D208" s="171" t="s">
        <v>129</v>
      </c>
      <c r="E208" s="171" t="s">
        <v>41</v>
      </c>
      <c r="F208" s="171" t="s">
        <v>138</v>
      </c>
      <c r="G208" s="171" t="s">
        <v>112</v>
      </c>
      <c r="H208" s="176">
        <v>1</v>
      </c>
      <c r="I208" s="177">
        <v>1304</v>
      </c>
      <c r="J208" s="175">
        <v>46020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4.41</v>
      </c>
    </row>
    <row r="209" spans="1:16" ht="19.5" customHeight="1">
      <c r="A209" s="171" t="s">
        <v>457</v>
      </c>
      <c r="B209" s="175">
        <v>46029</v>
      </c>
      <c r="C209" s="171" t="s">
        <v>127</v>
      </c>
      <c r="D209" s="171" t="s">
        <v>130</v>
      </c>
      <c r="E209" s="171" t="s">
        <v>41</v>
      </c>
      <c r="F209" s="171" t="s">
        <v>138</v>
      </c>
      <c r="G209" s="171" t="s">
        <v>112</v>
      </c>
      <c r="H209" s="176">
        <v>1</v>
      </c>
      <c r="I209" s="177">
        <v>1304</v>
      </c>
      <c r="J209" s="175">
        <v>46020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858.83</v>
      </c>
    </row>
    <row r="210" spans="1:16" ht="19.5" customHeight="1">
      <c r="A210" s="171" t="s">
        <v>457</v>
      </c>
      <c r="B210" s="175">
        <v>46029</v>
      </c>
      <c r="C210" s="171" t="s">
        <v>131</v>
      </c>
      <c r="D210" s="171" t="s">
        <v>132</v>
      </c>
      <c r="E210" s="171" t="s">
        <v>41</v>
      </c>
      <c r="F210" s="171" t="s">
        <v>138</v>
      </c>
      <c r="G210" s="171" t="s">
        <v>112</v>
      </c>
      <c r="H210" s="176">
        <v>1</v>
      </c>
      <c r="I210" s="177">
        <v>1304</v>
      </c>
      <c r="J210" s="175">
        <v>46020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-560.72</v>
      </c>
    </row>
    <row r="211" spans="1:16" ht="19.5" customHeight="1">
      <c r="A211" s="171" t="s">
        <v>457</v>
      </c>
      <c r="B211" s="175">
        <v>46029</v>
      </c>
      <c r="C211" s="171" t="s">
        <v>115</v>
      </c>
      <c r="D211" s="171" t="s">
        <v>116</v>
      </c>
      <c r="E211" s="171" t="s">
        <v>41</v>
      </c>
      <c r="F211" s="171" t="s">
        <v>138</v>
      </c>
      <c r="G211" s="171" t="s">
        <v>112</v>
      </c>
      <c r="H211" s="176">
        <v>1</v>
      </c>
      <c r="I211" s="177">
        <v>1304</v>
      </c>
      <c r="J211" s="175">
        <v>46020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-9.75</v>
      </c>
    </row>
    <row r="212" spans="1:16" ht="19.5" customHeight="1">
      <c r="A212" s="171" t="s">
        <v>458</v>
      </c>
      <c r="B212" s="175">
        <v>46029</v>
      </c>
      <c r="C212" s="171" t="s">
        <v>110</v>
      </c>
      <c r="D212" s="171" t="s">
        <v>24</v>
      </c>
      <c r="E212" s="171" t="s">
        <v>41</v>
      </c>
      <c r="F212" s="171" t="s">
        <v>138</v>
      </c>
      <c r="G212" s="171" t="s">
        <v>112</v>
      </c>
      <c r="H212" s="176">
        <v>1</v>
      </c>
      <c r="I212" s="177">
        <v>0</v>
      </c>
      <c r="J212" s="175">
        <v>46023</v>
      </c>
      <c r="K212" s="171" t="s">
        <v>113</v>
      </c>
      <c r="L212" s="171" t="s">
        <v>114</v>
      </c>
      <c r="M212" s="178">
        <v>0</v>
      </c>
      <c r="N212" s="176"/>
      <c r="O212" s="176">
        <v>39</v>
      </c>
      <c r="P212" s="179">
        <v>-46</v>
      </c>
    </row>
    <row r="213" spans="1:16" ht="19.5" customHeight="1">
      <c r="A213" s="171" t="s">
        <v>458</v>
      </c>
      <c r="B213" s="175">
        <v>46029</v>
      </c>
      <c r="C213" s="171" t="s">
        <v>115</v>
      </c>
      <c r="D213" s="171" t="s">
        <v>116</v>
      </c>
      <c r="E213" s="171" t="s">
        <v>41</v>
      </c>
      <c r="F213" s="171" t="s">
        <v>138</v>
      </c>
      <c r="G213" s="171" t="s">
        <v>112</v>
      </c>
      <c r="H213" s="176">
        <v>1</v>
      </c>
      <c r="I213" s="177">
        <v>0</v>
      </c>
      <c r="J213" s="175">
        <v>46023</v>
      </c>
      <c r="K213" s="171" t="s">
        <v>113</v>
      </c>
      <c r="L213" s="171" t="s">
        <v>114</v>
      </c>
      <c r="M213" s="178">
        <v>0</v>
      </c>
      <c r="N213" s="176"/>
      <c r="O213" s="176"/>
      <c r="P213" s="179">
        <v>-7.58</v>
      </c>
    </row>
    <row r="214" spans="1:16" ht="19.5" customHeight="1">
      <c r="A214" s="171" t="s">
        <v>458</v>
      </c>
      <c r="B214" s="175">
        <v>46029</v>
      </c>
      <c r="C214" s="171" t="s">
        <v>110</v>
      </c>
      <c r="D214" s="171" t="s">
        <v>117</v>
      </c>
      <c r="E214" s="171" t="s">
        <v>41</v>
      </c>
      <c r="F214" s="171" t="s">
        <v>138</v>
      </c>
      <c r="G214" s="171" t="s">
        <v>112</v>
      </c>
      <c r="H214" s="176">
        <v>1</v>
      </c>
      <c r="I214" s="177">
        <v>0</v>
      </c>
      <c r="J214" s="175">
        <v>46023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0</v>
      </c>
    </row>
    <row r="215" spans="1:16" ht="19.5" customHeight="1">
      <c r="A215" s="171" t="s">
        <v>458</v>
      </c>
      <c r="B215" s="175">
        <v>46029</v>
      </c>
      <c r="C215" s="171" t="s">
        <v>110</v>
      </c>
      <c r="D215" s="171" t="s">
        <v>118</v>
      </c>
      <c r="E215" s="171" t="s">
        <v>41</v>
      </c>
      <c r="F215" s="171" t="s">
        <v>138</v>
      </c>
      <c r="G215" s="171" t="s">
        <v>112</v>
      </c>
      <c r="H215" s="176">
        <v>1</v>
      </c>
      <c r="I215" s="177">
        <v>0</v>
      </c>
      <c r="J215" s="175">
        <v>46023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-46</v>
      </c>
    </row>
    <row r="216" spans="1:16" ht="19.5" customHeight="1">
      <c r="A216" s="171" t="s">
        <v>458</v>
      </c>
      <c r="B216" s="175">
        <v>46029</v>
      </c>
      <c r="C216" s="171" t="s">
        <v>115</v>
      </c>
      <c r="D216" s="171" t="s">
        <v>119</v>
      </c>
      <c r="E216" s="171" t="s">
        <v>41</v>
      </c>
      <c r="F216" s="171" t="s">
        <v>138</v>
      </c>
      <c r="G216" s="171" t="s">
        <v>112</v>
      </c>
      <c r="H216" s="176">
        <v>1</v>
      </c>
      <c r="I216" s="177">
        <v>0</v>
      </c>
      <c r="J216" s="175">
        <v>46023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-15</v>
      </c>
    </row>
    <row r="217" spans="1:16" ht="19.5" customHeight="1">
      <c r="A217" s="171" t="s">
        <v>459</v>
      </c>
      <c r="B217" s="175">
        <v>46029</v>
      </c>
      <c r="C217" s="171" t="s">
        <v>110</v>
      </c>
      <c r="D217" s="171" t="s">
        <v>24</v>
      </c>
      <c r="E217" s="171" t="s">
        <v>38</v>
      </c>
      <c r="F217" s="171" t="s">
        <v>111</v>
      </c>
      <c r="G217" s="171" t="s">
        <v>112</v>
      </c>
      <c r="H217" s="176">
        <v>1</v>
      </c>
      <c r="I217" s="177">
        <v>1704</v>
      </c>
      <c r="J217" s="175">
        <v>46026</v>
      </c>
      <c r="K217" s="171" t="s">
        <v>113</v>
      </c>
      <c r="L217" s="171" t="s">
        <v>114</v>
      </c>
      <c r="M217" s="178">
        <v>0.43</v>
      </c>
      <c r="N217" s="176"/>
      <c r="O217" s="176">
        <v>37</v>
      </c>
      <c r="P217" s="179">
        <v>-99.56</v>
      </c>
    </row>
    <row r="218" spans="1:16" ht="19.5" customHeight="1">
      <c r="A218" s="171" t="s">
        <v>459</v>
      </c>
      <c r="B218" s="175">
        <v>46029</v>
      </c>
      <c r="C218" s="171" t="s">
        <v>127</v>
      </c>
      <c r="D218" s="171" t="s">
        <v>128</v>
      </c>
      <c r="E218" s="171" t="s">
        <v>38</v>
      </c>
      <c r="F218" s="171" t="s">
        <v>111</v>
      </c>
      <c r="G218" s="171" t="s">
        <v>112</v>
      </c>
      <c r="H218" s="176">
        <v>1</v>
      </c>
      <c r="I218" s="177">
        <v>1704</v>
      </c>
      <c r="J218" s="175">
        <v>46026</v>
      </c>
      <c r="K218" s="171" t="s">
        <v>113</v>
      </c>
      <c r="L218" s="171" t="s">
        <v>114</v>
      </c>
      <c r="M218" s="178">
        <v>0</v>
      </c>
      <c r="N218" s="176"/>
      <c r="O218" s="176"/>
      <c r="P218" s="179">
        <v>585.71</v>
      </c>
    </row>
    <row r="219" spans="1:16" ht="19.5" customHeight="1">
      <c r="A219" s="171" t="s">
        <v>459</v>
      </c>
      <c r="B219" s="175">
        <v>46029</v>
      </c>
      <c r="C219" s="171" t="s">
        <v>127</v>
      </c>
      <c r="D219" s="171" t="s">
        <v>129</v>
      </c>
      <c r="E219" s="171" t="s">
        <v>38</v>
      </c>
      <c r="F219" s="171" t="s">
        <v>111</v>
      </c>
      <c r="G219" s="171" t="s">
        <v>112</v>
      </c>
      <c r="H219" s="176">
        <v>1</v>
      </c>
      <c r="I219" s="177">
        <v>1704</v>
      </c>
      <c r="J219" s="175">
        <v>46026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5.86</v>
      </c>
    </row>
    <row r="220" spans="1:16" ht="19.5" customHeight="1">
      <c r="A220" s="171" t="s">
        <v>459</v>
      </c>
      <c r="B220" s="175">
        <v>46029</v>
      </c>
      <c r="C220" s="171" t="s">
        <v>127</v>
      </c>
      <c r="D220" s="171" t="s">
        <v>130</v>
      </c>
      <c r="E220" s="171" t="s">
        <v>38</v>
      </c>
      <c r="F220" s="171" t="s">
        <v>111</v>
      </c>
      <c r="G220" s="171" t="s">
        <v>112</v>
      </c>
      <c r="H220" s="176">
        <v>1</v>
      </c>
      <c r="I220" s="177">
        <v>1704</v>
      </c>
      <c r="J220" s="175">
        <v>46026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1112.43</v>
      </c>
    </row>
    <row r="221" spans="1:16" ht="19.5" customHeight="1">
      <c r="A221" s="171" t="s">
        <v>459</v>
      </c>
      <c r="B221" s="175">
        <v>46029</v>
      </c>
      <c r="C221" s="171" t="s">
        <v>131</v>
      </c>
      <c r="D221" s="171" t="s">
        <v>132</v>
      </c>
      <c r="E221" s="171" t="s">
        <v>38</v>
      </c>
      <c r="F221" s="171" t="s">
        <v>111</v>
      </c>
      <c r="G221" s="171" t="s">
        <v>112</v>
      </c>
      <c r="H221" s="176">
        <v>1</v>
      </c>
      <c r="I221" s="177">
        <v>1704</v>
      </c>
      <c r="J221" s="175">
        <v>46026</v>
      </c>
      <c r="K221" s="171" t="s">
        <v>113</v>
      </c>
      <c r="L221" s="171" t="s">
        <v>114</v>
      </c>
      <c r="M221" s="178">
        <v>0.43</v>
      </c>
      <c r="N221" s="176"/>
      <c r="O221" s="176"/>
      <c r="P221" s="179">
        <v>-732.72</v>
      </c>
    </row>
    <row r="222" spans="1:16" ht="19.5" customHeight="1">
      <c r="A222" s="171" t="s">
        <v>459</v>
      </c>
      <c r="B222" s="175">
        <v>46029</v>
      </c>
      <c r="C222" s="171" t="s">
        <v>115</v>
      </c>
      <c r="D222" s="171" t="s">
        <v>116</v>
      </c>
      <c r="E222" s="171" t="s">
        <v>38</v>
      </c>
      <c r="F222" s="171" t="s">
        <v>111</v>
      </c>
      <c r="G222" s="171" t="s">
        <v>112</v>
      </c>
      <c r="H222" s="176">
        <v>1</v>
      </c>
      <c r="I222" s="177">
        <v>1704</v>
      </c>
      <c r="J222" s="175">
        <v>46026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-9.6300000000000008</v>
      </c>
    </row>
    <row r="223" spans="1:16" ht="19.5" customHeight="1">
      <c r="A223" s="171" t="s">
        <v>460</v>
      </c>
      <c r="B223" s="175">
        <v>46029</v>
      </c>
      <c r="C223" s="171" t="s">
        <v>110</v>
      </c>
      <c r="D223" s="171" t="s">
        <v>24</v>
      </c>
      <c r="E223" s="171" t="s">
        <v>38</v>
      </c>
      <c r="F223" s="171" t="s">
        <v>111</v>
      </c>
      <c r="G223" s="171" t="s">
        <v>112</v>
      </c>
      <c r="H223" s="176">
        <v>1</v>
      </c>
      <c r="I223" s="177">
        <v>1704</v>
      </c>
      <c r="J223" s="175">
        <v>46027</v>
      </c>
      <c r="K223" s="171" t="s">
        <v>113</v>
      </c>
      <c r="L223" s="171" t="s">
        <v>114</v>
      </c>
      <c r="M223" s="178">
        <v>0.43</v>
      </c>
      <c r="N223" s="176"/>
      <c r="O223" s="176">
        <v>41</v>
      </c>
      <c r="P223" s="179">
        <v>-118.04</v>
      </c>
    </row>
    <row r="224" spans="1:16" ht="19.5" customHeight="1">
      <c r="A224" s="171" t="s">
        <v>460</v>
      </c>
      <c r="B224" s="175">
        <v>46029</v>
      </c>
      <c r="C224" s="171" t="s">
        <v>127</v>
      </c>
      <c r="D224" s="171" t="s">
        <v>128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1704</v>
      </c>
      <c r="J224" s="175">
        <v>46027</v>
      </c>
      <c r="K224" s="171" t="s">
        <v>113</v>
      </c>
      <c r="L224" s="171" t="s">
        <v>114</v>
      </c>
      <c r="M224" s="178">
        <v>0</v>
      </c>
      <c r="N224" s="176"/>
      <c r="O224" s="176"/>
      <c r="P224" s="179">
        <v>585.71</v>
      </c>
    </row>
    <row r="225" spans="1:16" ht="19.5" customHeight="1">
      <c r="A225" s="171" t="s">
        <v>460</v>
      </c>
      <c r="B225" s="175">
        <v>46029</v>
      </c>
      <c r="C225" s="171" t="s">
        <v>127</v>
      </c>
      <c r="D225" s="171" t="s">
        <v>129</v>
      </c>
      <c r="E225" s="171" t="s">
        <v>38</v>
      </c>
      <c r="F225" s="171" t="s">
        <v>111</v>
      </c>
      <c r="G225" s="171" t="s">
        <v>112</v>
      </c>
      <c r="H225" s="176">
        <v>1</v>
      </c>
      <c r="I225" s="177">
        <v>1704</v>
      </c>
      <c r="J225" s="175">
        <v>46027</v>
      </c>
      <c r="K225" s="171" t="s">
        <v>113</v>
      </c>
      <c r="L225" s="171" t="s">
        <v>114</v>
      </c>
      <c r="M225" s="178">
        <v>0</v>
      </c>
      <c r="N225" s="176"/>
      <c r="O225" s="176"/>
      <c r="P225" s="179">
        <v>5.86</v>
      </c>
    </row>
    <row r="226" spans="1:16" ht="19.5" customHeight="1">
      <c r="A226" s="171" t="s">
        <v>460</v>
      </c>
      <c r="B226" s="175">
        <v>46029</v>
      </c>
      <c r="C226" s="171" t="s">
        <v>127</v>
      </c>
      <c r="D226" s="171" t="s">
        <v>130</v>
      </c>
      <c r="E226" s="171" t="s">
        <v>38</v>
      </c>
      <c r="F226" s="171" t="s">
        <v>111</v>
      </c>
      <c r="G226" s="171" t="s">
        <v>112</v>
      </c>
      <c r="H226" s="176">
        <v>1</v>
      </c>
      <c r="I226" s="177">
        <v>1704</v>
      </c>
      <c r="J226" s="175">
        <v>46027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1112.43</v>
      </c>
    </row>
    <row r="227" spans="1:16" ht="19.5" customHeight="1">
      <c r="A227" s="171" t="s">
        <v>460</v>
      </c>
      <c r="B227" s="175">
        <v>46029</v>
      </c>
      <c r="C227" s="171" t="s">
        <v>131</v>
      </c>
      <c r="D227" s="171" t="s">
        <v>132</v>
      </c>
      <c r="E227" s="171" t="s">
        <v>38</v>
      </c>
      <c r="F227" s="171" t="s">
        <v>111</v>
      </c>
      <c r="G227" s="171" t="s">
        <v>112</v>
      </c>
      <c r="H227" s="176">
        <v>1</v>
      </c>
      <c r="I227" s="177">
        <v>1704</v>
      </c>
      <c r="J227" s="175">
        <v>46027</v>
      </c>
      <c r="K227" s="171" t="s">
        <v>113</v>
      </c>
      <c r="L227" s="171" t="s">
        <v>114</v>
      </c>
      <c r="M227" s="178">
        <v>0.43</v>
      </c>
      <c r="N227" s="176"/>
      <c r="O227" s="176"/>
      <c r="P227" s="179">
        <v>-732.72</v>
      </c>
    </row>
    <row r="228" spans="1:16" ht="19.5" customHeight="1">
      <c r="A228" s="171" t="s">
        <v>460</v>
      </c>
      <c r="B228" s="175">
        <v>46029</v>
      </c>
      <c r="C228" s="171" t="s">
        <v>115</v>
      </c>
      <c r="D228" s="171" t="s">
        <v>116</v>
      </c>
      <c r="E228" s="171" t="s">
        <v>38</v>
      </c>
      <c r="F228" s="171" t="s">
        <v>111</v>
      </c>
      <c r="G228" s="171" t="s">
        <v>112</v>
      </c>
      <c r="H228" s="176">
        <v>1</v>
      </c>
      <c r="I228" s="177">
        <v>1704</v>
      </c>
      <c r="J228" s="175">
        <v>46027</v>
      </c>
      <c r="K228" s="171" t="s">
        <v>113</v>
      </c>
      <c r="L228" s="171" t="s">
        <v>114</v>
      </c>
      <c r="M228" s="178">
        <v>0.43</v>
      </c>
      <c r="N228" s="176"/>
      <c r="O228" s="176"/>
      <c r="P228" s="179">
        <v>-8.99</v>
      </c>
    </row>
    <row r="229" spans="1:16" ht="19.5" customHeight="1">
      <c r="A229" s="171" t="s">
        <v>459</v>
      </c>
      <c r="B229" s="175">
        <v>46029</v>
      </c>
      <c r="C229" s="171" t="s">
        <v>115</v>
      </c>
      <c r="D229" s="171" t="s">
        <v>135</v>
      </c>
      <c r="E229" s="171" t="s">
        <v>38</v>
      </c>
      <c r="F229" s="171" t="s">
        <v>111</v>
      </c>
      <c r="G229" s="171" t="s">
        <v>112</v>
      </c>
      <c r="H229" s="176">
        <v>1</v>
      </c>
      <c r="I229" s="177">
        <v>0</v>
      </c>
      <c r="J229" s="175">
        <v>46026</v>
      </c>
      <c r="K229" s="171" t="s">
        <v>125</v>
      </c>
      <c r="L229" s="171" t="s">
        <v>125</v>
      </c>
      <c r="M229" s="178">
        <v>0</v>
      </c>
      <c r="N229" s="176"/>
      <c r="O229" s="176"/>
      <c r="P229" s="179">
        <v>-11.13</v>
      </c>
    </row>
    <row r="230" spans="1:16" ht="19.5" customHeight="1">
      <c r="A230" s="171" t="s">
        <v>461</v>
      </c>
      <c r="B230" s="175">
        <v>46029</v>
      </c>
      <c r="C230" s="171" t="s">
        <v>110</v>
      </c>
      <c r="D230" s="171" t="s">
        <v>24</v>
      </c>
      <c r="E230" s="171" t="s">
        <v>38</v>
      </c>
      <c r="F230" s="171" t="s">
        <v>111</v>
      </c>
      <c r="G230" s="171" t="s">
        <v>112</v>
      </c>
      <c r="H230" s="176">
        <v>1</v>
      </c>
      <c r="I230" s="177">
        <v>1704</v>
      </c>
      <c r="J230" s="175">
        <v>46027</v>
      </c>
      <c r="K230" s="171" t="s">
        <v>113</v>
      </c>
      <c r="L230" s="171" t="s">
        <v>114</v>
      </c>
      <c r="M230" s="178">
        <v>0.43</v>
      </c>
      <c r="N230" s="176"/>
      <c r="O230" s="176">
        <v>41</v>
      </c>
      <c r="P230" s="179">
        <v>-118.04</v>
      </c>
    </row>
    <row r="231" spans="1:16" ht="19.5" customHeight="1">
      <c r="A231" s="171" t="s">
        <v>461</v>
      </c>
      <c r="B231" s="175">
        <v>46029</v>
      </c>
      <c r="C231" s="171" t="s">
        <v>127</v>
      </c>
      <c r="D231" s="171" t="s">
        <v>128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46027</v>
      </c>
      <c r="K231" s="171" t="s">
        <v>113</v>
      </c>
      <c r="L231" s="171" t="s">
        <v>114</v>
      </c>
      <c r="M231" s="178">
        <v>0</v>
      </c>
      <c r="N231" s="176"/>
      <c r="O231" s="176"/>
      <c r="P231" s="179">
        <v>585.71</v>
      </c>
    </row>
    <row r="232" spans="1:16" ht="19.5" customHeight="1">
      <c r="A232" s="171" t="s">
        <v>461</v>
      </c>
      <c r="B232" s="175">
        <v>46029</v>
      </c>
      <c r="C232" s="171" t="s">
        <v>127</v>
      </c>
      <c r="D232" s="171" t="s">
        <v>129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46027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5.86</v>
      </c>
    </row>
    <row r="233" spans="1:16" ht="19.5" customHeight="1">
      <c r="A233" s="171" t="s">
        <v>461</v>
      </c>
      <c r="B233" s="175">
        <v>46029</v>
      </c>
      <c r="C233" s="171" t="s">
        <v>127</v>
      </c>
      <c r="D233" s="171" t="s">
        <v>130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46027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1112.43</v>
      </c>
    </row>
    <row r="234" spans="1:16" ht="19.5" customHeight="1">
      <c r="A234" s="171" t="s">
        <v>461</v>
      </c>
      <c r="B234" s="175">
        <v>46029</v>
      </c>
      <c r="C234" s="171" t="s">
        <v>131</v>
      </c>
      <c r="D234" s="171" t="s">
        <v>132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46027</v>
      </c>
      <c r="K234" s="171" t="s">
        <v>113</v>
      </c>
      <c r="L234" s="171" t="s">
        <v>114</v>
      </c>
      <c r="M234" s="178">
        <v>0.43</v>
      </c>
      <c r="N234" s="176"/>
      <c r="O234" s="176"/>
      <c r="P234" s="179">
        <v>-732.72</v>
      </c>
    </row>
    <row r="235" spans="1:16" ht="19.5" customHeight="1">
      <c r="A235" s="171" t="s">
        <v>461</v>
      </c>
      <c r="B235" s="175">
        <v>46029</v>
      </c>
      <c r="C235" s="171" t="s">
        <v>115</v>
      </c>
      <c r="D235" s="171" t="s">
        <v>116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46027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-8.6199999999999992</v>
      </c>
    </row>
    <row r="236" spans="1:16" ht="19.5" customHeight="1">
      <c r="A236" s="171" t="s">
        <v>462</v>
      </c>
      <c r="B236" s="175">
        <v>46029</v>
      </c>
      <c r="C236" s="171" t="s">
        <v>115</v>
      </c>
      <c r="D236" s="171" t="s">
        <v>135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0</v>
      </c>
      <c r="J236" s="175">
        <v>46029</v>
      </c>
      <c r="K236" s="171" t="s">
        <v>125</v>
      </c>
      <c r="L236" s="171" t="s">
        <v>125</v>
      </c>
      <c r="M236" s="178">
        <v>0</v>
      </c>
      <c r="N236" s="176"/>
      <c r="O236" s="176"/>
      <c r="P236" s="179">
        <v>-4.33</v>
      </c>
    </row>
    <row r="237" spans="1:16" ht="19.5" customHeight="1">
      <c r="A237" s="171" t="s">
        <v>461</v>
      </c>
      <c r="B237" s="175">
        <v>46029</v>
      </c>
      <c r="C237" s="171" t="s">
        <v>115</v>
      </c>
      <c r="D237" s="171" t="s">
        <v>135</v>
      </c>
      <c r="E237" s="171" t="s">
        <v>38</v>
      </c>
      <c r="F237" s="171" t="s">
        <v>111</v>
      </c>
      <c r="G237" s="171" t="s">
        <v>112</v>
      </c>
      <c r="H237" s="176">
        <v>1</v>
      </c>
      <c r="I237" s="177">
        <v>0</v>
      </c>
      <c r="J237" s="175">
        <v>46027</v>
      </c>
      <c r="K237" s="171" t="s">
        <v>125</v>
      </c>
      <c r="L237" s="171" t="s">
        <v>125</v>
      </c>
      <c r="M237" s="178">
        <v>0</v>
      </c>
      <c r="N237" s="176"/>
      <c r="O237" s="176"/>
      <c r="P237" s="179">
        <v>-11.13</v>
      </c>
    </row>
    <row r="238" spans="1:16" ht="19.5" customHeight="1">
      <c r="A238" s="171" t="s">
        <v>463</v>
      </c>
      <c r="B238" s="175">
        <v>46029</v>
      </c>
      <c r="C238" s="171" t="s">
        <v>110</v>
      </c>
      <c r="D238" s="171" t="s">
        <v>24</v>
      </c>
      <c r="E238" s="171" t="s">
        <v>38</v>
      </c>
      <c r="F238" s="171" t="s">
        <v>111</v>
      </c>
      <c r="G238" s="171" t="s">
        <v>112</v>
      </c>
      <c r="H238" s="176">
        <v>1</v>
      </c>
      <c r="I238" s="177">
        <v>0</v>
      </c>
      <c r="J238" s="175">
        <v>46019</v>
      </c>
      <c r="K238" s="171" t="s">
        <v>113</v>
      </c>
      <c r="L238" s="171" t="s">
        <v>114</v>
      </c>
      <c r="M238" s="178">
        <v>0</v>
      </c>
      <c r="N238" s="176"/>
      <c r="O238" s="176">
        <v>39</v>
      </c>
      <c r="P238" s="179">
        <v>-46.77</v>
      </c>
    </row>
    <row r="239" spans="1:16" ht="19.5" customHeight="1">
      <c r="A239" s="171" t="s">
        <v>463</v>
      </c>
      <c r="B239" s="175">
        <v>46029</v>
      </c>
      <c r="C239" s="171" t="s">
        <v>115</v>
      </c>
      <c r="D239" s="171" t="s">
        <v>116</v>
      </c>
      <c r="E239" s="171" t="s">
        <v>38</v>
      </c>
      <c r="F239" s="171" t="s">
        <v>111</v>
      </c>
      <c r="G239" s="171" t="s">
        <v>112</v>
      </c>
      <c r="H239" s="176">
        <v>1</v>
      </c>
      <c r="I239" s="177">
        <v>0</v>
      </c>
      <c r="J239" s="175">
        <v>46019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-7.68</v>
      </c>
    </row>
    <row r="240" spans="1:16" ht="19.5" customHeight="1">
      <c r="A240" s="171" t="s">
        <v>463</v>
      </c>
      <c r="B240" s="175">
        <v>46029</v>
      </c>
      <c r="C240" s="171" t="s">
        <v>110</v>
      </c>
      <c r="D240" s="171" t="s">
        <v>117</v>
      </c>
      <c r="E240" s="171" t="s">
        <v>38</v>
      </c>
      <c r="F240" s="171" t="s">
        <v>111</v>
      </c>
      <c r="G240" s="171" t="s">
        <v>112</v>
      </c>
      <c r="H240" s="176">
        <v>1</v>
      </c>
      <c r="I240" s="177">
        <v>0</v>
      </c>
      <c r="J240" s="175">
        <v>46019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0</v>
      </c>
    </row>
    <row r="241" spans="1:16" ht="19.5" customHeight="1">
      <c r="A241" s="171" t="s">
        <v>463</v>
      </c>
      <c r="B241" s="175">
        <v>46029</v>
      </c>
      <c r="C241" s="171" t="s">
        <v>110</v>
      </c>
      <c r="D241" s="171" t="s">
        <v>118</v>
      </c>
      <c r="E241" s="171" t="s">
        <v>38</v>
      </c>
      <c r="F241" s="171" t="s">
        <v>111</v>
      </c>
      <c r="G241" s="171" t="s">
        <v>112</v>
      </c>
      <c r="H241" s="176">
        <v>1</v>
      </c>
      <c r="I241" s="177">
        <v>0</v>
      </c>
      <c r="J241" s="175">
        <v>46019</v>
      </c>
      <c r="K241" s="171" t="s">
        <v>113</v>
      </c>
      <c r="L241" s="171" t="s">
        <v>114</v>
      </c>
      <c r="M241" s="178">
        <v>0</v>
      </c>
      <c r="N241" s="176"/>
      <c r="O241" s="176"/>
      <c r="P241" s="179">
        <v>-46.77</v>
      </c>
    </row>
    <row r="242" spans="1:16" ht="19.5" customHeight="1">
      <c r="A242" s="171" t="s">
        <v>464</v>
      </c>
      <c r="B242" s="175">
        <v>46029</v>
      </c>
      <c r="C242" s="171" t="s">
        <v>115</v>
      </c>
      <c r="D242" s="171" t="s">
        <v>135</v>
      </c>
      <c r="E242" s="171" t="s">
        <v>38</v>
      </c>
      <c r="F242" s="171" t="s">
        <v>111</v>
      </c>
      <c r="G242" s="171" t="s">
        <v>112</v>
      </c>
      <c r="H242" s="176">
        <v>1</v>
      </c>
      <c r="I242" s="177">
        <v>0</v>
      </c>
      <c r="J242" s="175">
        <v>46029</v>
      </c>
      <c r="K242" s="171" t="s">
        <v>125</v>
      </c>
      <c r="L242" s="171" t="s">
        <v>125</v>
      </c>
      <c r="M242" s="178">
        <v>0</v>
      </c>
      <c r="N242" s="176"/>
      <c r="O242" s="176"/>
      <c r="P242" s="179">
        <v>-11.08</v>
      </c>
    </row>
    <row r="243" spans="1:16" ht="19.5" customHeight="1">
      <c r="A243" s="171" t="s">
        <v>465</v>
      </c>
      <c r="B243" s="175">
        <v>46029</v>
      </c>
      <c r="C243" s="171" t="s">
        <v>110</v>
      </c>
      <c r="D243" s="171" t="s">
        <v>24</v>
      </c>
      <c r="E243" s="171" t="s">
        <v>38</v>
      </c>
      <c r="F243" s="171" t="s">
        <v>111</v>
      </c>
      <c r="G243" s="171" t="s">
        <v>112</v>
      </c>
      <c r="H243" s="176">
        <v>1</v>
      </c>
      <c r="I243" s="177">
        <v>1704</v>
      </c>
      <c r="J243" s="175">
        <v>46026</v>
      </c>
      <c r="K243" s="171" t="s">
        <v>113</v>
      </c>
      <c r="L243" s="171" t="s">
        <v>114</v>
      </c>
      <c r="M243" s="178">
        <v>0.43</v>
      </c>
      <c r="N243" s="176"/>
      <c r="O243" s="176">
        <v>37</v>
      </c>
      <c r="P243" s="179">
        <v>-98.48</v>
      </c>
    </row>
    <row r="244" spans="1:16" ht="19.5" customHeight="1">
      <c r="A244" s="171" t="s">
        <v>465</v>
      </c>
      <c r="B244" s="175">
        <v>46029</v>
      </c>
      <c r="C244" s="171" t="s">
        <v>127</v>
      </c>
      <c r="D244" s="171" t="s">
        <v>128</v>
      </c>
      <c r="E244" s="171" t="s">
        <v>38</v>
      </c>
      <c r="F244" s="171" t="s">
        <v>111</v>
      </c>
      <c r="G244" s="171" t="s">
        <v>112</v>
      </c>
      <c r="H244" s="176">
        <v>1</v>
      </c>
      <c r="I244" s="177">
        <v>1704</v>
      </c>
      <c r="J244" s="175">
        <v>46026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585.71</v>
      </c>
    </row>
    <row r="245" spans="1:16" ht="19.5" customHeight="1">
      <c r="A245" s="171" t="s">
        <v>465</v>
      </c>
      <c r="B245" s="175">
        <v>46029</v>
      </c>
      <c r="C245" s="171" t="s">
        <v>127</v>
      </c>
      <c r="D245" s="171" t="s">
        <v>129</v>
      </c>
      <c r="E245" s="171" t="s">
        <v>38</v>
      </c>
      <c r="F245" s="171" t="s">
        <v>111</v>
      </c>
      <c r="G245" s="171" t="s">
        <v>112</v>
      </c>
      <c r="H245" s="176">
        <v>1</v>
      </c>
      <c r="I245" s="177">
        <v>1704</v>
      </c>
      <c r="J245" s="175">
        <v>46026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5.86</v>
      </c>
    </row>
    <row r="246" spans="1:16" ht="19.5" customHeight="1">
      <c r="A246" s="171" t="s">
        <v>465</v>
      </c>
      <c r="B246" s="175">
        <v>46029</v>
      </c>
      <c r="C246" s="171" t="s">
        <v>127</v>
      </c>
      <c r="D246" s="171" t="s">
        <v>130</v>
      </c>
      <c r="E246" s="171" t="s">
        <v>38</v>
      </c>
      <c r="F246" s="171" t="s">
        <v>111</v>
      </c>
      <c r="G246" s="171" t="s">
        <v>112</v>
      </c>
      <c r="H246" s="176">
        <v>1</v>
      </c>
      <c r="I246" s="177">
        <v>1704</v>
      </c>
      <c r="J246" s="175">
        <v>46026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1112.43</v>
      </c>
    </row>
    <row r="247" spans="1:16" ht="19.5" customHeight="1">
      <c r="A247" s="171" t="s">
        <v>465</v>
      </c>
      <c r="B247" s="175">
        <v>46029</v>
      </c>
      <c r="C247" s="171" t="s">
        <v>131</v>
      </c>
      <c r="D247" s="171" t="s">
        <v>132</v>
      </c>
      <c r="E247" s="171" t="s">
        <v>38</v>
      </c>
      <c r="F247" s="171" t="s">
        <v>111</v>
      </c>
      <c r="G247" s="171" t="s">
        <v>112</v>
      </c>
      <c r="H247" s="176">
        <v>1</v>
      </c>
      <c r="I247" s="177">
        <v>1704</v>
      </c>
      <c r="J247" s="175">
        <v>46026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-732.72</v>
      </c>
    </row>
    <row r="248" spans="1:16" ht="19.5" customHeight="1">
      <c r="A248" s="171" t="s">
        <v>465</v>
      </c>
      <c r="B248" s="175">
        <v>46029</v>
      </c>
      <c r="C248" s="171" t="s">
        <v>115</v>
      </c>
      <c r="D248" s="171" t="s">
        <v>116</v>
      </c>
      <c r="E248" s="171" t="s">
        <v>38</v>
      </c>
      <c r="F248" s="171" t="s">
        <v>111</v>
      </c>
      <c r="G248" s="171" t="s">
        <v>112</v>
      </c>
      <c r="H248" s="176">
        <v>1</v>
      </c>
      <c r="I248" s="177">
        <v>1704</v>
      </c>
      <c r="J248" s="175">
        <v>46026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-11.4</v>
      </c>
    </row>
    <row r="249" spans="1:16" ht="19.5" customHeight="1">
      <c r="A249" s="171" t="s">
        <v>465</v>
      </c>
      <c r="B249" s="175">
        <v>46029</v>
      </c>
      <c r="C249" s="171" t="s">
        <v>115</v>
      </c>
      <c r="D249" s="171" t="s">
        <v>135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0</v>
      </c>
      <c r="J249" s="175">
        <v>46026</v>
      </c>
      <c r="K249" s="171" t="s">
        <v>125</v>
      </c>
      <c r="L249" s="171" t="s">
        <v>125</v>
      </c>
      <c r="M249" s="178">
        <v>0</v>
      </c>
      <c r="N249" s="176"/>
      <c r="O249" s="176"/>
      <c r="P249" s="179">
        <v>-11.13</v>
      </c>
    </row>
    <row r="250" spans="1:16" ht="19.5" customHeight="1">
      <c r="A250" s="171" t="s">
        <v>396</v>
      </c>
      <c r="B250" s="175">
        <v>46029</v>
      </c>
      <c r="C250" s="171" t="s">
        <v>115</v>
      </c>
      <c r="D250" s="171" t="s">
        <v>135</v>
      </c>
      <c r="E250" s="171" t="s">
        <v>78</v>
      </c>
      <c r="F250" s="171" t="s">
        <v>176</v>
      </c>
      <c r="G250" s="171" t="s">
        <v>177</v>
      </c>
      <c r="H250" s="176">
        <v>1</v>
      </c>
      <c r="I250" s="177">
        <v>0</v>
      </c>
      <c r="J250" s="175">
        <v>46026</v>
      </c>
      <c r="K250" s="171" t="s">
        <v>125</v>
      </c>
      <c r="L250" s="171" t="s">
        <v>125</v>
      </c>
      <c r="M250" s="178">
        <v>0</v>
      </c>
      <c r="N250" s="176"/>
      <c r="O250" s="176"/>
      <c r="P250" s="179">
        <v>46.04</v>
      </c>
    </row>
    <row r="251" spans="1:16" ht="19.5" customHeight="1">
      <c r="A251" s="171" t="s">
        <v>466</v>
      </c>
      <c r="B251" s="175">
        <v>46029</v>
      </c>
      <c r="C251" s="171" t="s">
        <v>115</v>
      </c>
      <c r="D251" s="171" t="s">
        <v>135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0</v>
      </c>
      <c r="J251" s="175">
        <v>46029</v>
      </c>
      <c r="K251" s="171" t="s">
        <v>125</v>
      </c>
      <c r="L251" s="171" t="s">
        <v>125</v>
      </c>
      <c r="M251" s="178">
        <v>0</v>
      </c>
      <c r="N251" s="176"/>
      <c r="O251" s="176"/>
      <c r="P251" s="179">
        <v>-3.49</v>
      </c>
    </row>
    <row r="252" spans="1:16" ht="19.5" customHeight="1">
      <c r="A252" s="171" t="s">
        <v>173</v>
      </c>
      <c r="B252" s="175">
        <v>46029</v>
      </c>
      <c r="C252" s="171" t="s">
        <v>115</v>
      </c>
      <c r="D252" s="171" t="s">
        <v>135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0</v>
      </c>
      <c r="J252" s="175">
        <v>46029</v>
      </c>
      <c r="K252" s="171" t="s">
        <v>125</v>
      </c>
      <c r="L252" s="171" t="s">
        <v>125</v>
      </c>
      <c r="M252" s="178">
        <v>0</v>
      </c>
      <c r="N252" s="176"/>
      <c r="O252" s="176"/>
      <c r="P252" s="179">
        <v>-3.45</v>
      </c>
    </row>
    <row r="253" spans="1:16" ht="19.5" customHeight="1">
      <c r="A253" s="171" t="s">
        <v>155</v>
      </c>
      <c r="B253" s="175">
        <v>46029</v>
      </c>
      <c r="C253" s="171" t="s">
        <v>151</v>
      </c>
      <c r="D253" s="171" t="s">
        <v>156</v>
      </c>
      <c r="E253" s="171" t="s">
        <v>125</v>
      </c>
      <c r="F253" s="171" t="s">
        <v>125</v>
      </c>
      <c r="G253" s="171" t="s">
        <v>125</v>
      </c>
      <c r="H253" s="176">
        <v>0</v>
      </c>
      <c r="I253" s="177">
        <v>0</v>
      </c>
      <c r="J253" s="175">
        <v>46029</v>
      </c>
      <c r="K253" s="171" t="s">
        <v>125</v>
      </c>
      <c r="L253" s="171" t="s">
        <v>125</v>
      </c>
      <c r="M253" s="178">
        <v>0</v>
      </c>
      <c r="N253" s="176"/>
      <c r="O253" s="176"/>
      <c r="P253" s="179">
        <v>-1319.24</v>
      </c>
    </row>
    <row r="254" spans="1:16" ht="19.5" customHeight="1">
      <c r="A254" s="171" t="s">
        <v>349</v>
      </c>
      <c r="B254" s="175">
        <v>46029</v>
      </c>
      <c r="C254" s="171" t="s">
        <v>151</v>
      </c>
      <c r="D254" s="171" t="s">
        <v>152</v>
      </c>
      <c r="E254" s="171" t="s">
        <v>125</v>
      </c>
      <c r="F254" s="171" t="s">
        <v>125</v>
      </c>
      <c r="G254" s="171" t="s">
        <v>125</v>
      </c>
      <c r="H254" s="176">
        <v>0</v>
      </c>
      <c r="I254" s="177">
        <v>0</v>
      </c>
      <c r="J254" s="175">
        <v>46029</v>
      </c>
      <c r="K254" s="171" t="s">
        <v>125</v>
      </c>
      <c r="L254" s="171" t="s">
        <v>125</v>
      </c>
      <c r="M254" s="178">
        <v>0</v>
      </c>
      <c r="N254" s="176"/>
      <c r="O254" s="176"/>
      <c r="P254" s="179">
        <v>-288.66000000000003</v>
      </c>
    </row>
    <row r="255" spans="1:16" ht="19.5" customHeight="1">
      <c r="A255" s="171" t="s">
        <v>448</v>
      </c>
      <c r="B255" s="175">
        <v>46029</v>
      </c>
      <c r="C255" s="171" t="s">
        <v>151</v>
      </c>
      <c r="D255" s="171" t="s">
        <v>152</v>
      </c>
      <c r="E255" s="171" t="s">
        <v>125</v>
      </c>
      <c r="F255" s="171" t="s">
        <v>125</v>
      </c>
      <c r="G255" s="171" t="s">
        <v>125</v>
      </c>
      <c r="H255" s="176">
        <v>0</v>
      </c>
      <c r="I255" s="177">
        <v>0</v>
      </c>
      <c r="J255" s="175">
        <v>46029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-223.08</v>
      </c>
    </row>
    <row r="256" spans="1:16" ht="19.5" customHeight="1">
      <c r="A256" s="171" t="s">
        <v>352</v>
      </c>
      <c r="B256" s="175">
        <v>46029</v>
      </c>
      <c r="C256" s="171" t="s">
        <v>151</v>
      </c>
      <c r="D256" s="171" t="s">
        <v>152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46029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-647.83000000000004</v>
      </c>
    </row>
    <row r="257" spans="1:16" ht="19.5" customHeight="1">
      <c r="A257" s="171" t="s">
        <v>150</v>
      </c>
      <c r="B257" s="175">
        <v>46029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46029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-1230.1099999999999</v>
      </c>
    </row>
    <row r="258" spans="1:16" ht="19.5" customHeight="1">
      <c r="A258" s="171" t="s">
        <v>467</v>
      </c>
      <c r="B258" s="175">
        <v>46030</v>
      </c>
      <c r="C258" s="171" t="s">
        <v>115</v>
      </c>
      <c r="D258" s="171" t="s">
        <v>135</v>
      </c>
      <c r="E258" s="171" t="s">
        <v>38</v>
      </c>
      <c r="F258" s="171" t="s">
        <v>111</v>
      </c>
      <c r="G258" s="171" t="s">
        <v>112</v>
      </c>
      <c r="H258" s="176">
        <v>1</v>
      </c>
      <c r="I258" s="177">
        <v>0</v>
      </c>
      <c r="J258" s="175">
        <v>46030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-11.13</v>
      </c>
    </row>
    <row r="259" spans="1:16" ht="19.5" customHeight="1">
      <c r="A259" s="171" t="s">
        <v>468</v>
      </c>
      <c r="B259" s="175">
        <v>46030</v>
      </c>
      <c r="C259" s="171" t="s">
        <v>110</v>
      </c>
      <c r="D259" s="171" t="s">
        <v>24</v>
      </c>
      <c r="E259" s="171" t="s">
        <v>78</v>
      </c>
      <c r="F259" s="171" t="s">
        <v>176</v>
      </c>
      <c r="G259" s="171" t="s">
        <v>177</v>
      </c>
      <c r="H259" s="176">
        <v>1</v>
      </c>
      <c r="I259" s="177">
        <v>0</v>
      </c>
      <c r="J259" s="175">
        <v>46020</v>
      </c>
      <c r="K259" s="171" t="s">
        <v>113</v>
      </c>
      <c r="L259" s="171" t="s">
        <v>114</v>
      </c>
      <c r="M259" s="178">
        <v>0</v>
      </c>
      <c r="N259" s="176"/>
      <c r="O259" s="176">
        <v>38</v>
      </c>
      <c r="P259" s="179">
        <v>-56.94</v>
      </c>
    </row>
    <row r="260" spans="1:16" ht="19.5" customHeight="1">
      <c r="A260" s="171" t="s">
        <v>468</v>
      </c>
      <c r="B260" s="175">
        <v>46030</v>
      </c>
      <c r="C260" s="171" t="s">
        <v>115</v>
      </c>
      <c r="D260" s="171" t="s">
        <v>116</v>
      </c>
      <c r="E260" s="171" t="s">
        <v>78</v>
      </c>
      <c r="F260" s="171" t="s">
        <v>176</v>
      </c>
      <c r="G260" s="171" t="s">
        <v>177</v>
      </c>
      <c r="H260" s="176">
        <v>1</v>
      </c>
      <c r="I260" s="177">
        <v>0</v>
      </c>
      <c r="J260" s="175">
        <v>46020</v>
      </c>
      <c r="K260" s="171" t="s">
        <v>113</v>
      </c>
      <c r="L260" s="171" t="s">
        <v>114</v>
      </c>
      <c r="M260" s="178">
        <v>0</v>
      </c>
      <c r="N260" s="176"/>
      <c r="O260" s="176"/>
      <c r="P260" s="179">
        <v>-14.29</v>
      </c>
    </row>
    <row r="261" spans="1:16" ht="19.5" customHeight="1">
      <c r="A261" s="171" t="s">
        <v>468</v>
      </c>
      <c r="B261" s="175">
        <v>46030</v>
      </c>
      <c r="C261" s="171" t="s">
        <v>110</v>
      </c>
      <c r="D261" s="171" t="s">
        <v>117</v>
      </c>
      <c r="E261" s="171" t="s">
        <v>78</v>
      </c>
      <c r="F261" s="171" t="s">
        <v>176</v>
      </c>
      <c r="G261" s="171" t="s">
        <v>177</v>
      </c>
      <c r="H261" s="176">
        <v>1</v>
      </c>
      <c r="I261" s="177">
        <v>0</v>
      </c>
      <c r="J261" s="175">
        <v>46020</v>
      </c>
      <c r="K261" s="171" t="s">
        <v>113</v>
      </c>
      <c r="L261" s="171" t="s">
        <v>114</v>
      </c>
      <c r="M261" s="178">
        <v>0</v>
      </c>
      <c r="N261" s="176"/>
      <c r="O261" s="176"/>
      <c r="P261" s="179">
        <v>0</v>
      </c>
    </row>
    <row r="262" spans="1:16" ht="19.5" customHeight="1">
      <c r="A262" s="171" t="s">
        <v>468</v>
      </c>
      <c r="B262" s="175">
        <v>46030</v>
      </c>
      <c r="C262" s="171" t="s">
        <v>110</v>
      </c>
      <c r="D262" s="171" t="s">
        <v>118</v>
      </c>
      <c r="E262" s="171" t="s">
        <v>78</v>
      </c>
      <c r="F262" s="171" t="s">
        <v>176</v>
      </c>
      <c r="G262" s="171" t="s">
        <v>177</v>
      </c>
      <c r="H262" s="176">
        <v>1</v>
      </c>
      <c r="I262" s="177">
        <v>0</v>
      </c>
      <c r="J262" s="175">
        <v>46020</v>
      </c>
      <c r="K262" s="171" t="s">
        <v>113</v>
      </c>
      <c r="L262" s="171" t="s">
        <v>114</v>
      </c>
      <c r="M262" s="178">
        <v>0</v>
      </c>
      <c r="N262" s="176"/>
      <c r="O262" s="176"/>
      <c r="P262" s="179">
        <v>-56.94</v>
      </c>
    </row>
    <row r="263" spans="1:16" ht="19.5" customHeight="1">
      <c r="A263" s="171" t="s">
        <v>468</v>
      </c>
      <c r="B263" s="175">
        <v>46030</v>
      </c>
      <c r="C263" s="171" t="s">
        <v>115</v>
      </c>
      <c r="D263" s="171" t="s">
        <v>119</v>
      </c>
      <c r="E263" s="171" t="s">
        <v>78</v>
      </c>
      <c r="F263" s="171" t="s">
        <v>176</v>
      </c>
      <c r="G263" s="171" t="s">
        <v>177</v>
      </c>
      <c r="H263" s="176">
        <v>1</v>
      </c>
      <c r="I263" s="177">
        <v>0</v>
      </c>
      <c r="J263" s="175">
        <v>46020</v>
      </c>
      <c r="K263" s="171" t="s">
        <v>113</v>
      </c>
      <c r="L263" s="171" t="s">
        <v>114</v>
      </c>
      <c r="M263" s="178">
        <v>0</v>
      </c>
      <c r="N263" s="176"/>
      <c r="O263" s="176"/>
      <c r="P263" s="179">
        <v>-15</v>
      </c>
    </row>
    <row r="264" spans="1:16" ht="19.5" customHeight="1">
      <c r="A264" s="171" t="s">
        <v>469</v>
      </c>
      <c r="B264" s="175">
        <v>46030</v>
      </c>
      <c r="C264" s="171" t="s">
        <v>110</v>
      </c>
      <c r="D264" s="171" t="s">
        <v>24</v>
      </c>
      <c r="E264" s="171" t="s">
        <v>38</v>
      </c>
      <c r="F264" s="171" t="s">
        <v>111</v>
      </c>
      <c r="G264" s="171" t="s">
        <v>112</v>
      </c>
      <c r="H264" s="176">
        <v>1</v>
      </c>
      <c r="I264" s="177">
        <v>0</v>
      </c>
      <c r="J264" s="175">
        <v>46017</v>
      </c>
      <c r="K264" s="171" t="s">
        <v>113</v>
      </c>
      <c r="L264" s="171" t="s">
        <v>114</v>
      </c>
      <c r="M264" s="178">
        <v>0</v>
      </c>
      <c r="N264" s="176"/>
      <c r="O264" s="176">
        <v>38</v>
      </c>
      <c r="P264" s="179">
        <v>-46.77</v>
      </c>
    </row>
    <row r="265" spans="1:16" ht="19.5" customHeight="1">
      <c r="A265" s="171" t="s">
        <v>469</v>
      </c>
      <c r="B265" s="175">
        <v>46030</v>
      </c>
      <c r="C265" s="171" t="s">
        <v>115</v>
      </c>
      <c r="D265" s="171" t="s">
        <v>116</v>
      </c>
      <c r="E265" s="171" t="s">
        <v>38</v>
      </c>
      <c r="F265" s="171" t="s">
        <v>111</v>
      </c>
      <c r="G265" s="171" t="s">
        <v>112</v>
      </c>
      <c r="H265" s="176">
        <v>1</v>
      </c>
      <c r="I265" s="177">
        <v>0</v>
      </c>
      <c r="J265" s="175">
        <v>46017</v>
      </c>
      <c r="K265" s="171" t="s">
        <v>113</v>
      </c>
      <c r="L265" s="171" t="s">
        <v>114</v>
      </c>
      <c r="M265" s="178">
        <v>0</v>
      </c>
      <c r="N265" s="176"/>
      <c r="O265" s="176"/>
      <c r="P265" s="179">
        <v>-8.0500000000000007</v>
      </c>
    </row>
    <row r="266" spans="1:16" ht="19.5" customHeight="1">
      <c r="A266" s="171" t="s">
        <v>469</v>
      </c>
      <c r="B266" s="175">
        <v>46030</v>
      </c>
      <c r="C266" s="171" t="s">
        <v>110</v>
      </c>
      <c r="D266" s="171" t="s">
        <v>117</v>
      </c>
      <c r="E266" s="171" t="s">
        <v>38</v>
      </c>
      <c r="F266" s="171" t="s">
        <v>111</v>
      </c>
      <c r="G266" s="171" t="s">
        <v>112</v>
      </c>
      <c r="H266" s="176">
        <v>1</v>
      </c>
      <c r="I266" s="177">
        <v>0</v>
      </c>
      <c r="J266" s="175">
        <v>46017</v>
      </c>
      <c r="K266" s="171" t="s">
        <v>113</v>
      </c>
      <c r="L266" s="171" t="s">
        <v>114</v>
      </c>
      <c r="M266" s="178">
        <v>0</v>
      </c>
      <c r="N266" s="176"/>
      <c r="O266" s="176"/>
      <c r="P266" s="179">
        <v>0</v>
      </c>
    </row>
    <row r="267" spans="1:16" ht="19.5" customHeight="1">
      <c r="A267" s="171" t="s">
        <v>469</v>
      </c>
      <c r="B267" s="175">
        <v>46030</v>
      </c>
      <c r="C267" s="171" t="s">
        <v>110</v>
      </c>
      <c r="D267" s="171" t="s">
        <v>118</v>
      </c>
      <c r="E267" s="171" t="s">
        <v>38</v>
      </c>
      <c r="F267" s="171" t="s">
        <v>111</v>
      </c>
      <c r="G267" s="171" t="s">
        <v>112</v>
      </c>
      <c r="H267" s="176">
        <v>1</v>
      </c>
      <c r="I267" s="177">
        <v>0</v>
      </c>
      <c r="J267" s="175">
        <v>46017</v>
      </c>
      <c r="K267" s="171" t="s">
        <v>113</v>
      </c>
      <c r="L267" s="171" t="s">
        <v>114</v>
      </c>
      <c r="M267" s="178">
        <v>0</v>
      </c>
      <c r="N267" s="176"/>
      <c r="O267" s="176"/>
      <c r="P267" s="179">
        <v>-46.77</v>
      </c>
    </row>
    <row r="268" spans="1:16" ht="19.5" customHeight="1">
      <c r="A268" s="171" t="s">
        <v>469</v>
      </c>
      <c r="B268" s="175">
        <v>46030</v>
      </c>
      <c r="C268" s="171" t="s">
        <v>115</v>
      </c>
      <c r="D268" s="171" t="s">
        <v>119</v>
      </c>
      <c r="E268" s="171" t="s">
        <v>38</v>
      </c>
      <c r="F268" s="171" t="s">
        <v>111</v>
      </c>
      <c r="G268" s="171" t="s">
        <v>112</v>
      </c>
      <c r="H268" s="176">
        <v>1</v>
      </c>
      <c r="I268" s="177">
        <v>0</v>
      </c>
      <c r="J268" s="175">
        <v>46017</v>
      </c>
      <c r="K268" s="171" t="s">
        <v>113</v>
      </c>
      <c r="L268" s="171" t="s">
        <v>114</v>
      </c>
      <c r="M268" s="178">
        <v>0</v>
      </c>
      <c r="N268" s="176"/>
      <c r="O268" s="176"/>
      <c r="P268" s="179">
        <v>-15</v>
      </c>
    </row>
    <row r="269" spans="1:16" ht="19.5" customHeight="1">
      <c r="A269" s="171" t="s">
        <v>470</v>
      </c>
      <c r="B269" s="175">
        <v>46030</v>
      </c>
      <c r="C269" s="171" t="s">
        <v>110</v>
      </c>
      <c r="D269" s="171" t="s">
        <v>24</v>
      </c>
      <c r="E269" s="171" t="s">
        <v>38</v>
      </c>
      <c r="F269" s="171" t="s">
        <v>111</v>
      </c>
      <c r="G269" s="171" t="s">
        <v>112</v>
      </c>
      <c r="H269" s="176">
        <v>1</v>
      </c>
      <c r="I269" s="177">
        <v>1704</v>
      </c>
      <c r="J269" s="175">
        <v>46021</v>
      </c>
      <c r="K269" s="171" t="s">
        <v>113</v>
      </c>
      <c r="L269" s="171" t="s">
        <v>114</v>
      </c>
      <c r="M269" s="178">
        <v>0.43</v>
      </c>
      <c r="N269" s="176"/>
      <c r="O269" s="176">
        <v>38</v>
      </c>
      <c r="P269" s="179">
        <v>-104.84</v>
      </c>
    </row>
    <row r="270" spans="1:16" ht="19.5" customHeight="1">
      <c r="A270" s="171" t="s">
        <v>470</v>
      </c>
      <c r="B270" s="175">
        <v>46030</v>
      </c>
      <c r="C270" s="171" t="s">
        <v>127</v>
      </c>
      <c r="D270" s="171" t="s">
        <v>128</v>
      </c>
      <c r="E270" s="171" t="s">
        <v>38</v>
      </c>
      <c r="F270" s="171" t="s">
        <v>111</v>
      </c>
      <c r="G270" s="171" t="s">
        <v>112</v>
      </c>
      <c r="H270" s="176">
        <v>1</v>
      </c>
      <c r="I270" s="177">
        <v>1704</v>
      </c>
      <c r="J270" s="175">
        <v>46021</v>
      </c>
      <c r="K270" s="171" t="s">
        <v>113</v>
      </c>
      <c r="L270" s="171" t="s">
        <v>114</v>
      </c>
      <c r="M270" s="178">
        <v>0</v>
      </c>
      <c r="N270" s="176"/>
      <c r="O270" s="176"/>
      <c r="P270" s="179">
        <v>652.38</v>
      </c>
    </row>
    <row r="271" spans="1:16" ht="19.5" customHeight="1">
      <c r="A271" s="171" t="s">
        <v>470</v>
      </c>
      <c r="B271" s="175">
        <v>46030</v>
      </c>
      <c r="C271" s="171" t="s">
        <v>127</v>
      </c>
      <c r="D271" s="171" t="s">
        <v>129</v>
      </c>
      <c r="E271" s="171" t="s">
        <v>38</v>
      </c>
      <c r="F271" s="171" t="s">
        <v>111</v>
      </c>
      <c r="G271" s="171" t="s">
        <v>112</v>
      </c>
      <c r="H271" s="176">
        <v>1</v>
      </c>
      <c r="I271" s="177">
        <v>1704</v>
      </c>
      <c r="J271" s="175">
        <v>46021</v>
      </c>
      <c r="K271" s="171" t="s">
        <v>113</v>
      </c>
      <c r="L271" s="171" t="s">
        <v>114</v>
      </c>
      <c r="M271" s="178">
        <v>0</v>
      </c>
      <c r="N271" s="176"/>
      <c r="O271" s="176"/>
      <c r="P271" s="179">
        <v>0</v>
      </c>
    </row>
    <row r="272" spans="1:16" ht="19.5" customHeight="1">
      <c r="A272" s="171" t="s">
        <v>470</v>
      </c>
      <c r="B272" s="175">
        <v>46030</v>
      </c>
      <c r="C272" s="171" t="s">
        <v>127</v>
      </c>
      <c r="D272" s="171" t="s">
        <v>130</v>
      </c>
      <c r="E272" s="171" t="s">
        <v>38</v>
      </c>
      <c r="F272" s="171" t="s">
        <v>111</v>
      </c>
      <c r="G272" s="171" t="s">
        <v>112</v>
      </c>
      <c r="H272" s="176">
        <v>1</v>
      </c>
      <c r="I272" s="177">
        <v>1704</v>
      </c>
      <c r="J272" s="175">
        <v>46021</v>
      </c>
      <c r="K272" s="171" t="s">
        <v>113</v>
      </c>
      <c r="L272" s="171" t="s">
        <v>114</v>
      </c>
      <c r="M272" s="178">
        <v>0</v>
      </c>
      <c r="N272" s="176"/>
      <c r="O272" s="176"/>
      <c r="P272" s="179">
        <v>1051.6199999999999</v>
      </c>
    </row>
    <row r="273" spans="1:16" ht="19.5" customHeight="1">
      <c r="A273" s="171" t="s">
        <v>470</v>
      </c>
      <c r="B273" s="175">
        <v>46030</v>
      </c>
      <c r="C273" s="171" t="s">
        <v>131</v>
      </c>
      <c r="D273" s="171" t="s">
        <v>132</v>
      </c>
      <c r="E273" s="171" t="s">
        <v>38</v>
      </c>
      <c r="F273" s="171" t="s">
        <v>111</v>
      </c>
      <c r="G273" s="171" t="s">
        <v>112</v>
      </c>
      <c r="H273" s="176">
        <v>1</v>
      </c>
      <c r="I273" s="177">
        <v>1704</v>
      </c>
      <c r="J273" s="175">
        <v>46021</v>
      </c>
      <c r="K273" s="171" t="s">
        <v>113</v>
      </c>
      <c r="L273" s="171" t="s">
        <v>114</v>
      </c>
      <c r="M273" s="178">
        <v>0.43</v>
      </c>
      <c r="N273" s="176"/>
      <c r="O273" s="176"/>
      <c r="P273" s="179">
        <v>-732.72</v>
      </c>
    </row>
    <row r="274" spans="1:16" ht="19.5" customHeight="1">
      <c r="A274" s="171" t="s">
        <v>471</v>
      </c>
      <c r="B274" s="175">
        <v>46030</v>
      </c>
      <c r="C274" s="171" t="s">
        <v>110</v>
      </c>
      <c r="D274" s="171" t="s">
        <v>117</v>
      </c>
      <c r="E274" s="171" t="s">
        <v>38</v>
      </c>
      <c r="F274" s="171" t="s">
        <v>111</v>
      </c>
      <c r="G274" s="171" t="s">
        <v>112</v>
      </c>
      <c r="H274" s="176">
        <v>1</v>
      </c>
      <c r="I274" s="177">
        <v>0</v>
      </c>
      <c r="J274" s="175">
        <v>46026</v>
      </c>
      <c r="K274" s="171" t="s">
        <v>113</v>
      </c>
      <c r="L274" s="171" t="s">
        <v>114</v>
      </c>
      <c r="M274" s="178">
        <v>0</v>
      </c>
      <c r="N274" s="176"/>
      <c r="O274" s="176"/>
      <c r="P274" s="179">
        <v>0</v>
      </c>
    </row>
    <row r="275" spans="1:16" ht="19.5" customHeight="1">
      <c r="A275" s="171" t="s">
        <v>471</v>
      </c>
      <c r="B275" s="175">
        <v>46030</v>
      </c>
      <c r="C275" s="171" t="s">
        <v>110</v>
      </c>
      <c r="D275" s="171" t="s">
        <v>118</v>
      </c>
      <c r="E275" s="171" t="s">
        <v>38</v>
      </c>
      <c r="F275" s="171" t="s">
        <v>111</v>
      </c>
      <c r="G275" s="171" t="s">
        <v>112</v>
      </c>
      <c r="H275" s="176">
        <v>1</v>
      </c>
      <c r="I275" s="177">
        <v>0</v>
      </c>
      <c r="J275" s="175">
        <v>46026</v>
      </c>
      <c r="K275" s="171" t="s">
        <v>113</v>
      </c>
      <c r="L275" s="171" t="s">
        <v>114</v>
      </c>
      <c r="M275" s="178">
        <v>0</v>
      </c>
      <c r="N275" s="176"/>
      <c r="O275" s="176"/>
      <c r="P275" s="179">
        <v>-46.77</v>
      </c>
    </row>
    <row r="276" spans="1:16" ht="19.5" customHeight="1">
      <c r="A276" s="171" t="s">
        <v>471</v>
      </c>
      <c r="B276" s="175">
        <v>46030</v>
      </c>
      <c r="C276" s="171" t="s">
        <v>115</v>
      </c>
      <c r="D276" s="171" t="s">
        <v>119</v>
      </c>
      <c r="E276" s="171" t="s">
        <v>38</v>
      </c>
      <c r="F276" s="171" t="s">
        <v>111</v>
      </c>
      <c r="G276" s="171" t="s">
        <v>112</v>
      </c>
      <c r="H276" s="176">
        <v>1</v>
      </c>
      <c r="I276" s="177">
        <v>0</v>
      </c>
      <c r="J276" s="175">
        <v>46026</v>
      </c>
      <c r="K276" s="171" t="s">
        <v>113</v>
      </c>
      <c r="L276" s="171" t="s">
        <v>114</v>
      </c>
      <c r="M276" s="178">
        <v>0</v>
      </c>
      <c r="N276" s="176"/>
      <c r="O276" s="176"/>
      <c r="P276" s="179">
        <v>-15</v>
      </c>
    </row>
    <row r="277" spans="1:16" ht="19.5" customHeight="1">
      <c r="A277" s="171" t="s">
        <v>471</v>
      </c>
      <c r="B277" s="175">
        <v>46030</v>
      </c>
      <c r="C277" s="171" t="s">
        <v>110</v>
      </c>
      <c r="D277" s="171" t="s">
        <v>24</v>
      </c>
      <c r="E277" s="171" t="s">
        <v>38</v>
      </c>
      <c r="F277" s="171" t="s">
        <v>111</v>
      </c>
      <c r="G277" s="171" t="s">
        <v>112</v>
      </c>
      <c r="H277" s="176">
        <v>1</v>
      </c>
      <c r="I277" s="177">
        <v>0</v>
      </c>
      <c r="J277" s="175">
        <v>46026</v>
      </c>
      <c r="K277" s="171" t="s">
        <v>113</v>
      </c>
      <c r="L277" s="171" t="s">
        <v>114</v>
      </c>
      <c r="M277" s="178">
        <v>0</v>
      </c>
      <c r="N277" s="176"/>
      <c r="O277" s="176">
        <v>37</v>
      </c>
      <c r="P277" s="179">
        <v>-46.77</v>
      </c>
    </row>
    <row r="278" spans="1:16" ht="19.5" customHeight="1">
      <c r="A278" s="171" t="s">
        <v>471</v>
      </c>
      <c r="B278" s="175">
        <v>46030</v>
      </c>
      <c r="C278" s="171" t="s">
        <v>115</v>
      </c>
      <c r="D278" s="171" t="s">
        <v>116</v>
      </c>
      <c r="E278" s="171" t="s">
        <v>38</v>
      </c>
      <c r="F278" s="171" t="s">
        <v>111</v>
      </c>
      <c r="G278" s="171" t="s">
        <v>112</v>
      </c>
      <c r="H278" s="176">
        <v>1</v>
      </c>
      <c r="I278" s="177">
        <v>0</v>
      </c>
      <c r="J278" s="175">
        <v>46026</v>
      </c>
      <c r="K278" s="171" t="s">
        <v>113</v>
      </c>
      <c r="L278" s="171" t="s">
        <v>114</v>
      </c>
      <c r="M278" s="178">
        <v>0</v>
      </c>
      <c r="N278" s="176"/>
      <c r="O278" s="176"/>
      <c r="P278" s="179">
        <v>-12.44</v>
      </c>
    </row>
    <row r="279" spans="1:16" ht="19.5" customHeight="1">
      <c r="A279" s="171" t="s">
        <v>472</v>
      </c>
      <c r="B279" s="175">
        <v>46030</v>
      </c>
      <c r="C279" s="171" t="s">
        <v>110</v>
      </c>
      <c r="D279" s="171" t="s">
        <v>24</v>
      </c>
      <c r="E279" s="171" t="s">
        <v>41</v>
      </c>
      <c r="F279" s="171" t="s">
        <v>138</v>
      </c>
      <c r="G279" s="171" t="s">
        <v>112</v>
      </c>
      <c r="H279" s="176">
        <v>1</v>
      </c>
      <c r="I279" s="177">
        <v>0</v>
      </c>
      <c r="J279" s="175">
        <v>46028</v>
      </c>
      <c r="K279" s="171" t="s">
        <v>113</v>
      </c>
      <c r="L279" s="171" t="s">
        <v>114</v>
      </c>
      <c r="M279" s="178">
        <v>0</v>
      </c>
      <c r="N279" s="176"/>
      <c r="O279" s="176">
        <v>44</v>
      </c>
      <c r="P279" s="179">
        <v>-46.77</v>
      </c>
    </row>
    <row r="280" spans="1:16" ht="19.5" customHeight="1">
      <c r="A280" s="171" t="s">
        <v>472</v>
      </c>
      <c r="B280" s="175">
        <v>46030</v>
      </c>
      <c r="C280" s="171" t="s">
        <v>110</v>
      </c>
      <c r="D280" s="171" t="s">
        <v>117</v>
      </c>
      <c r="E280" s="171" t="s">
        <v>41</v>
      </c>
      <c r="F280" s="171" t="s">
        <v>138</v>
      </c>
      <c r="G280" s="171" t="s">
        <v>112</v>
      </c>
      <c r="H280" s="176">
        <v>1</v>
      </c>
      <c r="I280" s="177">
        <v>0</v>
      </c>
      <c r="J280" s="175">
        <v>46028</v>
      </c>
      <c r="K280" s="171" t="s">
        <v>113</v>
      </c>
      <c r="L280" s="171" t="s">
        <v>114</v>
      </c>
      <c r="M280" s="178">
        <v>0</v>
      </c>
      <c r="N280" s="176"/>
      <c r="O280" s="176"/>
      <c r="P280" s="179">
        <v>0</v>
      </c>
    </row>
    <row r="281" spans="1:16" ht="19.5" customHeight="1">
      <c r="A281" s="171" t="s">
        <v>472</v>
      </c>
      <c r="B281" s="175">
        <v>46030</v>
      </c>
      <c r="C281" s="171" t="s">
        <v>110</v>
      </c>
      <c r="D281" s="171" t="s">
        <v>118</v>
      </c>
      <c r="E281" s="171" t="s">
        <v>41</v>
      </c>
      <c r="F281" s="171" t="s">
        <v>138</v>
      </c>
      <c r="G281" s="171" t="s">
        <v>112</v>
      </c>
      <c r="H281" s="176">
        <v>1</v>
      </c>
      <c r="I281" s="177">
        <v>0</v>
      </c>
      <c r="J281" s="175">
        <v>46028</v>
      </c>
      <c r="K281" s="171" t="s">
        <v>113</v>
      </c>
      <c r="L281" s="171" t="s">
        <v>114</v>
      </c>
      <c r="M281" s="178">
        <v>0</v>
      </c>
      <c r="N281" s="176"/>
      <c r="O281" s="176"/>
      <c r="P281" s="179">
        <v>-46.77</v>
      </c>
    </row>
    <row r="282" spans="1:16" ht="19.5" customHeight="1">
      <c r="A282" s="171" t="s">
        <v>473</v>
      </c>
      <c r="B282" s="175">
        <v>46030</v>
      </c>
      <c r="C282" s="171" t="s">
        <v>110</v>
      </c>
      <c r="D282" s="171" t="s">
        <v>24</v>
      </c>
      <c r="E282" s="171" t="s">
        <v>75</v>
      </c>
      <c r="F282" s="171" t="s">
        <v>474</v>
      </c>
      <c r="G282" s="171" t="s">
        <v>177</v>
      </c>
      <c r="H282" s="176">
        <v>1</v>
      </c>
      <c r="I282" s="177">
        <v>4024</v>
      </c>
      <c r="J282" s="175">
        <v>46002</v>
      </c>
      <c r="K282" s="171" t="s">
        <v>113</v>
      </c>
      <c r="L282" s="171" t="s">
        <v>114</v>
      </c>
      <c r="M282" s="178">
        <v>0.43</v>
      </c>
      <c r="N282" s="176"/>
      <c r="O282" s="176">
        <v>40</v>
      </c>
      <c r="P282" s="179">
        <v>-188.59</v>
      </c>
    </row>
    <row r="283" spans="1:16" ht="19.5" customHeight="1">
      <c r="A283" s="171" t="s">
        <v>473</v>
      </c>
      <c r="B283" s="175">
        <v>46030</v>
      </c>
      <c r="C283" s="171" t="s">
        <v>127</v>
      </c>
      <c r="D283" s="171" t="s">
        <v>128</v>
      </c>
      <c r="E283" s="171" t="s">
        <v>75</v>
      </c>
      <c r="F283" s="171" t="s">
        <v>474</v>
      </c>
      <c r="G283" s="171" t="s">
        <v>177</v>
      </c>
      <c r="H283" s="176">
        <v>1</v>
      </c>
      <c r="I283" s="177">
        <v>4024</v>
      </c>
      <c r="J283" s="175">
        <v>46002</v>
      </c>
      <c r="K283" s="171" t="s">
        <v>113</v>
      </c>
      <c r="L283" s="171" t="s">
        <v>114</v>
      </c>
      <c r="M283" s="178">
        <v>0</v>
      </c>
      <c r="N283" s="176"/>
      <c r="O283" s="176"/>
      <c r="P283" s="179">
        <v>2070.48</v>
      </c>
    </row>
    <row r="284" spans="1:16" ht="19.5" customHeight="1">
      <c r="A284" s="171" t="s">
        <v>473</v>
      </c>
      <c r="B284" s="175">
        <v>46030</v>
      </c>
      <c r="C284" s="171" t="s">
        <v>127</v>
      </c>
      <c r="D284" s="171" t="s">
        <v>129</v>
      </c>
      <c r="E284" s="171" t="s">
        <v>75</v>
      </c>
      <c r="F284" s="171" t="s">
        <v>474</v>
      </c>
      <c r="G284" s="171" t="s">
        <v>177</v>
      </c>
      <c r="H284" s="176">
        <v>1</v>
      </c>
      <c r="I284" s="177">
        <v>4024</v>
      </c>
      <c r="J284" s="175">
        <v>46002</v>
      </c>
      <c r="K284" s="171" t="s">
        <v>113</v>
      </c>
      <c r="L284" s="171" t="s">
        <v>114</v>
      </c>
      <c r="M284" s="178">
        <v>0</v>
      </c>
      <c r="N284" s="176"/>
      <c r="O284" s="176"/>
      <c r="P284" s="179">
        <v>20.7</v>
      </c>
    </row>
    <row r="285" spans="1:16" ht="19.5" customHeight="1">
      <c r="A285" s="171" t="s">
        <v>473</v>
      </c>
      <c r="B285" s="175">
        <v>46030</v>
      </c>
      <c r="C285" s="171" t="s">
        <v>127</v>
      </c>
      <c r="D285" s="171" t="s">
        <v>130</v>
      </c>
      <c r="E285" s="171" t="s">
        <v>75</v>
      </c>
      <c r="F285" s="171" t="s">
        <v>474</v>
      </c>
      <c r="G285" s="171" t="s">
        <v>177</v>
      </c>
      <c r="H285" s="176">
        <v>1</v>
      </c>
      <c r="I285" s="177">
        <v>4024</v>
      </c>
      <c r="J285" s="175">
        <v>46002</v>
      </c>
      <c r="K285" s="171" t="s">
        <v>113</v>
      </c>
      <c r="L285" s="171" t="s">
        <v>114</v>
      </c>
      <c r="M285" s="178">
        <v>0</v>
      </c>
      <c r="N285" s="176"/>
      <c r="O285" s="176"/>
      <c r="P285" s="179">
        <v>1932.82</v>
      </c>
    </row>
    <row r="286" spans="1:16" ht="19.5" customHeight="1">
      <c r="A286" s="171" t="s">
        <v>473</v>
      </c>
      <c r="B286" s="175">
        <v>46030</v>
      </c>
      <c r="C286" s="171" t="s">
        <v>131</v>
      </c>
      <c r="D286" s="171" t="s">
        <v>132</v>
      </c>
      <c r="E286" s="171" t="s">
        <v>75</v>
      </c>
      <c r="F286" s="171" t="s">
        <v>474</v>
      </c>
      <c r="G286" s="171" t="s">
        <v>177</v>
      </c>
      <c r="H286" s="176">
        <v>1</v>
      </c>
      <c r="I286" s="177">
        <v>4024</v>
      </c>
      <c r="J286" s="175">
        <v>46002</v>
      </c>
      <c r="K286" s="171" t="s">
        <v>113</v>
      </c>
      <c r="L286" s="171" t="s">
        <v>114</v>
      </c>
      <c r="M286" s="178">
        <v>0.43</v>
      </c>
      <c r="N286" s="176"/>
      <c r="O286" s="176"/>
      <c r="P286" s="179">
        <v>-1730.32</v>
      </c>
    </row>
    <row r="287" spans="1:16" ht="19.5" customHeight="1">
      <c r="A287" s="171" t="s">
        <v>475</v>
      </c>
      <c r="B287" s="175">
        <v>46030</v>
      </c>
      <c r="C287" s="171" t="s">
        <v>115</v>
      </c>
      <c r="D287" s="171" t="s">
        <v>135</v>
      </c>
      <c r="E287" s="171" t="s">
        <v>38</v>
      </c>
      <c r="F287" s="171" t="s">
        <v>111</v>
      </c>
      <c r="G287" s="171" t="s">
        <v>112</v>
      </c>
      <c r="H287" s="176">
        <v>1</v>
      </c>
      <c r="I287" s="177">
        <v>0</v>
      </c>
      <c r="J287" s="175">
        <v>46030</v>
      </c>
      <c r="K287" s="171" t="s">
        <v>125</v>
      </c>
      <c r="L287" s="171" t="s">
        <v>125</v>
      </c>
      <c r="M287" s="178">
        <v>0</v>
      </c>
      <c r="N287" s="176"/>
      <c r="O287" s="176"/>
      <c r="P287" s="179">
        <v>-3.45</v>
      </c>
    </row>
    <row r="288" spans="1:16" ht="19.5" customHeight="1">
      <c r="A288" s="171" t="s">
        <v>405</v>
      </c>
      <c r="B288" s="175">
        <v>46030</v>
      </c>
      <c r="C288" s="171" t="s">
        <v>308</v>
      </c>
      <c r="D288" s="171" t="s">
        <v>419</v>
      </c>
      <c r="E288" s="171" t="s">
        <v>38</v>
      </c>
      <c r="F288" s="171" t="s">
        <v>111</v>
      </c>
      <c r="G288" s="171" t="s">
        <v>112</v>
      </c>
      <c r="H288" s="176">
        <v>1</v>
      </c>
      <c r="I288" s="177">
        <v>-1704</v>
      </c>
      <c r="J288" s="175">
        <v>46023</v>
      </c>
      <c r="K288" s="171" t="s">
        <v>113</v>
      </c>
      <c r="L288" s="171" t="s">
        <v>114</v>
      </c>
      <c r="M288" s="178">
        <v>0</v>
      </c>
      <c r="N288" s="176"/>
      <c r="O288" s="176"/>
      <c r="P288" s="179">
        <v>-585.71</v>
      </c>
    </row>
    <row r="289" spans="1:16" ht="19.5" customHeight="1">
      <c r="A289" s="171" t="s">
        <v>405</v>
      </c>
      <c r="B289" s="175">
        <v>46030</v>
      </c>
      <c r="C289" s="171" t="s">
        <v>308</v>
      </c>
      <c r="D289" s="171" t="s">
        <v>129</v>
      </c>
      <c r="E289" s="171" t="s">
        <v>38</v>
      </c>
      <c r="F289" s="171" t="s">
        <v>111</v>
      </c>
      <c r="G289" s="171" t="s">
        <v>112</v>
      </c>
      <c r="H289" s="176">
        <v>1</v>
      </c>
      <c r="I289" s="177">
        <v>-1704</v>
      </c>
      <c r="J289" s="175">
        <v>46023</v>
      </c>
      <c r="K289" s="171" t="s">
        <v>113</v>
      </c>
      <c r="L289" s="171" t="s">
        <v>114</v>
      </c>
      <c r="M289" s="178">
        <v>0</v>
      </c>
      <c r="N289" s="176"/>
      <c r="O289" s="176"/>
      <c r="P289" s="179">
        <v>-5.86</v>
      </c>
    </row>
    <row r="290" spans="1:16" ht="19.5" customHeight="1">
      <c r="A290" s="171" t="s">
        <v>405</v>
      </c>
      <c r="B290" s="175">
        <v>46030</v>
      </c>
      <c r="C290" s="171" t="s">
        <v>308</v>
      </c>
      <c r="D290" s="171" t="s">
        <v>130</v>
      </c>
      <c r="E290" s="171" t="s">
        <v>38</v>
      </c>
      <c r="F290" s="171" t="s">
        <v>111</v>
      </c>
      <c r="G290" s="171" t="s">
        <v>112</v>
      </c>
      <c r="H290" s="176">
        <v>1</v>
      </c>
      <c r="I290" s="177">
        <v>-1704</v>
      </c>
      <c r="J290" s="175">
        <v>46023</v>
      </c>
      <c r="K290" s="171" t="s">
        <v>113</v>
      </c>
      <c r="L290" s="171" t="s">
        <v>114</v>
      </c>
      <c r="M290" s="178">
        <v>0</v>
      </c>
      <c r="N290" s="176"/>
      <c r="O290" s="176"/>
      <c r="P290" s="179">
        <v>-1112.43</v>
      </c>
    </row>
    <row r="291" spans="1:16" ht="19.5" customHeight="1">
      <c r="A291" s="171" t="s">
        <v>405</v>
      </c>
      <c r="B291" s="175">
        <v>46030</v>
      </c>
      <c r="C291" s="171" t="s">
        <v>131</v>
      </c>
      <c r="D291" s="171" t="s">
        <v>420</v>
      </c>
      <c r="E291" s="171" t="s">
        <v>38</v>
      </c>
      <c r="F291" s="171" t="s">
        <v>111</v>
      </c>
      <c r="G291" s="171" t="s">
        <v>112</v>
      </c>
      <c r="H291" s="176">
        <v>1</v>
      </c>
      <c r="I291" s="177">
        <v>-1704</v>
      </c>
      <c r="J291" s="175">
        <v>46023</v>
      </c>
      <c r="K291" s="171" t="s">
        <v>113</v>
      </c>
      <c r="L291" s="171" t="s">
        <v>114</v>
      </c>
      <c r="M291" s="178">
        <v>0.43</v>
      </c>
      <c r="N291" s="176"/>
      <c r="O291" s="176"/>
      <c r="P291" s="179">
        <v>732.72</v>
      </c>
    </row>
    <row r="292" spans="1:16" ht="19.5" customHeight="1">
      <c r="A292" s="171" t="s">
        <v>405</v>
      </c>
      <c r="B292" s="175">
        <v>46030</v>
      </c>
      <c r="C292" s="171" t="s">
        <v>115</v>
      </c>
      <c r="D292" s="171" t="s">
        <v>135</v>
      </c>
      <c r="E292" s="171" t="s">
        <v>38</v>
      </c>
      <c r="F292" s="171" t="s">
        <v>111</v>
      </c>
      <c r="G292" s="171" t="s">
        <v>112</v>
      </c>
      <c r="H292" s="176">
        <v>1</v>
      </c>
      <c r="I292" s="177">
        <v>0</v>
      </c>
      <c r="J292" s="175">
        <v>46023</v>
      </c>
      <c r="K292" s="171" t="s">
        <v>125</v>
      </c>
      <c r="L292" s="171" t="s">
        <v>125</v>
      </c>
      <c r="M292" s="178">
        <v>0</v>
      </c>
      <c r="N292" s="176"/>
      <c r="O292" s="176"/>
      <c r="P292" s="179">
        <v>11.13</v>
      </c>
    </row>
    <row r="293" spans="1:16" ht="19.5" customHeight="1">
      <c r="A293" s="171" t="s">
        <v>476</v>
      </c>
      <c r="B293" s="175">
        <v>46030</v>
      </c>
      <c r="C293" s="171" t="s">
        <v>110</v>
      </c>
      <c r="D293" s="171" t="s">
        <v>24</v>
      </c>
      <c r="E293" s="171" t="s">
        <v>38</v>
      </c>
      <c r="F293" s="171" t="s">
        <v>111</v>
      </c>
      <c r="G293" s="171" t="s">
        <v>112</v>
      </c>
      <c r="H293" s="176">
        <v>1</v>
      </c>
      <c r="I293" s="177">
        <v>0</v>
      </c>
      <c r="J293" s="175">
        <v>46021</v>
      </c>
      <c r="K293" s="171" t="s">
        <v>113</v>
      </c>
      <c r="L293" s="171" t="s">
        <v>114</v>
      </c>
      <c r="M293" s="178">
        <v>0</v>
      </c>
      <c r="N293" s="176"/>
      <c r="O293" s="176">
        <v>38</v>
      </c>
      <c r="P293" s="179">
        <v>-46.77</v>
      </c>
    </row>
    <row r="294" spans="1:16" ht="19.5" customHeight="1">
      <c r="A294" s="171" t="s">
        <v>476</v>
      </c>
      <c r="B294" s="175">
        <v>46030</v>
      </c>
      <c r="C294" s="171" t="s">
        <v>115</v>
      </c>
      <c r="D294" s="171" t="s">
        <v>116</v>
      </c>
      <c r="E294" s="171" t="s">
        <v>38</v>
      </c>
      <c r="F294" s="171" t="s">
        <v>111</v>
      </c>
      <c r="G294" s="171" t="s">
        <v>112</v>
      </c>
      <c r="H294" s="176">
        <v>1</v>
      </c>
      <c r="I294" s="177">
        <v>0</v>
      </c>
      <c r="J294" s="175">
        <v>46021</v>
      </c>
      <c r="K294" s="171" t="s">
        <v>113</v>
      </c>
      <c r="L294" s="171" t="s">
        <v>114</v>
      </c>
      <c r="M294" s="178">
        <v>0</v>
      </c>
      <c r="N294" s="176"/>
      <c r="O294" s="176"/>
      <c r="P294" s="179">
        <v>-25</v>
      </c>
    </row>
    <row r="295" spans="1:16" ht="19.5" customHeight="1">
      <c r="A295" s="171" t="s">
        <v>476</v>
      </c>
      <c r="B295" s="175">
        <v>46030</v>
      </c>
      <c r="C295" s="171" t="s">
        <v>110</v>
      </c>
      <c r="D295" s="171" t="s">
        <v>117</v>
      </c>
      <c r="E295" s="171" t="s">
        <v>38</v>
      </c>
      <c r="F295" s="171" t="s">
        <v>111</v>
      </c>
      <c r="G295" s="171" t="s">
        <v>112</v>
      </c>
      <c r="H295" s="176">
        <v>1</v>
      </c>
      <c r="I295" s="177">
        <v>0</v>
      </c>
      <c r="J295" s="175">
        <v>46021</v>
      </c>
      <c r="K295" s="171" t="s">
        <v>113</v>
      </c>
      <c r="L295" s="171" t="s">
        <v>114</v>
      </c>
      <c r="M295" s="178">
        <v>0</v>
      </c>
      <c r="N295" s="176"/>
      <c r="O295" s="176"/>
      <c r="P295" s="179">
        <v>0</v>
      </c>
    </row>
    <row r="296" spans="1:16" ht="19.5" customHeight="1">
      <c r="A296" s="171" t="s">
        <v>476</v>
      </c>
      <c r="B296" s="175">
        <v>46030</v>
      </c>
      <c r="C296" s="171" t="s">
        <v>110</v>
      </c>
      <c r="D296" s="171" t="s">
        <v>118</v>
      </c>
      <c r="E296" s="171" t="s">
        <v>38</v>
      </c>
      <c r="F296" s="171" t="s">
        <v>111</v>
      </c>
      <c r="G296" s="171" t="s">
        <v>112</v>
      </c>
      <c r="H296" s="176">
        <v>1</v>
      </c>
      <c r="I296" s="177">
        <v>0</v>
      </c>
      <c r="J296" s="175">
        <v>46021</v>
      </c>
      <c r="K296" s="171" t="s">
        <v>113</v>
      </c>
      <c r="L296" s="171" t="s">
        <v>114</v>
      </c>
      <c r="M296" s="178">
        <v>0</v>
      </c>
      <c r="N296" s="176"/>
      <c r="O296" s="176"/>
      <c r="P296" s="179">
        <v>-46.77</v>
      </c>
    </row>
    <row r="297" spans="1:16" ht="19.5" customHeight="1">
      <c r="A297" s="171" t="s">
        <v>476</v>
      </c>
      <c r="B297" s="175">
        <v>46030</v>
      </c>
      <c r="C297" s="171" t="s">
        <v>115</v>
      </c>
      <c r="D297" s="171" t="s">
        <v>119</v>
      </c>
      <c r="E297" s="171" t="s">
        <v>38</v>
      </c>
      <c r="F297" s="171" t="s">
        <v>111</v>
      </c>
      <c r="G297" s="171" t="s">
        <v>112</v>
      </c>
      <c r="H297" s="176">
        <v>1</v>
      </c>
      <c r="I297" s="177">
        <v>0</v>
      </c>
      <c r="J297" s="175">
        <v>46021</v>
      </c>
      <c r="K297" s="171" t="s">
        <v>113</v>
      </c>
      <c r="L297" s="171" t="s">
        <v>114</v>
      </c>
      <c r="M297" s="178">
        <v>0</v>
      </c>
      <c r="N297" s="176"/>
      <c r="O297" s="176"/>
      <c r="P297" s="179">
        <v>-15</v>
      </c>
    </row>
    <row r="298" spans="1:16" ht="19.5" customHeight="1">
      <c r="A298" s="171" t="s">
        <v>477</v>
      </c>
      <c r="B298" s="175">
        <v>46030</v>
      </c>
      <c r="C298" s="171" t="s">
        <v>110</v>
      </c>
      <c r="D298" s="171" t="s">
        <v>24</v>
      </c>
      <c r="E298" s="171" t="s">
        <v>38</v>
      </c>
      <c r="F298" s="171" t="s">
        <v>111</v>
      </c>
      <c r="G298" s="171" t="s">
        <v>112</v>
      </c>
      <c r="H298" s="176">
        <v>1</v>
      </c>
      <c r="I298" s="177">
        <v>1704</v>
      </c>
      <c r="J298" s="175">
        <v>46021</v>
      </c>
      <c r="K298" s="171" t="s">
        <v>113</v>
      </c>
      <c r="L298" s="171" t="s">
        <v>114</v>
      </c>
      <c r="M298" s="178">
        <v>0.43</v>
      </c>
      <c r="N298" s="176"/>
      <c r="O298" s="176">
        <v>38</v>
      </c>
      <c r="P298" s="179">
        <v>-104.84</v>
      </c>
    </row>
    <row r="299" spans="1:16" ht="19.5" customHeight="1">
      <c r="A299" s="171" t="s">
        <v>477</v>
      </c>
      <c r="B299" s="175">
        <v>46030</v>
      </c>
      <c r="C299" s="171" t="s">
        <v>127</v>
      </c>
      <c r="D299" s="171" t="s">
        <v>128</v>
      </c>
      <c r="E299" s="171" t="s">
        <v>38</v>
      </c>
      <c r="F299" s="171" t="s">
        <v>111</v>
      </c>
      <c r="G299" s="171" t="s">
        <v>112</v>
      </c>
      <c r="H299" s="176">
        <v>1</v>
      </c>
      <c r="I299" s="177">
        <v>1704</v>
      </c>
      <c r="J299" s="175">
        <v>46021</v>
      </c>
      <c r="K299" s="171" t="s">
        <v>113</v>
      </c>
      <c r="L299" s="171" t="s">
        <v>114</v>
      </c>
      <c r="M299" s="178">
        <v>0</v>
      </c>
      <c r="N299" s="176"/>
      <c r="O299" s="176"/>
      <c r="P299" s="179">
        <v>588.57000000000005</v>
      </c>
    </row>
    <row r="300" spans="1:16" ht="19.5" customHeight="1">
      <c r="A300" s="171" t="s">
        <v>477</v>
      </c>
      <c r="B300" s="175">
        <v>46030</v>
      </c>
      <c r="C300" s="171" t="s">
        <v>127</v>
      </c>
      <c r="D300" s="171" t="s">
        <v>129</v>
      </c>
      <c r="E300" s="171" t="s">
        <v>38</v>
      </c>
      <c r="F300" s="171" t="s">
        <v>111</v>
      </c>
      <c r="G300" s="171" t="s">
        <v>112</v>
      </c>
      <c r="H300" s="176">
        <v>1</v>
      </c>
      <c r="I300" s="177">
        <v>1704</v>
      </c>
      <c r="J300" s="175">
        <v>46021</v>
      </c>
      <c r="K300" s="171" t="s">
        <v>113</v>
      </c>
      <c r="L300" s="171" t="s">
        <v>114</v>
      </c>
      <c r="M300" s="178">
        <v>0</v>
      </c>
      <c r="N300" s="176"/>
      <c r="O300" s="176"/>
      <c r="P300" s="179">
        <v>5.89</v>
      </c>
    </row>
    <row r="301" spans="1:16" ht="19.5" customHeight="1">
      <c r="A301" s="171" t="s">
        <v>477</v>
      </c>
      <c r="B301" s="175">
        <v>46030</v>
      </c>
      <c r="C301" s="171" t="s">
        <v>127</v>
      </c>
      <c r="D301" s="171" t="s">
        <v>130</v>
      </c>
      <c r="E301" s="171" t="s">
        <v>38</v>
      </c>
      <c r="F301" s="171" t="s">
        <v>111</v>
      </c>
      <c r="G301" s="171" t="s">
        <v>112</v>
      </c>
      <c r="H301" s="176">
        <v>1</v>
      </c>
      <c r="I301" s="177">
        <v>1704</v>
      </c>
      <c r="J301" s="175">
        <v>46021</v>
      </c>
      <c r="K301" s="171" t="s">
        <v>113</v>
      </c>
      <c r="L301" s="171" t="s">
        <v>114</v>
      </c>
      <c r="M301" s="178">
        <v>0</v>
      </c>
      <c r="N301" s="176"/>
      <c r="O301" s="176"/>
      <c r="P301" s="179">
        <v>1109.54</v>
      </c>
    </row>
    <row r="302" spans="1:16" ht="19.5" customHeight="1">
      <c r="A302" s="171" t="s">
        <v>477</v>
      </c>
      <c r="B302" s="175">
        <v>46030</v>
      </c>
      <c r="C302" s="171" t="s">
        <v>131</v>
      </c>
      <c r="D302" s="171" t="s">
        <v>132</v>
      </c>
      <c r="E302" s="171" t="s">
        <v>38</v>
      </c>
      <c r="F302" s="171" t="s">
        <v>111</v>
      </c>
      <c r="G302" s="171" t="s">
        <v>112</v>
      </c>
      <c r="H302" s="176">
        <v>1</v>
      </c>
      <c r="I302" s="177">
        <v>1704</v>
      </c>
      <c r="J302" s="175">
        <v>46021</v>
      </c>
      <c r="K302" s="171" t="s">
        <v>113</v>
      </c>
      <c r="L302" s="171" t="s">
        <v>114</v>
      </c>
      <c r="M302" s="178">
        <v>0.43</v>
      </c>
      <c r="N302" s="176"/>
      <c r="O302" s="176"/>
      <c r="P302" s="179">
        <v>-732.72</v>
      </c>
    </row>
    <row r="303" spans="1:16" ht="19.5" customHeight="1">
      <c r="A303" s="171" t="s">
        <v>478</v>
      </c>
      <c r="B303" s="175">
        <v>46030</v>
      </c>
      <c r="C303" s="171" t="s">
        <v>110</v>
      </c>
      <c r="D303" s="171" t="s">
        <v>24</v>
      </c>
      <c r="E303" s="171" t="s">
        <v>41</v>
      </c>
      <c r="F303" s="171" t="s">
        <v>138</v>
      </c>
      <c r="G303" s="171" t="s">
        <v>112</v>
      </c>
      <c r="H303" s="176">
        <v>1</v>
      </c>
      <c r="I303" s="177">
        <v>1304</v>
      </c>
      <c r="J303" s="175">
        <v>46021</v>
      </c>
      <c r="K303" s="171" t="s">
        <v>113</v>
      </c>
      <c r="L303" s="171" t="s">
        <v>114</v>
      </c>
      <c r="M303" s="178">
        <v>0.43</v>
      </c>
      <c r="N303" s="176"/>
      <c r="O303" s="176">
        <v>38</v>
      </c>
      <c r="P303" s="179">
        <v>-96.04</v>
      </c>
    </row>
    <row r="304" spans="1:16" ht="19.5" customHeight="1">
      <c r="A304" s="171" t="s">
        <v>478</v>
      </c>
      <c r="B304" s="175">
        <v>46030</v>
      </c>
      <c r="C304" s="171" t="s">
        <v>127</v>
      </c>
      <c r="D304" s="171" t="s">
        <v>128</v>
      </c>
      <c r="E304" s="171" t="s">
        <v>41</v>
      </c>
      <c r="F304" s="171" t="s">
        <v>138</v>
      </c>
      <c r="G304" s="171" t="s">
        <v>112</v>
      </c>
      <c r="H304" s="176">
        <v>1</v>
      </c>
      <c r="I304" s="177">
        <v>1304</v>
      </c>
      <c r="J304" s="175">
        <v>46021</v>
      </c>
      <c r="K304" s="171" t="s">
        <v>113</v>
      </c>
      <c r="L304" s="171" t="s">
        <v>114</v>
      </c>
      <c r="M304" s="178">
        <v>0</v>
      </c>
      <c r="N304" s="176"/>
      <c r="O304" s="176"/>
      <c r="P304" s="179">
        <v>460</v>
      </c>
    </row>
    <row r="305" spans="1:16" ht="19.5" customHeight="1">
      <c r="A305" s="171" t="s">
        <v>478</v>
      </c>
      <c r="B305" s="175">
        <v>46030</v>
      </c>
      <c r="C305" s="171" t="s">
        <v>127</v>
      </c>
      <c r="D305" s="171" t="s">
        <v>129</v>
      </c>
      <c r="E305" s="171" t="s">
        <v>41</v>
      </c>
      <c r="F305" s="171" t="s">
        <v>138</v>
      </c>
      <c r="G305" s="171" t="s">
        <v>112</v>
      </c>
      <c r="H305" s="176">
        <v>1</v>
      </c>
      <c r="I305" s="177">
        <v>1304</v>
      </c>
      <c r="J305" s="175">
        <v>46021</v>
      </c>
      <c r="K305" s="171" t="s">
        <v>113</v>
      </c>
      <c r="L305" s="171" t="s">
        <v>114</v>
      </c>
      <c r="M305" s="178">
        <v>0</v>
      </c>
      <c r="N305" s="176"/>
      <c r="O305" s="176"/>
      <c r="P305" s="179">
        <v>4.5999999999999996</v>
      </c>
    </row>
    <row r="306" spans="1:16" ht="19.5" customHeight="1">
      <c r="A306" s="171" t="s">
        <v>478</v>
      </c>
      <c r="B306" s="175">
        <v>46030</v>
      </c>
      <c r="C306" s="171" t="s">
        <v>127</v>
      </c>
      <c r="D306" s="171" t="s">
        <v>130</v>
      </c>
      <c r="E306" s="171" t="s">
        <v>41</v>
      </c>
      <c r="F306" s="171" t="s">
        <v>138</v>
      </c>
      <c r="G306" s="171" t="s">
        <v>112</v>
      </c>
      <c r="H306" s="176">
        <v>1</v>
      </c>
      <c r="I306" s="177">
        <v>1304</v>
      </c>
      <c r="J306" s="175">
        <v>46021</v>
      </c>
      <c r="K306" s="171" t="s">
        <v>113</v>
      </c>
      <c r="L306" s="171" t="s">
        <v>114</v>
      </c>
      <c r="M306" s="178">
        <v>0</v>
      </c>
      <c r="N306" s="176"/>
      <c r="O306" s="176"/>
      <c r="P306" s="179">
        <v>839.4</v>
      </c>
    </row>
    <row r="307" spans="1:16" ht="19.5" customHeight="1">
      <c r="A307" s="171" t="s">
        <v>478</v>
      </c>
      <c r="B307" s="175">
        <v>46030</v>
      </c>
      <c r="C307" s="171" t="s">
        <v>131</v>
      </c>
      <c r="D307" s="171" t="s">
        <v>132</v>
      </c>
      <c r="E307" s="171" t="s">
        <v>41</v>
      </c>
      <c r="F307" s="171" t="s">
        <v>138</v>
      </c>
      <c r="G307" s="171" t="s">
        <v>112</v>
      </c>
      <c r="H307" s="176">
        <v>1</v>
      </c>
      <c r="I307" s="177">
        <v>1304</v>
      </c>
      <c r="J307" s="175">
        <v>46021</v>
      </c>
      <c r="K307" s="171" t="s">
        <v>113</v>
      </c>
      <c r="L307" s="171" t="s">
        <v>114</v>
      </c>
      <c r="M307" s="178">
        <v>0.43</v>
      </c>
      <c r="N307" s="176"/>
      <c r="O307" s="176"/>
      <c r="P307" s="179">
        <v>-560.72</v>
      </c>
    </row>
    <row r="308" spans="1:16" ht="19.5" customHeight="1">
      <c r="A308" s="171" t="s">
        <v>479</v>
      </c>
      <c r="B308" s="175">
        <v>46030</v>
      </c>
      <c r="C308" s="171" t="s">
        <v>110</v>
      </c>
      <c r="D308" s="171" t="s">
        <v>24</v>
      </c>
      <c r="E308" s="171" t="s">
        <v>44</v>
      </c>
      <c r="F308" s="171" t="s">
        <v>213</v>
      </c>
      <c r="G308" s="171" t="s">
        <v>214</v>
      </c>
      <c r="H308" s="176">
        <v>1</v>
      </c>
      <c r="I308" s="177">
        <v>1815</v>
      </c>
      <c r="J308" s="175">
        <v>46023</v>
      </c>
      <c r="K308" s="171" t="s">
        <v>113</v>
      </c>
      <c r="L308" s="171" t="s">
        <v>114</v>
      </c>
      <c r="M308" s="178">
        <v>0.43</v>
      </c>
      <c r="N308" s="176"/>
      <c r="O308" s="176">
        <v>39</v>
      </c>
      <c r="P308" s="179">
        <v>-111.64</v>
      </c>
    </row>
    <row r="309" spans="1:16" ht="19.5" customHeight="1">
      <c r="A309" s="171" t="s">
        <v>479</v>
      </c>
      <c r="B309" s="175">
        <v>46030</v>
      </c>
      <c r="C309" s="171" t="s">
        <v>127</v>
      </c>
      <c r="D309" s="171" t="s">
        <v>128</v>
      </c>
      <c r="E309" s="171" t="s">
        <v>44</v>
      </c>
      <c r="F309" s="171" t="s">
        <v>213</v>
      </c>
      <c r="G309" s="171" t="s">
        <v>214</v>
      </c>
      <c r="H309" s="176">
        <v>1</v>
      </c>
      <c r="I309" s="177">
        <v>1815</v>
      </c>
      <c r="J309" s="175">
        <v>46023</v>
      </c>
      <c r="K309" s="171" t="s">
        <v>113</v>
      </c>
      <c r="L309" s="171" t="s">
        <v>114</v>
      </c>
      <c r="M309" s="178">
        <v>0</v>
      </c>
      <c r="N309" s="176"/>
      <c r="O309" s="176"/>
      <c r="P309" s="179">
        <v>631.17999999999995</v>
      </c>
    </row>
    <row r="310" spans="1:16" ht="19.5" customHeight="1">
      <c r="A310" s="171" t="s">
        <v>479</v>
      </c>
      <c r="B310" s="175">
        <v>46030</v>
      </c>
      <c r="C310" s="171" t="s">
        <v>127</v>
      </c>
      <c r="D310" s="171" t="s">
        <v>129</v>
      </c>
      <c r="E310" s="171" t="s">
        <v>44</v>
      </c>
      <c r="F310" s="171" t="s">
        <v>213</v>
      </c>
      <c r="G310" s="171" t="s">
        <v>214</v>
      </c>
      <c r="H310" s="176">
        <v>1</v>
      </c>
      <c r="I310" s="177">
        <v>1815</v>
      </c>
      <c r="J310" s="175">
        <v>46023</v>
      </c>
      <c r="K310" s="171" t="s">
        <v>113</v>
      </c>
      <c r="L310" s="171" t="s">
        <v>114</v>
      </c>
      <c r="M310" s="178">
        <v>0</v>
      </c>
      <c r="N310" s="176"/>
      <c r="O310" s="176"/>
      <c r="P310" s="179">
        <v>6.31</v>
      </c>
    </row>
    <row r="311" spans="1:16" ht="19.5" customHeight="1">
      <c r="A311" s="171" t="s">
        <v>479</v>
      </c>
      <c r="B311" s="175">
        <v>46030</v>
      </c>
      <c r="C311" s="171" t="s">
        <v>127</v>
      </c>
      <c r="D311" s="171" t="s">
        <v>130</v>
      </c>
      <c r="E311" s="171" t="s">
        <v>44</v>
      </c>
      <c r="F311" s="171" t="s">
        <v>213</v>
      </c>
      <c r="G311" s="171" t="s">
        <v>214</v>
      </c>
      <c r="H311" s="176">
        <v>1</v>
      </c>
      <c r="I311" s="177">
        <v>1815</v>
      </c>
      <c r="J311" s="175">
        <v>46023</v>
      </c>
      <c r="K311" s="171" t="s">
        <v>113</v>
      </c>
      <c r="L311" s="171" t="s">
        <v>114</v>
      </c>
      <c r="M311" s="178">
        <v>0</v>
      </c>
      <c r="N311" s="176"/>
      <c r="O311" s="176"/>
      <c r="P311" s="179">
        <v>1177.51</v>
      </c>
    </row>
    <row r="312" spans="1:16" ht="19.5" customHeight="1">
      <c r="A312" s="171" t="s">
        <v>479</v>
      </c>
      <c r="B312" s="175">
        <v>46030</v>
      </c>
      <c r="C312" s="171" t="s">
        <v>131</v>
      </c>
      <c r="D312" s="171" t="s">
        <v>132</v>
      </c>
      <c r="E312" s="171" t="s">
        <v>44</v>
      </c>
      <c r="F312" s="171" t="s">
        <v>213</v>
      </c>
      <c r="G312" s="171" t="s">
        <v>214</v>
      </c>
      <c r="H312" s="176">
        <v>1</v>
      </c>
      <c r="I312" s="177">
        <v>1815</v>
      </c>
      <c r="J312" s="175">
        <v>46023</v>
      </c>
      <c r="K312" s="171" t="s">
        <v>113</v>
      </c>
      <c r="L312" s="171" t="s">
        <v>114</v>
      </c>
      <c r="M312" s="178">
        <v>0.43</v>
      </c>
      <c r="N312" s="176"/>
      <c r="O312" s="176"/>
      <c r="P312" s="179">
        <v>-780.45</v>
      </c>
    </row>
    <row r="313" spans="1:16" ht="19.5" customHeight="1">
      <c r="A313" s="171" t="s">
        <v>479</v>
      </c>
      <c r="B313" s="175">
        <v>46030</v>
      </c>
      <c r="C313" s="171" t="s">
        <v>115</v>
      </c>
      <c r="D313" s="171" t="s">
        <v>116</v>
      </c>
      <c r="E313" s="171" t="s">
        <v>44</v>
      </c>
      <c r="F313" s="171" t="s">
        <v>213</v>
      </c>
      <c r="G313" s="171" t="s">
        <v>214</v>
      </c>
      <c r="H313" s="176">
        <v>1</v>
      </c>
      <c r="I313" s="177">
        <v>1815</v>
      </c>
      <c r="J313" s="175">
        <v>46023</v>
      </c>
      <c r="K313" s="171" t="s">
        <v>113</v>
      </c>
      <c r="L313" s="171" t="s">
        <v>114</v>
      </c>
      <c r="M313" s="178">
        <v>0.43</v>
      </c>
      <c r="N313" s="176"/>
      <c r="O313" s="176"/>
      <c r="P313" s="179">
        <v>-8.91</v>
      </c>
    </row>
    <row r="314" spans="1:16" ht="19.5" customHeight="1">
      <c r="A314" s="171" t="s">
        <v>480</v>
      </c>
      <c r="B314" s="175">
        <v>46030</v>
      </c>
      <c r="C314" s="171" t="s">
        <v>115</v>
      </c>
      <c r="D314" s="171" t="s">
        <v>135</v>
      </c>
      <c r="E314" s="171" t="s">
        <v>43</v>
      </c>
      <c r="F314" s="171" t="s">
        <v>481</v>
      </c>
      <c r="G314" s="171" t="s">
        <v>214</v>
      </c>
      <c r="H314" s="176">
        <v>1</v>
      </c>
      <c r="I314" s="177">
        <v>0</v>
      </c>
      <c r="J314" s="175">
        <v>46030</v>
      </c>
      <c r="K314" s="171" t="s">
        <v>125</v>
      </c>
      <c r="L314" s="171" t="s">
        <v>125</v>
      </c>
      <c r="M314" s="178">
        <v>0</v>
      </c>
      <c r="N314" s="176"/>
      <c r="O314" s="176"/>
      <c r="P314" s="179">
        <v>-13.83</v>
      </c>
    </row>
    <row r="315" spans="1:16" ht="19.5" customHeight="1">
      <c r="A315" s="171" t="s">
        <v>482</v>
      </c>
      <c r="B315" s="175">
        <v>46030</v>
      </c>
      <c r="C315" s="171" t="s">
        <v>110</v>
      </c>
      <c r="D315" s="171" t="s">
        <v>24</v>
      </c>
      <c r="E315" s="171" t="s">
        <v>38</v>
      </c>
      <c r="F315" s="171" t="s">
        <v>111</v>
      </c>
      <c r="G315" s="171" t="s">
        <v>112</v>
      </c>
      <c r="H315" s="176">
        <v>1</v>
      </c>
      <c r="I315" s="177">
        <v>1704</v>
      </c>
      <c r="J315" s="175">
        <v>46024</v>
      </c>
      <c r="K315" s="171" t="s">
        <v>113</v>
      </c>
      <c r="L315" s="171" t="s">
        <v>114</v>
      </c>
      <c r="M315" s="178">
        <v>0.43</v>
      </c>
      <c r="N315" s="176"/>
      <c r="O315" s="176">
        <v>39</v>
      </c>
      <c r="P315" s="179">
        <v>-110.12</v>
      </c>
    </row>
    <row r="316" spans="1:16" ht="19.5" customHeight="1">
      <c r="A316" s="171" t="s">
        <v>482</v>
      </c>
      <c r="B316" s="175">
        <v>46030</v>
      </c>
      <c r="C316" s="171" t="s">
        <v>127</v>
      </c>
      <c r="D316" s="171" t="s">
        <v>128</v>
      </c>
      <c r="E316" s="171" t="s">
        <v>38</v>
      </c>
      <c r="F316" s="171" t="s">
        <v>111</v>
      </c>
      <c r="G316" s="171" t="s">
        <v>112</v>
      </c>
      <c r="H316" s="176">
        <v>1</v>
      </c>
      <c r="I316" s="177">
        <v>1704</v>
      </c>
      <c r="J316" s="175">
        <v>46024</v>
      </c>
      <c r="K316" s="171" t="s">
        <v>113</v>
      </c>
      <c r="L316" s="171" t="s">
        <v>114</v>
      </c>
      <c r="M316" s="178">
        <v>0</v>
      </c>
      <c r="N316" s="176"/>
      <c r="O316" s="176"/>
      <c r="P316" s="179">
        <v>649.52</v>
      </c>
    </row>
    <row r="317" spans="1:16" ht="19.5" customHeight="1">
      <c r="A317" s="171" t="s">
        <v>482</v>
      </c>
      <c r="B317" s="175">
        <v>46030</v>
      </c>
      <c r="C317" s="171" t="s">
        <v>127</v>
      </c>
      <c r="D317" s="171" t="s">
        <v>129</v>
      </c>
      <c r="E317" s="171" t="s">
        <v>38</v>
      </c>
      <c r="F317" s="171" t="s">
        <v>111</v>
      </c>
      <c r="G317" s="171" t="s">
        <v>112</v>
      </c>
      <c r="H317" s="176">
        <v>1</v>
      </c>
      <c r="I317" s="177">
        <v>1704</v>
      </c>
      <c r="J317" s="175">
        <v>46024</v>
      </c>
      <c r="K317" s="171" t="s">
        <v>113</v>
      </c>
      <c r="L317" s="171" t="s">
        <v>114</v>
      </c>
      <c r="M317" s="178">
        <v>0</v>
      </c>
      <c r="N317" s="176"/>
      <c r="O317" s="176"/>
      <c r="P317" s="179">
        <v>0</v>
      </c>
    </row>
    <row r="318" spans="1:16" ht="19.5" customHeight="1">
      <c r="A318" s="171" t="s">
        <v>482</v>
      </c>
      <c r="B318" s="175">
        <v>46030</v>
      </c>
      <c r="C318" s="171" t="s">
        <v>127</v>
      </c>
      <c r="D318" s="171" t="s">
        <v>130</v>
      </c>
      <c r="E318" s="171" t="s">
        <v>38</v>
      </c>
      <c r="F318" s="171" t="s">
        <v>111</v>
      </c>
      <c r="G318" s="171" t="s">
        <v>112</v>
      </c>
      <c r="H318" s="176">
        <v>1</v>
      </c>
      <c r="I318" s="177">
        <v>1704</v>
      </c>
      <c r="J318" s="175">
        <v>46024</v>
      </c>
      <c r="K318" s="171" t="s">
        <v>113</v>
      </c>
      <c r="L318" s="171" t="s">
        <v>114</v>
      </c>
      <c r="M318" s="178">
        <v>0</v>
      </c>
      <c r="N318" s="176"/>
      <c r="O318" s="176"/>
      <c r="P318" s="179">
        <v>1054.48</v>
      </c>
    </row>
    <row r="319" spans="1:16" ht="19.5" customHeight="1">
      <c r="A319" s="171" t="s">
        <v>482</v>
      </c>
      <c r="B319" s="175">
        <v>46030</v>
      </c>
      <c r="C319" s="171" t="s">
        <v>131</v>
      </c>
      <c r="D319" s="171" t="s">
        <v>132</v>
      </c>
      <c r="E319" s="171" t="s">
        <v>38</v>
      </c>
      <c r="F319" s="171" t="s">
        <v>111</v>
      </c>
      <c r="G319" s="171" t="s">
        <v>112</v>
      </c>
      <c r="H319" s="176">
        <v>1</v>
      </c>
      <c r="I319" s="177">
        <v>1704</v>
      </c>
      <c r="J319" s="175">
        <v>46024</v>
      </c>
      <c r="K319" s="171" t="s">
        <v>113</v>
      </c>
      <c r="L319" s="171" t="s">
        <v>114</v>
      </c>
      <c r="M319" s="178">
        <v>0.43</v>
      </c>
      <c r="N319" s="176"/>
      <c r="O319" s="176"/>
      <c r="P319" s="179">
        <v>-732.72</v>
      </c>
    </row>
    <row r="320" spans="1:16" ht="19.5" customHeight="1">
      <c r="A320" s="171" t="s">
        <v>482</v>
      </c>
      <c r="B320" s="175">
        <v>46030</v>
      </c>
      <c r="C320" s="171" t="s">
        <v>115</v>
      </c>
      <c r="D320" s="171" t="s">
        <v>116</v>
      </c>
      <c r="E320" s="171" t="s">
        <v>38</v>
      </c>
      <c r="F320" s="171" t="s">
        <v>111</v>
      </c>
      <c r="G320" s="171" t="s">
        <v>112</v>
      </c>
      <c r="H320" s="176">
        <v>1</v>
      </c>
      <c r="I320" s="177">
        <v>1704</v>
      </c>
      <c r="J320" s="175">
        <v>46024</v>
      </c>
      <c r="K320" s="171" t="s">
        <v>113</v>
      </c>
      <c r="L320" s="171" t="s">
        <v>114</v>
      </c>
      <c r="M320" s="178">
        <v>0.43</v>
      </c>
      <c r="N320" s="176"/>
      <c r="O320" s="176"/>
      <c r="P320" s="179">
        <v>-19.78</v>
      </c>
    </row>
    <row r="321" spans="1:16" ht="19.5" customHeight="1">
      <c r="A321" s="171" t="s">
        <v>483</v>
      </c>
      <c r="B321" s="175">
        <v>46030</v>
      </c>
      <c r="C321" s="171" t="s">
        <v>110</v>
      </c>
      <c r="D321" s="171" t="s">
        <v>24</v>
      </c>
      <c r="E321" s="171" t="s">
        <v>41</v>
      </c>
      <c r="F321" s="171" t="s">
        <v>138</v>
      </c>
      <c r="G321" s="171" t="s">
        <v>112</v>
      </c>
      <c r="H321" s="176">
        <v>1</v>
      </c>
      <c r="I321" s="177">
        <v>1687</v>
      </c>
      <c r="J321" s="175">
        <v>46027</v>
      </c>
      <c r="K321" s="171" t="s">
        <v>113</v>
      </c>
      <c r="L321" s="171" t="s">
        <v>114</v>
      </c>
      <c r="M321" s="178">
        <v>0.43</v>
      </c>
      <c r="N321" s="176"/>
      <c r="O321" s="176">
        <v>41</v>
      </c>
      <c r="P321" s="179">
        <v>-117.58</v>
      </c>
    </row>
    <row r="322" spans="1:16" ht="19.5" customHeight="1">
      <c r="A322" s="171" t="s">
        <v>483</v>
      </c>
      <c r="B322" s="175">
        <v>46030</v>
      </c>
      <c r="C322" s="171" t="s">
        <v>127</v>
      </c>
      <c r="D322" s="171" t="s">
        <v>128</v>
      </c>
      <c r="E322" s="171" t="s">
        <v>41</v>
      </c>
      <c r="F322" s="171" t="s">
        <v>138</v>
      </c>
      <c r="G322" s="171" t="s">
        <v>112</v>
      </c>
      <c r="H322" s="176">
        <v>1</v>
      </c>
      <c r="I322" s="177">
        <v>1687</v>
      </c>
      <c r="J322" s="175">
        <v>46027</v>
      </c>
      <c r="K322" s="171" t="s">
        <v>113</v>
      </c>
      <c r="L322" s="171" t="s">
        <v>114</v>
      </c>
      <c r="M322" s="178">
        <v>0</v>
      </c>
      <c r="N322" s="176"/>
      <c r="O322" s="176"/>
      <c r="P322" s="179">
        <v>642.25</v>
      </c>
    </row>
    <row r="323" spans="1:16" ht="19.5" customHeight="1">
      <c r="A323" s="171" t="s">
        <v>483</v>
      </c>
      <c r="B323" s="175">
        <v>46030</v>
      </c>
      <c r="C323" s="171" t="s">
        <v>127</v>
      </c>
      <c r="D323" s="171" t="s">
        <v>129</v>
      </c>
      <c r="E323" s="171" t="s">
        <v>41</v>
      </c>
      <c r="F323" s="171" t="s">
        <v>138</v>
      </c>
      <c r="G323" s="171" t="s">
        <v>112</v>
      </c>
      <c r="H323" s="176">
        <v>1</v>
      </c>
      <c r="I323" s="177">
        <v>1687</v>
      </c>
      <c r="J323" s="175">
        <v>46027</v>
      </c>
      <c r="K323" s="171" t="s">
        <v>113</v>
      </c>
      <c r="L323" s="171" t="s">
        <v>114</v>
      </c>
      <c r="M323" s="178">
        <v>0</v>
      </c>
      <c r="N323" s="176"/>
      <c r="O323" s="176"/>
      <c r="P323" s="179">
        <v>0</v>
      </c>
    </row>
    <row r="324" spans="1:16" ht="19.5" customHeight="1">
      <c r="A324" s="171" t="s">
        <v>483</v>
      </c>
      <c r="B324" s="175">
        <v>46030</v>
      </c>
      <c r="C324" s="171" t="s">
        <v>127</v>
      </c>
      <c r="D324" s="171" t="s">
        <v>130</v>
      </c>
      <c r="E324" s="171" t="s">
        <v>41</v>
      </c>
      <c r="F324" s="171" t="s">
        <v>138</v>
      </c>
      <c r="G324" s="171" t="s">
        <v>112</v>
      </c>
      <c r="H324" s="176">
        <v>1</v>
      </c>
      <c r="I324" s="177">
        <v>1687</v>
      </c>
      <c r="J324" s="175">
        <v>46027</v>
      </c>
      <c r="K324" s="171" t="s">
        <v>113</v>
      </c>
      <c r="L324" s="171" t="s">
        <v>114</v>
      </c>
      <c r="M324" s="178">
        <v>0</v>
      </c>
      <c r="N324" s="176"/>
      <c r="O324" s="176"/>
      <c r="P324" s="179">
        <v>1044.75</v>
      </c>
    </row>
    <row r="325" spans="1:16" ht="19.5" customHeight="1">
      <c r="A325" s="171" t="s">
        <v>483</v>
      </c>
      <c r="B325" s="175">
        <v>46030</v>
      </c>
      <c r="C325" s="171" t="s">
        <v>131</v>
      </c>
      <c r="D325" s="171" t="s">
        <v>132</v>
      </c>
      <c r="E325" s="171" t="s">
        <v>41</v>
      </c>
      <c r="F325" s="171" t="s">
        <v>138</v>
      </c>
      <c r="G325" s="171" t="s">
        <v>112</v>
      </c>
      <c r="H325" s="176">
        <v>1</v>
      </c>
      <c r="I325" s="177">
        <v>1687</v>
      </c>
      <c r="J325" s="175">
        <v>46027</v>
      </c>
      <c r="K325" s="171" t="s">
        <v>113</v>
      </c>
      <c r="L325" s="171" t="s">
        <v>114</v>
      </c>
      <c r="M325" s="178">
        <v>0.43</v>
      </c>
      <c r="N325" s="176"/>
      <c r="O325" s="176"/>
      <c r="P325" s="179">
        <v>-725.41</v>
      </c>
    </row>
    <row r="326" spans="1:16" ht="19.5" customHeight="1">
      <c r="A326" s="171" t="s">
        <v>483</v>
      </c>
      <c r="B326" s="175">
        <v>46030</v>
      </c>
      <c r="C326" s="171" t="s">
        <v>115</v>
      </c>
      <c r="D326" s="171" t="s">
        <v>116</v>
      </c>
      <c r="E326" s="171" t="s">
        <v>41</v>
      </c>
      <c r="F326" s="171" t="s">
        <v>138</v>
      </c>
      <c r="G326" s="171" t="s">
        <v>112</v>
      </c>
      <c r="H326" s="176">
        <v>1</v>
      </c>
      <c r="I326" s="177">
        <v>1687</v>
      </c>
      <c r="J326" s="175">
        <v>46027</v>
      </c>
      <c r="K326" s="171" t="s">
        <v>113</v>
      </c>
      <c r="L326" s="171" t="s">
        <v>114</v>
      </c>
      <c r="M326" s="178">
        <v>0.43</v>
      </c>
      <c r="N326" s="176"/>
      <c r="O326" s="176"/>
      <c r="P326" s="179">
        <v>-11.97</v>
      </c>
    </row>
    <row r="327" spans="1:16" ht="19.5" customHeight="1">
      <c r="A327" s="171" t="s">
        <v>484</v>
      </c>
      <c r="B327" s="175">
        <v>46030</v>
      </c>
      <c r="C327" s="171" t="s">
        <v>110</v>
      </c>
      <c r="D327" s="171" t="s">
        <v>24</v>
      </c>
      <c r="E327" s="171" t="s">
        <v>41</v>
      </c>
      <c r="F327" s="171" t="s">
        <v>138</v>
      </c>
      <c r="G327" s="171" t="s">
        <v>112</v>
      </c>
      <c r="H327" s="176">
        <v>1</v>
      </c>
      <c r="I327" s="177">
        <v>1687</v>
      </c>
      <c r="J327" s="175">
        <v>46028</v>
      </c>
      <c r="K327" s="171" t="s">
        <v>113</v>
      </c>
      <c r="L327" s="171" t="s">
        <v>114</v>
      </c>
      <c r="M327" s="178">
        <v>0.43</v>
      </c>
      <c r="N327" s="176"/>
      <c r="O327" s="176">
        <v>44</v>
      </c>
      <c r="P327" s="179">
        <v>-129.38</v>
      </c>
    </row>
    <row r="328" spans="1:16" ht="19.5" customHeight="1">
      <c r="A328" s="171" t="s">
        <v>484</v>
      </c>
      <c r="B328" s="175">
        <v>46030</v>
      </c>
      <c r="C328" s="171" t="s">
        <v>127</v>
      </c>
      <c r="D328" s="171" t="s">
        <v>128</v>
      </c>
      <c r="E328" s="171" t="s">
        <v>41</v>
      </c>
      <c r="F328" s="171" t="s">
        <v>138</v>
      </c>
      <c r="G328" s="171" t="s">
        <v>112</v>
      </c>
      <c r="H328" s="176">
        <v>1</v>
      </c>
      <c r="I328" s="177">
        <v>1687</v>
      </c>
      <c r="J328" s="175">
        <v>46028</v>
      </c>
      <c r="K328" s="171" t="s">
        <v>113</v>
      </c>
      <c r="L328" s="171" t="s">
        <v>114</v>
      </c>
      <c r="M328" s="178">
        <v>0</v>
      </c>
      <c r="N328" s="176"/>
      <c r="O328" s="176"/>
      <c r="P328" s="179">
        <v>580</v>
      </c>
    </row>
    <row r="329" spans="1:16" ht="19.5" customHeight="1">
      <c r="A329" s="171" t="s">
        <v>484</v>
      </c>
      <c r="B329" s="175">
        <v>46030</v>
      </c>
      <c r="C329" s="171" t="s">
        <v>127</v>
      </c>
      <c r="D329" s="171" t="s">
        <v>129</v>
      </c>
      <c r="E329" s="171" t="s">
        <v>41</v>
      </c>
      <c r="F329" s="171" t="s">
        <v>138</v>
      </c>
      <c r="G329" s="171" t="s">
        <v>112</v>
      </c>
      <c r="H329" s="176">
        <v>1</v>
      </c>
      <c r="I329" s="177">
        <v>1687</v>
      </c>
      <c r="J329" s="175">
        <v>46028</v>
      </c>
      <c r="K329" s="171" t="s">
        <v>113</v>
      </c>
      <c r="L329" s="171" t="s">
        <v>114</v>
      </c>
      <c r="M329" s="178">
        <v>0</v>
      </c>
      <c r="N329" s="176"/>
      <c r="O329" s="176"/>
      <c r="P329" s="179">
        <v>5.8</v>
      </c>
    </row>
    <row r="330" spans="1:16" ht="19.5" customHeight="1">
      <c r="A330" s="171" t="s">
        <v>484</v>
      </c>
      <c r="B330" s="175">
        <v>46030</v>
      </c>
      <c r="C330" s="171" t="s">
        <v>127</v>
      </c>
      <c r="D330" s="171" t="s">
        <v>130</v>
      </c>
      <c r="E330" s="171" t="s">
        <v>41</v>
      </c>
      <c r="F330" s="171" t="s">
        <v>138</v>
      </c>
      <c r="G330" s="171" t="s">
        <v>112</v>
      </c>
      <c r="H330" s="176">
        <v>1</v>
      </c>
      <c r="I330" s="177">
        <v>1687</v>
      </c>
      <c r="J330" s="175">
        <v>46028</v>
      </c>
      <c r="K330" s="171" t="s">
        <v>113</v>
      </c>
      <c r="L330" s="171" t="s">
        <v>114</v>
      </c>
      <c r="M330" s="178">
        <v>0</v>
      </c>
      <c r="N330" s="176"/>
      <c r="O330" s="176"/>
      <c r="P330" s="179">
        <v>1101.2</v>
      </c>
    </row>
    <row r="331" spans="1:16" ht="19.5" customHeight="1">
      <c r="A331" s="171" t="s">
        <v>484</v>
      </c>
      <c r="B331" s="175">
        <v>46030</v>
      </c>
      <c r="C331" s="171" t="s">
        <v>131</v>
      </c>
      <c r="D331" s="171" t="s">
        <v>132</v>
      </c>
      <c r="E331" s="171" t="s">
        <v>41</v>
      </c>
      <c r="F331" s="171" t="s">
        <v>138</v>
      </c>
      <c r="G331" s="171" t="s">
        <v>112</v>
      </c>
      <c r="H331" s="176">
        <v>1</v>
      </c>
      <c r="I331" s="177">
        <v>1687</v>
      </c>
      <c r="J331" s="175">
        <v>46028</v>
      </c>
      <c r="K331" s="171" t="s">
        <v>113</v>
      </c>
      <c r="L331" s="171" t="s">
        <v>114</v>
      </c>
      <c r="M331" s="178">
        <v>0.43</v>
      </c>
      <c r="N331" s="176"/>
      <c r="O331" s="176"/>
      <c r="P331" s="179">
        <v>-725.41</v>
      </c>
    </row>
    <row r="332" spans="1:16" ht="19.5" customHeight="1">
      <c r="A332" s="171" t="s">
        <v>485</v>
      </c>
      <c r="B332" s="175">
        <v>46030</v>
      </c>
      <c r="C332" s="171" t="s">
        <v>110</v>
      </c>
      <c r="D332" s="171" t="s">
        <v>24</v>
      </c>
      <c r="E332" s="171" t="s">
        <v>38</v>
      </c>
      <c r="F332" s="171" t="s">
        <v>111</v>
      </c>
      <c r="G332" s="171" t="s">
        <v>112</v>
      </c>
      <c r="H332" s="176">
        <v>1</v>
      </c>
      <c r="I332" s="177">
        <v>1704</v>
      </c>
      <c r="J332" s="175">
        <v>46024</v>
      </c>
      <c r="K332" s="171" t="s">
        <v>113</v>
      </c>
      <c r="L332" s="171" t="s">
        <v>114</v>
      </c>
      <c r="M332" s="178">
        <v>0.43</v>
      </c>
      <c r="N332" s="176"/>
      <c r="O332" s="176">
        <v>39</v>
      </c>
      <c r="P332" s="179">
        <v>-108.98</v>
      </c>
    </row>
    <row r="333" spans="1:16" ht="19.5" customHeight="1">
      <c r="A333" s="171" t="s">
        <v>485</v>
      </c>
      <c r="B333" s="175">
        <v>46030</v>
      </c>
      <c r="C333" s="171" t="s">
        <v>127</v>
      </c>
      <c r="D333" s="171" t="s">
        <v>128</v>
      </c>
      <c r="E333" s="171" t="s">
        <v>38</v>
      </c>
      <c r="F333" s="171" t="s">
        <v>111</v>
      </c>
      <c r="G333" s="171" t="s">
        <v>112</v>
      </c>
      <c r="H333" s="176">
        <v>1</v>
      </c>
      <c r="I333" s="177">
        <v>1704</v>
      </c>
      <c r="J333" s="175">
        <v>46024</v>
      </c>
      <c r="K333" s="171" t="s">
        <v>113</v>
      </c>
      <c r="L333" s="171" t="s">
        <v>114</v>
      </c>
      <c r="M333" s="178">
        <v>0</v>
      </c>
      <c r="N333" s="176"/>
      <c r="O333" s="176"/>
      <c r="P333" s="179">
        <v>585.16</v>
      </c>
    </row>
    <row r="334" spans="1:16" ht="19.5" customHeight="1">
      <c r="A334" s="171" t="s">
        <v>485</v>
      </c>
      <c r="B334" s="175">
        <v>46030</v>
      </c>
      <c r="C334" s="171" t="s">
        <v>127</v>
      </c>
      <c r="D334" s="171" t="s">
        <v>129</v>
      </c>
      <c r="E334" s="171" t="s">
        <v>38</v>
      </c>
      <c r="F334" s="171" t="s">
        <v>111</v>
      </c>
      <c r="G334" s="171" t="s">
        <v>112</v>
      </c>
      <c r="H334" s="176">
        <v>1</v>
      </c>
      <c r="I334" s="177">
        <v>1704</v>
      </c>
      <c r="J334" s="175">
        <v>46024</v>
      </c>
      <c r="K334" s="171" t="s">
        <v>113</v>
      </c>
      <c r="L334" s="171" t="s">
        <v>114</v>
      </c>
      <c r="M334" s="178">
        <v>0</v>
      </c>
      <c r="N334" s="176"/>
      <c r="O334" s="176"/>
      <c r="P334" s="179">
        <v>5.85</v>
      </c>
    </row>
    <row r="335" spans="1:16" ht="19.5" customHeight="1">
      <c r="A335" s="171" t="s">
        <v>485</v>
      </c>
      <c r="B335" s="175">
        <v>46030</v>
      </c>
      <c r="C335" s="171" t="s">
        <v>127</v>
      </c>
      <c r="D335" s="171" t="s">
        <v>130</v>
      </c>
      <c r="E335" s="171" t="s">
        <v>38</v>
      </c>
      <c r="F335" s="171" t="s">
        <v>111</v>
      </c>
      <c r="G335" s="171" t="s">
        <v>112</v>
      </c>
      <c r="H335" s="176">
        <v>1</v>
      </c>
      <c r="I335" s="177">
        <v>1704</v>
      </c>
      <c r="J335" s="175">
        <v>46024</v>
      </c>
      <c r="K335" s="171" t="s">
        <v>113</v>
      </c>
      <c r="L335" s="171" t="s">
        <v>114</v>
      </c>
      <c r="M335" s="178">
        <v>0</v>
      </c>
      <c r="N335" s="176"/>
      <c r="O335" s="176"/>
      <c r="P335" s="179">
        <v>1112.99</v>
      </c>
    </row>
    <row r="336" spans="1:16" ht="19.5" customHeight="1">
      <c r="A336" s="171" t="s">
        <v>485</v>
      </c>
      <c r="B336" s="175">
        <v>46030</v>
      </c>
      <c r="C336" s="171" t="s">
        <v>131</v>
      </c>
      <c r="D336" s="171" t="s">
        <v>132</v>
      </c>
      <c r="E336" s="171" t="s">
        <v>38</v>
      </c>
      <c r="F336" s="171" t="s">
        <v>111</v>
      </c>
      <c r="G336" s="171" t="s">
        <v>112</v>
      </c>
      <c r="H336" s="176">
        <v>1</v>
      </c>
      <c r="I336" s="177">
        <v>1704</v>
      </c>
      <c r="J336" s="175">
        <v>46024</v>
      </c>
      <c r="K336" s="171" t="s">
        <v>113</v>
      </c>
      <c r="L336" s="171" t="s">
        <v>114</v>
      </c>
      <c r="M336" s="178">
        <v>0.43</v>
      </c>
      <c r="N336" s="176"/>
      <c r="O336" s="176"/>
      <c r="P336" s="179">
        <v>-732.72</v>
      </c>
    </row>
    <row r="337" spans="1:16" ht="19.5" customHeight="1">
      <c r="A337" s="171" t="s">
        <v>485</v>
      </c>
      <c r="B337" s="175">
        <v>46030</v>
      </c>
      <c r="C337" s="171" t="s">
        <v>115</v>
      </c>
      <c r="D337" s="171" t="s">
        <v>116</v>
      </c>
      <c r="E337" s="171" t="s">
        <v>38</v>
      </c>
      <c r="F337" s="171" t="s">
        <v>111</v>
      </c>
      <c r="G337" s="171" t="s">
        <v>112</v>
      </c>
      <c r="H337" s="176">
        <v>1</v>
      </c>
      <c r="I337" s="177">
        <v>1704</v>
      </c>
      <c r="J337" s="175">
        <v>46024</v>
      </c>
      <c r="K337" s="171" t="s">
        <v>113</v>
      </c>
      <c r="L337" s="171" t="s">
        <v>114</v>
      </c>
      <c r="M337" s="178">
        <v>0.43</v>
      </c>
      <c r="N337" s="176"/>
      <c r="O337" s="176"/>
      <c r="P337" s="179">
        <v>-6.82</v>
      </c>
    </row>
    <row r="338" spans="1:16" ht="19.5" customHeight="1">
      <c r="A338" s="171" t="s">
        <v>485</v>
      </c>
      <c r="B338" s="175">
        <v>46030</v>
      </c>
      <c r="C338" s="171" t="s">
        <v>115</v>
      </c>
      <c r="D338" s="171" t="s">
        <v>135</v>
      </c>
      <c r="E338" s="171" t="s">
        <v>38</v>
      </c>
      <c r="F338" s="171" t="s">
        <v>111</v>
      </c>
      <c r="G338" s="171" t="s">
        <v>112</v>
      </c>
      <c r="H338" s="176">
        <v>1</v>
      </c>
      <c r="I338" s="177">
        <v>0</v>
      </c>
      <c r="J338" s="175">
        <v>46024</v>
      </c>
      <c r="K338" s="171" t="s">
        <v>125</v>
      </c>
      <c r="L338" s="171" t="s">
        <v>125</v>
      </c>
      <c r="M338" s="178">
        <v>0</v>
      </c>
      <c r="N338" s="176"/>
      <c r="O338" s="176"/>
      <c r="P338" s="179">
        <v>-11.12</v>
      </c>
    </row>
    <row r="339" spans="1:16" ht="19.5" customHeight="1">
      <c r="A339" s="171" t="s">
        <v>486</v>
      </c>
      <c r="B339" s="175">
        <v>46030</v>
      </c>
      <c r="C339" s="171" t="s">
        <v>110</v>
      </c>
      <c r="D339" s="171" t="s">
        <v>24</v>
      </c>
      <c r="E339" s="171" t="s">
        <v>44</v>
      </c>
      <c r="F339" s="171" t="s">
        <v>213</v>
      </c>
      <c r="G339" s="171" t="s">
        <v>214</v>
      </c>
      <c r="H339" s="176">
        <v>1</v>
      </c>
      <c r="I339" s="177">
        <v>0</v>
      </c>
      <c r="J339" s="175">
        <v>46006</v>
      </c>
      <c r="K339" s="171" t="s">
        <v>113</v>
      </c>
      <c r="L339" s="171" t="s">
        <v>114</v>
      </c>
      <c r="M339" s="178">
        <v>0</v>
      </c>
      <c r="N339" s="176"/>
      <c r="O339" s="176">
        <v>38</v>
      </c>
      <c r="P339" s="179">
        <v>-46</v>
      </c>
    </row>
    <row r="340" spans="1:16" ht="19.5" customHeight="1">
      <c r="A340" s="171" t="s">
        <v>486</v>
      </c>
      <c r="B340" s="175">
        <v>46030</v>
      </c>
      <c r="C340" s="171" t="s">
        <v>115</v>
      </c>
      <c r="D340" s="171" t="s">
        <v>116</v>
      </c>
      <c r="E340" s="171" t="s">
        <v>44</v>
      </c>
      <c r="F340" s="171" t="s">
        <v>213</v>
      </c>
      <c r="G340" s="171" t="s">
        <v>214</v>
      </c>
      <c r="H340" s="176">
        <v>1</v>
      </c>
      <c r="I340" s="177">
        <v>0</v>
      </c>
      <c r="J340" s="175">
        <v>46006</v>
      </c>
      <c r="K340" s="171" t="s">
        <v>113</v>
      </c>
      <c r="L340" s="171" t="s">
        <v>114</v>
      </c>
      <c r="M340" s="178">
        <v>0</v>
      </c>
      <c r="N340" s="176"/>
      <c r="O340" s="176"/>
      <c r="P340" s="179">
        <v>-6.92</v>
      </c>
    </row>
    <row r="341" spans="1:16" ht="19.5" customHeight="1">
      <c r="A341" s="171" t="s">
        <v>486</v>
      </c>
      <c r="B341" s="175">
        <v>46030</v>
      </c>
      <c r="C341" s="171" t="s">
        <v>110</v>
      </c>
      <c r="D341" s="171" t="s">
        <v>117</v>
      </c>
      <c r="E341" s="171" t="s">
        <v>44</v>
      </c>
      <c r="F341" s="171" t="s">
        <v>213</v>
      </c>
      <c r="G341" s="171" t="s">
        <v>214</v>
      </c>
      <c r="H341" s="176">
        <v>1</v>
      </c>
      <c r="I341" s="177">
        <v>0</v>
      </c>
      <c r="J341" s="175">
        <v>46006</v>
      </c>
      <c r="K341" s="171" t="s">
        <v>113</v>
      </c>
      <c r="L341" s="171" t="s">
        <v>114</v>
      </c>
      <c r="M341" s="178">
        <v>0</v>
      </c>
      <c r="N341" s="176"/>
      <c r="O341" s="176"/>
      <c r="P341" s="179">
        <v>0</v>
      </c>
    </row>
    <row r="342" spans="1:16" ht="19.5" customHeight="1">
      <c r="A342" s="171" t="s">
        <v>486</v>
      </c>
      <c r="B342" s="175">
        <v>46030</v>
      </c>
      <c r="C342" s="171" t="s">
        <v>110</v>
      </c>
      <c r="D342" s="171" t="s">
        <v>118</v>
      </c>
      <c r="E342" s="171" t="s">
        <v>44</v>
      </c>
      <c r="F342" s="171" t="s">
        <v>213</v>
      </c>
      <c r="G342" s="171" t="s">
        <v>214</v>
      </c>
      <c r="H342" s="176">
        <v>1</v>
      </c>
      <c r="I342" s="177">
        <v>0</v>
      </c>
      <c r="J342" s="175">
        <v>46006</v>
      </c>
      <c r="K342" s="171" t="s">
        <v>113</v>
      </c>
      <c r="L342" s="171" t="s">
        <v>114</v>
      </c>
      <c r="M342" s="178">
        <v>0</v>
      </c>
      <c r="N342" s="176"/>
      <c r="O342" s="176"/>
      <c r="P342" s="179">
        <v>-46</v>
      </c>
    </row>
    <row r="343" spans="1:16" ht="19.5" customHeight="1">
      <c r="A343" s="171" t="s">
        <v>487</v>
      </c>
      <c r="B343" s="175">
        <v>46030</v>
      </c>
      <c r="C343" s="171" t="s">
        <v>110</v>
      </c>
      <c r="D343" s="171" t="s">
        <v>24</v>
      </c>
      <c r="E343" s="171" t="s">
        <v>50</v>
      </c>
      <c r="F343" s="171" t="s">
        <v>413</v>
      </c>
      <c r="G343" s="171" t="s">
        <v>112</v>
      </c>
      <c r="H343" s="176">
        <v>1</v>
      </c>
      <c r="I343" s="177">
        <v>1335</v>
      </c>
      <c r="J343" s="175">
        <v>46027</v>
      </c>
      <c r="K343" s="171" t="s">
        <v>113</v>
      </c>
      <c r="L343" s="171" t="s">
        <v>114</v>
      </c>
      <c r="M343" s="178">
        <v>0.43</v>
      </c>
      <c r="N343" s="176"/>
      <c r="O343" s="176">
        <v>41</v>
      </c>
      <c r="P343" s="179">
        <v>-108.08</v>
      </c>
    </row>
    <row r="344" spans="1:16" ht="19.5" customHeight="1">
      <c r="A344" s="171" t="s">
        <v>487</v>
      </c>
      <c r="B344" s="175">
        <v>46030</v>
      </c>
      <c r="C344" s="171" t="s">
        <v>127</v>
      </c>
      <c r="D344" s="171" t="s">
        <v>128</v>
      </c>
      <c r="E344" s="171" t="s">
        <v>50</v>
      </c>
      <c r="F344" s="171" t="s">
        <v>413</v>
      </c>
      <c r="G344" s="171" t="s">
        <v>112</v>
      </c>
      <c r="H344" s="176">
        <v>1</v>
      </c>
      <c r="I344" s="177">
        <v>1335</v>
      </c>
      <c r="J344" s="175">
        <v>46027</v>
      </c>
      <c r="K344" s="171" t="s">
        <v>113</v>
      </c>
      <c r="L344" s="171" t="s">
        <v>114</v>
      </c>
      <c r="M344" s="178">
        <v>0</v>
      </c>
      <c r="N344" s="176"/>
      <c r="O344" s="176"/>
      <c r="P344" s="179">
        <v>644.76</v>
      </c>
    </row>
    <row r="345" spans="1:16" ht="19.5" customHeight="1">
      <c r="A345" s="171" t="s">
        <v>487</v>
      </c>
      <c r="B345" s="175">
        <v>46030</v>
      </c>
      <c r="C345" s="171" t="s">
        <v>127</v>
      </c>
      <c r="D345" s="171" t="s">
        <v>129</v>
      </c>
      <c r="E345" s="171" t="s">
        <v>50</v>
      </c>
      <c r="F345" s="171" t="s">
        <v>413</v>
      </c>
      <c r="G345" s="171" t="s">
        <v>112</v>
      </c>
      <c r="H345" s="176">
        <v>1</v>
      </c>
      <c r="I345" s="177">
        <v>1335</v>
      </c>
      <c r="J345" s="175">
        <v>46027</v>
      </c>
      <c r="K345" s="171" t="s">
        <v>113</v>
      </c>
      <c r="L345" s="171" t="s">
        <v>114</v>
      </c>
      <c r="M345" s="178">
        <v>0</v>
      </c>
      <c r="N345" s="176"/>
      <c r="O345" s="176"/>
      <c r="P345" s="179">
        <v>6.45</v>
      </c>
    </row>
    <row r="346" spans="1:16" ht="19.5" customHeight="1">
      <c r="A346" s="171" t="s">
        <v>487</v>
      </c>
      <c r="B346" s="175">
        <v>46030</v>
      </c>
      <c r="C346" s="171" t="s">
        <v>127</v>
      </c>
      <c r="D346" s="171" t="s">
        <v>130</v>
      </c>
      <c r="E346" s="171" t="s">
        <v>50</v>
      </c>
      <c r="F346" s="171" t="s">
        <v>413</v>
      </c>
      <c r="G346" s="171" t="s">
        <v>112</v>
      </c>
      <c r="H346" s="176">
        <v>1</v>
      </c>
      <c r="I346" s="177">
        <v>1335</v>
      </c>
      <c r="J346" s="175">
        <v>46027</v>
      </c>
      <c r="K346" s="171" t="s">
        <v>113</v>
      </c>
      <c r="L346" s="171" t="s">
        <v>114</v>
      </c>
      <c r="M346" s="178">
        <v>0</v>
      </c>
      <c r="N346" s="176"/>
      <c r="O346" s="176"/>
      <c r="P346" s="179">
        <v>683.79</v>
      </c>
    </row>
    <row r="347" spans="1:16" ht="19.5" customHeight="1">
      <c r="A347" s="171" t="s">
        <v>487</v>
      </c>
      <c r="B347" s="175">
        <v>46030</v>
      </c>
      <c r="C347" s="171" t="s">
        <v>131</v>
      </c>
      <c r="D347" s="171" t="s">
        <v>132</v>
      </c>
      <c r="E347" s="171" t="s">
        <v>50</v>
      </c>
      <c r="F347" s="171" t="s">
        <v>413</v>
      </c>
      <c r="G347" s="171" t="s">
        <v>112</v>
      </c>
      <c r="H347" s="176">
        <v>1</v>
      </c>
      <c r="I347" s="177">
        <v>1335</v>
      </c>
      <c r="J347" s="175">
        <v>46027</v>
      </c>
      <c r="K347" s="171" t="s">
        <v>113</v>
      </c>
      <c r="L347" s="171" t="s">
        <v>114</v>
      </c>
      <c r="M347" s="178">
        <v>0.43</v>
      </c>
      <c r="N347" s="176"/>
      <c r="O347" s="176"/>
      <c r="P347" s="179">
        <v>-574.04999999999995</v>
      </c>
    </row>
    <row r="348" spans="1:16" ht="19.5" customHeight="1">
      <c r="A348" s="171" t="s">
        <v>487</v>
      </c>
      <c r="B348" s="175">
        <v>46030</v>
      </c>
      <c r="C348" s="171" t="s">
        <v>115</v>
      </c>
      <c r="D348" s="171" t="s">
        <v>116</v>
      </c>
      <c r="E348" s="171" t="s">
        <v>50</v>
      </c>
      <c r="F348" s="171" t="s">
        <v>413</v>
      </c>
      <c r="G348" s="171" t="s">
        <v>112</v>
      </c>
      <c r="H348" s="176">
        <v>1</v>
      </c>
      <c r="I348" s="177">
        <v>1335</v>
      </c>
      <c r="J348" s="175">
        <v>46027</v>
      </c>
      <c r="K348" s="171" t="s">
        <v>113</v>
      </c>
      <c r="L348" s="171" t="s">
        <v>114</v>
      </c>
      <c r="M348" s="178">
        <v>0.43</v>
      </c>
      <c r="N348" s="176"/>
      <c r="O348" s="176"/>
      <c r="P348" s="179">
        <v>-9.23</v>
      </c>
    </row>
    <row r="349" spans="1:16" ht="19.5" customHeight="1">
      <c r="A349" s="171" t="s">
        <v>488</v>
      </c>
      <c r="B349" s="175">
        <v>46030</v>
      </c>
      <c r="C349" s="171" t="s">
        <v>110</v>
      </c>
      <c r="D349" s="171" t="s">
        <v>24</v>
      </c>
      <c r="E349" s="171" t="s">
        <v>48</v>
      </c>
      <c r="F349" s="171" t="s">
        <v>198</v>
      </c>
      <c r="G349" s="171" t="s">
        <v>112</v>
      </c>
      <c r="H349" s="176">
        <v>1</v>
      </c>
      <c r="I349" s="177">
        <v>1387</v>
      </c>
      <c r="J349" s="175">
        <v>46027</v>
      </c>
      <c r="K349" s="171" t="s">
        <v>113</v>
      </c>
      <c r="L349" s="171" t="s">
        <v>114</v>
      </c>
      <c r="M349" s="178">
        <v>0.43</v>
      </c>
      <c r="N349" s="176"/>
      <c r="O349" s="176">
        <v>41</v>
      </c>
      <c r="P349" s="179">
        <v>-109.48</v>
      </c>
    </row>
    <row r="350" spans="1:16" ht="19.5" customHeight="1">
      <c r="A350" s="171" t="s">
        <v>488</v>
      </c>
      <c r="B350" s="175">
        <v>46030</v>
      </c>
      <c r="C350" s="171" t="s">
        <v>127</v>
      </c>
      <c r="D350" s="171" t="s">
        <v>128</v>
      </c>
      <c r="E350" s="171" t="s">
        <v>48</v>
      </c>
      <c r="F350" s="171" t="s">
        <v>198</v>
      </c>
      <c r="G350" s="171" t="s">
        <v>112</v>
      </c>
      <c r="H350" s="176">
        <v>1</v>
      </c>
      <c r="I350" s="177">
        <v>1387</v>
      </c>
      <c r="J350" s="175">
        <v>46027</v>
      </c>
      <c r="K350" s="171" t="s">
        <v>113</v>
      </c>
      <c r="L350" s="171" t="s">
        <v>114</v>
      </c>
      <c r="M350" s="178">
        <v>0</v>
      </c>
      <c r="N350" s="176"/>
      <c r="O350" s="176"/>
      <c r="P350" s="179">
        <v>673.33</v>
      </c>
    </row>
    <row r="351" spans="1:16" ht="19.5" customHeight="1">
      <c r="A351" s="171" t="s">
        <v>488</v>
      </c>
      <c r="B351" s="175">
        <v>46030</v>
      </c>
      <c r="C351" s="171" t="s">
        <v>127</v>
      </c>
      <c r="D351" s="171" t="s">
        <v>129</v>
      </c>
      <c r="E351" s="171" t="s">
        <v>48</v>
      </c>
      <c r="F351" s="171" t="s">
        <v>198</v>
      </c>
      <c r="G351" s="171" t="s">
        <v>112</v>
      </c>
      <c r="H351" s="176">
        <v>1</v>
      </c>
      <c r="I351" s="177">
        <v>1387</v>
      </c>
      <c r="J351" s="175">
        <v>46027</v>
      </c>
      <c r="K351" s="171" t="s">
        <v>113</v>
      </c>
      <c r="L351" s="171" t="s">
        <v>114</v>
      </c>
      <c r="M351" s="178">
        <v>0</v>
      </c>
      <c r="N351" s="176"/>
      <c r="O351" s="176"/>
      <c r="P351" s="179">
        <v>6.73</v>
      </c>
    </row>
    <row r="352" spans="1:16" ht="19.5" customHeight="1">
      <c r="A352" s="171" t="s">
        <v>488</v>
      </c>
      <c r="B352" s="175">
        <v>46030</v>
      </c>
      <c r="C352" s="171" t="s">
        <v>127</v>
      </c>
      <c r="D352" s="171" t="s">
        <v>130</v>
      </c>
      <c r="E352" s="171" t="s">
        <v>48</v>
      </c>
      <c r="F352" s="171" t="s">
        <v>198</v>
      </c>
      <c r="G352" s="171" t="s">
        <v>112</v>
      </c>
      <c r="H352" s="176">
        <v>1</v>
      </c>
      <c r="I352" s="177">
        <v>1387</v>
      </c>
      <c r="J352" s="175">
        <v>46027</v>
      </c>
      <c r="K352" s="171" t="s">
        <v>113</v>
      </c>
      <c r="L352" s="171" t="s">
        <v>114</v>
      </c>
      <c r="M352" s="178">
        <v>0</v>
      </c>
      <c r="N352" s="176"/>
      <c r="O352" s="176"/>
      <c r="P352" s="179">
        <v>706.94</v>
      </c>
    </row>
    <row r="353" spans="1:16" ht="19.5" customHeight="1">
      <c r="A353" s="171" t="s">
        <v>488</v>
      </c>
      <c r="B353" s="175">
        <v>46030</v>
      </c>
      <c r="C353" s="171" t="s">
        <v>131</v>
      </c>
      <c r="D353" s="171" t="s">
        <v>132</v>
      </c>
      <c r="E353" s="171" t="s">
        <v>48</v>
      </c>
      <c r="F353" s="171" t="s">
        <v>198</v>
      </c>
      <c r="G353" s="171" t="s">
        <v>112</v>
      </c>
      <c r="H353" s="176">
        <v>1</v>
      </c>
      <c r="I353" s="177">
        <v>1387</v>
      </c>
      <c r="J353" s="175">
        <v>46027</v>
      </c>
      <c r="K353" s="171" t="s">
        <v>113</v>
      </c>
      <c r="L353" s="171" t="s">
        <v>114</v>
      </c>
      <c r="M353" s="178">
        <v>0.43</v>
      </c>
      <c r="N353" s="176"/>
      <c r="O353" s="176"/>
      <c r="P353" s="179">
        <v>-596.41</v>
      </c>
    </row>
    <row r="354" spans="1:16" ht="19.5" customHeight="1">
      <c r="A354" s="171" t="s">
        <v>488</v>
      </c>
      <c r="B354" s="175">
        <v>46030</v>
      </c>
      <c r="C354" s="171" t="s">
        <v>115</v>
      </c>
      <c r="D354" s="171" t="s">
        <v>116</v>
      </c>
      <c r="E354" s="171" t="s">
        <v>48</v>
      </c>
      <c r="F354" s="171" t="s">
        <v>198</v>
      </c>
      <c r="G354" s="171" t="s">
        <v>112</v>
      </c>
      <c r="H354" s="176">
        <v>1</v>
      </c>
      <c r="I354" s="177">
        <v>1387</v>
      </c>
      <c r="J354" s="175">
        <v>46027</v>
      </c>
      <c r="K354" s="171" t="s">
        <v>113</v>
      </c>
      <c r="L354" s="171" t="s">
        <v>114</v>
      </c>
      <c r="M354" s="178">
        <v>0.43</v>
      </c>
      <c r="N354" s="176"/>
      <c r="O354" s="176"/>
      <c r="P354" s="179">
        <v>-9.59</v>
      </c>
    </row>
    <row r="355" spans="1:16" ht="19.5" customHeight="1">
      <c r="A355" s="171" t="s">
        <v>489</v>
      </c>
      <c r="B355" s="175">
        <v>46030</v>
      </c>
      <c r="C355" s="171" t="s">
        <v>110</v>
      </c>
      <c r="D355" s="171" t="s">
        <v>24</v>
      </c>
      <c r="E355" s="171" t="s">
        <v>49</v>
      </c>
      <c r="F355" s="171" t="s">
        <v>490</v>
      </c>
      <c r="G355" s="171" t="s">
        <v>112</v>
      </c>
      <c r="H355" s="176">
        <v>1</v>
      </c>
      <c r="I355" s="177">
        <v>1429</v>
      </c>
      <c r="J355" s="175">
        <v>46022</v>
      </c>
      <c r="K355" s="171" t="s">
        <v>113</v>
      </c>
      <c r="L355" s="171" t="s">
        <v>114</v>
      </c>
      <c r="M355" s="178">
        <v>0.43</v>
      </c>
      <c r="N355" s="176"/>
      <c r="O355" s="176">
        <v>38</v>
      </c>
      <c r="P355" s="179">
        <v>-98.79</v>
      </c>
    </row>
    <row r="356" spans="1:16" ht="19.5" customHeight="1">
      <c r="A356" s="171" t="s">
        <v>489</v>
      </c>
      <c r="B356" s="175">
        <v>46030</v>
      </c>
      <c r="C356" s="171" t="s">
        <v>127</v>
      </c>
      <c r="D356" s="171" t="s">
        <v>128</v>
      </c>
      <c r="E356" s="171" t="s">
        <v>49</v>
      </c>
      <c r="F356" s="171" t="s">
        <v>490</v>
      </c>
      <c r="G356" s="171" t="s">
        <v>112</v>
      </c>
      <c r="H356" s="176">
        <v>1</v>
      </c>
      <c r="I356" s="177">
        <v>1429</v>
      </c>
      <c r="J356" s="175">
        <v>46022</v>
      </c>
      <c r="K356" s="171" t="s">
        <v>113</v>
      </c>
      <c r="L356" s="171" t="s">
        <v>114</v>
      </c>
      <c r="M356" s="178">
        <v>0</v>
      </c>
      <c r="N356" s="176"/>
      <c r="O356" s="176"/>
      <c r="P356" s="179">
        <v>691.43</v>
      </c>
    </row>
    <row r="357" spans="1:16" ht="19.5" customHeight="1">
      <c r="A357" s="171" t="s">
        <v>489</v>
      </c>
      <c r="B357" s="175">
        <v>46030</v>
      </c>
      <c r="C357" s="171" t="s">
        <v>127</v>
      </c>
      <c r="D357" s="171" t="s">
        <v>129</v>
      </c>
      <c r="E357" s="171" t="s">
        <v>49</v>
      </c>
      <c r="F357" s="171" t="s">
        <v>490</v>
      </c>
      <c r="G357" s="171" t="s">
        <v>112</v>
      </c>
      <c r="H357" s="176">
        <v>1</v>
      </c>
      <c r="I357" s="177">
        <v>1429</v>
      </c>
      <c r="J357" s="175">
        <v>46022</v>
      </c>
      <c r="K357" s="171" t="s">
        <v>113</v>
      </c>
      <c r="L357" s="171" t="s">
        <v>114</v>
      </c>
      <c r="M357" s="178">
        <v>0</v>
      </c>
      <c r="N357" s="176"/>
      <c r="O357" s="176"/>
      <c r="P357" s="179">
        <v>6.91</v>
      </c>
    </row>
    <row r="358" spans="1:16" ht="19.5" customHeight="1">
      <c r="A358" s="171" t="s">
        <v>489</v>
      </c>
      <c r="B358" s="175">
        <v>46030</v>
      </c>
      <c r="C358" s="171" t="s">
        <v>127</v>
      </c>
      <c r="D358" s="171" t="s">
        <v>130</v>
      </c>
      <c r="E358" s="171" t="s">
        <v>49</v>
      </c>
      <c r="F358" s="171" t="s">
        <v>490</v>
      </c>
      <c r="G358" s="171" t="s">
        <v>112</v>
      </c>
      <c r="H358" s="176">
        <v>1</v>
      </c>
      <c r="I358" s="177">
        <v>1429</v>
      </c>
      <c r="J358" s="175">
        <v>46022</v>
      </c>
      <c r="K358" s="171" t="s">
        <v>113</v>
      </c>
      <c r="L358" s="171" t="s">
        <v>114</v>
      </c>
      <c r="M358" s="178">
        <v>0</v>
      </c>
      <c r="N358" s="176"/>
      <c r="O358" s="176"/>
      <c r="P358" s="179">
        <v>730.66</v>
      </c>
    </row>
    <row r="359" spans="1:16" ht="19.5" customHeight="1">
      <c r="A359" s="171" t="s">
        <v>489</v>
      </c>
      <c r="B359" s="175">
        <v>46030</v>
      </c>
      <c r="C359" s="171" t="s">
        <v>131</v>
      </c>
      <c r="D359" s="171" t="s">
        <v>132</v>
      </c>
      <c r="E359" s="171" t="s">
        <v>49</v>
      </c>
      <c r="F359" s="171" t="s">
        <v>490</v>
      </c>
      <c r="G359" s="171" t="s">
        <v>112</v>
      </c>
      <c r="H359" s="176">
        <v>1</v>
      </c>
      <c r="I359" s="177">
        <v>1429</v>
      </c>
      <c r="J359" s="175">
        <v>46022</v>
      </c>
      <c r="K359" s="171" t="s">
        <v>113</v>
      </c>
      <c r="L359" s="171" t="s">
        <v>114</v>
      </c>
      <c r="M359" s="178">
        <v>0.43</v>
      </c>
      <c r="N359" s="176"/>
      <c r="O359" s="176"/>
      <c r="P359" s="179">
        <v>-614.47</v>
      </c>
    </row>
    <row r="360" spans="1:16" ht="19.5" customHeight="1">
      <c r="A360" s="171" t="s">
        <v>489</v>
      </c>
      <c r="B360" s="175">
        <v>46030</v>
      </c>
      <c r="C360" s="171" t="s">
        <v>115</v>
      </c>
      <c r="D360" s="171" t="s">
        <v>116</v>
      </c>
      <c r="E360" s="171" t="s">
        <v>49</v>
      </c>
      <c r="F360" s="171" t="s">
        <v>490</v>
      </c>
      <c r="G360" s="171" t="s">
        <v>112</v>
      </c>
      <c r="H360" s="176">
        <v>1</v>
      </c>
      <c r="I360" s="177">
        <v>1429</v>
      </c>
      <c r="J360" s="175">
        <v>46022</v>
      </c>
      <c r="K360" s="171" t="s">
        <v>113</v>
      </c>
      <c r="L360" s="171" t="s">
        <v>114</v>
      </c>
      <c r="M360" s="178">
        <v>0.43</v>
      </c>
      <c r="N360" s="176"/>
      <c r="O360" s="176"/>
      <c r="P360" s="179">
        <v>-10.9</v>
      </c>
    </row>
    <row r="361" spans="1:16" ht="19.5" customHeight="1">
      <c r="A361" s="171" t="s">
        <v>489</v>
      </c>
      <c r="B361" s="175">
        <v>46030</v>
      </c>
      <c r="C361" s="171" t="s">
        <v>115</v>
      </c>
      <c r="D361" s="171" t="s">
        <v>135</v>
      </c>
      <c r="E361" s="171" t="s">
        <v>49</v>
      </c>
      <c r="F361" s="171" t="s">
        <v>490</v>
      </c>
      <c r="G361" s="171" t="s">
        <v>112</v>
      </c>
      <c r="H361" s="176">
        <v>1</v>
      </c>
      <c r="I361" s="177">
        <v>0</v>
      </c>
      <c r="J361" s="175">
        <v>46022</v>
      </c>
      <c r="K361" s="171" t="s">
        <v>125</v>
      </c>
      <c r="L361" s="171" t="s">
        <v>125</v>
      </c>
      <c r="M361" s="178">
        <v>0</v>
      </c>
      <c r="N361" s="176"/>
      <c r="O361" s="176"/>
      <c r="P361" s="179">
        <v>-13.14</v>
      </c>
    </row>
    <row r="362" spans="1:16" ht="19.5" customHeight="1">
      <c r="A362" s="171" t="s">
        <v>186</v>
      </c>
      <c r="B362" s="175">
        <v>46030</v>
      </c>
      <c r="C362" s="171" t="s">
        <v>110</v>
      </c>
      <c r="D362" s="171" t="s">
        <v>24</v>
      </c>
      <c r="E362" s="171" t="s">
        <v>38</v>
      </c>
      <c r="F362" s="171" t="s">
        <v>111</v>
      </c>
      <c r="G362" s="171" t="s">
        <v>112</v>
      </c>
      <c r="H362" s="176">
        <v>1</v>
      </c>
      <c r="I362" s="177">
        <v>1704</v>
      </c>
      <c r="J362" s="175">
        <v>46020</v>
      </c>
      <c r="K362" s="171" t="s">
        <v>113</v>
      </c>
      <c r="L362" s="171" t="s">
        <v>114</v>
      </c>
      <c r="M362" s="178">
        <v>0.43</v>
      </c>
      <c r="N362" s="176"/>
      <c r="O362" s="176">
        <v>38</v>
      </c>
      <c r="P362" s="179">
        <v>-104.84</v>
      </c>
    </row>
    <row r="363" spans="1:16" ht="19.5" customHeight="1">
      <c r="A363" s="171" t="s">
        <v>186</v>
      </c>
      <c r="B363" s="175">
        <v>46030</v>
      </c>
      <c r="C363" s="171" t="s">
        <v>127</v>
      </c>
      <c r="D363" s="171" t="s">
        <v>128</v>
      </c>
      <c r="E363" s="171" t="s">
        <v>38</v>
      </c>
      <c r="F363" s="171" t="s">
        <v>111</v>
      </c>
      <c r="G363" s="171" t="s">
        <v>112</v>
      </c>
      <c r="H363" s="176">
        <v>1</v>
      </c>
      <c r="I363" s="177">
        <v>1704</v>
      </c>
      <c r="J363" s="175">
        <v>46020</v>
      </c>
      <c r="K363" s="171" t="s">
        <v>113</v>
      </c>
      <c r="L363" s="171" t="s">
        <v>114</v>
      </c>
      <c r="M363" s="178">
        <v>0</v>
      </c>
      <c r="N363" s="176"/>
      <c r="O363" s="176"/>
      <c r="P363" s="179">
        <v>582.94000000000005</v>
      </c>
    </row>
    <row r="364" spans="1:16" ht="19.5" customHeight="1">
      <c r="A364" s="171" t="s">
        <v>186</v>
      </c>
      <c r="B364" s="175">
        <v>46030</v>
      </c>
      <c r="C364" s="171" t="s">
        <v>127</v>
      </c>
      <c r="D364" s="171" t="s">
        <v>129</v>
      </c>
      <c r="E364" s="171" t="s">
        <v>38</v>
      </c>
      <c r="F364" s="171" t="s">
        <v>111</v>
      </c>
      <c r="G364" s="171" t="s">
        <v>112</v>
      </c>
      <c r="H364" s="176">
        <v>1</v>
      </c>
      <c r="I364" s="177">
        <v>1704</v>
      </c>
      <c r="J364" s="175">
        <v>46020</v>
      </c>
      <c r="K364" s="171" t="s">
        <v>113</v>
      </c>
      <c r="L364" s="171" t="s">
        <v>114</v>
      </c>
      <c r="M364" s="178">
        <v>0</v>
      </c>
      <c r="N364" s="176"/>
      <c r="O364" s="176"/>
      <c r="P364" s="179">
        <v>5.83</v>
      </c>
    </row>
    <row r="365" spans="1:16" ht="19.5" customHeight="1">
      <c r="A365" s="171" t="s">
        <v>186</v>
      </c>
      <c r="B365" s="175">
        <v>46030</v>
      </c>
      <c r="C365" s="171" t="s">
        <v>127</v>
      </c>
      <c r="D365" s="171" t="s">
        <v>130</v>
      </c>
      <c r="E365" s="171" t="s">
        <v>38</v>
      </c>
      <c r="F365" s="171" t="s">
        <v>111</v>
      </c>
      <c r="G365" s="171" t="s">
        <v>112</v>
      </c>
      <c r="H365" s="176">
        <v>1</v>
      </c>
      <c r="I365" s="177">
        <v>1704</v>
      </c>
      <c r="J365" s="175">
        <v>46020</v>
      </c>
      <c r="K365" s="171" t="s">
        <v>113</v>
      </c>
      <c r="L365" s="171" t="s">
        <v>114</v>
      </c>
      <c r="M365" s="178">
        <v>0</v>
      </c>
      <c r="N365" s="176"/>
      <c r="O365" s="176"/>
      <c r="P365" s="179">
        <v>1115.23</v>
      </c>
    </row>
    <row r="366" spans="1:16" ht="19.5" customHeight="1">
      <c r="A366" s="171" t="s">
        <v>186</v>
      </c>
      <c r="B366" s="175">
        <v>46030</v>
      </c>
      <c r="C366" s="171" t="s">
        <v>131</v>
      </c>
      <c r="D366" s="171" t="s">
        <v>132</v>
      </c>
      <c r="E366" s="171" t="s">
        <v>38</v>
      </c>
      <c r="F366" s="171" t="s">
        <v>111</v>
      </c>
      <c r="G366" s="171" t="s">
        <v>112</v>
      </c>
      <c r="H366" s="176">
        <v>1</v>
      </c>
      <c r="I366" s="177">
        <v>1704</v>
      </c>
      <c r="J366" s="175">
        <v>46020</v>
      </c>
      <c r="K366" s="171" t="s">
        <v>113</v>
      </c>
      <c r="L366" s="171" t="s">
        <v>114</v>
      </c>
      <c r="M366" s="178">
        <v>0.43</v>
      </c>
      <c r="N366" s="176"/>
      <c r="O366" s="176"/>
      <c r="P366" s="179">
        <v>-732.72</v>
      </c>
    </row>
    <row r="367" spans="1:16" ht="19.5" customHeight="1">
      <c r="A367" s="171" t="s">
        <v>186</v>
      </c>
      <c r="B367" s="175">
        <v>46030</v>
      </c>
      <c r="C367" s="171" t="s">
        <v>115</v>
      </c>
      <c r="D367" s="171" t="s">
        <v>116</v>
      </c>
      <c r="E367" s="171" t="s">
        <v>38</v>
      </c>
      <c r="F367" s="171" t="s">
        <v>111</v>
      </c>
      <c r="G367" s="171" t="s">
        <v>112</v>
      </c>
      <c r="H367" s="176">
        <v>1</v>
      </c>
      <c r="I367" s="177">
        <v>1704</v>
      </c>
      <c r="J367" s="175">
        <v>46020</v>
      </c>
      <c r="K367" s="171" t="s">
        <v>113</v>
      </c>
      <c r="L367" s="171" t="s">
        <v>114</v>
      </c>
      <c r="M367" s="178">
        <v>0.43</v>
      </c>
      <c r="N367" s="176"/>
      <c r="O367" s="176"/>
      <c r="P367" s="179">
        <v>-7.95</v>
      </c>
    </row>
    <row r="368" spans="1:16" ht="19.5" customHeight="1">
      <c r="A368" s="171" t="s">
        <v>186</v>
      </c>
      <c r="B368" s="175">
        <v>46030</v>
      </c>
      <c r="C368" s="171" t="s">
        <v>115</v>
      </c>
      <c r="D368" s="171" t="s">
        <v>135</v>
      </c>
      <c r="E368" s="171" t="s">
        <v>38</v>
      </c>
      <c r="F368" s="171" t="s">
        <v>111</v>
      </c>
      <c r="G368" s="171" t="s">
        <v>112</v>
      </c>
      <c r="H368" s="176">
        <v>1</v>
      </c>
      <c r="I368" s="177">
        <v>0</v>
      </c>
      <c r="J368" s="175">
        <v>46020</v>
      </c>
      <c r="K368" s="171" t="s">
        <v>125</v>
      </c>
      <c r="L368" s="171" t="s">
        <v>125</v>
      </c>
      <c r="M368" s="178">
        <v>0</v>
      </c>
      <c r="N368" s="176"/>
      <c r="O368" s="176"/>
      <c r="P368" s="179">
        <v>-11.08</v>
      </c>
    </row>
    <row r="369" spans="1:16" ht="19.5" customHeight="1">
      <c r="A369" s="171" t="s">
        <v>491</v>
      </c>
      <c r="B369" s="175">
        <v>46030</v>
      </c>
      <c r="C369" s="171" t="s">
        <v>110</v>
      </c>
      <c r="D369" s="171" t="s">
        <v>117</v>
      </c>
      <c r="E369" s="171" t="s">
        <v>38</v>
      </c>
      <c r="F369" s="171" t="s">
        <v>111</v>
      </c>
      <c r="G369" s="171" t="s">
        <v>112</v>
      </c>
      <c r="H369" s="176">
        <v>1</v>
      </c>
      <c r="I369" s="177">
        <v>0</v>
      </c>
      <c r="J369" s="175">
        <v>46015</v>
      </c>
      <c r="K369" s="171" t="s">
        <v>113</v>
      </c>
      <c r="L369" s="171" t="s">
        <v>114</v>
      </c>
      <c r="M369" s="178">
        <v>0</v>
      </c>
      <c r="N369" s="176"/>
      <c r="O369" s="176"/>
      <c r="P369" s="179">
        <v>0</v>
      </c>
    </row>
    <row r="370" spans="1:16" ht="19.5" customHeight="1">
      <c r="A370" s="171" t="s">
        <v>491</v>
      </c>
      <c r="B370" s="175">
        <v>46030</v>
      </c>
      <c r="C370" s="171" t="s">
        <v>110</v>
      </c>
      <c r="D370" s="171" t="s">
        <v>118</v>
      </c>
      <c r="E370" s="171" t="s">
        <v>38</v>
      </c>
      <c r="F370" s="171" t="s">
        <v>111</v>
      </c>
      <c r="G370" s="171" t="s">
        <v>112</v>
      </c>
      <c r="H370" s="176">
        <v>1</v>
      </c>
      <c r="I370" s="177">
        <v>0</v>
      </c>
      <c r="J370" s="175">
        <v>46015</v>
      </c>
      <c r="K370" s="171" t="s">
        <v>113</v>
      </c>
      <c r="L370" s="171" t="s">
        <v>114</v>
      </c>
      <c r="M370" s="178">
        <v>0</v>
      </c>
      <c r="N370" s="176"/>
      <c r="O370" s="176"/>
      <c r="P370" s="179">
        <v>-46.77</v>
      </c>
    </row>
    <row r="371" spans="1:16" ht="19.5" customHeight="1">
      <c r="A371" s="171" t="s">
        <v>491</v>
      </c>
      <c r="B371" s="175">
        <v>46030</v>
      </c>
      <c r="C371" s="171" t="s">
        <v>115</v>
      </c>
      <c r="D371" s="171" t="s">
        <v>119</v>
      </c>
      <c r="E371" s="171" t="s">
        <v>38</v>
      </c>
      <c r="F371" s="171" t="s">
        <v>111</v>
      </c>
      <c r="G371" s="171" t="s">
        <v>112</v>
      </c>
      <c r="H371" s="176">
        <v>1</v>
      </c>
      <c r="I371" s="177">
        <v>0</v>
      </c>
      <c r="J371" s="175">
        <v>46015</v>
      </c>
      <c r="K371" s="171" t="s">
        <v>113</v>
      </c>
      <c r="L371" s="171" t="s">
        <v>114</v>
      </c>
      <c r="M371" s="178">
        <v>0</v>
      </c>
      <c r="N371" s="176"/>
      <c r="O371" s="176"/>
      <c r="P371" s="179">
        <v>-15</v>
      </c>
    </row>
    <row r="372" spans="1:16" ht="19.5" customHeight="1">
      <c r="A372" s="171" t="s">
        <v>491</v>
      </c>
      <c r="B372" s="175">
        <v>46030</v>
      </c>
      <c r="C372" s="171" t="s">
        <v>110</v>
      </c>
      <c r="D372" s="171" t="s">
        <v>24</v>
      </c>
      <c r="E372" s="171" t="s">
        <v>38</v>
      </c>
      <c r="F372" s="171" t="s">
        <v>111</v>
      </c>
      <c r="G372" s="171" t="s">
        <v>112</v>
      </c>
      <c r="H372" s="176">
        <v>1</v>
      </c>
      <c r="I372" s="177">
        <v>0</v>
      </c>
      <c r="J372" s="175">
        <v>46015</v>
      </c>
      <c r="K372" s="171" t="s">
        <v>113</v>
      </c>
      <c r="L372" s="171" t="s">
        <v>114</v>
      </c>
      <c r="M372" s="178">
        <v>0</v>
      </c>
      <c r="N372" s="176"/>
      <c r="O372" s="176">
        <v>39</v>
      </c>
      <c r="P372" s="179">
        <v>-46.77</v>
      </c>
    </row>
    <row r="373" spans="1:16" ht="19.5" customHeight="1">
      <c r="A373" s="171" t="s">
        <v>491</v>
      </c>
      <c r="B373" s="175">
        <v>46030</v>
      </c>
      <c r="C373" s="171" t="s">
        <v>115</v>
      </c>
      <c r="D373" s="171" t="s">
        <v>116</v>
      </c>
      <c r="E373" s="171" t="s">
        <v>38</v>
      </c>
      <c r="F373" s="171" t="s">
        <v>111</v>
      </c>
      <c r="G373" s="171" t="s">
        <v>112</v>
      </c>
      <c r="H373" s="176">
        <v>1</v>
      </c>
      <c r="I373" s="177">
        <v>0</v>
      </c>
      <c r="J373" s="175">
        <v>46015</v>
      </c>
      <c r="K373" s="171" t="s">
        <v>113</v>
      </c>
      <c r="L373" s="171" t="s">
        <v>114</v>
      </c>
      <c r="M373" s="178">
        <v>0</v>
      </c>
      <c r="N373" s="176"/>
      <c r="O373" s="176"/>
      <c r="P373" s="179">
        <v>-5.43</v>
      </c>
    </row>
    <row r="374" spans="1:16" ht="19.5" customHeight="1">
      <c r="A374" s="171" t="s">
        <v>492</v>
      </c>
      <c r="B374" s="175">
        <v>46030</v>
      </c>
      <c r="C374" s="171" t="s">
        <v>110</v>
      </c>
      <c r="D374" s="171" t="s">
        <v>24</v>
      </c>
      <c r="E374" s="171" t="s">
        <v>38</v>
      </c>
      <c r="F374" s="171" t="s">
        <v>111</v>
      </c>
      <c r="G374" s="171" t="s">
        <v>112</v>
      </c>
      <c r="H374" s="176">
        <v>1</v>
      </c>
      <c r="I374" s="177">
        <v>0</v>
      </c>
      <c r="J374" s="175">
        <v>46020</v>
      </c>
      <c r="K374" s="171" t="s">
        <v>113</v>
      </c>
      <c r="L374" s="171" t="s">
        <v>114</v>
      </c>
      <c r="M374" s="178">
        <v>0</v>
      </c>
      <c r="N374" s="176"/>
      <c r="O374" s="176">
        <v>38</v>
      </c>
      <c r="P374" s="179">
        <v>-46.77</v>
      </c>
    </row>
    <row r="375" spans="1:16" ht="19.5" customHeight="1">
      <c r="A375" s="171" t="s">
        <v>492</v>
      </c>
      <c r="B375" s="175">
        <v>46030</v>
      </c>
      <c r="C375" s="171" t="s">
        <v>115</v>
      </c>
      <c r="D375" s="171" t="s">
        <v>116</v>
      </c>
      <c r="E375" s="171" t="s">
        <v>38</v>
      </c>
      <c r="F375" s="171" t="s">
        <v>111</v>
      </c>
      <c r="G375" s="171" t="s">
        <v>112</v>
      </c>
      <c r="H375" s="176">
        <v>1</v>
      </c>
      <c r="I375" s="177">
        <v>0</v>
      </c>
      <c r="J375" s="175">
        <v>46020</v>
      </c>
      <c r="K375" s="171" t="s">
        <v>113</v>
      </c>
      <c r="L375" s="171" t="s">
        <v>114</v>
      </c>
      <c r="M375" s="178">
        <v>0</v>
      </c>
      <c r="N375" s="176"/>
      <c r="O375" s="176"/>
      <c r="P375" s="179">
        <v>-21.6</v>
      </c>
    </row>
    <row r="376" spans="1:16" ht="19.5" customHeight="1">
      <c r="A376" s="171" t="s">
        <v>492</v>
      </c>
      <c r="B376" s="175">
        <v>46030</v>
      </c>
      <c r="C376" s="171" t="s">
        <v>110</v>
      </c>
      <c r="D376" s="171" t="s">
        <v>117</v>
      </c>
      <c r="E376" s="171" t="s">
        <v>38</v>
      </c>
      <c r="F376" s="171" t="s">
        <v>111</v>
      </c>
      <c r="G376" s="171" t="s">
        <v>112</v>
      </c>
      <c r="H376" s="176">
        <v>1</v>
      </c>
      <c r="I376" s="177">
        <v>0</v>
      </c>
      <c r="J376" s="175">
        <v>46020</v>
      </c>
      <c r="K376" s="171" t="s">
        <v>113</v>
      </c>
      <c r="L376" s="171" t="s">
        <v>114</v>
      </c>
      <c r="M376" s="178">
        <v>0</v>
      </c>
      <c r="N376" s="176"/>
      <c r="O376" s="176"/>
      <c r="P376" s="179">
        <v>0</v>
      </c>
    </row>
    <row r="377" spans="1:16" ht="19.5" customHeight="1">
      <c r="A377" s="171" t="s">
        <v>492</v>
      </c>
      <c r="B377" s="175">
        <v>46030</v>
      </c>
      <c r="C377" s="171" t="s">
        <v>110</v>
      </c>
      <c r="D377" s="171" t="s">
        <v>118</v>
      </c>
      <c r="E377" s="171" t="s">
        <v>38</v>
      </c>
      <c r="F377" s="171" t="s">
        <v>111</v>
      </c>
      <c r="G377" s="171" t="s">
        <v>112</v>
      </c>
      <c r="H377" s="176">
        <v>1</v>
      </c>
      <c r="I377" s="177">
        <v>0</v>
      </c>
      <c r="J377" s="175">
        <v>46020</v>
      </c>
      <c r="K377" s="171" t="s">
        <v>113</v>
      </c>
      <c r="L377" s="171" t="s">
        <v>114</v>
      </c>
      <c r="M377" s="178">
        <v>0</v>
      </c>
      <c r="N377" s="176"/>
      <c r="O377" s="176"/>
      <c r="P377" s="179">
        <v>-46.77</v>
      </c>
    </row>
    <row r="378" spans="1:16" ht="19.5" customHeight="1">
      <c r="A378" s="171" t="s">
        <v>492</v>
      </c>
      <c r="B378" s="175">
        <v>46030</v>
      </c>
      <c r="C378" s="171" t="s">
        <v>115</v>
      </c>
      <c r="D378" s="171" t="s">
        <v>119</v>
      </c>
      <c r="E378" s="171" t="s">
        <v>38</v>
      </c>
      <c r="F378" s="171" t="s">
        <v>111</v>
      </c>
      <c r="G378" s="171" t="s">
        <v>112</v>
      </c>
      <c r="H378" s="176">
        <v>1</v>
      </c>
      <c r="I378" s="177">
        <v>0</v>
      </c>
      <c r="J378" s="175">
        <v>46020</v>
      </c>
      <c r="K378" s="171" t="s">
        <v>113</v>
      </c>
      <c r="L378" s="171" t="s">
        <v>114</v>
      </c>
      <c r="M378" s="178">
        <v>0</v>
      </c>
      <c r="N378" s="176"/>
      <c r="O378" s="176"/>
      <c r="P378" s="179">
        <v>-15</v>
      </c>
    </row>
    <row r="379" spans="1:16" ht="19.5" customHeight="1">
      <c r="A379" s="171" t="s">
        <v>493</v>
      </c>
      <c r="B379" s="175">
        <v>46030</v>
      </c>
      <c r="C379" s="171" t="s">
        <v>110</v>
      </c>
      <c r="D379" s="171" t="s">
        <v>24</v>
      </c>
      <c r="E379" s="171" t="s">
        <v>42</v>
      </c>
      <c r="F379" s="171" t="s">
        <v>248</v>
      </c>
      <c r="G379" s="171" t="s">
        <v>112</v>
      </c>
      <c r="H379" s="176">
        <v>1</v>
      </c>
      <c r="I379" s="177">
        <v>0</v>
      </c>
      <c r="J379" s="175">
        <v>46020</v>
      </c>
      <c r="K379" s="171" t="s">
        <v>113</v>
      </c>
      <c r="L379" s="171" t="s">
        <v>114</v>
      </c>
      <c r="M379" s="178">
        <v>0</v>
      </c>
      <c r="N379" s="176"/>
      <c r="O379" s="176">
        <v>38</v>
      </c>
      <c r="P379" s="179">
        <v>-46.77</v>
      </c>
    </row>
    <row r="380" spans="1:16" ht="19.5" customHeight="1">
      <c r="A380" s="171" t="s">
        <v>493</v>
      </c>
      <c r="B380" s="175">
        <v>46030</v>
      </c>
      <c r="C380" s="171" t="s">
        <v>115</v>
      </c>
      <c r="D380" s="171" t="s">
        <v>116</v>
      </c>
      <c r="E380" s="171" t="s">
        <v>42</v>
      </c>
      <c r="F380" s="171" t="s">
        <v>248</v>
      </c>
      <c r="G380" s="171" t="s">
        <v>112</v>
      </c>
      <c r="H380" s="176">
        <v>1</v>
      </c>
      <c r="I380" s="177">
        <v>0</v>
      </c>
      <c r="J380" s="175">
        <v>46020</v>
      </c>
      <c r="K380" s="171" t="s">
        <v>113</v>
      </c>
      <c r="L380" s="171" t="s">
        <v>114</v>
      </c>
      <c r="M380" s="178">
        <v>0</v>
      </c>
      <c r="N380" s="176"/>
      <c r="O380" s="176"/>
      <c r="P380" s="179">
        <v>-15.92</v>
      </c>
    </row>
    <row r="381" spans="1:16" ht="19.5" customHeight="1">
      <c r="A381" s="171" t="s">
        <v>493</v>
      </c>
      <c r="B381" s="175">
        <v>46030</v>
      </c>
      <c r="C381" s="171" t="s">
        <v>110</v>
      </c>
      <c r="D381" s="171" t="s">
        <v>117</v>
      </c>
      <c r="E381" s="171" t="s">
        <v>42</v>
      </c>
      <c r="F381" s="171" t="s">
        <v>248</v>
      </c>
      <c r="G381" s="171" t="s">
        <v>112</v>
      </c>
      <c r="H381" s="176">
        <v>1</v>
      </c>
      <c r="I381" s="177">
        <v>0</v>
      </c>
      <c r="J381" s="175">
        <v>46020</v>
      </c>
      <c r="K381" s="171" t="s">
        <v>113</v>
      </c>
      <c r="L381" s="171" t="s">
        <v>114</v>
      </c>
      <c r="M381" s="178">
        <v>0</v>
      </c>
      <c r="N381" s="176"/>
      <c r="O381" s="176"/>
      <c r="P381" s="179">
        <v>0</v>
      </c>
    </row>
    <row r="382" spans="1:16" ht="19.5" customHeight="1">
      <c r="A382" s="171" t="s">
        <v>493</v>
      </c>
      <c r="B382" s="175">
        <v>46030</v>
      </c>
      <c r="C382" s="171" t="s">
        <v>110</v>
      </c>
      <c r="D382" s="171" t="s">
        <v>118</v>
      </c>
      <c r="E382" s="171" t="s">
        <v>42</v>
      </c>
      <c r="F382" s="171" t="s">
        <v>248</v>
      </c>
      <c r="G382" s="171" t="s">
        <v>112</v>
      </c>
      <c r="H382" s="176">
        <v>1</v>
      </c>
      <c r="I382" s="177">
        <v>0</v>
      </c>
      <c r="J382" s="175">
        <v>46020</v>
      </c>
      <c r="K382" s="171" t="s">
        <v>113</v>
      </c>
      <c r="L382" s="171" t="s">
        <v>114</v>
      </c>
      <c r="M382" s="178">
        <v>0</v>
      </c>
      <c r="N382" s="176"/>
      <c r="O382" s="176"/>
      <c r="P382" s="179">
        <v>-46.77</v>
      </c>
    </row>
    <row r="383" spans="1:16" ht="19.5" customHeight="1">
      <c r="A383" s="171" t="s">
        <v>493</v>
      </c>
      <c r="B383" s="175">
        <v>46030</v>
      </c>
      <c r="C383" s="171" t="s">
        <v>115</v>
      </c>
      <c r="D383" s="171" t="s">
        <v>119</v>
      </c>
      <c r="E383" s="171" t="s">
        <v>42</v>
      </c>
      <c r="F383" s="171" t="s">
        <v>248</v>
      </c>
      <c r="G383" s="171" t="s">
        <v>112</v>
      </c>
      <c r="H383" s="176">
        <v>1</v>
      </c>
      <c r="I383" s="177">
        <v>0</v>
      </c>
      <c r="J383" s="175">
        <v>46020</v>
      </c>
      <c r="K383" s="171" t="s">
        <v>113</v>
      </c>
      <c r="L383" s="171" t="s">
        <v>114</v>
      </c>
      <c r="M383" s="178">
        <v>0</v>
      </c>
      <c r="N383" s="176"/>
      <c r="O383" s="176"/>
      <c r="P383" s="179">
        <v>-15</v>
      </c>
    </row>
    <row r="384" spans="1:16" ht="19.5" customHeight="1">
      <c r="A384" s="171" t="s">
        <v>352</v>
      </c>
      <c r="B384" s="175">
        <v>46030</v>
      </c>
      <c r="C384" s="171" t="s">
        <v>151</v>
      </c>
      <c r="D384" s="171" t="s">
        <v>152</v>
      </c>
      <c r="E384" s="171" t="s">
        <v>125</v>
      </c>
      <c r="F384" s="171" t="s">
        <v>125</v>
      </c>
      <c r="G384" s="171" t="s">
        <v>125</v>
      </c>
      <c r="H384" s="176">
        <v>0</v>
      </c>
      <c r="I384" s="177">
        <v>0</v>
      </c>
      <c r="J384" s="175">
        <v>46030</v>
      </c>
      <c r="K384" s="171" t="s">
        <v>125</v>
      </c>
      <c r="L384" s="171" t="s">
        <v>125</v>
      </c>
      <c r="M384" s="178">
        <v>0</v>
      </c>
      <c r="N384" s="176"/>
      <c r="O384" s="176"/>
      <c r="P384" s="179">
        <v>-209.91</v>
      </c>
    </row>
    <row r="385" spans="1:16" ht="19.5" customHeight="1">
      <c r="A385" s="171" t="s">
        <v>349</v>
      </c>
      <c r="B385" s="175">
        <v>46030</v>
      </c>
      <c r="C385" s="171" t="s">
        <v>151</v>
      </c>
      <c r="D385" s="171" t="s">
        <v>152</v>
      </c>
      <c r="E385" s="171" t="s">
        <v>125</v>
      </c>
      <c r="F385" s="171" t="s">
        <v>125</v>
      </c>
      <c r="G385" s="171" t="s">
        <v>125</v>
      </c>
      <c r="H385" s="176">
        <v>0</v>
      </c>
      <c r="I385" s="177">
        <v>0</v>
      </c>
      <c r="J385" s="175">
        <v>46030</v>
      </c>
      <c r="K385" s="171" t="s">
        <v>125</v>
      </c>
      <c r="L385" s="171" t="s">
        <v>125</v>
      </c>
      <c r="M385" s="178">
        <v>0</v>
      </c>
      <c r="N385" s="176"/>
      <c r="O385" s="176"/>
      <c r="P385" s="179">
        <v>-130.62</v>
      </c>
    </row>
    <row r="386" spans="1:16" ht="19.5" customHeight="1">
      <c r="A386" s="171" t="s">
        <v>155</v>
      </c>
      <c r="B386" s="175">
        <v>46030</v>
      </c>
      <c r="C386" s="171" t="s">
        <v>151</v>
      </c>
      <c r="D386" s="171" t="s">
        <v>156</v>
      </c>
      <c r="E386" s="171" t="s">
        <v>125</v>
      </c>
      <c r="F386" s="171" t="s">
        <v>125</v>
      </c>
      <c r="G386" s="171" t="s">
        <v>125</v>
      </c>
      <c r="H386" s="176">
        <v>0</v>
      </c>
      <c r="I386" s="177">
        <v>0</v>
      </c>
      <c r="J386" s="175">
        <v>46030</v>
      </c>
      <c r="K386" s="171" t="s">
        <v>125</v>
      </c>
      <c r="L386" s="171" t="s">
        <v>125</v>
      </c>
      <c r="M386" s="178">
        <v>0</v>
      </c>
      <c r="N386" s="176"/>
      <c r="O386" s="176"/>
      <c r="P386" s="179">
        <v>-1022.4</v>
      </c>
    </row>
    <row r="387" spans="1:16" ht="19.5" customHeight="1">
      <c r="A387" s="171" t="s">
        <v>150</v>
      </c>
      <c r="B387" s="175">
        <v>46030</v>
      </c>
      <c r="C387" s="171" t="s">
        <v>151</v>
      </c>
      <c r="D387" s="171" t="s">
        <v>152</v>
      </c>
      <c r="E387" s="171" t="s">
        <v>125</v>
      </c>
      <c r="F387" s="171" t="s">
        <v>125</v>
      </c>
      <c r="G387" s="171" t="s">
        <v>125</v>
      </c>
      <c r="H387" s="176">
        <v>0</v>
      </c>
      <c r="I387" s="177">
        <v>0</v>
      </c>
      <c r="J387" s="175">
        <v>46030</v>
      </c>
      <c r="K387" s="171" t="s">
        <v>125</v>
      </c>
      <c r="L387" s="171" t="s">
        <v>125</v>
      </c>
      <c r="M387" s="178">
        <v>0</v>
      </c>
      <c r="N387" s="176"/>
      <c r="O387" s="176"/>
      <c r="P387" s="179">
        <v>-460.27</v>
      </c>
    </row>
    <row r="388" spans="1:16" ht="19.5" customHeight="1">
      <c r="A388" s="171" t="s">
        <v>448</v>
      </c>
      <c r="B388" s="175">
        <v>46030</v>
      </c>
      <c r="C388" s="171" t="s">
        <v>151</v>
      </c>
      <c r="D388" s="171" t="s">
        <v>152</v>
      </c>
      <c r="E388" s="171" t="s">
        <v>125</v>
      </c>
      <c r="F388" s="171" t="s">
        <v>125</v>
      </c>
      <c r="G388" s="171" t="s">
        <v>125</v>
      </c>
      <c r="H388" s="176">
        <v>0</v>
      </c>
      <c r="I388" s="177">
        <v>0</v>
      </c>
      <c r="J388" s="175">
        <v>46030</v>
      </c>
      <c r="K388" s="171" t="s">
        <v>125</v>
      </c>
      <c r="L388" s="171" t="s">
        <v>125</v>
      </c>
      <c r="M388" s="178">
        <v>0</v>
      </c>
      <c r="N388" s="176"/>
      <c r="O388" s="176"/>
      <c r="P388" s="179">
        <v>-112.92</v>
      </c>
    </row>
    <row r="389" spans="1:16" ht="19.5" customHeight="1">
      <c r="A389" s="171" t="s">
        <v>494</v>
      </c>
      <c r="B389" s="175">
        <v>46031</v>
      </c>
      <c r="C389" s="171" t="s">
        <v>110</v>
      </c>
      <c r="D389" s="171" t="s">
        <v>24</v>
      </c>
      <c r="E389" s="171" t="s">
        <v>38</v>
      </c>
      <c r="F389" s="171" t="s">
        <v>111</v>
      </c>
      <c r="G389" s="171" t="s">
        <v>112</v>
      </c>
      <c r="H389" s="176">
        <v>1</v>
      </c>
      <c r="I389" s="177">
        <v>0</v>
      </c>
      <c r="J389" s="175">
        <v>46028</v>
      </c>
      <c r="K389" s="171" t="s">
        <v>113</v>
      </c>
      <c r="L389" s="171" t="s">
        <v>114</v>
      </c>
      <c r="M389" s="178">
        <v>0</v>
      </c>
      <c r="N389" s="176"/>
      <c r="O389" s="176">
        <v>44</v>
      </c>
      <c r="P389" s="179">
        <v>-46</v>
      </c>
    </row>
    <row r="390" spans="1:16" ht="19.5" customHeight="1">
      <c r="A390" s="171" t="s">
        <v>494</v>
      </c>
      <c r="B390" s="175">
        <v>46031</v>
      </c>
      <c r="C390" s="171" t="s">
        <v>115</v>
      </c>
      <c r="D390" s="171" t="s">
        <v>116</v>
      </c>
      <c r="E390" s="171" t="s">
        <v>38</v>
      </c>
      <c r="F390" s="171" t="s">
        <v>111</v>
      </c>
      <c r="G390" s="171" t="s">
        <v>112</v>
      </c>
      <c r="H390" s="176">
        <v>1</v>
      </c>
      <c r="I390" s="177">
        <v>0</v>
      </c>
      <c r="J390" s="175">
        <v>46028</v>
      </c>
      <c r="K390" s="171" t="s">
        <v>113</v>
      </c>
      <c r="L390" s="171" t="s">
        <v>114</v>
      </c>
      <c r="M390" s="178">
        <v>0</v>
      </c>
      <c r="N390" s="176"/>
      <c r="O390" s="176"/>
      <c r="P390" s="179">
        <v>-7.72</v>
      </c>
    </row>
    <row r="391" spans="1:16" ht="19.5" customHeight="1">
      <c r="A391" s="171" t="s">
        <v>494</v>
      </c>
      <c r="B391" s="175">
        <v>46031</v>
      </c>
      <c r="C391" s="171" t="s">
        <v>110</v>
      </c>
      <c r="D391" s="171" t="s">
        <v>117</v>
      </c>
      <c r="E391" s="171" t="s">
        <v>38</v>
      </c>
      <c r="F391" s="171" t="s">
        <v>111</v>
      </c>
      <c r="G391" s="171" t="s">
        <v>112</v>
      </c>
      <c r="H391" s="176">
        <v>1</v>
      </c>
      <c r="I391" s="177">
        <v>0</v>
      </c>
      <c r="J391" s="175">
        <v>46028</v>
      </c>
      <c r="K391" s="171" t="s">
        <v>113</v>
      </c>
      <c r="L391" s="171" t="s">
        <v>114</v>
      </c>
      <c r="M391" s="178">
        <v>0</v>
      </c>
      <c r="N391" s="176"/>
      <c r="O391" s="176"/>
      <c r="P391" s="179">
        <v>0</v>
      </c>
    </row>
    <row r="392" spans="1:16" ht="19.5" customHeight="1">
      <c r="A392" s="171" t="s">
        <v>494</v>
      </c>
      <c r="B392" s="175">
        <v>46031</v>
      </c>
      <c r="C392" s="171" t="s">
        <v>110</v>
      </c>
      <c r="D392" s="171" t="s">
        <v>118</v>
      </c>
      <c r="E392" s="171" t="s">
        <v>38</v>
      </c>
      <c r="F392" s="171" t="s">
        <v>111</v>
      </c>
      <c r="G392" s="171" t="s">
        <v>112</v>
      </c>
      <c r="H392" s="176">
        <v>1</v>
      </c>
      <c r="I392" s="177">
        <v>0</v>
      </c>
      <c r="J392" s="175">
        <v>46028</v>
      </c>
      <c r="K392" s="171" t="s">
        <v>113</v>
      </c>
      <c r="L392" s="171" t="s">
        <v>114</v>
      </c>
      <c r="M392" s="178">
        <v>0</v>
      </c>
      <c r="N392" s="176"/>
      <c r="O392" s="176"/>
      <c r="P392" s="179">
        <v>-46</v>
      </c>
    </row>
    <row r="393" spans="1:16" ht="19.5" customHeight="1">
      <c r="A393" s="171" t="s">
        <v>494</v>
      </c>
      <c r="B393" s="175">
        <v>46031</v>
      </c>
      <c r="C393" s="171" t="s">
        <v>115</v>
      </c>
      <c r="D393" s="171" t="s">
        <v>119</v>
      </c>
      <c r="E393" s="171" t="s">
        <v>38</v>
      </c>
      <c r="F393" s="171" t="s">
        <v>111</v>
      </c>
      <c r="G393" s="171" t="s">
        <v>112</v>
      </c>
      <c r="H393" s="176">
        <v>1</v>
      </c>
      <c r="I393" s="177">
        <v>0</v>
      </c>
      <c r="J393" s="175">
        <v>46028</v>
      </c>
      <c r="K393" s="171" t="s">
        <v>113</v>
      </c>
      <c r="L393" s="171" t="s">
        <v>114</v>
      </c>
      <c r="M393" s="178">
        <v>0</v>
      </c>
      <c r="N393" s="176"/>
      <c r="O393" s="176"/>
      <c r="P393" s="179">
        <v>-15</v>
      </c>
    </row>
    <row r="394" spans="1:16" ht="19.5" customHeight="1">
      <c r="A394" s="171" t="s">
        <v>495</v>
      </c>
      <c r="B394" s="175">
        <v>46031</v>
      </c>
      <c r="C394" s="171" t="s">
        <v>110</v>
      </c>
      <c r="D394" s="171" t="s">
        <v>24</v>
      </c>
      <c r="E394" s="171" t="s">
        <v>38</v>
      </c>
      <c r="F394" s="171" t="s">
        <v>111</v>
      </c>
      <c r="G394" s="171" t="s">
        <v>112</v>
      </c>
      <c r="H394" s="176">
        <v>1</v>
      </c>
      <c r="I394" s="177">
        <v>0</v>
      </c>
      <c r="J394" s="175">
        <v>46018</v>
      </c>
      <c r="K394" s="171" t="s">
        <v>113</v>
      </c>
      <c r="L394" s="171" t="s">
        <v>114</v>
      </c>
      <c r="M394" s="178">
        <v>0</v>
      </c>
      <c r="N394" s="176"/>
      <c r="O394" s="176">
        <v>39</v>
      </c>
      <c r="P394" s="179">
        <v>-46.77</v>
      </c>
    </row>
    <row r="395" spans="1:16" ht="19.5" customHeight="1">
      <c r="A395" s="171" t="s">
        <v>495</v>
      </c>
      <c r="B395" s="175">
        <v>46031</v>
      </c>
      <c r="C395" s="171" t="s">
        <v>115</v>
      </c>
      <c r="D395" s="171" t="s">
        <v>116</v>
      </c>
      <c r="E395" s="171" t="s">
        <v>38</v>
      </c>
      <c r="F395" s="171" t="s">
        <v>111</v>
      </c>
      <c r="G395" s="171" t="s">
        <v>112</v>
      </c>
      <c r="H395" s="176">
        <v>1</v>
      </c>
      <c r="I395" s="177">
        <v>0</v>
      </c>
      <c r="J395" s="175">
        <v>46018</v>
      </c>
      <c r="K395" s="171" t="s">
        <v>113</v>
      </c>
      <c r="L395" s="171" t="s">
        <v>114</v>
      </c>
      <c r="M395" s="178">
        <v>0</v>
      </c>
      <c r="N395" s="176"/>
      <c r="O395" s="176"/>
      <c r="P395" s="179">
        <v>-13.41</v>
      </c>
    </row>
    <row r="396" spans="1:16" ht="19.5" customHeight="1">
      <c r="A396" s="171" t="s">
        <v>495</v>
      </c>
      <c r="B396" s="175">
        <v>46031</v>
      </c>
      <c r="C396" s="171" t="s">
        <v>110</v>
      </c>
      <c r="D396" s="171" t="s">
        <v>117</v>
      </c>
      <c r="E396" s="171" t="s">
        <v>38</v>
      </c>
      <c r="F396" s="171" t="s">
        <v>111</v>
      </c>
      <c r="G396" s="171" t="s">
        <v>112</v>
      </c>
      <c r="H396" s="176">
        <v>1</v>
      </c>
      <c r="I396" s="177">
        <v>0</v>
      </c>
      <c r="J396" s="175">
        <v>46018</v>
      </c>
      <c r="K396" s="171" t="s">
        <v>113</v>
      </c>
      <c r="L396" s="171" t="s">
        <v>114</v>
      </c>
      <c r="M396" s="178">
        <v>0</v>
      </c>
      <c r="N396" s="176"/>
      <c r="O396" s="176"/>
      <c r="P396" s="179">
        <v>0</v>
      </c>
    </row>
    <row r="397" spans="1:16" ht="19.5" customHeight="1">
      <c r="A397" s="171" t="s">
        <v>495</v>
      </c>
      <c r="B397" s="175">
        <v>46031</v>
      </c>
      <c r="C397" s="171" t="s">
        <v>110</v>
      </c>
      <c r="D397" s="171" t="s">
        <v>118</v>
      </c>
      <c r="E397" s="171" t="s">
        <v>38</v>
      </c>
      <c r="F397" s="171" t="s">
        <v>111</v>
      </c>
      <c r="G397" s="171" t="s">
        <v>112</v>
      </c>
      <c r="H397" s="176">
        <v>1</v>
      </c>
      <c r="I397" s="177">
        <v>0</v>
      </c>
      <c r="J397" s="175">
        <v>46018</v>
      </c>
      <c r="K397" s="171" t="s">
        <v>113</v>
      </c>
      <c r="L397" s="171" t="s">
        <v>114</v>
      </c>
      <c r="M397" s="178">
        <v>0</v>
      </c>
      <c r="N397" s="176"/>
      <c r="O397" s="176"/>
      <c r="P397" s="179">
        <v>-46.77</v>
      </c>
    </row>
    <row r="398" spans="1:16" ht="19.5" customHeight="1">
      <c r="A398" s="171" t="s">
        <v>495</v>
      </c>
      <c r="B398" s="175">
        <v>46031</v>
      </c>
      <c r="C398" s="171" t="s">
        <v>115</v>
      </c>
      <c r="D398" s="171" t="s">
        <v>119</v>
      </c>
      <c r="E398" s="171" t="s">
        <v>38</v>
      </c>
      <c r="F398" s="171" t="s">
        <v>111</v>
      </c>
      <c r="G398" s="171" t="s">
        <v>112</v>
      </c>
      <c r="H398" s="176">
        <v>1</v>
      </c>
      <c r="I398" s="177">
        <v>0</v>
      </c>
      <c r="J398" s="175">
        <v>46018</v>
      </c>
      <c r="K398" s="171" t="s">
        <v>113</v>
      </c>
      <c r="L398" s="171" t="s">
        <v>114</v>
      </c>
      <c r="M398" s="178">
        <v>0</v>
      </c>
      <c r="N398" s="176"/>
      <c r="O398" s="176"/>
      <c r="P398" s="179">
        <v>-15</v>
      </c>
    </row>
    <row r="399" spans="1:16" ht="19.5" customHeight="1">
      <c r="A399" s="171" t="s">
        <v>418</v>
      </c>
      <c r="B399" s="175">
        <v>46031</v>
      </c>
      <c r="C399" s="171" t="s">
        <v>110</v>
      </c>
      <c r="D399" s="171" t="s">
        <v>121</v>
      </c>
      <c r="E399" s="171" t="s">
        <v>41</v>
      </c>
      <c r="F399" s="171" t="s">
        <v>138</v>
      </c>
      <c r="G399" s="171" t="s">
        <v>112</v>
      </c>
      <c r="H399" s="176">
        <v>1</v>
      </c>
      <c r="I399" s="177">
        <v>0</v>
      </c>
      <c r="J399" s="175">
        <v>46013</v>
      </c>
      <c r="K399" s="171" t="s">
        <v>113</v>
      </c>
      <c r="L399" s="171" t="s">
        <v>114</v>
      </c>
      <c r="M399" s="178">
        <v>0</v>
      </c>
      <c r="N399" s="176"/>
      <c r="O399" s="176"/>
      <c r="P399" s="179">
        <v>0</v>
      </c>
    </row>
    <row r="400" spans="1:16" ht="19.5" customHeight="1">
      <c r="A400" s="171" t="s">
        <v>418</v>
      </c>
      <c r="B400" s="175">
        <v>46031</v>
      </c>
      <c r="C400" s="171" t="s">
        <v>110</v>
      </c>
      <c r="D400" s="171" t="s">
        <v>118</v>
      </c>
      <c r="E400" s="171" t="s">
        <v>41</v>
      </c>
      <c r="F400" s="171" t="s">
        <v>138</v>
      </c>
      <c r="G400" s="171" t="s">
        <v>112</v>
      </c>
      <c r="H400" s="176">
        <v>1</v>
      </c>
      <c r="I400" s="177">
        <v>0</v>
      </c>
      <c r="J400" s="175">
        <v>46013</v>
      </c>
      <c r="K400" s="171" t="s">
        <v>113</v>
      </c>
      <c r="L400" s="171" t="s">
        <v>114</v>
      </c>
      <c r="M400" s="178">
        <v>0</v>
      </c>
      <c r="N400" s="176"/>
      <c r="O400" s="176"/>
      <c r="P400" s="179">
        <v>-46.77</v>
      </c>
    </row>
    <row r="401" spans="1:16" ht="19.5" customHeight="1">
      <c r="A401" s="171" t="s">
        <v>418</v>
      </c>
      <c r="B401" s="175">
        <v>46031</v>
      </c>
      <c r="C401" s="171" t="s">
        <v>115</v>
      </c>
      <c r="D401" s="171" t="s">
        <v>119</v>
      </c>
      <c r="E401" s="171" t="s">
        <v>41</v>
      </c>
      <c r="F401" s="171" t="s">
        <v>138</v>
      </c>
      <c r="G401" s="171" t="s">
        <v>112</v>
      </c>
      <c r="H401" s="176">
        <v>1</v>
      </c>
      <c r="I401" s="177">
        <v>0</v>
      </c>
      <c r="J401" s="175">
        <v>46013</v>
      </c>
      <c r="K401" s="171" t="s">
        <v>113</v>
      </c>
      <c r="L401" s="171" t="s">
        <v>114</v>
      </c>
      <c r="M401" s="178">
        <v>0</v>
      </c>
      <c r="N401" s="176"/>
      <c r="O401" s="176"/>
      <c r="P401" s="179">
        <v>-15</v>
      </c>
    </row>
    <row r="402" spans="1:16" ht="19.5" customHeight="1">
      <c r="A402" s="171" t="s">
        <v>496</v>
      </c>
      <c r="B402" s="175">
        <v>46031</v>
      </c>
      <c r="C402" s="171" t="s">
        <v>110</v>
      </c>
      <c r="D402" s="171" t="s">
        <v>117</v>
      </c>
      <c r="E402" s="171" t="s">
        <v>38</v>
      </c>
      <c r="F402" s="171" t="s">
        <v>111</v>
      </c>
      <c r="G402" s="171" t="s">
        <v>112</v>
      </c>
      <c r="H402" s="176">
        <v>1</v>
      </c>
      <c r="I402" s="177">
        <v>0</v>
      </c>
      <c r="J402" s="175">
        <v>46011</v>
      </c>
      <c r="K402" s="171" t="s">
        <v>113</v>
      </c>
      <c r="L402" s="171" t="s">
        <v>114</v>
      </c>
      <c r="M402" s="178">
        <v>0</v>
      </c>
      <c r="N402" s="176"/>
      <c r="O402" s="176"/>
      <c r="P402" s="179">
        <v>0</v>
      </c>
    </row>
    <row r="403" spans="1:16" ht="19.5" customHeight="1">
      <c r="A403" s="171" t="s">
        <v>496</v>
      </c>
      <c r="B403" s="175">
        <v>46031</v>
      </c>
      <c r="C403" s="171" t="s">
        <v>110</v>
      </c>
      <c r="D403" s="171" t="s">
        <v>118</v>
      </c>
      <c r="E403" s="171" t="s">
        <v>38</v>
      </c>
      <c r="F403" s="171" t="s">
        <v>111</v>
      </c>
      <c r="G403" s="171" t="s">
        <v>112</v>
      </c>
      <c r="H403" s="176">
        <v>1</v>
      </c>
      <c r="I403" s="177">
        <v>0</v>
      </c>
      <c r="J403" s="175">
        <v>46011</v>
      </c>
      <c r="K403" s="171" t="s">
        <v>113</v>
      </c>
      <c r="L403" s="171" t="s">
        <v>114</v>
      </c>
      <c r="M403" s="178">
        <v>0</v>
      </c>
      <c r="N403" s="176"/>
      <c r="O403" s="176"/>
      <c r="P403" s="179">
        <v>-46.77</v>
      </c>
    </row>
    <row r="404" spans="1:16" ht="19.5" customHeight="1">
      <c r="A404" s="171" t="s">
        <v>496</v>
      </c>
      <c r="B404" s="175">
        <v>46031</v>
      </c>
      <c r="C404" s="171" t="s">
        <v>115</v>
      </c>
      <c r="D404" s="171" t="s">
        <v>119</v>
      </c>
      <c r="E404" s="171" t="s">
        <v>38</v>
      </c>
      <c r="F404" s="171" t="s">
        <v>111</v>
      </c>
      <c r="G404" s="171" t="s">
        <v>112</v>
      </c>
      <c r="H404" s="176">
        <v>1</v>
      </c>
      <c r="I404" s="177">
        <v>0</v>
      </c>
      <c r="J404" s="175">
        <v>46011</v>
      </c>
      <c r="K404" s="171" t="s">
        <v>113</v>
      </c>
      <c r="L404" s="171" t="s">
        <v>114</v>
      </c>
      <c r="M404" s="178">
        <v>0</v>
      </c>
      <c r="N404" s="176"/>
      <c r="O404" s="176"/>
      <c r="P404" s="179">
        <v>-15</v>
      </c>
    </row>
    <row r="405" spans="1:16" ht="19.5" customHeight="1">
      <c r="A405" s="171" t="s">
        <v>496</v>
      </c>
      <c r="B405" s="175">
        <v>46031</v>
      </c>
      <c r="C405" s="171" t="s">
        <v>110</v>
      </c>
      <c r="D405" s="171" t="s">
        <v>24</v>
      </c>
      <c r="E405" s="171" t="s">
        <v>38</v>
      </c>
      <c r="F405" s="171" t="s">
        <v>111</v>
      </c>
      <c r="G405" s="171" t="s">
        <v>112</v>
      </c>
      <c r="H405" s="176">
        <v>1</v>
      </c>
      <c r="I405" s="177">
        <v>0</v>
      </c>
      <c r="J405" s="175">
        <v>46011</v>
      </c>
      <c r="K405" s="171" t="s">
        <v>113</v>
      </c>
      <c r="L405" s="171" t="s">
        <v>114</v>
      </c>
      <c r="M405" s="178">
        <v>0</v>
      </c>
      <c r="N405" s="176"/>
      <c r="O405" s="176">
        <v>39</v>
      </c>
      <c r="P405" s="179">
        <v>-46.77</v>
      </c>
    </row>
    <row r="406" spans="1:16" ht="19.5" customHeight="1">
      <c r="A406" s="171" t="s">
        <v>496</v>
      </c>
      <c r="B406" s="175">
        <v>46031</v>
      </c>
      <c r="C406" s="171" t="s">
        <v>115</v>
      </c>
      <c r="D406" s="171" t="s">
        <v>116</v>
      </c>
      <c r="E406" s="171" t="s">
        <v>38</v>
      </c>
      <c r="F406" s="171" t="s">
        <v>111</v>
      </c>
      <c r="G406" s="171" t="s">
        <v>112</v>
      </c>
      <c r="H406" s="176">
        <v>1</v>
      </c>
      <c r="I406" s="177">
        <v>0</v>
      </c>
      <c r="J406" s="175">
        <v>46011</v>
      </c>
      <c r="K406" s="171" t="s">
        <v>113</v>
      </c>
      <c r="L406" s="171" t="s">
        <v>114</v>
      </c>
      <c r="M406" s="178">
        <v>0</v>
      </c>
      <c r="N406" s="176"/>
      <c r="O406" s="176"/>
      <c r="P406" s="179">
        <v>-10.87</v>
      </c>
    </row>
    <row r="407" spans="1:16" ht="19.5" customHeight="1">
      <c r="A407" s="171" t="s">
        <v>497</v>
      </c>
      <c r="B407" s="175">
        <v>46031</v>
      </c>
      <c r="C407" s="171" t="s">
        <v>110</v>
      </c>
      <c r="D407" s="171" t="s">
        <v>24</v>
      </c>
      <c r="E407" s="171" t="s">
        <v>41</v>
      </c>
      <c r="F407" s="171" t="s">
        <v>138</v>
      </c>
      <c r="G407" s="171" t="s">
        <v>112</v>
      </c>
      <c r="H407" s="176">
        <v>1</v>
      </c>
      <c r="I407" s="177">
        <v>0</v>
      </c>
      <c r="J407" s="175">
        <v>46014</v>
      </c>
      <c r="K407" s="171" t="s">
        <v>113</v>
      </c>
      <c r="L407" s="171" t="s">
        <v>114</v>
      </c>
      <c r="M407" s="178">
        <v>0</v>
      </c>
      <c r="N407" s="176"/>
      <c r="O407" s="176">
        <v>42</v>
      </c>
      <c r="P407" s="179">
        <v>-46.77</v>
      </c>
    </row>
    <row r="408" spans="1:16" ht="19.5" customHeight="1">
      <c r="A408" s="171" t="s">
        <v>497</v>
      </c>
      <c r="B408" s="175">
        <v>46031</v>
      </c>
      <c r="C408" s="171" t="s">
        <v>110</v>
      </c>
      <c r="D408" s="171" t="s">
        <v>117</v>
      </c>
      <c r="E408" s="171" t="s">
        <v>41</v>
      </c>
      <c r="F408" s="171" t="s">
        <v>138</v>
      </c>
      <c r="G408" s="171" t="s">
        <v>112</v>
      </c>
      <c r="H408" s="176">
        <v>1</v>
      </c>
      <c r="I408" s="177">
        <v>0</v>
      </c>
      <c r="J408" s="175">
        <v>46014</v>
      </c>
      <c r="K408" s="171" t="s">
        <v>113</v>
      </c>
      <c r="L408" s="171" t="s">
        <v>114</v>
      </c>
      <c r="M408" s="178">
        <v>0</v>
      </c>
      <c r="N408" s="176"/>
      <c r="O408" s="176"/>
      <c r="P408" s="179">
        <v>0</v>
      </c>
    </row>
    <row r="409" spans="1:16" ht="19.5" customHeight="1">
      <c r="A409" s="171" t="s">
        <v>497</v>
      </c>
      <c r="B409" s="175">
        <v>46031</v>
      </c>
      <c r="C409" s="171" t="s">
        <v>110</v>
      </c>
      <c r="D409" s="171" t="s">
        <v>118</v>
      </c>
      <c r="E409" s="171" t="s">
        <v>41</v>
      </c>
      <c r="F409" s="171" t="s">
        <v>138</v>
      </c>
      <c r="G409" s="171" t="s">
        <v>112</v>
      </c>
      <c r="H409" s="176">
        <v>1</v>
      </c>
      <c r="I409" s="177">
        <v>0</v>
      </c>
      <c r="J409" s="175">
        <v>46014</v>
      </c>
      <c r="K409" s="171" t="s">
        <v>113</v>
      </c>
      <c r="L409" s="171" t="s">
        <v>114</v>
      </c>
      <c r="M409" s="178">
        <v>0</v>
      </c>
      <c r="N409" s="176"/>
      <c r="O409" s="176"/>
      <c r="P409" s="179">
        <v>-46.77</v>
      </c>
    </row>
    <row r="410" spans="1:16" ht="19.5" customHeight="1">
      <c r="A410" s="171" t="s">
        <v>498</v>
      </c>
      <c r="B410" s="175">
        <v>46031</v>
      </c>
      <c r="C410" s="171" t="s">
        <v>110</v>
      </c>
      <c r="D410" s="171" t="s">
        <v>24</v>
      </c>
      <c r="E410" s="171" t="s">
        <v>38</v>
      </c>
      <c r="F410" s="171" t="s">
        <v>111</v>
      </c>
      <c r="G410" s="171" t="s">
        <v>112</v>
      </c>
      <c r="H410" s="176">
        <v>1</v>
      </c>
      <c r="I410" s="177">
        <v>1704</v>
      </c>
      <c r="J410" s="175">
        <v>46023</v>
      </c>
      <c r="K410" s="171" t="s">
        <v>113</v>
      </c>
      <c r="L410" s="171" t="s">
        <v>114</v>
      </c>
      <c r="M410" s="178">
        <v>0.43</v>
      </c>
      <c r="N410" s="176"/>
      <c r="O410" s="176">
        <v>39</v>
      </c>
      <c r="P410" s="179">
        <v>-110.12</v>
      </c>
    </row>
    <row r="411" spans="1:16" ht="19.5" customHeight="1">
      <c r="A411" s="171" t="s">
        <v>498</v>
      </c>
      <c r="B411" s="175">
        <v>46031</v>
      </c>
      <c r="C411" s="171" t="s">
        <v>127</v>
      </c>
      <c r="D411" s="171" t="s">
        <v>128</v>
      </c>
      <c r="E411" s="171" t="s">
        <v>38</v>
      </c>
      <c r="F411" s="171" t="s">
        <v>111</v>
      </c>
      <c r="G411" s="171" t="s">
        <v>112</v>
      </c>
      <c r="H411" s="176">
        <v>1</v>
      </c>
      <c r="I411" s="177">
        <v>1704</v>
      </c>
      <c r="J411" s="175">
        <v>46023</v>
      </c>
      <c r="K411" s="171" t="s">
        <v>113</v>
      </c>
      <c r="L411" s="171" t="s">
        <v>114</v>
      </c>
      <c r="M411" s="178">
        <v>0</v>
      </c>
      <c r="N411" s="176"/>
      <c r="O411" s="176"/>
      <c r="P411" s="179">
        <v>585.71</v>
      </c>
    </row>
    <row r="412" spans="1:16" ht="19.5" customHeight="1">
      <c r="A412" s="171" t="s">
        <v>498</v>
      </c>
      <c r="B412" s="175">
        <v>46031</v>
      </c>
      <c r="C412" s="171" t="s">
        <v>127</v>
      </c>
      <c r="D412" s="171" t="s">
        <v>129</v>
      </c>
      <c r="E412" s="171" t="s">
        <v>38</v>
      </c>
      <c r="F412" s="171" t="s">
        <v>111</v>
      </c>
      <c r="G412" s="171" t="s">
        <v>112</v>
      </c>
      <c r="H412" s="176">
        <v>1</v>
      </c>
      <c r="I412" s="177">
        <v>1704</v>
      </c>
      <c r="J412" s="175">
        <v>46023</v>
      </c>
      <c r="K412" s="171" t="s">
        <v>113</v>
      </c>
      <c r="L412" s="171" t="s">
        <v>114</v>
      </c>
      <c r="M412" s="178">
        <v>0</v>
      </c>
      <c r="N412" s="176"/>
      <c r="O412" s="176"/>
      <c r="P412" s="179">
        <v>5.86</v>
      </c>
    </row>
    <row r="413" spans="1:16" ht="19.5" customHeight="1">
      <c r="A413" s="171" t="s">
        <v>498</v>
      </c>
      <c r="B413" s="175">
        <v>46031</v>
      </c>
      <c r="C413" s="171" t="s">
        <v>127</v>
      </c>
      <c r="D413" s="171" t="s">
        <v>130</v>
      </c>
      <c r="E413" s="171" t="s">
        <v>38</v>
      </c>
      <c r="F413" s="171" t="s">
        <v>111</v>
      </c>
      <c r="G413" s="171" t="s">
        <v>112</v>
      </c>
      <c r="H413" s="176">
        <v>1</v>
      </c>
      <c r="I413" s="177">
        <v>1704</v>
      </c>
      <c r="J413" s="175">
        <v>46023</v>
      </c>
      <c r="K413" s="171" t="s">
        <v>113</v>
      </c>
      <c r="L413" s="171" t="s">
        <v>114</v>
      </c>
      <c r="M413" s="178">
        <v>0</v>
      </c>
      <c r="N413" s="176"/>
      <c r="O413" s="176"/>
      <c r="P413" s="179">
        <v>1112.43</v>
      </c>
    </row>
    <row r="414" spans="1:16" ht="19.5" customHeight="1">
      <c r="A414" s="171" t="s">
        <v>498</v>
      </c>
      <c r="B414" s="175">
        <v>46031</v>
      </c>
      <c r="C414" s="171" t="s">
        <v>131</v>
      </c>
      <c r="D414" s="171" t="s">
        <v>132</v>
      </c>
      <c r="E414" s="171" t="s">
        <v>38</v>
      </c>
      <c r="F414" s="171" t="s">
        <v>111</v>
      </c>
      <c r="G414" s="171" t="s">
        <v>112</v>
      </c>
      <c r="H414" s="176">
        <v>1</v>
      </c>
      <c r="I414" s="177">
        <v>1704</v>
      </c>
      <c r="J414" s="175">
        <v>46023</v>
      </c>
      <c r="K414" s="171" t="s">
        <v>113</v>
      </c>
      <c r="L414" s="171" t="s">
        <v>114</v>
      </c>
      <c r="M414" s="178">
        <v>0.43</v>
      </c>
      <c r="N414" s="176"/>
      <c r="O414" s="176"/>
      <c r="P414" s="179">
        <v>-732.72</v>
      </c>
    </row>
    <row r="415" spans="1:16" ht="19.5" customHeight="1">
      <c r="A415" s="171" t="s">
        <v>499</v>
      </c>
      <c r="B415" s="175">
        <v>46031</v>
      </c>
      <c r="C415" s="171" t="s">
        <v>110</v>
      </c>
      <c r="D415" s="171" t="s">
        <v>24</v>
      </c>
      <c r="E415" s="171" t="s">
        <v>38</v>
      </c>
      <c r="F415" s="171" t="s">
        <v>111</v>
      </c>
      <c r="G415" s="171" t="s">
        <v>112</v>
      </c>
      <c r="H415" s="176">
        <v>1</v>
      </c>
      <c r="I415" s="177">
        <v>1704</v>
      </c>
      <c r="J415" s="175">
        <v>46023</v>
      </c>
      <c r="K415" s="171" t="s">
        <v>113</v>
      </c>
      <c r="L415" s="171" t="s">
        <v>114</v>
      </c>
      <c r="M415" s="178">
        <v>0.43</v>
      </c>
      <c r="N415" s="176"/>
      <c r="O415" s="176">
        <v>39</v>
      </c>
      <c r="P415" s="179">
        <v>-110.12</v>
      </c>
    </row>
    <row r="416" spans="1:16" ht="19.5" customHeight="1">
      <c r="A416" s="171" t="s">
        <v>499</v>
      </c>
      <c r="B416" s="175">
        <v>46031</v>
      </c>
      <c r="C416" s="171" t="s">
        <v>127</v>
      </c>
      <c r="D416" s="171" t="s">
        <v>128</v>
      </c>
      <c r="E416" s="171" t="s">
        <v>38</v>
      </c>
      <c r="F416" s="171" t="s">
        <v>111</v>
      </c>
      <c r="G416" s="171" t="s">
        <v>112</v>
      </c>
      <c r="H416" s="176">
        <v>1</v>
      </c>
      <c r="I416" s="177">
        <v>1704</v>
      </c>
      <c r="J416" s="175">
        <v>46023</v>
      </c>
      <c r="K416" s="171" t="s">
        <v>113</v>
      </c>
      <c r="L416" s="171" t="s">
        <v>114</v>
      </c>
      <c r="M416" s="178">
        <v>0</v>
      </c>
      <c r="N416" s="176"/>
      <c r="O416" s="176"/>
      <c r="P416" s="179">
        <v>582.94000000000005</v>
      </c>
    </row>
    <row r="417" spans="1:16" ht="19.5" customHeight="1">
      <c r="A417" s="171" t="s">
        <v>499</v>
      </c>
      <c r="B417" s="175">
        <v>46031</v>
      </c>
      <c r="C417" s="171" t="s">
        <v>127</v>
      </c>
      <c r="D417" s="171" t="s">
        <v>129</v>
      </c>
      <c r="E417" s="171" t="s">
        <v>38</v>
      </c>
      <c r="F417" s="171" t="s">
        <v>111</v>
      </c>
      <c r="G417" s="171" t="s">
        <v>112</v>
      </c>
      <c r="H417" s="176">
        <v>1</v>
      </c>
      <c r="I417" s="177">
        <v>1704</v>
      </c>
      <c r="J417" s="175">
        <v>46023</v>
      </c>
      <c r="K417" s="171" t="s">
        <v>113</v>
      </c>
      <c r="L417" s="171" t="s">
        <v>114</v>
      </c>
      <c r="M417" s="178">
        <v>0</v>
      </c>
      <c r="N417" s="176"/>
      <c r="O417" s="176"/>
      <c r="P417" s="179">
        <v>5.83</v>
      </c>
    </row>
    <row r="418" spans="1:16" ht="19.5" customHeight="1">
      <c r="A418" s="171" t="s">
        <v>499</v>
      </c>
      <c r="B418" s="175">
        <v>46031</v>
      </c>
      <c r="C418" s="171" t="s">
        <v>127</v>
      </c>
      <c r="D418" s="171" t="s">
        <v>130</v>
      </c>
      <c r="E418" s="171" t="s">
        <v>38</v>
      </c>
      <c r="F418" s="171" t="s">
        <v>111</v>
      </c>
      <c r="G418" s="171" t="s">
        <v>112</v>
      </c>
      <c r="H418" s="176">
        <v>1</v>
      </c>
      <c r="I418" s="177">
        <v>1704</v>
      </c>
      <c r="J418" s="175">
        <v>46023</v>
      </c>
      <c r="K418" s="171" t="s">
        <v>113</v>
      </c>
      <c r="L418" s="171" t="s">
        <v>114</v>
      </c>
      <c r="M418" s="178">
        <v>0</v>
      </c>
      <c r="N418" s="176"/>
      <c r="O418" s="176"/>
      <c r="P418" s="179">
        <v>1115.23</v>
      </c>
    </row>
    <row r="419" spans="1:16" ht="19.5" customHeight="1">
      <c r="A419" s="171" t="s">
        <v>499</v>
      </c>
      <c r="B419" s="175">
        <v>46031</v>
      </c>
      <c r="C419" s="171" t="s">
        <v>131</v>
      </c>
      <c r="D419" s="171" t="s">
        <v>132</v>
      </c>
      <c r="E419" s="171" t="s">
        <v>38</v>
      </c>
      <c r="F419" s="171" t="s">
        <v>111</v>
      </c>
      <c r="G419" s="171" t="s">
        <v>112</v>
      </c>
      <c r="H419" s="176">
        <v>1</v>
      </c>
      <c r="I419" s="177">
        <v>1704</v>
      </c>
      <c r="J419" s="175">
        <v>46023</v>
      </c>
      <c r="K419" s="171" t="s">
        <v>113</v>
      </c>
      <c r="L419" s="171" t="s">
        <v>114</v>
      </c>
      <c r="M419" s="178">
        <v>0.43</v>
      </c>
      <c r="N419" s="176"/>
      <c r="O419" s="176"/>
      <c r="P419" s="179">
        <v>-732.72</v>
      </c>
    </row>
    <row r="420" spans="1:16" ht="19.5" customHeight="1">
      <c r="A420" s="171" t="s">
        <v>499</v>
      </c>
      <c r="B420" s="175">
        <v>46031</v>
      </c>
      <c r="C420" s="171" t="s">
        <v>115</v>
      </c>
      <c r="D420" s="171" t="s">
        <v>116</v>
      </c>
      <c r="E420" s="171" t="s">
        <v>38</v>
      </c>
      <c r="F420" s="171" t="s">
        <v>111</v>
      </c>
      <c r="G420" s="171" t="s">
        <v>112</v>
      </c>
      <c r="H420" s="176">
        <v>1</v>
      </c>
      <c r="I420" s="177">
        <v>1704</v>
      </c>
      <c r="J420" s="175">
        <v>46023</v>
      </c>
      <c r="K420" s="171" t="s">
        <v>113</v>
      </c>
      <c r="L420" s="171" t="s">
        <v>114</v>
      </c>
      <c r="M420" s="178">
        <v>0.43</v>
      </c>
      <c r="N420" s="176"/>
      <c r="O420" s="176"/>
      <c r="P420" s="179">
        <v>-10.15</v>
      </c>
    </row>
    <row r="421" spans="1:16" ht="19.5" customHeight="1">
      <c r="A421" s="171" t="s">
        <v>500</v>
      </c>
      <c r="B421" s="175">
        <v>46031</v>
      </c>
      <c r="C421" s="171" t="s">
        <v>110</v>
      </c>
      <c r="D421" s="171" t="s">
        <v>24</v>
      </c>
      <c r="E421" s="171" t="s">
        <v>78</v>
      </c>
      <c r="F421" s="171" t="s">
        <v>176</v>
      </c>
      <c r="G421" s="171" t="s">
        <v>177</v>
      </c>
      <c r="H421" s="176">
        <v>1</v>
      </c>
      <c r="I421" s="177">
        <v>6500</v>
      </c>
      <c r="J421" s="175">
        <v>46027</v>
      </c>
      <c r="K421" s="171" t="s">
        <v>113</v>
      </c>
      <c r="L421" s="171" t="s">
        <v>114</v>
      </c>
      <c r="M421" s="178">
        <v>0.43</v>
      </c>
      <c r="N421" s="176"/>
      <c r="O421" s="176">
        <v>41</v>
      </c>
      <c r="P421" s="179">
        <v>-263.19</v>
      </c>
    </row>
    <row r="422" spans="1:16" ht="19.5" customHeight="1">
      <c r="A422" s="171" t="s">
        <v>500</v>
      </c>
      <c r="B422" s="175">
        <v>46031</v>
      </c>
      <c r="C422" s="171" t="s">
        <v>127</v>
      </c>
      <c r="D422" s="171" t="s">
        <v>128</v>
      </c>
      <c r="E422" s="171" t="s">
        <v>78</v>
      </c>
      <c r="F422" s="171" t="s">
        <v>176</v>
      </c>
      <c r="G422" s="171" t="s">
        <v>177</v>
      </c>
      <c r="H422" s="176">
        <v>1</v>
      </c>
      <c r="I422" s="177">
        <v>6500</v>
      </c>
      <c r="J422" s="175">
        <v>46027</v>
      </c>
      <c r="K422" s="171" t="s">
        <v>113</v>
      </c>
      <c r="L422" s="171" t="s">
        <v>114</v>
      </c>
      <c r="M422" s="178">
        <v>0</v>
      </c>
      <c r="N422" s="176"/>
      <c r="O422" s="176"/>
      <c r="P422" s="179">
        <v>2342.86</v>
      </c>
    </row>
    <row r="423" spans="1:16" ht="19.5" customHeight="1">
      <c r="A423" s="171" t="s">
        <v>500</v>
      </c>
      <c r="B423" s="175">
        <v>46031</v>
      </c>
      <c r="C423" s="171" t="s">
        <v>127</v>
      </c>
      <c r="D423" s="171" t="s">
        <v>129</v>
      </c>
      <c r="E423" s="171" t="s">
        <v>78</v>
      </c>
      <c r="F423" s="171" t="s">
        <v>176</v>
      </c>
      <c r="G423" s="171" t="s">
        <v>177</v>
      </c>
      <c r="H423" s="176">
        <v>1</v>
      </c>
      <c r="I423" s="177">
        <v>6500</v>
      </c>
      <c r="J423" s="175">
        <v>46027</v>
      </c>
      <c r="K423" s="171" t="s">
        <v>113</v>
      </c>
      <c r="L423" s="171" t="s">
        <v>114</v>
      </c>
      <c r="M423" s="178">
        <v>0</v>
      </c>
      <c r="N423" s="176"/>
      <c r="O423" s="176"/>
      <c r="P423" s="179">
        <v>23.43</v>
      </c>
    </row>
    <row r="424" spans="1:16" ht="19.5" customHeight="1">
      <c r="A424" s="171" t="s">
        <v>500</v>
      </c>
      <c r="B424" s="175">
        <v>46031</v>
      </c>
      <c r="C424" s="171" t="s">
        <v>127</v>
      </c>
      <c r="D424" s="171" t="s">
        <v>130</v>
      </c>
      <c r="E424" s="171" t="s">
        <v>78</v>
      </c>
      <c r="F424" s="171" t="s">
        <v>176</v>
      </c>
      <c r="G424" s="171" t="s">
        <v>177</v>
      </c>
      <c r="H424" s="176">
        <v>1</v>
      </c>
      <c r="I424" s="177">
        <v>6500</v>
      </c>
      <c r="J424" s="175">
        <v>46027</v>
      </c>
      <c r="K424" s="171" t="s">
        <v>113</v>
      </c>
      <c r="L424" s="171" t="s">
        <v>114</v>
      </c>
      <c r="M424" s="178">
        <v>0</v>
      </c>
      <c r="N424" s="176"/>
      <c r="O424" s="176"/>
      <c r="P424" s="179">
        <v>4133.71</v>
      </c>
    </row>
    <row r="425" spans="1:16" ht="19.5" customHeight="1">
      <c r="A425" s="171" t="s">
        <v>500</v>
      </c>
      <c r="B425" s="175">
        <v>46031</v>
      </c>
      <c r="C425" s="171" t="s">
        <v>131</v>
      </c>
      <c r="D425" s="171" t="s">
        <v>132</v>
      </c>
      <c r="E425" s="171" t="s">
        <v>78</v>
      </c>
      <c r="F425" s="171" t="s">
        <v>176</v>
      </c>
      <c r="G425" s="171" t="s">
        <v>177</v>
      </c>
      <c r="H425" s="176">
        <v>1</v>
      </c>
      <c r="I425" s="177">
        <v>6500</v>
      </c>
      <c r="J425" s="175">
        <v>46027</v>
      </c>
      <c r="K425" s="171" t="s">
        <v>113</v>
      </c>
      <c r="L425" s="171" t="s">
        <v>114</v>
      </c>
      <c r="M425" s="178">
        <v>0.43</v>
      </c>
      <c r="N425" s="176"/>
      <c r="O425" s="176"/>
      <c r="P425" s="179">
        <v>-2795</v>
      </c>
    </row>
    <row r="426" spans="1:16" ht="19.5" customHeight="1">
      <c r="A426" s="171" t="s">
        <v>500</v>
      </c>
      <c r="B426" s="175">
        <v>46031</v>
      </c>
      <c r="C426" s="171" t="s">
        <v>115</v>
      </c>
      <c r="D426" s="171" t="s">
        <v>116</v>
      </c>
      <c r="E426" s="171" t="s">
        <v>78</v>
      </c>
      <c r="F426" s="171" t="s">
        <v>176</v>
      </c>
      <c r="G426" s="171" t="s">
        <v>177</v>
      </c>
      <c r="H426" s="176">
        <v>1</v>
      </c>
      <c r="I426" s="177">
        <v>6500</v>
      </c>
      <c r="J426" s="175">
        <v>46027</v>
      </c>
      <c r="K426" s="171" t="s">
        <v>113</v>
      </c>
      <c r="L426" s="171" t="s">
        <v>114</v>
      </c>
      <c r="M426" s="178">
        <v>0.43</v>
      </c>
      <c r="N426" s="176"/>
      <c r="O426" s="176"/>
      <c r="P426" s="179">
        <v>-14</v>
      </c>
    </row>
    <row r="427" spans="1:16" ht="19.5" customHeight="1">
      <c r="A427" s="171" t="s">
        <v>501</v>
      </c>
      <c r="B427" s="175">
        <v>46031</v>
      </c>
      <c r="C427" s="171" t="s">
        <v>115</v>
      </c>
      <c r="D427" s="171" t="s">
        <v>135</v>
      </c>
      <c r="E427" s="171" t="s">
        <v>39</v>
      </c>
      <c r="F427" s="171" t="s">
        <v>141</v>
      </c>
      <c r="G427" s="171" t="s">
        <v>112</v>
      </c>
      <c r="H427" s="176">
        <v>1</v>
      </c>
      <c r="I427" s="177">
        <v>0</v>
      </c>
      <c r="J427" s="175">
        <v>46031</v>
      </c>
      <c r="K427" s="171" t="s">
        <v>125</v>
      </c>
      <c r="L427" s="171" t="s">
        <v>125</v>
      </c>
      <c r="M427" s="178">
        <v>0</v>
      </c>
      <c r="N427" s="176"/>
      <c r="O427" s="176"/>
      <c r="P427" s="179">
        <v>-14.91</v>
      </c>
    </row>
    <row r="428" spans="1:16" ht="19.5" customHeight="1">
      <c r="A428" s="171" t="s">
        <v>500</v>
      </c>
      <c r="B428" s="175">
        <v>46031</v>
      </c>
      <c r="C428" s="171" t="s">
        <v>115</v>
      </c>
      <c r="D428" s="171" t="s">
        <v>135</v>
      </c>
      <c r="E428" s="171" t="s">
        <v>78</v>
      </c>
      <c r="F428" s="171" t="s">
        <v>176</v>
      </c>
      <c r="G428" s="171" t="s">
        <v>177</v>
      </c>
      <c r="H428" s="176">
        <v>1</v>
      </c>
      <c r="I428" s="177">
        <v>0</v>
      </c>
      <c r="J428" s="175">
        <v>46027</v>
      </c>
      <c r="K428" s="171" t="s">
        <v>125</v>
      </c>
      <c r="L428" s="171" t="s">
        <v>125</v>
      </c>
      <c r="M428" s="178">
        <v>0</v>
      </c>
      <c r="N428" s="176"/>
      <c r="O428" s="176"/>
      <c r="P428" s="179">
        <v>-44.51</v>
      </c>
    </row>
    <row r="429" spans="1:16" ht="19.5" customHeight="1">
      <c r="A429" s="171" t="s">
        <v>502</v>
      </c>
      <c r="B429" s="175">
        <v>46031</v>
      </c>
      <c r="C429" s="171" t="s">
        <v>115</v>
      </c>
      <c r="D429" s="171" t="s">
        <v>135</v>
      </c>
      <c r="E429" s="171" t="s">
        <v>38</v>
      </c>
      <c r="F429" s="171" t="s">
        <v>111</v>
      </c>
      <c r="G429" s="171" t="s">
        <v>112</v>
      </c>
      <c r="H429" s="176">
        <v>1</v>
      </c>
      <c r="I429" s="177">
        <v>0</v>
      </c>
      <c r="J429" s="175">
        <v>46031</v>
      </c>
      <c r="K429" s="171" t="s">
        <v>125</v>
      </c>
      <c r="L429" s="171" t="s">
        <v>125</v>
      </c>
      <c r="M429" s="178">
        <v>0</v>
      </c>
      <c r="N429" s="176"/>
      <c r="O429" s="176"/>
      <c r="P429" s="179">
        <v>-4.47</v>
      </c>
    </row>
    <row r="430" spans="1:16" ht="19.5" customHeight="1">
      <c r="A430" s="171" t="s">
        <v>503</v>
      </c>
      <c r="B430" s="175">
        <v>46031</v>
      </c>
      <c r="C430" s="171" t="s">
        <v>110</v>
      </c>
      <c r="D430" s="171" t="s">
        <v>24</v>
      </c>
      <c r="E430" s="171" t="s">
        <v>38</v>
      </c>
      <c r="F430" s="171" t="s">
        <v>111</v>
      </c>
      <c r="G430" s="171" t="s">
        <v>112</v>
      </c>
      <c r="H430" s="176">
        <v>1</v>
      </c>
      <c r="I430" s="177">
        <v>1704</v>
      </c>
      <c r="J430" s="175">
        <v>46027</v>
      </c>
      <c r="K430" s="171" t="s">
        <v>113</v>
      </c>
      <c r="L430" s="171" t="s">
        <v>114</v>
      </c>
      <c r="M430" s="178">
        <v>0.43</v>
      </c>
      <c r="N430" s="176"/>
      <c r="O430" s="176">
        <v>41</v>
      </c>
      <c r="P430" s="179">
        <v>-118.04</v>
      </c>
    </row>
    <row r="431" spans="1:16" ht="19.5" customHeight="1">
      <c r="A431" s="171" t="s">
        <v>503</v>
      </c>
      <c r="B431" s="175">
        <v>46031</v>
      </c>
      <c r="C431" s="171" t="s">
        <v>127</v>
      </c>
      <c r="D431" s="171" t="s">
        <v>128</v>
      </c>
      <c r="E431" s="171" t="s">
        <v>38</v>
      </c>
      <c r="F431" s="171" t="s">
        <v>111</v>
      </c>
      <c r="G431" s="171" t="s">
        <v>112</v>
      </c>
      <c r="H431" s="176">
        <v>1</v>
      </c>
      <c r="I431" s="177">
        <v>1704</v>
      </c>
      <c r="J431" s="175">
        <v>46027</v>
      </c>
      <c r="K431" s="171" t="s">
        <v>113</v>
      </c>
      <c r="L431" s="171" t="s">
        <v>114</v>
      </c>
      <c r="M431" s="178">
        <v>0</v>
      </c>
      <c r="N431" s="176"/>
      <c r="O431" s="176"/>
      <c r="P431" s="179">
        <v>649.52</v>
      </c>
    </row>
    <row r="432" spans="1:16" ht="19.5" customHeight="1">
      <c r="A432" s="171" t="s">
        <v>503</v>
      </c>
      <c r="B432" s="175">
        <v>46031</v>
      </c>
      <c r="C432" s="171" t="s">
        <v>127</v>
      </c>
      <c r="D432" s="171" t="s">
        <v>129</v>
      </c>
      <c r="E432" s="171" t="s">
        <v>38</v>
      </c>
      <c r="F432" s="171" t="s">
        <v>111</v>
      </c>
      <c r="G432" s="171" t="s">
        <v>112</v>
      </c>
      <c r="H432" s="176">
        <v>1</v>
      </c>
      <c r="I432" s="177">
        <v>1704</v>
      </c>
      <c r="J432" s="175">
        <v>46027</v>
      </c>
      <c r="K432" s="171" t="s">
        <v>113</v>
      </c>
      <c r="L432" s="171" t="s">
        <v>114</v>
      </c>
      <c r="M432" s="178">
        <v>0</v>
      </c>
      <c r="N432" s="176"/>
      <c r="O432" s="176"/>
      <c r="P432" s="179">
        <v>0</v>
      </c>
    </row>
    <row r="433" spans="1:16" ht="19.5" customHeight="1">
      <c r="A433" s="171" t="s">
        <v>503</v>
      </c>
      <c r="B433" s="175">
        <v>46031</v>
      </c>
      <c r="C433" s="171" t="s">
        <v>127</v>
      </c>
      <c r="D433" s="171" t="s">
        <v>130</v>
      </c>
      <c r="E433" s="171" t="s">
        <v>38</v>
      </c>
      <c r="F433" s="171" t="s">
        <v>111</v>
      </c>
      <c r="G433" s="171" t="s">
        <v>112</v>
      </c>
      <c r="H433" s="176">
        <v>1</v>
      </c>
      <c r="I433" s="177">
        <v>1704</v>
      </c>
      <c r="J433" s="175">
        <v>46027</v>
      </c>
      <c r="K433" s="171" t="s">
        <v>113</v>
      </c>
      <c r="L433" s="171" t="s">
        <v>114</v>
      </c>
      <c r="M433" s="178">
        <v>0</v>
      </c>
      <c r="N433" s="176"/>
      <c r="O433" s="176"/>
      <c r="P433" s="179">
        <v>1054.48</v>
      </c>
    </row>
    <row r="434" spans="1:16" ht="19.5" customHeight="1">
      <c r="A434" s="171" t="s">
        <v>503</v>
      </c>
      <c r="B434" s="175">
        <v>46031</v>
      </c>
      <c r="C434" s="171" t="s">
        <v>131</v>
      </c>
      <c r="D434" s="171" t="s">
        <v>132</v>
      </c>
      <c r="E434" s="171" t="s">
        <v>38</v>
      </c>
      <c r="F434" s="171" t="s">
        <v>111</v>
      </c>
      <c r="G434" s="171" t="s">
        <v>112</v>
      </c>
      <c r="H434" s="176">
        <v>1</v>
      </c>
      <c r="I434" s="177">
        <v>1704</v>
      </c>
      <c r="J434" s="175">
        <v>46027</v>
      </c>
      <c r="K434" s="171" t="s">
        <v>113</v>
      </c>
      <c r="L434" s="171" t="s">
        <v>114</v>
      </c>
      <c r="M434" s="178">
        <v>0.43</v>
      </c>
      <c r="N434" s="176"/>
      <c r="O434" s="176"/>
      <c r="P434" s="179">
        <v>-732.72</v>
      </c>
    </row>
    <row r="435" spans="1:16" ht="19.5" customHeight="1">
      <c r="A435" s="171" t="s">
        <v>503</v>
      </c>
      <c r="B435" s="175">
        <v>46031</v>
      </c>
      <c r="C435" s="171" t="s">
        <v>115</v>
      </c>
      <c r="D435" s="171" t="s">
        <v>116</v>
      </c>
      <c r="E435" s="171" t="s">
        <v>38</v>
      </c>
      <c r="F435" s="171" t="s">
        <v>111</v>
      </c>
      <c r="G435" s="171" t="s">
        <v>112</v>
      </c>
      <c r="H435" s="176">
        <v>1</v>
      </c>
      <c r="I435" s="177">
        <v>1704</v>
      </c>
      <c r="J435" s="175">
        <v>46027</v>
      </c>
      <c r="K435" s="171" t="s">
        <v>113</v>
      </c>
      <c r="L435" s="171" t="s">
        <v>114</v>
      </c>
      <c r="M435" s="178">
        <v>0.43</v>
      </c>
      <c r="N435" s="176"/>
      <c r="O435" s="176"/>
      <c r="P435" s="179">
        <v>-9.14</v>
      </c>
    </row>
    <row r="436" spans="1:16" ht="19.5" customHeight="1">
      <c r="A436" s="171" t="s">
        <v>503</v>
      </c>
      <c r="B436" s="175">
        <v>46031</v>
      </c>
      <c r="C436" s="171" t="s">
        <v>115</v>
      </c>
      <c r="D436" s="171" t="s">
        <v>135</v>
      </c>
      <c r="E436" s="171" t="s">
        <v>38</v>
      </c>
      <c r="F436" s="171" t="s">
        <v>111</v>
      </c>
      <c r="G436" s="171" t="s">
        <v>112</v>
      </c>
      <c r="H436" s="176">
        <v>1</v>
      </c>
      <c r="I436" s="177">
        <v>0</v>
      </c>
      <c r="J436" s="175">
        <v>46027</v>
      </c>
      <c r="K436" s="171" t="s">
        <v>125</v>
      </c>
      <c r="L436" s="171" t="s">
        <v>125</v>
      </c>
      <c r="M436" s="178">
        <v>0</v>
      </c>
      <c r="N436" s="176"/>
      <c r="O436" s="176"/>
      <c r="P436" s="179">
        <v>-6.66</v>
      </c>
    </row>
    <row r="437" spans="1:16" ht="19.5" customHeight="1">
      <c r="A437" s="171" t="s">
        <v>504</v>
      </c>
      <c r="B437" s="175">
        <v>46031</v>
      </c>
      <c r="C437" s="171" t="s">
        <v>110</v>
      </c>
      <c r="D437" s="171" t="s">
        <v>24</v>
      </c>
      <c r="E437" s="171" t="s">
        <v>41</v>
      </c>
      <c r="F437" s="171" t="s">
        <v>138</v>
      </c>
      <c r="G437" s="171" t="s">
        <v>112</v>
      </c>
      <c r="H437" s="176">
        <v>1</v>
      </c>
      <c r="I437" s="177">
        <v>1687</v>
      </c>
      <c r="J437" s="175">
        <v>46018</v>
      </c>
      <c r="K437" s="171" t="s">
        <v>113</v>
      </c>
      <c r="L437" s="171" t="s">
        <v>114</v>
      </c>
      <c r="M437" s="178">
        <v>0.43</v>
      </c>
      <c r="N437" s="176"/>
      <c r="O437" s="176">
        <v>39</v>
      </c>
      <c r="P437" s="179">
        <v>-108.57</v>
      </c>
    </row>
    <row r="438" spans="1:16" ht="19.5" customHeight="1">
      <c r="A438" s="171" t="s">
        <v>504</v>
      </c>
      <c r="B438" s="175">
        <v>46031</v>
      </c>
      <c r="C438" s="171" t="s">
        <v>127</v>
      </c>
      <c r="D438" s="171" t="s">
        <v>128</v>
      </c>
      <c r="E438" s="171" t="s">
        <v>41</v>
      </c>
      <c r="F438" s="171" t="s">
        <v>138</v>
      </c>
      <c r="G438" s="171" t="s">
        <v>112</v>
      </c>
      <c r="H438" s="176">
        <v>1</v>
      </c>
      <c r="I438" s="177">
        <v>1687</v>
      </c>
      <c r="J438" s="175">
        <v>46018</v>
      </c>
      <c r="K438" s="171" t="s">
        <v>113</v>
      </c>
      <c r="L438" s="171" t="s">
        <v>114</v>
      </c>
      <c r="M438" s="178">
        <v>0</v>
      </c>
      <c r="N438" s="176"/>
      <c r="O438" s="176"/>
      <c r="P438" s="179">
        <v>579.45000000000005</v>
      </c>
    </row>
    <row r="439" spans="1:16" ht="19.5" customHeight="1">
      <c r="A439" s="171" t="s">
        <v>504</v>
      </c>
      <c r="B439" s="175">
        <v>46031</v>
      </c>
      <c r="C439" s="171" t="s">
        <v>127</v>
      </c>
      <c r="D439" s="171" t="s">
        <v>129</v>
      </c>
      <c r="E439" s="171" t="s">
        <v>41</v>
      </c>
      <c r="F439" s="171" t="s">
        <v>138</v>
      </c>
      <c r="G439" s="171" t="s">
        <v>112</v>
      </c>
      <c r="H439" s="176">
        <v>1</v>
      </c>
      <c r="I439" s="177">
        <v>1687</v>
      </c>
      <c r="J439" s="175">
        <v>46018</v>
      </c>
      <c r="K439" s="171" t="s">
        <v>113</v>
      </c>
      <c r="L439" s="171" t="s">
        <v>114</v>
      </c>
      <c r="M439" s="178">
        <v>0</v>
      </c>
      <c r="N439" s="176"/>
      <c r="O439" s="176"/>
      <c r="P439" s="179">
        <v>5.79</v>
      </c>
    </row>
    <row r="440" spans="1:16" ht="19.5" customHeight="1">
      <c r="A440" s="171" t="s">
        <v>504</v>
      </c>
      <c r="B440" s="175">
        <v>46031</v>
      </c>
      <c r="C440" s="171" t="s">
        <v>127</v>
      </c>
      <c r="D440" s="171" t="s">
        <v>130</v>
      </c>
      <c r="E440" s="171" t="s">
        <v>41</v>
      </c>
      <c r="F440" s="171" t="s">
        <v>138</v>
      </c>
      <c r="G440" s="171" t="s">
        <v>112</v>
      </c>
      <c r="H440" s="176">
        <v>1</v>
      </c>
      <c r="I440" s="177">
        <v>1687</v>
      </c>
      <c r="J440" s="175">
        <v>46018</v>
      </c>
      <c r="K440" s="171" t="s">
        <v>113</v>
      </c>
      <c r="L440" s="171" t="s">
        <v>114</v>
      </c>
      <c r="M440" s="178">
        <v>0</v>
      </c>
      <c r="N440" s="176"/>
      <c r="O440" s="176"/>
      <c r="P440" s="179">
        <v>1101.76</v>
      </c>
    </row>
    <row r="441" spans="1:16" ht="19.5" customHeight="1">
      <c r="A441" s="171" t="s">
        <v>504</v>
      </c>
      <c r="B441" s="175">
        <v>46031</v>
      </c>
      <c r="C441" s="171" t="s">
        <v>131</v>
      </c>
      <c r="D441" s="171" t="s">
        <v>132</v>
      </c>
      <c r="E441" s="171" t="s">
        <v>41</v>
      </c>
      <c r="F441" s="171" t="s">
        <v>138</v>
      </c>
      <c r="G441" s="171" t="s">
        <v>112</v>
      </c>
      <c r="H441" s="176">
        <v>1</v>
      </c>
      <c r="I441" s="177">
        <v>1687</v>
      </c>
      <c r="J441" s="175">
        <v>46018</v>
      </c>
      <c r="K441" s="171" t="s">
        <v>113</v>
      </c>
      <c r="L441" s="171" t="s">
        <v>114</v>
      </c>
      <c r="M441" s="178">
        <v>0.43</v>
      </c>
      <c r="N441" s="176"/>
      <c r="O441" s="176"/>
      <c r="P441" s="179">
        <v>-725.41</v>
      </c>
    </row>
    <row r="442" spans="1:16" ht="19.5" customHeight="1">
      <c r="A442" s="171" t="s">
        <v>504</v>
      </c>
      <c r="B442" s="175">
        <v>46031</v>
      </c>
      <c r="C442" s="171" t="s">
        <v>115</v>
      </c>
      <c r="D442" s="171" t="s">
        <v>116</v>
      </c>
      <c r="E442" s="171" t="s">
        <v>41</v>
      </c>
      <c r="F442" s="171" t="s">
        <v>138</v>
      </c>
      <c r="G442" s="171" t="s">
        <v>112</v>
      </c>
      <c r="H442" s="176">
        <v>1</v>
      </c>
      <c r="I442" s="177">
        <v>1687</v>
      </c>
      <c r="J442" s="175">
        <v>46018</v>
      </c>
      <c r="K442" s="171" t="s">
        <v>113</v>
      </c>
      <c r="L442" s="171" t="s">
        <v>114</v>
      </c>
      <c r="M442" s="178">
        <v>0.43</v>
      </c>
      <c r="N442" s="176"/>
      <c r="O442" s="176"/>
      <c r="P442" s="179">
        <v>-12.09</v>
      </c>
    </row>
    <row r="443" spans="1:16" ht="19.5" customHeight="1">
      <c r="A443" s="171" t="s">
        <v>504</v>
      </c>
      <c r="B443" s="175">
        <v>46031</v>
      </c>
      <c r="C443" s="171" t="s">
        <v>115</v>
      </c>
      <c r="D443" s="171" t="s">
        <v>135</v>
      </c>
      <c r="E443" s="171" t="s">
        <v>41</v>
      </c>
      <c r="F443" s="171" t="s">
        <v>138</v>
      </c>
      <c r="G443" s="171" t="s">
        <v>112</v>
      </c>
      <c r="H443" s="176">
        <v>1</v>
      </c>
      <c r="I443" s="177">
        <v>0</v>
      </c>
      <c r="J443" s="175">
        <v>46018</v>
      </c>
      <c r="K443" s="171" t="s">
        <v>125</v>
      </c>
      <c r="L443" s="171" t="s">
        <v>125</v>
      </c>
      <c r="M443" s="178">
        <v>0</v>
      </c>
      <c r="N443" s="176"/>
      <c r="O443" s="176"/>
      <c r="P443" s="179">
        <v>-11.01</v>
      </c>
    </row>
    <row r="444" spans="1:16" ht="19.5" customHeight="1">
      <c r="A444" s="171" t="s">
        <v>505</v>
      </c>
      <c r="B444" s="175">
        <v>46031</v>
      </c>
      <c r="C444" s="171" t="s">
        <v>110</v>
      </c>
      <c r="D444" s="171" t="s">
        <v>24</v>
      </c>
      <c r="E444" s="171" t="s">
        <v>38</v>
      </c>
      <c r="F444" s="171" t="s">
        <v>111</v>
      </c>
      <c r="G444" s="171" t="s">
        <v>112</v>
      </c>
      <c r="H444" s="176">
        <v>1</v>
      </c>
      <c r="I444" s="177">
        <v>1704</v>
      </c>
      <c r="J444" s="175">
        <v>46029</v>
      </c>
      <c r="K444" s="171" t="s">
        <v>113</v>
      </c>
      <c r="L444" s="171" t="s">
        <v>114</v>
      </c>
      <c r="M444" s="178">
        <v>0.43</v>
      </c>
      <c r="N444" s="176"/>
      <c r="O444" s="176">
        <v>46</v>
      </c>
      <c r="P444" s="179">
        <v>-137.83000000000001</v>
      </c>
    </row>
    <row r="445" spans="1:16" ht="19.5" customHeight="1">
      <c r="A445" s="171" t="s">
        <v>505</v>
      </c>
      <c r="B445" s="175">
        <v>46031</v>
      </c>
      <c r="C445" s="171" t="s">
        <v>127</v>
      </c>
      <c r="D445" s="171" t="s">
        <v>128</v>
      </c>
      <c r="E445" s="171" t="s">
        <v>38</v>
      </c>
      <c r="F445" s="171" t="s">
        <v>111</v>
      </c>
      <c r="G445" s="171" t="s">
        <v>112</v>
      </c>
      <c r="H445" s="176">
        <v>1</v>
      </c>
      <c r="I445" s="177">
        <v>1704</v>
      </c>
      <c r="J445" s="175">
        <v>46029</v>
      </c>
      <c r="K445" s="171" t="s">
        <v>113</v>
      </c>
      <c r="L445" s="171" t="s">
        <v>114</v>
      </c>
      <c r="M445" s="178">
        <v>0</v>
      </c>
      <c r="N445" s="176"/>
      <c r="O445" s="176"/>
      <c r="P445" s="179">
        <v>585.71</v>
      </c>
    </row>
    <row r="446" spans="1:16" ht="19.5" customHeight="1">
      <c r="A446" s="171" t="s">
        <v>505</v>
      </c>
      <c r="B446" s="175">
        <v>46031</v>
      </c>
      <c r="C446" s="171" t="s">
        <v>127</v>
      </c>
      <c r="D446" s="171" t="s">
        <v>129</v>
      </c>
      <c r="E446" s="171" t="s">
        <v>38</v>
      </c>
      <c r="F446" s="171" t="s">
        <v>111</v>
      </c>
      <c r="G446" s="171" t="s">
        <v>112</v>
      </c>
      <c r="H446" s="176">
        <v>1</v>
      </c>
      <c r="I446" s="177">
        <v>1704</v>
      </c>
      <c r="J446" s="175">
        <v>46029</v>
      </c>
      <c r="K446" s="171" t="s">
        <v>113</v>
      </c>
      <c r="L446" s="171" t="s">
        <v>114</v>
      </c>
      <c r="M446" s="178">
        <v>0</v>
      </c>
      <c r="N446" s="176"/>
      <c r="O446" s="176"/>
      <c r="P446" s="179">
        <v>5.86</v>
      </c>
    </row>
    <row r="447" spans="1:16" ht="19.5" customHeight="1">
      <c r="A447" s="171" t="s">
        <v>505</v>
      </c>
      <c r="B447" s="175">
        <v>46031</v>
      </c>
      <c r="C447" s="171" t="s">
        <v>127</v>
      </c>
      <c r="D447" s="171" t="s">
        <v>130</v>
      </c>
      <c r="E447" s="171" t="s">
        <v>38</v>
      </c>
      <c r="F447" s="171" t="s">
        <v>111</v>
      </c>
      <c r="G447" s="171" t="s">
        <v>112</v>
      </c>
      <c r="H447" s="176">
        <v>1</v>
      </c>
      <c r="I447" s="177">
        <v>1704</v>
      </c>
      <c r="J447" s="175">
        <v>46029</v>
      </c>
      <c r="K447" s="171" t="s">
        <v>113</v>
      </c>
      <c r="L447" s="171" t="s">
        <v>114</v>
      </c>
      <c r="M447" s="178">
        <v>0</v>
      </c>
      <c r="N447" s="176"/>
      <c r="O447" s="176"/>
      <c r="P447" s="179">
        <v>1112.43</v>
      </c>
    </row>
    <row r="448" spans="1:16" ht="19.5" customHeight="1">
      <c r="A448" s="171" t="s">
        <v>505</v>
      </c>
      <c r="B448" s="175">
        <v>46031</v>
      </c>
      <c r="C448" s="171" t="s">
        <v>131</v>
      </c>
      <c r="D448" s="171" t="s">
        <v>132</v>
      </c>
      <c r="E448" s="171" t="s">
        <v>38</v>
      </c>
      <c r="F448" s="171" t="s">
        <v>111</v>
      </c>
      <c r="G448" s="171" t="s">
        <v>112</v>
      </c>
      <c r="H448" s="176">
        <v>1</v>
      </c>
      <c r="I448" s="177">
        <v>1704</v>
      </c>
      <c r="J448" s="175">
        <v>46029</v>
      </c>
      <c r="K448" s="171" t="s">
        <v>113</v>
      </c>
      <c r="L448" s="171" t="s">
        <v>114</v>
      </c>
      <c r="M448" s="178">
        <v>0.43</v>
      </c>
      <c r="N448" s="176"/>
      <c r="O448" s="176"/>
      <c r="P448" s="179">
        <v>-732.72</v>
      </c>
    </row>
    <row r="449" spans="1:16" ht="19.5" customHeight="1">
      <c r="A449" s="171" t="s">
        <v>505</v>
      </c>
      <c r="B449" s="175">
        <v>46031</v>
      </c>
      <c r="C449" s="171" t="s">
        <v>115</v>
      </c>
      <c r="D449" s="171" t="s">
        <v>116</v>
      </c>
      <c r="E449" s="171" t="s">
        <v>38</v>
      </c>
      <c r="F449" s="171" t="s">
        <v>111</v>
      </c>
      <c r="G449" s="171" t="s">
        <v>112</v>
      </c>
      <c r="H449" s="176">
        <v>1</v>
      </c>
      <c r="I449" s="177">
        <v>1704</v>
      </c>
      <c r="J449" s="175">
        <v>46029</v>
      </c>
      <c r="K449" s="171" t="s">
        <v>113</v>
      </c>
      <c r="L449" s="171" t="s">
        <v>114</v>
      </c>
      <c r="M449" s="178">
        <v>0.43</v>
      </c>
      <c r="N449" s="176"/>
      <c r="O449" s="176"/>
      <c r="P449" s="179">
        <v>-9.27</v>
      </c>
    </row>
    <row r="450" spans="1:16" ht="19.5" customHeight="1">
      <c r="A450" s="171" t="s">
        <v>505</v>
      </c>
      <c r="B450" s="175">
        <v>46031</v>
      </c>
      <c r="C450" s="171" t="s">
        <v>115</v>
      </c>
      <c r="D450" s="171" t="s">
        <v>135</v>
      </c>
      <c r="E450" s="171" t="s">
        <v>38</v>
      </c>
      <c r="F450" s="171" t="s">
        <v>111</v>
      </c>
      <c r="G450" s="171" t="s">
        <v>112</v>
      </c>
      <c r="H450" s="176">
        <v>1</v>
      </c>
      <c r="I450" s="177">
        <v>0</v>
      </c>
      <c r="J450" s="175">
        <v>46029</v>
      </c>
      <c r="K450" s="171" t="s">
        <v>125</v>
      </c>
      <c r="L450" s="171" t="s">
        <v>125</v>
      </c>
      <c r="M450" s="178">
        <v>0</v>
      </c>
      <c r="N450" s="176"/>
      <c r="O450" s="176"/>
      <c r="P450" s="179">
        <v>-11.13</v>
      </c>
    </row>
    <row r="451" spans="1:16" ht="19.5" customHeight="1">
      <c r="A451" s="171" t="s">
        <v>506</v>
      </c>
      <c r="B451" s="175">
        <v>46031</v>
      </c>
      <c r="C451" s="171" t="s">
        <v>507</v>
      </c>
      <c r="D451" s="171" t="s">
        <v>508</v>
      </c>
      <c r="E451" s="171" t="s">
        <v>70</v>
      </c>
      <c r="F451" s="171" t="s">
        <v>509</v>
      </c>
      <c r="G451" s="171" t="s">
        <v>177</v>
      </c>
      <c r="H451" s="176">
        <v>1</v>
      </c>
      <c r="I451" s="177">
        <v>0</v>
      </c>
      <c r="J451" s="175">
        <v>46029</v>
      </c>
      <c r="K451" s="171" t="s">
        <v>113</v>
      </c>
      <c r="L451" s="171" t="s">
        <v>114</v>
      </c>
      <c r="M451" s="178">
        <v>0</v>
      </c>
      <c r="N451" s="176"/>
      <c r="O451" s="176"/>
      <c r="P451" s="179">
        <v>-5</v>
      </c>
    </row>
    <row r="452" spans="1:16" ht="19.5" customHeight="1">
      <c r="A452" s="171" t="s">
        <v>506</v>
      </c>
      <c r="B452" s="175">
        <v>46031</v>
      </c>
      <c r="C452" s="171" t="s">
        <v>115</v>
      </c>
      <c r="D452" s="171" t="s">
        <v>510</v>
      </c>
      <c r="E452" s="171" t="s">
        <v>70</v>
      </c>
      <c r="F452" s="171" t="s">
        <v>509</v>
      </c>
      <c r="G452" s="171" t="s">
        <v>177</v>
      </c>
      <c r="H452" s="176">
        <v>1</v>
      </c>
      <c r="I452" s="177">
        <v>0</v>
      </c>
      <c r="J452" s="175">
        <v>46029</v>
      </c>
      <c r="K452" s="171" t="s">
        <v>113</v>
      </c>
      <c r="L452" s="171" t="s">
        <v>114</v>
      </c>
      <c r="M452" s="178">
        <v>0</v>
      </c>
      <c r="N452" s="176"/>
      <c r="O452" s="176"/>
      <c r="P452" s="179">
        <v>-10</v>
      </c>
    </row>
    <row r="453" spans="1:16" ht="19.5" customHeight="1">
      <c r="A453" s="171" t="s">
        <v>511</v>
      </c>
      <c r="B453" s="175">
        <v>46031</v>
      </c>
      <c r="C453" s="171" t="s">
        <v>110</v>
      </c>
      <c r="D453" s="171" t="s">
        <v>24</v>
      </c>
      <c r="E453" s="171" t="s">
        <v>38</v>
      </c>
      <c r="F453" s="171" t="s">
        <v>111</v>
      </c>
      <c r="G453" s="171" t="s">
        <v>112</v>
      </c>
      <c r="H453" s="176">
        <v>1</v>
      </c>
      <c r="I453" s="177">
        <v>1704</v>
      </c>
      <c r="J453" s="175">
        <v>46030</v>
      </c>
      <c r="K453" s="171" t="s">
        <v>113</v>
      </c>
      <c r="L453" s="171" t="s">
        <v>114</v>
      </c>
      <c r="M453" s="178">
        <v>0.43</v>
      </c>
      <c r="N453" s="176"/>
      <c r="O453" s="176">
        <v>46</v>
      </c>
      <c r="P453" s="179">
        <v>-136.53</v>
      </c>
    </row>
    <row r="454" spans="1:16" ht="19.5" customHeight="1">
      <c r="A454" s="171" t="s">
        <v>511</v>
      </c>
      <c r="B454" s="175">
        <v>46031</v>
      </c>
      <c r="C454" s="171" t="s">
        <v>127</v>
      </c>
      <c r="D454" s="171" t="s">
        <v>128</v>
      </c>
      <c r="E454" s="171" t="s">
        <v>38</v>
      </c>
      <c r="F454" s="171" t="s">
        <v>111</v>
      </c>
      <c r="G454" s="171" t="s">
        <v>112</v>
      </c>
      <c r="H454" s="176">
        <v>1</v>
      </c>
      <c r="I454" s="177">
        <v>1704</v>
      </c>
      <c r="J454" s="175">
        <v>46030</v>
      </c>
      <c r="K454" s="171" t="s">
        <v>113</v>
      </c>
      <c r="L454" s="171" t="s">
        <v>114</v>
      </c>
      <c r="M454" s="178">
        <v>0</v>
      </c>
      <c r="N454" s="176"/>
      <c r="O454" s="176"/>
      <c r="P454" s="179">
        <v>643.4</v>
      </c>
    </row>
    <row r="455" spans="1:16" ht="19.5" customHeight="1">
      <c r="A455" s="171" t="s">
        <v>511</v>
      </c>
      <c r="B455" s="175">
        <v>46031</v>
      </c>
      <c r="C455" s="171" t="s">
        <v>127</v>
      </c>
      <c r="D455" s="171" t="s">
        <v>129</v>
      </c>
      <c r="E455" s="171" t="s">
        <v>38</v>
      </c>
      <c r="F455" s="171" t="s">
        <v>111</v>
      </c>
      <c r="G455" s="171" t="s">
        <v>112</v>
      </c>
      <c r="H455" s="176">
        <v>1</v>
      </c>
      <c r="I455" s="177">
        <v>1704</v>
      </c>
      <c r="J455" s="175">
        <v>46030</v>
      </c>
      <c r="K455" s="171" t="s">
        <v>113</v>
      </c>
      <c r="L455" s="171" t="s">
        <v>114</v>
      </c>
      <c r="M455" s="178">
        <v>0</v>
      </c>
      <c r="N455" s="176"/>
      <c r="O455" s="176"/>
      <c r="P455" s="179">
        <v>0</v>
      </c>
    </row>
    <row r="456" spans="1:16" ht="19.5" customHeight="1">
      <c r="A456" s="171" t="s">
        <v>511</v>
      </c>
      <c r="B456" s="175">
        <v>46031</v>
      </c>
      <c r="C456" s="171" t="s">
        <v>127</v>
      </c>
      <c r="D456" s="171" t="s">
        <v>130</v>
      </c>
      <c r="E456" s="171" t="s">
        <v>38</v>
      </c>
      <c r="F456" s="171" t="s">
        <v>111</v>
      </c>
      <c r="G456" s="171" t="s">
        <v>112</v>
      </c>
      <c r="H456" s="176">
        <v>1</v>
      </c>
      <c r="I456" s="177">
        <v>1704</v>
      </c>
      <c r="J456" s="175">
        <v>46030</v>
      </c>
      <c r="K456" s="171" t="s">
        <v>113</v>
      </c>
      <c r="L456" s="171" t="s">
        <v>114</v>
      </c>
      <c r="M456" s="178">
        <v>0</v>
      </c>
      <c r="N456" s="176"/>
      <c r="O456" s="176"/>
      <c r="P456" s="179">
        <v>1060.5999999999999</v>
      </c>
    </row>
    <row r="457" spans="1:16" ht="19.5" customHeight="1">
      <c r="A457" s="171" t="s">
        <v>511</v>
      </c>
      <c r="B457" s="175">
        <v>46031</v>
      </c>
      <c r="C457" s="171" t="s">
        <v>131</v>
      </c>
      <c r="D457" s="171" t="s">
        <v>132</v>
      </c>
      <c r="E457" s="171" t="s">
        <v>38</v>
      </c>
      <c r="F457" s="171" t="s">
        <v>111</v>
      </c>
      <c r="G457" s="171" t="s">
        <v>112</v>
      </c>
      <c r="H457" s="176">
        <v>1</v>
      </c>
      <c r="I457" s="177">
        <v>1704</v>
      </c>
      <c r="J457" s="175">
        <v>46030</v>
      </c>
      <c r="K457" s="171" t="s">
        <v>113</v>
      </c>
      <c r="L457" s="171" t="s">
        <v>114</v>
      </c>
      <c r="M457" s="178">
        <v>0.43</v>
      </c>
      <c r="N457" s="176"/>
      <c r="O457" s="176"/>
      <c r="P457" s="179">
        <v>-732.72</v>
      </c>
    </row>
    <row r="458" spans="1:16" ht="19.5" customHeight="1">
      <c r="A458" s="171" t="s">
        <v>511</v>
      </c>
      <c r="B458" s="175">
        <v>46031</v>
      </c>
      <c r="C458" s="171" t="s">
        <v>115</v>
      </c>
      <c r="D458" s="171" t="s">
        <v>116</v>
      </c>
      <c r="E458" s="171" t="s">
        <v>38</v>
      </c>
      <c r="F458" s="171" t="s">
        <v>111</v>
      </c>
      <c r="G458" s="171" t="s">
        <v>112</v>
      </c>
      <c r="H458" s="176">
        <v>1</v>
      </c>
      <c r="I458" s="177">
        <v>1704</v>
      </c>
      <c r="J458" s="175">
        <v>46030</v>
      </c>
      <c r="K458" s="171" t="s">
        <v>113</v>
      </c>
      <c r="L458" s="171" t="s">
        <v>114</v>
      </c>
      <c r="M458" s="178">
        <v>0.43</v>
      </c>
      <c r="N458" s="176"/>
      <c r="O458" s="176"/>
      <c r="P458" s="179">
        <v>-9.5</v>
      </c>
    </row>
    <row r="459" spans="1:16" ht="19.5" customHeight="1">
      <c r="A459" s="171" t="s">
        <v>512</v>
      </c>
      <c r="B459" s="175">
        <v>46031</v>
      </c>
      <c r="C459" s="171" t="s">
        <v>110</v>
      </c>
      <c r="D459" s="171" t="s">
        <v>24</v>
      </c>
      <c r="E459" s="171" t="s">
        <v>38</v>
      </c>
      <c r="F459" s="171" t="s">
        <v>111</v>
      </c>
      <c r="G459" s="171" t="s">
        <v>112</v>
      </c>
      <c r="H459" s="176">
        <v>1</v>
      </c>
      <c r="I459" s="177">
        <v>1704</v>
      </c>
      <c r="J459" s="175">
        <v>46029</v>
      </c>
      <c r="K459" s="171" t="s">
        <v>113</v>
      </c>
      <c r="L459" s="171" t="s">
        <v>114</v>
      </c>
      <c r="M459" s="178">
        <v>0.43</v>
      </c>
      <c r="N459" s="176"/>
      <c r="O459" s="176">
        <v>46</v>
      </c>
      <c r="P459" s="179">
        <v>-137.83000000000001</v>
      </c>
    </row>
    <row r="460" spans="1:16" ht="19.5" customHeight="1">
      <c r="A460" s="171" t="s">
        <v>512</v>
      </c>
      <c r="B460" s="175">
        <v>46031</v>
      </c>
      <c r="C460" s="171" t="s">
        <v>127</v>
      </c>
      <c r="D460" s="171" t="s">
        <v>128</v>
      </c>
      <c r="E460" s="171" t="s">
        <v>38</v>
      </c>
      <c r="F460" s="171" t="s">
        <v>111</v>
      </c>
      <c r="G460" s="171" t="s">
        <v>112</v>
      </c>
      <c r="H460" s="176">
        <v>1</v>
      </c>
      <c r="I460" s="177">
        <v>1704</v>
      </c>
      <c r="J460" s="175">
        <v>46029</v>
      </c>
      <c r="K460" s="171" t="s">
        <v>113</v>
      </c>
      <c r="L460" s="171" t="s">
        <v>114</v>
      </c>
      <c r="M460" s="178">
        <v>0</v>
      </c>
      <c r="N460" s="176"/>
      <c r="O460" s="176"/>
      <c r="P460" s="179">
        <v>582.94000000000005</v>
      </c>
    </row>
    <row r="461" spans="1:16" ht="19.5" customHeight="1">
      <c r="A461" s="171" t="s">
        <v>512</v>
      </c>
      <c r="B461" s="175">
        <v>46031</v>
      </c>
      <c r="C461" s="171" t="s">
        <v>127</v>
      </c>
      <c r="D461" s="171" t="s">
        <v>129</v>
      </c>
      <c r="E461" s="171" t="s">
        <v>38</v>
      </c>
      <c r="F461" s="171" t="s">
        <v>111</v>
      </c>
      <c r="G461" s="171" t="s">
        <v>112</v>
      </c>
      <c r="H461" s="176">
        <v>1</v>
      </c>
      <c r="I461" s="177">
        <v>1704</v>
      </c>
      <c r="J461" s="175">
        <v>46029</v>
      </c>
      <c r="K461" s="171" t="s">
        <v>113</v>
      </c>
      <c r="L461" s="171" t="s">
        <v>114</v>
      </c>
      <c r="M461" s="178">
        <v>0</v>
      </c>
      <c r="N461" s="176"/>
      <c r="O461" s="176"/>
      <c r="P461" s="179">
        <v>5.83</v>
      </c>
    </row>
    <row r="462" spans="1:16" ht="19.5" customHeight="1">
      <c r="A462" s="171" t="s">
        <v>512</v>
      </c>
      <c r="B462" s="175">
        <v>46031</v>
      </c>
      <c r="C462" s="171" t="s">
        <v>127</v>
      </c>
      <c r="D462" s="171" t="s">
        <v>130</v>
      </c>
      <c r="E462" s="171" t="s">
        <v>38</v>
      </c>
      <c r="F462" s="171" t="s">
        <v>111</v>
      </c>
      <c r="G462" s="171" t="s">
        <v>112</v>
      </c>
      <c r="H462" s="176">
        <v>1</v>
      </c>
      <c r="I462" s="177">
        <v>1704</v>
      </c>
      <c r="J462" s="175">
        <v>46029</v>
      </c>
      <c r="K462" s="171" t="s">
        <v>113</v>
      </c>
      <c r="L462" s="171" t="s">
        <v>114</v>
      </c>
      <c r="M462" s="178">
        <v>0</v>
      </c>
      <c r="N462" s="176"/>
      <c r="O462" s="176"/>
      <c r="P462" s="179">
        <v>1115.23</v>
      </c>
    </row>
    <row r="463" spans="1:16" ht="19.5" customHeight="1">
      <c r="A463" s="171" t="s">
        <v>512</v>
      </c>
      <c r="B463" s="175">
        <v>46031</v>
      </c>
      <c r="C463" s="171" t="s">
        <v>131</v>
      </c>
      <c r="D463" s="171" t="s">
        <v>132</v>
      </c>
      <c r="E463" s="171" t="s">
        <v>38</v>
      </c>
      <c r="F463" s="171" t="s">
        <v>111</v>
      </c>
      <c r="G463" s="171" t="s">
        <v>112</v>
      </c>
      <c r="H463" s="176">
        <v>1</v>
      </c>
      <c r="I463" s="177">
        <v>1704</v>
      </c>
      <c r="J463" s="175">
        <v>46029</v>
      </c>
      <c r="K463" s="171" t="s">
        <v>113</v>
      </c>
      <c r="L463" s="171" t="s">
        <v>114</v>
      </c>
      <c r="M463" s="178">
        <v>0.43</v>
      </c>
      <c r="N463" s="176"/>
      <c r="O463" s="176"/>
      <c r="P463" s="179">
        <v>-732.72</v>
      </c>
    </row>
    <row r="464" spans="1:16" ht="19.5" customHeight="1">
      <c r="A464" s="171" t="s">
        <v>512</v>
      </c>
      <c r="B464" s="175">
        <v>46031</v>
      </c>
      <c r="C464" s="171" t="s">
        <v>115</v>
      </c>
      <c r="D464" s="171" t="s">
        <v>116</v>
      </c>
      <c r="E464" s="171" t="s">
        <v>38</v>
      </c>
      <c r="F464" s="171" t="s">
        <v>111</v>
      </c>
      <c r="G464" s="171" t="s">
        <v>112</v>
      </c>
      <c r="H464" s="176">
        <v>1</v>
      </c>
      <c r="I464" s="177">
        <v>1704</v>
      </c>
      <c r="J464" s="175">
        <v>46029</v>
      </c>
      <c r="K464" s="171" t="s">
        <v>113</v>
      </c>
      <c r="L464" s="171" t="s">
        <v>114</v>
      </c>
      <c r="M464" s="178">
        <v>0.43</v>
      </c>
      <c r="N464" s="176"/>
      <c r="O464" s="176"/>
      <c r="P464" s="179">
        <v>-10.67</v>
      </c>
    </row>
    <row r="465" spans="1:16" ht="19.5" customHeight="1">
      <c r="A465" s="171" t="s">
        <v>513</v>
      </c>
      <c r="B465" s="175">
        <v>46031</v>
      </c>
      <c r="C465" s="171" t="s">
        <v>110</v>
      </c>
      <c r="D465" s="171" t="s">
        <v>24</v>
      </c>
      <c r="E465" s="171" t="s">
        <v>38</v>
      </c>
      <c r="F465" s="171" t="s">
        <v>111</v>
      </c>
      <c r="G465" s="171" t="s">
        <v>112</v>
      </c>
      <c r="H465" s="176">
        <v>1</v>
      </c>
      <c r="I465" s="177">
        <v>1704</v>
      </c>
      <c r="J465" s="175">
        <v>46029</v>
      </c>
      <c r="K465" s="171" t="s">
        <v>113</v>
      </c>
      <c r="L465" s="171" t="s">
        <v>114</v>
      </c>
      <c r="M465" s="178">
        <v>0.43</v>
      </c>
      <c r="N465" s="176"/>
      <c r="O465" s="176">
        <v>46</v>
      </c>
      <c r="P465" s="179">
        <v>-137.83000000000001</v>
      </c>
    </row>
    <row r="466" spans="1:16" ht="19.5" customHeight="1">
      <c r="A466" s="171" t="s">
        <v>513</v>
      </c>
      <c r="B466" s="175">
        <v>46031</v>
      </c>
      <c r="C466" s="171" t="s">
        <v>127</v>
      </c>
      <c r="D466" s="171" t="s">
        <v>128</v>
      </c>
      <c r="E466" s="171" t="s">
        <v>38</v>
      </c>
      <c r="F466" s="171" t="s">
        <v>111</v>
      </c>
      <c r="G466" s="171" t="s">
        <v>112</v>
      </c>
      <c r="H466" s="176">
        <v>1</v>
      </c>
      <c r="I466" s="177">
        <v>1704</v>
      </c>
      <c r="J466" s="175">
        <v>46029</v>
      </c>
      <c r="K466" s="171" t="s">
        <v>113</v>
      </c>
      <c r="L466" s="171" t="s">
        <v>114</v>
      </c>
      <c r="M466" s="178">
        <v>0</v>
      </c>
      <c r="N466" s="176"/>
      <c r="O466" s="176"/>
      <c r="P466" s="179">
        <v>649.52</v>
      </c>
    </row>
    <row r="467" spans="1:16" ht="19.5" customHeight="1">
      <c r="A467" s="171" t="s">
        <v>513</v>
      </c>
      <c r="B467" s="175">
        <v>46031</v>
      </c>
      <c r="C467" s="171" t="s">
        <v>127</v>
      </c>
      <c r="D467" s="171" t="s">
        <v>129</v>
      </c>
      <c r="E467" s="171" t="s">
        <v>38</v>
      </c>
      <c r="F467" s="171" t="s">
        <v>111</v>
      </c>
      <c r="G467" s="171" t="s">
        <v>112</v>
      </c>
      <c r="H467" s="176">
        <v>1</v>
      </c>
      <c r="I467" s="177">
        <v>1704</v>
      </c>
      <c r="J467" s="175">
        <v>46029</v>
      </c>
      <c r="K467" s="171" t="s">
        <v>113</v>
      </c>
      <c r="L467" s="171" t="s">
        <v>114</v>
      </c>
      <c r="M467" s="178">
        <v>0</v>
      </c>
      <c r="N467" s="176"/>
      <c r="O467" s="176"/>
      <c r="P467" s="179">
        <v>0</v>
      </c>
    </row>
    <row r="468" spans="1:16" ht="19.5" customHeight="1">
      <c r="A468" s="171" t="s">
        <v>513</v>
      </c>
      <c r="B468" s="175">
        <v>46031</v>
      </c>
      <c r="C468" s="171" t="s">
        <v>127</v>
      </c>
      <c r="D468" s="171" t="s">
        <v>130</v>
      </c>
      <c r="E468" s="171" t="s">
        <v>38</v>
      </c>
      <c r="F468" s="171" t="s">
        <v>111</v>
      </c>
      <c r="G468" s="171" t="s">
        <v>112</v>
      </c>
      <c r="H468" s="176">
        <v>1</v>
      </c>
      <c r="I468" s="177">
        <v>1704</v>
      </c>
      <c r="J468" s="175">
        <v>46029</v>
      </c>
      <c r="K468" s="171" t="s">
        <v>113</v>
      </c>
      <c r="L468" s="171" t="s">
        <v>114</v>
      </c>
      <c r="M468" s="178">
        <v>0</v>
      </c>
      <c r="N468" s="176"/>
      <c r="O468" s="176"/>
      <c r="P468" s="179">
        <v>1054.48</v>
      </c>
    </row>
    <row r="469" spans="1:16" ht="19.5" customHeight="1">
      <c r="A469" s="171" t="s">
        <v>513</v>
      </c>
      <c r="B469" s="175">
        <v>46031</v>
      </c>
      <c r="C469" s="171" t="s">
        <v>131</v>
      </c>
      <c r="D469" s="171" t="s">
        <v>132</v>
      </c>
      <c r="E469" s="171" t="s">
        <v>38</v>
      </c>
      <c r="F469" s="171" t="s">
        <v>111</v>
      </c>
      <c r="G469" s="171" t="s">
        <v>112</v>
      </c>
      <c r="H469" s="176">
        <v>1</v>
      </c>
      <c r="I469" s="177">
        <v>1704</v>
      </c>
      <c r="J469" s="175">
        <v>46029</v>
      </c>
      <c r="K469" s="171" t="s">
        <v>113</v>
      </c>
      <c r="L469" s="171" t="s">
        <v>114</v>
      </c>
      <c r="M469" s="178">
        <v>0.43</v>
      </c>
      <c r="N469" s="176"/>
      <c r="O469" s="176"/>
      <c r="P469" s="179">
        <v>-732.72</v>
      </c>
    </row>
    <row r="470" spans="1:16" ht="19.5" customHeight="1">
      <c r="A470" s="171" t="s">
        <v>513</v>
      </c>
      <c r="B470" s="175">
        <v>46031</v>
      </c>
      <c r="C470" s="171" t="s">
        <v>115</v>
      </c>
      <c r="D470" s="171" t="s">
        <v>116</v>
      </c>
      <c r="E470" s="171" t="s">
        <v>38</v>
      </c>
      <c r="F470" s="171" t="s">
        <v>111</v>
      </c>
      <c r="G470" s="171" t="s">
        <v>112</v>
      </c>
      <c r="H470" s="176">
        <v>1</v>
      </c>
      <c r="I470" s="177">
        <v>1704</v>
      </c>
      <c r="J470" s="175">
        <v>46029</v>
      </c>
      <c r="K470" s="171" t="s">
        <v>113</v>
      </c>
      <c r="L470" s="171" t="s">
        <v>114</v>
      </c>
      <c r="M470" s="178">
        <v>0.43</v>
      </c>
      <c r="N470" s="176"/>
      <c r="O470" s="176"/>
      <c r="P470" s="179">
        <v>-13.95</v>
      </c>
    </row>
    <row r="471" spans="1:16" ht="19.5" customHeight="1">
      <c r="A471" s="171" t="s">
        <v>514</v>
      </c>
      <c r="B471" s="175">
        <v>46031</v>
      </c>
      <c r="C471" s="171" t="s">
        <v>110</v>
      </c>
      <c r="D471" s="171" t="s">
        <v>117</v>
      </c>
      <c r="E471" s="171" t="s">
        <v>38</v>
      </c>
      <c r="F471" s="171" t="s">
        <v>111</v>
      </c>
      <c r="G471" s="171" t="s">
        <v>112</v>
      </c>
      <c r="H471" s="176">
        <v>1</v>
      </c>
      <c r="I471" s="177">
        <v>0</v>
      </c>
      <c r="J471" s="175">
        <v>46024</v>
      </c>
      <c r="K471" s="171" t="s">
        <v>113</v>
      </c>
      <c r="L471" s="171" t="s">
        <v>114</v>
      </c>
      <c r="M471" s="178">
        <v>0</v>
      </c>
      <c r="N471" s="176"/>
      <c r="O471" s="176"/>
      <c r="P471" s="179">
        <v>0</v>
      </c>
    </row>
    <row r="472" spans="1:16" ht="19.5" customHeight="1">
      <c r="A472" s="171" t="s">
        <v>514</v>
      </c>
      <c r="B472" s="175">
        <v>46031</v>
      </c>
      <c r="C472" s="171" t="s">
        <v>110</v>
      </c>
      <c r="D472" s="171" t="s">
        <v>118</v>
      </c>
      <c r="E472" s="171" t="s">
        <v>38</v>
      </c>
      <c r="F472" s="171" t="s">
        <v>111</v>
      </c>
      <c r="G472" s="171" t="s">
        <v>112</v>
      </c>
      <c r="H472" s="176">
        <v>1</v>
      </c>
      <c r="I472" s="177">
        <v>0</v>
      </c>
      <c r="J472" s="175">
        <v>46024</v>
      </c>
      <c r="K472" s="171" t="s">
        <v>113</v>
      </c>
      <c r="L472" s="171" t="s">
        <v>114</v>
      </c>
      <c r="M472" s="178">
        <v>0</v>
      </c>
      <c r="N472" s="176"/>
      <c r="O472" s="176"/>
      <c r="P472" s="179">
        <v>-46.77</v>
      </c>
    </row>
    <row r="473" spans="1:16" ht="19.5" customHeight="1">
      <c r="A473" s="171" t="s">
        <v>514</v>
      </c>
      <c r="B473" s="175">
        <v>46031</v>
      </c>
      <c r="C473" s="171" t="s">
        <v>115</v>
      </c>
      <c r="D473" s="171" t="s">
        <v>119</v>
      </c>
      <c r="E473" s="171" t="s">
        <v>38</v>
      </c>
      <c r="F473" s="171" t="s">
        <v>111</v>
      </c>
      <c r="G473" s="171" t="s">
        <v>112</v>
      </c>
      <c r="H473" s="176">
        <v>1</v>
      </c>
      <c r="I473" s="177">
        <v>0</v>
      </c>
      <c r="J473" s="175">
        <v>46024</v>
      </c>
      <c r="K473" s="171" t="s">
        <v>113</v>
      </c>
      <c r="L473" s="171" t="s">
        <v>114</v>
      </c>
      <c r="M473" s="178">
        <v>0</v>
      </c>
      <c r="N473" s="176"/>
      <c r="O473" s="176"/>
      <c r="P473" s="179">
        <v>-15</v>
      </c>
    </row>
    <row r="474" spans="1:16" ht="19.5" customHeight="1">
      <c r="A474" s="171" t="s">
        <v>515</v>
      </c>
      <c r="B474" s="175">
        <v>46031</v>
      </c>
      <c r="C474" s="171" t="s">
        <v>115</v>
      </c>
      <c r="D474" s="171" t="s">
        <v>135</v>
      </c>
      <c r="E474" s="171" t="s">
        <v>41</v>
      </c>
      <c r="F474" s="171" t="s">
        <v>138</v>
      </c>
      <c r="G474" s="171" t="s">
        <v>112</v>
      </c>
      <c r="H474" s="176">
        <v>1</v>
      </c>
      <c r="I474" s="177">
        <v>0</v>
      </c>
      <c r="J474" s="175">
        <v>46031</v>
      </c>
      <c r="K474" s="171" t="s">
        <v>125</v>
      </c>
      <c r="L474" s="171" t="s">
        <v>125</v>
      </c>
      <c r="M474" s="178">
        <v>0</v>
      </c>
      <c r="N474" s="176"/>
      <c r="O474" s="176"/>
      <c r="P474" s="179">
        <v>-11.02</v>
      </c>
    </row>
    <row r="475" spans="1:16" ht="19.5" customHeight="1">
      <c r="A475" s="171" t="s">
        <v>514</v>
      </c>
      <c r="B475" s="175">
        <v>46031</v>
      </c>
      <c r="C475" s="171" t="s">
        <v>110</v>
      </c>
      <c r="D475" s="171" t="s">
        <v>24</v>
      </c>
      <c r="E475" s="171" t="s">
        <v>38</v>
      </c>
      <c r="F475" s="171" t="s">
        <v>111</v>
      </c>
      <c r="G475" s="171" t="s">
        <v>112</v>
      </c>
      <c r="H475" s="176">
        <v>1</v>
      </c>
      <c r="I475" s="177">
        <v>0</v>
      </c>
      <c r="J475" s="175">
        <v>46024</v>
      </c>
      <c r="K475" s="171" t="s">
        <v>113</v>
      </c>
      <c r="L475" s="171" t="s">
        <v>114</v>
      </c>
      <c r="M475" s="178">
        <v>0</v>
      </c>
      <c r="N475" s="176"/>
      <c r="O475" s="176">
        <v>39</v>
      </c>
      <c r="P475" s="179">
        <v>-46.77</v>
      </c>
    </row>
    <row r="476" spans="1:16" ht="19.5" customHeight="1">
      <c r="A476" s="171" t="s">
        <v>514</v>
      </c>
      <c r="B476" s="175">
        <v>46031</v>
      </c>
      <c r="C476" s="171" t="s">
        <v>115</v>
      </c>
      <c r="D476" s="171" t="s">
        <v>116</v>
      </c>
      <c r="E476" s="171" t="s">
        <v>38</v>
      </c>
      <c r="F476" s="171" t="s">
        <v>111</v>
      </c>
      <c r="G476" s="171" t="s">
        <v>112</v>
      </c>
      <c r="H476" s="176">
        <v>1</v>
      </c>
      <c r="I476" s="177">
        <v>0</v>
      </c>
      <c r="J476" s="175">
        <v>46024</v>
      </c>
      <c r="K476" s="171" t="s">
        <v>113</v>
      </c>
      <c r="L476" s="171" t="s">
        <v>114</v>
      </c>
      <c r="M476" s="178">
        <v>0</v>
      </c>
      <c r="N476" s="176"/>
      <c r="O476" s="176"/>
      <c r="P476" s="179">
        <v>-10.119999999999999</v>
      </c>
    </row>
    <row r="477" spans="1:16" ht="19.5" customHeight="1">
      <c r="A477" s="171" t="s">
        <v>155</v>
      </c>
      <c r="B477" s="175">
        <v>46031</v>
      </c>
      <c r="C477" s="171" t="s">
        <v>151</v>
      </c>
      <c r="D477" s="171" t="s">
        <v>156</v>
      </c>
      <c r="E477" s="171" t="s">
        <v>125</v>
      </c>
      <c r="F477" s="171" t="s">
        <v>125</v>
      </c>
      <c r="G477" s="171" t="s">
        <v>125</v>
      </c>
      <c r="H477" s="176">
        <v>0</v>
      </c>
      <c r="I477" s="177">
        <v>0</v>
      </c>
      <c r="J477" s="175">
        <v>46031</v>
      </c>
      <c r="K477" s="171" t="s">
        <v>125</v>
      </c>
      <c r="L477" s="171" t="s">
        <v>125</v>
      </c>
      <c r="M477" s="178">
        <v>0</v>
      </c>
      <c r="N477" s="176"/>
      <c r="O477" s="176"/>
      <c r="P477" s="179">
        <v>-339.1</v>
      </c>
    </row>
    <row r="478" spans="1:16" ht="19.5" customHeight="1">
      <c r="A478" s="171" t="s">
        <v>154</v>
      </c>
      <c r="B478" s="175">
        <v>46031</v>
      </c>
      <c r="C478" s="171" t="s">
        <v>151</v>
      </c>
      <c r="D478" s="171" t="s">
        <v>152</v>
      </c>
      <c r="E478" s="171" t="s">
        <v>125</v>
      </c>
      <c r="F478" s="171" t="s">
        <v>125</v>
      </c>
      <c r="G478" s="171" t="s">
        <v>125</v>
      </c>
      <c r="H478" s="176">
        <v>0</v>
      </c>
      <c r="I478" s="177">
        <v>0</v>
      </c>
      <c r="J478" s="175">
        <v>46031</v>
      </c>
      <c r="K478" s="171" t="s">
        <v>125</v>
      </c>
      <c r="L478" s="171" t="s">
        <v>125</v>
      </c>
      <c r="M478" s="178">
        <v>0</v>
      </c>
      <c r="N478" s="176"/>
      <c r="O478" s="176"/>
      <c r="P478" s="179">
        <v>-240.44</v>
      </c>
    </row>
    <row r="479" spans="1:16" ht="19.5" customHeight="1">
      <c r="A479" s="171" t="s">
        <v>150</v>
      </c>
      <c r="B479" s="175">
        <v>46031</v>
      </c>
      <c r="C479" s="171" t="s">
        <v>151</v>
      </c>
      <c r="D479" s="171" t="s">
        <v>152</v>
      </c>
      <c r="E479" s="171" t="s">
        <v>125</v>
      </c>
      <c r="F479" s="171" t="s">
        <v>125</v>
      </c>
      <c r="G479" s="171" t="s">
        <v>125</v>
      </c>
      <c r="H479" s="176">
        <v>0</v>
      </c>
      <c r="I479" s="177">
        <v>0</v>
      </c>
      <c r="J479" s="175">
        <v>46031</v>
      </c>
      <c r="K479" s="171" t="s">
        <v>125</v>
      </c>
      <c r="L479" s="171" t="s">
        <v>125</v>
      </c>
      <c r="M479" s="178">
        <v>0</v>
      </c>
      <c r="N479" s="176"/>
      <c r="O479" s="176"/>
      <c r="P479" s="179">
        <v>-1428.18</v>
      </c>
    </row>
    <row r="480" spans="1:16" ht="19.5" customHeight="1">
      <c r="A480" s="171" t="s">
        <v>153</v>
      </c>
      <c r="B480" s="175">
        <v>46031</v>
      </c>
      <c r="C480" s="171" t="s">
        <v>151</v>
      </c>
      <c r="D480" s="171" t="s">
        <v>152</v>
      </c>
      <c r="E480" s="171" t="s">
        <v>125</v>
      </c>
      <c r="F480" s="171" t="s">
        <v>125</v>
      </c>
      <c r="G480" s="171" t="s">
        <v>125</v>
      </c>
      <c r="H480" s="176">
        <v>0</v>
      </c>
      <c r="I480" s="177">
        <v>0</v>
      </c>
      <c r="J480" s="175">
        <v>46031</v>
      </c>
      <c r="K480" s="171" t="s">
        <v>125</v>
      </c>
      <c r="L480" s="171" t="s">
        <v>125</v>
      </c>
      <c r="M480" s="178">
        <v>0</v>
      </c>
      <c r="N480" s="176"/>
      <c r="O480" s="176"/>
      <c r="P480" s="179">
        <v>-221.27</v>
      </c>
    </row>
    <row r="481" spans="1:16" ht="19.5" customHeight="1">
      <c r="A481" s="171" t="s">
        <v>516</v>
      </c>
      <c r="B481" s="175">
        <v>46032</v>
      </c>
      <c r="C481" s="171" t="s">
        <v>115</v>
      </c>
      <c r="D481" s="171" t="s">
        <v>135</v>
      </c>
      <c r="E481" s="171" t="s">
        <v>38</v>
      </c>
      <c r="F481" s="171" t="s">
        <v>111</v>
      </c>
      <c r="G481" s="171" t="s">
        <v>112</v>
      </c>
      <c r="H481" s="176">
        <v>1</v>
      </c>
      <c r="I481" s="177">
        <v>0</v>
      </c>
      <c r="J481" s="175">
        <v>46032</v>
      </c>
      <c r="K481" s="171" t="s">
        <v>125</v>
      </c>
      <c r="L481" s="171" t="s">
        <v>125</v>
      </c>
      <c r="M481" s="178">
        <v>0</v>
      </c>
      <c r="N481" s="176"/>
      <c r="O481" s="176"/>
      <c r="P481" s="179">
        <v>-4.3600000000000003</v>
      </c>
    </row>
    <row r="482" spans="1:16" ht="19.5" customHeight="1">
      <c r="A482" s="171" t="s">
        <v>517</v>
      </c>
      <c r="B482" s="175">
        <v>46032</v>
      </c>
      <c r="C482" s="171" t="s">
        <v>115</v>
      </c>
      <c r="D482" s="171" t="s">
        <v>135</v>
      </c>
      <c r="E482" s="171" t="s">
        <v>41</v>
      </c>
      <c r="F482" s="171" t="s">
        <v>138</v>
      </c>
      <c r="G482" s="171" t="s">
        <v>112</v>
      </c>
      <c r="H482" s="176">
        <v>1</v>
      </c>
      <c r="I482" s="177">
        <v>0</v>
      </c>
      <c r="J482" s="175">
        <v>46032</v>
      </c>
      <c r="K482" s="171" t="s">
        <v>125</v>
      </c>
      <c r="L482" s="171" t="s">
        <v>125</v>
      </c>
      <c r="M482" s="178">
        <v>0</v>
      </c>
      <c r="N482" s="176"/>
      <c r="O482" s="176"/>
      <c r="P482" s="179">
        <v>-11.02</v>
      </c>
    </row>
    <row r="483" spans="1:16" ht="19.5" customHeight="1">
      <c r="A483" s="171" t="s">
        <v>518</v>
      </c>
      <c r="B483" s="175">
        <v>46032</v>
      </c>
      <c r="C483" s="171" t="s">
        <v>110</v>
      </c>
      <c r="D483" s="171" t="s">
        <v>24</v>
      </c>
      <c r="E483" s="171" t="s">
        <v>38</v>
      </c>
      <c r="F483" s="171" t="s">
        <v>111</v>
      </c>
      <c r="G483" s="171" t="s">
        <v>112</v>
      </c>
      <c r="H483" s="176">
        <v>1</v>
      </c>
      <c r="I483" s="177">
        <v>1704</v>
      </c>
      <c r="J483" s="175">
        <v>46025</v>
      </c>
      <c r="K483" s="171" t="s">
        <v>113</v>
      </c>
      <c r="L483" s="171" t="s">
        <v>114</v>
      </c>
      <c r="M483" s="178">
        <v>0.43</v>
      </c>
      <c r="N483" s="176"/>
      <c r="O483" s="176">
        <v>39</v>
      </c>
      <c r="P483" s="179">
        <v>-110.12</v>
      </c>
    </row>
    <row r="484" spans="1:16" ht="19.5" customHeight="1">
      <c r="A484" s="171" t="s">
        <v>518</v>
      </c>
      <c r="B484" s="175">
        <v>46032</v>
      </c>
      <c r="C484" s="171" t="s">
        <v>127</v>
      </c>
      <c r="D484" s="171" t="s">
        <v>128</v>
      </c>
      <c r="E484" s="171" t="s">
        <v>38</v>
      </c>
      <c r="F484" s="171" t="s">
        <v>111</v>
      </c>
      <c r="G484" s="171" t="s">
        <v>112</v>
      </c>
      <c r="H484" s="176">
        <v>1</v>
      </c>
      <c r="I484" s="177">
        <v>1704</v>
      </c>
      <c r="J484" s="175">
        <v>46025</v>
      </c>
      <c r="K484" s="171" t="s">
        <v>113</v>
      </c>
      <c r="L484" s="171" t="s">
        <v>114</v>
      </c>
      <c r="M484" s="178">
        <v>0</v>
      </c>
      <c r="N484" s="176"/>
      <c r="O484" s="176"/>
      <c r="P484" s="179">
        <v>585.71</v>
      </c>
    </row>
    <row r="485" spans="1:16" ht="19.5" customHeight="1">
      <c r="A485" s="171" t="s">
        <v>518</v>
      </c>
      <c r="B485" s="175">
        <v>46032</v>
      </c>
      <c r="C485" s="171" t="s">
        <v>127</v>
      </c>
      <c r="D485" s="171" t="s">
        <v>129</v>
      </c>
      <c r="E485" s="171" t="s">
        <v>38</v>
      </c>
      <c r="F485" s="171" t="s">
        <v>111</v>
      </c>
      <c r="G485" s="171" t="s">
        <v>112</v>
      </c>
      <c r="H485" s="176">
        <v>1</v>
      </c>
      <c r="I485" s="177">
        <v>1704</v>
      </c>
      <c r="J485" s="175">
        <v>46025</v>
      </c>
      <c r="K485" s="171" t="s">
        <v>113</v>
      </c>
      <c r="L485" s="171" t="s">
        <v>114</v>
      </c>
      <c r="M485" s="178">
        <v>0</v>
      </c>
      <c r="N485" s="176"/>
      <c r="O485" s="176"/>
      <c r="P485" s="179">
        <v>5.86</v>
      </c>
    </row>
    <row r="486" spans="1:16" ht="19.5" customHeight="1">
      <c r="A486" s="171" t="s">
        <v>518</v>
      </c>
      <c r="B486" s="175">
        <v>46032</v>
      </c>
      <c r="C486" s="171" t="s">
        <v>127</v>
      </c>
      <c r="D486" s="171" t="s">
        <v>130</v>
      </c>
      <c r="E486" s="171" t="s">
        <v>38</v>
      </c>
      <c r="F486" s="171" t="s">
        <v>111</v>
      </c>
      <c r="G486" s="171" t="s">
        <v>112</v>
      </c>
      <c r="H486" s="176">
        <v>1</v>
      </c>
      <c r="I486" s="177">
        <v>1704</v>
      </c>
      <c r="J486" s="175">
        <v>46025</v>
      </c>
      <c r="K486" s="171" t="s">
        <v>113</v>
      </c>
      <c r="L486" s="171" t="s">
        <v>114</v>
      </c>
      <c r="M486" s="178">
        <v>0</v>
      </c>
      <c r="N486" s="176"/>
      <c r="O486" s="176"/>
      <c r="P486" s="179">
        <v>1112.43</v>
      </c>
    </row>
    <row r="487" spans="1:16" ht="19.5" customHeight="1">
      <c r="A487" s="171" t="s">
        <v>518</v>
      </c>
      <c r="B487" s="175">
        <v>46032</v>
      </c>
      <c r="C487" s="171" t="s">
        <v>131</v>
      </c>
      <c r="D487" s="171" t="s">
        <v>132</v>
      </c>
      <c r="E487" s="171" t="s">
        <v>38</v>
      </c>
      <c r="F487" s="171" t="s">
        <v>111</v>
      </c>
      <c r="G487" s="171" t="s">
        <v>112</v>
      </c>
      <c r="H487" s="176">
        <v>1</v>
      </c>
      <c r="I487" s="177">
        <v>1704</v>
      </c>
      <c r="J487" s="175">
        <v>46025</v>
      </c>
      <c r="K487" s="171" t="s">
        <v>113</v>
      </c>
      <c r="L487" s="171" t="s">
        <v>114</v>
      </c>
      <c r="M487" s="178">
        <v>0.43</v>
      </c>
      <c r="N487" s="176"/>
      <c r="O487" s="176"/>
      <c r="P487" s="179">
        <v>-732.72</v>
      </c>
    </row>
    <row r="488" spans="1:16" ht="19.5" customHeight="1">
      <c r="A488" s="171" t="s">
        <v>518</v>
      </c>
      <c r="B488" s="175">
        <v>46032</v>
      </c>
      <c r="C488" s="171" t="s">
        <v>115</v>
      </c>
      <c r="D488" s="171" t="s">
        <v>116</v>
      </c>
      <c r="E488" s="171" t="s">
        <v>38</v>
      </c>
      <c r="F488" s="171" t="s">
        <v>111</v>
      </c>
      <c r="G488" s="171" t="s">
        <v>112</v>
      </c>
      <c r="H488" s="176">
        <v>1</v>
      </c>
      <c r="I488" s="177">
        <v>1704</v>
      </c>
      <c r="J488" s="175">
        <v>46025</v>
      </c>
      <c r="K488" s="171" t="s">
        <v>113</v>
      </c>
      <c r="L488" s="171" t="s">
        <v>114</v>
      </c>
      <c r="M488" s="178">
        <v>0.43</v>
      </c>
      <c r="N488" s="176"/>
      <c r="O488" s="176"/>
      <c r="P488" s="179">
        <v>-20.11</v>
      </c>
    </row>
    <row r="489" spans="1:16" ht="19.5" customHeight="1">
      <c r="A489" s="171" t="s">
        <v>519</v>
      </c>
      <c r="B489" s="175">
        <v>46032</v>
      </c>
      <c r="C489" s="171" t="s">
        <v>110</v>
      </c>
      <c r="D489" s="171" t="s">
        <v>24</v>
      </c>
      <c r="E489" s="171" t="s">
        <v>50</v>
      </c>
      <c r="F489" s="171" t="s">
        <v>413</v>
      </c>
      <c r="G489" s="171" t="s">
        <v>112</v>
      </c>
      <c r="H489" s="176">
        <v>1</v>
      </c>
      <c r="I489" s="177">
        <v>0</v>
      </c>
      <c r="J489" s="175">
        <v>46017</v>
      </c>
      <c r="K489" s="171" t="s">
        <v>113</v>
      </c>
      <c r="L489" s="171" t="s">
        <v>114</v>
      </c>
      <c r="M489" s="178">
        <v>0</v>
      </c>
      <c r="N489" s="176"/>
      <c r="O489" s="176">
        <v>38</v>
      </c>
      <c r="P489" s="179">
        <v>-46.77</v>
      </c>
    </row>
    <row r="490" spans="1:16" ht="19.5" customHeight="1">
      <c r="A490" s="171" t="s">
        <v>519</v>
      </c>
      <c r="B490" s="175">
        <v>46032</v>
      </c>
      <c r="C490" s="171" t="s">
        <v>115</v>
      </c>
      <c r="D490" s="171" t="s">
        <v>116</v>
      </c>
      <c r="E490" s="171" t="s">
        <v>50</v>
      </c>
      <c r="F490" s="171" t="s">
        <v>413</v>
      </c>
      <c r="G490" s="171" t="s">
        <v>112</v>
      </c>
      <c r="H490" s="176">
        <v>1</v>
      </c>
      <c r="I490" s="177">
        <v>0</v>
      </c>
      <c r="J490" s="175">
        <v>46017</v>
      </c>
      <c r="K490" s="171" t="s">
        <v>113</v>
      </c>
      <c r="L490" s="171" t="s">
        <v>114</v>
      </c>
      <c r="M490" s="178">
        <v>0</v>
      </c>
      <c r="N490" s="176"/>
      <c r="O490" s="176"/>
      <c r="P490" s="179">
        <v>-7</v>
      </c>
    </row>
    <row r="491" spans="1:16" ht="19.5" customHeight="1">
      <c r="A491" s="171" t="s">
        <v>519</v>
      </c>
      <c r="B491" s="175">
        <v>46032</v>
      </c>
      <c r="C491" s="171" t="s">
        <v>110</v>
      </c>
      <c r="D491" s="171" t="s">
        <v>117</v>
      </c>
      <c r="E491" s="171" t="s">
        <v>50</v>
      </c>
      <c r="F491" s="171" t="s">
        <v>413</v>
      </c>
      <c r="G491" s="171" t="s">
        <v>112</v>
      </c>
      <c r="H491" s="176">
        <v>1</v>
      </c>
      <c r="I491" s="177">
        <v>0</v>
      </c>
      <c r="J491" s="175">
        <v>46017</v>
      </c>
      <c r="K491" s="171" t="s">
        <v>113</v>
      </c>
      <c r="L491" s="171" t="s">
        <v>114</v>
      </c>
      <c r="M491" s="178">
        <v>0</v>
      </c>
      <c r="N491" s="176"/>
      <c r="O491" s="176"/>
      <c r="P491" s="179">
        <v>0</v>
      </c>
    </row>
    <row r="492" spans="1:16" ht="19.5" customHeight="1">
      <c r="A492" s="171" t="s">
        <v>519</v>
      </c>
      <c r="B492" s="175">
        <v>46032</v>
      </c>
      <c r="C492" s="171" t="s">
        <v>110</v>
      </c>
      <c r="D492" s="171" t="s">
        <v>118</v>
      </c>
      <c r="E492" s="171" t="s">
        <v>50</v>
      </c>
      <c r="F492" s="171" t="s">
        <v>413</v>
      </c>
      <c r="G492" s="171" t="s">
        <v>112</v>
      </c>
      <c r="H492" s="176">
        <v>1</v>
      </c>
      <c r="I492" s="177">
        <v>0</v>
      </c>
      <c r="J492" s="175">
        <v>46017</v>
      </c>
      <c r="K492" s="171" t="s">
        <v>113</v>
      </c>
      <c r="L492" s="171" t="s">
        <v>114</v>
      </c>
      <c r="M492" s="178">
        <v>0</v>
      </c>
      <c r="N492" s="176"/>
      <c r="O492" s="176"/>
      <c r="P492" s="179">
        <v>-46.77</v>
      </c>
    </row>
    <row r="493" spans="1:16" ht="19.5" customHeight="1">
      <c r="A493" s="171" t="s">
        <v>519</v>
      </c>
      <c r="B493" s="175">
        <v>46032</v>
      </c>
      <c r="C493" s="171" t="s">
        <v>115</v>
      </c>
      <c r="D493" s="171" t="s">
        <v>119</v>
      </c>
      <c r="E493" s="171" t="s">
        <v>50</v>
      </c>
      <c r="F493" s="171" t="s">
        <v>413</v>
      </c>
      <c r="G493" s="171" t="s">
        <v>112</v>
      </c>
      <c r="H493" s="176">
        <v>1</v>
      </c>
      <c r="I493" s="177">
        <v>0</v>
      </c>
      <c r="J493" s="175">
        <v>46017</v>
      </c>
      <c r="K493" s="171" t="s">
        <v>113</v>
      </c>
      <c r="L493" s="171" t="s">
        <v>114</v>
      </c>
      <c r="M493" s="178">
        <v>0</v>
      </c>
      <c r="N493" s="176"/>
      <c r="O493" s="176"/>
      <c r="P493" s="179">
        <v>-15</v>
      </c>
    </row>
    <row r="494" spans="1:16" ht="19.5" customHeight="1">
      <c r="A494" s="171" t="s">
        <v>520</v>
      </c>
      <c r="B494" s="175">
        <v>46032</v>
      </c>
      <c r="C494" s="171" t="s">
        <v>110</v>
      </c>
      <c r="D494" s="171" t="s">
        <v>24</v>
      </c>
      <c r="E494" s="171" t="s">
        <v>42</v>
      </c>
      <c r="F494" s="171" t="s">
        <v>248</v>
      </c>
      <c r="G494" s="171" t="s">
        <v>112</v>
      </c>
      <c r="H494" s="176">
        <v>1</v>
      </c>
      <c r="I494" s="177">
        <v>1687</v>
      </c>
      <c r="J494" s="175">
        <v>46030</v>
      </c>
      <c r="K494" s="171" t="s">
        <v>113</v>
      </c>
      <c r="L494" s="171" t="s">
        <v>114</v>
      </c>
      <c r="M494" s="178">
        <v>0.43</v>
      </c>
      <c r="N494" s="176"/>
      <c r="O494" s="176">
        <v>46</v>
      </c>
      <c r="P494" s="179">
        <v>-137.24</v>
      </c>
    </row>
    <row r="495" spans="1:16" ht="19.5" customHeight="1">
      <c r="A495" s="171" t="s">
        <v>520</v>
      </c>
      <c r="B495" s="175">
        <v>46032</v>
      </c>
      <c r="C495" s="171" t="s">
        <v>127</v>
      </c>
      <c r="D495" s="171" t="s">
        <v>128</v>
      </c>
      <c r="E495" s="171" t="s">
        <v>42</v>
      </c>
      <c r="F495" s="171" t="s">
        <v>248</v>
      </c>
      <c r="G495" s="171" t="s">
        <v>112</v>
      </c>
      <c r="H495" s="176">
        <v>1</v>
      </c>
      <c r="I495" s="177">
        <v>1687</v>
      </c>
      <c r="J495" s="175">
        <v>46030</v>
      </c>
      <c r="K495" s="171" t="s">
        <v>113</v>
      </c>
      <c r="L495" s="171" t="s">
        <v>114</v>
      </c>
      <c r="M495" s="178">
        <v>0</v>
      </c>
      <c r="N495" s="176"/>
      <c r="O495" s="176"/>
      <c r="P495" s="179">
        <v>739.05</v>
      </c>
    </row>
    <row r="496" spans="1:16" ht="19.5" customHeight="1">
      <c r="A496" s="171" t="s">
        <v>520</v>
      </c>
      <c r="B496" s="175">
        <v>46032</v>
      </c>
      <c r="C496" s="171" t="s">
        <v>127</v>
      </c>
      <c r="D496" s="171" t="s">
        <v>129</v>
      </c>
      <c r="E496" s="171" t="s">
        <v>42</v>
      </c>
      <c r="F496" s="171" t="s">
        <v>248</v>
      </c>
      <c r="G496" s="171" t="s">
        <v>112</v>
      </c>
      <c r="H496" s="176">
        <v>1</v>
      </c>
      <c r="I496" s="177">
        <v>1687</v>
      </c>
      <c r="J496" s="175">
        <v>46030</v>
      </c>
      <c r="K496" s="171" t="s">
        <v>113</v>
      </c>
      <c r="L496" s="171" t="s">
        <v>114</v>
      </c>
      <c r="M496" s="178">
        <v>0</v>
      </c>
      <c r="N496" s="176"/>
      <c r="O496" s="176"/>
      <c r="P496" s="179">
        <v>7.39</v>
      </c>
    </row>
    <row r="497" spans="1:16" ht="19.5" customHeight="1">
      <c r="A497" s="171" t="s">
        <v>520</v>
      </c>
      <c r="B497" s="175">
        <v>46032</v>
      </c>
      <c r="C497" s="171" t="s">
        <v>127</v>
      </c>
      <c r="D497" s="171" t="s">
        <v>130</v>
      </c>
      <c r="E497" s="171" t="s">
        <v>42</v>
      </c>
      <c r="F497" s="171" t="s">
        <v>248</v>
      </c>
      <c r="G497" s="171" t="s">
        <v>112</v>
      </c>
      <c r="H497" s="176">
        <v>1</v>
      </c>
      <c r="I497" s="177">
        <v>1687</v>
      </c>
      <c r="J497" s="175">
        <v>46030</v>
      </c>
      <c r="K497" s="171" t="s">
        <v>113</v>
      </c>
      <c r="L497" s="171" t="s">
        <v>114</v>
      </c>
      <c r="M497" s="178">
        <v>0</v>
      </c>
      <c r="N497" s="176"/>
      <c r="O497" s="176"/>
      <c r="P497" s="179">
        <v>940.56</v>
      </c>
    </row>
    <row r="498" spans="1:16" ht="19.5" customHeight="1">
      <c r="A498" s="171" t="s">
        <v>520</v>
      </c>
      <c r="B498" s="175">
        <v>46032</v>
      </c>
      <c r="C498" s="171" t="s">
        <v>131</v>
      </c>
      <c r="D498" s="171" t="s">
        <v>132</v>
      </c>
      <c r="E498" s="171" t="s">
        <v>42</v>
      </c>
      <c r="F498" s="171" t="s">
        <v>248</v>
      </c>
      <c r="G498" s="171" t="s">
        <v>112</v>
      </c>
      <c r="H498" s="176">
        <v>1</v>
      </c>
      <c r="I498" s="177">
        <v>1687</v>
      </c>
      <c r="J498" s="175">
        <v>46030</v>
      </c>
      <c r="K498" s="171" t="s">
        <v>113</v>
      </c>
      <c r="L498" s="171" t="s">
        <v>114</v>
      </c>
      <c r="M498" s="178">
        <v>0.43</v>
      </c>
      <c r="N498" s="176"/>
      <c r="O498" s="176"/>
      <c r="P498" s="179">
        <v>-725.41</v>
      </c>
    </row>
    <row r="499" spans="1:16" ht="19.5" customHeight="1">
      <c r="A499" s="171" t="s">
        <v>520</v>
      </c>
      <c r="B499" s="175">
        <v>46032</v>
      </c>
      <c r="C499" s="171" t="s">
        <v>115</v>
      </c>
      <c r="D499" s="171" t="s">
        <v>116</v>
      </c>
      <c r="E499" s="171" t="s">
        <v>42</v>
      </c>
      <c r="F499" s="171" t="s">
        <v>248</v>
      </c>
      <c r="G499" s="171" t="s">
        <v>112</v>
      </c>
      <c r="H499" s="176">
        <v>1</v>
      </c>
      <c r="I499" s="177">
        <v>1687</v>
      </c>
      <c r="J499" s="175">
        <v>46030</v>
      </c>
      <c r="K499" s="171" t="s">
        <v>113</v>
      </c>
      <c r="L499" s="171" t="s">
        <v>114</v>
      </c>
      <c r="M499" s="178">
        <v>0.43</v>
      </c>
      <c r="N499" s="176"/>
      <c r="O499" s="176"/>
      <c r="P499" s="179">
        <v>-8.31</v>
      </c>
    </row>
    <row r="500" spans="1:16" ht="19.5" customHeight="1">
      <c r="A500" s="171" t="s">
        <v>520</v>
      </c>
      <c r="B500" s="175">
        <v>46032</v>
      </c>
      <c r="C500" s="171" t="s">
        <v>115</v>
      </c>
      <c r="D500" s="171" t="s">
        <v>135</v>
      </c>
      <c r="E500" s="171" t="s">
        <v>42</v>
      </c>
      <c r="F500" s="171" t="s">
        <v>248</v>
      </c>
      <c r="G500" s="171" t="s">
        <v>112</v>
      </c>
      <c r="H500" s="176">
        <v>1</v>
      </c>
      <c r="I500" s="177">
        <v>0</v>
      </c>
      <c r="J500" s="175">
        <v>46030</v>
      </c>
      <c r="K500" s="171" t="s">
        <v>125</v>
      </c>
      <c r="L500" s="171" t="s">
        <v>125</v>
      </c>
      <c r="M500" s="178">
        <v>0</v>
      </c>
      <c r="N500" s="176"/>
      <c r="O500" s="176"/>
      <c r="P500" s="179">
        <v>-14.04</v>
      </c>
    </row>
    <row r="501" spans="1:16" ht="19.5" customHeight="1">
      <c r="A501" s="171" t="s">
        <v>375</v>
      </c>
      <c r="B501" s="175">
        <v>46032</v>
      </c>
      <c r="C501" s="171" t="s">
        <v>123</v>
      </c>
      <c r="D501" s="171" t="s">
        <v>124</v>
      </c>
      <c r="E501" s="171" t="s">
        <v>125</v>
      </c>
      <c r="F501" s="171" t="s">
        <v>125</v>
      </c>
      <c r="G501" s="171" t="s">
        <v>125</v>
      </c>
      <c r="H501" s="176">
        <v>0</v>
      </c>
      <c r="I501" s="177">
        <v>0</v>
      </c>
      <c r="J501" s="175">
        <v>46032</v>
      </c>
      <c r="K501" s="171" t="s">
        <v>125</v>
      </c>
      <c r="L501" s="171" t="s">
        <v>125</v>
      </c>
      <c r="M501" s="178">
        <v>0</v>
      </c>
      <c r="N501" s="176"/>
      <c r="O501" s="176"/>
      <c r="P501" s="179">
        <v>-150</v>
      </c>
    </row>
    <row r="502" spans="1:16" ht="19.5" customHeight="1">
      <c r="A502" s="171" t="s">
        <v>521</v>
      </c>
      <c r="B502" s="175">
        <v>46032</v>
      </c>
      <c r="C502" s="171" t="s">
        <v>110</v>
      </c>
      <c r="D502" s="171" t="s">
        <v>24</v>
      </c>
      <c r="E502" s="171" t="s">
        <v>38</v>
      </c>
      <c r="F502" s="171" t="s">
        <v>111</v>
      </c>
      <c r="G502" s="171" t="s">
        <v>112</v>
      </c>
      <c r="H502" s="176">
        <v>1</v>
      </c>
      <c r="I502" s="177">
        <v>1704</v>
      </c>
      <c r="J502" s="175">
        <v>46025</v>
      </c>
      <c r="K502" s="171" t="s">
        <v>113</v>
      </c>
      <c r="L502" s="171" t="s">
        <v>114</v>
      </c>
      <c r="M502" s="178">
        <v>0.43</v>
      </c>
      <c r="N502" s="176"/>
      <c r="O502" s="176">
        <v>39</v>
      </c>
      <c r="P502" s="179">
        <v>-110.12</v>
      </c>
    </row>
    <row r="503" spans="1:16" ht="19.5" customHeight="1">
      <c r="A503" s="171" t="s">
        <v>521</v>
      </c>
      <c r="B503" s="175">
        <v>46032</v>
      </c>
      <c r="C503" s="171" t="s">
        <v>127</v>
      </c>
      <c r="D503" s="171" t="s">
        <v>128</v>
      </c>
      <c r="E503" s="171" t="s">
        <v>38</v>
      </c>
      <c r="F503" s="171" t="s">
        <v>111</v>
      </c>
      <c r="G503" s="171" t="s">
        <v>112</v>
      </c>
      <c r="H503" s="176">
        <v>1</v>
      </c>
      <c r="I503" s="177">
        <v>1704</v>
      </c>
      <c r="J503" s="175">
        <v>46025</v>
      </c>
      <c r="K503" s="171" t="s">
        <v>113</v>
      </c>
      <c r="L503" s="171" t="s">
        <v>114</v>
      </c>
      <c r="M503" s="178">
        <v>0</v>
      </c>
      <c r="N503" s="176"/>
      <c r="O503" s="176"/>
      <c r="P503" s="179">
        <v>585.16</v>
      </c>
    </row>
    <row r="504" spans="1:16" ht="19.5" customHeight="1">
      <c r="A504" s="171" t="s">
        <v>521</v>
      </c>
      <c r="B504" s="175">
        <v>46032</v>
      </c>
      <c r="C504" s="171" t="s">
        <v>127</v>
      </c>
      <c r="D504" s="171" t="s">
        <v>129</v>
      </c>
      <c r="E504" s="171" t="s">
        <v>38</v>
      </c>
      <c r="F504" s="171" t="s">
        <v>111</v>
      </c>
      <c r="G504" s="171" t="s">
        <v>112</v>
      </c>
      <c r="H504" s="176">
        <v>1</v>
      </c>
      <c r="I504" s="177">
        <v>1704</v>
      </c>
      <c r="J504" s="175">
        <v>46025</v>
      </c>
      <c r="K504" s="171" t="s">
        <v>113</v>
      </c>
      <c r="L504" s="171" t="s">
        <v>114</v>
      </c>
      <c r="M504" s="178">
        <v>0</v>
      </c>
      <c r="N504" s="176"/>
      <c r="O504" s="176"/>
      <c r="P504" s="179">
        <v>5.85</v>
      </c>
    </row>
    <row r="505" spans="1:16" ht="19.5" customHeight="1">
      <c r="A505" s="171" t="s">
        <v>521</v>
      </c>
      <c r="B505" s="175">
        <v>46032</v>
      </c>
      <c r="C505" s="171" t="s">
        <v>127</v>
      </c>
      <c r="D505" s="171" t="s">
        <v>130</v>
      </c>
      <c r="E505" s="171" t="s">
        <v>38</v>
      </c>
      <c r="F505" s="171" t="s">
        <v>111</v>
      </c>
      <c r="G505" s="171" t="s">
        <v>112</v>
      </c>
      <c r="H505" s="176">
        <v>1</v>
      </c>
      <c r="I505" s="177">
        <v>1704</v>
      </c>
      <c r="J505" s="175">
        <v>46025</v>
      </c>
      <c r="K505" s="171" t="s">
        <v>113</v>
      </c>
      <c r="L505" s="171" t="s">
        <v>114</v>
      </c>
      <c r="M505" s="178">
        <v>0</v>
      </c>
      <c r="N505" s="176"/>
      <c r="O505" s="176"/>
      <c r="P505" s="179">
        <v>1112.99</v>
      </c>
    </row>
    <row r="506" spans="1:16" ht="19.5" customHeight="1">
      <c r="A506" s="171" t="s">
        <v>521</v>
      </c>
      <c r="B506" s="175">
        <v>46032</v>
      </c>
      <c r="C506" s="171" t="s">
        <v>131</v>
      </c>
      <c r="D506" s="171" t="s">
        <v>132</v>
      </c>
      <c r="E506" s="171" t="s">
        <v>38</v>
      </c>
      <c r="F506" s="171" t="s">
        <v>111</v>
      </c>
      <c r="G506" s="171" t="s">
        <v>112</v>
      </c>
      <c r="H506" s="176">
        <v>1</v>
      </c>
      <c r="I506" s="177">
        <v>1704</v>
      </c>
      <c r="J506" s="175">
        <v>46025</v>
      </c>
      <c r="K506" s="171" t="s">
        <v>113</v>
      </c>
      <c r="L506" s="171" t="s">
        <v>114</v>
      </c>
      <c r="M506" s="178">
        <v>0.43</v>
      </c>
      <c r="N506" s="176"/>
      <c r="O506" s="176"/>
      <c r="P506" s="179">
        <v>-732.72</v>
      </c>
    </row>
    <row r="507" spans="1:16" ht="19.5" customHeight="1">
      <c r="A507" s="171" t="s">
        <v>521</v>
      </c>
      <c r="B507" s="175">
        <v>46032</v>
      </c>
      <c r="C507" s="171" t="s">
        <v>115</v>
      </c>
      <c r="D507" s="171" t="s">
        <v>116</v>
      </c>
      <c r="E507" s="171" t="s">
        <v>38</v>
      </c>
      <c r="F507" s="171" t="s">
        <v>111</v>
      </c>
      <c r="G507" s="171" t="s">
        <v>112</v>
      </c>
      <c r="H507" s="176">
        <v>1</v>
      </c>
      <c r="I507" s="177">
        <v>1704</v>
      </c>
      <c r="J507" s="175">
        <v>46025</v>
      </c>
      <c r="K507" s="171" t="s">
        <v>113</v>
      </c>
      <c r="L507" s="171" t="s">
        <v>114</v>
      </c>
      <c r="M507" s="178">
        <v>0.43</v>
      </c>
      <c r="N507" s="176"/>
      <c r="O507" s="176"/>
      <c r="P507" s="179">
        <v>-10.4</v>
      </c>
    </row>
    <row r="508" spans="1:16" ht="19.5" customHeight="1">
      <c r="A508" s="171" t="s">
        <v>521</v>
      </c>
      <c r="B508" s="175">
        <v>46032</v>
      </c>
      <c r="C508" s="171" t="s">
        <v>115</v>
      </c>
      <c r="D508" s="171" t="s">
        <v>135</v>
      </c>
      <c r="E508" s="171" t="s">
        <v>38</v>
      </c>
      <c r="F508" s="171" t="s">
        <v>111</v>
      </c>
      <c r="G508" s="171" t="s">
        <v>112</v>
      </c>
      <c r="H508" s="176">
        <v>1</v>
      </c>
      <c r="I508" s="177">
        <v>0</v>
      </c>
      <c r="J508" s="175">
        <v>46025</v>
      </c>
      <c r="K508" s="171" t="s">
        <v>125</v>
      </c>
      <c r="L508" s="171" t="s">
        <v>125</v>
      </c>
      <c r="M508" s="178">
        <v>0</v>
      </c>
      <c r="N508" s="176"/>
      <c r="O508" s="176"/>
      <c r="P508" s="179">
        <v>-11.12</v>
      </c>
    </row>
    <row r="509" spans="1:16" ht="19.5" customHeight="1">
      <c r="A509" s="171" t="s">
        <v>522</v>
      </c>
      <c r="B509" s="175">
        <v>46032</v>
      </c>
      <c r="C509" s="171" t="s">
        <v>110</v>
      </c>
      <c r="D509" s="171" t="s">
        <v>117</v>
      </c>
      <c r="E509" s="171" t="s">
        <v>38</v>
      </c>
      <c r="F509" s="171" t="s">
        <v>111</v>
      </c>
      <c r="G509" s="171" t="s">
        <v>112</v>
      </c>
      <c r="H509" s="176">
        <v>1</v>
      </c>
      <c r="I509" s="177">
        <v>0</v>
      </c>
      <c r="J509" s="175">
        <v>46025</v>
      </c>
      <c r="K509" s="171" t="s">
        <v>113</v>
      </c>
      <c r="L509" s="171" t="s">
        <v>114</v>
      </c>
      <c r="M509" s="178">
        <v>0</v>
      </c>
      <c r="N509" s="176"/>
      <c r="O509" s="176"/>
      <c r="P509" s="179">
        <v>0</v>
      </c>
    </row>
    <row r="510" spans="1:16" ht="19.5" customHeight="1">
      <c r="A510" s="171" t="s">
        <v>522</v>
      </c>
      <c r="B510" s="175">
        <v>46032</v>
      </c>
      <c r="C510" s="171" t="s">
        <v>110</v>
      </c>
      <c r="D510" s="171" t="s">
        <v>118</v>
      </c>
      <c r="E510" s="171" t="s">
        <v>38</v>
      </c>
      <c r="F510" s="171" t="s">
        <v>111</v>
      </c>
      <c r="G510" s="171" t="s">
        <v>112</v>
      </c>
      <c r="H510" s="176">
        <v>1</v>
      </c>
      <c r="I510" s="177">
        <v>0</v>
      </c>
      <c r="J510" s="175">
        <v>46025</v>
      </c>
      <c r="K510" s="171" t="s">
        <v>113</v>
      </c>
      <c r="L510" s="171" t="s">
        <v>114</v>
      </c>
      <c r="M510" s="178">
        <v>0</v>
      </c>
      <c r="N510" s="176"/>
      <c r="O510" s="176"/>
      <c r="P510" s="179">
        <v>-46.77</v>
      </c>
    </row>
    <row r="511" spans="1:16" ht="19.5" customHeight="1">
      <c r="A511" s="171" t="s">
        <v>522</v>
      </c>
      <c r="B511" s="175">
        <v>46032</v>
      </c>
      <c r="C511" s="171" t="s">
        <v>115</v>
      </c>
      <c r="D511" s="171" t="s">
        <v>119</v>
      </c>
      <c r="E511" s="171" t="s">
        <v>38</v>
      </c>
      <c r="F511" s="171" t="s">
        <v>111</v>
      </c>
      <c r="G511" s="171" t="s">
        <v>112</v>
      </c>
      <c r="H511" s="176">
        <v>1</v>
      </c>
      <c r="I511" s="177">
        <v>0</v>
      </c>
      <c r="J511" s="175">
        <v>46025</v>
      </c>
      <c r="K511" s="171" t="s">
        <v>113</v>
      </c>
      <c r="L511" s="171" t="s">
        <v>114</v>
      </c>
      <c r="M511" s="178">
        <v>0</v>
      </c>
      <c r="N511" s="176"/>
      <c r="O511" s="176"/>
      <c r="P511" s="179">
        <v>-15</v>
      </c>
    </row>
    <row r="512" spans="1:16" ht="19.5" customHeight="1">
      <c r="A512" s="171" t="s">
        <v>522</v>
      </c>
      <c r="B512" s="175">
        <v>46032</v>
      </c>
      <c r="C512" s="171" t="s">
        <v>110</v>
      </c>
      <c r="D512" s="171" t="s">
        <v>24</v>
      </c>
      <c r="E512" s="171" t="s">
        <v>38</v>
      </c>
      <c r="F512" s="171" t="s">
        <v>111</v>
      </c>
      <c r="G512" s="171" t="s">
        <v>112</v>
      </c>
      <c r="H512" s="176">
        <v>1</v>
      </c>
      <c r="I512" s="177">
        <v>0</v>
      </c>
      <c r="J512" s="175">
        <v>46025</v>
      </c>
      <c r="K512" s="171" t="s">
        <v>113</v>
      </c>
      <c r="L512" s="171" t="s">
        <v>114</v>
      </c>
      <c r="M512" s="178">
        <v>0</v>
      </c>
      <c r="N512" s="176"/>
      <c r="O512" s="176">
        <v>39</v>
      </c>
      <c r="P512" s="179">
        <v>-46.77</v>
      </c>
    </row>
    <row r="513" spans="1:16" ht="19.5" customHeight="1">
      <c r="A513" s="171" t="s">
        <v>522</v>
      </c>
      <c r="B513" s="175">
        <v>46032</v>
      </c>
      <c r="C513" s="171" t="s">
        <v>115</v>
      </c>
      <c r="D513" s="171" t="s">
        <v>116</v>
      </c>
      <c r="E513" s="171" t="s">
        <v>38</v>
      </c>
      <c r="F513" s="171" t="s">
        <v>111</v>
      </c>
      <c r="G513" s="171" t="s">
        <v>112</v>
      </c>
      <c r="H513" s="176">
        <v>1</v>
      </c>
      <c r="I513" s="177">
        <v>0</v>
      </c>
      <c r="J513" s="175">
        <v>46025</v>
      </c>
      <c r="K513" s="171" t="s">
        <v>113</v>
      </c>
      <c r="L513" s="171" t="s">
        <v>114</v>
      </c>
      <c r="M513" s="178">
        <v>0</v>
      </c>
      <c r="N513" s="176"/>
      <c r="O513" s="176"/>
      <c r="P513" s="179">
        <v>-22.47</v>
      </c>
    </row>
    <row r="514" spans="1:16" ht="19.5" customHeight="1">
      <c r="A514" s="171" t="s">
        <v>523</v>
      </c>
      <c r="B514" s="175">
        <v>46032</v>
      </c>
      <c r="C514" s="171" t="s">
        <v>110</v>
      </c>
      <c r="D514" s="171" t="s">
        <v>24</v>
      </c>
      <c r="E514" s="171" t="s">
        <v>38</v>
      </c>
      <c r="F514" s="171" t="s">
        <v>111</v>
      </c>
      <c r="G514" s="171" t="s">
        <v>112</v>
      </c>
      <c r="H514" s="176">
        <v>1</v>
      </c>
      <c r="I514" s="177">
        <v>1704</v>
      </c>
      <c r="J514" s="175">
        <v>46029</v>
      </c>
      <c r="K514" s="171" t="s">
        <v>113</v>
      </c>
      <c r="L514" s="171" t="s">
        <v>114</v>
      </c>
      <c r="M514" s="178">
        <v>0.43</v>
      </c>
      <c r="N514" s="176"/>
      <c r="O514" s="176">
        <v>46</v>
      </c>
      <c r="P514" s="179">
        <v>-137.83000000000001</v>
      </c>
    </row>
    <row r="515" spans="1:16" ht="19.5" customHeight="1">
      <c r="A515" s="171" t="s">
        <v>523</v>
      </c>
      <c r="B515" s="175">
        <v>46032</v>
      </c>
      <c r="C515" s="171" t="s">
        <v>127</v>
      </c>
      <c r="D515" s="171" t="s">
        <v>128</v>
      </c>
      <c r="E515" s="171" t="s">
        <v>38</v>
      </c>
      <c r="F515" s="171" t="s">
        <v>111</v>
      </c>
      <c r="G515" s="171" t="s">
        <v>112</v>
      </c>
      <c r="H515" s="176">
        <v>1</v>
      </c>
      <c r="I515" s="177">
        <v>1704</v>
      </c>
      <c r="J515" s="175">
        <v>46029</v>
      </c>
      <c r="K515" s="171" t="s">
        <v>113</v>
      </c>
      <c r="L515" s="171" t="s">
        <v>114</v>
      </c>
      <c r="M515" s="178">
        <v>0</v>
      </c>
      <c r="N515" s="176"/>
      <c r="O515" s="176"/>
      <c r="P515" s="179">
        <v>584.6</v>
      </c>
    </row>
    <row r="516" spans="1:16" ht="19.5" customHeight="1">
      <c r="A516" s="171" t="s">
        <v>523</v>
      </c>
      <c r="B516" s="175">
        <v>46032</v>
      </c>
      <c r="C516" s="171" t="s">
        <v>127</v>
      </c>
      <c r="D516" s="171" t="s">
        <v>129</v>
      </c>
      <c r="E516" s="171" t="s">
        <v>38</v>
      </c>
      <c r="F516" s="171" t="s">
        <v>111</v>
      </c>
      <c r="G516" s="171" t="s">
        <v>112</v>
      </c>
      <c r="H516" s="176">
        <v>1</v>
      </c>
      <c r="I516" s="177">
        <v>1704</v>
      </c>
      <c r="J516" s="175">
        <v>46029</v>
      </c>
      <c r="K516" s="171" t="s">
        <v>113</v>
      </c>
      <c r="L516" s="171" t="s">
        <v>114</v>
      </c>
      <c r="M516" s="178">
        <v>0</v>
      </c>
      <c r="N516" s="176"/>
      <c r="O516" s="176"/>
      <c r="P516" s="179">
        <v>5.85</v>
      </c>
    </row>
    <row r="517" spans="1:16" ht="19.5" customHeight="1">
      <c r="A517" s="171" t="s">
        <v>523</v>
      </c>
      <c r="B517" s="175">
        <v>46032</v>
      </c>
      <c r="C517" s="171" t="s">
        <v>127</v>
      </c>
      <c r="D517" s="171" t="s">
        <v>130</v>
      </c>
      <c r="E517" s="171" t="s">
        <v>38</v>
      </c>
      <c r="F517" s="171" t="s">
        <v>111</v>
      </c>
      <c r="G517" s="171" t="s">
        <v>112</v>
      </c>
      <c r="H517" s="176">
        <v>1</v>
      </c>
      <c r="I517" s="177">
        <v>1704</v>
      </c>
      <c r="J517" s="175">
        <v>46029</v>
      </c>
      <c r="K517" s="171" t="s">
        <v>113</v>
      </c>
      <c r="L517" s="171" t="s">
        <v>114</v>
      </c>
      <c r="M517" s="178">
        <v>0</v>
      </c>
      <c r="N517" s="176"/>
      <c r="O517" s="176"/>
      <c r="P517" s="179">
        <v>1113.55</v>
      </c>
    </row>
    <row r="518" spans="1:16" ht="19.5" customHeight="1">
      <c r="A518" s="171" t="s">
        <v>523</v>
      </c>
      <c r="B518" s="175">
        <v>46032</v>
      </c>
      <c r="C518" s="171" t="s">
        <v>131</v>
      </c>
      <c r="D518" s="171" t="s">
        <v>132</v>
      </c>
      <c r="E518" s="171" t="s">
        <v>38</v>
      </c>
      <c r="F518" s="171" t="s">
        <v>111</v>
      </c>
      <c r="G518" s="171" t="s">
        <v>112</v>
      </c>
      <c r="H518" s="176">
        <v>1</v>
      </c>
      <c r="I518" s="177">
        <v>1704</v>
      </c>
      <c r="J518" s="175">
        <v>46029</v>
      </c>
      <c r="K518" s="171" t="s">
        <v>113</v>
      </c>
      <c r="L518" s="171" t="s">
        <v>114</v>
      </c>
      <c r="M518" s="178">
        <v>0.43</v>
      </c>
      <c r="N518" s="176"/>
      <c r="O518" s="176"/>
      <c r="P518" s="179">
        <v>-732.72</v>
      </c>
    </row>
    <row r="519" spans="1:16" ht="19.5" customHeight="1">
      <c r="A519" s="171" t="s">
        <v>524</v>
      </c>
      <c r="B519" s="175">
        <v>46032</v>
      </c>
      <c r="C519" s="171" t="s">
        <v>110</v>
      </c>
      <c r="D519" s="171" t="s">
        <v>24</v>
      </c>
      <c r="E519" s="171" t="s">
        <v>38</v>
      </c>
      <c r="F519" s="171" t="s">
        <v>111</v>
      </c>
      <c r="G519" s="171" t="s">
        <v>112</v>
      </c>
      <c r="H519" s="176">
        <v>1</v>
      </c>
      <c r="I519" s="177">
        <v>0</v>
      </c>
      <c r="J519" s="175">
        <v>46027</v>
      </c>
      <c r="K519" s="171" t="s">
        <v>113</v>
      </c>
      <c r="L519" s="171" t="s">
        <v>114</v>
      </c>
      <c r="M519" s="178">
        <v>0</v>
      </c>
      <c r="N519" s="176"/>
      <c r="O519" s="176">
        <v>41</v>
      </c>
      <c r="P519" s="179">
        <v>-46.77</v>
      </c>
    </row>
    <row r="520" spans="1:16" ht="19.5" customHeight="1">
      <c r="A520" s="171" t="s">
        <v>524</v>
      </c>
      <c r="B520" s="175">
        <v>46032</v>
      </c>
      <c r="C520" s="171" t="s">
        <v>115</v>
      </c>
      <c r="D520" s="171" t="s">
        <v>116</v>
      </c>
      <c r="E520" s="171" t="s">
        <v>38</v>
      </c>
      <c r="F520" s="171" t="s">
        <v>111</v>
      </c>
      <c r="G520" s="171" t="s">
        <v>112</v>
      </c>
      <c r="H520" s="176">
        <v>1</v>
      </c>
      <c r="I520" s="177">
        <v>0</v>
      </c>
      <c r="J520" s="175">
        <v>46027</v>
      </c>
      <c r="K520" s="171" t="s">
        <v>113</v>
      </c>
      <c r="L520" s="171" t="s">
        <v>114</v>
      </c>
      <c r="M520" s="178">
        <v>0</v>
      </c>
      <c r="N520" s="176"/>
      <c r="O520" s="176"/>
      <c r="P520" s="179">
        <v>-13.28</v>
      </c>
    </row>
    <row r="521" spans="1:16" ht="19.5" customHeight="1">
      <c r="A521" s="171" t="s">
        <v>524</v>
      </c>
      <c r="B521" s="175">
        <v>46032</v>
      </c>
      <c r="C521" s="171" t="s">
        <v>110</v>
      </c>
      <c r="D521" s="171" t="s">
        <v>117</v>
      </c>
      <c r="E521" s="171" t="s">
        <v>38</v>
      </c>
      <c r="F521" s="171" t="s">
        <v>111</v>
      </c>
      <c r="G521" s="171" t="s">
        <v>112</v>
      </c>
      <c r="H521" s="176">
        <v>1</v>
      </c>
      <c r="I521" s="177">
        <v>0</v>
      </c>
      <c r="J521" s="175">
        <v>46027</v>
      </c>
      <c r="K521" s="171" t="s">
        <v>113</v>
      </c>
      <c r="L521" s="171" t="s">
        <v>114</v>
      </c>
      <c r="M521" s="178">
        <v>0</v>
      </c>
      <c r="N521" s="176"/>
      <c r="O521" s="176"/>
      <c r="P521" s="179">
        <v>0</v>
      </c>
    </row>
    <row r="522" spans="1:16" ht="19.5" customHeight="1">
      <c r="A522" s="171" t="s">
        <v>524</v>
      </c>
      <c r="B522" s="175">
        <v>46032</v>
      </c>
      <c r="C522" s="171" t="s">
        <v>110</v>
      </c>
      <c r="D522" s="171" t="s">
        <v>118</v>
      </c>
      <c r="E522" s="171" t="s">
        <v>38</v>
      </c>
      <c r="F522" s="171" t="s">
        <v>111</v>
      </c>
      <c r="G522" s="171" t="s">
        <v>112</v>
      </c>
      <c r="H522" s="176">
        <v>1</v>
      </c>
      <c r="I522" s="177">
        <v>0</v>
      </c>
      <c r="J522" s="175">
        <v>46027</v>
      </c>
      <c r="K522" s="171" t="s">
        <v>113</v>
      </c>
      <c r="L522" s="171" t="s">
        <v>114</v>
      </c>
      <c r="M522" s="178">
        <v>0</v>
      </c>
      <c r="N522" s="176"/>
      <c r="O522" s="176"/>
      <c r="P522" s="179">
        <v>-46.77</v>
      </c>
    </row>
    <row r="523" spans="1:16" ht="19.5" customHeight="1">
      <c r="A523" s="171" t="s">
        <v>524</v>
      </c>
      <c r="B523" s="175">
        <v>46032</v>
      </c>
      <c r="C523" s="171" t="s">
        <v>115</v>
      </c>
      <c r="D523" s="171" t="s">
        <v>119</v>
      </c>
      <c r="E523" s="171" t="s">
        <v>38</v>
      </c>
      <c r="F523" s="171" t="s">
        <v>111</v>
      </c>
      <c r="G523" s="171" t="s">
        <v>112</v>
      </c>
      <c r="H523" s="176">
        <v>1</v>
      </c>
      <c r="I523" s="177">
        <v>0</v>
      </c>
      <c r="J523" s="175">
        <v>46027</v>
      </c>
      <c r="K523" s="171" t="s">
        <v>113</v>
      </c>
      <c r="L523" s="171" t="s">
        <v>114</v>
      </c>
      <c r="M523" s="178">
        <v>0</v>
      </c>
      <c r="N523" s="176"/>
      <c r="O523" s="176"/>
      <c r="P523" s="179">
        <v>-15</v>
      </c>
    </row>
    <row r="524" spans="1:16" ht="19.5" customHeight="1">
      <c r="A524" s="171" t="s">
        <v>523</v>
      </c>
      <c r="B524" s="175">
        <v>46032</v>
      </c>
      <c r="C524" s="171" t="s">
        <v>115</v>
      </c>
      <c r="D524" s="171" t="s">
        <v>135</v>
      </c>
      <c r="E524" s="171" t="s">
        <v>38</v>
      </c>
      <c r="F524" s="171" t="s">
        <v>111</v>
      </c>
      <c r="G524" s="171" t="s">
        <v>112</v>
      </c>
      <c r="H524" s="176">
        <v>1</v>
      </c>
      <c r="I524" s="177">
        <v>0</v>
      </c>
      <c r="J524" s="175">
        <v>46029</v>
      </c>
      <c r="K524" s="171" t="s">
        <v>125</v>
      </c>
      <c r="L524" s="171" t="s">
        <v>125</v>
      </c>
      <c r="M524" s="178">
        <v>0</v>
      </c>
      <c r="N524" s="176"/>
      <c r="O524" s="176"/>
      <c r="P524" s="179">
        <v>-11.11</v>
      </c>
    </row>
    <row r="525" spans="1:16" ht="19.5" customHeight="1">
      <c r="A525" s="171" t="s">
        <v>525</v>
      </c>
      <c r="B525" s="175">
        <v>46032</v>
      </c>
      <c r="C525" s="171" t="s">
        <v>110</v>
      </c>
      <c r="D525" s="171" t="s">
        <v>24</v>
      </c>
      <c r="E525" s="171" t="s">
        <v>38</v>
      </c>
      <c r="F525" s="171" t="s">
        <v>111</v>
      </c>
      <c r="G525" s="171" t="s">
        <v>112</v>
      </c>
      <c r="H525" s="176">
        <v>1</v>
      </c>
      <c r="I525" s="177">
        <v>1704</v>
      </c>
      <c r="J525" s="175">
        <v>46029</v>
      </c>
      <c r="K525" s="171" t="s">
        <v>113</v>
      </c>
      <c r="L525" s="171" t="s">
        <v>114</v>
      </c>
      <c r="M525" s="178">
        <v>0.43</v>
      </c>
      <c r="N525" s="176"/>
      <c r="O525" s="176">
        <v>46</v>
      </c>
      <c r="P525" s="179">
        <v>-136.53</v>
      </c>
    </row>
    <row r="526" spans="1:16" ht="19.5" customHeight="1">
      <c r="A526" s="171" t="s">
        <v>525</v>
      </c>
      <c r="B526" s="175">
        <v>46032</v>
      </c>
      <c r="C526" s="171" t="s">
        <v>127</v>
      </c>
      <c r="D526" s="171" t="s">
        <v>128</v>
      </c>
      <c r="E526" s="171" t="s">
        <v>38</v>
      </c>
      <c r="F526" s="171" t="s">
        <v>111</v>
      </c>
      <c r="G526" s="171" t="s">
        <v>112</v>
      </c>
      <c r="H526" s="176">
        <v>1</v>
      </c>
      <c r="I526" s="177">
        <v>1704</v>
      </c>
      <c r="J526" s="175">
        <v>46029</v>
      </c>
      <c r="K526" s="171" t="s">
        <v>113</v>
      </c>
      <c r="L526" s="171" t="s">
        <v>114</v>
      </c>
      <c r="M526" s="178">
        <v>0</v>
      </c>
      <c r="N526" s="176"/>
      <c r="O526" s="176"/>
      <c r="P526" s="179">
        <v>580.19000000000005</v>
      </c>
    </row>
    <row r="527" spans="1:16" ht="19.5" customHeight="1">
      <c r="A527" s="171" t="s">
        <v>525</v>
      </c>
      <c r="B527" s="175">
        <v>46032</v>
      </c>
      <c r="C527" s="171" t="s">
        <v>127</v>
      </c>
      <c r="D527" s="171" t="s">
        <v>129</v>
      </c>
      <c r="E527" s="171" t="s">
        <v>38</v>
      </c>
      <c r="F527" s="171" t="s">
        <v>111</v>
      </c>
      <c r="G527" s="171" t="s">
        <v>112</v>
      </c>
      <c r="H527" s="176">
        <v>1</v>
      </c>
      <c r="I527" s="177">
        <v>1704</v>
      </c>
      <c r="J527" s="175">
        <v>46029</v>
      </c>
      <c r="K527" s="171" t="s">
        <v>113</v>
      </c>
      <c r="L527" s="171" t="s">
        <v>114</v>
      </c>
      <c r="M527" s="178">
        <v>0</v>
      </c>
      <c r="N527" s="176"/>
      <c r="O527" s="176"/>
      <c r="P527" s="179">
        <v>5.8</v>
      </c>
    </row>
    <row r="528" spans="1:16" ht="19.5" customHeight="1">
      <c r="A528" s="171" t="s">
        <v>525</v>
      </c>
      <c r="B528" s="175">
        <v>46032</v>
      </c>
      <c r="C528" s="171" t="s">
        <v>127</v>
      </c>
      <c r="D528" s="171" t="s">
        <v>130</v>
      </c>
      <c r="E528" s="171" t="s">
        <v>38</v>
      </c>
      <c r="F528" s="171" t="s">
        <v>111</v>
      </c>
      <c r="G528" s="171" t="s">
        <v>112</v>
      </c>
      <c r="H528" s="176">
        <v>1</v>
      </c>
      <c r="I528" s="177">
        <v>1704</v>
      </c>
      <c r="J528" s="175">
        <v>46029</v>
      </c>
      <c r="K528" s="171" t="s">
        <v>113</v>
      </c>
      <c r="L528" s="171" t="s">
        <v>114</v>
      </c>
      <c r="M528" s="178">
        <v>0</v>
      </c>
      <c r="N528" s="176"/>
      <c r="O528" s="176"/>
      <c r="P528" s="179">
        <v>1118.01</v>
      </c>
    </row>
    <row r="529" spans="1:16" ht="19.5" customHeight="1">
      <c r="A529" s="171" t="s">
        <v>525</v>
      </c>
      <c r="B529" s="175">
        <v>46032</v>
      </c>
      <c r="C529" s="171" t="s">
        <v>131</v>
      </c>
      <c r="D529" s="171" t="s">
        <v>132</v>
      </c>
      <c r="E529" s="171" t="s">
        <v>38</v>
      </c>
      <c r="F529" s="171" t="s">
        <v>111</v>
      </c>
      <c r="G529" s="171" t="s">
        <v>112</v>
      </c>
      <c r="H529" s="176">
        <v>1</v>
      </c>
      <c r="I529" s="177">
        <v>1704</v>
      </c>
      <c r="J529" s="175">
        <v>46029</v>
      </c>
      <c r="K529" s="171" t="s">
        <v>113</v>
      </c>
      <c r="L529" s="171" t="s">
        <v>114</v>
      </c>
      <c r="M529" s="178">
        <v>0.43</v>
      </c>
      <c r="N529" s="176"/>
      <c r="O529" s="176"/>
      <c r="P529" s="179">
        <v>-732.72</v>
      </c>
    </row>
    <row r="530" spans="1:16" ht="19.5" customHeight="1">
      <c r="A530" s="171" t="s">
        <v>525</v>
      </c>
      <c r="B530" s="175">
        <v>46032</v>
      </c>
      <c r="C530" s="171" t="s">
        <v>115</v>
      </c>
      <c r="D530" s="171" t="s">
        <v>116</v>
      </c>
      <c r="E530" s="171" t="s">
        <v>38</v>
      </c>
      <c r="F530" s="171" t="s">
        <v>111</v>
      </c>
      <c r="G530" s="171" t="s">
        <v>112</v>
      </c>
      <c r="H530" s="176">
        <v>1</v>
      </c>
      <c r="I530" s="177">
        <v>1704</v>
      </c>
      <c r="J530" s="175">
        <v>46029</v>
      </c>
      <c r="K530" s="171" t="s">
        <v>113</v>
      </c>
      <c r="L530" s="171" t="s">
        <v>114</v>
      </c>
      <c r="M530" s="178">
        <v>0.43</v>
      </c>
      <c r="N530" s="176"/>
      <c r="O530" s="176"/>
      <c r="P530" s="179">
        <v>-11.76</v>
      </c>
    </row>
    <row r="531" spans="1:16" ht="19.5" customHeight="1">
      <c r="A531" s="171" t="s">
        <v>526</v>
      </c>
      <c r="B531" s="175">
        <v>46032</v>
      </c>
      <c r="C531" s="171" t="s">
        <v>110</v>
      </c>
      <c r="D531" s="171" t="s">
        <v>24</v>
      </c>
      <c r="E531" s="171" t="s">
        <v>41</v>
      </c>
      <c r="F531" s="171" t="s">
        <v>138</v>
      </c>
      <c r="G531" s="171" t="s">
        <v>112</v>
      </c>
      <c r="H531" s="176">
        <v>1</v>
      </c>
      <c r="I531" s="177">
        <v>1304</v>
      </c>
      <c r="J531" s="175">
        <v>46024</v>
      </c>
      <c r="K531" s="171" t="s">
        <v>113</v>
      </c>
      <c r="L531" s="171" t="s">
        <v>114</v>
      </c>
      <c r="M531" s="178">
        <v>0.43</v>
      </c>
      <c r="N531" s="176"/>
      <c r="O531" s="176">
        <v>39</v>
      </c>
      <c r="P531" s="179">
        <v>-99.38</v>
      </c>
    </row>
    <row r="532" spans="1:16" ht="19.5" customHeight="1">
      <c r="A532" s="171" t="s">
        <v>526</v>
      </c>
      <c r="B532" s="175">
        <v>46032</v>
      </c>
      <c r="C532" s="171" t="s">
        <v>127</v>
      </c>
      <c r="D532" s="171" t="s">
        <v>128</v>
      </c>
      <c r="E532" s="171" t="s">
        <v>41</v>
      </c>
      <c r="F532" s="171" t="s">
        <v>138</v>
      </c>
      <c r="G532" s="171" t="s">
        <v>112</v>
      </c>
      <c r="H532" s="176">
        <v>1</v>
      </c>
      <c r="I532" s="177">
        <v>1304</v>
      </c>
      <c r="J532" s="175">
        <v>46024</v>
      </c>
      <c r="K532" s="171" t="s">
        <v>113</v>
      </c>
      <c r="L532" s="171" t="s">
        <v>114</v>
      </c>
      <c r="M532" s="178">
        <v>0</v>
      </c>
      <c r="N532" s="176"/>
      <c r="O532" s="176"/>
      <c r="P532" s="179">
        <v>456.19</v>
      </c>
    </row>
    <row r="533" spans="1:16" ht="19.5" customHeight="1">
      <c r="A533" s="171" t="s">
        <v>526</v>
      </c>
      <c r="B533" s="175">
        <v>46032</v>
      </c>
      <c r="C533" s="171" t="s">
        <v>127</v>
      </c>
      <c r="D533" s="171" t="s">
        <v>129</v>
      </c>
      <c r="E533" s="171" t="s">
        <v>41</v>
      </c>
      <c r="F533" s="171" t="s">
        <v>138</v>
      </c>
      <c r="G533" s="171" t="s">
        <v>112</v>
      </c>
      <c r="H533" s="176">
        <v>1</v>
      </c>
      <c r="I533" s="177">
        <v>1304</v>
      </c>
      <c r="J533" s="175">
        <v>46024</v>
      </c>
      <c r="K533" s="171" t="s">
        <v>113</v>
      </c>
      <c r="L533" s="171" t="s">
        <v>114</v>
      </c>
      <c r="M533" s="178">
        <v>0</v>
      </c>
      <c r="N533" s="176"/>
      <c r="O533" s="176"/>
      <c r="P533" s="179">
        <v>4.5599999999999996</v>
      </c>
    </row>
    <row r="534" spans="1:16" ht="19.5" customHeight="1">
      <c r="A534" s="171" t="s">
        <v>526</v>
      </c>
      <c r="B534" s="175">
        <v>46032</v>
      </c>
      <c r="C534" s="171" t="s">
        <v>127</v>
      </c>
      <c r="D534" s="171" t="s">
        <v>130</v>
      </c>
      <c r="E534" s="171" t="s">
        <v>41</v>
      </c>
      <c r="F534" s="171" t="s">
        <v>138</v>
      </c>
      <c r="G534" s="171" t="s">
        <v>112</v>
      </c>
      <c r="H534" s="176">
        <v>1</v>
      </c>
      <c r="I534" s="177">
        <v>1304</v>
      </c>
      <c r="J534" s="175">
        <v>46024</v>
      </c>
      <c r="K534" s="171" t="s">
        <v>113</v>
      </c>
      <c r="L534" s="171" t="s">
        <v>114</v>
      </c>
      <c r="M534" s="178">
        <v>0</v>
      </c>
      <c r="N534" s="176"/>
      <c r="O534" s="176"/>
      <c r="P534" s="179">
        <v>843.25</v>
      </c>
    </row>
    <row r="535" spans="1:16" ht="19.5" customHeight="1">
      <c r="A535" s="171" t="s">
        <v>526</v>
      </c>
      <c r="B535" s="175">
        <v>46032</v>
      </c>
      <c r="C535" s="171" t="s">
        <v>131</v>
      </c>
      <c r="D535" s="171" t="s">
        <v>132</v>
      </c>
      <c r="E535" s="171" t="s">
        <v>41</v>
      </c>
      <c r="F535" s="171" t="s">
        <v>138</v>
      </c>
      <c r="G535" s="171" t="s">
        <v>112</v>
      </c>
      <c r="H535" s="176">
        <v>1</v>
      </c>
      <c r="I535" s="177">
        <v>1304</v>
      </c>
      <c r="J535" s="175">
        <v>46024</v>
      </c>
      <c r="K535" s="171" t="s">
        <v>113</v>
      </c>
      <c r="L535" s="171" t="s">
        <v>114</v>
      </c>
      <c r="M535" s="178">
        <v>0.43</v>
      </c>
      <c r="N535" s="176"/>
      <c r="O535" s="176"/>
      <c r="P535" s="179">
        <v>-560.72</v>
      </c>
    </row>
    <row r="536" spans="1:16" ht="19.5" customHeight="1">
      <c r="A536" s="171" t="s">
        <v>526</v>
      </c>
      <c r="B536" s="175">
        <v>46032</v>
      </c>
      <c r="C536" s="171" t="s">
        <v>115</v>
      </c>
      <c r="D536" s="171" t="s">
        <v>116</v>
      </c>
      <c r="E536" s="171" t="s">
        <v>41</v>
      </c>
      <c r="F536" s="171" t="s">
        <v>138</v>
      </c>
      <c r="G536" s="171" t="s">
        <v>112</v>
      </c>
      <c r="H536" s="176">
        <v>1</v>
      </c>
      <c r="I536" s="177">
        <v>1304</v>
      </c>
      <c r="J536" s="175">
        <v>46024</v>
      </c>
      <c r="K536" s="171" t="s">
        <v>113</v>
      </c>
      <c r="L536" s="171" t="s">
        <v>114</v>
      </c>
      <c r="M536" s="178">
        <v>0.43</v>
      </c>
      <c r="N536" s="176"/>
      <c r="O536" s="176"/>
      <c r="P536" s="179">
        <v>-12.2</v>
      </c>
    </row>
    <row r="537" spans="1:16" ht="19.5" customHeight="1">
      <c r="A537" s="171" t="s">
        <v>527</v>
      </c>
      <c r="B537" s="175">
        <v>46032</v>
      </c>
      <c r="C537" s="171" t="s">
        <v>110</v>
      </c>
      <c r="D537" s="171" t="s">
        <v>24</v>
      </c>
      <c r="E537" s="171" t="s">
        <v>51</v>
      </c>
      <c r="F537" s="171" t="s">
        <v>227</v>
      </c>
      <c r="G537" s="171" t="s">
        <v>112</v>
      </c>
      <c r="H537" s="176">
        <v>1</v>
      </c>
      <c r="I537" s="177">
        <v>1298</v>
      </c>
      <c r="J537" s="175">
        <v>46029</v>
      </c>
      <c r="K537" s="171" t="s">
        <v>113</v>
      </c>
      <c r="L537" s="171" t="s">
        <v>114</v>
      </c>
      <c r="M537" s="178">
        <v>0.43</v>
      </c>
      <c r="N537" s="176"/>
      <c r="O537" s="176">
        <v>46</v>
      </c>
      <c r="P537" s="179">
        <v>-123.82</v>
      </c>
    </row>
    <row r="538" spans="1:16" ht="19.5" customHeight="1">
      <c r="A538" s="171" t="s">
        <v>527</v>
      </c>
      <c r="B538" s="175">
        <v>46032</v>
      </c>
      <c r="C538" s="171" t="s">
        <v>127</v>
      </c>
      <c r="D538" s="171" t="s">
        <v>128</v>
      </c>
      <c r="E538" s="171" t="s">
        <v>51</v>
      </c>
      <c r="F538" s="171" t="s">
        <v>227</v>
      </c>
      <c r="G538" s="171" t="s">
        <v>112</v>
      </c>
      <c r="H538" s="176">
        <v>1</v>
      </c>
      <c r="I538" s="177">
        <v>1298</v>
      </c>
      <c r="J538" s="175">
        <v>46029</v>
      </c>
      <c r="K538" s="171" t="s">
        <v>113</v>
      </c>
      <c r="L538" s="171" t="s">
        <v>114</v>
      </c>
      <c r="M538" s="178">
        <v>0</v>
      </c>
      <c r="N538" s="176"/>
      <c r="O538" s="176"/>
      <c r="P538" s="179">
        <v>454.29</v>
      </c>
    </row>
    <row r="539" spans="1:16" ht="19.5" customHeight="1">
      <c r="A539" s="171" t="s">
        <v>527</v>
      </c>
      <c r="B539" s="175">
        <v>46032</v>
      </c>
      <c r="C539" s="171" t="s">
        <v>127</v>
      </c>
      <c r="D539" s="171" t="s">
        <v>129</v>
      </c>
      <c r="E539" s="171" t="s">
        <v>51</v>
      </c>
      <c r="F539" s="171" t="s">
        <v>227</v>
      </c>
      <c r="G539" s="171" t="s">
        <v>112</v>
      </c>
      <c r="H539" s="176">
        <v>1</v>
      </c>
      <c r="I539" s="177">
        <v>1298</v>
      </c>
      <c r="J539" s="175">
        <v>46029</v>
      </c>
      <c r="K539" s="171" t="s">
        <v>113</v>
      </c>
      <c r="L539" s="171" t="s">
        <v>114</v>
      </c>
      <c r="M539" s="178">
        <v>0</v>
      </c>
      <c r="N539" s="176"/>
      <c r="O539" s="176"/>
      <c r="P539" s="179">
        <v>4.54</v>
      </c>
    </row>
    <row r="540" spans="1:16" ht="19.5" customHeight="1">
      <c r="A540" s="171" t="s">
        <v>527</v>
      </c>
      <c r="B540" s="175">
        <v>46032</v>
      </c>
      <c r="C540" s="171" t="s">
        <v>127</v>
      </c>
      <c r="D540" s="171" t="s">
        <v>130</v>
      </c>
      <c r="E540" s="171" t="s">
        <v>51</v>
      </c>
      <c r="F540" s="171" t="s">
        <v>227</v>
      </c>
      <c r="G540" s="171" t="s">
        <v>112</v>
      </c>
      <c r="H540" s="176">
        <v>1</v>
      </c>
      <c r="I540" s="177">
        <v>1298</v>
      </c>
      <c r="J540" s="175">
        <v>46029</v>
      </c>
      <c r="K540" s="171" t="s">
        <v>113</v>
      </c>
      <c r="L540" s="171" t="s">
        <v>114</v>
      </c>
      <c r="M540" s="178">
        <v>0</v>
      </c>
      <c r="N540" s="176"/>
      <c r="O540" s="176"/>
      <c r="P540" s="179">
        <v>839.17</v>
      </c>
    </row>
    <row r="541" spans="1:16" ht="19.5" customHeight="1">
      <c r="A541" s="171" t="s">
        <v>527</v>
      </c>
      <c r="B541" s="175">
        <v>46032</v>
      </c>
      <c r="C541" s="171" t="s">
        <v>131</v>
      </c>
      <c r="D541" s="171" t="s">
        <v>132</v>
      </c>
      <c r="E541" s="171" t="s">
        <v>51</v>
      </c>
      <c r="F541" s="171" t="s">
        <v>227</v>
      </c>
      <c r="G541" s="171" t="s">
        <v>112</v>
      </c>
      <c r="H541" s="176">
        <v>1</v>
      </c>
      <c r="I541" s="177">
        <v>1298</v>
      </c>
      <c r="J541" s="175">
        <v>46029</v>
      </c>
      <c r="K541" s="171" t="s">
        <v>113</v>
      </c>
      <c r="L541" s="171" t="s">
        <v>114</v>
      </c>
      <c r="M541" s="178">
        <v>0.43</v>
      </c>
      <c r="N541" s="176"/>
      <c r="O541" s="176"/>
      <c r="P541" s="179">
        <v>-558.14</v>
      </c>
    </row>
    <row r="542" spans="1:16" ht="19.5" customHeight="1">
      <c r="A542" s="171" t="s">
        <v>527</v>
      </c>
      <c r="B542" s="175">
        <v>46032</v>
      </c>
      <c r="C542" s="171" t="s">
        <v>115</v>
      </c>
      <c r="D542" s="171" t="s">
        <v>116</v>
      </c>
      <c r="E542" s="171" t="s">
        <v>51</v>
      </c>
      <c r="F542" s="171" t="s">
        <v>227</v>
      </c>
      <c r="G542" s="171" t="s">
        <v>112</v>
      </c>
      <c r="H542" s="176">
        <v>1</v>
      </c>
      <c r="I542" s="177">
        <v>1298</v>
      </c>
      <c r="J542" s="175">
        <v>46029</v>
      </c>
      <c r="K542" s="171" t="s">
        <v>113</v>
      </c>
      <c r="L542" s="171" t="s">
        <v>114</v>
      </c>
      <c r="M542" s="178">
        <v>0.43</v>
      </c>
      <c r="N542" s="176"/>
      <c r="O542" s="176"/>
      <c r="P542" s="179">
        <v>-6.69</v>
      </c>
    </row>
    <row r="543" spans="1:16" ht="19.5" customHeight="1">
      <c r="A543" s="171" t="s">
        <v>525</v>
      </c>
      <c r="B543" s="175">
        <v>46032</v>
      </c>
      <c r="C543" s="171" t="s">
        <v>115</v>
      </c>
      <c r="D543" s="171" t="s">
        <v>135</v>
      </c>
      <c r="E543" s="171" t="s">
        <v>38</v>
      </c>
      <c r="F543" s="171" t="s">
        <v>111</v>
      </c>
      <c r="G543" s="171" t="s">
        <v>112</v>
      </c>
      <c r="H543" s="176">
        <v>1</v>
      </c>
      <c r="I543" s="177">
        <v>0</v>
      </c>
      <c r="J543" s="175">
        <v>46029</v>
      </c>
      <c r="K543" s="171" t="s">
        <v>125</v>
      </c>
      <c r="L543" s="171" t="s">
        <v>125</v>
      </c>
      <c r="M543" s="178">
        <v>0</v>
      </c>
      <c r="N543" s="176"/>
      <c r="O543" s="176"/>
      <c r="P543" s="179">
        <v>-11.02</v>
      </c>
    </row>
    <row r="544" spans="1:16" ht="19.5" customHeight="1">
      <c r="A544" s="171" t="s">
        <v>526</v>
      </c>
      <c r="B544" s="175">
        <v>46032</v>
      </c>
      <c r="C544" s="171" t="s">
        <v>115</v>
      </c>
      <c r="D544" s="171" t="s">
        <v>135</v>
      </c>
      <c r="E544" s="171" t="s">
        <v>41</v>
      </c>
      <c r="F544" s="171" t="s">
        <v>138</v>
      </c>
      <c r="G544" s="171" t="s">
        <v>112</v>
      </c>
      <c r="H544" s="176">
        <v>1</v>
      </c>
      <c r="I544" s="177">
        <v>0</v>
      </c>
      <c r="J544" s="175">
        <v>46024</v>
      </c>
      <c r="K544" s="171" t="s">
        <v>125</v>
      </c>
      <c r="L544" s="171" t="s">
        <v>125</v>
      </c>
      <c r="M544" s="178">
        <v>0</v>
      </c>
      <c r="N544" s="176"/>
      <c r="O544" s="176"/>
      <c r="P544" s="179">
        <v>-8.67</v>
      </c>
    </row>
    <row r="545" spans="1:16" ht="19.5" customHeight="1">
      <c r="A545" s="171" t="s">
        <v>528</v>
      </c>
      <c r="B545" s="175">
        <v>46032</v>
      </c>
      <c r="C545" s="171" t="s">
        <v>110</v>
      </c>
      <c r="D545" s="171" t="s">
        <v>24</v>
      </c>
      <c r="E545" s="171" t="s">
        <v>41</v>
      </c>
      <c r="F545" s="171" t="s">
        <v>138</v>
      </c>
      <c r="G545" s="171" t="s">
        <v>112</v>
      </c>
      <c r="H545" s="176">
        <v>1</v>
      </c>
      <c r="I545" s="177">
        <v>1304</v>
      </c>
      <c r="J545" s="175">
        <v>46023</v>
      </c>
      <c r="K545" s="171" t="s">
        <v>113</v>
      </c>
      <c r="L545" s="171" t="s">
        <v>114</v>
      </c>
      <c r="M545" s="178">
        <v>0.43</v>
      </c>
      <c r="N545" s="176"/>
      <c r="O545" s="176">
        <v>39</v>
      </c>
      <c r="P545" s="179">
        <v>-100.52</v>
      </c>
    </row>
    <row r="546" spans="1:16" ht="19.5" customHeight="1">
      <c r="A546" s="171" t="s">
        <v>528</v>
      </c>
      <c r="B546" s="175">
        <v>46032</v>
      </c>
      <c r="C546" s="171" t="s">
        <v>127</v>
      </c>
      <c r="D546" s="171" t="s">
        <v>128</v>
      </c>
      <c r="E546" s="171" t="s">
        <v>41</v>
      </c>
      <c r="F546" s="171" t="s">
        <v>138</v>
      </c>
      <c r="G546" s="171" t="s">
        <v>112</v>
      </c>
      <c r="H546" s="176">
        <v>1</v>
      </c>
      <c r="I546" s="177">
        <v>1304</v>
      </c>
      <c r="J546" s="175">
        <v>46023</v>
      </c>
      <c r="K546" s="171" t="s">
        <v>113</v>
      </c>
      <c r="L546" s="171" t="s">
        <v>114</v>
      </c>
      <c r="M546" s="178">
        <v>0</v>
      </c>
      <c r="N546" s="176"/>
      <c r="O546" s="176"/>
      <c r="P546" s="179">
        <v>455.76</v>
      </c>
    </row>
    <row r="547" spans="1:16" ht="19.5" customHeight="1">
      <c r="A547" s="171" t="s">
        <v>528</v>
      </c>
      <c r="B547" s="175">
        <v>46032</v>
      </c>
      <c r="C547" s="171" t="s">
        <v>127</v>
      </c>
      <c r="D547" s="171" t="s">
        <v>129</v>
      </c>
      <c r="E547" s="171" t="s">
        <v>41</v>
      </c>
      <c r="F547" s="171" t="s">
        <v>138</v>
      </c>
      <c r="G547" s="171" t="s">
        <v>112</v>
      </c>
      <c r="H547" s="176">
        <v>1</v>
      </c>
      <c r="I547" s="177">
        <v>1304</v>
      </c>
      <c r="J547" s="175">
        <v>46023</v>
      </c>
      <c r="K547" s="171" t="s">
        <v>113</v>
      </c>
      <c r="L547" s="171" t="s">
        <v>114</v>
      </c>
      <c r="M547" s="178">
        <v>0</v>
      </c>
      <c r="N547" s="176"/>
      <c r="O547" s="176"/>
      <c r="P547" s="179">
        <v>4.5599999999999996</v>
      </c>
    </row>
    <row r="548" spans="1:16" ht="19.5" customHeight="1">
      <c r="A548" s="171" t="s">
        <v>528</v>
      </c>
      <c r="B548" s="175">
        <v>46032</v>
      </c>
      <c r="C548" s="171" t="s">
        <v>127</v>
      </c>
      <c r="D548" s="171" t="s">
        <v>130</v>
      </c>
      <c r="E548" s="171" t="s">
        <v>41</v>
      </c>
      <c r="F548" s="171" t="s">
        <v>138</v>
      </c>
      <c r="G548" s="171" t="s">
        <v>112</v>
      </c>
      <c r="H548" s="176">
        <v>1</v>
      </c>
      <c r="I548" s="177">
        <v>1304</v>
      </c>
      <c r="J548" s="175">
        <v>46023</v>
      </c>
      <c r="K548" s="171" t="s">
        <v>113</v>
      </c>
      <c r="L548" s="171" t="s">
        <v>114</v>
      </c>
      <c r="M548" s="178">
        <v>0</v>
      </c>
      <c r="N548" s="176"/>
      <c r="O548" s="176"/>
      <c r="P548" s="179">
        <v>843.68</v>
      </c>
    </row>
    <row r="549" spans="1:16" ht="19.5" customHeight="1">
      <c r="A549" s="171" t="s">
        <v>528</v>
      </c>
      <c r="B549" s="175">
        <v>46032</v>
      </c>
      <c r="C549" s="171" t="s">
        <v>131</v>
      </c>
      <c r="D549" s="171" t="s">
        <v>132</v>
      </c>
      <c r="E549" s="171" t="s">
        <v>41</v>
      </c>
      <c r="F549" s="171" t="s">
        <v>138</v>
      </c>
      <c r="G549" s="171" t="s">
        <v>112</v>
      </c>
      <c r="H549" s="176">
        <v>1</v>
      </c>
      <c r="I549" s="177">
        <v>1304</v>
      </c>
      <c r="J549" s="175">
        <v>46023</v>
      </c>
      <c r="K549" s="171" t="s">
        <v>113</v>
      </c>
      <c r="L549" s="171" t="s">
        <v>114</v>
      </c>
      <c r="M549" s="178">
        <v>0.43</v>
      </c>
      <c r="N549" s="176"/>
      <c r="O549" s="176"/>
      <c r="P549" s="179">
        <v>-560.72</v>
      </c>
    </row>
    <row r="550" spans="1:16" ht="19.5" customHeight="1">
      <c r="A550" s="171" t="s">
        <v>528</v>
      </c>
      <c r="B550" s="175">
        <v>46032</v>
      </c>
      <c r="C550" s="171" t="s">
        <v>115</v>
      </c>
      <c r="D550" s="171" t="s">
        <v>116</v>
      </c>
      <c r="E550" s="171" t="s">
        <v>41</v>
      </c>
      <c r="F550" s="171" t="s">
        <v>138</v>
      </c>
      <c r="G550" s="171" t="s">
        <v>112</v>
      </c>
      <c r="H550" s="176">
        <v>1</v>
      </c>
      <c r="I550" s="177">
        <v>1304</v>
      </c>
      <c r="J550" s="175">
        <v>46023</v>
      </c>
      <c r="K550" s="171" t="s">
        <v>113</v>
      </c>
      <c r="L550" s="171" t="s">
        <v>114</v>
      </c>
      <c r="M550" s="178">
        <v>0.43</v>
      </c>
      <c r="N550" s="176"/>
      <c r="O550" s="176"/>
      <c r="P550" s="179">
        <v>-8.18</v>
      </c>
    </row>
    <row r="551" spans="1:16" ht="19.5" customHeight="1">
      <c r="A551" s="171" t="s">
        <v>529</v>
      </c>
      <c r="B551" s="175">
        <v>46032</v>
      </c>
      <c r="C551" s="171" t="s">
        <v>110</v>
      </c>
      <c r="D551" s="171" t="s">
        <v>24</v>
      </c>
      <c r="E551" s="171" t="s">
        <v>41</v>
      </c>
      <c r="F551" s="171" t="s">
        <v>138</v>
      </c>
      <c r="G551" s="171" t="s">
        <v>112</v>
      </c>
      <c r="H551" s="176">
        <v>1</v>
      </c>
      <c r="I551" s="177">
        <v>1304</v>
      </c>
      <c r="J551" s="175">
        <v>46021</v>
      </c>
      <c r="K551" s="171" t="s">
        <v>113</v>
      </c>
      <c r="L551" s="171" t="s">
        <v>114</v>
      </c>
      <c r="M551" s="178">
        <v>0.43</v>
      </c>
      <c r="N551" s="176"/>
      <c r="O551" s="176">
        <v>38</v>
      </c>
      <c r="P551" s="179">
        <v>-96.04</v>
      </c>
    </row>
    <row r="552" spans="1:16" ht="19.5" customHeight="1">
      <c r="A552" s="171" t="s">
        <v>529</v>
      </c>
      <c r="B552" s="175">
        <v>46032</v>
      </c>
      <c r="C552" s="171" t="s">
        <v>127</v>
      </c>
      <c r="D552" s="171" t="s">
        <v>128</v>
      </c>
      <c r="E552" s="171" t="s">
        <v>41</v>
      </c>
      <c r="F552" s="171" t="s">
        <v>138</v>
      </c>
      <c r="G552" s="171" t="s">
        <v>112</v>
      </c>
      <c r="H552" s="176">
        <v>1</v>
      </c>
      <c r="I552" s="177">
        <v>1304</v>
      </c>
      <c r="J552" s="175">
        <v>46021</v>
      </c>
      <c r="K552" s="171" t="s">
        <v>113</v>
      </c>
      <c r="L552" s="171" t="s">
        <v>114</v>
      </c>
      <c r="M552" s="178">
        <v>0</v>
      </c>
      <c r="N552" s="176"/>
      <c r="O552" s="176"/>
      <c r="P552" s="179">
        <v>446.23</v>
      </c>
    </row>
    <row r="553" spans="1:16" ht="19.5" customHeight="1">
      <c r="A553" s="171" t="s">
        <v>529</v>
      </c>
      <c r="B553" s="175">
        <v>46032</v>
      </c>
      <c r="C553" s="171" t="s">
        <v>127</v>
      </c>
      <c r="D553" s="171" t="s">
        <v>129</v>
      </c>
      <c r="E553" s="171" t="s">
        <v>41</v>
      </c>
      <c r="F553" s="171" t="s">
        <v>138</v>
      </c>
      <c r="G553" s="171" t="s">
        <v>112</v>
      </c>
      <c r="H553" s="176">
        <v>1</v>
      </c>
      <c r="I553" s="177">
        <v>1304</v>
      </c>
      <c r="J553" s="175">
        <v>46021</v>
      </c>
      <c r="K553" s="171" t="s">
        <v>113</v>
      </c>
      <c r="L553" s="171" t="s">
        <v>114</v>
      </c>
      <c r="M553" s="178">
        <v>0</v>
      </c>
      <c r="N553" s="176"/>
      <c r="O553" s="176"/>
      <c r="P553" s="179">
        <v>4.46</v>
      </c>
    </row>
    <row r="554" spans="1:16" ht="19.5" customHeight="1">
      <c r="A554" s="171" t="s">
        <v>529</v>
      </c>
      <c r="B554" s="175">
        <v>46032</v>
      </c>
      <c r="C554" s="171" t="s">
        <v>127</v>
      </c>
      <c r="D554" s="171" t="s">
        <v>130</v>
      </c>
      <c r="E554" s="171" t="s">
        <v>41</v>
      </c>
      <c r="F554" s="171" t="s">
        <v>138</v>
      </c>
      <c r="G554" s="171" t="s">
        <v>112</v>
      </c>
      <c r="H554" s="176">
        <v>1</v>
      </c>
      <c r="I554" s="177">
        <v>1304</v>
      </c>
      <c r="J554" s="175">
        <v>46021</v>
      </c>
      <c r="K554" s="171" t="s">
        <v>113</v>
      </c>
      <c r="L554" s="171" t="s">
        <v>114</v>
      </c>
      <c r="M554" s="178">
        <v>0</v>
      </c>
      <c r="N554" s="176"/>
      <c r="O554" s="176"/>
      <c r="P554" s="179">
        <v>853.31</v>
      </c>
    </row>
    <row r="555" spans="1:16" ht="19.5" customHeight="1">
      <c r="A555" s="171" t="s">
        <v>529</v>
      </c>
      <c r="B555" s="175">
        <v>46032</v>
      </c>
      <c r="C555" s="171" t="s">
        <v>131</v>
      </c>
      <c r="D555" s="171" t="s">
        <v>132</v>
      </c>
      <c r="E555" s="171" t="s">
        <v>41</v>
      </c>
      <c r="F555" s="171" t="s">
        <v>138</v>
      </c>
      <c r="G555" s="171" t="s">
        <v>112</v>
      </c>
      <c r="H555" s="176">
        <v>1</v>
      </c>
      <c r="I555" s="177">
        <v>1304</v>
      </c>
      <c r="J555" s="175">
        <v>46021</v>
      </c>
      <c r="K555" s="171" t="s">
        <v>113</v>
      </c>
      <c r="L555" s="171" t="s">
        <v>114</v>
      </c>
      <c r="M555" s="178">
        <v>0.43</v>
      </c>
      <c r="N555" s="176"/>
      <c r="O555" s="176"/>
      <c r="P555" s="179">
        <v>-560.72</v>
      </c>
    </row>
    <row r="556" spans="1:16" ht="19.5" customHeight="1">
      <c r="A556" s="171" t="s">
        <v>529</v>
      </c>
      <c r="B556" s="175">
        <v>46032</v>
      </c>
      <c r="C556" s="171" t="s">
        <v>115</v>
      </c>
      <c r="D556" s="171" t="s">
        <v>116</v>
      </c>
      <c r="E556" s="171" t="s">
        <v>41</v>
      </c>
      <c r="F556" s="171" t="s">
        <v>138</v>
      </c>
      <c r="G556" s="171" t="s">
        <v>112</v>
      </c>
      <c r="H556" s="176">
        <v>1</v>
      </c>
      <c r="I556" s="177">
        <v>1304</v>
      </c>
      <c r="J556" s="175">
        <v>46021</v>
      </c>
      <c r="K556" s="171" t="s">
        <v>113</v>
      </c>
      <c r="L556" s="171" t="s">
        <v>114</v>
      </c>
      <c r="M556" s="178">
        <v>0.43</v>
      </c>
      <c r="N556" s="176"/>
      <c r="O556" s="176"/>
      <c r="P556" s="179">
        <v>-8.69</v>
      </c>
    </row>
    <row r="557" spans="1:16" ht="19.5" customHeight="1">
      <c r="A557" s="171" t="s">
        <v>528</v>
      </c>
      <c r="B557" s="175">
        <v>46032</v>
      </c>
      <c r="C557" s="171" t="s">
        <v>115</v>
      </c>
      <c r="D557" s="171" t="s">
        <v>135</v>
      </c>
      <c r="E557" s="171" t="s">
        <v>41</v>
      </c>
      <c r="F557" s="171" t="s">
        <v>138</v>
      </c>
      <c r="G557" s="171" t="s">
        <v>112</v>
      </c>
      <c r="H557" s="176">
        <v>1</v>
      </c>
      <c r="I557" s="177">
        <v>0</v>
      </c>
      <c r="J557" s="175">
        <v>46023</v>
      </c>
      <c r="K557" s="171" t="s">
        <v>125</v>
      </c>
      <c r="L557" s="171" t="s">
        <v>125</v>
      </c>
      <c r="M557" s="178">
        <v>0</v>
      </c>
      <c r="N557" s="176"/>
      <c r="O557" s="176"/>
      <c r="P557" s="179">
        <v>-8.66</v>
      </c>
    </row>
    <row r="558" spans="1:16" ht="19.5" customHeight="1">
      <c r="A558" s="171" t="s">
        <v>530</v>
      </c>
      <c r="B558" s="175">
        <v>46032</v>
      </c>
      <c r="C558" s="171" t="s">
        <v>110</v>
      </c>
      <c r="D558" s="171" t="s">
        <v>117</v>
      </c>
      <c r="E558" s="171" t="s">
        <v>38</v>
      </c>
      <c r="F558" s="171" t="s">
        <v>111</v>
      </c>
      <c r="G558" s="171" t="s">
        <v>112</v>
      </c>
      <c r="H558" s="176">
        <v>1</v>
      </c>
      <c r="I558" s="177">
        <v>0</v>
      </c>
      <c r="J558" s="175">
        <v>46026</v>
      </c>
      <c r="K558" s="171" t="s">
        <v>113</v>
      </c>
      <c r="L558" s="171" t="s">
        <v>114</v>
      </c>
      <c r="M558" s="178">
        <v>0</v>
      </c>
      <c r="N558" s="176"/>
      <c r="O558" s="176"/>
      <c r="P558" s="179">
        <v>0</v>
      </c>
    </row>
    <row r="559" spans="1:16" ht="19.5" customHeight="1">
      <c r="A559" s="171" t="s">
        <v>530</v>
      </c>
      <c r="B559" s="175">
        <v>46032</v>
      </c>
      <c r="C559" s="171" t="s">
        <v>110</v>
      </c>
      <c r="D559" s="171" t="s">
        <v>118</v>
      </c>
      <c r="E559" s="171" t="s">
        <v>38</v>
      </c>
      <c r="F559" s="171" t="s">
        <v>111</v>
      </c>
      <c r="G559" s="171" t="s">
        <v>112</v>
      </c>
      <c r="H559" s="176">
        <v>1</v>
      </c>
      <c r="I559" s="177">
        <v>0</v>
      </c>
      <c r="J559" s="175">
        <v>46026</v>
      </c>
      <c r="K559" s="171" t="s">
        <v>113</v>
      </c>
      <c r="L559" s="171" t="s">
        <v>114</v>
      </c>
      <c r="M559" s="178">
        <v>0</v>
      </c>
      <c r="N559" s="176"/>
      <c r="O559" s="176"/>
      <c r="P559" s="179">
        <v>-46.77</v>
      </c>
    </row>
    <row r="560" spans="1:16" ht="19.5" customHeight="1">
      <c r="A560" s="171" t="s">
        <v>530</v>
      </c>
      <c r="B560" s="175">
        <v>46032</v>
      </c>
      <c r="C560" s="171" t="s">
        <v>115</v>
      </c>
      <c r="D560" s="171" t="s">
        <v>119</v>
      </c>
      <c r="E560" s="171" t="s">
        <v>38</v>
      </c>
      <c r="F560" s="171" t="s">
        <v>111</v>
      </c>
      <c r="G560" s="171" t="s">
        <v>112</v>
      </c>
      <c r="H560" s="176">
        <v>1</v>
      </c>
      <c r="I560" s="177">
        <v>0</v>
      </c>
      <c r="J560" s="175">
        <v>46026</v>
      </c>
      <c r="K560" s="171" t="s">
        <v>113</v>
      </c>
      <c r="L560" s="171" t="s">
        <v>114</v>
      </c>
      <c r="M560" s="178">
        <v>0</v>
      </c>
      <c r="N560" s="176"/>
      <c r="O560" s="176"/>
      <c r="P560" s="179">
        <v>-15</v>
      </c>
    </row>
    <row r="561" spans="1:16" ht="19.5" customHeight="1">
      <c r="A561" s="171" t="s">
        <v>531</v>
      </c>
      <c r="B561" s="175">
        <v>46032</v>
      </c>
      <c r="C561" s="171" t="s">
        <v>110</v>
      </c>
      <c r="D561" s="171" t="s">
        <v>24</v>
      </c>
      <c r="E561" s="171" t="s">
        <v>38</v>
      </c>
      <c r="F561" s="171" t="s">
        <v>111</v>
      </c>
      <c r="G561" s="171" t="s">
        <v>112</v>
      </c>
      <c r="H561" s="176">
        <v>1</v>
      </c>
      <c r="I561" s="177">
        <v>0</v>
      </c>
      <c r="J561" s="175">
        <v>46014</v>
      </c>
      <c r="K561" s="171" t="s">
        <v>113</v>
      </c>
      <c r="L561" s="171" t="s">
        <v>114</v>
      </c>
      <c r="M561" s="178">
        <v>0</v>
      </c>
      <c r="N561" s="176"/>
      <c r="O561" s="176">
        <v>42</v>
      </c>
      <c r="P561" s="179">
        <v>-46.77</v>
      </c>
    </row>
    <row r="562" spans="1:16" ht="19.5" customHeight="1">
      <c r="A562" s="171" t="s">
        <v>531</v>
      </c>
      <c r="B562" s="175">
        <v>46032</v>
      </c>
      <c r="C562" s="171" t="s">
        <v>115</v>
      </c>
      <c r="D562" s="171" t="s">
        <v>116</v>
      </c>
      <c r="E562" s="171" t="s">
        <v>38</v>
      </c>
      <c r="F562" s="171" t="s">
        <v>111</v>
      </c>
      <c r="G562" s="171" t="s">
        <v>112</v>
      </c>
      <c r="H562" s="176">
        <v>1</v>
      </c>
      <c r="I562" s="177">
        <v>0</v>
      </c>
      <c r="J562" s="175">
        <v>46014</v>
      </c>
      <c r="K562" s="171" t="s">
        <v>113</v>
      </c>
      <c r="L562" s="171" t="s">
        <v>114</v>
      </c>
      <c r="M562" s="178">
        <v>0</v>
      </c>
      <c r="N562" s="176"/>
      <c r="O562" s="176"/>
      <c r="P562" s="179">
        <v>-7.93</v>
      </c>
    </row>
    <row r="563" spans="1:16" ht="19.5" customHeight="1">
      <c r="A563" s="171" t="s">
        <v>531</v>
      </c>
      <c r="B563" s="175">
        <v>46032</v>
      </c>
      <c r="C563" s="171" t="s">
        <v>110</v>
      </c>
      <c r="D563" s="171" t="s">
        <v>117</v>
      </c>
      <c r="E563" s="171" t="s">
        <v>38</v>
      </c>
      <c r="F563" s="171" t="s">
        <v>111</v>
      </c>
      <c r="G563" s="171" t="s">
        <v>112</v>
      </c>
      <c r="H563" s="176">
        <v>1</v>
      </c>
      <c r="I563" s="177">
        <v>0</v>
      </c>
      <c r="J563" s="175">
        <v>46014</v>
      </c>
      <c r="K563" s="171" t="s">
        <v>113</v>
      </c>
      <c r="L563" s="171" t="s">
        <v>114</v>
      </c>
      <c r="M563" s="178">
        <v>0</v>
      </c>
      <c r="N563" s="176"/>
      <c r="O563" s="176"/>
      <c r="P563" s="179">
        <v>0</v>
      </c>
    </row>
    <row r="564" spans="1:16" ht="19.5" customHeight="1">
      <c r="A564" s="171" t="s">
        <v>531</v>
      </c>
      <c r="B564" s="175">
        <v>46032</v>
      </c>
      <c r="C564" s="171" t="s">
        <v>110</v>
      </c>
      <c r="D564" s="171" t="s">
        <v>118</v>
      </c>
      <c r="E564" s="171" t="s">
        <v>38</v>
      </c>
      <c r="F564" s="171" t="s">
        <v>111</v>
      </c>
      <c r="G564" s="171" t="s">
        <v>112</v>
      </c>
      <c r="H564" s="176">
        <v>1</v>
      </c>
      <c r="I564" s="177">
        <v>0</v>
      </c>
      <c r="J564" s="175">
        <v>46014</v>
      </c>
      <c r="K564" s="171" t="s">
        <v>113</v>
      </c>
      <c r="L564" s="171" t="s">
        <v>114</v>
      </c>
      <c r="M564" s="178">
        <v>0</v>
      </c>
      <c r="N564" s="176"/>
      <c r="O564" s="176"/>
      <c r="P564" s="179">
        <v>-46.77</v>
      </c>
    </row>
    <row r="565" spans="1:16" ht="19.5" customHeight="1">
      <c r="A565" s="171" t="s">
        <v>532</v>
      </c>
      <c r="B565" s="175">
        <v>46032</v>
      </c>
      <c r="C565" s="171" t="s">
        <v>110</v>
      </c>
      <c r="D565" s="171" t="s">
        <v>24</v>
      </c>
      <c r="E565" s="171" t="s">
        <v>45</v>
      </c>
      <c r="F565" s="171" t="s">
        <v>162</v>
      </c>
      <c r="G565" s="171" t="s">
        <v>163</v>
      </c>
      <c r="H565" s="176">
        <v>1</v>
      </c>
      <c r="I565" s="177">
        <v>0</v>
      </c>
      <c r="J565" s="175">
        <v>46026</v>
      </c>
      <c r="K565" s="171" t="s">
        <v>113</v>
      </c>
      <c r="L565" s="171" t="s">
        <v>114</v>
      </c>
      <c r="M565" s="178">
        <v>0</v>
      </c>
      <c r="N565" s="176"/>
      <c r="O565" s="176">
        <v>37</v>
      </c>
      <c r="P565" s="179">
        <v>-46.77</v>
      </c>
    </row>
    <row r="566" spans="1:16" ht="19.5" customHeight="1">
      <c r="A566" s="171" t="s">
        <v>532</v>
      </c>
      <c r="B566" s="175">
        <v>46032</v>
      </c>
      <c r="C566" s="171" t="s">
        <v>115</v>
      </c>
      <c r="D566" s="171" t="s">
        <v>116</v>
      </c>
      <c r="E566" s="171" t="s">
        <v>45</v>
      </c>
      <c r="F566" s="171" t="s">
        <v>162</v>
      </c>
      <c r="G566" s="171" t="s">
        <v>163</v>
      </c>
      <c r="H566" s="176">
        <v>1</v>
      </c>
      <c r="I566" s="177">
        <v>0</v>
      </c>
      <c r="J566" s="175">
        <v>46026</v>
      </c>
      <c r="K566" s="171" t="s">
        <v>113</v>
      </c>
      <c r="L566" s="171" t="s">
        <v>114</v>
      </c>
      <c r="M566" s="178">
        <v>0</v>
      </c>
      <c r="N566" s="176"/>
      <c r="O566" s="176"/>
      <c r="P566" s="179">
        <v>-10.41</v>
      </c>
    </row>
    <row r="567" spans="1:16" ht="19.5" customHeight="1">
      <c r="A567" s="171" t="s">
        <v>532</v>
      </c>
      <c r="B567" s="175">
        <v>46032</v>
      </c>
      <c r="C567" s="171" t="s">
        <v>110</v>
      </c>
      <c r="D567" s="171" t="s">
        <v>117</v>
      </c>
      <c r="E567" s="171" t="s">
        <v>45</v>
      </c>
      <c r="F567" s="171" t="s">
        <v>162</v>
      </c>
      <c r="G567" s="171" t="s">
        <v>163</v>
      </c>
      <c r="H567" s="176">
        <v>1</v>
      </c>
      <c r="I567" s="177">
        <v>0</v>
      </c>
      <c r="J567" s="175">
        <v>46026</v>
      </c>
      <c r="K567" s="171" t="s">
        <v>113</v>
      </c>
      <c r="L567" s="171" t="s">
        <v>114</v>
      </c>
      <c r="M567" s="178">
        <v>0</v>
      </c>
      <c r="N567" s="176"/>
      <c r="O567" s="176"/>
      <c r="P567" s="179">
        <v>0</v>
      </c>
    </row>
    <row r="568" spans="1:16" ht="19.5" customHeight="1">
      <c r="A568" s="171" t="s">
        <v>532</v>
      </c>
      <c r="B568" s="175">
        <v>46032</v>
      </c>
      <c r="C568" s="171" t="s">
        <v>110</v>
      </c>
      <c r="D568" s="171" t="s">
        <v>118</v>
      </c>
      <c r="E568" s="171" t="s">
        <v>45</v>
      </c>
      <c r="F568" s="171" t="s">
        <v>162</v>
      </c>
      <c r="G568" s="171" t="s">
        <v>163</v>
      </c>
      <c r="H568" s="176">
        <v>1</v>
      </c>
      <c r="I568" s="177">
        <v>0</v>
      </c>
      <c r="J568" s="175">
        <v>46026</v>
      </c>
      <c r="K568" s="171" t="s">
        <v>113</v>
      </c>
      <c r="L568" s="171" t="s">
        <v>114</v>
      </c>
      <c r="M568" s="178">
        <v>0</v>
      </c>
      <c r="N568" s="176"/>
      <c r="O568" s="176"/>
      <c r="P568" s="179">
        <v>-46.77</v>
      </c>
    </row>
    <row r="569" spans="1:16" ht="19.5" customHeight="1">
      <c r="A569" s="171" t="s">
        <v>532</v>
      </c>
      <c r="B569" s="175">
        <v>46032</v>
      </c>
      <c r="C569" s="171" t="s">
        <v>115</v>
      </c>
      <c r="D569" s="171" t="s">
        <v>119</v>
      </c>
      <c r="E569" s="171" t="s">
        <v>45</v>
      </c>
      <c r="F569" s="171" t="s">
        <v>162</v>
      </c>
      <c r="G569" s="171" t="s">
        <v>163</v>
      </c>
      <c r="H569" s="176">
        <v>1</v>
      </c>
      <c r="I569" s="177">
        <v>0</v>
      </c>
      <c r="J569" s="175">
        <v>46026</v>
      </c>
      <c r="K569" s="171" t="s">
        <v>113</v>
      </c>
      <c r="L569" s="171" t="s">
        <v>114</v>
      </c>
      <c r="M569" s="178">
        <v>0</v>
      </c>
      <c r="N569" s="176"/>
      <c r="O569" s="176"/>
      <c r="P569" s="179">
        <v>-15</v>
      </c>
    </row>
    <row r="570" spans="1:16" ht="19.5" customHeight="1">
      <c r="A570" s="171" t="s">
        <v>533</v>
      </c>
      <c r="B570" s="175">
        <v>46032</v>
      </c>
      <c r="C570" s="171" t="s">
        <v>110</v>
      </c>
      <c r="D570" s="171" t="s">
        <v>24</v>
      </c>
      <c r="E570" s="171" t="s">
        <v>38</v>
      </c>
      <c r="F570" s="171" t="s">
        <v>111</v>
      </c>
      <c r="G570" s="171" t="s">
        <v>112</v>
      </c>
      <c r="H570" s="176">
        <v>1</v>
      </c>
      <c r="I570" s="177">
        <v>0</v>
      </c>
      <c r="J570" s="175">
        <v>46026</v>
      </c>
      <c r="K570" s="171" t="s">
        <v>113</v>
      </c>
      <c r="L570" s="171" t="s">
        <v>114</v>
      </c>
      <c r="M570" s="178">
        <v>0</v>
      </c>
      <c r="N570" s="176"/>
      <c r="O570" s="176">
        <v>37</v>
      </c>
      <c r="P570" s="179">
        <v>-46.77</v>
      </c>
    </row>
    <row r="571" spans="1:16" ht="19.5" customHeight="1">
      <c r="A571" s="171" t="s">
        <v>533</v>
      </c>
      <c r="B571" s="175">
        <v>46032</v>
      </c>
      <c r="C571" s="171" t="s">
        <v>115</v>
      </c>
      <c r="D571" s="171" t="s">
        <v>116</v>
      </c>
      <c r="E571" s="171" t="s">
        <v>38</v>
      </c>
      <c r="F571" s="171" t="s">
        <v>111</v>
      </c>
      <c r="G571" s="171" t="s">
        <v>112</v>
      </c>
      <c r="H571" s="176">
        <v>1</v>
      </c>
      <c r="I571" s="177">
        <v>0</v>
      </c>
      <c r="J571" s="175">
        <v>46026</v>
      </c>
      <c r="K571" s="171" t="s">
        <v>113</v>
      </c>
      <c r="L571" s="171" t="s">
        <v>114</v>
      </c>
      <c r="M571" s="178">
        <v>0</v>
      </c>
      <c r="N571" s="176"/>
      <c r="O571" s="176"/>
      <c r="P571" s="179">
        <v>-13.42</v>
      </c>
    </row>
    <row r="572" spans="1:16" ht="19.5" customHeight="1">
      <c r="A572" s="171" t="s">
        <v>533</v>
      </c>
      <c r="B572" s="175">
        <v>46032</v>
      </c>
      <c r="C572" s="171" t="s">
        <v>110</v>
      </c>
      <c r="D572" s="171" t="s">
        <v>117</v>
      </c>
      <c r="E572" s="171" t="s">
        <v>38</v>
      </c>
      <c r="F572" s="171" t="s">
        <v>111</v>
      </c>
      <c r="G572" s="171" t="s">
        <v>112</v>
      </c>
      <c r="H572" s="176">
        <v>1</v>
      </c>
      <c r="I572" s="177">
        <v>0</v>
      </c>
      <c r="J572" s="175">
        <v>46026</v>
      </c>
      <c r="K572" s="171" t="s">
        <v>113</v>
      </c>
      <c r="L572" s="171" t="s">
        <v>114</v>
      </c>
      <c r="M572" s="178">
        <v>0</v>
      </c>
      <c r="N572" s="176"/>
      <c r="O572" s="176"/>
      <c r="P572" s="179">
        <v>0</v>
      </c>
    </row>
    <row r="573" spans="1:16" ht="19.5" customHeight="1">
      <c r="A573" s="171" t="s">
        <v>533</v>
      </c>
      <c r="B573" s="175">
        <v>46032</v>
      </c>
      <c r="C573" s="171" t="s">
        <v>110</v>
      </c>
      <c r="D573" s="171" t="s">
        <v>118</v>
      </c>
      <c r="E573" s="171" t="s">
        <v>38</v>
      </c>
      <c r="F573" s="171" t="s">
        <v>111</v>
      </c>
      <c r="G573" s="171" t="s">
        <v>112</v>
      </c>
      <c r="H573" s="176">
        <v>1</v>
      </c>
      <c r="I573" s="177">
        <v>0</v>
      </c>
      <c r="J573" s="175">
        <v>46026</v>
      </c>
      <c r="K573" s="171" t="s">
        <v>113</v>
      </c>
      <c r="L573" s="171" t="s">
        <v>114</v>
      </c>
      <c r="M573" s="178">
        <v>0</v>
      </c>
      <c r="N573" s="176"/>
      <c r="O573" s="176"/>
      <c r="P573" s="179">
        <v>-46.77</v>
      </c>
    </row>
    <row r="574" spans="1:16" ht="19.5" customHeight="1">
      <c r="A574" s="171" t="s">
        <v>533</v>
      </c>
      <c r="B574" s="175">
        <v>46032</v>
      </c>
      <c r="C574" s="171" t="s">
        <v>115</v>
      </c>
      <c r="D574" s="171" t="s">
        <v>119</v>
      </c>
      <c r="E574" s="171" t="s">
        <v>38</v>
      </c>
      <c r="F574" s="171" t="s">
        <v>111</v>
      </c>
      <c r="G574" s="171" t="s">
        <v>112</v>
      </c>
      <c r="H574" s="176">
        <v>1</v>
      </c>
      <c r="I574" s="177">
        <v>0</v>
      </c>
      <c r="J574" s="175">
        <v>46026</v>
      </c>
      <c r="K574" s="171" t="s">
        <v>113</v>
      </c>
      <c r="L574" s="171" t="s">
        <v>114</v>
      </c>
      <c r="M574" s="178">
        <v>0</v>
      </c>
      <c r="N574" s="176"/>
      <c r="O574" s="176"/>
      <c r="P574" s="179">
        <v>-15</v>
      </c>
    </row>
    <row r="575" spans="1:16" ht="19.5" customHeight="1">
      <c r="A575" s="171" t="s">
        <v>530</v>
      </c>
      <c r="B575" s="175">
        <v>46032</v>
      </c>
      <c r="C575" s="171" t="s">
        <v>110</v>
      </c>
      <c r="D575" s="171" t="s">
        <v>24</v>
      </c>
      <c r="E575" s="171" t="s">
        <v>38</v>
      </c>
      <c r="F575" s="171" t="s">
        <v>111</v>
      </c>
      <c r="G575" s="171" t="s">
        <v>112</v>
      </c>
      <c r="H575" s="176">
        <v>1</v>
      </c>
      <c r="I575" s="177">
        <v>0</v>
      </c>
      <c r="J575" s="175">
        <v>46026</v>
      </c>
      <c r="K575" s="171" t="s">
        <v>113</v>
      </c>
      <c r="L575" s="171" t="s">
        <v>114</v>
      </c>
      <c r="M575" s="178">
        <v>0</v>
      </c>
      <c r="N575" s="176"/>
      <c r="O575" s="176">
        <v>37</v>
      </c>
      <c r="P575" s="179">
        <v>-46.77</v>
      </c>
    </row>
    <row r="576" spans="1:16" ht="19.5" customHeight="1">
      <c r="A576" s="171" t="s">
        <v>530</v>
      </c>
      <c r="B576" s="175">
        <v>46032</v>
      </c>
      <c r="C576" s="171" t="s">
        <v>115</v>
      </c>
      <c r="D576" s="171" t="s">
        <v>116</v>
      </c>
      <c r="E576" s="171" t="s">
        <v>38</v>
      </c>
      <c r="F576" s="171" t="s">
        <v>111</v>
      </c>
      <c r="G576" s="171" t="s">
        <v>112</v>
      </c>
      <c r="H576" s="176">
        <v>1</v>
      </c>
      <c r="I576" s="177">
        <v>0</v>
      </c>
      <c r="J576" s="175">
        <v>46026</v>
      </c>
      <c r="K576" s="171" t="s">
        <v>113</v>
      </c>
      <c r="L576" s="171" t="s">
        <v>114</v>
      </c>
      <c r="M576" s="178">
        <v>0</v>
      </c>
      <c r="N576" s="176"/>
      <c r="O576" s="176"/>
      <c r="P576" s="179">
        <v>-8.7100000000000009</v>
      </c>
    </row>
    <row r="577" spans="1:16" ht="19.5" customHeight="1">
      <c r="A577" s="171" t="s">
        <v>442</v>
      </c>
      <c r="B577" s="175">
        <v>46032</v>
      </c>
      <c r="C577" s="171" t="s">
        <v>115</v>
      </c>
      <c r="D577" s="171" t="s">
        <v>135</v>
      </c>
      <c r="E577" s="171" t="s">
        <v>38</v>
      </c>
      <c r="F577" s="171" t="s">
        <v>111</v>
      </c>
      <c r="G577" s="171" t="s">
        <v>112</v>
      </c>
      <c r="H577" s="176">
        <v>1</v>
      </c>
      <c r="I577" s="177">
        <v>0</v>
      </c>
      <c r="J577" s="175">
        <v>46028</v>
      </c>
      <c r="K577" s="171" t="s">
        <v>125</v>
      </c>
      <c r="L577" s="171" t="s">
        <v>125</v>
      </c>
      <c r="M577" s="178">
        <v>0</v>
      </c>
      <c r="N577" s="176"/>
      <c r="O577" s="176"/>
      <c r="P577" s="179">
        <v>11.08</v>
      </c>
    </row>
    <row r="578" spans="1:16" ht="19.5" customHeight="1">
      <c r="A578" s="171" t="s">
        <v>186</v>
      </c>
      <c r="B578" s="175">
        <v>46032</v>
      </c>
      <c r="C578" s="171" t="s">
        <v>308</v>
      </c>
      <c r="D578" s="171" t="s">
        <v>419</v>
      </c>
      <c r="E578" s="171" t="s">
        <v>38</v>
      </c>
      <c r="F578" s="171" t="s">
        <v>111</v>
      </c>
      <c r="G578" s="171" t="s">
        <v>112</v>
      </c>
      <c r="H578" s="176">
        <v>1</v>
      </c>
      <c r="I578" s="177">
        <v>-1704</v>
      </c>
      <c r="J578" s="175">
        <v>46020</v>
      </c>
      <c r="K578" s="171" t="s">
        <v>113</v>
      </c>
      <c r="L578" s="171" t="s">
        <v>114</v>
      </c>
      <c r="M578" s="178">
        <v>0</v>
      </c>
      <c r="N578" s="176"/>
      <c r="O578" s="176"/>
      <c r="P578" s="179">
        <v>-582.94000000000005</v>
      </c>
    </row>
    <row r="579" spans="1:16" ht="19.5" customHeight="1">
      <c r="A579" s="171" t="s">
        <v>186</v>
      </c>
      <c r="B579" s="175">
        <v>46032</v>
      </c>
      <c r="C579" s="171" t="s">
        <v>308</v>
      </c>
      <c r="D579" s="171" t="s">
        <v>129</v>
      </c>
      <c r="E579" s="171" t="s">
        <v>38</v>
      </c>
      <c r="F579" s="171" t="s">
        <v>111</v>
      </c>
      <c r="G579" s="171" t="s">
        <v>112</v>
      </c>
      <c r="H579" s="176">
        <v>1</v>
      </c>
      <c r="I579" s="177">
        <v>-1704</v>
      </c>
      <c r="J579" s="175">
        <v>46020</v>
      </c>
      <c r="K579" s="171" t="s">
        <v>113</v>
      </c>
      <c r="L579" s="171" t="s">
        <v>114</v>
      </c>
      <c r="M579" s="178">
        <v>0</v>
      </c>
      <c r="N579" s="176"/>
      <c r="O579" s="176"/>
      <c r="P579" s="179">
        <v>-5.83</v>
      </c>
    </row>
    <row r="580" spans="1:16" ht="19.5" customHeight="1">
      <c r="A580" s="171" t="s">
        <v>186</v>
      </c>
      <c r="B580" s="175">
        <v>46032</v>
      </c>
      <c r="C580" s="171" t="s">
        <v>308</v>
      </c>
      <c r="D580" s="171" t="s">
        <v>130</v>
      </c>
      <c r="E580" s="171" t="s">
        <v>38</v>
      </c>
      <c r="F580" s="171" t="s">
        <v>111</v>
      </c>
      <c r="G580" s="171" t="s">
        <v>112</v>
      </c>
      <c r="H580" s="176">
        <v>1</v>
      </c>
      <c r="I580" s="177">
        <v>-1704</v>
      </c>
      <c r="J580" s="175">
        <v>46020</v>
      </c>
      <c r="K580" s="171" t="s">
        <v>113</v>
      </c>
      <c r="L580" s="171" t="s">
        <v>114</v>
      </c>
      <c r="M580" s="178">
        <v>0</v>
      </c>
      <c r="N580" s="176"/>
      <c r="O580" s="176"/>
      <c r="P580" s="179">
        <v>-1115.23</v>
      </c>
    </row>
    <row r="581" spans="1:16" ht="19.5" customHeight="1">
      <c r="A581" s="171" t="s">
        <v>186</v>
      </c>
      <c r="B581" s="175">
        <v>46032</v>
      </c>
      <c r="C581" s="171" t="s">
        <v>131</v>
      </c>
      <c r="D581" s="171" t="s">
        <v>420</v>
      </c>
      <c r="E581" s="171" t="s">
        <v>38</v>
      </c>
      <c r="F581" s="171" t="s">
        <v>111</v>
      </c>
      <c r="G581" s="171" t="s">
        <v>112</v>
      </c>
      <c r="H581" s="176">
        <v>1</v>
      </c>
      <c r="I581" s="177">
        <v>-1704</v>
      </c>
      <c r="J581" s="175">
        <v>46020</v>
      </c>
      <c r="K581" s="171" t="s">
        <v>113</v>
      </c>
      <c r="L581" s="171" t="s">
        <v>114</v>
      </c>
      <c r="M581" s="178">
        <v>0.43</v>
      </c>
      <c r="N581" s="176"/>
      <c r="O581" s="176"/>
      <c r="P581" s="179">
        <v>732.72</v>
      </c>
    </row>
    <row r="582" spans="1:16" ht="19.5" customHeight="1">
      <c r="A582" s="171" t="s">
        <v>186</v>
      </c>
      <c r="B582" s="175">
        <v>46032</v>
      </c>
      <c r="C582" s="171" t="s">
        <v>115</v>
      </c>
      <c r="D582" s="171" t="s">
        <v>135</v>
      </c>
      <c r="E582" s="171" t="s">
        <v>38</v>
      </c>
      <c r="F582" s="171" t="s">
        <v>111</v>
      </c>
      <c r="G582" s="171" t="s">
        <v>112</v>
      </c>
      <c r="H582" s="176">
        <v>1</v>
      </c>
      <c r="I582" s="177">
        <v>0</v>
      </c>
      <c r="J582" s="175">
        <v>46020</v>
      </c>
      <c r="K582" s="171" t="s">
        <v>125</v>
      </c>
      <c r="L582" s="171" t="s">
        <v>125</v>
      </c>
      <c r="M582" s="178">
        <v>0</v>
      </c>
      <c r="N582" s="176"/>
      <c r="O582" s="176"/>
      <c r="P582" s="179">
        <v>11.08</v>
      </c>
    </row>
    <row r="583" spans="1:16" ht="19.5" customHeight="1">
      <c r="A583" s="171" t="s">
        <v>534</v>
      </c>
      <c r="B583" s="175">
        <v>46032</v>
      </c>
      <c r="C583" s="171" t="s">
        <v>110</v>
      </c>
      <c r="D583" s="171" t="s">
        <v>24</v>
      </c>
      <c r="E583" s="171" t="s">
        <v>38</v>
      </c>
      <c r="F583" s="171" t="s">
        <v>111</v>
      </c>
      <c r="G583" s="171" t="s">
        <v>112</v>
      </c>
      <c r="H583" s="176">
        <v>1</v>
      </c>
      <c r="I583" s="177">
        <v>1704</v>
      </c>
      <c r="J583" s="175">
        <v>46030</v>
      </c>
      <c r="K583" s="171" t="s">
        <v>113</v>
      </c>
      <c r="L583" s="171" t="s">
        <v>114</v>
      </c>
      <c r="M583" s="178">
        <v>0.43</v>
      </c>
      <c r="N583" s="176"/>
      <c r="O583" s="176">
        <v>46</v>
      </c>
      <c r="P583" s="179">
        <v>-137.83000000000001</v>
      </c>
    </row>
    <row r="584" spans="1:16" ht="19.5" customHeight="1">
      <c r="A584" s="171" t="s">
        <v>534</v>
      </c>
      <c r="B584" s="175">
        <v>46032</v>
      </c>
      <c r="C584" s="171" t="s">
        <v>127</v>
      </c>
      <c r="D584" s="171" t="s">
        <v>128</v>
      </c>
      <c r="E584" s="171" t="s">
        <v>38</v>
      </c>
      <c r="F584" s="171" t="s">
        <v>111</v>
      </c>
      <c r="G584" s="171" t="s">
        <v>112</v>
      </c>
      <c r="H584" s="176">
        <v>1</v>
      </c>
      <c r="I584" s="177">
        <v>1704</v>
      </c>
      <c r="J584" s="175">
        <v>46030</v>
      </c>
      <c r="K584" s="171" t="s">
        <v>113</v>
      </c>
      <c r="L584" s="171" t="s">
        <v>114</v>
      </c>
      <c r="M584" s="178">
        <v>0</v>
      </c>
      <c r="N584" s="176"/>
      <c r="O584" s="176"/>
      <c r="P584" s="179">
        <v>585.71</v>
      </c>
    </row>
    <row r="585" spans="1:16" ht="19.5" customHeight="1">
      <c r="A585" s="171" t="s">
        <v>534</v>
      </c>
      <c r="B585" s="175">
        <v>46032</v>
      </c>
      <c r="C585" s="171" t="s">
        <v>127</v>
      </c>
      <c r="D585" s="171" t="s">
        <v>129</v>
      </c>
      <c r="E585" s="171" t="s">
        <v>38</v>
      </c>
      <c r="F585" s="171" t="s">
        <v>111</v>
      </c>
      <c r="G585" s="171" t="s">
        <v>112</v>
      </c>
      <c r="H585" s="176">
        <v>1</v>
      </c>
      <c r="I585" s="177">
        <v>1704</v>
      </c>
      <c r="J585" s="175">
        <v>46030</v>
      </c>
      <c r="K585" s="171" t="s">
        <v>113</v>
      </c>
      <c r="L585" s="171" t="s">
        <v>114</v>
      </c>
      <c r="M585" s="178">
        <v>0</v>
      </c>
      <c r="N585" s="176"/>
      <c r="O585" s="176"/>
      <c r="P585" s="179">
        <v>5.86</v>
      </c>
    </row>
    <row r="586" spans="1:16" ht="19.5" customHeight="1">
      <c r="A586" s="171" t="s">
        <v>534</v>
      </c>
      <c r="B586" s="175">
        <v>46032</v>
      </c>
      <c r="C586" s="171" t="s">
        <v>127</v>
      </c>
      <c r="D586" s="171" t="s">
        <v>130</v>
      </c>
      <c r="E586" s="171" t="s">
        <v>38</v>
      </c>
      <c r="F586" s="171" t="s">
        <v>111</v>
      </c>
      <c r="G586" s="171" t="s">
        <v>112</v>
      </c>
      <c r="H586" s="176">
        <v>1</v>
      </c>
      <c r="I586" s="177">
        <v>1704</v>
      </c>
      <c r="J586" s="175">
        <v>46030</v>
      </c>
      <c r="K586" s="171" t="s">
        <v>113</v>
      </c>
      <c r="L586" s="171" t="s">
        <v>114</v>
      </c>
      <c r="M586" s="178">
        <v>0</v>
      </c>
      <c r="N586" s="176"/>
      <c r="O586" s="176"/>
      <c r="P586" s="179">
        <v>1112.43</v>
      </c>
    </row>
    <row r="587" spans="1:16" ht="19.5" customHeight="1">
      <c r="A587" s="171" t="s">
        <v>534</v>
      </c>
      <c r="B587" s="175">
        <v>46032</v>
      </c>
      <c r="C587" s="171" t="s">
        <v>131</v>
      </c>
      <c r="D587" s="171" t="s">
        <v>132</v>
      </c>
      <c r="E587" s="171" t="s">
        <v>38</v>
      </c>
      <c r="F587" s="171" t="s">
        <v>111</v>
      </c>
      <c r="G587" s="171" t="s">
        <v>112</v>
      </c>
      <c r="H587" s="176">
        <v>1</v>
      </c>
      <c r="I587" s="177">
        <v>1704</v>
      </c>
      <c r="J587" s="175">
        <v>46030</v>
      </c>
      <c r="K587" s="171" t="s">
        <v>113</v>
      </c>
      <c r="L587" s="171" t="s">
        <v>114</v>
      </c>
      <c r="M587" s="178">
        <v>0.43</v>
      </c>
      <c r="N587" s="176"/>
      <c r="O587" s="176"/>
      <c r="P587" s="179">
        <v>-732.72</v>
      </c>
    </row>
    <row r="588" spans="1:16" ht="19.5" customHeight="1">
      <c r="A588" s="171" t="s">
        <v>534</v>
      </c>
      <c r="B588" s="175">
        <v>46032</v>
      </c>
      <c r="C588" s="171" t="s">
        <v>115</v>
      </c>
      <c r="D588" s="171" t="s">
        <v>116</v>
      </c>
      <c r="E588" s="171" t="s">
        <v>38</v>
      </c>
      <c r="F588" s="171" t="s">
        <v>111</v>
      </c>
      <c r="G588" s="171" t="s">
        <v>112</v>
      </c>
      <c r="H588" s="176">
        <v>1</v>
      </c>
      <c r="I588" s="177">
        <v>1704</v>
      </c>
      <c r="J588" s="175">
        <v>46030</v>
      </c>
      <c r="K588" s="171" t="s">
        <v>113</v>
      </c>
      <c r="L588" s="171" t="s">
        <v>114</v>
      </c>
      <c r="M588" s="178">
        <v>0.43</v>
      </c>
      <c r="N588" s="176"/>
      <c r="O588" s="176"/>
      <c r="P588" s="179">
        <v>-9.94</v>
      </c>
    </row>
    <row r="589" spans="1:16" ht="19.5" customHeight="1">
      <c r="A589" s="171" t="s">
        <v>534</v>
      </c>
      <c r="B589" s="175">
        <v>46032</v>
      </c>
      <c r="C589" s="171" t="s">
        <v>115</v>
      </c>
      <c r="D589" s="171" t="s">
        <v>135</v>
      </c>
      <c r="E589" s="171" t="s">
        <v>38</v>
      </c>
      <c r="F589" s="171" t="s">
        <v>111</v>
      </c>
      <c r="G589" s="171" t="s">
        <v>112</v>
      </c>
      <c r="H589" s="176">
        <v>1</v>
      </c>
      <c r="I589" s="177">
        <v>0</v>
      </c>
      <c r="J589" s="175">
        <v>46030</v>
      </c>
      <c r="K589" s="171" t="s">
        <v>125</v>
      </c>
      <c r="L589" s="171" t="s">
        <v>125</v>
      </c>
      <c r="M589" s="178">
        <v>0</v>
      </c>
      <c r="N589" s="176"/>
      <c r="O589" s="176"/>
      <c r="P589" s="179">
        <v>-11.13</v>
      </c>
    </row>
    <row r="590" spans="1:16" ht="19.5" customHeight="1">
      <c r="A590" s="171" t="s">
        <v>153</v>
      </c>
      <c r="B590" s="175">
        <v>46032</v>
      </c>
      <c r="C590" s="171" t="s">
        <v>151</v>
      </c>
      <c r="D590" s="171" t="s">
        <v>152</v>
      </c>
      <c r="E590" s="171" t="s">
        <v>125</v>
      </c>
      <c r="F590" s="171" t="s">
        <v>125</v>
      </c>
      <c r="G590" s="171" t="s">
        <v>125</v>
      </c>
      <c r="H590" s="176">
        <v>0</v>
      </c>
      <c r="I590" s="177">
        <v>0</v>
      </c>
      <c r="J590" s="175">
        <v>46032</v>
      </c>
      <c r="K590" s="171" t="s">
        <v>125</v>
      </c>
      <c r="L590" s="171" t="s">
        <v>125</v>
      </c>
      <c r="M590" s="178">
        <v>0</v>
      </c>
      <c r="N590" s="176"/>
      <c r="O590" s="176"/>
      <c r="P590" s="179">
        <v>-295.51</v>
      </c>
    </row>
    <row r="591" spans="1:16" ht="19.5" customHeight="1">
      <c r="A591" s="171" t="s">
        <v>155</v>
      </c>
      <c r="B591" s="175">
        <v>46032</v>
      </c>
      <c r="C591" s="171" t="s">
        <v>151</v>
      </c>
      <c r="D591" s="171" t="s">
        <v>156</v>
      </c>
      <c r="E591" s="171" t="s">
        <v>125</v>
      </c>
      <c r="F591" s="171" t="s">
        <v>125</v>
      </c>
      <c r="G591" s="171" t="s">
        <v>125</v>
      </c>
      <c r="H591" s="176">
        <v>0</v>
      </c>
      <c r="I591" s="177">
        <v>0</v>
      </c>
      <c r="J591" s="175">
        <v>46032</v>
      </c>
      <c r="K591" s="171" t="s">
        <v>125</v>
      </c>
      <c r="L591" s="171" t="s">
        <v>125</v>
      </c>
      <c r="M591" s="178">
        <v>0</v>
      </c>
      <c r="N591" s="176"/>
      <c r="O591" s="176"/>
      <c r="P591" s="179">
        <v>-979</v>
      </c>
    </row>
    <row r="592" spans="1:16" ht="19.5" customHeight="1">
      <c r="A592" s="171" t="s">
        <v>150</v>
      </c>
      <c r="B592" s="175">
        <v>46032</v>
      </c>
      <c r="C592" s="171" t="s">
        <v>151</v>
      </c>
      <c r="D592" s="171" t="s">
        <v>152</v>
      </c>
      <c r="E592" s="171" t="s">
        <v>125</v>
      </c>
      <c r="F592" s="171" t="s">
        <v>125</v>
      </c>
      <c r="G592" s="171" t="s">
        <v>125</v>
      </c>
      <c r="H592" s="176">
        <v>0</v>
      </c>
      <c r="I592" s="177">
        <v>0</v>
      </c>
      <c r="J592" s="175">
        <v>46032</v>
      </c>
      <c r="K592" s="171" t="s">
        <v>125</v>
      </c>
      <c r="L592" s="171" t="s">
        <v>125</v>
      </c>
      <c r="M592" s="178">
        <v>0</v>
      </c>
      <c r="N592" s="176"/>
      <c r="O592" s="176"/>
      <c r="P592" s="179">
        <v>-1388.46</v>
      </c>
    </row>
    <row r="593" spans="1:16" ht="19.5" customHeight="1">
      <c r="A593" s="171" t="s">
        <v>154</v>
      </c>
      <c r="B593" s="175">
        <v>46032</v>
      </c>
      <c r="C593" s="171" t="s">
        <v>151</v>
      </c>
      <c r="D593" s="171" t="s">
        <v>152</v>
      </c>
      <c r="E593" s="171" t="s">
        <v>125</v>
      </c>
      <c r="F593" s="171" t="s">
        <v>125</v>
      </c>
      <c r="G593" s="171" t="s">
        <v>125</v>
      </c>
      <c r="H593" s="176">
        <v>0</v>
      </c>
      <c r="I593" s="177">
        <v>0</v>
      </c>
      <c r="J593" s="175">
        <v>46032</v>
      </c>
      <c r="K593" s="171" t="s">
        <v>125</v>
      </c>
      <c r="L593" s="171" t="s">
        <v>125</v>
      </c>
      <c r="M593" s="178">
        <v>0</v>
      </c>
      <c r="N593" s="176"/>
      <c r="O593" s="176"/>
      <c r="P593" s="179">
        <v>-285.42</v>
      </c>
    </row>
    <row r="594" spans="1:16" ht="19.5" customHeight="1">
      <c r="A594" s="171" t="s">
        <v>506</v>
      </c>
      <c r="B594" s="175">
        <v>46033</v>
      </c>
      <c r="C594" s="171" t="s">
        <v>110</v>
      </c>
      <c r="D594" s="171" t="s">
        <v>24</v>
      </c>
      <c r="E594" s="171" t="s">
        <v>70</v>
      </c>
      <c r="F594" s="171" t="s">
        <v>509</v>
      </c>
      <c r="G594" s="171" t="s">
        <v>177</v>
      </c>
      <c r="H594" s="176">
        <v>1</v>
      </c>
      <c r="I594" s="177">
        <v>0</v>
      </c>
      <c r="J594" s="175">
        <v>46029</v>
      </c>
      <c r="K594" s="171" t="s">
        <v>113</v>
      </c>
      <c r="L594" s="171" t="s">
        <v>114</v>
      </c>
      <c r="M594" s="178">
        <v>0</v>
      </c>
      <c r="N594" s="176"/>
      <c r="O594" s="176">
        <v>46</v>
      </c>
      <c r="P594" s="179">
        <v>-56.94</v>
      </c>
    </row>
    <row r="595" spans="1:16" ht="19.5" customHeight="1">
      <c r="A595" s="171" t="s">
        <v>506</v>
      </c>
      <c r="B595" s="175">
        <v>46033</v>
      </c>
      <c r="C595" s="171" t="s">
        <v>115</v>
      </c>
      <c r="D595" s="171" t="s">
        <v>116</v>
      </c>
      <c r="E595" s="171" t="s">
        <v>70</v>
      </c>
      <c r="F595" s="171" t="s">
        <v>509</v>
      </c>
      <c r="G595" s="171" t="s">
        <v>177</v>
      </c>
      <c r="H595" s="176">
        <v>1</v>
      </c>
      <c r="I595" s="177">
        <v>0</v>
      </c>
      <c r="J595" s="175">
        <v>46029</v>
      </c>
      <c r="K595" s="171" t="s">
        <v>113</v>
      </c>
      <c r="L595" s="171" t="s">
        <v>114</v>
      </c>
      <c r="M595" s="178">
        <v>0</v>
      </c>
      <c r="N595" s="176"/>
      <c r="O595" s="176"/>
      <c r="P595" s="179">
        <v>-12.96</v>
      </c>
    </row>
    <row r="596" spans="1:16" ht="19.5" customHeight="1">
      <c r="A596" s="171" t="s">
        <v>506</v>
      </c>
      <c r="B596" s="175">
        <v>46033</v>
      </c>
      <c r="C596" s="171" t="s">
        <v>110</v>
      </c>
      <c r="D596" s="171" t="s">
        <v>117</v>
      </c>
      <c r="E596" s="171" t="s">
        <v>70</v>
      </c>
      <c r="F596" s="171" t="s">
        <v>509</v>
      </c>
      <c r="G596" s="171" t="s">
        <v>177</v>
      </c>
      <c r="H596" s="176">
        <v>1</v>
      </c>
      <c r="I596" s="177">
        <v>0</v>
      </c>
      <c r="J596" s="175">
        <v>46029</v>
      </c>
      <c r="K596" s="171" t="s">
        <v>113</v>
      </c>
      <c r="L596" s="171" t="s">
        <v>114</v>
      </c>
      <c r="M596" s="178">
        <v>0</v>
      </c>
      <c r="N596" s="176"/>
      <c r="O596" s="176"/>
      <c r="P596" s="179">
        <v>0</v>
      </c>
    </row>
    <row r="597" spans="1:16" ht="19.5" customHeight="1">
      <c r="A597" s="171" t="s">
        <v>506</v>
      </c>
      <c r="B597" s="175">
        <v>46033</v>
      </c>
      <c r="C597" s="171" t="s">
        <v>110</v>
      </c>
      <c r="D597" s="171" t="s">
        <v>118</v>
      </c>
      <c r="E597" s="171" t="s">
        <v>70</v>
      </c>
      <c r="F597" s="171" t="s">
        <v>509</v>
      </c>
      <c r="G597" s="171" t="s">
        <v>177</v>
      </c>
      <c r="H597" s="176">
        <v>1</v>
      </c>
      <c r="I597" s="177">
        <v>0</v>
      </c>
      <c r="J597" s="175">
        <v>46029</v>
      </c>
      <c r="K597" s="171" t="s">
        <v>113</v>
      </c>
      <c r="L597" s="171" t="s">
        <v>114</v>
      </c>
      <c r="M597" s="178">
        <v>0</v>
      </c>
      <c r="N597" s="176"/>
      <c r="O597" s="176"/>
      <c r="P597" s="179">
        <v>-56.94</v>
      </c>
    </row>
    <row r="598" spans="1:16" ht="19.5" customHeight="1">
      <c r="A598" s="171" t="s">
        <v>506</v>
      </c>
      <c r="B598" s="175">
        <v>46033</v>
      </c>
      <c r="C598" s="171" t="s">
        <v>115</v>
      </c>
      <c r="D598" s="171" t="s">
        <v>119</v>
      </c>
      <c r="E598" s="171" t="s">
        <v>70</v>
      </c>
      <c r="F598" s="171" t="s">
        <v>509</v>
      </c>
      <c r="G598" s="171" t="s">
        <v>177</v>
      </c>
      <c r="H598" s="176">
        <v>1</v>
      </c>
      <c r="I598" s="177">
        <v>0</v>
      </c>
      <c r="J598" s="175">
        <v>46029</v>
      </c>
      <c r="K598" s="171" t="s">
        <v>113</v>
      </c>
      <c r="L598" s="171" t="s">
        <v>114</v>
      </c>
      <c r="M598" s="178">
        <v>0</v>
      </c>
      <c r="N598" s="176"/>
      <c r="O598" s="176"/>
      <c r="P598" s="179">
        <v>-15</v>
      </c>
    </row>
    <row r="599" spans="1:16" ht="19.5" customHeight="1">
      <c r="A599" s="171" t="s">
        <v>535</v>
      </c>
      <c r="B599" s="175">
        <v>46033</v>
      </c>
      <c r="C599" s="171" t="s">
        <v>110</v>
      </c>
      <c r="D599" s="171" t="s">
        <v>24</v>
      </c>
      <c r="E599" s="171" t="s">
        <v>78</v>
      </c>
      <c r="F599" s="171" t="s">
        <v>176</v>
      </c>
      <c r="G599" s="171" t="s">
        <v>177</v>
      </c>
      <c r="H599" s="176">
        <v>1</v>
      </c>
      <c r="I599" s="177">
        <v>0</v>
      </c>
      <c r="J599" s="175">
        <v>46026</v>
      </c>
      <c r="K599" s="171" t="s">
        <v>113</v>
      </c>
      <c r="L599" s="171" t="s">
        <v>114</v>
      </c>
      <c r="M599" s="178">
        <v>0</v>
      </c>
      <c r="N599" s="176"/>
      <c r="O599" s="176">
        <v>37</v>
      </c>
      <c r="P599" s="179">
        <v>-56.94</v>
      </c>
    </row>
    <row r="600" spans="1:16" ht="19.5" customHeight="1">
      <c r="A600" s="171" t="s">
        <v>535</v>
      </c>
      <c r="B600" s="175">
        <v>46033</v>
      </c>
      <c r="C600" s="171" t="s">
        <v>115</v>
      </c>
      <c r="D600" s="171" t="s">
        <v>116</v>
      </c>
      <c r="E600" s="171" t="s">
        <v>78</v>
      </c>
      <c r="F600" s="171" t="s">
        <v>176</v>
      </c>
      <c r="G600" s="171" t="s">
        <v>177</v>
      </c>
      <c r="H600" s="176">
        <v>1</v>
      </c>
      <c r="I600" s="177">
        <v>0</v>
      </c>
      <c r="J600" s="175">
        <v>46026</v>
      </c>
      <c r="K600" s="171" t="s">
        <v>113</v>
      </c>
      <c r="L600" s="171" t="s">
        <v>114</v>
      </c>
      <c r="M600" s="178">
        <v>0</v>
      </c>
      <c r="N600" s="176"/>
      <c r="O600" s="176"/>
      <c r="P600" s="179">
        <v>-13.63</v>
      </c>
    </row>
    <row r="601" spans="1:16" ht="19.5" customHeight="1">
      <c r="A601" s="171" t="s">
        <v>535</v>
      </c>
      <c r="B601" s="175">
        <v>46033</v>
      </c>
      <c r="C601" s="171" t="s">
        <v>110</v>
      </c>
      <c r="D601" s="171" t="s">
        <v>117</v>
      </c>
      <c r="E601" s="171" t="s">
        <v>78</v>
      </c>
      <c r="F601" s="171" t="s">
        <v>176</v>
      </c>
      <c r="G601" s="171" t="s">
        <v>177</v>
      </c>
      <c r="H601" s="176">
        <v>1</v>
      </c>
      <c r="I601" s="177">
        <v>0</v>
      </c>
      <c r="J601" s="175">
        <v>46026</v>
      </c>
      <c r="K601" s="171" t="s">
        <v>113</v>
      </c>
      <c r="L601" s="171" t="s">
        <v>114</v>
      </c>
      <c r="M601" s="178">
        <v>0</v>
      </c>
      <c r="N601" s="176"/>
      <c r="O601" s="176"/>
      <c r="P601" s="179">
        <v>0</v>
      </c>
    </row>
    <row r="602" spans="1:16" ht="19.5" customHeight="1">
      <c r="A602" s="171" t="s">
        <v>535</v>
      </c>
      <c r="B602" s="175">
        <v>46033</v>
      </c>
      <c r="C602" s="171" t="s">
        <v>110</v>
      </c>
      <c r="D602" s="171" t="s">
        <v>118</v>
      </c>
      <c r="E602" s="171" t="s">
        <v>78</v>
      </c>
      <c r="F602" s="171" t="s">
        <v>176</v>
      </c>
      <c r="G602" s="171" t="s">
        <v>177</v>
      </c>
      <c r="H602" s="176">
        <v>1</v>
      </c>
      <c r="I602" s="177">
        <v>0</v>
      </c>
      <c r="J602" s="175">
        <v>46026</v>
      </c>
      <c r="K602" s="171" t="s">
        <v>113</v>
      </c>
      <c r="L602" s="171" t="s">
        <v>114</v>
      </c>
      <c r="M602" s="178">
        <v>0</v>
      </c>
      <c r="N602" s="176"/>
      <c r="O602" s="176"/>
      <c r="P602" s="179">
        <v>-56.94</v>
      </c>
    </row>
    <row r="603" spans="1:16" ht="19.5" customHeight="1">
      <c r="A603" s="171" t="s">
        <v>535</v>
      </c>
      <c r="B603" s="175">
        <v>46033</v>
      </c>
      <c r="C603" s="171" t="s">
        <v>115</v>
      </c>
      <c r="D603" s="171" t="s">
        <v>119</v>
      </c>
      <c r="E603" s="171" t="s">
        <v>78</v>
      </c>
      <c r="F603" s="171" t="s">
        <v>176</v>
      </c>
      <c r="G603" s="171" t="s">
        <v>177</v>
      </c>
      <c r="H603" s="176">
        <v>1</v>
      </c>
      <c r="I603" s="177">
        <v>0</v>
      </c>
      <c r="J603" s="175">
        <v>46026</v>
      </c>
      <c r="K603" s="171" t="s">
        <v>113</v>
      </c>
      <c r="L603" s="171" t="s">
        <v>114</v>
      </c>
      <c r="M603" s="178">
        <v>0</v>
      </c>
      <c r="N603" s="176"/>
      <c r="O603" s="176"/>
      <c r="P603" s="179">
        <v>-15</v>
      </c>
    </row>
    <row r="604" spans="1:16" ht="19.5" customHeight="1">
      <c r="A604" s="171" t="s">
        <v>536</v>
      </c>
      <c r="B604" s="175">
        <v>46033</v>
      </c>
      <c r="C604" s="171" t="s">
        <v>115</v>
      </c>
      <c r="D604" s="171" t="s">
        <v>135</v>
      </c>
      <c r="E604" s="171" t="s">
        <v>38</v>
      </c>
      <c r="F604" s="171" t="s">
        <v>111</v>
      </c>
      <c r="G604" s="171" t="s">
        <v>112</v>
      </c>
      <c r="H604" s="176">
        <v>2</v>
      </c>
      <c r="I604" s="177">
        <v>0</v>
      </c>
      <c r="J604" s="175">
        <v>46033</v>
      </c>
      <c r="K604" s="171" t="s">
        <v>125</v>
      </c>
      <c r="L604" s="171" t="s">
        <v>125</v>
      </c>
      <c r="M604" s="178">
        <v>0</v>
      </c>
      <c r="N604" s="176"/>
      <c r="O604" s="176"/>
      <c r="P604" s="179">
        <v>-24.6</v>
      </c>
    </row>
    <row r="605" spans="1:16" ht="19.5" customHeight="1">
      <c r="A605" s="171" t="s">
        <v>537</v>
      </c>
      <c r="B605" s="175">
        <v>46033</v>
      </c>
      <c r="C605" s="171" t="s">
        <v>110</v>
      </c>
      <c r="D605" s="171" t="s">
        <v>24</v>
      </c>
      <c r="E605" s="171" t="s">
        <v>50</v>
      </c>
      <c r="F605" s="171" t="s">
        <v>413</v>
      </c>
      <c r="G605" s="171" t="s">
        <v>112</v>
      </c>
      <c r="H605" s="176">
        <v>1</v>
      </c>
      <c r="I605" s="177">
        <v>0</v>
      </c>
      <c r="J605" s="175">
        <v>46025</v>
      </c>
      <c r="K605" s="171" t="s">
        <v>113</v>
      </c>
      <c r="L605" s="171" t="s">
        <v>114</v>
      </c>
      <c r="M605" s="178">
        <v>0</v>
      </c>
      <c r="N605" s="176"/>
      <c r="O605" s="176">
        <v>39</v>
      </c>
      <c r="P605" s="179">
        <v>-46.77</v>
      </c>
    </row>
    <row r="606" spans="1:16" ht="19.5" customHeight="1">
      <c r="A606" s="171" t="s">
        <v>537</v>
      </c>
      <c r="B606" s="175">
        <v>46033</v>
      </c>
      <c r="C606" s="171" t="s">
        <v>115</v>
      </c>
      <c r="D606" s="171" t="s">
        <v>116</v>
      </c>
      <c r="E606" s="171" t="s">
        <v>50</v>
      </c>
      <c r="F606" s="171" t="s">
        <v>413</v>
      </c>
      <c r="G606" s="171" t="s">
        <v>112</v>
      </c>
      <c r="H606" s="176">
        <v>1</v>
      </c>
      <c r="I606" s="177">
        <v>0</v>
      </c>
      <c r="J606" s="175">
        <v>46025</v>
      </c>
      <c r="K606" s="171" t="s">
        <v>113</v>
      </c>
      <c r="L606" s="171" t="s">
        <v>114</v>
      </c>
      <c r="M606" s="178">
        <v>0</v>
      </c>
      <c r="N606" s="176"/>
      <c r="O606" s="176"/>
      <c r="P606" s="179">
        <v>-6.37</v>
      </c>
    </row>
    <row r="607" spans="1:16" ht="19.5" customHeight="1">
      <c r="A607" s="171" t="s">
        <v>537</v>
      </c>
      <c r="B607" s="175">
        <v>46033</v>
      </c>
      <c r="C607" s="171" t="s">
        <v>110</v>
      </c>
      <c r="D607" s="171" t="s">
        <v>117</v>
      </c>
      <c r="E607" s="171" t="s">
        <v>50</v>
      </c>
      <c r="F607" s="171" t="s">
        <v>413</v>
      </c>
      <c r="G607" s="171" t="s">
        <v>112</v>
      </c>
      <c r="H607" s="176">
        <v>1</v>
      </c>
      <c r="I607" s="177">
        <v>0</v>
      </c>
      <c r="J607" s="175">
        <v>46025</v>
      </c>
      <c r="K607" s="171" t="s">
        <v>113</v>
      </c>
      <c r="L607" s="171" t="s">
        <v>114</v>
      </c>
      <c r="M607" s="178">
        <v>0</v>
      </c>
      <c r="N607" s="176"/>
      <c r="O607" s="176"/>
      <c r="P607" s="179">
        <v>0</v>
      </c>
    </row>
    <row r="608" spans="1:16" ht="19.5" customHeight="1">
      <c r="A608" s="171" t="s">
        <v>537</v>
      </c>
      <c r="B608" s="175">
        <v>46033</v>
      </c>
      <c r="C608" s="171" t="s">
        <v>110</v>
      </c>
      <c r="D608" s="171" t="s">
        <v>118</v>
      </c>
      <c r="E608" s="171" t="s">
        <v>50</v>
      </c>
      <c r="F608" s="171" t="s">
        <v>413</v>
      </c>
      <c r="G608" s="171" t="s">
        <v>112</v>
      </c>
      <c r="H608" s="176">
        <v>1</v>
      </c>
      <c r="I608" s="177">
        <v>0</v>
      </c>
      <c r="J608" s="175">
        <v>46025</v>
      </c>
      <c r="K608" s="171" t="s">
        <v>113</v>
      </c>
      <c r="L608" s="171" t="s">
        <v>114</v>
      </c>
      <c r="M608" s="178">
        <v>0</v>
      </c>
      <c r="N608" s="176"/>
      <c r="O608" s="176"/>
      <c r="P608" s="179">
        <v>-46.77</v>
      </c>
    </row>
    <row r="609" spans="1:16" ht="19.5" customHeight="1">
      <c r="A609" s="171" t="s">
        <v>537</v>
      </c>
      <c r="B609" s="175">
        <v>46033</v>
      </c>
      <c r="C609" s="171" t="s">
        <v>115</v>
      </c>
      <c r="D609" s="171" t="s">
        <v>119</v>
      </c>
      <c r="E609" s="171" t="s">
        <v>50</v>
      </c>
      <c r="F609" s="171" t="s">
        <v>413</v>
      </c>
      <c r="G609" s="171" t="s">
        <v>112</v>
      </c>
      <c r="H609" s="176">
        <v>1</v>
      </c>
      <c r="I609" s="177">
        <v>0</v>
      </c>
      <c r="J609" s="175">
        <v>46025</v>
      </c>
      <c r="K609" s="171" t="s">
        <v>113</v>
      </c>
      <c r="L609" s="171" t="s">
        <v>114</v>
      </c>
      <c r="M609" s="178">
        <v>0</v>
      </c>
      <c r="N609" s="176"/>
      <c r="O609" s="176"/>
      <c r="P609" s="179">
        <v>-15</v>
      </c>
    </row>
    <row r="610" spans="1:16" ht="19.5" customHeight="1">
      <c r="A610" s="171" t="s">
        <v>538</v>
      </c>
      <c r="B610" s="175">
        <v>46033</v>
      </c>
      <c r="C610" s="171" t="s">
        <v>110</v>
      </c>
      <c r="D610" s="171" t="s">
        <v>24</v>
      </c>
      <c r="E610" s="171" t="s">
        <v>38</v>
      </c>
      <c r="F610" s="171" t="s">
        <v>111</v>
      </c>
      <c r="G610" s="171" t="s">
        <v>112</v>
      </c>
      <c r="H610" s="176">
        <v>1</v>
      </c>
      <c r="I610" s="177">
        <v>1704</v>
      </c>
      <c r="J610" s="175">
        <v>46025</v>
      </c>
      <c r="K610" s="171" t="s">
        <v>113</v>
      </c>
      <c r="L610" s="171" t="s">
        <v>114</v>
      </c>
      <c r="M610" s="178">
        <v>0.43</v>
      </c>
      <c r="N610" s="176"/>
      <c r="O610" s="176">
        <v>39</v>
      </c>
      <c r="P610" s="179">
        <v>-110.12</v>
      </c>
    </row>
    <row r="611" spans="1:16" ht="19.5" customHeight="1">
      <c r="A611" s="171" t="s">
        <v>538</v>
      </c>
      <c r="B611" s="175">
        <v>46033</v>
      </c>
      <c r="C611" s="171" t="s">
        <v>127</v>
      </c>
      <c r="D611" s="171" t="s">
        <v>128</v>
      </c>
      <c r="E611" s="171" t="s">
        <v>38</v>
      </c>
      <c r="F611" s="171" t="s">
        <v>111</v>
      </c>
      <c r="G611" s="171" t="s">
        <v>112</v>
      </c>
      <c r="H611" s="176">
        <v>1</v>
      </c>
      <c r="I611" s="177">
        <v>1704</v>
      </c>
      <c r="J611" s="175">
        <v>46025</v>
      </c>
      <c r="K611" s="171" t="s">
        <v>113</v>
      </c>
      <c r="L611" s="171" t="s">
        <v>114</v>
      </c>
      <c r="M611" s="178">
        <v>0</v>
      </c>
      <c r="N611" s="176"/>
      <c r="O611" s="176"/>
      <c r="P611" s="179">
        <v>585.71</v>
      </c>
    </row>
    <row r="612" spans="1:16" ht="19.5" customHeight="1">
      <c r="A612" s="171" t="s">
        <v>538</v>
      </c>
      <c r="B612" s="175">
        <v>46033</v>
      </c>
      <c r="C612" s="171" t="s">
        <v>127</v>
      </c>
      <c r="D612" s="171" t="s">
        <v>129</v>
      </c>
      <c r="E612" s="171" t="s">
        <v>38</v>
      </c>
      <c r="F612" s="171" t="s">
        <v>111</v>
      </c>
      <c r="G612" s="171" t="s">
        <v>112</v>
      </c>
      <c r="H612" s="176">
        <v>1</v>
      </c>
      <c r="I612" s="177">
        <v>1704</v>
      </c>
      <c r="J612" s="175">
        <v>46025</v>
      </c>
      <c r="K612" s="171" t="s">
        <v>113</v>
      </c>
      <c r="L612" s="171" t="s">
        <v>114</v>
      </c>
      <c r="M612" s="178">
        <v>0</v>
      </c>
      <c r="N612" s="176"/>
      <c r="O612" s="176"/>
      <c r="P612" s="179">
        <v>5.86</v>
      </c>
    </row>
    <row r="613" spans="1:16" ht="19.5" customHeight="1">
      <c r="A613" s="171" t="s">
        <v>538</v>
      </c>
      <c r="B613" s="175">
        <v>46033</v>
      </c>
      <c r="C613" s="171" t="s">
        <v>127</v>
      </c>
      <c r="D613" s="171" t="s">
        <v>130</v>
      </c>
      <c r="E613" s="171" t="s">
        <v>38</v>
      </c>
      <c r="F613" s="171" t="s">
        <v>111</v>
      </c>
      <c r="G613" s="171" t="s">
        <v>112</v>
      </c>
      <c r="H613" s="176">
        <v>1</v>
      </c>
      <c r="I613" s="177">
        <v>1704</v>
      </c>
      <c r="J613" s="175">
        <v>46025</v>
      </c>
      <c r="K613" s="171" t="s">
        <v>113</v>
      </c>
      <c r="L613" s="171" t="s">
        <v>114</v>
      </c>
      <c r="M613" s="178">
        <v>0</v>
      </c>
      <c r="N613" s="176"/>
      <c r="O613" s="176"/>
      <c r="P613" s="179">
        <v>1112.43</v>
      </c>
    </row>
    <row r="614" spans="1:16" ht="19.5" customHeight="1">
      <c r="A614" s="171" t="s">
        <v>538</v>
      </c>
      <c r="B614" s="175">
        <v>46033</v>
      </c>
      <c r="C614" s="171" t="s">
        <v>131</v>
      </c>
      <c r="D614" s="171" t="s">
        <v>132</v>
      </c>
      <c r="E614" s="171" t="s">
        <v>38</v>
      </c>
      <c r="F614" s="171" t="s">
        <v>111</v>
      </c>
      <c r="G614" s="171" t="s">
        <v>112</v>
      </c>
      <c r="H614" s="176">
        <v>1</v>
      </c>
      <c r="I614" s="177">
        <v>1704</v>
      </c>
      <c r="J614" s="175">
        <v>46025</v>
      </c>
      <c r="K614" s="171" t="s">
        <v>113</v>
      </c>
      <c r="L614" s="171" t="s">
        <v>114</v>
      </c>
      <c r="M614" s="178">
        <v>0.43</v>
      </c>
      <c r="N614" s="176"/>
      <c r="O614" s="176"/>
      <c r="P614" s="179">
        <v>-732.72</v>
      </c>
    </row>
    <row r="615" spans="1:16" ht="19.5" customHeight="1">
      <c r="A615" s="171" t="s">
        <v>538</v>
      </c>
      <c r="B615" s="175">
        <v>46033</v>
      </c>
      <c r="C615" s="171" t="s">
        <v>115</v>
      </c>
      <c r="D615" s="171" t="s">
        <v>116</v>
      </c>
      <c r="E615" s="171" t="s">
        <v>38</v>
      </c>
      <c r="F615" s="171" t="s">
        <v>111</v>
      </c>
      <c r="G615" s="171" t="s">
        <v>112</v>
      </c>
      <c r="H615" s="176">
        <v>1</v>
      </c>
      <c r="I615" s="177">
        <v>1704</v>
      </c>
      <c r="J615" s="175">
        <v>46025</v>
      </c>
      <c r="K615" s="171" t="s">
        <v>113</v>
      </c>
      <c r="L615" s="171" t="s">
        <v>114</v>
      </c>
      <c r="M615" s="178">
        <v>0.43</v>
      </c>
      <c r="N615" s="176"/>
      <c r="O615" s="176"/>
      <c r="P615" s="179">
        <v>-21.07</v>
      </c>
    </row>
    <row r="616" spans="1:16" ht="19.5" customHeight="1">
      <c r="A616" s="171" t="s">
        <v>538</v>
      </c>
      <c r="B616" s="175">
        <v>46033</v>
      </c>
      <c r="C616" s="171" t="s">
        <v>115</v>
      </c>
      <c r="D616" s="171" t="s">
        <v>135</v>
      </c>
      <c r="E616" s="171" t="s">
        <v>38</v>
      </c>
      <c r="F616" s="171" t="s">
        <v>111</v>
      </c>
      <c r="G616" s="171" t="s">
        <v>112</v>
      </c>
      <c r="H616" s="176">
        <v>1</v>
      </c>
      <c r="I616" s="177">
        <v>0</v>
      </c>
      <c r="J616" s="175">
        <v>46025</v>
      </c>
      <c r="K616" s="171" t="s">
        <v>125</v>
      </c>
      <c r="L616" s="171" t="s">
        <v>125</v>
      </c>
      <c r="M616" s="178">
        <v>0</v>
      </c>
      <c r="N616" s="176"/>
      <c r="O616" s="176"/>
      <c r="P616" s="179">
        <v>-11.13</v>
      </c>
    </row>
    <row r="617" spans="1:16" ht="19.5" customHeight="1">
      <c r="A617" s="171" t="s">
        <v>539</v>
      </c>
      <c r="B617" s="175">
        <v>46033</v>
      </c>
      <c r="C617" s="171" t="s">
        <v>110</v>
      </c>
      <c r="D617" s="171" t="s">
        <v>24</v>
      </c>
      <c r="E617" s="171" t="s">
        <v>38</v>
      </c>
      <c r="F617" s="171" t="s">
        <v>111</v>
      </c>
      <c r="G617" s="171" t="s">
        <v>112</v>
      </c>
      <c r="H617" s="176">
        <v>1</v>
      </c>
      <c r="I617" s="177">
        <v>1704</v>
      </c>
      <c r="J617" s="175">
        <v>46032</v>
      </c>
      <c r="K617" s="171" t="s">
        <v>113</v>
      </c>
      <c r="L617" s="171" t="s">
        <v>114</v>
      </c>
      <c r="M617" s="178">
        <v>0.43</v>
      </c>
      <c r="N617" s="176"/>
      <c r="O617" s="176">
        <v>47</v>
      </c>
      <c r="P617" s="179">
        <v>-140.47</v>
      </c>
    </row>
    <row r="618" spans="1:16" ht="19.5" customHeight="1">
      <c r="A618" s="171" t="s">
        <v>539</v>
      </c>
      <c r="B618" s="175">
        <v>46033</v>
      </c>
      <c r="C618" s="171" t="s">
        <v>127</v>
      </c>
      <c r="D618" s="171" t="s">
        <v>128</v>
      </c>
      <c r="E618" s="171" t="s">
        <v>38</v>
      </c>
      <c r="F618" s="171" t="s">
        <v>111</v>
      </c>
      <c r="G618" s="171" t="s">
        <v>112</v>
      </c>
      <c r="H618" s="176">
        <v>1</v>
      </c>
      <c r="I618" s="177">
        <v>1704</v>
      </c>
      <c r="J618" s="175">
        <v>46032</v>
      </c>
      <c r="K618" s="171" t="s">
        <v>113</v>
      </c>
      <c r="L618" s="171" t="s">
        <v>114</v>
      </c>
      <c r="M618" s="178">
        <v>0</v>
      </c>
      <c r="N618" s="176"/>
      <c r="O618" s="176"/>
      <c r="P618" s="179">
        <v>649.52</v>
      </c>
    </row>
    <row r="619" spans="1:16" ht="19.5" customHeight="1">
      <c r="A619" s="171" t="s">
        <v>539</v>
      </c>
      <c r="B619" s="175">
        <v>46033</v>
      </c>
      <c r="C619" s="171" t="s">
        <v>127</v>
      </c>
      <c r="D619" s="171" t="s">
        <v>129</v>
      </c>
      <c r="E619" s="171" t="s">
        <v>38</v>
      </c>
      <c r="F619" s="171" t="s">
        <v>111</v>
      </c>
      <c r="G619" s="171" t="s">
        <v>112</v>
      </c>
      <c r="H619" s="176">
        <v>1</v>
      </c>
      <c r="I619" s="177">
        <v>1704</v>
      </c>
      <c r="J619" s="175">
        <v>46032</v>
      </c>
      <c r="K619" s="171" t="s">
        <v>113</v>
      </c>
      <c r="L619" s="171" t="s">
        <v>114</v>
      </c>
      <c r="M619" s="178">
        <v>0</v>
      </c>
      <c r="N619" s="176"/>
      <c r="O619" s="176"/>
      <c r="P619" s="179">
        <v>0</v>
      </c>
    </row>
    <row r="620" spans="1:16" ht="19.5" customHeight="1">
      <c r="A620" s="171" t="s">
        <v>539</v>
      </c>
      <c r="B620" s="175">
        <v>46033</v>
      </c>
      <c r="C620" s="171" t="s">
        <v>127</v>
      </c>
      <c r="D620" s="171" t="s">
        <v>130</v>
      </c>
      <c r="E620" s="171" t="s">
        <v>38</v>
      </c>
      <c r="F620" s="171" t="s">
        <v>111</v>
      </c>
      <c r="G620" s="171" t="s">
        <v>112</v>
      </c>
      <c r="H620" s="176">
        <v>1</v>
      </c>
      <c r="I620" s="177">
        <v>1704</v>
      </c>
      <c r="J620" s="175">
        <v>46032</v>
      </c>
      <c r="K620" s="171" t="s">
        <v>113</v>
      </c>
      <c r="L620" s="171" t="s">
        <v>114</v>
      </c>
      <c r="M620" s="178">
        <v>0</v>
      </c>
      <c r="N620" s="176"/>
      <c r="O620" s="176"/>
      <c r="P620" s="179">
        <v>1054.48</v>
      </c>
    </row>
    <row r="621" spans="1:16" ht="19.5" customHeight="1">
      <c r="A621" s="171" t="s">
        <v>539</v>
      </c>
      <c r="B621" s="175">
        <v>46033</v>
      </c>
      <c r="C621" s="171" t="s">
        <v>131</v>
      </c>
      <c r="D621" s="171" t="s">
        <v>132</v>
      </c>
      <c r="E621" s="171" t="s">
        <v>38</v>
      </c>
      <c r="F621" s="171" t="s">
        <v>111</v>
      </c>
      <c r="G621" s="171" t="s">
        <v>112</v>
      </c>
      <c r="H621" s="176">
        <v>1</v>
      </c>
      <c r="I621" s="177">
        <v>1704</v>
      </c>
      <c r="J621" s="175">
        <v>46032</v>
      </c>
      <c r="K621" s="171" t="s">
        <v>113</v>
      </c>
      <c r="L621" s="171" t="s">
        <v>114</v>
      </c>
      <c r="M621" s="178">
        <v>0.43</v>
      </c>
      <c r="N621" s="176"/>
      <c r="O621" s="176"/>
      <c r="P621" s="179">
        <v>-732.72</v>
      </c>
    </row>
    <row r="622" spans="1:16" ht="19.5" customHeight="1">
      <c r="A622" s="171" t="s">
        <v>539</v>
      </c>
      <c r="B622" s="175">
        <v>46033</v>
      </c>
      <c r="C622" s="171" t="s">
        <v>115</v>
      </c>
      <c r="D622" s="171" t="s">
        <v>116</v>
      </c>
      <c r="E622" s="171" t="s">
        <v>38</v>
      </c>
      <c r="F622" s="171" t="s">
        <v>111</v>
      </c>
      <c r="G622" s="171" t="s">
        <v>112</v>
      </c>
      <c r="H622" s="176">
        <v>1</v>
      </c>
      <c r="I622" s="177">
        <v>1704</v>
      </c>
      <c r="J622" s="175">
        <v>46032</v>
      </c>
      <c r="K622" s="171" t="s">
        <v>113</v>
      </c>
      <c r="L622" s="171" t="s">
        <v>114</v>
      </c>
      <c r="M622" s="178">
        <v>0.43</v>
      </c>
      <c r="N622" s="176"/>
      <c r="O622" s="176"/>
      <c r="P622" s="179">
        <v>-7.96</v>
      </c>
    </row>
    <row r="623" spans="1:16" ht="19.5" customHeight="1">
      <c r="A623" s="171" t="s">
        <v>540</v>
      </c>
      <c r="B623" s="175">
        <v>46033</v>
      </c>
      <c r="C623" s="171" t="s">
        <v>110</v>
      </c>
      <c r="D623" s="171" t="s">
        <v>24</v>
      </c>
      <c r="E623" s="171" t="s">
        <v>38</v>
      </c>
      <c r="F623" s="171" t="s">
        <v>111</v>
      </c>
      <c r="G623" s="171" t="s">
        <v>112</v>
      </c>
      <c r="H623" s="176">
        <v>1</v>
      </c>
      <c r="I623" s="177">
        <v>0</v>
      </c>
      <c r="J623" s="175">
        <v>46023</v>
      </c>
      <c r="K623" s="171" t="s">
        <v>113</v>
      </c>
      <c r="L623" s="171" t="s">
        <v>114</v>
      </c>
      <c r="M623" s="178">
        <v>0</v>
      </c>
      <c r="N623" s="176"/>
      <c r="O623" s="176">
        <v>39</v>
      </c>
      <c r="P623" s="179">
        <v>-46.77</v>
      </c>
    </row>
    <row r="624" spans="1:16" ht="19.5" customHeight="1">
      <c r="A624" s="171" t="s">
        <v>540</v>
      </c>
      <c r="B624" s="175">
        <v>46033</v>
      </c>
      <c r="C624" s="171" t="s">
        <v>115</v>
      </c>
      <c r="D624" s="171" t="s">
        <v>116</v>
      </c>
      <c r="E624" s="171" t="s">
        <v>38</v>
      </c>
      <c r="F624" s="171" t="s">
        <v>111</v>
      </c>
      <c r="G624" s="171" t="s">
        <v>112</v>
      </c>
      <c r="H624" s="176">
        <v>1</v>
      </c>
      <c r="I624" s="177">
        <v>0</v>
      </c>
      <c r="J624" s="175">
        <v>46023</v>
      </c>
      <c r="K624" s="171" t="s">
        <v>113</v>
      </c>
      <c r="L624" s="171" t="s">
        <v>114</v>
      </c>
      <c r="M624" s="178">
        <v>0</v>
      </c>
      <c r="N624" s="176"/>
      <c r="O624" s="176"/>
      <c r="P624" s="179">
        <v>-8.24</v>
      </c>
    </row>
    <row r="625" spans="1:16" ht="19.5" customHeight="1">
      <c r="A625" s="171" t="s">
        <v>540</v>
      </c>
      <c r="B625" s="175">
        <v>46033</v>
      </c>
      <c r="C625" s="171" t="s">
        <v>110</v>
      </c>
      <c r="D625" s="171" t="s">
        <v>117</v>
      </c>
      <c r="E625" s="171" t="s">
        <v>38</v>
      </c>
      <c r="F625" s="171" t="s">
        <v>111</v>
      </c>
      <c r="G625" s="171" t="s">
        <v>112</v>
      </c>
      <c r="H625" s="176">
        <v>1</v>
      </c>
      <c r="I625" s="177">
        <v>0</v>
      </c>
      <c r="J625" s="175">
        <v>46023</v>
      </c>
      <c r="K625" s="171" t="s">
        <v>113</v>
      </c>
      <c r="L625" s="171" t="s">
        <v>114</v>
      </c>
      <c r="M625" s="178">
        <v>0</v>
      </c>
      <c r="N625" s="176"/>
      <c r="O625" s="176"/>
      <c r="P625" s="179">
        <v>0</v>
      </c>
    </row>
    <row r="626" spans="1:16" ht="19.5" customHeight="1">
      <c r="A626" s="171" t="s">
        <v>540</v>
      </c>
      <c r="B626" s="175">
        <v>46033</v>
      </c>
      <c r="C626" s="171" t="s">
        <v>110</v>
      </c>
      <c r="D626" s="171" t="s">
        <v>118</v>
      </c>
      <c r="E626" s="171" t="s">
        <v>38</v>
      </c>
      <c r="F626" s="171" t="s">
        <v>111</v>
      </c>
      <c r="G626" s="171" t="s">
        <v>112</v>
      </c>
      <c r="H626" s="176">
        <v>1</v>
      </c>
      <c r="I626" s="177">
        <v>0</v>
      </c>
      <c r="J626" s="175">
        <v>46023</v>
      </c>
      <c r="K626" s="171" t="s">
        <v>113</v>
      </c>
      <c r="L626" s="171" t="s">
        <v>114</v>
      </c>
      <c r="M626" s="178">
        <v>0</v>
      </c>
      <c r="N626" s="176"/>
      <c r="O626" s="176"/>
      <c r="P626" s="179">
        <v>-46.77</v>
      </c>
    </row>
    <row r="627" spans="1:16" ht="19.5" customHeight="1">
      <c r="A627" s="171" t="s">
        <v>540</v>
      </c>
      <c r="B627" s="175">
        <v>46033</v>
      </c>
      <c r="C627" s="171" t="s">
        <v>115</v>
      </c>
      <c r="D627" s="171" t="s">
        <v>119</v>
      </c>
      <c r="E627" s="171" t="s">
        <v>38</v>
      </c>
      <c r="F627" s="171" t="s">
        <v>111</v>
      </c>
      <c r="G627" s="171" t="s">
        <v>112</v>
      </c>
      <c r="H627" s="176">
        <v>1</v>
      </c>
      <c r="I627" s="177">
        <v>0</v>
      </c>
      <c r="J627" s="175">
        <v>46023</v>
      </c>
      <c r="K627" s="171" t="s">
        <v>113</v>
      </c>
      <c r="L627" s="171" t="s">
        <v>114</v>
      </c>
      <c r="M627" s="178">
        <v>0</v>
      </c>
      <c r="N627" s="176"/>
      <c r="O627" s="176"/>
      <c r="P627" s="179">
        <v>-15</v>
      </c>
    </row>
    <row r="628" spans="1:16" ht="19.5" customHeight="1">
      <c r="A628" s="171" t="s">
        <v>541</v>
      </c>
      <c r="B628" s="175">
        <v>46033</v>
      </c>
      <c r="C628" s="171" t="s">
        <v>110</v>
      </c>
      <c r="D628" s="171" t="s">
        <v>24</v>
      </c>
      <c r="E628" s="171" t="s">
        <v>47</v>
      </c>
      <c r="F628" s="171" t="s">
        <v>430</v>
      </c>
      <c r="G628" s="171" t="s">
        <v>112</v>
      </c>
      <c r="H628" s="176">
        <v>1</v>
      </c>
      <c r="I628" s="177">
        <v>1090</v>
      </c>
      <c r="J628" s="175">
        <v>46026</v>
      </c>
      <c r="K628" s="171" t="s">
        <v>113</v>
      </c>
      <c r="L628" s="171" t="s">
        <v>114</v>
      </c>
      <c r="M628" s="178">
        <v>0.43</v>
      </c>
      <c r="N628" s="176"/>
      <c r="O628" s="176">
        <v>37</v>
      </c>
      <c r="P628" s="179">
        <v>-87.28</v>
      </c>
    </row>
    <row r="629" spans="1:16" ht="19.5" customHeight="1">
      <c r="A629" s="171" t="s">
        <v>541</v>
      </c>
      <c r="B629" s="175">
        <v>46033</v>
      </c>
      <c r="C629" s="171" t="s">
        <v>127</v>
      </c>
      <c r="D629" s="171" t="s">
        <v>128</v>
      </c>
      <c r="E629" s="171" t="s">
        <v>47</v>
      </c>
      <c r="F629" s="171" t="s">
        <v>430</v>
      </c>
      <c r="G629" s="171" t="s">
        <v>112</v>
      </c>
      <c r="H629" s="176">
        <v>1</v>
      </c>
      <c r="I629" s="177">
        <v>1090</v>
      </c>
      <c r="J629" s="175">
        <v>46026</v>
      </c>
      <c r="K629" s="171" t="s">
        <v>113</v>
      </c>
      <c r="L629" s="171" t="s">
        <v>114</v>
      </c>
      <c r="M629" s="178">
        <v>0</v>
      </c>
      <c r="N629" s="176"/>
      <c r="O629" s="176"/>
      <c r="P629" s="179">
        <v>542</v>
      </c>
    </row>
    <row r="630" spans="1:16" ht="19.5" customHeight="1">
      <c r="A630" s="171" t="s">
        <v>541</v>
      </c>
      <c r="B630" s="175">
        <v>46033</v>
      </c>
      <c r="C630" s="171" t="s">
        <v>127</v>
      </c>
      <c r="D630" s="171" t="s">
        <v>129</v>
      </c>
      <c r="E630" s="171" t="s">
        <v>47</v>
      </c>
      <c r="F630" s="171" t="s">
        <v>430</v>
      </c>
      <c r="G630" s="171" t="s">
        <v>112</v>
      </c>
      <c r="H630" s="176">
        <v>1</v>
      </c>
      <c r="I630" s="177">
        <v>1090</v>
      </c>
      <c r="J630" s="175">
        <v>46026</v>
      </c>
      <c r="K630" s="171" t="s">
        <v>113</v>
      </c>
      <c r="L630" s="171" t="s">
        <v>114</v>
      </c>
      <c r="M630" s="178">
        <v>0</v>
      </c>
      <c r="N630" s="176"/>
      <c r="O630" s="176"/>
      <c r="P630" s="179">
        <v>5.42</v>
      </c>
    </row>
    <row r="631" spans="1:16" ht="19.5" customHeight="1">
      <c r="A631" s="171" t="s">
        <v>541</v>
      </c>
      <c r="B631" s="175">
        <v>46033</v>
      </c>
      <c r="C631" s="171" t="s">
        <v>127</v>
      </c>
      <c r="D631" s="171" t="s">
        <v>130</v>
      </c>
      <c r="E631" s="171" t="s">
        <v>47</v>
      </c>
      <c r="F631" s="171" t="s">
        <v>430</v>
      </c>
      <c r="G631" s="171" t="s">
        <v>112</v>
      </c>
      <c r="H631" s="176">
        <v>1</v>
      </c>
      <c r="I631" s="177">
        <v>1090</v>
      </c>
      <c r="J631" s="175">
        <v>46026</v>
      </c>
      <c r="K631" s="171" t="s">
        <v>113</v>
      </c>
      <c r="L631" s="171" t="s">
        <v>114</v>
      </c>
      <c r="M631" s="178">
        <v>0</v>
      </c>
      <c r="N631" s="176"/>
      <c r="O631" s="176"/>
      <c r="P631" s="179">
        <v>542.58000000000004</v>
      </c>
    </row>
    <row r="632" spans="1:16" ht="19.5" customHeight="1">
      <c r="A632" s="171" t="s">
        <v>541</v>
      </c>
      <c r="B632" s="175">
        <v>46033</v>
      </c>
      <c r="C632" s="171" t="s">
        <v>131</v>
      </c>
      <c r="D632" s="171" t="s">
        <v>132</v>
      </c>
      <c r="E632" s="171" t="s">
        <v>47</v>
      </c>
      <c r="F632" s="171" t="s">
        <v>430</v>
      </c>
      <c r="G632" s="171" t="s">
        <v>112</v>
      </c>
      <c r="H632" s="176">
        <v>1</v>
      </c>
      <c r="I632" s="177">
        <v>1090</v>
      </c>
      <c r="J632" s="175">
        <v>46026</v>
      </c>
      <c r="K632" s="171" t="s">
        <v>113</v>
      </c>
      <c r="L632" s="171" t="s">
        <v>114</v>
      </c>
      <c r="M632" s="178">
        <v>0.43</v>
      </c>
      <c r="N632" s="176"/>
      <c r="O632" s="176"/>
      <c r="P632" s="179">
        <v>-468.7</v>
      </c>
    </row>
    <row r="633" spans="1:16" ht="19.5" customHeight="1">
      <c r="A633" s="171" t="s">
        <v>541</v>
      </c>
      <c r="B633" s="175">
        <v>46033</v>
      </c>
      <c r="C633" s="171" t="s">
        <v>115</v>
      </c>
      <c r="D633" s="171" t="s">
        <v>116</v>
      </c>
      <c r="E633" s="171" t="s">
        <v>47</v>
      </c>
      <c r="F633" s="171" t="s">
        <v>430</v>
      </c>
      <c r="G633" s="171" t="s">
        <v>112</v>
      </c>
      <c r="H633" s="176">
        <v>1</v>
      </c>
      <c r="I633" s="177">
        <v>1090</v>
      </c>
      <c r="J633" s="175">
        <v>46026</v>
      </c>
      <c r="K633" s="171" t="s">
        <v>113</v>
      </c>
      <c r="L633" s="171" t="s">
        <v>114</v>
      </c>
      <c r="M633" s="178">
        <v>0.43</v>
      </c>
      <c r="N633" s="176"/>
      <c r="O633" s="176"/>
      <c r="P633" s="179">
        <v>-7.09</v>
      </c>
    </row>
    <row r="634" spans="1:16" ht="19.5" customHeight="1">
      <c r="A634" s="171" t="s">
        <v>541</v>
      </c>
      <c r="B634" s="175">
        <v>46033</v>
      </c>
      <c r="C634" s="171" t="s">
        <v>115</v>
      </c>
      <c r="D634" s="171" t="s">
        <v>135</v>
      </c>
      <c r="E634" s="171" t="s">
        <v>47</v>
      </c>
      <c r="F634" s="171" t="s">
        <v>430</v>
      </c>
      <c r="G634" s="171" t="s">
        <v>112</v>
      </c>
      <c r="H634" s="176">
        <v>1</v>
      </c>
      <c r="I634" s="177">
        <v>0</v>
      </c>
      <c r="J634" s="175">
        <v>46026</v>
      </c>
      <c r="K634" s="171" t="s">
        <v>125</v>
      </c>
      <c r="L634" s="171" t="s">
        <v>125</v>
      </c>
      <c r="M634" s="178">
        <v>0</v>
      </c>
      <c r="N634" s="176"/>
      <c r="O634" s="176"/>
      <c r="P634" s="179">
        <v>-10.3</v>
      </c>
    </row>
    <row r="635" spans="1:16" ht="19.5" customHeight="1">
      <c r="A635" s="171" t="s">
        <v>165</v>
      </c>
      <c r="B635" s="175">
        <v>46033</v>
      </c>
      <c r="C635" s="171" t="s">
        <v>115</v>
      </c>
      <c r="D635" s="171" t="s">
        <v>135</v>
      </c>
      <c r="E635" s="171" t="s">
        <v>41</v>
      </c>
      <c r="F635" s="171" t="s">
        <v>138</v>
      </c>
      <c r="G635" s="171" t="s">
        <v>112</v>
      </c>
      <c r="H635" s="176">
        <v>1</v>
      </c>
      <c r="I635" s="177">
        <v>0</v>
      </c>
      <c r="J635" s="175">
        <v>46033</v>
      </c>
      <c r="K635" s="171" t="s">
        <v>125</v>
      </c>
      <c r="L635" s="171" t="s">
        <v>125</v>
      </c>
      <c r="M635" s="178">
        <v>0</v>
      </c>
      <c r="N635" s="176"/>
      <c r="O635" s="176"/>
      <c r="P635" s="179">
        <v>-11.02</v>
      </c>
    </row>
    <row r="636" spans="1:16" ht="19.5" customHeight="1">
      <c r="A636" s="171" t="s">
        <v>542</v>
      </c>
      <c r="B636" s="175">
        <v>46033</v>
      </c>
      <c r="C636" s="171" t="s">
        <v>110</v>
      </c>
      <c r="D636" s="171" t="s">
        <v>24</v>
      </c>
      <c r="E636" s="171" t="s">
        <v>38</v>
      </c>
      <c r="F636" s="171" t="s">
        <v>111</v>
      </c>
      <c r="G636" s="171" t="s">
        <v>112</v>
      </c>
      <c r="H636" s="176">
        <v>1</v>
      </c>
      <c r="I636" s="177">
        <v>1704</v>
      </c>
      <c r="J636" s="175">
        <v>46032</v>
      </c>
      <c r="K636" s="171" t="s">
        <v>113</v>
      </c>
      <c r="L636" s="171" t="s">
        <v>114</v>
      </c>
      <c r="M636" s="178">
        <v>0.43</v>
      </c>
      <c r="N636" s="176"/>
      <c r="O636" s="176">
        <v>47</v>
      </c>
      <c r="P636" s="179">
        <v>-140.47</v>
      </c>
    </row>
    <row r="637" spans="1:16" ht="19.5" customHeight="1">
      <c r="A637" s="171" t="s">
        <v>542</v>
      </c>
      <c r="B637" s="175">
        <v>46033</v>
      </c>
      <c r="C637" s="171" t="s">
        <v>127</v>
      </c>
      <c r="D637" s="171" t="s">
        <v>128</v>
      </c>
      <c r="E637" s="171" t="s">
        <v>38</v>
      </c>
      <c r="F637" s="171" t="s">
        <v>111</v>
      </c>
      <c r="G637" s="171" t="s">
        <v>112</v>
      </c>
      <c r="H637" s="176">
        <v>1</v>
      </c>
      <c r="I637" s="177">
        <v>1704</v>
      </c>
      <c r="J637" s="175">
        <v>46032</v>
      </c>
      <c r="K637" s="171" t="s">
        <v>113</v>
      </c>
      <c r="L637" s="171" t="s">
        <v>114</v>
      </c>
      <c r="M637" s="178">
        <v>0</v>
      </c>
      <c r="N637" s="176"/>
      <c r="O637" s="176"/>
      <c r="P637" s="179">
        <v>648.91</v>
      </c>
    </row>
    <row r="638" spans="1:16" ht="19.5" customHeight="1">
      <c r="A638" s="171" t="s">
        <v>542</v>
      </c>
      <c r="B638" s="175">
        <v>46033</v>
      </c>
      <c r="C638" s="171" t="s">
        <v>127</v>
      </c>
      <c r="D638" s="171" t="s">
        <v>129</v>
      </c>
      <c r="E638" s="171" t="s">
        <v>38</v>
      </c>
      <c r="F638" s="171" t="s">
        <v>111</v>
      </c>
      <c r="G638" s="171" t="s">
        <v>112</v>
      </c>
      <c r="H638" s="176">
        <v>1</v>
      </c>
      <c r="I638" s="177">
        <v>1704</v>
      </c>
      <c r="J638" s="175">
        <v>46032</v>
      </c>
      <c r="K638" s="171" t="s">
        <v>113</v>
      </c>
      <c r="L638" s="171" t="s">
        <v>114</v>
      </c>
      <c r="M638" s="178">
        <v>0</v>
      </c>
      <c r="N638" s="176"/>
      <c r="O638" s="176"/>
      <c r="P638" s="179">
        <v>0</v>
      </c>
    </row>
    <row r="639" spans="1:16" ht="19.5" customHeight="1">
      <c r="A639" s="171" t="s">
        <v>542</v>
      </c>
      <c r="B639" s="175">
        <v>46033</v>
      </c>
      <c r="C639" s="171" t="s">
        <v>127</v>
      </c>
      <c r="D639" s="171" t="s">
        <v>130</v>
      </c>
      <c r="E639" s="171" t="s">
        <v>38</v>
      </c>
      <c r="F639" s="171" t="s">
        <v>111</v>
      </c>
      <c r="G639" s="171" t="s">
        <v>112</v>
      </c>
      <c r="H639" s="176">
        <v>1</v>
      </c>
      <c r="I639" s="177">
        <v>1704</v>
      </c>
      <c r="J639" s="175">
        <v>46032</v>
      </c>
      <c r="K639" s="171" t="s">
        <v>113</v>
      </c>
      <c r="L639" s="171" t="s">
        <v>114</v>
      </c>
      <c r="M639" s="178">
        <v>0</v>
      </c>
      <c r="N639" s="176"/>
      <c r="O639" s="176"/>
      <c r="P639" s="179">
        <v>1055.0899999999999</v>
      </c>
    </row>
    <row r="640" spans="1:16" ht="19.5" customHeight="1">
      <c r="A640" s="171" t="s">
        <v>542</v>
      </c>
      <c r="B640" s="175">
        <v>46033</v>
      </c>
      <c r="C640" s="171" t="s">
        <v>131</v>
      </c>
      <c r="D640" s="171" t="s">
        <v>132</v>
      </c>
      <c r="E640" s="171" t="s">
        <v>38</v>
      </c>
      <c r="F640" s="171" t="s">
        <v>111</v>
      </c>
      <c r="G640" s="171" t="s">
        <v>112</v>
      </c>
      <c r="H640" s="176">
        <v>1</v>
      </c>
      <c r="I640" s="177">
        <v>1704</v>
      </c>
      <c r="J640" s="175">
        <v>46032</v>
      </c>
      <c r="K640" s="171" t="s">
        <v>113</v>
      </c>
      <c r="L640" s="171" t="s">
        <v>114</v>
      </c>
      <c r="M640" s="178">
        <v>0.43</v>
      </c>
      <c r="N640" s="176"/>
      <c r="O640" s="176"/>
      <c r="P640" s="179">
        <v>-732.72</v>
      </c>
    </row>
    <row r="641" spans="1:16" ht="19.5" customHeight="1">
      <c r="A641" s="171" t="s">
        <v>542</v>
      </c>
      <c r="B641" s="175">
        <v>46033</v>
      </c>
      <c r="C641" s="171" t="s">
        <v>115</v>
      </c>
      <c r="D641" s="171" t="s">
        <v>116</v>
      </c>
      <c r="E641" s="171" t="s">
        <v>38</v>
      </c>
      <c r="F641" s="171" t="s">
        <v>111</v>
      </c>
      <c r="G641" s="171" t="s">
        <v>112</v>
      </c>
      <c r="H641" s="176">
        <v>1</v>
      </c>
      <c r="I641" s="177">
        <v>1704</v>
      </c>
      <c r="J641" s="175">
        <v>46032</v>
      </c>
      <c r="K641" s="171" t="s">
        <v>113</v>
      </c>
      <c r="L641" s="171" t="s">
        <v>114</v>
      </c>
      <c r="M641" s="178">
        <v>0.43</v>
      </c>
      <c r="N641" s="176"/>
      <c r="O641" s="176"/>
      <c r="P641" s="179">
        <v>-11.31</v>
      </c>
    </row>
    <row r="642" spans="1:16" ht="19.5" customHeight="1">
      <c r="A642" s="171" t="s">
        <v>542</v>
      </c>
      <c r="B642" s="175">
        <v>46033</v>
      </c>
      <c r="C642" s="171" t="s">
        <v>115</v>
      </c>
      <c r="D642" s="171" t="s">
        <v>135</v>
      </c>
      <c r="E642" s="171" t="s">
        <v>38</v>
      </c>
      <c r="F642" s="171" t="s">
        <v>111</v>
      </c>
      <c r="G642" s="171" t="s">
        <v>112</v>
      </c>
      <c r="H642" s="176">
        <v>1</v>
      </c>
      <c r="I642" s="177">
        <v>0</v>
      </c>
      <c r="J642" s="175">
        <v>46032</v>
      </c>
      <c r="K642" s="171" t="s">
        <v>125</v>
      </c>
      <c r="L642" s="171" t="s">
        <v>125</v>
      </c>
      <c r="M642" s="178">
        <v>0</v>
      </c>
      <c r="N642" s="176"/>
      <c r="O642" s="176"/>
      <c r="P642" s="179">
        <v>-6.1</v>
      </c>
    </row>
    <row r="643" spans="1:16" ht="19.5" customHeight="1">
      <c r="A643" s="171" t="s">
        <v>543</v>
      </c>
      <c r="B643" s="175">
        <v>46033</v>
      </c>
      <c r="C643" s="171" t="s">
        <v>110</v>
      </c>
      <c r="D643" s="171" t="s">
        <v>24</v>
      </c>
      <c r="E643" s="171" t="s">
        <v>38</v>
      </c>
      <c r="F643" s="171" t="s">
        <v>111</v>
      </c>
      <c r="G643" s="171" t="s">
        <v>112</v>
      </c>
      <c r="H643" s="176">
        <v>1</v>
      </c>
      <c r="I643" s="177">
        <v>1704</v>
      </c>
      <c r="J643" s="175">
        <v>46026</v>
      </c>
      <c r="K643" s="171" t="s">
        <v>113</v>
      </c>
      <c r="L643" s="171" t="s">
        <v>114</v>
      </c>
      <c r="M643" s="178">
        <v>0.43</v>
      </c>
      <c r="N643" s="176"/>
      <c r="O643" s="176">
        <v>37</v>
      </c>
      <c r="P643" s="179">
        <v>-99.56</v>
      </c>
    </row>
    <row r="644" spans="1:16" ht="19.5" customHeight="1">
      <c r="A644" s="171" t="s">
        <v>543</v>
      </c>
      <c r="B644" s="175">
        <v>46033</v>
      </c>
      <c r="C644" s="171" t="s">
        <v>127</v>
      </c>
      <c r="D644" s="171" t="s">
        <v>128</v>
      </c>
      <c r="E644" s="171" t="s">
        <v>38</v>
      </c>
      <c r="F644" s="171" t="s">
        <v>111</v>
      </c>
      <c r="G644" s="171" t="s">
        <v>112</v>
      </c>
      <c r="H644" s="176">
        <v>1</v>
      </c>
      <c r="I644" s="177">
        <v>1704</v>
      </c>
      <c r="J644" s="175">
        <v>46026</v>
      </c>
      <c r="K644" s="171" t="s">
        <v>113</v>
      </c>
      <c r="L644" s="171" t="s">
        <v>114</v>
      </c>
      <c r="M644" s="178">
        <v>0</v>
      </c>
      <c r="N644" s="176"/>
      <c r="O644" s="176"/>
      <c r="P644" s="179">
        <v>559.09</v>
      </c>
    </row>
    <row r="645" spans="1:16" ht="19.5" customHeight="1">
      <c r="A645" s="171" t="s">
        <v>543</v>
      </c>
      <c r="B645" s="175">
        <v>46033</v>
      </c>
      <c r="C645" s="171" t="s">
        <v>127</v>
      </c>
      <c r="D645" s="171" t="s">
        <v>129</v>
      </c>
      <c r="E645" s="171" t="s">
        <v>38</v>
      </c>
      <c r="F645" s="171" t="s">
        <v>111</v>
      </c>
      <c r="G645" s="171" t="s">
        <v>112</v>
      </c>
      <c r="H645" s="176">
        <v>1</v>
      </c>
      <c r="I645" s="177">
        <v>1704</v>
      </c>
      <c r="J645" s="175">
        <v>46026</v>
      </c>
      <c r="K645" s="171" t="s">
        <v>113</v>
      </c>
      <c r="L645" s="171" t="s">
        <v>114</v>
      </c>
      <c r="M645" s="178">
        <v>0</v>
      </c>
      <c r="N645" s="176"/>
      <c r="O645" s="176"/>
      <c r="P645" s="179">
        <v>5.59</v>
      </c>
    </row>
    <row r="646" spans="1:16" ht="19.5" customHeight="1">
      <c r="A646" s="171" t="s">
        <v>543</v>
      </c>
      <c r="B646" s="175">
        <v>46033</v>
      </c>
      <c r="C646" s="171" t="s">
        <v>127</v>
      </c>
      <c r="D646" s="171" t="s">
        <v>130</v>
      </c>
      <c r="E646" s="171" t="s">
        <v>38</v>
      </c>
      <c r="F646" s="171" t="s">
        <v>111</v>
      </c>
      <c r="G646" s="171" t="s">
        <v>112</v>
      </c>
      <c r="H646" s="176">
        <v>1</v>
      </c>
      <c r="I646" s="177">
        <v>1704</v>
      </c>
      <c r="J646" s="175">
        <v>46026</v>
      </c>
      <c r="K646" s="171" t="s">
        <v>113</v>
      </c>
      <c r="L646" s="171" t="s">
        <v>114</v>
      </c>
      <c r="M646" s="178">
        <v>0</v>
      </c>
      <c r="N646" s="176"/>
      <c r="O646" s="176"/>
      <c r="P646" s="179">
        <v>1139.32</v>
      </c>
    </row>
    <row r="647" spans="1:16" ht="19.5" customHeight="1">
      <c r="A647" s="171" t="s">
        <v>543</v>
      </c>
      <c r="B647" s="175">
        <v>46033</v>
      </c>
      <c r="C647" s="171" t="s">
        <v>131</v>
      </c>
      <c r="D647" s="171" t="s">
        <v>132</v>
      </c>
      <c r="E647" s="171" t="s">
        <v>38</v>
      </c>
      <c r="F647" s="171" t="s">
        <v>111</v>
      </c>
      <c r="G647" s="171" t="s">
        <v>112</v>
      </c>
      <c r="H647" s="176">
        <v>1</v>
      </c>
      <c r="I647" s="177">
        <v>1704</v>
      </c>
      <c r="J647" s="175">
        <v>46026</v>
      </c>
      <c r="K647" s="171" t="s">
        <v>113</v>
      </c>
      <c r="L647" s="171" t="s">
        <v>114</v>
      </c>
      <c r="M647" s="178">
        <v>0.43</v>
      </c>
      <c r="N647" s="176"/>
      <c r="O647" s="176"/>
      <c r="P647" s="179">
        <v>-732.72</v>
      </c>
    </row>
    <row r="648" spans="1:16" ht="19.5" customHeight="1">
      <c r="A648" s="171" t="s">
        <v>543</v>
      </c>
      <c r="B648" s="175">
        <v>46033</v>
      </c>
      <c r="C648" s="171" t="s">
        <v>115</v>
      </c>
      <c r="D648" s="171" t="s">
        <v>116</v>
      </c>
      <c r="E648" s="171" t="s">
        <v>38</v>
      </c>
      <c r="F648" s="171" t="s">
        <v>111</v>
      </c>
      <c r="G648" s="171" t="s">
        <v>112</v>
      </c>
      <c r="H648" s="176">
        <v>1</v>
      </c>
      <c r="I648" s="177">
        <v>1704</v>
      </c>
      <c r="J648" s="175">
        <v>46026</v>
      </c>
      <c r="K648" s="171" t="s">
        <v>113</v>
      </c>
      <c r="L648" s="171" t="s">
        <v>114</v>
      </c>
      <c r="M648" s="178">
        <v>0.43</v>
      </c>
      <c r="N648" s="176"/>
      <c r="O648" s="176"/>
      <c r="P648" s="179">
        <v>-9.48</v>
      </c>
    </row>
    <row r="649" spans="1:16" ht="19.5" customHeight="1">
      <c r="A649" s="171" t="s">
        <v>190</v>
      </c>
      <c r="B649" s="175">
        <v>46033</v>
      </c>
      <c r="C649" s="171" t="s">
        <v>115</v>
      </c>
      <c r="D649" s="171" t="s">
        <v>135</v>
      </c>
      <c r="E649" s="171" t="s">
        <v>41</v>
      </c>
      <c r="F649" s="171" t="s">
        <v>138</v>
      </c>
      <c r="G649" s="171" t="s">
        <v>112</v>
      </c>
      <c r="H649" s="176">
        <v>1</v>
      </c>
      <c r="I649" s="177">
        <v>0</v>
      </c>
      <c r="J649" s="175">
        <v>46033</v>
      </c>
      <c r="K649" s="171" t="s">
        <v>125</v>
      </c>
      <c r="L649" s="171" t="s">
        <v>125</v>
      </c>
      <c r="M649" s="178">
        <v>0</v>
      </c>
      <c r="N649" s="176"/>
      <c r="O649" s="176"/>
      <c r="P649" s="179">
        <v>-11.02</v>
      </c>
    </row>
    <row r="650" spans="1:16" ht="19.5" customHeight="1">
      <c r="A650" s="171" t="s">
        <v>154</v>
      </c>
      <c r="B650" s="175">
        <v>46033</v>
      </c>
      <c r="C650" s="171" t="s">
        <v>151</v>
      </c>
      <c r="D650" s="171" t="s">
        <v>152</v>
      </c>
      <c r="E650" s="171" t="s">
        <v>125</v>
      </c>
      <c r="F650" s="171" t="s">
        <v>125</v>
      </c>
      <c r="G650" s="171" t="s">
        <v>125</v>
      </c>
      <c r="H650" s="176">
        <v>0</v>
      </c>
      <c r="I650" s="177">
        <v>0</v>
      </c>
      <c r="J650" s="175">
        <v>46033</v>
      </c>
      <c r="K650" s="171" t="s">
        <v>125</v>
      </c>
      <c r="L650" s="171" t="s">
        <v>125</v>
      </c>
      <c r="M650" s="178">
        <v>0</v>
      </c>
      <c r="N650" s="176"/>
      <c r="O650" s="176"/>
      <c r="P650" s="179">
        <v>-262.79000000000002</v>
      </c>
    </row>
    <row r="651" spans="1:16" ht="19.5" customHeight="1">
      <c r="A651" s="171" t="s">
        <v>155</v>
      </c>
      <c r="B651" s="175">
        <v>46033</v>
      </c>
      <c r="C651" s="171" t="s">
        <v>151</v>
      </c>
      <c r="D651" s="171" t="s">
        <v>156</v>
      </c>
      <c r="E651" s="171" t="s">
        <v>125</v>
      </c>
      <c r="F651" s="171" t="s">
        <v>125</v>
      </c>
      <c r="G651" s="171" t="s">
        <v>125</v>
      </c>
      <c r="H651" s="176">
        <v>0</v>
      </c>
      <c r="I651" s="177">
        <v>0</v>
      </c>
      <c r="J651" s="175">
        <v>46033</v>
      </c>
      <c r="K651" s="171" t="s">
        <v>125</v>
      </c>
      <c r="L651" s="171" t="s">
        <v>125</v>
      </c>
      <c r="M651" s="178">
        <v>0</v>
      </c>
      <c r="N651" s="176"/>
      <c r="O651" s="176"/>
      <c r="P651" s="179">
        <v>-589.79999999999995</v>
      </c>
    </row>
    <row r="652" spans="1:16" ht="19.5" customHeight="1">
      <c r="A652" s="171" t="s">
        <v>150</v>
      </c>
      <c r="B652" s="175">
        <v>46033</v>
      </c>
      <c r="C652" s="171" t="s">
        <v>151</v>
      </c>
      <c r="D652" s="171" t="s">
        <v>152</v>
      </c>
      <c r="E652" s="171" t="s">
        <v>125</v>
      </c>
      <c r="F652" s="171" t="s">
        <v>125</v>
      </c>
      <c r="G652" s="171" t="s">
        <v>125</v>
      </c>
      <c r="H652" s="176">
        <v>0</v>
      </c>
      <c r="I652" s="177">
        <v>0</v>
      </c>
      <c r="J652" s="175">
        <v>46033</v>
      </c>
      <c r="K652" s="171" t="s">
        <v>125</v>
      </c>
      <c r="L652" s="171" t="s">
        <v>125</v>
      </c>
      <c r="M652" s="178">
        <v>0</v>
      </c>
      <c r="N652" s="176"/>
      <c r="O652" s="176"/>
      <c r="P652" s="179">
        <v>-1450.43</v>
      </c>
    </row>
    <row r="653" spans="1:16" ht="19.5" customHeight="1">
      <c r="A653" s="171" t="s">
        <v>153</v>
      </c>
      <c r="B653" s="175">
        <v>46033</v>
      </c>
      <c r="C653" s="171" t="s">
        <v>151</v>
      </c>
      <c r="D653" s="171" t="s">
        <v>152</v>
      </c>
      <c r="E653" s="171" t="s">
        <v>125</v>
      </c>
      <c r="F653" s="171" t="s">
        <v>125</v>
      </c>
      <c r="G653" s="171" t="s">
        <v>125</v>
      </c>
      <c r="H653" s="176">
        <v>0</v>
      </c>
      <c r="I653" s="177">
        <v>0</v>
      </c>
      <c r="J653" s="175">
        <v>46033</v>
      </c>
      <c r="K653" s="171" t="s">
        <v>125</v>
      </c>
      <c r="L653" s="171" t="s">
        <v>125</v>
      </c>
      <c r="M653" s="178">
        <v>0</v>
      </c>
      <c r="N653" s="176"/>
      <c r="O653" s="176"/>
      <c r="P653" s="179">
        <v>-295.45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280-A013-4447-A81D-C04567591841}">
  <dimension ref="A1:P259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2" customWidth="1"/>
  </cols>
  <sheetData>
    <row r="1" spans="1:16" ht="19.5" customHeight="1">
      <c r="A1" s="171" t="s">
        <v>340</v>
      </c>
    </row>
    <row r="2" spans="1:16" ht="78.75" customHeight="1">
      <c r="A2" s="173" t="s">
        <v>93</v>
      </c>
      <c r="B2" s="173" t="s">
        <v>94</v>
      </c>
      <c r="C2" s="173" t="s">
        <v>95</v>
      </c>
      <c r="D2" s="173" t="s">
        <v>96</v>
      </c>
      <c r="E2" s="173" t="s">
        <v>97</v>
      </c>
      <c r="F2" s="173" t="s">
        <v>98</v>
      </c>
      <c r="G2" s="173" t="s">
        <v>99</v>
      </c>
      <c r="H2" s="173" t="s">
        <v>100</v>
      </c>
      <c r="I2" s="173" t="s">
        <v>101</v>
      </c>
      <c r="J2" s="173" t="s">
        <v>102</v>
      </c>
      <c r="K2" s="173" t="s">
        <v>103</v>
      </c>
      <c r="L2" s="173" t="s">
        <v>104</v>
      </c>
      <c r="M2" s="173" t="s">
        <v>105</v>
      </c>
      <c r="N2" s="173" t="s">
        <v>106</v>
      </c>
      <c r="O2" s="173" t="s">
        <v>107</v>
      </c>
      <c r="P2" s="174" t="s">
        <v>108</v>
      </c>
    </row>
    <row r="3" spans="1:16" ht="19.5" customHeight="1">
      <c r="A3" s="171" t="s">
        <v>341</v>
      </c>
      <c r="B3" s="175">
        <v>46023</v>
      </c>
      <c r="C3" s="171" t="s">
        <v>110</v>
      </c>
      <c r="D3" s="171" t="s">
        <v>24</v>
      </c>
      <c r="E3" s="171" t="s">
        <v>41</v>
      </c>
      <c r="F3" s="171" t="s">
        <v>138</v>
      </c>
      <c r="G3" s="171" t="s">
        <v>112</v>
      </c>
      <c r="H3" s="176">
        <v>1</v>
      </c>
      <c r="I3" s="177">
        <v>0</v>
      </c>
      <c r="J3" s="175">
        <v>46019</v>
      </c>
      <c r="K3" s="171" t="s">
        <v>113</v>
      </c>
      <c r="L3" s="171" t="s">
        <v>114</v>
      </c>
      <c r="M3" s="178">
        <v>0</v>
      </c>
      <c r="N3" s="176"/>
      <c r="O3" s="176">
        <v>39</v>
      </c>
      <c r="P3" s="179">
        <v>-46</v>
      </c>
    </row>
    <row r="4" spans="1:16" ht="19.5" customHeight="1">
      <c r="A4" s="171" t="s">
        <v>341</v>
      </c>
      <c r="B4" s="175">
        <v>46023</v>
      </c>
      <c r="C4" s="171" t="s">
        <v>115</v>
      </c>
      <c r="D4" s="171" t="s">
        <v>116</v>
      </c>
      <c r="E4" s="171" t="s">
        <v>41</v>
      </c>
      <c r="F4" s="171" t="s">
        <v>138</v>
      </c>
      <c r="G4" s="171" t="s">
        <v>112</v>
      </c>
      <c r="H4" s="176">
        <v>1</v>
      </c>
      <c r="I4" s="177">
        <v>0</v>
      </c>
      <c r="J4" s="175">
        <v>46019</v>
      </c>
      <c r="K4" s="171" t="s">
        <v>113</v>
      </c>
      <c r="L4" s="171" t="s">
        <v>114</v>
      </c>
      <c r="M4" s="178">
        <v>0</v>
      </c>
      <c r="N4" s="176"/>
      <c r="O4" s="176"/>
      <c r="P4" s="179">
        <v>-11.88</v>
      </c>
    </row>
    <row r="5" spans="1:16" ht="19.5" customHeight="1">
      <c r="A5" s="171" t="s">
        <v>341</v>
      </c>
      <c r="B5" s="175">
        <v>46023</v>
      </c>
      <c r="C5" s="171" t="s">
        <v>110</v>
      </c>
      <c r="D5" s="171" t="s">
        <v>117</v>
      </c>
      <c r="E5" s="171" t="s">
        <v>41</v>
      </c>
      <c r="F5" s="171" t="s">
        <v>138</v>
      </c>
      <c r="G5" s="171" t="s">
        <v>112</v>
      </c>
      <c r="H5" s="176">
        <v>1</v>
      </c>
      <c r="I5" s="177">
        <v>0</v>
      </c>
      <c r="J5" s="175">
        <v>46019</v>
      </c>
      <c r="K5" s="171" t="s">
        <v>113</v>
      </c>
      <c r="L5" s="171" t="s">
        <v>114</v>
      </c>
      <c r="M5" s="178">
        <v>0</v>
      </c>
      <c r="N5" s="176"/>
      <c r="O5" s="176"/>
      <c r="P5" s="179">
        <v>0</v>
      </c>
    </row>
    <row r="6" spans="1:16" ht="19.5" customHeight="1">
      <c r="A6" s="171" t="s">
        <v>341</v>
      </c>
      <c r="B6" s="175">
        <v>46023</v>
      </c>
      <c r="C6" s="171" t="s">
        <v>110</v>
      </c>
      <c r="D6" s="171" t="s">
        <v>118</v>
      </c>
      <c r="E6" s="171" t="s">
        <v>41</v>
      </c>
      <c r="F6" s="171" t="s">
        <v>138</v>
      </c>
      <c r="G6" s="171" t="s">
        <v>112</v>
      </c>
      <c r="H6" s="176">
        <v>1</v>
      </c>
      <c r="I6" s="177">
        <v>0</v>
      </c>
      <c r="J6" s="175">
        <v>46019</v>
      </c>
      <c r="K6" s="171" t="s">
        <v>113</v>
      </c>
      <c r="L6" s="171" t="s">
        <v>114</v>
      </c>
      <c r="M6" s="178">
        <v>0</v>
      </c>
      <c r="N6" s="176"/>
      <c r="O6" s="176"/>
      <c r="P6" s="179">
        <v>-46</v>
      </c>
    </row>
    <row r="7" spans="1:16" ht="19.5" customHeight="1">
      <c r="A7" s="171" t="s">
        <v>341</v>
      </c>
      <c r="B7" s="175">
        <v>46023</v>
      </c>
      <c r="C7" s="171" t="s">
        <v>115</v>
      </c>
      <c r="D7" s="171" t="s">
        <v>119</v>
      </c>
      <c r="E7" s="171" t="s">
        <v>41</v>
      </c>
      <c r="F7" s="171" t="s">
        <v>138</v>
      </c>
      <c r="G7" s="171" t="s">
        <v>112</v>
      </c>
      <c r="H7" s="176">
        <v>1</v>
      </c>
      <c r="I7" s="177">
        <v>0</v>
      </c>
      <c r="J7" s="175">
        <v>46019</v>
      </c>
      <c r="K7" s="171" t="s">
        <v>113</v>
      </c>
      <c r="L7" s="171" t="s">
        <v>114</v>
      </c>
      <c r="M7" s="178">
        <v>0</v>
      </c>
      <c r="N7" s="176"/>
      <c r="O7" s="176"/>
      <c r="P7" s="179">
        <v>-15</v>
      </c>
    </row>
    <row r="8" spans="1:16" ht="19.5" customHeight="1">
      <c r="A8" s="171" t="s">
        <v>342</v>
      </c>
      <c r="B8" s="175">
        <v>46023</v>
      </c>
      <c r="C8" s="171" t="s">
        <v>115</v>
      </c>
      <c r="D8" s="171" t="s">
        <v>135</v>
      </c>
      <c r="E8" s="171" t="s">
        <v>38</v>
      </c>
      <c r="F8" s="171" t="s">
        <v>111</v>
      </c>
      <c r="G8" s="171" t="s">
        <v>112</v>
      </c>
      <c r="H8" s="176">
        <v>1</v>
      </c>
      <c r="I8" s="177">
        <v>0</v>
      </c>
      <c r="J8" s="175">
        <v>46023</v>
      </c>
      <c r="K8" s="171" t="s">
        <v>125</v>
      </c>
      <c r="L8" s="171" t="s">
        <v>125</v>
      </c>
      <c r="M8" s="178">
        <v>0</v>
      </c>
      <c r="N8" s="176"/>
      <c r="O8" s="176"/>
      <c r="P8" s="179">
        <v>-11.13</v>
      </c>
    </row>
    <row r="9" spans="1:16" ht="19.5" customHeight="1">
      <c r="A9" s="171" t="s">
        <v>343</v>
      </c>
      <c r="B9" s="175">
        <v>46023</v>
      </c>
      <c r="C9" s="171" t="s">
        <v>115</v>
      </c>
      <c r="D9" s="171" t="s">
        <v>135</v>
      </c>
      <c r="E9" s="171" t="s">
        <v>38</v>
      </c>
      <c r="F9" s="171" t="s">
        <v>111</v>
      </c>
      <c r="G9" s="171" t="s">
        <v>112</v>
      </c>
      <c r="H9" s="176">
        <v>1</v>
      </c>
      <c r="I9" s="177">
        <v>0</v>
      </c>
      <c r="J9" s="175">
        <v>46023</v>
      </c>
      <c r="K9" s="171" t="s">
        <v>125</v>
      </c>
      <c r="L9" s="171" t="s">
        <v>125</v>
      </c>
      <c r="M9" s="178">
        <v>0</v>
      </c>
      <c r="N9" s="176"/>
      <c r="O9" s="176"/>
      <c r="P9" s="179">
        <v>-3.49</v>
      </c>
    </row>
    <row r="10" spans="1:16" ht="19.5" customHeight="1">
      <c r="A10" s="171" t="s">
        <v>344</v>
      </c>
      <c r="B10" s="175">
        <v>46023</v>
      </c>
      <c r="C10" s="171" t="s">
        <v>115</v>
      </c>
      <c r="D10" s="171" t="s">
        <v>135</v>
      </c>
      <c r="E10" s="171" t="s">
        <v>41</v>
      </c>
      <c r="F10" s="171" t="s">
        <v>138</v>
      </c>
      <c r="G10" s="171" t="s">
        <v>112</v>
      </c>
      <c r="H10" s="176">
        <v>1</v>
      </c>
      <c r="I10" s="177">
        <v>0</v>
      </c>
      <c r="J10" s="175">
        <v>46023</v>
      </c>
      <c r="K10" s="171" t="s">
        <v>125</v>
      </c>
      <c r="L10" s="171" t="s">
        <v>125</v>
      </c>
      <c r="M10" s="178">
        <v>0</v>
      </c>
      <c r="N10" s="176"/>
      <c r="O10" s="176"/>
      <c r="P10" s="179">
        <v>-2.66</v>
      </c>
    </row>
    <row r="11" spans="1:16" ht="19.5" customHeight="1">
      <c r="A11" s="171" t="s">
        <v>345</v>
      </c>
      <c r="B11" s="175">
        <v>46023</v>
      </c>
      <c r="C11" s="171" t="s">
        <v>115</v>
      </c>
      <c r="D11" s="171" t="s">
        <v>135</v>
      </c>
      <c r="E11" s="171" t="s">
        <v>38</v>
      </c>
      <c r="F11" s="171" t="s">
        <v>111</v>
      </c>
      <c r="G11" s="171" t="s">
        <v>112</v>
      </c>
      <c r="H11" s="176">
        <v>1</v>
      </c>
      <c r="I11" s="177">
        <v>0</v>
      </c>
      <c r="J11" s="175">
        <v>46023</v>
      </c>
      <c r="K11" s="171" t="s">
        <v>125</v>
      </c>
      <c r="L11" s="171" t="s">
        <v>125</v>
      </c>
      <c r="M11" s="178">
        <v>0</v>
      </c>
      <c r="N11" s="176"/>
      <c r="O11" s="176"/>
      <c r="P11" s="179">
        <v>-11.08</v>
      </c>
    </row>
    <row r="12" spans="1:16" ht="19.5" customHeight="1">
      <c r="A12" s="171" t="s">
        <v>346</v>
      </c>
      <c r="B12" s="175">
        <v>46023</v>
      </c>
      <c r="C12" s="171" t="s">
        <v>110</v>
      </c>
      <c r="D12" s="171" t="s">
        <v>117</v>
      </c>
      <c r="E12" s="171" t="s">
        <v>38</v>
      </c>
      <c r="F12" s="171" t="s">
        <v>111</v>
      </c>
      <c r="G12" s="171" t="s">
        <v>112</v>
      </c>
      <c r="H12" s="176">
        <v>1</v>
      </c>
      <c r="I12" s="177">
        <v>0</v>
      </c>
      <c r="J12" s="175">
        <v>46015</v>
      </c>
      <c r="K12" s="171" t="s">
        <v>113</v>
      </c>
      <c r="L12" s="171" t="s">
        <v>114</v>
      </c>
      <c r="M12" s="178">
        <v>0</v>
      </c>
      <c r="N12" s="176"/>
      <c r="O12" s="176"/>
      <c r="P12" s="179">
        <v>0</v>
      </c>
    </row>
    <row r="13" spans="1:16" ht="19.5" customHeight="1">
      <c r="A13" s="171" t="s">
        <v>346</v>
      </c>
      <c r="B13" s="175">
        <v>46023</v>
      </c>
      <c r="C13" s="171" t="s">
        <v>110</v>
      </c>
      <c r="D13" s="171" t="s">
        <v>118</v>
      </c>
      <c r="E13" s="171" t="s">
        <v>38</v>
      </c>
      <c r="F13" s="171" t="s">
        <v>111</v>
      </c>
      <c r="G13" s="171" t="s">
        <v>112</v>
      </c>
      <c r="H13" s="176">
        <v>1</v>
      </c>
      <c r="I13" s="177">
        <v>0</v>
      </c>
      <c r="J13" s="175">
        <v>46015</v>
      </c>
      <c r="K13" s="171" t="s">
        <v>113</v>
      </c>
      <c r="L13" s="171" t="s">
        <v>114</v>
      </c>
      <c r="M13" s="178">
        <v>0</v>
      </c>
      <c r="N13" s="176"/>
      <c r="O13" s="176"/>
      <c r="P13" s="179">
        <v>-46.77</v>
      </c>
    </row>
    <row r="14" spans="1:16" ht="19.5" customHeight="1">
      <c r="A14" s="171" t="s">
        <v>346</v>
      </c>
      <c r="B14" s="175">
        <v>46023</v>
      </c>
      <c r="C14" s="171" t="s">
        <v>115</v>
      </c>
      <c r="D14" s="171" t="s">
        <v>119</v>
      </c>
      <c r="E14" s="171" t="s">
        <v>38</v>
      </c>
      <c r="F14" s="171" t="s">
        <v>111</v>
      </c>
      <c r="G14" s="171" t="s">
        <v>112</v>
      </c>
      <c r="H14" s="176">
        <v>1</v>
      </c>
      <c r="I14" s="177">
        <v>0</v>
      </c>
      <c r="J14" s="175">
        <v>46015</v>
      </c>
      <c r="K14" s="171" t="s">
        <v>113</v>
      </c>
      <c r="L14" s="171" t="s">
        <v>114</v>
      </c>
      <c r="M14" s="178">
        <v>0</v>
      </c>
      <c r="N14" s="176"/>
      <c r="O14" s="176"/>
      <c r="P14" s="179">
        <v>-15</v>
      </c>
    </row>
    <row r="15" spans="1:16" ht="19.5" customHeight="1">
      <c r="A15" s="171" t="s">
        <v>346</v>
      </c>
      <c r="B15" s="175">
        <v>46023</v>
      </c>
      <c r="C15" s="171" t="s">
        <v>110</v>
      </c>
      <c r="D15" s="171" t="s">
        <v>24</v>
      </c>
      <c r="E15" s="171" t="s">
        <v>38</v>
      </c>
      <c r="F15" s="171" t="s">
        <v>111</v>
      </c>
      <c r="G15" s="171" t="s">
        <v>112</v>
      </c>
      <c r="H15" s="176">
        <v>1</v>
      </c>
      <c r="I15" s="177">
        <v>0</v>
      </c>
      <c r="J15" s="175">
        <v>46015</v>
      </c>
      <c r="K15" s="171" t="s">
        <v>113</v>
      </c>
      <c r="L15" s="171" t="s">
        <v>114</v>
      </c>
      <c r="M15" s="178">
        <v>0</v>
      </c>
      <c r="N15" s="176"/>
      <c r="O15" s="176">
        <v>39</v>
      </c>
      <c r="P15" s="179">
        <v>-46.77</v>
      </c>
    </row>
    <row r="16" spans="1:16" ht="19.5" customHeight="1">
      <c r="A16" s="171" t="s">
        <v>346</v>
      </c>
      <c r="B16" s="175">
        <v>46023</v>
      </c>
      <c r="C16" s="171" t="s">
        <v>115</v>
      </c>
      <c r="D16" s="171" t="s">
        <v>116</v>
      </c>
      <c r="E16" s="171" t="s">
        <v>38</v>
      </c>
      <c r="F16" s="171" t="s">
        <v>111</v>
      </c>
      <c r="G16" s="171" t="s">
        <v>112</v>
      </c>
      <c r="H16" s="176">
        <v>1</v>
      </c>
      <c r="I16" s="177">
        <v>0</v>
      </c>
      <c r="J16" s="175">
        <v>46015</v>
      </c>
      <c r="K16" s="171" t="s">
        <v>113</v>
      </c>
      <c r="L16" s="171" t="s">
        <v>114</v>
      </c>
      <c r="M16" s="178">
        <v>0</v>
      </c>
      <c r="N16" s="176"/>
      <c r="O16" s="176"/>
      <c r="P16" s="179">
        <v>-12.22</v>
      </c>
    </row>
    <row r="17" spans="1:16" ht="19.5" customHeight="1">
      <c r="A17" s="171" t="s">
        <v>347</v>
      </c>
      <c r="B17" s="175">
        <v>46023</v>
      </c>
      <c r="C17" s="171" t="s">
        <v>115</v>
      </c>
      <c r="D17" s="171" t="s">
        <v>135</v>
      </c>
      <c r="E17" s="171" t="s">
        <v>39</v>
      </c>
      <c r="F17" s="171" t="s">
        <v>141</v>
      </c>
      <c r="G17" s="171" t="s">
        <v>112</v>
      </c>
      <c r="H17" s="176">
        <v>1</v>
      </c>
      <c r="I17" s="177">
        <v>0</v>
      </c>
      <c r="J17" s="175">
        <v>46023</v>
      </c>
      <c r="K17" s="171" t="s">
        <v>125</v>
      </c>
      <c r="L17" s="171" t="s">
        <v>125</v>
      </c>
      <c r="M17" s="178">
        <v>0</v>
      </c>
      <c r="N17" s="176"/>
      <c r="O17" s="176"/>
      <c r="P17" s="179">
        <v>-11.26</v>
      </c>
    </row>
    <row r="18" spans="1:16" ht="19.5" customHeight="1">
      <c r="A18" s="171" t="s">
        <v>348</v>
      </c>
      <c r="B18" s="175">
        <v>46023</v>
      </c>
      <c r="C18" s="171" t="s">
        <v>151</v>
      </c>
      <c r="D18" s="171" t="s">
        <v>152</v>
      </c>
      <c r="E18" s="171" t="s">
        <v>125</v>
      </c>
      <c r="F18" s="171" t="s">
        <v>125</v>
      </c>
      <c r="G18" s="171" t="s">
        <v>125</v>
      </c>
      <c r="H18" s="176">
        <v>0</v>
      </c>
      <c r="I18" s="177">
        <v>0</v>
      </c>
      <c r="J18" s="175">
        <v>46023</v>
      </c>
      <c r="K18" s="171" t="s">
        <v>125</v>
      </c>
      <c r="L18" s="171" t="s">
        <v>125</v>
      </c>
      <c r="M18" s="178">
        <v>0</v>
      </c>
      <c r="N18" s="176"/>
      <c r="O18" s="176"/>
      <c r="P18" s="179">
        <v>-124.26</v>
      </c>
    </row>
    <row r="19" spans="1:16" ht="19.5" customHeight="1">
      <c r="A19" s="171" t="s">
        <v>349</v>
      </c>
      <c r="B19" s="175">
        <v>46023</v>
      </c>
      <c r="C19" s="171" t="s">
        <v>151</v>
      </c>
      <c r="D19" s="171" t="s">
        <v>152</v>
      </c>
      <c r="E19" s="171" t="s">
        <v>125</v>
      </c>
      <c r="F19" s="171" t="s">
        <v>125</v>
      </c>
      <c r="G19" s="171" t="s">
        <v>125</v>
      </c>
      <c r="H19" s="176">
        <v>0</v>
      </c>
      <c r="I19" s="177">
        <v>0</v>
      </c>
      <c r="J19" s="175">
        <v>46023</v>
      </c>
      <c r="K19" s="171" t="s">
        <v>125</v>
      </c>
      <c r="L19" s="171" t="s">
        <v>125</v>
      </c>
      <c r="M19" s="178">
        <v>0</v>
      </c>
      <c r="N19" s="176"/>
      <c r="O19" s="176"/>
      <c r="P19" s="179">
        <v>-349.98</v>
      </c>
    </row>
    <row r="20" spans="1:16" ht="19.5" customHeight="1">
      <c r="A20" s="171" t="s">
        <v>350</v>
      </c>
      <c r="B20" s="175">
        <v>46023</v>
      </c>
      <c r="C20" s="171" t="s">
        <v>151</v>
      </c>
      <c r="D20" s="171" t="s">
        <v>152</v>
      </c>
      <c r="E20" s="171" t="s">
        <v>125</v>
      </c>
      <c r="F20" s="171" t="s">
        <v>125</v>
      </c>
      <c r="G20" s="171" t="s">
        <v>125</v>
      </c>
      <c r="H20" s="176">
        <v>0</v>
      </c>
      <c r="I20" s="177">
        <v>0</v>
      </c>
      <c r="J20" s="175">
        <v>46023</v>
      </c>
      <c r="K20" s="171" t="s">
        <v>125</v>
      </c>
      <c r="L20" s="171" t="s">
        <v>125</v>
      </c>
      <c r="M20" s="178">
        <v>0</v>
      </c>
      <c r="N20" s="176"/>
      <c r="O20" s="176"/>
      <c r="P20" s="179">
        <v>-149.55000000000001</v>
      </c>
    </row>
    <row r="21" spans="1:16" ht="19.5" customHeight="1">
      <c r="A21" s="171" t="s">
        <v>351</v>
      </c>
      <c r="B21" s="175">
        <v>46023</v>
      </c>
      <c r="C21" s="171" t="s">
        <v>151</v>
      </c>
      <c r="D21" s="171" t="s">
        <v>152</v>
      </c>
      <c r="E21" s="171" t="s">
        <v>125</v>
      </c>
      <c r="F21" s="171" t="s">
        <v>125</v>
      </c>
      <c r="G21" s="171" t="s">
        <v>125</v>
      </c>
      <c r="H21" s="176">
        <v>0</v>
      </c>
      <c r="I21" s="177">
        <v>0</v>
      </c>
      <c r="J21" s="175">
        <v>46023</v>
      </c>
      <c r="K21" s="171" t="s">
        <v>125</v>
      </c>
      <c r="L21" s="171" t="s">
        <v>125</v>
      </c>
      <c r="M21" s="178">
        <v>0</v>
      </c>
      <c r="N21" s="176"/>
      <c r="O21" s="176"/>
      <c r="P21" s="179">
        <v>-92.02</v>
      </c>
    </row>
    <row r="22" spans="1:16" ht="19.5" customHeight="1">
      <c r="A22" s="171" t="s">
        <v>150</v>
      </c>
      <c r="B22" s="175">
        <v>46023</v>
      </c>
      <c r="C22" s="171" t="s">
        <v>151</v>
      </c>
      <c r="D22" s="171" t="s">
        <v>152</v>
      </c>
      <c r="E22" s="171" t="s">
        <v>125</v>
      </c>
      <c r="F22" s="171" t="s">
        <v>125</v>
      </c>
      <c r="G22" s="171" t="s">
        <v>125</v>
      </c>
      <c r="H22" s="176">
        <v>0</v>
      </c>
      <c r="I22" s="177">
        <v>0</v>
      </c>
      <c r="J22" s="175">
        <v>46023</v>
      </c>
      <c r="K22" s="171" t="s">
        <v>125</v>
      </c>
      <c r="L22" s="171" t="s">
        <v>125</v>
      </c>
      <c r="M22" s="178">
        <v>0</v>
      </c>
      <c r="N22" s="176"/>
      <c r="O22" s="176"/>
      <c r="P22" s="179">
        <v>-1244.57</v>
      </c>
    </row>
    <row r="23" spans="1:16" ht="19.5" customHeight="1">
      <c r="A23" s="171" t="s">
        <v>352</v>
      </c>
      <c r="B23" s="175">
        <v>46023</v>
      </c>
      <c r="C23" s="171" t="s">
        <v>151</v>
      </c>
      <c r="D23" s="171" t="s">
        <v>152</v>
      </c>
      <c r="E23" s="171" t="s">
        <v>125</v>
      </c>
      <c r="F23" s="171" t="s">
        <v>125</v>
      </c>
      <c r="G23" s="171" t="s">
        <v>125</v>
      </c>
      <c r="H23" s="176">
        <v>0</v>
      </c>
      <c r="I23" s="177">
        <v>0</v>
      </c>
      <c r="J23" s="175">
        <v>46023</v>
      </c>
      <c r="K23" s="171" t="s">
        <v>125</v>
      </c>
      <c r="L23" s="171" t="s">
        <v>125</v>
      </c>
      <c r="M23" s="178">
        <v>0</v>
      </c>
      <c r="N23" s="176"/>
      <c r="O23" s="176"/>
      <c r="P23" s="179">
        <v>-564.88</v>
      </c>
    </row>
    <row r="24" spans="1:16" ht="19.5" customHeight="1">
      <c r="A24" s="171" t="s">
        <v>155</v>
      </c>
      <c r="B24" s="175">
        <v>46023</v>
      </c>
      <c r="C24" s="171" t="s">
        <v>151</v>
      </c>
      <c r="D24" s="171" t="s">
        <v>156</v>
      </c>
      <c r="E24" s="171" t="s">
        <v>125</v>
      </c>
      <c r="F24" s="171" t="s">
        <v>125</v>
      </c>
      <c r="G24" s="171" t="s">
        <v>125</v>
      </c>
      <c r="H24" s="176">
        <v>0</v>
      </c>
      <c r="I24" s="177">
        <v>0</v>
      </c>
      <c r="J24" s="175">
        <v>46023</v>
      </c>
      <c r="K24" s="171" t="s">
        <v>125</v>
      </c>
      <c r="L24" s="171" t="s">
        <v>125</v>
      </c>
      <c r="M24" s="178">
        <v>0</v>
      </c>
      <c r="N24" s="176"/>
      <c r="O24" s="176"/>
      <c r="P24" s="179">
        <v>-471.2</v>
      </c>
    </row>
    <row r="25" spans="1:16" ht="19.5" customHeight="1">
      <c r="A25" s="171" t="s">
        <v>353</v>
      </c>
      <c r="B25" s="175">
        <v>46024</v>
      </c>
      <c r="C25" s="171" t="s">
        <v>110</v>
      </c>
      <c r="D25" s="171" t="s">
        <v>24</v>
      </c>
      <c r="E25" s="171" t="s">
        <v>38</v>
      </c>
      <c r="F25" s="171" t="s">
        <v>111</v>
      </c>
      <c r="G25" s="171" t="s">
        <v>112</v>
      </c>
      <c r="H25" s="176">
        <v>1</v>
      </c>
      <c r="I25" s="177">
        <v>0</v>
      </c>
      <c r="J25" s="175">
        <v>46001</v>
      </c>
      <c r="K25" s="171" t="s">
        <v>113</v>
      </c>
      <c r="L25" s="171" t="s">
        <v>114</v>
      </c>
      <c r="M25" s="178">
        <v>0</v>
      </c>
      <c r="N25" s="176"/>
      <c r="O25" s="176">
        <v>41</v>
      </c>
      <c r="P25" s="179">
        <v>-46.77</v>
      </c>
    </row>
    <row r="26" spans="1:16" ht="19.5" customHeight="1">
      <c r="A26" s="171" t="s">
        <v>353</v>
      </c>
      <c r="B26" s="175">
        <v>46024</v>
      </c>
      <c r="C26" s="171" t="s">
        <v>110</v>
      </c>
      <c r="D26" s="171" t="s">
        <v>117</v>
      </c>
      <c r="E26" s="171" t="s">
        <v>38</v>
      </c>
      <c r="F26" s="171" t="s">
        <v>111</v>
      </c>
      <c r="G26" s="171" t="s">
        <v>112</v>
      </c>
      <c r="H26" s="176">
        <v>1</v>
      </c>
      <c r="I26" s="177">
        <v>0</v>
      </c>
      <c r="J26" s="175">
        <v>46001</v>
      </c>
      <c r="K26" s="171" t="s">
        <v>113</v>
      </c>
      <c r="L26" s="171" t="s">
        <v>114</v>
      </c>
      <c r="M26" s="178">
        <v>0</v>
      </c>
      <c r="N26" s="176"/>
      <c r="O26" s="176"/>
      <c r="P26" s="179">
        <v>0</v>
      </c>
    </row>
    <row r="27" spans="1:16" ht="19.5" customHeight="1">
      <c r="A27" s="171" t="s">
        <v>353</v>
      </c>
      <c r="B27" s="175">
        <v>46024</v>
      </c>
      <c r="C27" s="171" t="s">
        <v>110</v>
      </c>
      <c r="D27" s="171" t="s">
        <v>118</v>
      </c>
      <c r="E27" s="171" t="s">
        <v>38</v>
      </c>
      <c r="F27" s="171" t="s">
        <v>111</v>
      </c>
      <c r="G27" s="171" t="s">
        <v>112</v>
      </c>
      <c r="H27" s="176">
        <v>1</v>
      </c>
      <c r="I27" s="177">
        <v>0</v>
      </c>
      <c r="J27" s="175">
        <v>46001</v>
      </c>
      <c r="K27" s="171" t="s">
        <v>113</v>
      </c>
      <c r="L27" s="171" t="s">
        <v>114</v>
      </c>
      <c r="M27" s="178">
        <v>0</v>
      </c>
      <c r="N27" s="176"/>
      <c r="O27" s="176"/>
      <c r="P27" s="179">
        <v>-46.77</v>
      </c>
    </row>
    <row r="28" spans="1:16" ht="19.5" customHeight="1">
      <c r="A28" s="171" t="s">
        <v>353</v>
      </c>
      <c r="B28" s="175">
        <v>46024</v>
      </c>
      <c r="C28" s="171" t="s">
        <v>115</v>
      </c>
      <c r="D28" s="171" t="s">
        <v>119</v>
      </c>
      <c r="E28" s="171" t="s">
        <v>38</v>
      </c>
      <c r="F28" s="171" t="s">
        <v>111</v>
      </c>
      <c r="G28" s="171" t="s">
        <v>112</v>
      </c>
      <c r="H28" s="176">
        <v>1</v>
      </c>
      <c r="I28" s="177">
        <v>0</v>
      </c>
      <c r="J28" s="175">
        <v>46001</v>
      </c>
      <c r="K28" s="171" t="s">
        <v>113</v>
      </c>
      <c r="L28" s="171" t="s">
        <v>114</v>
      </c>
      <c r="M28" s="178">
        <v>0</v>
      </c>
      <c r="N28" s="176"/>
      <c r="O28" s="176"/>
      <c r="P28" s="179">
        <v>-15</v>
      </c>
    </row>
    <row r="29" spans="1:16" ht="19.5" customHeight="1">
      <c r="A29" s="171" t="s">
        <v>354</v>
      </c>
      <c r="B29" s="175">
        <v>46024</v>
      </c>
      <c r="C29" s="171" t="s">
        <v>110</v>
      </c>
      <c r="D29" s="171" t="s">
        <v>24</v>
      </c>
      <c r="E29" s="171" t="s">
        <v>38</v>
      </c>
      <c r="F29" s="171" t="s">
        <v>111</v>
      </c>
      <c r="G29" s="171" t="s">
        <v>112</v>
      </c>
      <c r="H29" s="176">
        <v>1</v>
      </c>
      <c r="I29" s="177">
        <v>0</v>
      </c>
      <c r="J29" s="175">
        <v>46015</v>
      </c>
      <c r="K29" s="171" t="s">
        <v>113</v>
      </c>
      <c r="L29" s="171" t="s">
        <v>114</v>
      </c>
      <c r="M29" s="178">
        <v>0</v>
      </c>
      <c r="N29" s="176"/>
      <c r="O29" s="176">
        <v>39</v>
      </c>
      <c r="P29" s="179">
        <v>-46.77</v>
      </c>
    </row>
    <row r="30" spans="1:16" ht="19.5" customHeight="1">
      <c r="A30" s="171" t="s">
        <v>354</v>
      </c>
      <c r="B30" s="175">
        <v>46024</v>
      </c>
      <c r="C30" s="171" t="s">
        <v>115</v>
      </c>
      <c r="D30" s="171" t="s">
        <v>116</v>
      </c>
      <c r="E30" s="171" t="s">
        <v>38</v>
      </c>
      <c r="F30" s="171" t="s">
        <v>111</v>
      </c>
      <c r="G30" s="171" t="s">
        <v>112</v>
      </c>
      <c r="H30" s="176">
        <v>1</v>
      </c>
      <c r="I30" s="177">
        <v>0</v>
      </c>
      <c r="J30" s="175">
        <v>46015</v>
      </c>
      <c r="K30" s="171" t="s">
        <v>113</v>
      </c>
      <c r="L30" s="171" t="s">
        <v>114</v>
      </c>
      <c r="M30" s="178">
        <v>0</v>
      </c>
      <c r="N30" s="176"/>
      <c r="O30" s="176"/>
      <c r="P30" s="179">
        <v>-16.57</v>
      </c>
    </row>
    <row r="31" spans="1:16" ht="19.5" customHeight="1">
      <c r="A31" s="171" t="s">
        <v>354</v>
      </c>
      <c r="B31" s="175">
        <v>46024</v>
      </c>
      <c r="C31" s="171" t="s">
        <v>110</v>
      </c>
      <c r="D31" s="171" t="s">
        <v>117</v>
      </c>
      <c r="E31" s="171" t="s">
        <v>38</v>
      </c>
      <c r="F31" s="171" t="s">
        <v>111</v>
      </c>
      <c r="G31" s="171" t="s">
        <v>112</v>
      </c>
      <c r="H31" s="176">
        <v>1</v>
      </c>
      <c r="I31" s="177">
        <v>0</v>
      </c>
      <c r="J31" s="175">
        <v>46015</v>
      </c>
      <c r="K31" s="171" t="s">
        <v>113</v>
      </c>
      <c r="L31" s="171" t="s">
        <v>114</v>
      </c>
      <c r="M31" s="178">
        <v>0</v>
      </c>
      <c r="N31" s="176"/>
      <c r="O31" s="176"/>
      <c r="P31" s="179">
        <v>0</v>
      </c>
    </row>
    <row r="32" spans="1:16" ht="19.5" customHeight="1">
      <c r="A32" s="171" t="s">
        <v>354</v>
      </c>
      <c r="B32" s="175">
        <v>46024</v>
      </c>
      <c r="C32" s="171" t="s">
        <v>110</v>
      </c>
      <c r="D32" s="171" t="s">
        <v>118</v>
      </c>
      <c r="E32" s="171" t="s">
        <v>38</v>
      </c>
      <c r="F32" s="171" t="s">
        <v>111</v>
      </c>
      <c r="G32" s="171" t="s">
        <v>112</v>
      </c>
      <c r="H32" s="176">
        <v>1</v>
      </c>
      <c r="I32" s="177">
        <v>0</v>
      </c>
      <c r="J32" s="175">
        <v>46015</v>
      </c>
      <c r="K32" s="171" t="s">
        <v>113</v>
      </c>
      <c r="L32" s="171" t="s">
        <v>114</v>
      </c>
      <c r="M32" s="178">
        <v>0</v>
      </c>
      <c r="N32" s="176"/>
      <c r="O32" s="176"/>
      <c r="P32" s="179">
        <v>-46.77</v>
      </c>
    </row>
    <row r="33" spans="1:16" ht="19.5" customHeight="1">
      <c r="A33" s="171" t="s">
        <v>354</v>
      </c>
      <c r="B33" s="175">
        <v>46024</v>
      </c>
      <c r="C33" s="171" t="s">
        <v>115</v>
      </c>
      <c r="D33" s="171" t="s">
        <v>119</v>
      </c>
      <c r="E33" s="171" t="s">
        <v>38</v>
      </c>
      <c r="F33" s="171" t="s">
        <v>111</v>
      </c>
      <c r="G33" s="171" t="s">
        <v>112</v>
      </c>
      <c r="H33" s="176">
        <v>1</v>
      </c>
      <c r="I33" s="177">
        <v>0</v>
      </c>
      <c r="J33" s="175">
        <v>46015</v>
      </c>
      <c r="K33" s="171" t="s">
        <v>113</v>
      </c>
      <c r="L33" s="171" t="s">
        <v>114</v>
      </c>
      <c r="M33" s="178">
        <v>0</v>
      </c>
      <c r="N33" s="176"/>
      <c r="O33" s="176"/>
      <c r="P33" s="179">
        <v>-15</v>
      </c>
    </row>
    <row r="34" spans="1:16" ht="19.5" customHeight="1">
      <c r="A34" s="171" t="s">
        <v>355</v>
      </c>
      <c r="B34" s="175">
        <v>46024</v>
      </c>
      <c r="C34" s="171" t="s">
        <v>110</v>
      </c>
      <c r="D34" s="171" t="s">
        <v>24</v>
      </c>
      <c r="E34" s="171" t="s">
        <v>55</v>
      </c>
      <c r="F34" s="171" t="s">
        <v>356</v>
      </c>
      <c r="G34" s="171" t="s">
        <v>357</v>
      </c>
      <c r="H34" s="176">
        <v>1</v>
      </c>
      <c r="I34" s="177">
        <v>5000</v>
      </c>
      <c r="J34" s="175">
        <v>46008</v>
      </c>
      <c r="K34" s="171" t="s">
        <v>113</v>
      </c>
      <c r="L34" s="171" t="s">
        <v>114</v>
      </c>
      <c r="M34" s="178">
        <v>0.43</v>
      </c>
      <c r="N34" s="176"/>
      <c r="O34" s="176">
        <v>41</v>
      </c>
      <c r="P34" s="179">
        <v>-222.69</v>
      </c>
    </row>
    <row r="35" spans="1:16" ht="19.5" customHeight="1">
      <c r="A35" s="171" t="s">
        <v>355</v>
      </c>
      <c r="B35" s="175">
        <v>46024</v>
      </c>
      <c r="C35" s="171" t="s">
        <v>127</v>
      </c>
      <c r="D35" s="171" t="s">
        <v>128</v>
      </c>
      <c r="E35" s="171" t="s">
        <v>55</v>
      </c>
      <c r="F35" s="171" t="s">
        <v>356</v>
      </c>
      <c r="G35" s="171" t="s">
        <v>357</v>
      </c>
      <c r="H35" s="176">
        <v>1</v>
      </c>
      <c r="I35" s="177">
        <v>5000</v>
      </c>
      <c r="J35" s="175">
        <v>46008</v>
      </c>
      <c r="K35" s="171" t="s">
        <v>113</v>
      </c>
      <c r="L35" s="171" t="s">
        <v>114</v>
      </c>
      <c r="M35" s="178">
        <v>0</v>
      </c>
      <c r="N35" s="176"/>
      <c r="O35" s="176"/>
      <c r="P35" s="179">
        <v>2733.33</v>
      </c>
    </row>
    <row r="36" spans="1:16" ht="19.5" customHeight="1">
      <c r="A36" s="171" t="s">
        <v>355</v>
      </c>
      <c r="B36" s="175">
        <v>46024</v>
      </c>
      <c r="C36" s="171" t="s">
        <v>127</v>
      </c>
      <c r="D36" s="171" t="s">
        <v>129</v>
      </c>
      <c r="E36" s="171" t="s">
        <v>55</v>
      </c>
      <c r="F36" s="171" t="s">
        <v>356</v>
      </c>
      <c r="G36" s="171" t="s">
        <v>357</v>
      </c>
      <c r="H36" s="176">
        <v>1</v>
      </c>
      <c r="I36" s="177">
        <v>5000</v>
      </c>
      <c r="J36" s="175">
        <v>46008</v>
      </c>
      <c r="K36" s="171" t="s">
        <v>113</v>
      </c>
      <c r="L36" s="171" t="s">
        <v>114</v>
      </c>
      <c r="M36" s="178">
        <v>0</v>
      </c>
      <c r="N36" s="176"/>
      <c r="O36" s="176"/>
      <c r="P36" s="179">
        <v>27.33</v>
      </c>
    </row>
    <row r="37" spans="1:16" ht="19.5" customHeight="1">
      <c r="A37" s="171" t="s">
        <v>355</v>
      </c>
      <c r="B37" s="175">
        <v>46024</v>
      </c>
      <c r="C37" s="171" t="s">
        <v>127</v>
      </c>
      <c r="D37" s="171" t="s">
        <v>130</v>
      </c>
      <c r="E37" s="171" t="s">
        <v>55</v>
      </c>
      <c r="F37" s="171" t="s">
        <v>356</v>
      </c>
      <c r="G37" s="171" t="s">
        <v>357</v>
      </c>
      <c r="H37" s="176">
        <v>1</v>
      </c>
      <c r="I37" s="177">
        <v>5000</v>
      </c>
      <c r="J37" s="175">
        <v>46008</v>
      </c>
      <c r="K37" s="171" t="s">
        <v>113</v>
      </c>
      <c r="L37" s="171" t="s">
        <v>114</v>
      </c>
      <c r="M37" s="178">
        <v>0</v>
      </c>
      <c r="N37" s="176"/>
      <c r="O37" s="176"/>
      <c r="P37" s="179">
        <v>2239.34</v>
      </c>
    </row>
    <row r="38" spans="1:16" ht="19.5" customHeight="1">
      <c r="A38" s="171" t="s">
        <v>355</v>
      </c>
      <c r="B38" s="175">
        <v>46024</v>
      </c>
      <c r="C38" s="171" t="s">
        <v>131</v>
      </c>
      <c r="D38" s="171" t="s">
        <v>132</v>
      </c>
      <c r="E38" s="171" t="s">
        <v>55</v>
      </c>
      <c r="F38" s="171" t="s">
        <v>356</v>
      </c>
      <c r="G38" s="171" t="s">
        <v>357</v>
      </c>
      <c r="H38" s="176">
        <v>1</v>
      </c>
      <c r="I38" s="177">
        <v>5000</v>
      </c>
      <c r="J38" s="175">
        <v>46008</v>
      </c>
      <c r="K38" s="171" t="s">
        <v>113</v>
      </c>
      <c r="L38" s="171" t="s">
        <v>114</v>
      </c>
      <c r="M38" s="178">
        <v>0.43</v>
      </c>
      <c r="N38" s="176"/>
      <c r="O38" s="176"/>
      <c r="P38" s="179">
        <v>-2150</v>
      </c>
    </row>
    <row r="39" spans="1:16" ht="19.5" customHeight="1">
      <c r="A39" s="171" t="s">
        <v>358</v>
      </c>
      <c r="B39" s="175">
        <v>46024</v>
      </c>
      <c r="C39" s="171" t="s">
        <v>110</v>
      </c>
      <c r="D39" s="171" t="s">
        <v>24</v>
      </c>
      <c r="E39" s="171" t="s">
        <v>67</v>
      </c>
      <c r="F39" s="171" t="s">
        <v>359</v>
      </c>
      <c r="G39" s="171" t="s">
        <v>177</v>
      </c>
      <c r="H39" s="176">
        <v>1</v>
      </c>
      <c r="I39" s="177">
        <v>4247</v>
      </c>
      <c r="J39" s="175">
        <v>46018</v>
      </c>
      <c r="K39" s="171" t="s">
        <v>113</v>
      </c>
      <c r="L39" s="171" t="s">
        <v>114</v>
      </c>
      <c r="M39" s="178">
        <v>0.43</v>
      </c>
      <c r="N39" s="176"/>
      <c r="O39" s="176">
        <v>39</v>
      </c>
      <c r="P39" s="179">
        <v>-186.2</v>
      </c>
    </row>
    <row r="40" spans="1:16" ht="19.5" customHeight="1">
      <c r="A40" s="171" t="s">
        <v>358</v>
      </c>
      <c r="B40" s="175">
        <v>46024</v>
      </c>
      <c r="C40" s="171" t="s">
        <v>127</v>
      </c>
      <c r="D40" s="171" t="s">
        <v>128</v>
      </c>
      <c r="E40" s="171" t="s">
        <v>67</v>
      </c>
      <c r="F40" s="171" t="s">
        <v>359</v>
      </c>
      <c r="G40" s="171" t="s">
        <v>177</v>
      </c>
      <c r="H40" s="176">
        <v>1</v>
      </c>
      <c r="I40" s="177">
        <v>4247</v>
      </c>
      <c r="J40" s="175">
        <v>46018</v>
      </c>
      <c r="K40" s="171" t="s">
        <v>113</v>
      </c>
      <c r="L40" s="171" t="s">
        <v>114</v>
      </c>
      <c r="M40" s="178">
        <v>0</v>
      </c>
      <c r="N40" s="176"/>
      <c r="O40" s="176"/>
      <c r="P40" s="179">
        <v>2480</v>
      </c>
    </row>
    <row r="41" spans="1:16" ht="19.5" customHeight="1">
      <c r="A41" s="171" t="s">
        <v>358</v>
      </c>
      <c r="B41" s="175">
        <v>46024</v>
      </c>
      <c r="C41" s="171" t="s">
        <v>127</v>
      </c>
      <c r="D41" s="171" t="s">
        <v>129</v>
      </c>
      <c r="E41" s="171" t="s">
        <v>67</v>
      </c>
      <c r="F41" s="171" t="s">
        <v>359</v>
      </c>
      <c r="G41" s="171" t="s">
        <v>177</v>
      </c>
      <c r="H41" s="176">
        <v>1</v>
      </c>
      <c r="I41" s="177">
        <v>4247</v>
      </c>
      <c r="J41" s="175">
        <v>46018</v>
      </c>
      <c r="K41" s="171" t="s">
        <v>113</v>
      </c>
      <c r="L41" s="171" t="s">
        <v>114</v>
      </c>
      <c r="M41" s="178">
        <v>0</v>
      </c>
      <c r="N41" s="176"/>
      <c r="O41" s="176"/>
      <c r="P41" s="179">
        <v>24.8</v>
      </c>
    </row>
    <row r="42" spans="1:16" ht="19.5" customHeight="1">
      <c r="A42" s="171" t="s">
        <v>358</v>
      </c>
      <c r="B42" s="175">
        <v>46024</v>
      </c>
      <c r="C42" s="171" t="s">
        <v>127</v>
      </c>
      <c r="D42" s="171" t="s">
        <v>130</v>
      </c>
      <c r="E42" s="171" t="s">
        <v>67</v>
      </c>
      <c r="F42" s="171" t="s">
        <v>359</v>
      </c>
      <c r="G42" s="171" t="s">
        <v>177</v>
      </c>
      <c r="H42" s="176">
        <v>1</v>
      </c>
      <c r="I42" s="177">
        <v>4247</v>
      </c>
      <c r="J42" s="175">
        <v>46018</v>
      </c>
      <c r="K42" s="171" t="s">
        <v>113</v>
      </c>
      <c r="L42" s="171" t="s">
        <v>114</v>
      </c>
      <c r="M42" s="178">
        <v>0</v>
      </c>
      <c r="N42" s="176"/>
      <c r="O42" s="176"/>
      <c r="P42" s="179">
        <v>1742.2</v>
      </c>
    </row>
    <row r="43" spans="1:16" ht="19.5" customHeight="1">
      <c r="A43" s="171" t="s">
        <v>358</v>
      </c>
      <c r="B43" s="175">
        <v>46024</v>
      </c>
      <c r="C43" s="171" t="s">
        <v>131</v>
      </c>
      <c r="D43" s="171" t="s">
        <v>132</v>
      </c>
      <c r="E43" s="171" t="s">
        <v>67</v>
      </c>
      <c r="F43" s="171" t="s">
        <v>359</v>
      </c>
      <c r="G43" s="171" t="s">
        <v>177</v>
      </c>
      <c r="H43" s="176">
        <v>1</v>
      </c>
      <c r="I43" s="177">
        <v>4247</v>
      </c>
      <c r="J43" s="175">
        <v>46018</v>
      </c>
      <c r="K43" s="171" t="s">
        <v>113</v>
      </c>
      <c r="L43" s="171" t="s">
        <v>114</v>
      </c>
      <c r="M43" s="178">
        <v>0.43</v>
      </c>
      <c r="N43" s="176"/>
      <c r="O43" s="176"/>
      <c r="P43" s="179">
        <v>-1826.21</v>
      </c>
    </row>
    <row r="44" spans="1:16" ht="19.5" customHeight="1">
      <c r="A44" s="171" t="s">
        <v>358</v>
      </c>
      <c r="B44" s="175">
        <v>46024</v>
      </c>
      <c r="C44" s="171" t="s">
        <v>115</v>
      </c>
      <c r="D44" s="171" t="s">
        <v>116</v>
      </c>
      <c r="E44" s="171" t="s">
        <v>67</v>
      </c>
      <c r="F44" s="171" t="s">
        <v>359</v>
      </c>
      <c r="G44" s="171" t="s">
        <v>177</v>
      </c>
      <c r="H44" s="176">
        <v>1</v>
      </c>
      <c r="I44" s="177">
        <v>4247</v>
      </c>
      <c r="J44" s="175">
        <v>46018</v>
      </c>
      <c r="K44" s="171" t="s">
        <v>113</v>
      </c>
      <c r="L44" s="171" t="s">
        <v>114</v>
      </c>
      <c r="M44" s="178">
        <v>0.43</v>
      </c>
      <c r="N44" s="176"/>
      <c r="O44" s="176"/>
      <c r="P44" s="179">
        <v>-14.11</v>
      </c>
    </row>
    <row r="45" spans="1:16" ht="19.5" customHeight="1">
      <c r="A45" s="171" t="s">
        <v>360</v>
      </c>
      <c r="B45" s="175">
        <v>46024</v>
      </c>
      <c r="C45" s="171" t="s">
        <v>110</v>
      </c>
      <c r="D45" s="171" t="s">
        <v>24</v>
      </c>
      <c r="E45" s="171" t="s">
        <v>38</v>
      </c>
      <c r="F45" s="171" t="s">
        <v>111</v>
      </c>
      <c r="G45" s="171" t="s">
        <v>112</v>
      </c>
      <c r="H45" s="176">
        <v>1</v>
      </c>
      <c r="I45" s="177">
        <v>1738</v>
      </c>
      <c r="J45" s="175">
        <v>46007</v>
      </c>
      <c r="K45" s="171" t="s">
        <v>113</v>
      </c>
      <c r="L45" s="171" t="s">
        <v>114</v>
      </c>
      <c r="M45" s="178">
        <v>0.43</v>
      </c>
      <c r="N45" s="176"/>
      <c r="O45" s="176">
        <v>37</v>
      </c>
      <c r="P45" s="179">
        <v>-99.16</v>
      </c>
    </row>
    <row r="46" spans="1:16" ht="19.5" customHeight="1">
      <c r="A46" s="171" t="s">
        <v>360</v>
      </c>
      <c r="B46" s="175">
        <v>46024</v>
      </c>
      <c r="C46" s="171" t="s">
        <v>127</v>
      </c>
      <c r="D46" s="171" t="s">
        <v>128</v>
      </c>
      <c r="E46" s="171" t="s">
        <v>38</v>
      </c>
      <c r="F46" s="171" t="s">
        <v>111</v>
      </c>
      <c r="G46" s="171" t="s">
        <v>112</v>
      </c>
      <c r="H46" s="176">
        <v>1</v>
      </c>
      <c r="I46" s="177">
        <v>1738</v>
      </c>
      <c r="J46" s="175">
        <v>46007</v>
      </c>
      <c r="K46" s="171" t="s">
        <v>113</v>
      </c>
      <c r="L46" s="171" t="s">
        <v>114</v>
      </c>
      <c r="M46" s="178">
        <v>0</v>
      </c>
      <c r="N46" s="176"/>
      <c r="O46" s="176"/>
      <c r="P46" s="179">
        <v>662.55</v>
      </c>
    </row>
    <row r="47" spans="1:16" ht="19.5" customHeight="1">
      <c r="A47" s="171" t="s">
        <v>360</v>
      </c>
      <c r="B47" s="175">
        <v>46024</v>
      </c>
      <c r="C47" s="171" t="s">
        <v>127</v>
      </c>
      <c r="D47" s="171" t="s">
        <v>129</v>
      </c>
      <c r="E47" s="171" t="s">
        <v>38</v>
      </c>
      <c r="F47" s="171" t="s">
        <v>111</v>
      </c>
      <c r="G47" s="171" t="s">
        <v>112</v>
      </c>
      <c r="H47" s="176">
        <v>1</v>
      </c>
      <c r="I47" s="177">
        <v>1738</v>
      </c>
      <c r="J47" s="175">
        <v>46007</v>
      </c>
      <c r="K47" s="171" t="s">
        <v>113</v>
      </c>
      <c r="L47" s="171" t="s">
        <v>114</v>
      </c>
      <c r="M47" s="178">
        <v>0</v>
      </c>
      <c r="N47" s="176"/>
      <c r="O47" s="176"/>
      <c r="P47" s="179">
        <v>6.63</v>
      </c>
    </row>
    <row r="48" spans="1:16" ht="19.5" customHeight="1">
      <c r="A48" s="171" t="s">
        <v>360</v>
      </c>
      <c r="B48" s="175">
        <v>46024</v>
      </c>
      <c r="C48" s="171" t="s">
        <v>127</v>
      </c>
      <c r="D48" s="171" t="s">
        <v>130</v>
      </c>
      <c r="E48" s="171" t="s">
        <v>38</v>
      </c>
      <c r="F48" s="171" t="s">
        <v>111</v>
      </c>
      <c r="G48" s="171" t="s">
        <v>112</v>
      </c>
      <c r="H48" s="176">
        <v>1</v>
      </c>
      <c r="I48" s="177">
        <v>1738</v>
      </c>
      <c r="J48" s="175">
        <v>46007</v>
      </c>
      <c r="K48" s="171" t="s">
        <v>113</v>
      </c>
      <c r="L48" s="171" t="s">
        <v>114</v>
      </c>
      <c r="M48" s="178">
        <v>0</v>
      </c>
      <c r="N48" s="176"/>
      <c r="O48" s="176"/>
      <c r="P48" s="179">
        <v>1068.82</v>
      </c>
    </row>
    <row r="49" spans="1:16" ht="19.5" customHeight="1">
      <c r="A49" s="171" t="s">
        <v>360</v>
      </c>
      <c r="B49" s="175">
        <v>46024</v>
      </c>
      <c r="C49" s="171" t="s">
        <v>131</v>
      </c>
      <c r="D49" s="171" t="s">
        <v>132</v>
      </c>
      <c r="E49" s="171" t="s">
        <v>38</v>
      </c>
      <c r="F49" s="171" t="s">
        <v>111</v>
      </c>
      <c r="G49" s="171" t="s">
        <v>112</v>
      </c>
      <c r="H49" s="176">
        <v>1</v>
      </c>
      <c r="I49" s="177">
        <v>1738</v>
      </c>
      <c r="J49" s="175">
        <v>46007</v>
      </c>
      <c r="K49" s="171" t="s">
        <v>113</v>
      </c>
      <c r="L49" s="171" t="s">
        <v>114</v>
      </c>
      <c r="M49" s="178">
        <v>0.43</v>
      </c>
      <c r="N49" s="176"/>
      <c r="O49" s="176"/>
      <c r="P49" s="179">
        <v>-747.34</v>
      </c>
    </row>
    <row r="50" spans="1:16" ht="19.5" customHeight="1">
      <c r="A50" s="171" t="s">
        <v>360</v>
      </c>
      <c r="B50" s="175">
        <v>46024</v>
      </c>
      <c r="C50" s="171" t="s">
        <v>115</v>
      </c>
      <c r="D50" s="171" t="s">
        <v>116</v>
      </c>
      <c r="E50" s="171" t="s">
        <v>38</v>
      </c>
      <c r="F50" s="171" t="s">
        <v>111</v>
      </c>
      <c r="G50" s="171" t="s">
        <v>112</v>
      </c>
      <c r="H50" s="176">
        <v>1</v>
      </c>
      <c r="I50" s="177">
        <v>1738</v>
      </c>
      <c r="J50" s="175">
        <v>46007</v>
      </c>
      <c r="K50" s="171" t="s">
        <v>113</v>
      </c>
      <c r="L50" s="171" t="s">
        <v>114</v>
      </c>
      <c r="M50" s="178">
        <v>0.43</v>
      </c>
      <c r="N50" s="176"/>
      <c r="O50" s="176"/>
      <c r="P50" s="179">
        <v>-9.9</v>
      </c>
    </row>
    <row r="51" spans="1:16" ht="19.5" customHeight="1">
      <c r="A51" s="171" t="s">
        <v>358</v>
      </c>
      <c r="B51" s="175">
        <v>46024</v>
      </c>
      <c r="C51" s="171" t="s">
        <v>115</v>
      </c>
      <c r="D51" s="171" t="s">
        <v>135</v>
      </c>
      <c r="E51" s="171" t="s">
        <v>67</v>
      </c>
      <c r="F51" s="171" t="s">
        <v>359</v>
      </c>
      <c r="G51" s="171" t="s">
        <v>177</v>
      </c>
      <c r="H51" s="176">
        <v>1</v>
      </c>
      <c r="I51" s="177">
        <v>0</v>
      </c>
      <c r="J51" s="175">
        <v>46018</v>
      </c>
      <c r="K51" s="171" t="s">
        <v>125</v>
      </c>
      <c r="L51" s="171" t="s">
        <v>125</v>
      </c>
      <c r="M51" s="178">
        <v>0</v>
      </c>
      <c r="N51" s="176"/>
      <c r="O51" s="176"/>
      <c r="P51" s="179">
        <v>-47.12</v>
      </c>
    </row>
    <row r="52" spans="1:16" ht="19.5" customHeight="1">
      <c r="A52" s="171" t="s">
        <v>361</v>
      </c>
      <c r="B52" s="175">
        <v>46024</v>
      </c>
      <c r="C52" s="171" t="s">
        <v>115</v>
      </c>
      <c r="D52" s="171" t="s">
        <v>135</v>
      </c>
      <c r="E52" s="171" t="s">
        <v>41</v>
      </c>
      <c r="F52" s="171" t="s">
        <v>138</v>
      </c>
      <c r="G52" s="171" t="s">
        <v>112</v>
      </c>
      <c r="H52" s="176">
        <v>1</v>
      </c>
      <c r="I52" s="177">
        <v>0</v>
      </c>
      <c r="J52" s="175">
        <v>46024</v>
      </c>
      <c r="K52" s="171" t="s">
        <v>125</v>
      </c>
      <c r="L52" s="171" t="s">
        <v>125</v>
      </c>
      <c r="M52" s="178">
        <v>0</v>
      </c>
      <c r="N52" s="176"/>
      <c r="O52" s="176"/>
      <c r="P52" s="179">
        <v>-8.67</v>
      </c>
    </row>
    <row r="53" spans="1:16" ht="19.5" customHeight="1">
      <c r="A53" s="171" t="s">
        <v>362</v>
      </c>
      <c r="B53" s="175">
        <v>46024</v>
      </c>
      <c r="C53" s="171" t="s">
        <v>110</v>
      </c>
      <c r="D53" s="171" t="s">
        <v>24</v>
      </c>
      <c r="E53" s="171" t="s">
        <v>38</v>
      </c>
      <c r="F53" s="171" t="s">
        <v>111</v>
      </c>
      <c r="G53" s="171" t="s">
        <v>112</v>
      </c>
      <c r="H53" s="176">
        <v>1</v>
      </c>
      <c r="I53" s="177">
        <v>1704</v>
      </c>
      <c r="J53" s="175">
        <v>46018</v>
      </c>
      <c r="K53" s="171" t="s">
        <v>113</v>
      </c>
      <c r="L53" s="171" t="s">
        <v>114</v>
      </c>
      <c r="M53" s="178">
        <v>0.43</v>
      </c>
      <c r="N53" s="176"/>
      <c r="O53" s="176">
        <v>39</v>
      </c>
      <c r="P53" s="179">
        <v>-110.12</v>
      </c>
    </row>
    <row r="54" spans="1:16" ht="19.5" customHeight="1">
      <c r="A54" s="171" t="s">
        <v>362</v>
      </c>
      <c r="B54" s="175">
        <v>46024</v>
      </c>
      <c r="C54" s="171" t="s">
        <v>127</v>
      </c>
      <c r="D54" s="171" t="s">
        <v>128</v>
      </c>
      <c r="E54" s="171" t="s">
        <v>38</v>
      </c>
      <c r="F54" s="171" t="s">
        <v>111</v>
      </c>
      <c r="G54" s="171" t="s">
        <v>112</v>
      </c>
      <c r="H54" s="176">
        <v>1</v>
      </c>
      <c r="I54" s="177">
        <v>1704</v>
      </c>
      <c r="J54" s="175">
        <v>46018</v>
      </c>
      <c r="K54" s="171" t="s">
        <v>113</v>
      </c>
      <c r="L54" s="171" t="s">
        <v>114</v>
      </c>
      <c r="M54" s="178">
        <v>0</v>
      </c>
      <c r="N54" s="176"/>
      <c r="O54" s="176"/>
      <c r="P54" s="179">
        <v>648.29</v>
      </c>
    </row>
    <row r="55" spans="1:16" ht="19.5" customHeight="1">
      <c r="A55" s="171" t="s">
        <v>362</v>
      </c>
      <c r="B55" s="175">
        <v>46024</v>
      </c>
      <c r="C55" s="171" t="s">
        <v>127</v>
      </c>
      <c r="D55" s="171" t="s">
        <v>129</v>
      </c>
      <c r="E55" s="171" t="s">
        <v>38</v>
      </c>
      <c r="F55" s="171" t="s">
        <v>111</v>
      </c>
      <c r="G55" s="171" t="s">
        <v>112</v>
      </c>
      <c r="H55" s="176">
        <v>1</v>
      </c>
      <c r="I55" s="177">
        <v>1704</v>
      </c>
      <c r="J55" s="175">
        <v>46018</v>
      </c>
      <c r="K55" s="171" t="s">
        <v>113</v>
      </c>
      <c r="L55" s="171" t="s">
        <v>114</v>
      </c>
      <c r="M55" s="178">
        <v>0</v>
      </c>
      <c r="N55" s="176"/>
      <c r="O55" s="176"/>
      <c r="P55" s="179">
        <v>0</v>
      </c>
    </row>
    <row r="56" spans="1:16" ht="19.5" customHeight="1">
      <c r="A56" s="171" t="s">
        <v>362</v>
      </c>
      <c r="B56" s="175">
        <v>46024</v>
      </c>
      <c r="C56" s="171" t="s">
        <v>127</v>
      </c>
      <c r="D56" s="171" t="s">
        <v>130</v>
      </c>
      <c r="E56" s="171" t="s">
        <v>38</v>
      </c>
      <c r="F56" s="171" t="s">
        <v>111</v>
      </c>
      <c r="G56" s="171" t="s">
        <v>112</v>
      </c>
      <c r="H56" s="176">
        <v>1</v>
      </c>
      <c r="I56" s="177">
        <v>1704</v>
      </c>
      <c r="J56" s="175">
        <v>46018</v>
      </c>
      <c r="K56" s="171" t="s">
        <v>113</v>
      </c>
      <c r="L56" s="171" t="s">
        <v>114</v>
      </c>
      <c r="M56" s="178">
        <v>0</v>
      </c>
      <c r="N56" s="176"/>
      <c r="O56" s="176"/>
      <c r="P56" s="179">
        <v>1055.71</v>
      </c>
    </row>
    <row r="57" spans="1:16" ht="19.5" customHeight="1">
      <c r="A57" s="171" t="s">
        <v>362</v>
      </c>
      <c r="B57" s="175">
        <v>46024</v>
      </c>
      <c r="C57" s="171" t="s">
        <v>131</v>
      </c>
      <c r="D57" s="171" t="s">
        <v>132</v>
      </c>
      <c r="E57" s="171" t="s">
        <v>38</v>
      </c>
      <c r="F57" s="171" t="s">
        <v>111</v>
      </c>
      <c r="G57" s="171" t="s">
        <v>112</v>
      </c>
      <c r="H57" s="176">
        <v>1</v>
      </c>
      <c r="I57" s="177">
        <v>1704</v>
      </c>
      <c r="J57" s="175">
        <v>46018</v>
      </c>
      <c r="K57" s="171" t="s">
        <v>113</v>
      </c>
      <c r="L57" s="171" t="s">
        <v>114</v>
      </c>
      <c r="M57" s="178">
        <v>0.43</v>
      </c>
      <c r="N57" s="176"/>
      <c r="O57" s="176"/>
      <c r="P57" s="179">
        <v>-732.72</v>
      </c>
    </row>
    <row r="58" spans="1:16" ht="19.5" customHeight="1">
      <c r="A58" s="171" t="s">
        <v>362</v>
      </c>
      <c r="B58" s="175">
        <v>46024</v>
      </c>
      <c r="C58" s="171" t="s">
        <v>115</v>
      </c>
      <c r="D58" s="171" t="s">
        <v>116</v>
      </c>
      <c r="E58" s="171" t="s">
        <v>38</v>
      </c>
      <c r="F58" s="171" t="s">
        <v>111</v>
      </c>
      <c r="G58" s="171" t="s">
        <v>112</v>
      </c>
      <c r="H58" s="176">
        <v>1</v>
      </c>
      <c r="I58" s="177">
        <v>1704</v>
      </c>
      <c r="J58" s="175">
        <v>46018</v>
      </c>
      <c r="K58" s="171" t="s">
        <v>113</v>
      </c>
      <c r="L58" s="171" t="s">
        <v>114</v>
      </c>
      <c r="M58" s="178">
        <v>0.43</v>
      </c>
      <c r="N58" s="176"/>
      <c r="O58" s="176"/>
      <c r="P58" s="179">
        <v>-7.85</v>
      </c>
    </row>
    <row r="59" spans="1:16" ht="19.5" customHeight="1">
      <c r="A59" s="171" t="s">
        <v>363</v>
      </c>
      <c r="B59" s="175">
        <v>46024</v>
      </c>
      <c r="C59" s="171" t="s">
        <v>110</v>
      </c>
      <c r="D59" s="171" t="s">
        <v>24</v>
      </c>
      <c r="E59" s="171" t="s">
        <v>41</v>
      </c>
      <c r="F59" s="171" t="s">
        <v>138</v>
      </c>
      <c r="G59" s="171" t="s">
        <v>112</v>
      </c>
      <c r="H59" s="176">
        <v>1</v>
      </c>
      <c r="I59" s="177">
        <v>1687</v>
      </c>
      <c r="J59" s="175">
        <v>46013</v>
      </c>
      <c r="K59" s="171" t="s">
        <v>113</v>
      </c>
      <c r="L59" s="171" t="s">
        <v>114</v>
      </c>
      <c r="M59" s="178">
        <v>0.43</v>
      </c>
      <c r="N59" s="176"/>
      <c r="O59" s="176">
        <v>42</v>
      </c>
      <c r="P59" s="179">
        <v>-121.51</v>
      </c>
    </row>
    <row r="60" spans="1:16" ht="19.5" customHeight="1">
      <c r="A60" s="171" t="s">
        <v>363</v>
      </c>
      <c r="B60" s="175">
        <v>46024</v>
      </c>
      <c r="C60" s="171" t="s">
        <v>127</v>
      </c>
      <c r="D60" s="171" t="s">
        <v>128</v>
      </c>
      <c r="E60" s="171" t="s">
        <v>41</v>
      </c>
      <c r="F60" s="171" t="s">
        <v>138</v>
      </c>
      <c r="G60" s="171" t="s">
        <v>112</v>
      </c>
      <c r="H60" s="176">
        <v>1</v>
      </c>
      <c r="I60" s="177">
        <v>1687</v>
      </c>
      <c r="J60" s="175">
        <v>46013</v>
      </c>
      <c r="K60" s="171" t="s">
        <v>113</v>
      </c>
      <c r="L60" s="171" t="s">
        <v>114</v>
      </c>
      <c r="M60" s="178">
        <v>0</v>
      </c>
      <c r="N60" s="176"/>
      <c r="O60" s="176"/>
      <c r="P60" s="179">
        <v>580</v>
      </c>
    </row>
    <row r="61" spans="1:16" ht="19.5" customHeight="1">
      <c r="A61" s="171" t="s">
        <v>363</v>
      </c>
      <c r="B61" s="175">
        <v>46024</v>
      </c>
      <c r="C61" s="171" t="s">
        <v>127</v>
      </c>
      <c r="D61" s="171" t="s">
        <v>129</v>
      </c>
      <c r="E61" s="171" t="s">
        <v>41</v>
      </c>
      <c r="F61" s="171" t="s">
        <v>138</v>
      </c>
      <c r="G61" s="171" t="s">
        <v>112</v>
      </c>
      <c r="H61" s="176">
        <v>1</v>
      </c>
      <c r="I61" s="177">
        <v>1687</v>
      </c>
      <c r="J61" s="175">
        <v>46013</v>
      </c>
      <c r="K61" s="171" t="s">
        <v>113</v>
      </c>
      <c r="L61" s="171" t="s">
        <v>114</v>
      </c>
      <c r="M61" s="178">
        <v>0</v>
      </c>
      <c r="N61" s="176"/>
      <c r="O61" s="176"/>
      <c r="P61" s="179">
        <v>5.8</v>
      </c>
    </row>
    <row r="62" spans="1:16" ht="19.5" customHeight="1">
      <c r="A62" s="171" t="s">
        <v>363</v>
      </c>
      <c r="B62" s="175">
        <v>46024</v>
      </c>
      <c r="C62" s="171" t="s">
        <v>127</v>
      </c>
      <c r="D62" s="171" t="s">
        <v>130</v>
      </c>
      <c r="E62" s="171" t="s">
        <v>41</v>
      </c>
      <c r="F62" s="171" t="s">
        <v>138</v>
      </c>
      <c r="G62" s="171" t="s">
        <v>112</v>
      </c>
      <c r="H62" s="176">
        <v>1</v>
      </c>
      <c r="I62" s="177">
        <v>1687</v>
      </c>
      <c r="J62" s="175">
        <v>46013</v>
      </c>
      <c r="K62" s="171" t="s">
        <v>113</v>
      </c>
      <c r="L62" s="171" t="s">
        <v>114</v>
      </c>
      <c r="M62" s="178">
        <v>0</v>
      </c>
      <c r="N62" s="176"/>
      <c r="O62" s="176"/>
      <c r="P62" s="179">
        <v>1101.2</v>
      </c>
    </row>
    <row r="63" spans="1:16" ht="19.5" customHeight="1">
      <c r="A63" s="171" t="s">
        <v>363</v>
      </c>
      <c r="B63" s="175">
        <v>46024</v>
      </c>
      <c r="C63" s="171" t="s">
        <v>131</v>
      </c>
      <c r="D63" s="171" t="s">
        <v>132</v>
      </c>
      <c r="E63" s="171" t="s">
        <v>41</v>
      </c>
      <c r="F63" s="171" t="s">
        <v>138</v>
      </c>
      <c r="G63" s="171" t="s">
        <v>112</v>
      </c>
      <c r="H63" s="176">
        <v>1</v>
      </c>
      <c r="I63" s="177">
        <v>1687</v>
      </c>
      <c r="J63" s="175">
        <v>46013</v>
      </c>
      <c r="K63" s="171" t="s">
        <v>113</v>
      </c>
      <c r="L63" s="171" t="s">
        <v>114</v>
      </c>
      <c r="M63" s="178">
        <v>0.43</v>
      </c>
      <c r="N63" s="176"/>
      <c r="O63" s="176"/>
      <c r="P63" s="179">
        <v>-725.41</v>
      </c>
    </row>
    <row r="64" spans="1:16" ht="19.5" customHeight="1">
      <c r="A64" s="171" t="s">
        <v>363</v>
      </c>
      <c r="B64" s="175">
        <v>46024</v>
      </c>
      <c r="C64" s="171" t="s">
        <v>115</v>
      </c>
      <c r="D64" s="171" t="s">
        <v>116</v>
      </c>
      <c r="E64" s="171" t="s">
        <v>41</v>
      </c>
      <c r="F64" s="171" t="s">
        <v>138</v>
      </c>
      <c r="G64" s="171" t="s">
        <v>112</v>
      </c>
      <c r="H64" s="176">
        <v>1</v>
      </c>
      <c r="I64" s="177">
        <v>1687</v>
      </c>
      <c r="J64" s="175">
        <v>46013</v>
      </c>
      <c r="K64" s="171" t="s">
        <v>113</v>
      </c>
      <c r="L64" s="171" t="s">
        <v>114</v>
      </c>
      <c r="M64" s="178">
        <v>0.43</v>
      </c>
      <c r="N64" s="176"/>
      <c r="O64" s="176"/>
      <c r="P64" s="179">
        <v>-9.2799999999999994</v>
      </c>
    </row>
    <row r="65" spans="1:16" ht="19.5" customHeight="1">
      <c r="A65" s="171" t="s">
        <v>362</v>
      </c>
      <c r="B65" s="175">
        <v>46024</v>
      </c>
      <c r="C65" s="171" t="s">
        <v>115</v>
      </c>
      <c r="D65" s="171" t="s">
        <v>135</v>
      </c>
      <c r="E65" s="171" t="s">
        <v>38</v>
      </c>
      <c r="F65" s="171" t="s">
        <v>111</v>
      </c>
      <c r="G65" s="171" t="s">
        <v>112</v>
      </c>
      <c r="H65" s="176">
        <v>1</v>
      </c>
      <c r="I65" s="177">
        <v>0</v>
      </c>
      <c r="J65" s="175">
        <v>46018</v>
      </c>
      <c r="K65" s="171" t="s">
        <v>125</v>
      </c>
      <c r="L65" s="171" t="s">
        <v>125</v>
      </c>
      <c r="M65" s="178">
        <v>0</v>
      </c>
      <c r="N65" s="176"/>
      <c r="O65" s="176"/>
      <c r="P65" s="179">
        <v>-3.48</v>
      </c>
    </row>
    <row r="66" spans="1:16" ht="19.5" customHeight="1">
      <c r="A66" s="171" t="s">
        <v>363</v>
      </c>
      <c r="B66" s="175">
        <v>46024</v>
      </c>
      <c r="C66" s="171" t="s">
        <v>115</v>
      </c>
      <c r="D66" s="171" t="s">
        <v>135</v>
      </c>
      <c r="E66" s="171" t="s">
        <v>41</v>
      </c>
      <c r="F66" s="171" t="s">
        <v>138</v>
      </c>
      <c r="G66" s="171" t="s">
        <v>112</v>
      </c>
      <c r="H66" s="176">
        <v>1</v>
      </c>
      <c r="I66" s="177">
        <v>0</v>
      </c>
      <c r="J66" s="175">
        <v>46013</v>
      </c>
      <c r="K66" s="171" t="s">
        <v>125</v>
      </c>
      <c r="L66" s="171" t="s">
        <v>125</v>
      </c>
      <c r="M66" s="178">
        <v>0</v>
      </c>
      <c r="N66" s="176"/>
      <c r="O66" s="176"/>
      <c r="P66" s="179">
        <v>-11.02</v>
      </c>
    </row>
    <row r="67" spans="1:16" ht="19.5" customHeight="1">
      <c r="A67" s="171" t="s">
        <v>364</v>
      </c>
      <c r="B67" s="175">
        <v>46024</v>
      </c>
      <c r="C67" s="171" t="s">
        <v>110</v>
      </c>
      <c r="D67" s="171" t="s">
        <v>121</v>
      </c>
      <c r="E67" s="171" t="s">
        <v>41</v>
      </c>
      <c r="F67" s="171" t="s">
        <v>138</v>
      </c>
      <c r="G67" s="171" t="s">
        <v>112</v>
      </c>
      <c r="H67" s="176">
        <v>1</v>
      </c>
      <c r="I67" s="177">
        <v>0</v>
      </c>
      <c r="J67" s="175">
        <v>46009</v>
      </c>
      <c r="K67" s="171" t="s">
        <v>113</v>
      </c>
      <c r="L67" s="171" t="s">
        <v>114</v>
      </c>
      <c r="M67" s="178">
        <v>0</v>
      </c>
      <c r="N67" s="176"/>
      <c r="O67" s="176"/>
      <c r="P67" s="179">
        <v>0</v>
      </c>
    </row>
    <row r="68" spans="1:16" ht="19.5" customHeight="1">
      <c r="A68" s="171" t="s">
        <v>364</v>
      </c>
      <c r="B68" s="175">
        <v>46024</v>
      </c>
      <c r="C68" s="171" t="s">
        <v>110</v>
      </c>
      <c r="D68" s="171" t="s">
        <v>118</v>
      </c>
      <c r="E68" s="171" t="s">
        <v>41</v>
      </c>
      <c r="F68" s="171" t="s">
        <v>138</v>
      </c>
      <c r="G68" s="171" t="s">
        <v>112</v>
      </c>
      <c r="H68" s="176">
        <v>1</v>
      </c>
      <c r="I68" s="177">
        <v>0</v>
      </c>
      <c r="J68" s="175">
        <v>46009</v>
      </c>
      <c r="K68" s="171" t="s">
        <v>113</v>
      </c>
      <c r="L68" s="171" t="s">
        <v>114</v>
      </c>
      <c r="M68" s="178">
        <v>0</v>
      </c>
      <c r="N68" s="176"/>
      <c r="O68" s="176"/>
      <c r="P68" s="179">
        <v>-46.77</v>
      </c>
    </row>
    <row r="69" spans="1:16" ht="19.5" customHeight="1">
      <c r="A69" s="171" t="s">
        <v>364</v>
      </c>
      <c r="B69" s="175">
        <v>46024</v>
      </c>
      <c r="C69" s="171" t="s">
        <v>115</v>
      </c>
      <c r="D69" s="171" t="s">
        <v>119</v>
      </c>
      <c r="E69" s="171" t="s">
        <v>41</v>
      </c>
      <c r="F69" s="171" t="s">
        <v>138</v>
      </c>
      <c r="G69" s="171" t="s">
        <v>112</v>
      </c>
      <c r="H69" s="176">
        <v>1</v>
      </c>
      <c r="I69" s="177">
        <v>0</v>
      </c>
      <c r="J69" s="175">
        <v>46009</v>
      </c>
      <c r="K69" s="171" t="s">
        <v>113</v>
      </c>
      <c r="L69" s="171" t="s">
        <v>114</v>
      </c>
      <c r="M69" s="178">
        <v>0</v>
      </c>
      <c r="N69" s="176"/>
      <c r="O69" s="176"/>
      <c r="P69" s="179">
        <v>-15</v>
      </c>
    </row>
    <row r="70" spans="1:16" ht="19.5" customHeight="1">
      <c r="A70" s="171" t="s">
        <v>365</v>
      </c>
      <c r="B70" s="175">
        <v>46024</v>
      </c>
      <c r="C70" s="171" t="s">
        <v>110</v>
      </c>
      <c r="D70" s="171" t="s">
        <v>24</v>
      </c>
      <c r="E70" s="171" t="s">
        <v>41</v>
      </c>
      <c r="F70" s="171" t="s">
        <v>138</v>
      </c>
      <c r="G70" s="171" t="s">
        <v>112</v>
      </c>
      <c r="H70" s="176">
        <v>1</v>
      </c>
      <c r="I70" s="177">
        <v>1304</v>
      </c>
      <c r="J70" s="175">
        <v>46021</v>
      </c>
      <c r="K70" s="171" t="s">
        <v>113</v>
      </c>
      <c r="L70" s="171" t="s">
        <v>114</v>
      </c>
      <c r="M70" s="178">
        <v>0.43</v>
      </c>
      <c r="N70" s="176"/>
      <c r="O70" s="176">
        <v>38</v>
      </c>
      <c r="P70" s="179">
        <v>-96.04</v>
      </c>
    </row>
    <row r="71" spans="1:16" ht="19.5" customHeight="1">
      <c r="A71" s="171" t="s">
        <v>365</v>
      </c>
      <c r="B71" s="175">
        <v>46024</v>
      </c>
      <c r="C71" s="171" t="s">
        <v>127</v>
      </c>
      <c r="D71" s="171" t="s">
        <v>128</v>
      </c>
      <c r="E71" s="171" t="s">
        <v>41</v>
      </c>
      <c r="F71" s="171" t="s">
        <v>138</v>
      </c>
      <c r="G71" s="171" t="s">
        <v>112</v>
      </c>
      <c r="H71" s="176">
        <v>1</v>
      </c>
      <c r="I71" s="177">
        <v>1304</v>
      </c>
      <c r="J71" s="175">
        <v>46021</v>
      </c>
      <c r="K71" s="171" t="s">
        <v>113</v>
      </c>
      <c r="L71" s="171" t="s">
        <v>114</v>
      </c>
      <c r="M71" s="178">
        <v>0</v>
      </c>
      <c r="N71" s="176"/>
      <c r="O71" s="176"/>
      <c r="P71" s="179">
        <v>456.19</v>
      </c>
    </row>
    <row r="72" spans="1:16" ht="19.5" customHeight="1">
      <c r="A72" s="171" t="s">
        <v>365</v>
      </c>
      <c r="B72" s="175">
        <v>46024</v>
      </c>
      <c r="C72" s="171" t="s">
        <v>127</v>
      </c>
      <c r="D72" s="171" t="s">
        <v>129</v>
      </c>
      <c r="E72" s="171" t="s">
        <v>41</v>
      </c>
      <c r="F72" s="171" t="s">
        <v>138</v>
      </c>
      <c r="G72" s="171" t="s">
        <v>112</v>
      </c>
      <c r="H72" s="176">
        <v>1</v>
      </c>
      <c r="I72" s="177">
        <v>1304</v>
      </c>
      <c r="J72" s="175">
        <v>46021</v>
      </c>
      <c r="K72" s="171" t="s">
        <v>113</v>
      </c>
      <c r="L72" s="171" t="s">
        <v>114</v>
      </c>
      <c r="M72" s="178">
        <v>0</v>
      </c>
      <c r="N72" s="176"/>
      <c r="O72" s="176"/>
      <c r="P72" s="179">
        <v>4.5599999999999996</v>
      </c>
    </row>
    <row r="73" spans="1:16" ht="19.5" customHeight="1">
      <c r="A73" s="171" t="s">
        <v>365</v>
      </c>
      <c r="B73" s="175">
        <v>46024</v>
      </c>
      <c r="C73" s="171" t="s">
        <v>127</v>
      </c>
      <c r="D73" s="171" t="s">
        <v>130</v>
      </c>
      <c r="E73" s="171" t="s">
        <v>41</v>
      </c>
      <c r="F73" s="171" t="s">
        <v>138</v>
      </c>
      <c r="G73" s="171" t="s">
        <v>112</v>
      </c>
      <c r="H73" s="176">
        <v>1</v>
      </c>
      <c r="I73" s="177">
        <v>1304</v>
      </c>
      <c r="J73" s="175">
        <v>46021</v>
      </c>
      <c r="K73" s="171" t="s">
        <v>113</v>
      </c>
      <c r="L73" s="171" t="s">
        <v>114</v>
      </c>
      <c r="M73" s="178">
        <v>0</v>
      </c>
      <c r="N73" s="176"/>
      <c r="O73" s="176"/>
      <c r="P73" s="179">
        <v>843.25</v>
      </c>
    </row>
    <row r="74" spans="1:16" ht="19.5" customHeight="1">
      <c r="A74" s="171" t="s">
        <v>365</v>
      </c>
      <c r="B74" s="175">
        <v>46024</v>
      </c>
      <c r="C74" s="171" t="s">
        <v>131</v>
      </c>
      <c r="D74" s="171" t="s">
        <v>132</v>
      </c>
      <c r="E74" s="171" t="s">
        <v>41</v>
      </c>
      <c r="F74" s="171" t="s">
        <v>138</v>
      </c>
      <c r="G74" s="171" t="s">
        <v>112</v>
      </c>
      <c r="H74" s="176">
        <v>1</v>
      </c>
      <c r="I74" s="177">
        <v>1304</v>
      </c>
      <c r="J74" s="175">
        <v>46021</v>
      </c>
      <c r="K74" s="171" t="s">
        <v>113</v>
      </c>
      <c r="L74" s="171" t="s">
        <v>114</v>
      </c>
      <c r="M74" s="178">
        <v>0.43</v>
      </c>
      <c r="N74" s="176"/>
      <c r="O74" s="176"/>
      <c r="P74" s="179">
        <v>-560.72</v>
      </c>
    </row>
    <row r="75" spans="1:16" ht="19.5" customHeight="1">
      <c r="A75" s="171" t="s">
        <v>365</v>
      </c>
      <c r="B75" s="175">
        <v>46024</v>
      </c>
      <c r="C75" s="171" t="s">
        <v>115</v>
      </c>
      <c r="D75" s="171" t="s">
        <v>116</v>
      </c>
      <c r="E75" s="171" t="s">
        <v>41</v>
      </c>
      <c r="F75" s="171" t="s">
        <v>138</v>
      </c>
      <c r="G75" s="171" t="s">
        <v>112</v>
      </c>
      <c r="H75" s="176">
        <v>1</v>
      </c>
      <c r="I75" s="177">
        <v>1304</v>
      </c>
      <c r="J75" s="175">
        <v>46021</v>
      </c>
      <c r="K75" s="171" t="s">
        <v>113</v>
      </c>
      <c r="L75" s="171" t="s">
        <v>114</v>
      </c>
      <c r="M75" s="178">
        <v>0.43</v>
      </c>
      <c r="N75" s="176"/>
      <c r="O75" s="176"/>
      <c r="P75" s="179">
        <v>-9.33</v>
      </c>
    </row>
    <row r="76" spans="1:16" ht="19.5" customHeight="1">
      <c r="A76" s="171" t="s">
        <v>366</v>
      </c>
      <c r="B76" s="175">
        <v>46024</v>
      </c>
      <c r="C76" s="171" t="s">
        <v>110</v>
      </c>
      <c r="D76" s="171" t="s">
        <v>24</v>
      </c>
      <c r="E76" s="171" t="s">
        <v>41</v>
      </c>
      <c r="F76" s="171" t="s">
        <v>138</v>
      </c>
      <c r="G76" s="171" t="s">
        <v>112</v>
      </c>
      <c r="H76" s="176">
        <v>1</v>
      </c>
      <c r="I76" s="177">
        <v>1304</v>
      </c>
      <c r="J76" s="175">
        <v>46020</v>
      </c>
      <c r="K76" s="171" t="s">
        <v>113</v>
      </c>
      <c r="L76" s="171" t="s">
        <v>114</v>
      </c>
      <c r="M76" s="178">
        <v>0.43</v>
      </c>
      <c r="N76" s="176"/>
      <c r="O76" s="176">
        <v>38</v>
      </c>
      <c r="P76" s="179">
        <v>-96.04</v>
      </c>
    </row>
    <row r="77" spans="1:16" ht="19.5" customHeight="1">
      <c r="A77" s="171" t="s">
        <v>366</v>
      </c>
      <c r="B77" s="175">
        <v>46024</v>
      </c>
      <c r="C77" s="171" t="s">
        <v>127</v>
      </c>
      <c r="D77" s="171" t="s">
        <v>128</v>
      </c>
      <c r="E77" s="171" t="s">
        <v>41</v>
      </c>
      <c r="F77" s="171" t="s">
        <v>138</v>
      </c>
      <c r="G77" s="171" t="s">
        <v>112</v>
      </c>
      <c r="H77" s="176">
        <v>1</v>
      </c>
      <c r="I77" s="177">
        <v>1304</v>
      </c>
      <c r="J77" s="175">
        <v>46020</v>
      </c>
      <c r="K77" s="171" t="s">
        <v>113</v>
      </c>
      <c r="L77" s="171" t="s">
        <v>114</v>
      </c>
      <c r="M77" s="178">
        <v>0</v>
      </c>
      <c r="N77" s="176"/>
      <c r="O77" s="176"/>
      <c r="P77" s="179">
        <v>455.32</v>
      </c>
    </row>
    <row r="78" spans="1:16" ht="19.5" customHeight="1">
      <c r="A78" s="171" t="s">
        <v>366</v>
      </c>
      <c r="B78" s="175">
        <v>46024</v>
      </c>
      <c r="C78" s="171" t="s">
        <v>127</v>
      </c>
      <c r="D78" s="171" t="s">
        <v>129</v>
      </c>
      <c r="E78" s="171" t="s">
        <v>41</v>
      </c>
      <c r="F78" s="171" t="s">
        <v>138</v>
      </c>
      <c r="G78" s="171" t="s">
        <v>112</v>
      </c>
      <c r="H78" s="176">
        <v>1</v>
      </c>
      <c r="I78" s="177">
        <v>1304</v>
      </c>
      <c r="J78" s="175">
        <v>46020</v>
      </c>
      <c r="K78" s="171" t="s">
        <v>113</v>
      </c>
      <c r="L78" s="171" t="s">
        <v>114</v>
      </c>
      <c r="M78" s="178">
        <v>0</v>
      </c>
      <c r="N78" s="176"/>
      <c r="O78" s="176"/>
      <c r="P78" s="179">
        <v>4.55</v>
      </c>
    </row>
    <row r="79" spans="1:16" ht="19.5" customHeight="1">
      <c r="A79" s="171" t="s">
        <v>366</v>
      </c>
      <c r="B79" s="175">
        <v>46024</v>
      </c>
      <c r="C79" s="171" t="s">
        <v>127</v>
      </c>
      <c r="D79" s="171" t="s">
        <v>130</v>
      </c>
      <c r="E79" s="171" t="s">
        <v>41</v>
      </c>
      <c r="F79" s="171" t="s">
        <v>138</v>
      </c>
      <c r="G79" s="171" t="s">
        <v>112</v>
      </c>
      <c r="H79" s="176">
        <v>1</v>
      </c>
      <c r="I79" s="177">
        <v>1304</v>
      </c>
      <c r="J79" s="175">
        <v>46020</v>
      </c>
      <c r="K79" s="171" t="s">
        <v>113</v>
      </c>
      <c r="L79" s="171" t="s">
        <v>114</v>
      </c>
      <c r="M79" s="178">
        <v>0</v>
      </c>
      <c r="N79" s="176"/>
      <c r="O79" s="176"/>
      <c r="P79" s="179">
        <v>844.13</v>
      </c>
    </row>
    <row r="80" spans="1:16" ht="19.5" customHeight="1">
      <c r="A80" s="171" t="s">
        <v>366</v>
      </c>
      <c r="B80" s="175">
        <v>46024</v>
      </c>
      <c r="C80" s="171" t="s">
        <v>131</v>
      </c>
      <c r="D80" s="171" t="s">
        <v>132</v>
      </c>
      <c r="E80" s="171" t="s">
        <v>41</v>
      </c>
      <c r="F80" s="171" t="s">
        <v>138</v>
      </c>
      <c r="G80" s="171" t="s">
        <v>112</v>
      </c>
      <c r="H80" s="176">
        <v>1</v>
      </c>
      <c r="I80" s="177">
        <v>1304</v>
      </c>
      <c r="J80" s="175">
        <v>46020</v>
      </c>
      <c r="K80" s="171" t="s">
        <v>113</v>
      </c>
      <c r="L80" s="171" t="s">
        <v>114</v>
      </c>
      <c r="M80" s="178">
        <v>0.43</v>
      </c>
      <c r="N80" s="176"/>
      <c r="O80" s="176"/>
      <c r="P80" s="179">
        <v>-560.72</v>
      </c>
    </row>
    <row r="81" spans="1:16" ht="19.5" customHeight="1">
      <c r="A81" s="171" t="s">
        <v>366</v>
      </c>
      <c r="B81" s="175">
        <v>46024</v>
      </c>
      <c r="C81" s="171" t="s">
        <v>115</v>
      </c>
      <c r="D81" s="171" t="s">
        <v>116</v>
      </c>
      <c r="E81" s="171" t="s">
        <v>41</v>
      </c>
      <c r="F81" s="171" t="s">
        <v>138</v>
      </c>
      <c r="G81" s="171" t="s">
        <v>112</v>
      </c>
      <c r="H81" s="176">
        <v>1</v>
      </c>
      <c r="I81" s="177">
        <v>1304</v>
      </c>
      <c r="J81" s="175">
        <v>46020</v>
      </c>
      <c r="K81" s="171" t="s">
        <v>113</v>
      </c>
      <c r="L81" s="171" t="s">
        <v>114</v>
      </c>
      <c r="M81" s="178">
        <v>0.43</v>
      </c>
      <c r="N81" s="176"/>
      <c r="O81" s="176"/>
      <c r="P81" s="179">
        <v>-7.37</v>
      </c>
    </row>
    <row r="82" spans="1:16" ht="19.5" customHeight="1">
      <c r="A82" s="171" t="s">
        <v>366</v>
      </c>
      <c r="B82" s="175">
        <v>46024</v>
      </c>
      <c r="C82" s="171" t="s">
        <v>115</v>
      </c>
      <c r="D82" s="171" t="s">
        <v>135</v>
      </c>
      <c r="E82" s="171" t="s">
        <v>41</v>
      </c>
      <c r="F82" s="171" t="s">
        <v>138</v>
      </c>
      <c r="G82" s="171" t="s">
        <v>112</v>
      </c>
      <c r="H82" s="176">
        <v>1</v>
      </c>
      <c r="I82" s="177">
        <v>0</v>
      </c>
      <c r="J82" s="175">
        <v>46020</v>
      </c>
      <c r="K82" s="171" t="s">
        <v>125</v>
      </c>
      <c r="L82" s="171" t="s">
        <v>125</v>
      </c>
      <c r="M82" s="178">
        <v>0</v>
      </c>
      <c r="N82" s="176"/>
      <c r="O82" s="176"/>
      <c r="P82" s="179">
        <v>-8.65</v>
      </c>
    </row>
    <row r="83" spans="1:16" ht="19.5" customHeight="1">
      <c r="A83" s="171" t="s">
        <v>367</v>
      </c>
      <c r="B83" s="175">
        <v>46024</v>
      </c>
      <c r="C83" s="171" t="s">
        <v>110</v>
      </c>
      <c r="D83" s="171" t="s">
        <v>24</v>
      </c>
      <c r="E83" s="171" t="s">
        <v>38</v>
      </c>
      <c r="F83" s="171" t="s">
        <v>111</v>
      </c>
      <c r="G83" s="171" t="s">
        <v>112</v>
      </c>
      <c r="H83" s="176">
        <v>1</v>
      </c>
      <c r="I83" s="177">
        <v>0</v>
      </c>
      <c r="J83" s="175">
        <v>46007</v>
      </c>
      <c r="K83" s="171" t="s">
        <v>113</v>
      </c>
      <c r="L83" s="171" t="s">
        <v>114</v>
      </c>
      <c r="M83" s="178">
        <v>0</v>
      </c>
      <c r="N83" s="176"/>
      <c r="O83" s="176">
        <v>37</v>
      </c>
      <c r="P83" s="179">
        <v>-46.77</v>
      </c>
    </row>
    <row r="84" spans="1:16" ht="19.5" customHeight="1">
      <c r="A84" s="171" t="s">
        <v>367</v>
      </c>
      <c r="B84" s="175">
        <v>46024</v>
      </c>
      <c r="C84" s="171" t="s">
        <v>115</v>
      </c>
      <c r="D84" s="171" t="s">
        <v>116</v>
      </c>
      <c r="E84" s="171" t="s">
        <v>38</v>
      </c>
      <c r="F84" s="171" t="s">
        <v>111</v>
      </c>
      <c r="G84" s="171" t="s">
        <v>112</v>
      </c>
      <c r="H84" s="176">
        <v>1</v>
      </c>
      <c r="I84" s="177">
        <v>0</v>
      </c>
      <c r="J84" s="175">
        <v>46007</v>
      </c>
      <c r="K84" s="171" t="s">
        <v>113</v>
      </c>
      <c r="L84" s="171" t="s">
        <v>114</v>
      </c>
      <c r="M84" s="178">
        <v>0</v>
      </c>
      <c r="N84" s="176"/>
      <c r="O84" s="176"/>
      <c r="P84" s="179">
        <v>-17.88</v>
      </c>
    </row>
    <row r="85" spans="1:16" ht="19.5" customHeight="1">
      <c r="A85" s="171" t="s">
        <v>367</v>
      </c>
      <c r="B85" s="175">
        <v>46024</v>
      </c>
      <c r="C85" s="171" t="s">
        <v>110</v>
      </c>
      <c r="D85" s="171" t="s">
        <v>117</v>
      </c>
      <c r="E85" s="171" t="s">
        <v>38</v>
      </c>
      <c r="F85" s="171" t="s">
        <v>111</v>
      </c>
      <c r="G85" s="171" t="s">
        <v>112</v>
      </c>
      <c r="H85" s="176">
        <v>1</v>
      </c>
      <c r="I85" s="177">
        <v>0</v>
      </c>
      <c r="J85" s="175">
        <v>46007</v>
      </c>
      <c r="K85" s="171" t="s">
        <v>113</v>
      </c>
      <c r="L85" s="171" t="s">
        <v>114</v>
      </c>
      <c r="M85" s="178">
        <v>0</v>
      </c>
      <c r="N85" s="176"/>
      <c r="O85" s="176"/>
      <c r="P85" s="179">
        <v>0</v>
      </c>
    </row>
    <row r="86" spans="1:16" ht="19.5" customHeight="1">
      <c r="A86" s="171" t="s">
        <v>367</v>
      </c>
      <c r="B86" s="175">
        <v>46024</v>
      </c>
      <c r="C86" s="171" t="s">
        <v>110</v>
      </c>
      <c r="D86" s="171" t="s">
        <v>118</v>
      </c>
      <c r="E86" s="171" t="s">
        <v>38</v>
      </c>
      <c r="F86" s="171" t="s">
        <v>111</v>
      </c>
      <c r="G86" s="171" t="s">
        <v>112</v>
      </c>
      <c r="H86" s="176">
        <v>1</v>
      </c>
      <c r="I86" s="177">
        <v>0</v>
      </c>
      <c r="J86" s="175">
        <v>46007</v>
      </c>
      <c r="K86" s="171" t="s">
        <v>113</v>
      </c>
      <c r="L86" s="171" t="s">
        <v>114</v>
      </c>
      <c r="M86" s="178">
        <v>0</v>
      </c>
      <c r="N86" s="176"/>
      <c r="O86" s="176"/>
      <c r="P86" s="179">
        <v>-46.77</v>
      </c>
    </row>
    <row r="87" spans="1:16" ht="19.5" customHeight="1">
      <c r="A87" s="171" t="s">
        <v>367</v>
      </c>
      <c r="B87" s="175">
        <v>46024</v>
      </c>
      <c r="C87" s="171" t="s">
        <v>115</v>
      </c>
      <c r="D87" s="171" t="s">
        <v>119</v>
      </c>
      <c r="E87" s="171" t="s">
        <v>38</v>
      </c>
      <c r="F87" s="171" t="s">
        <v>111</v>
      </c>
      <c r="G87" s="171" t="s">
        <v>112</v>
      </c>
      <c r="H87" s="176">
        <v>1</v>
      </c>
      <c r="I87" s="177">
        <v>0</v>
      </c>
      <c r="J87" s="175">
        <v>46007</v>
      </c>
      <c r="K87" s="171" t="s">
        <v>113</v>
      </c>
      <c r="L87" s="171" t="s">
        <v>114</v>
      </c>
      <c r="M87" s="178">
        <v>0</v>
      </c>
      <c r="N87" s="176"/>
      <c r="O87" s="176"/>
      <c r="P87" s="179">
        <v>-15</v>
      </c>
    </row>
    <row r="88" spans="1:16" ht="19.5" customHeight="1">
      <c r="A88" s="171" t="s">
        <v>368</v>
      </c>
      <c r="B88" s="175">
        <v>46024</v>
      </c>
      <c r="C88" s="171" t="s">
        <v>115</v>
      </c>
      <c r="D88" s="171" t="s">
        <v>135</v>
      </c>
      <c r="E88" s="171" t="s">
        <v>38</v>
      </c>
      <c r="F88" s="171" t="s">
        <v>111</v>
      </c>
      <c r="G88" s="171" t="s">
        <v>112</v>
      </c>
      <c r="H88" s="176">
        <v>1</v>
      </c>
      <c r="I88" s="177">
        <v>0</v>
      </c>
      <c r="J88" s="175">
        <v>46024</v>
      </c>
      <c r="K88" s="171" t="s">
        <v>125</v>
      </c>
      <c r="L88" s="171" t="s">
        <v>125</v>
      </c>
      <c r="M88" s="178">
        <v>0</v>
      </c>
      <c r="N88" s="176"/>
      <c r="O88" s="176"/>
      <c r="P88" s="179">
        <v>-4.3600000000000003</v>
      </c>
    </row>
    <row r="89" spans="1:16" ht="19.5" customHeight="1">
      <c r="A89" s="171" t="s">
        <v>369</v>
      </c>
      <c r="B89" s="175">
        <v>46024</v>
      </c>
      <c r="C89" s="171" t="s">
        <v>115</v>
      </c>
      <c r="D89" s="171" t="s">
        <v>135</v>
      </c>
      <c r="E89" s="171" t="s">
        <v>38</v>
      </c>
      <c r="F89" s="171" t="s">
        <v>111</v>
      </c>
      <c r="G89" s="171" t="s">
        <v>112</v>
      </c>
      <c r="H89" s="176">
        <v>1</v>
      </c>
      <c r="I89" s="177">
        <v>0</v>
      </c>
      <c r="J89" s="175">
        <v>46024</v>
      </c>
      <c r="K89" s="171" t="s">
        <v>125</v>
      </c>
      <c r="L89" s="171" t="s">
        <v>125</v>
      </c>
      <c r="M89" s="178">
        <v>0</v>
      </c>
      <c r="N89" s="176"/>
      <c r="O89" s="176"/>
      <c r="P89" s="179">
        <v>-4.3600000000000003</v>
      </c>
    </row>
    <row r="90" spans="1:16" ht="19.5" customHeight="1">
      <c r="A90" s="171" t="s">
        <v>349</v>
      </c>
      <c r="B90" s="175">
        <v>46024</v>
      </c>
      <c r="C90" s="171" t="s">
        <v>151</v>
      </c>
      <c r="D90" s="171" t="s">
        <v>152</v>
      </c>
      <c r="E90" s="171" t="s">
        <v>125</v>
      </c>
      <c r="F90" s="171" t="s">
        <v>125</v>
      </c>
      <c r="G90" s="171" t="s">
        <v>125</v>
      </c>
      <c r="H90" s="176">
        <v>0</v>
      </c>
      <c r="I90" s="177">
        <v>0</v>
      </c>
      <c r="J90" s="175">
        <v>46024</v>
      </c>
      <c r="K90" s="171" t="s">
        <v>125</v>
      </c>
      <c r="L90" s="171" t="s">
        <v>125</v>
      </c>
      <c r="M90" s="178">
        <v>0</v>
      </c>
      <c r="N90" s="176"/>
      <c r="O90" s="176"/>
      <c r="P90" s="179">
        <v>-361.7</v>
      </c>
    </row>
    <row r="91" spans="1:16" ht="19.5" customHeight="1">
      <c r="A91" s="171" t="s">
        <v>150</v>
      </c>
      <c r="B91" s="175">
        <v>46024</v>
      </c>
      <c r="C91" s="171" t="s">
        <v>151</v>
      </c>
      <c r="D91" s="171" t="s">
        <v>152</v>
      </c>
      <c r="E91" s="171" t="s">
        <v>125</v>
      </c>
      <c r="F91" s="171" t="s">
        <v>125</v>
      </c>
      <c r="G91" s="171" t="s">
        <v>125</v>
      </c>
      <c r="H91" s="176">
        <v>0</v>
      </c>
      <c r="I91" s="177">
        <v>0</v>
      </c>
      <c r="J91" s="175">
        <v>46024</v>
      </c>
      <c r="K91" s="171" t="s">
        <v>125</v>
      </c>
      <c r="L91" s="171" t="s">
        <v>125</v>
      </c>
      <c r="M91" s="178">
        <v>0</v>
      </c>
      <c r="N91" s="176"/>
      <c r="O91" s="176"/>
      <c r="P91" s="179">
        <v>-1286.49</v>
      </c>
    </row>
    <row r="92" spans="1:16" ht="19.5" customHeight="1">
      <c r="A92" s="171" t="s">
        <v>352</v>
      </c>
      <c r="B92" s="175">
        <v>46024</v>
      </c>
      <c r="C92" s="171" t="s">
        <v>151</v>
      </c>
      <c r="D92" s="171" t="s">
        <v>152</v>
      </c>
      <c r="E92" s="171" t="s">
        <v>125</v>
      </c>
      <c r="F92" s="171" t="s">
        <v>125</v>
      </c>
      <c r="G92" s="171" t="s">
        <v>125</v>
      </c>
      <c r="H92" s="176">
        <v>0</v>
      </c>
      <c r="I92" s="177">
        <v>0</v>
      </c>
      <c r="J92" s="175">
        <v>46024</v>
      </c>
      <c r="K92" s="171" t="s">
        <v>125</v>
      </c>
      <c r="L92" s="171" t="s">
        <v>125</v>
      </c>
      <c r="M92" s="178">
        <v>0</v>
      </c>
      <c r="N92" s="176"/>
      <c r="O92" s="176"/>
      <c r="P92" s="179">
        <v>-540.41999999999996</v>
      </c>
    </row>
    <row r="93" spans="1:16" ht="19.5" customHeight="1">
      <c r="A93" s="171" t="s">
        <v>155</v>
      </c>
      <c r="B93" s="175">
        <v>46024</v>
      </c>
      <c r="C93" s="171" t="s">
        <v>151</v>
      </c>
      <c r="D93" s="171" t="s">
        <v>156</v>
      </c>
      <c r="E93" s="171" t="s">
        <v>125</v>
      </c>
      <c r="F93" s="171" t="s">
        <v>125</v>
      </c>
      <c r="G93" s="171" t="s">
        <v>125</v>
      </c>
      <c r="H93" s="176">
        <v>0</v>
      </c>
      <c r="I93" s="177">
        <v>0</v>
      </c>
      <c r="J93" s="175">
        <v>46024</v>
      </c>
      <c r="K93" s="171" t="s">
        <v>125</v>
      </c>
      <c r="L93" s="171" t="s">
        <v>125</v>
      </c>
      <c r="M93" s="178">
        <v>0</v>
      </c>
      <c r="N93" s="176"/>
      <c r="O93" s="176"/>
      <c r="P93" s="179">
        <v>-2744.36</v>
      </c>
    </row>
    <row r="94" spans="1:16" ht="19.5" customHeight="1">
      <c r="A94" s="171" t="s">
        <v>370</v>
      </c>
      <c r="B94" s="175">
        <v>46025</v>
      </c>
      <c r="C94" s="171" t="s">
        <v>110</v>
      </c>
      <c r="D94" s="171" t="s">
        <v>24</v>
      </c>
      <c r="E94" s="171" t="s">
        <v>41</v>
      </c>
      <c r="F94" s="171" t="s">
        <v>138</v>
      </c>
      <c r="G94" s="171" t="s">
        <v>112</v>
      </c>
      <c r="H94" s="176">
        <v>1</v>
      </c>
      <c r="I94" s="177">
        <v>1687</v>
      </c>
      <c r="J94" s="175">
        <v>46019</v>
      </c>
      <c r="K94" s="171" t="s">
        <v>113</v>
      </c>
      <c r="L94" s="171" t="s">
        <v>114</v>
      </c>
      <c r="M94" s="178">
        <v>0.43</v>
      </c>
      <c r="N94" s="176"/>
      <c r="O94" s="176">
        <v>39</v>
      </c>
      <c r="P94" s="179">
        <v>-109.71</v>
      </c>
    </row>
    <row r="95" spans="1:16" ht="19.5" customHeight="1">
      <c r="A95" s="171" t="s">
        <v>370</v>
      </c>
      <c r="B95" s="175">
        <v>46025</v>
      </c>
      <c r="C95" s="171" t="s">
        <v>127</v>
      </c>
      <c r="D95" s="171" t="s">
        <v>128</v>
      </c>
      <c r="E95" s="171" t="s">
        <v>41</v>
      </c>
      <c r="F95" s="171" t="s">
        <v>138</v>
      </c>
      <c r="G95" s="171" t="s">
        <v>112</v>
      </c>
      <c r="H95" s="176">
        <v>1</v>
      </c>
      <c r="I95" s="177">
        <v>1687</v>
      </c>
      <c r="J95" s="175">
        <v>46019</v>
      </c>
      <c r="K95" s="171" t="s">
        <v>113</v>
      </c>
      <c r="L95" s="171" t="s">
        <v>114</v>
      </c>
      <c r="M95" s="178">
        <v>0</v>
      </c>
      <c r="N95" s="176"/>
      <c r="O95" s="176"/>
      <c r="P95" s="179">
        <v>578.9</v>
      </c>
    </row>
    <row r="96" spans="1:16" ht="19.5" customHeight="1">
      <c r="A96" s="171" t="s">
        <v>370</v>
      </c>
      <c r="B96" s="175">
        <v>46025</v>
      </c>
      <c r="C96" s="171" t="s">
        <v>127</v>
      </c>
      <c r="D96" s="171" t="s">
        <v>129</v>
      </c>
      <c r="E96" s="171" t="s">
        <v>41</v>
      </c>
      <c r="F96" s="171" t="s">
        <v>138</v>
      </c>
      <c r="G96" s="171" t="s">
        <v>112</v>
      </c>
      <c r="H96" s="176">
        <v>1</v>
      </c>
      <c r="I96" s="177">
        <v>1687</v>
      </c>
      <c r="J96" s="175">
        <v>46019</v>
      </c>
      <c r="K96" s="171" t="s">
        <v>113</v>
      </c>
      <c r="L96" s="171" t="s">
        <v>114</v>
      </c>
      <c r="M96" s="178">
        <v>0</v>
      </c>
      <c r="N96" s="176"/>
      <c r="O96" s="176"/>
      <c r="P96" s="179">
        <v>5.79</v>
      </c>
    </row>
    <row r="97" spans="1:16" ht="19.5" customHeight="1">
      <c r="A97" s="171" t="s">
        <v>370</v>
      </c>
      <c r="B97" s="175">
        <v>46025</v>
      </c>
      <c r="C97" s="171" t="s">
        <v>127</v>
      </c>
      <c r="D97" s="171" t="s">
        <v>130</v>
      </c>
      <c r="E97" s="171" t="s">
        <v>41</v>
      </c>
      <c r="F97" s="171" t="s">
        <v>138</v>
      </c>
      <c r="G97" s="171" t="s">
        <v>112</v>
      </c>
      <c r="H97" s="176">
        <v>1</v>
      </c>
      <c r="I97" s="177">
        <v>1687</v>
      </c>
      <c r="J97" s="175">
        <v>46019</v>
      </c>
      <c r="K97" s="171" t="s">
        <v>113</v>
      </c>
      <c r="L97" s="171" t="s">
        <v>114</v>
      </c>
      <c r="M97" s="178">
        <v>0</v>
      </c>
      <c r="N97" s="176"/>
      <c r="O97" s="176"/>
      <c r="P97" s="179">
        <v>1102.31</v>
      </c>
    </row>
    <row r="98" spans="1:16" ht="19.5" customHeight="1">
      <c r="A98" s="171" t="s">
        <v>370</v>
      </c>
      <c r="B98" s="175">
        <v>46025</v>
      </c>
      <c r="C98" s="171" t="s">
        <v>131</v>
      </c>
      <c r="D98" s="171" t="s">
        <v>132</v>
      </c>
      <c r="E98" s="171" t="s">
        <v>41</v>
      </c>
      <c r="F98" s="171" t="s">
        <v>138</v>
      </c>
      <c r="G98" s="171" t="s">
        <v>112</v>
      </c>
      <c r="H98" s="176">
        <v>1</v>
      </c>
      <c r="I98" s="177">
        <v>1687</v>
      </c>
      <c r="J98" s="175">
        <v>46019</v>
      </c>
      <c r="K98" s="171" t="s">
        <v>113</v>
      </c>
      <c r="L98" s="171" t="s">
        <v>114</v>
      </c>
      <c r="M98" s="178">
        <v>0.43</v>
      </c>
      <c r="N98" s="176"/>
      <c r="O98" s="176"/>
      <c r="P98" s="179">
        <v>-725.41</v>
      </c>
    </row>
    <row r="99" spans="1:16" ht="19.5" customHeight="1">
      <c r="A99" s="171" t="s">
        <v>370</v>
      </c>
      <c r="B99" s="175">
        <v>46025</v>
      </c>
      <c r="C99" s="171" t="s">
        <v>115</v>
      </c>
      <c r="D99" s="171" t="s">
        <v>116</v>
      </c>
      <c r="E99" s="171" t="s">
        <v>41</v>
      </c>
      <c r="F99" s="171" t="s">
        <v>138</v>
      </c>
      <c r="G99" s="171" t="s">
        <v>112</v>
      </c>
      <c r="H99" s="176">
        <v>1</v>
      </c>
      <c r="I99" s="177">
        <v>1687</v>
      </c>
      <c r="J99" s="175">
        <v>46019</v>
      </c>
      <c r="K99" s="171" t="s">
        <v>113</v>
      </c>
      <c r="L99" s="171" t="s">
        <v>114</v>
      </c>
      <c r="M99" s="178">
        <v>0.43</v>
      </c>
      <c r="N99" s="176"/>
      <c r="O99" s="176"/>
      <c r="P99" s="179">
        <v>-9.0299999999999994</v>
      </c>
    </row>
    <row r="100" spans="1:16" ht="19.5" customHeight="1">
      <c r="A100" s="171" t="s">
        <v>370</v>
      </c>
      <c r="B100" s="175">
        <v>46025</v>
      </c>
      <c r="C100" s="171" t="s">
        <v>115</v>
      </c>
      <c r="D100" s="171" t="s">
        <v>135</v>
      </c>
      <c r="E100" s="171" t="s">
        <v>41</v>
      </c>
      <c r="F100" s="171" t="s">
        <v>138</v>
      </c>
      <c r="G100" s="171" t="s">
        <v>112</v>
      </c>
      <c r="H100" s="176">
        <v>1</v>
      </c>
      <c r="I100" s="177">
        <v>0</v>
      </c>
      <c r="J100" s="175">
        <v>46019</v>
      </c>
      <c r="K100" s="171" t="s">
        <v>125</v>
      </c>
      <c r="L100" s="171" t="s">
        <v>125</v>
      </c>
      <c r="M100" s="178">
        <v>0</v>
      </c>
      <c r="N100" s="176"/>
      <c r="O100" s="176"/>
      <c r="P100" s="179">
        <v>-11</v>
      </c>
    </row>
    <row r="101" spans="1:16" ht="19.5" customHeight="1">
      <c r="A101" s="171" t="s">
        <v>371</v>
      </c>
      <c r="B101" s="175">
        <v>46025</v>
      </c>
      <c r="C101" s="171" t="s">
        <v>115</v>
      </c>
      <c r="D101" s="171" t="s">
        <v>135</v>
      </c>
      <c r="E101" s="171" t="s">
        <v>38</v>
      </c>
      <c r="F101" s="171" t="s">
        <v>111</v>
      </c>
      <c r="G101" s="171" t="s">
        <v>112</v>
      </c>
      <c r="H101" s="176">
        <v>1</v>
      </c>
      <c r="I101" s="177">
        <v>0</v>
      </c>
      <c r="J101" s="175">
        <v>46025</v>
      </c>
      <c r="K101" s="171" t="s">
        <v>125</v>
      </c>
      <c r="L101" s="171" t="s">
        <v>125</v>
      </c>
      <c r="M101" s="178">
        <v>0</v>
      </c>
      <c r="N101" s="176"/>
      <c r="O101" s="176"/>
      <c r="P101" s="179">
        <v>-11.13</v>
      </c>
    </row>
    <row r="102" spans="1:16" ht="19.5" customHeight="1">
      <c r="A102" s="171" t="s">
        <v>372</v>
      </c>
      <c r="B102" s="175">
        <v>46025</v>
      </c>
      <c r="C102" s="171" t="s">
        <v>110</v>
      </c>
      <c r="D102" s="171" t="s">
        <v>24</v>
      </c>
      <c r="E102" s="171" t="s">
        <v>41</v>
      </c>
      <c r="F102" s="171" t="s">
        <v>138</v>
      </c>
      <c r="G102" s="171" t="s">
        <v>112</v>
      </c>
      <c r="H102" s="176">
        <v>1</v>
      </c>
      <c r="I102" s="177">
        <v>1304</v>
      </c>
      <c r="J102" s="175">
        <v>46021</v>
      </c>
      <c r="K102" s="171" t="s">
        <v>113</v>
      </c>
      <c r="L102" s="171" t="s">
        <v>114</v>
      </c>
      <c r="M102" s="178">
        <v>0.43</v>
      </c>
      <c r="N102" s="176"/>
      <c r="O102" s="176">
        <v>38</v>
      </c>
      <c r="P102" s="179">
        <v>-96.04</v>
      </c>
    </row>
    <row r="103" spans="1:16" ht="19.5" customHeight="1">
      <c r="A103" s="171" t="s">
        <v>372</v>
      </c>
      <c r="B103" s="175">
        <v>46025</v>
      </c>
      <c r="C103" s="171" t="s">
        <v>127</v>
      </c>
      <c r="D103" s="171" t="s">
        <v>128</v>
      </c>
      <c r="E103" s="171" t="s">
        <v>41</v>
      </c>
      <c r="F103" s="171" t="s">
        <v>138</v>
      </c>
      <c r="G103" s="171" t="s">
        <v>112</v>
      </c>
      <c r="H103" s="176">
        <v>1</v>
      </c>
      <c r="I103" s="177">
        <v>1304</v>
      </c>
      <c r="J103" s="175">
        <v>46021</v>
      </c>
      <c r="K103" s="171" t="s">
        <v>113</v>
      </c>
      <c r="L103" s="171" t="s">
        <v>114</v>
      </c>
      <c r="M103" s="178">
        <v>0</v>
      </c>
      <c r="N103" s="176"/>
      <c r="O103" s="176"/>
      <c r="P103" s="179">
        <v>455.76</v>
      </c>
    </row>
    <row r="104" spans="1:16" ht="19.5" customHeight="1">
      <c r="A104" s="171" t="s">
        <v>372</v>
      </c>
      <c r="B104" s="175">
        <v>46025</v>
      </c>
      <c r="C104" s="171" t="s">
        <v>127</v>
      </c>
      <c r="D104" s="171" t="s">
        <v>129</v>
      </c>
      <c r="E104" s="171" t="s">
        <v>41</v>
      </c>
      <c r="F104" s="171" t="s">
        <v>138</v>
      </c>
      <c r="G104" s="171" t="s">
        <v>112</v>
      </c>
      <c r="H104" s="176">
        <v>1</v>
      </c>
      <c r="I104" s="177">
        <v>1304</v>
      </c>
      <c r="J104" s="175">
        <v>46021</v>
      </c>
      <c r="K104" s="171" t="s">
        <v>113</v>
      </c>
      <c r="L104" s="171" t="s">
        <v>114</v>
      </c>
      <c r="M104" s="178">
        <v>0</v>
      </c>
      <c r="N104" s="176"/>
      <c r="O104" s="176"/>
      <c r="P104" s="179">
        <v>4.5599999999999996</v>
      </c>
    </row>
    <row r="105" spans="1:16" ht="19.5" customHeight="1">
      <c r="A105" s="171" t="s">
        <v>372</v>
      </c>
      <c r="B105" s="175">
        <v>46025</v>
      </c>
      <c r="C105" s="171" t="s">
        <v>127</v>
      </c>
      <c r="D105" s="171" t="s">
        <v>130</v>
      </c>
      <c r="E105" s="171" t="s">
        <v>41</v>
      </c>
      <c r="F105" s="171" t="s">
        <v>138</v>
      </c>
      <c r="G105" s="171" t="s">
        <v>112</v>
      </c>
      <c r="H105" s="176">
        <v>1</v>
      </c>
      <c r="I105" s="177">
        <v>1304</v>
      </c>
      <c r="J105" s="175">
        <v>46021</v>
      </c>
      <c r="K105" s="171" t="s">
        <v>113</v>
      </c>
      <c r="L105" s="171" t="s">
        <v>114</v>
      </c>
      <c r="M105" s="178">
        <v>0</v>
      </c>
      <c r="N105" s="176"/>
      <c r="O105" s="176"/>
      <c r="P105" s="179">
        <v>843.68</v>
      </c>
    </row>
    <row r="106" spans="1:16" ht="19.5" customHeight="1">
      <c r="A106" s="171" t="s">
        <v>372</v>
      </c>
      <c r="B106" s="175">
        <v>46025</v>
      </c>
      <c r="C106" s="171" t="s">
        <v>131</v>
      </c>
      <c r="D106" s="171" t="s">
        <v>132</v>
      </c>
      <c r="E106" s="171" t="s">
        <v>41</v>
      </c>
      <c r="F106" s="171" t="s">
        <v>138</v>
      </c>
      <c r="G106" s="171" t="s">
        <v>112</v>
      </c>
      <c r="H106" s="176">
        <v>1</v>
      </c>
      <c r="I106" s="177">
        <v>1304</v>
      </c>
      <c r="J106" s="175">
        <v>46021</v>
      </c>
      <c r="K106" s="171" t="s">
        <v>113</v>
      </c>
      <c r="L106" s="171" t="s">
        <v>114</v>
      </c>
      <c r="M106" s="178">
        <v>0.43</v>
      </c>
      <c r="N106" s="176"/>
      <c r="O106" s="176"/>
      <c r="P106" s="179">
        <v>-560.72</v>
      </c>
    </row>
    <row r="107" spans="1:16" ht="19.5" customHeight="1">
      <c r="A107" s="171" t="s">
        <v>372</v>
      </c>
      <c r="B107" s="175">
        <v>46025</v>
      </c>
      <c r="C107" s="171" t="s">
        <v>115</v>
      </c>
      <c r="D107" s="171" t="s">
        <v>116</v>
      </c>
      <c r="E107" s="171" t="s">
        <v>41</v>
      </c>
      <c r="F107" s="171" t="s">
        <v>138</v>
      </c>
      <c r="G107" s="171" t="s">
        <v>112</v>
      </c>
      <c r="H107" s="176">
        <v>1</v>
      </c>
      <c r="I107" s="177">
        <v>1304</v>
      </c>
      <c r="J107" s="175">
        <v>46021</v>
      </c>
      <c r="K107" s="171" t="s">
        <v>113</v>
      </c>
      <c r="L107" s="171" t="s">
        <v>114</v>
      </c>
      <c r="M107" s="178">
        <v>0.43</v>
      </c>
      <c r="N107" s="176"/>
      <c r="O107" s="176"/>
      <c r="P107" s="179">
        <v>-25</v>
      </c>
    </row>
    <row r="108" spans="1:16" ht="19.5" customHeight="1">
      <c r="A108" s="171" t="s">
        <v>372</v>
      </c>
      <c r="B108" s="175">
        <v>46025</v>
      </c>
      <c r="C108" s="171" t="s">
        <v>115</v>
      </c>
      <c r="D108" s="171" t="s">
        <v>135</v>
      </c>
      <c r="E108" s="171" t="s">
        <v>41</v>
      </c>
      <c r="F108" s="171" t="s">
        <v>138</v>
      </c>
      <c r="G108" s="171" t="s">
        <v>112</v>
      </c>
      <c r="H108" s="176">
        <v>1</v>
      </c>
      <c r="I108" s="177">
        <v>0</v>
      </c>
      <c r="J108" s="175">
        <v>46021</v>
      </c>
      <c r="K108" s="171" t="s">
        <v>125</v>
      </c>
      <c r="L108" s="171" t="s">
        <v>125</v>
      </c>
      <c r="M108" s="178">
        <v>0</v>
      </c>
      <c r="N108" s="176"/>
      <c r="O108" s="176"/>
      <c r="P108" s="179">
        <v>-8.66</v>
      </c>
    </row>
    <row r="109" spans="1:16" ht="19.5" customHeight="1">
      <c r="A109" s="171" t="s">
        <v>373</v>
      </c>
      <c r="B109" s="175">
        <v>46025</v>
      </c>
      <c r="C109" s="171" t="s">
        <v>110</v>
      </c>
      <c r="D109" s="171" t="s">
        <v>24</v>
      </c>
      <c r="E109" s="171" t="s">
        <v>41</v>
      </c>
      <c r="F109" s="171" t="s">
        <v>138</v>
      </c>
      <c r="G109" s="171" t="s">
        <v>112</v>
      </c>
      <c r="H109" s="176">
        <v>1</v>
      </c>
      <c r="I109" s="177">
        <v>1304</v>
      </c>
      <c r="J109" s="175">
        <v>46020</v>
      </c>
      <c r="K109" s="171" t="s">
        <v>113</v>
      </c>
      <c r="L109" s="171" t="s">
        <v>114</v>
      </c>
      <c r="M109" s="178">
        <v>0.43</v>
      </c>
      <c r="N109" s="176"/>
      <c r="O109" s="176">
        <v>38</v>
      </c>
      <c r="P109" s="179">
        <v>-96.04</v>
      </c>
    </row>
    <row r="110" spans="1:16" ht="19.5" customHeight="1">
      <c r="A110" s="171" t="s">
        <v>373</v>
      </c>
      <c r="B110" s="175">
        <v>46025</v>
      </c>
      <c r="C110" s="171" t="s">
        <v>127</v>
      </c>
      <c r="D110" s="171" t="s">
        <v>128</v>
      </c>
      <c r="E110" s="171" t="s">
        <v>41</v>
      </c>
      <c r="F110" s="171" t="s">
        <v>138</v>
      </c>
      <c r="G110" s="171" t="s">
        <v>112</v>
      </c>
      <c r="H110" s="176">
        <v>1</v>
      </c>
      <c r="I110" s="177">
        <v>1304</v>
      </c>
      <c r="J110" s="175">
        <v>46020</v>
      </c>
      <c r="K110" s="171" t="s">
        <v>113</v>
      </c>
      <c r="L110" s="171" t="s">
        <v>114</v>
      </c>
      <c r="M110" s="178">
        <v>0</v>
      </c>
      <c r="N110" s="176"/>
      <c r="O110" s="176"/>
      <c r="P110" s="179">
        <v>456.19</v>
      </c>
    </row>
    <row r="111" spans="1:16" ht="19.5" customHeight="1">
      <c r="A111" s="171" t="s">
        <v>373</v>
      </c>
      <c r="B111" s="175">
        <v>46025</v>
      </c>
      <c r="C111" s="171" t="s">
        <v>127</v>
      </c>
      <c r="D111" s="171" t="s">
        <v>129</v>
      </c>
      <c r="E111" s="171" t="s">
        <v>41</v>
      </c>
      <c r="F111" s="171" t="s">
        <v>138</v>
      </c>
      <c r="G111" s="171" t="s">
        <v>112</v>
      </c>
      <c r="H111" s="176">
        <v>1</v>
      </c>
      <c r="I111" s="177">
        <v>1304</v>
      </c>
      <c r="J111" s="175">
        <v>46020</v>
      </c>
      <c r="K111" s="171" t="s">
        <v>113</v>
      </c>
      <c r="L111" s="171" t="s">
        <v>114</v>
      </c>
      <c r="M111" s="178">
        <v>0</v>
      </c>
      <c r="N111" s="176"/>
      <c r="O111" s="176"/>
      <c r="P111" s="179">
        <v>4.5599999999999996</v>
      </c>
    </row>
    <row r="112" spans="1:16" ht="19.5" customHeight="1">
      <c r="A112" s="171" t="s">
        <v>373</v>
      </c>
      <c r="B112" s="175">
        <v>46025</v>
      </c>
      <c r="C112" s="171" t="s">
        <v>127</v>
      </c>
      <c r="D112" s="171" t="s">
        <v>130</v>
      </c>
      <c r="E112" s="171" t="s">
        <v>41</v>
      </c>
      <c r="F112" s="171" t="s">
        <v>138</v>
      </c>
      <c r="G112" s="171" t="s">
        <v>112</v>
      </c>
      <c r="H112" s="176">
        <v>1</v>
      </c>
      <c r="I112" s="177">
        <v>1304</v>
      </c>
      <c r="J112" s="175">
        <v>46020</v>
      </c>
      <c r="K112" s="171" t="s">
        <v>113</v>
      </c>
      <c r="L112" s="171" t="s">
        <v>114</v>
      </c>
      <c r="M112" s="178">
        <v>0</v>
      </c>
      <c r="N112" s="176"/>
      <c r="O112" s="176"/>
      <c r="P112" s="179">
        <v>843.25</v>
      </c>
    </row>
    <row r="113" spans="1:16" ht="19.5" customHeight="1">
      <c r="A113" s="171" t="s">
        <v>373</v>
      </c>
      <c r="B113" s="175">
        <v>46025</v>
      </c>
      <c r="C113" s="171" t="s">
        <v>131</v>
      </c>
      <c r="D113" s="171" t="s">
        <v>132</v>
      </c>
      <c r="E113" s="171" t="s">
        <v>41</v>
      </c>
      <c r="F113" s="171" t="s">
        <v>138</v>
      </c>
      <c r="G113" s="171" t="s">
        <v>112</v>
      </c>
      <c r="H113" s="176">
        <v>1</v>
      </c>
      <c r="I113" s="177">
        <v>1304</v>
      </c>
      <c r="J113" s="175">
        <v>46020</v>
      </c>
      <c r="K113" s="171" t="s">
        <v>113</v>
      </c>
      <c r="L113" s="171" t="s">
        <v>114</v>
      </c>
      <c r="M113" s="178">
        <v>0.43</v>
      </c>
      <c r="N113" s="176"/>
      <c r="O113" s="176"/>
      <c r="P113" s="179">
        <v>-560.72</v>
      </c>
    </row>
    <row r="114" spans="1:16" ht="19.5" customHeight="1">
      <c r="A114" s="171" t="s">
        <v>373</v>
      </c>
      <c r="B114" s="175">
        <v>46025</v>
      </c>
      <c r="C114" s="171" t="s">
        <v>115</v>
      </c>
      <c r="D114" s="171" t="s">
        <v>116</v>
      </c>
      <c r="E114" s="171" t="s">
        <v>41</v>
      </c>
      <c r="F114" s="171" t="s">
        <v>138</v>
      </c>
      <c r="G114" s="171" t="s">
        <v>112</v>
      </c>
      <c r="H114" s="176">
        <v>1</v>
      </c>
      <c r="I114" s="177">
        <v>1304</v>
      </c>
      <c r="J114" s="175">
        <v>46020</v>
      </c>
      <c r="K114" s="171" t="s">
        <v>113</v>
      </c>
      <c r="L114" s="171" t="s">
        <v>114</v>
      </c>
      <c r="M114" s="178">
        <v>0.43</v>
      </c>
      <c r="N114" s="176"/>
      <c r="O114" s="176"/>
      <c r="P114" s="179">
        <v>-12.24</v>
      </c>
    </row>
    <row r="115" spans="1:16" ht="19.5" customHeight="1">
      <c r="A115" s="171" t="s">
        <v>373</v>
      </c>
      <c r="B115" s="175">
        <v>46025</v>
      </c>
      <c r="C115" s="171" t="s">
        <v>115</v>
      </c>
      <c r="D115" s="171" t="s">
        <v>135</v>
      </c>
      <c r="E115" s="171" t="s">
        <v>41</v>
      </c>
      <c r="F115" s="171" t="s">
        <v>138</v>
      </c>
      <c r="G115" s="171" t="s">
        <v>112</v>
      </c>
      <c r="H115" s="176">
        <v>1</v>
      </c>
      <c r="I115" s="177">
        <v>0</v>
      </c>
      <c r="J115" s="175">
        <v>46020</v>
      </c>
      <c r="K115" s="171" t="s">
        <v>125</v>
      </c>
      <c r="L115" s="171" t="s">
        <v>125</v>
      </c>
      <c r="M115" s="178">
        <v>0</v>
      </c>
      <c r="N115" s="176"/>
      <c r="O115" s="176"/>
      <c r="P115" s="179">
        <v>-8.67</v>
      </c>
    </row>
    <row r="116" spans="1:16" ht="19.5" customHeight="1">
      <c r="A116" s="171" t="s">
        <v>374</v>
      </c>
      <c r="B116" s="175">
        <v>46025</v>
      </c>
      <c r="C116" s="171" t="s">
        <v>110</v>
      </c>
      <c r="D116" s="171" t="s">
        <v>24</v>
      </c>
      <c r="E116" s="171" t="s">
        <v>40</v>
      </c>
      <c r="F116" s="171" t="s">
        <v>149</v>
      </c>
      <c r="G116" s="171" t="s">
        <v>112</v>
      </c>
      <c r="H116" s="176">
        <v>1</v>
      </c>
      <c r="I116" s="177">
        <v>1206</v>
      </c>
      <c r="J116" s="175">
        <v>46020</v>
      </c>
      <c r="K116" s="171" t="s">
        <v>113</v>
      </c>
      <c r="L116" s="171" t="s">
        <v>114</v>
      </c>
      <c r="M116" s="178">
        <v>0.43</v>
      </c>
      <c r="N116" s="176"/>
      <c r="O116" s="176">
        <v>38</v>
      </c>
      <c r="P116" s="179">
        <v>-93.88</v>
      </c>
    </row>
    <row r="117" spans="1:16" ht="19.5" customHeight="1">
      <c r="A117" s="171" t="s">
        <v>374</v>
      </c>
      <c r="B117" s="175">
        <v>46025</v>
      </c>
      <c r="C117" s="171" t="s">
        <v>127</v>
      </c>
      <c r="D117" s="171" t="s">
        <v>128</v>
      </c>
      <c r="E117" s="171" t="s">
        <v>40</v>
      </c>
      <c r="F117" s="171" t="s">
        <v>149</v>
      </c>
      <c r="G117" s="171" t="s">
        <v>112</v>
      </c>
      <c r="H117" s="176">
        <v>1</v>
      </c>
      <c r="I117" s="177">
        <v>1206</v>
      </c>
      <c r="J117" s="175">
        <v>46020</v>
      </c>
      <c r="K117" s="171" t="s">
        <v>113</v>
      </c>
      <c r="L117" s="171" t="s">
        <v>114</v>
      </c>
      <c r="M117" s="178">
        <v>0</v>
      </c>
      <c r="N117" s="176"/>
      <c r="O117" s="176"/>
      <c r="P117" s="179">
        <v>615.02</v>
      </c>
    </row>
    <row r="118" spans="1:16" ht="19.5" customHeight="1">
      <c r="A118" s="171" t="s">
        <v>374</v>
      </c>
      <c r="B118" s="175">
        <v>46025</v>
      </c>
      <c r="C118" s="171" t="s">
        <v>127</v>
      </c>
      <c r="D118" s="171" t="s">
        <v>129</v>
      </c>
      <c r="E118" s="171" t="s">
        <v>40</v>
      </c>
      <c r="F118" s="171" t="s">
        <v>149</v>
      </c>
      <c r="G118" s="171" t="s">
        <v>112</v>
      </c>
      <c r="H118" s="176">
        <v>1</v>
      </c>
      <c r="I118" s="177">
        <v>1206</v>
      </c>
      <c r="J118" s="175">
        <v>46020</v>
      </c>
      <c r="K118" s="171" t="s">
        <v>113</v>
      </c>
      <c r="L118" s="171" t="s">
        <v>114</v>
      </c>
      <c r="M118" s="178">
        <v>0</v>
      </c>
      <c r="N118" s="176"/>
      <c r="O118" s="176"/>
      <c r="P118" s="179">
        <v>6.15</v>
      </c>
    </row>
    <row r="119" spans="1:16" ht="19.5" customHeight="1">
      <c r="A119" s="171" t="s">
        <v>374</v>
      </c>
      <c r="B119" s="175">
        <v>46025</v>
      </c>
      <c r="C119" s="171" t="s">
        <v>127</v>
      </c>
      <c r="D119" s="171" t="s">
        <v>130</v>
      </c>
      <c r="E119" s="171" t="s">
        <v>40</v>
      </c>
      <c r="F119" s="171" t="s">
        <v>149</v>
      </c>
      <c r="G119" s="171" t="s">
        <v>112</v>
      </c>
      <c r="H119" s="176">
        <v>1</v>
      </c>
      <c r="I119" s="177">
        <v>1206</v>
      </c>
      <c r="J119" s="175">
        <v>46020</v>
      </c>
      <c r="K119" s="171" t="s">
        <v>113</v>
      </c>
      <c r="L119" s="171" t="s">
        <v>114</v>
      </c>
      <c r="M119" s="178">
        <v>0</v>
      </c>
      <c r="N119" s="176"/>
      <c r="O119" s="176"/>
      <c r="P119" s="179">
        <v>584.83000000000004</v>
      </c>
    </row>
    <row r="120" spans="1:16" ht="19.5" customHeight="1">
      <c r="A120" s="171" t="s">
        <v>374</v>
      </c>
      <c r="B120" s="175">
        <v>46025</v>
      </c>
      <c r="C120" s="171" t="s">
        <v>131</v>
      </c>
      <c r="D120" s="171" t="s">
        <v>132</v>
      </c>
      <c r="E120" s="171" t="s">
        <v>40</v>
      </c>
      <c r="F120" s="171" t="s">
        <v>149</v>
      </c>
      <c r="G120" s="171" t="s">
        <v>112</v>
      </c>
      <c r="H120" s="176">
        <v>1</v>
      </c>
      <c r="I120" s="177">
        <v>1206</v>
      </c>
      <c r="J120" s="175">
        <v>46020</v>
      </c>
      <c r="K120" s="171" t="s">
        <v>113</v>
      </c>
      <c r="L120" s="171" t="s">
        <v>114</v>
      </c>
      <c r="M120" s="178">
        <v>0.43</v>
      </c>
      <c r="N120" s="176"/>
      <c r="O120" s="176"/>
      <c r="P120" s="179">
        <v>-518.58000000000004</v>
      </c>
    </row>
    <row r="121" spans="1:16" ht="19.5" customHeight="1">
      <c r="A121" s="171" t="s">
        <v>374</v>
      </c>
      <c r="B121" s="175">
        <v>46025</v>
      </c>
      <c r="C121" s="171" t="s">
        <v>115</v>
      </c>
      <c r="D121" s="171" t="s">
        <v>116</v>
      </c>
      <c r="E121" s="171" t="s">
        <v>40</v>
      </c>
      <c r="F121" s="171" t="s">
        <v>149</v>
      </c>
      <c r="G121" s="171" t="s">
        <v>112</v>
      </c>
      <c r="H121" s="176">
        <v>1</v>
      </c>
      <c r="I121" s="177">
        <v>1206</v>
      </c>
      <c r="J121" s="175">
        <v>46020</v>
      </c>
      <c r="K121" s="171" t="s">
        <v>113</v>
      </c>
      <c r="L121" s="171" t="s">
        <v>114</v>
      </c>
      <c r="M121" s="178">
        <v>0.43</v>
      </c>
      <c r="N121" s="176"/>
      <c r="O121" s="176"/>
      <c r="P121" s="179">
        <v>-8.01</v>
      </c>
    </row>
    <row r="122" spans="1:16" ht="19.5" customHeight="1">
      <c r="A122" s="171" t="s">
        <v>375</v>
      </c>
      <c r="B122" s="175">
        <v>46025</v>
      </c>
      <c r="C122" s="171" t="s">
        <v>123</v>
      </c>
      <c r="D122" s="171" t="s">
        <v>376</v>
      </c>
      <c r="E122" s="171" t="s">
        <v>125</v>
      </c>
      <c r="F122" s="171" t="s">
        <v>125</v>
      </c>
      <c r="G122" s="171" t="s">
        <v>125</v>
      </c>
      <c r="H122" s="176">
        <v>0</v>
      </c>
      <c r="I122" s="177">
        <v>0</v>
      </c>
      <c r="J122" s="175">
        <v>46010</v>
      </c>
      <c r="K122" s="171" t="s">
        <v>125</v>
      </c>
      <c r="L122" s="171" t="s">
        <v>125</v>
      </c>
      <c r="M122" s="178">
        <v>0</v>
      </c>
      <c r="N122" s="176"/>
      <c r="O122" s="176"/>
      <c r="P122" s="179">
        <v>-612.5</v>
      </c>
    </row>
    <row r="123" spans="1:16" ht="19.5" customHeight="1">
      <c r="A123" s="171" t="s">
        <v>377</v>
      </c>
      <c r="B123" s="175">
        <v>46025</v>
      </c>
      <c r="C123" s="171" t="s">
        <v>110</v>
      </c>
      <c r="D123" s="171" t="s">
        <v>24</v>
      </c>
      <c r="E123" s="171" t="s">
        <v>38</v>
      </c>
      <c r="F123" s="171" t="s">
        <v>111</v>
      </c>
      <c r="G123" s="171" t="s">
        <v>112</v>
      </c>
      <c r="H123" s="176">
        <v>1</v>
      </c>
      <c r="I123" s="177">
        <v>1704</v>
      </c>
      <c r="J123" s="175">
        <v>46021</v>
      </c>
      <c r="K123" s="171" t="s">
        <v>113</v>
      </c>
      <c r="L123" s="171" t="s">
        <v>114</v>
      </c>
      <c r="M123" s="178">
        <v>0.43</v>
      </c>
      <c r="N123" s="176"/>
      <c r="O123" s="176">
        <v>38</v>
      </c>
      <c r="P123" s="179">
        <v>-104.84</v>
      </c>
    </row>
    <row r="124" spans="1:16" ht="19.5" customHeight="1">
      <c r="A124" s="171" t="s">
        <v>377</v>
      </c>
      <c r="B124" s="175">
        <v>46025</v>
      </c>
      <c r="C124" s="171" t="s">
        <v>127</v>
      </c>
      <c r="D124" s="171" t="s">
        <v>128</v>
      </c>
      <c r="E124" s="171" t="s">
        <v>38</v>
      </c>
      <c r="F124" s="171" t="s">
        <v>111</v>
      </c>
      <c r="G124" s="171" t="s">
        <v>112</v>
      </c>
      <c r="H124" s="176">
        <v>1</v>
      </c>
      <c r="I124" s="177">
        <v>1704</v>
      </c>
      <c r="J124" s="175">
        <v>46021</v>
      </c>
      <c r="K124" s="171" t="s">
        <v>113</v>
      </c>
      <c r="L124" s="171" t="s">
        <v>114</v>
      </c>
      <c r="M124" s="178">
        <v>0</v>
      </c>
      <c r="N124" s="176"/>
      <c r="O124" s="176"/>
      <c r="P124" s="179">
        <v>649.52</v>
      </c>
    </row>
    <row r="125" spans="1:16" ht="19.5" customHeight="1">
      <c r="A125" s="171" t="s">
        <v>377</v>
      </c>
      <c r="B125" s="175">
        <v>46025</v>
      </c>
      <c r="C125" s="171" t="s">
        <v>127</v>
      </c>
      <c r="D125" s="171" t="s">
        <v>129</v>
      </c>
      <c r="E125" s="171" t="s">
        <v>38</v>
      </c>
      <c r="F125" s="171" t="s">
        <v>111</v>
      </c>
      <c r="G125" s="171" t="s">
        <v>112</v>
      </c>
      <c r="H125" s="176">
        <v>1</v>
      </c>
      <c r="I125" s="177">
        <v>1704</v>
      </c>
      <c r="J125" s="175">
        <v>46021</v>
      </c>
      <c r="K125" s="171" t="s">
        <v>113</v>
      </c>
      <c r="L125" s="171" t="s">
        <v>114</v>
      </c>
      <c r="M125" s="178">
        <v>0</v>
      </c>
      <c r="N125" s="176"/>
      <c r="O125" s="176"/>
      <c r="P125" s="179">
        <v>0</v>
      </c>
    </row>
    <row r="126" spans="1:16" ht="19.5" customHeight="1">
      <c r="A126" s="171" t="s">
        <v>377</v>
      </c>
      <c r="B126" s="175">
        <v>46025</v>
      </c>
      <c r="C126" s="171" t="s">
        <v>127</v>
      </c>
      <c r="D126" s="171" t="s">
        <v>130</v>
      </c>
      <c r="E126" s="171" t="s">
        <v>38</v>
      </c>
      <c r="F126" s="171" t="s">
        <v>111</v>
      </c>
      <c r="G126" s="171" t="s">
        <v>112</v>
      </c>
      <c r="H126" s="176">
        <v>1</v>
      </c>
      <c r="I126" s="177">
        <v>1704</v>
      </c>
      <c r="J126" s="175">
        <v>46021</v>
      </c>
      <c r="K126" s="171" t="s">
        <v>113</v>
      </c>
      <c r="L126" s="171" t="s">
        <v>114</v>
      </c>
      <c r="M126" s="178">
        <v>0</v>
      </c>
      <c r="N126" s="176"/>
      <c r="O126" s="176"/>
      <c r="P126" s="179">
        <v>1054.48</v>
      </c>
    </row>
    <row r="127" spans="1:16" ht="19.5" customHeight="1">
      <c r="A127" s="171" t="s">
        <v>377</v>
      </c>
      <c r="B127" s="175">
        <v>46025</v>
      </c>
      <c r="C127" s="171" t="s">
        <v>131</v>
      </c>
      <c r="D127" s="171" t="s">
        <v>132</v>
      </c>
      <c r="E127" s="171" t="s">
        <v>38</v>
      </c>
      <c r="F127" s="171" t="s">
        <v>111</v>
      </c>
      <c r="G127" s="171" t="s">
        <v>112</v>
      </c>
      <c r="H127" s="176">
        <v>1</v>
      </c>
      <c r="I127" s="177">
        <v>1704</v>
      </c>
      <c r="J127" s="175">
        <v>46021</v>
      </c>
      <c r="K127" s="171" t="s">
        <v>113</v>
      </c>
      <c r="L127" s="171" t="s">
        <v>114</v>
      </c>
      <c r="M127" s="178">
        <v>0.43</v>
      </c>
      <c r="N127" s="176"/>
      <c r="O127" s="176"/>
      <c r="P127" s="179">
        <v>-732.72</v>
      </c>
    </row>
    <row r="128" spans="1:16" ht="19.5" customHeight="1">
      <c r="A128" s="171" t="s">
        <v>377</v>
      </c>
      <c r="B128" s="175">
        <v>46025</v>
      </c>
      <c r="C128" s="171" t="s">
        <v>115</v>
      </c>
      <c r="D128" s="171" t="s">
        <v>116</v>
      </c>
      <c r="E128" s="171" t="s">
        <v>38</v>
      </c>
      <c r="F128" s="171" t="s">
        <v>111</v>
      </c>
      <c r="G128" s="171" t="s">
        <v>112</v>
      </c>
      <c r="H128" s="176">
        <v>1</v>
      </c>
      <c r="I128" s="177">
        <v>1704</v>
      </c>
      <c r="J128" s="175">
        <v>46021</v>
      </c>
      <c r="K128" s="171" t="s">
        <v>113</v>
      </c>
      <c r="L128" s="171" t="s">
        <v>114</v>
      </c>
      <c r="M128" s="178">
        <v>0.43</v>
      </c>
      <c r="N128" s="176"/>
      <c r="O128" s="176"/>
      <c r="P128" s="179">
        <v>-10.99</v>
      </c>
    </row>
    <row r="129" spans="1:16" ht="19.5" customHeight="1">
      <c r="A129" s="171" t="s">
        <v>378</v>
      </c>
      <c r="B129" s="175">
        <v>46025</v>
      </c>
      <c r="C129" s="171" t="s">
        <v>110</v>
      </c>
      <c r="D129" s="171" t="s">
        <v>24</v>
      </c>
      <c r="E129" s="171" t="s">
        <v>38</v>
      </c>
      <c r="F129" s="171" t="s">
        <v>111</v>
      </c>
      <c r="G129" s="171" t="s">
        <v>112</v>
      </c>
      <c r="H129" s="176">
        <v>1</v>
      </c>
      <c r="I129" s="177">
        <v>1092</v>
      </c>
      <c r="J129" s="175">
        <v>46015</v>
      </c>
      <c r="K129" s="171" t="s">
        <v>113</v>
      </c>
      <c r="L129" s="171" t="s">
        <v>114</v>
      </c>
      <c r="M129" s="178">
        <v>0.43</v>
      </c>
      <c r="N129" s="176"/>
      <c r="O129" s="176">
        <v>39</v>
      </c>
      <c r="P129" s="179">
        <v>-94.29</v>
      </c>
    </row>
    <row r="130" spans="1:16" ht="19.5" customHeight="1">
      <c r="A130" s="171" t="s">
        <v>378</v>
      </c>
      <c r="B130" s="175">
        <v>46025</v>
      </c>
      <c r="C130" s="171" t="s">
        <v>127</v>
      </c>
      <c r="D130" s="171" t="s">
        <v>128</v>
      </c>
      <c r="E130" s="171" t="s">
        <v>38</v>
      </c>
      <c r="F130" s="171" t="s">
        <v>111</v>
      </c>
      <c r="G130" s="171" t="s">
        <v>112</v>
      </c>
      <c r="H130" s="176">
        <v>1</v>
      </c>
      <c r="I130" s="177">
        <v>1092</v>
      </c>
      <c r="J130" s="175">
        <v>46015</v>
      </c>
      <c r="K130" s="171" t="s">
        <v>113</v>
      </c>
      <c r="L130" s="171" t="s">
        <v>114</v>
      </c>
      <c r="M130" s="178">
        <v>0</v>
      </c>
      <c r="N130" s="176"/>
      <c r="O130" s="176"/>
      <c r="P130" s="179">
        <v>415.79</v>
      </c>
    </row>
    <row r="131" spans="1:16" ht="19.5" customHeight="1">
      <c r="A131" s="171" t="s">
        <v>378</v>
      </c>
      <c r="B131" s="175">
        <v>46025</v>
      </c>
      <c r="C131" s="171" t="s">
        <v>127</v>
      </c>
      <c r="D131" s="171" t="s">
        <v>129</v>
      </c>
      <c r="E131" s="171" t="s">
        <v>38</v>
      </c>
      <c r="F131" s="171" t="s">
        <v>111</v>
      </c>
      <c r="G131" s="171" t="s">
        <v>112</v>
      </c>
      <c r="H131" s="176">
        <v>1</v>
      </c>
      <c r="I131" s="177">
        <v>1092</v>
      </c>
      <c r="J131" s="175">
        <v>46015</v>
      </c>
      <c r="K131" s="171" t="s">
        <v>113</v>
      </c>
      <c r="L131" s="171" t="s">
        <v>114</v>
      </c>
      <c r="M131" s="178">
        <v>0</v>
      </c>
      <c r="N131" s="176"/>
      <c r="O131" s="176"/>
      <c r="P131" s="179">
        <v>0</v>
      </c>
    </row>
    <row r="132" spans="1:16" ht="19.5" customHeight="1">
      <c r="A132" s="171" t="s">
        <v>378</v>
      </c>
      <c r="B132" s="175">
        <v>46025</v>
      </c>
      <c r="C132" s="171" t="s">
        <v>127</v>
      </c>
      <c r="D132" s="171" t="s">
        <v>130</v>
      </c>
      <c r="E132" s="171" t="s">
        <v>38</v>
      </c>
      <c r="F132" s="171" t="s">
        <v>111</v>
      </c>
      <c r="G132" s="171" t="s">
        <v>112</v>
      </c>
      <c r="H132" s="176">
        <v>1</v>
      </c>
      <c r="I132" s="177">
        <v>1092</v>
      </c>
      <c r="J132" s="175">
        <v>46015</v>
      </c>
      <c r="K132" s="171" t="s">
        <v>113</v>
      </c>
      <c r="L132" s="171" t="s">
        <v>114</v>
      </c>
      <c r="M132" s="178">
        <v>0</v>
      </c>
      <c r="N132" s="176"/>
      <c r="O132" s="176"/>
      <c r="P132" s="179">
        <v>676.21</v>
      </c>
    </row>
    <row r="133" spans="1:16" ht="19.5" customHeight="1">
      <c r="A133" s="171" t="s">
        <v>378</v>
      </c>
      <c r="B133" s="175">
        <v>46025</v>
      </c>
      <c r="C133" s="171" t="s">
        <v>131</v>
      </c>
      <c r="D133" s="171" t="s">
        <v>132</v>
      </c>
      <c r="E133" s="171" t="s">
        <v>38</v>
      </c>
      <c r="F133" s="171" t="s">
        <v>111</v>
      </c>
      <c r="G133" s="171" t="s">
        <v>112</v>
      </c>
      <c r="H133" s="176">
        <v>1</v>
      </c>
      <c r="I133" s="177">
        <v>1092</v>
      </c>
      <c r="J133" s="175">
        <v>46015</v>
      </c>
      <c r="K133" s="171" t="s">
        <v>113</v>
      </c>
      <c r="L133" s="171" t="s">
        <v>114</v>
      </c>
      <c r="M133" s="178">
        <v>0.43</v>
      </c>
      <c r="N133" s="176"/>
      <c r="O133" s="176"/>
      <c r="P133" s="179">
        <v>-469.56</v>
      </c>
    </row>
    <row r="134" spans="1:16" ht="19.5" customHeight="1">
      <c r="A134" s="171" t="s">
        <v>378</v>
      </c>
      <c r="B134" s="175">
        <v>46025</v>
      </c>
      <c r="C134" s="171" t="s">
        <v>115</v>
      </c>
      <c r="D134" s="171" t="s">
        <v>116</v>
      </c>
      <c r="E134" s="171" t="s">
        <v>38</v>
      </c>
      <c r="F134" s="171" t="s">
        <v>111</v>
      </c>
      <c r="G134" s="171" t="s">
        <v>112</v>
      </c>
      <c r="H134" s="176">
        <v>1</v>
      </c>
      <c r="I134" s="177">
        <v>1092</v>
      </c>
      <c r="J134" s="175">
        <v>46015</v>
      </c>
      <c r="K134" s="171" t="s">
        <v>113</v>
      </c>
      <c r="L134" s="171" t="s">
        <v>114</v>
      </c>
      <c r="M134" s="178">
        <v>0.43</v>
      </c>
      <c r="N134" s="176"/>
      <c r="O134" s="176"/>
      <c r="P134" s="179">
        <v>-6.15</v>
      </c>
    </row>
    <row r="135" spans="1:16" ht="19.5" customHeight="1">
      <c r="A135" s="171" t="s">
        <v>379</v>
      </c>
      <c r="B135" s="175">
        <v>46025</v>
      </c>
      <c r="C135" s="171" t="s">
        <v>110</v>
      </c>
      <c r="D135" s="171" t="s">
        <v>24</v>
      </c>
      <c r="E135" s="171" t="s">
        <v>38</v>
      </c>
      <c r="F135" s="171" t="s">
        <v>111</v>
      </c>
      <c r="G135" s="171" t="s">
        <v>112</v>
      </c>
      <c r="H135" s="176">
        <v>1</v>
      </c>
      <c r="I135" s="177">
        <v>1704</v>
      </c>
      <c r="J135" s="175">
        <v>46022</v>
      </c>
      <c r="K135" s="171" t="s">
        <v>113</v>
      </c>
      <c r="L135" s="171" t="s">
        <v>114</v>
      </c>
      <c r="M135" s="178">
        <v>0.43</v>
      </c>
      <c r="N135" s="176"/>
      <c r="O135" s="176">
        <v>38</v>
      </c>
      <c r="P135" s="179">
        <v>-104.84</v>
      </c>
    </row>
    <row r="136" spans="1:16" ht="19.5" customHeight="1">
      <c r="A136" s="171" t="s">
        <v>379</v>
      </c>
      <c r="B136" s="175">
        <v>46025</v>
      </c>
      <c r="C136" s="171" t="s">
        <v>127</v>
      </c>
      <c r="D136" s="171" t="s">
        <v>128</v>
      </c>
      <c r="E136" s="171" t="s">
        <v>38</v>
      </c>
      <c r="F136" s="171" t="s">
        <v>111</v>
      </c>
      <c r="G136" s="171" t="s">
        <v>112</v>
      </c>
      <c r="H136" s="176">
        <v>1</v>
      </c>
      <c r="I136" s="177">
        <v>1704</v>
      </c>
      <c r="J136" s="175">
        <v>46022</v>
      </c>
      <c r="K136" s="171" t="s">
        <v>113</v>
      </c>
      <c r="L136" s="171" t="s">
        <v>114</v>
      </c>
      <c r="M136" s="178">
        <v>0</v>
      </c>
      <c r="N136" s="176"/>
      <c r="O136" s="176"/>
      <c r="P136" s="179">
        <v>585.16</v>
      </c>
    </row>
    <row r="137" spans="1:16" ht="19.5" customHeight="1">
      <c r="A137" s="171" t="s">
        <v>379</v>
      </c>
      <c r="B137" s="175">
        <v>46025</v>
      </c>
      <c r="C137" s="171" t="s">
        <v>127</v>
      </c>
      <c r="D137" s="171" t="s">
        <v>129</v>
      </c>
      <c r="E137" s="171" t="s">
        <v>38</v>
      </c>
      <c r="F137" s="171" t="s">
        <v>111</v>
      </c>
      <c r="G137" s="171" t="s">
        <v>112</v>
      </c>
      <c r="H137" s="176">
        <v>1</v>
      </c>
      <c r="I137" s="177">
        <v>1704</v>
      </c>
      <c r="J137" s="175">
        <v>46022</v>
      </c>
      <c r="K137" s="171" t="s">
        <v>113</v>
      </c>
      <c r="L137" s="171" t="s">
        <v>114</v>
      </c>
      <c r="M137" s="178">
        <v>0</v>
      </c>
      <c r="N137" s="176"/>
      <c r="O137" s="176"/>
      <c r="P137" s="179">
        <v>5.85</v>
      </c>
    </row>
    <row r="138" spans="1:16" ht="19.5" customHeight="1">
      <c r="A138" s="171" t="s">
        <v>379</v>
      </c>
      <c r="B138" s="175">
        <v>46025</v>
      </c>
      <c r="C138" s="171" t="s">
        <v>127</v>
      </c>
      <c r="D138" s="171" t="s">
        <v>130</v>
      </c>
      <c r="E138" s="171" t="s">
        <v>38</v>
      </c>
      <c r="F138" s="171" t="s">
        <v>111</v>
      </c>
      <c r="G138" s="171" t="s">
        <v>112</v>
      </c>
      <c r="H138" s="176">
        <v>1</v>
      </c>
      <c r="I138" s="177">
        <v>1704</v>
      </c>
      <c r="J138" s="175">
        <v>46022</v>
      </c>
      <c r="K138" s="171" t="s">
        <v>113</v>
      </c>
      <c r="L138" s="171" t="s">
        <v>114</v>
      </c>
      <c r="M138" s="178">
        <v>0</v>
      </c>
      <c r="N138" s="176"/>
      <c r="O138" s="176"/>
      <c r="P138" s="179">
        <v>1112.99</v>
      </c>
    </row>
    <row r="139" spans="1:16" ht="19.5" customHeight="1">
      <c r="A139" s="171" t="s">
        <v>379</v>
      </c>
      <c r="B139" s="175">
        <v>46025</v>
      </c>
      <c r="C139" s="171" t="s">
        <v>131</v>
      </c>
      <c r="D139" s="171" t="s">
        <v>132</v>
      </c>
      <c r="E139" s="171" t="s">
        <v>38</v>
      </c>
      <c r="F139" s="171" t="s">
        <v>111</v>
      </c>
      <c r="G139" s="171" t="s">
        <v>112</v>
      </c>
      <c r="H139" s="176">
        <v>1</v>
      </c>
      <c r="I139" s="177">
        <v>1704</v>
      </c>
      <c r="J139" s="175">
        <v>46022</v>
      </c>
      <c r="K139" s="171" t="s">
        <v>113</v>
      </c>
      <c r="L139" s="171" t="s">
        <v>114</v>
      </c>
      <c r="M139" s="178">
        <v>0.43</v>
      </c>
      <c r="N139" s="176"/>
      <c r="O139" s="176"/>
      <c r="P139" s="179">
        <v>-732.72</v>
      </c>
    </row>
    <row r="140" spans="1:16" ht="19.5" customHeight="1">
      <c r="A140" s="171" t="s">
        <v>379</v>
      </c>
      <c r="B140" s="175">
        <v>46025</v>
      </c>
      <c r="C140" s="171" t="s">
        <v>115</v>
      </c>
      <c r="D140" s="171" t="s">
        <v>116</v>
      </c>
      <c r="E140" s="171" t="s">
        <v>38</v>
      </c>
      <c r="F140" s="171" t="s">
        <v>111</v>
      </c>
      <c r="G140" s="171" t="s">
        <v>112</v>
      </c>
      <c r="H140" s="176">
        <v>1</v>
      </c>
      <c r="I140" s="177">
        <v>1704</v>
      </c>
      <c r="J140" s="175">
        <v>46022</v>
      </c>
      <c r="K140" s="171" t="s">
        <v>113</v>
      </c>
      <c r="L140" s="171" t="s">
        <v>114</v>
      </c>
      <c r="M140" s="178">
        <v>0.43</v>
      </c>
      <c r="N140" s="176"/>
      <c r="O140" s="176"/>
      <c r="P140" s="179">
        <v>-13.95</v>
      </c>
    </row>
    <row r="141" spans="1:16" ht="19.5" customHeight="1">
      <c r="A141" s="171" t="s">
        <v>380</v>
      </c>
      <c r="B141" s="175">
        <v>46025</v>
      </c>
      <c r="C141" s="171" t="s">
        <v>110</v>
      </c>
      <c r="D141" s="171" t="s">
        <v>24</v>
      </c>
      <c r="E141" s="171" t="s">
        <v>38</v>
      </c>
      <c r="F141" s="171" t="s">
        <v>111</v>
      </c>
      <c r="G141" s="171" t="s">
        <v>112</v>
      </c>
      <c r="H141" s="176">
        <v>1</v>
      </c>
      <c r="I141" s="177">
        <v>1017</v>
      </c>
      <c r="J141" s="175">
        <v>46016</v>
      </c>
      <c r="K141" s="171" t="s">
        <v>113</v>
      </c>
      <c r="L141" s="171" t="s">
        <v>114</v>
      </c>
      <c r="M141" s="178">
        <v>0.43</v>
      </c>
      <c r="N141" s="176"/>
      <c r="O141" s="176">
        <v>38</v>
      </c>
      <c r="P141" s="179">
        <v>-89.72</v>
      </c>
    </row>
    <row r="142" spans="1:16" ht="19.5" customHeight="1">
      <c r="A142" s="171" t="s">
        <v>380</v>
      </c>
      <c r="B142" s="175">
        <v>46025</v>
      </c>
      <c r="C142" s="171" t="s">
        <v>127</v>
      </c>
      <c r="D142" s="171" t="s">
        <v>128</v>
      </c>
      <c r="E142" s="171" t="s">
        <v>38</v>
      </c>
      <c r="F142" s="171" t="s">
        <v>111</v>
      </c>
      <c r="G142" s="171" t="s">
        <v>112</v>
      </c>
      <c r="H142" s="176">
        <v>1</v>
      </c>
      <c r="I142" s="177">
        <v>1017</v>
      </c>
      <c r="J142" s="175">
        <v>46016</v>
      </c>
      <c r="K142" s="171" t="s">
        <v>113</v>
      </c>
      <c r="L142" s="171" t="s">
        <v>114</v>
      </c>
      <c r="M142" s="178">
        <v>0</v>
      </c>
      <c r="N142" s="176"/>
      <c r="O142" s="176"/>
      <c r="P142" s="179">
        <v>356.19</v>
      </c>
    </row>
    <row r="143" spans="1:16" ht="19.5" customHeight="1">
      <c r="A143" s="171" t="s">
        <v>380</v>
      </c>
      <c r="B143" s="175">
        <v>46025</v>
      </c>
      <c r="C143" s="171" t="s">
        <v>127</v>
      </c>
      <c r="D143" s="171" t="s">
        <v>129</v>
      </c>
      <c r="E143" s="171" t="s">
        <v>38</v>
      </c>
      <c r="F143" s="171" t="s">
        <v>111</v>
      </c>
      <c r="G143" s="171" t="s">
        <v>112</v>
      </c>
      <c r="H143" s="176">
        <v>1</v>
      </c>
      <c r="I143" s="177">
        <v>1017</v>
      </c>
      <c r="J143" s="175">
        <v>46016</v>
      </c>
      <c r="K143" s="171" t="s">
        <v>113</v>
      </c>
      <c r="L143" s="171" t="s">
        <v>114</v>
      </c>
      <c r="M143" s="178">
        <v>0</v>
      </c>
      <c r="N143" s="176"/>
      <c r="O143" s="176"/>
      <c r="P143" s="179">
        <v>3.56</v>
      </c>
    </row>
    <row r="144" spans="1:16" ht="19.5" customHeight="1">
      <c r="A144" s="171" t="s">
        <v>380</v>
      </c>
      <c r="B144" s="175">
        <v>46025</v>
      </c>
      <c r="C144" s="171" t="s">
        <v>127</v>
      </c>
      <c r="D144" s="171" t="s">
        <v>130</v>
      </c>
      <c r="E144" s="171" t="s">
        <v>38</v>
      </c>
      <c r="F144" s="171" t="s">
        <v>111</v>
      </c>
      <c r="G144" s="171" t="s">
        <v>112</v>
      </c>
      <c r="H144" s="176">
        <v>1</v>
      </c>
      <c r="I144" s="177">
        <v>1017</v>
      </c>
      <c r="J144" s="175">
        <v>46016</v>
      </c>
      <c r="K144" s="171" t="s">
        <v>113</v>
      </c>
      <c r="L144" s="171" t="s">
        <v>114</v>
      </c>
      <c r="M144" s="178">
        <v>0</v>
      </c>
      <c r="N144" s="176"/>
      <c r="O144" s="176"/>
      <c r="P144" s="179">
        <v>657.25</v>
      </c>
    </row>
    <row r="145" spans="1:16" ht="19.5" customHeight="1">
      <c r="A145" s="171" t="s">
        <v>380</v>
      </c>
      <c r="B145" s="175">
        <v>46025</v>
      </c>
      <c r="C145" s="171" t="s">
        <v>131</v>
      </c>
      <c r="D145" s="171" t="s">
        <v>132</v>
      </c>
      <c r="E145" s="171" t="s">
        <v>38</v>
      </c>
      <c r="F145" s="171" t="s">
        <v>111</v>
      </c>
      <c r="G145" s="171" t="s">
        <v>112</v>
      </c>
      <c r="H145" s="176">
        <v>1</v>
      </c>
      <c r="I145" s="177">
        <v>1017</v>
      </c>
      <c r="J145" s="175">
        <v>46016</v>
      </c>
      <c r="K145" s="171" t="s">
        <v>113</v>
      </c>
      <c r="L145" s="171" t="s">
        <v>114</v>
      </c>
      <c r="M145" s="178">
        <v>0.43</v>
      </c>
      <c r="N145" s="176"/>
      <c r="O145" s="176"/>
      <c r="P145" s="179">
        <v>-437.31</v>
      </c>
    </row>
    <row r="146" spans="1:16" ht="19.5" customHeight="1">
      <c r="A146" s="171" t="s">
        <v>380</v>
      </c>
      <c r="B146" s="175">
        <v>46025</v>
      </c>
      <c r="C146" s="171" t="s">
        <v>115</v>
      </c>
      <c r="D146" s="171" t="s">
        <v>116</v>
      </c>
      <c r="E146" s="171" t="s">
        <v>38</v>
      </c>
      <c r="F146" s="171" t="s">
        <v>111</v>
      </c>
      <c r="G146" s="171" t="s">
        <v>112</v>
      </c>
      <c r="H146" s="176">
        <v>1</v>
      </c>
      <c r="I146" s="177">
        <v>1017</v>
      </c>
      <c r="J146" s="175">
        <v>46016</v>
      </c>
      <c r="K146" s="171" t="s">
        <v>113</v>
      </c>
      <c r="L146" s="171" t="s">
        <v>114</v>
      </c>
      <c r="M146" s="178">
        <v>0.43</v>
      </c>
      <c r="N146" s="176"/>
      <c r="O146" s="176"/>
      <c r="P146" s="179">
        <v>-18.91</v>
      </c>
    </row>
    <row r="147" spans="1:16" ht="19.5" customHeight="1">
      <c r="A147" s="171" t="s">
        <v>381</v>
      </c>
      <c r="B147" s="175">
        <v>46025</v>
      </c>
      <c r="C147" s="171" t="s">
        <v>115</v>
      </c>
      <c r="D147" s="171" t="s">
        <v>135</v>
      </c>
      <c r="E147" s="171" t="s">
        <v>38</v>
      </c>
      <c r="F147" s="171" t="s">
        <v>111</v>
      </c>
      <c r="G147" s="171" t="s">
        <v>112</v>
      </c>
      <c r="H147" s="176">
        <v>1</v>
      </c>
      <c r="I147" s="177">
        <v>0</v>
      </c>
      <c r="J147" s="175">
        <v>46025</v>
      </c>
      <c r="K147" s="171" t="s">
        <v>125</v>
      </c>
      <c r="L147" s="171" t="s">
        <v>125</v>
      </c>
      <c r="M147" s="178">
        <v>0</v>
      </c>
      <c r="N147" s="176"/>
      <c r="O147" s="176"/>
      <c r="P147" s="179">
        <v>-11.12</v>
      </c>
    </row>
    <row r="148" spans="1:16" ht="19.5" customHeight="1">
      <c r="A148" s="171" t="s">
        <v>380</v>
      </c>
      <c r="B148" s="175">
        <v>46025</v>
      </c>
      <c r="C148" s="171" t="s">
        <v>115</v>
      </c>
      <c r="D148" s="171" t="s">
        <v>135</v>
      </c>
      <c r="E148" s="171" t="s">
        <v>38</v>
      </c>
      <c r="F148" s="171" t="s">
        <v>111</v>
      </c>
      <c r="G148" s="171" t="s">
        <v>112</v>
      </c>
      <c r="H148" s="176">
        <v>1</v>
      </c>
      <c r="I148" s="177">
        <v>0</v>
      </c>
      <c r="J148" s="175">
        <v>46016</v>
      </c>
      <c r="K148" s="171" t="s">
        <v>125</v>
      </c>
      <c r="L148" s="171" t="s">
        <v>125</v>
      </c>
      <c r="M148" s="178">
        <v>0</v>
      </c>
      <c r="N148" s="176"/>
      <c r="O148" s="176"/>
      <c r="P148" s="179">
        <v>-6.77</v>
      </c>
    </row>
    <row r="149" spans="1:16" ht="19.5" customHeight="1">
      <c r="A149" s="171" t="s">
        <v>382</v>
      </c>
      <c r="B149" s="175">
        <v>46025</v>
      </c>
      <c r="C149" s="171" t="s">
        <v>115</v>
      </c>
      <c r="D149" s="171" t="s">
        <v>135</v>
      </c>
      <c r="E149" s="171" t="s">
        <v>51</v>
      </c>
      <c r="F149" s="171" t="s">
        <v>227</v>
      </c>
      <c r="G149" s="171" t="s">
        <v>112</v>
      </c>
      <c r="H149" s="176">
        <v>1</v>
      </c>
      <c r="I149" s="177">
        <v>0</v>
      </c>
      <c r="J149" s="175">
        <v>46025</v>
      </c>
      <c r="K149" s="171" t="s">
        <v>125</v>
      </c>
      <c r="L149" s="171" t="s">
        <v>125</v>
      </c>
      <c r="M149" s="178">
        <v>0</v>
      </c>
      <c r="N149" s="176"/>
      <c r="O149" s="176"/>
      <c r="P149" s="179">
        <v>-12.07</v>
      </c>
    </row>
    <row r="150" spans="1:16" ht="19.5" customHeight="1">
      <c r="A150" s="171" t="s">
        <v>383</v>
      </c>
      <c r="B150" s="175">
        <v>46025</v>
      </c>
      <c r="C150" s="171" t="s">
        <v>110</v>
      </c>
      <c r="D150" s="171" t="s">
        <v>24</v>
      </c>
      <c r="E150" s="171" t="s">
        <v>38</v>
      </c>
      <c r="F150" s="171" t="s">
        <v>111</v>
      </c>
      <c r="G150" s="171" t="s">
        <v>112</v>
      </c>
      <c r="H150" s="176">
        <v>1</v>
      </c>
      <c r="I150" s="177">
        <v>1704</v>
      </c>
      <c r="J150" s="175">
        <v>46022</v>
      </c>
      <c r="K150" s="171" t="s">
        <v>113</v>
      </c>
      <c r="L150" s="171" t="s">
        <v>114</v>
      </c>
      <c r="M150" s="178">
        <v>0.43</v>
      </c>
      <c r="N150" s="176"/>
      <c r="O150" s="176">
        <v>38</v>
      </c>
      <c r="P150" s="179">
        <v>-103.73</v>
      </c>
    </row>
    <row r="151" spans="1:16" ht="19.5" customHeight="1">
      <c r="A151" s="171" t="s">
        <v>383</v>
      </c>
      <c r="B151" s="175">
        <v>46025</v>
      </c>
      <c r="C151" s="171" t="s">
        <v>127</v>
      </c>
      <c r="D151" s="171" t="s">
        <v>128</v>
      </c>
      <c r="E151" s="171" t="s">
        <v>38</v>
      </c>
      <c r="F151" s="171" t="s">
        <v>111</v>
      </c>
      <c r="G151" s="171" t="s">
        <v>112</v>
      </c>
      <c r="H151" s="176">
        <v>1</v>
      </c>
      <c r="I151" s="177">
        <v>1704</v>
      </c>
      <c r="J151" s="175">
        <v>46022</v>
      </c>
      <c r="K151" s="171" t="s">
        <v>113</v>
      </c>
      <c r="L151" s="171" t="s">
        <v>114</v>
      </c>
      <c r="M151" s="178">
        <v>0</v>
      </c>
      <c r="N151" s="176"/>
      <c r="O151" s="176"/>
      <c r="P151" s="179">
        <v>585.71</v>
      </c>
    </row>
    <row r="152" spans="1:16" ht="19.5" customHeight="1">
      <c r="A152" s="171" t="s">
        <v>383</v>
      </c>
      <c r="B152" s="175">
        <v>46025</v>
      </c>
      <c r="C152" s="171" t="s">
        <v>127</v>
      </c>
      <c r="D152" s="171" t="s">
        <v>129</v>
      </c>
      <c r="E152" s="171" t="s">
        <v>38</v>
      </c>
      <c r="F152" s="171" t="s">
        <v>111</v>
      </c>
      <c r="G152" s="171" t="s">
        <v>112</v>
      </c>
      <c r="H152" s="176">
        <v>1</v>
      </c>
      <c r="I152" s="177">
        <v>1704</v>
      </c>
      <c r="J152" s="175">
        <v>46022</v>
      </c>
      <c r="K152" s="171" t="s">
        <v>113</v>
      </c>
      <c r="L152" s="171" t="s">
        <v>114</v>
      </c>
      <c r="M152" s="178">
        <v>0</v>
      </c>
      <c r="N152" s="176"/>
      <c r="O152" s="176"/>
      <c r="P152" s="179">
        <v>5.86</v>
      </c>
    </row>
    <row r="153" spans="1:16" ht="19.5" customHeight="1">
      <c r="A153" s="171" t="s">
        <v>383</v>
      </c>
      <c r="B153" s="175">
        <v>46025</v>
      </c>
      <c r="C153" s="171" t="s">
        <v>127</v>
      </c>
      <c r="D153" s="171" t="s">
        <v>130</v>
      </c>
      <c r="E153" s="171" t="s">
        <v>38</v>
      </c>
      <c r="F153" s="171" t="s">
        <v>111</v>
      </c>
      <c r="G153" s="171" t="s">
        <v>112</v>
      </c>
      <c r="H153" s="176">
        <v>1</v>
      </c>
      <c r="I153" s="177">
        <v>1704</v>
      </c>
      <c r="J153" s="175">
        <v>46022</v>
      </c>
      <c r="K153" s="171" t="s">
        <v>113</v>
      </c>
      <c r="L153" s="171" t="s">
        <v>114</v>
      </c>
      <c r="M153" s="178">
        <v>0</v>
      </c>
      <c r="N153" s="176"/>
      <c r="O153" s="176"/>
      <c r="P153" s="179">
        <v>1112.43</v>
      </c>
    </row>
    <row r="154" spans="1:16" ht="19.5" customHeight="1">
      <c r="A154" s="171" t="s">
        <v>383</v>
      </c>
      <c r="B154" s="175">
        <v>46025</v>
      </c>
      <c r="C154" s="171" t="s">
        <v>131</v>
      </c>
      <c r="D154" s="171" t="s">
        <v>132</v>
      </c>
      <c r="E154" s="171" t="s">
        <v>38</v>
      </c>
      <c r="F154" s="171" t="s">
        <v>111</v>
      </c>
      <c r="G154" s="171" t="s">
        <v>112</v>
      </c>
      <c r="H154" s="176">
        <v>1</v>
      </c>
      <c r="I154" s="177">
        <v>1704</v>
      </c>
      <c r="J154" s="175">
        <v>46022</v>
      </c>
      <c r="K154" s="171" t="s">
        <v>113</v>
      </c>
      <c r="L154" s="171" t="s">
        <v>114</v>
      </c>
      <c r="M154" s="178">
        <v>0.43</v>
      </c>
      <c r="N154" s="176"/>
      <c r="O154" s="176"/>
      <c r="P154" s="179">
        <v>-732.72</v>
      </c>
    </row>
    <row r="155" spans="1:16" ht="19.5" customHeight="1">
      <c r="A155" s="171" t="s">
        <v>383</v>
      </c>
      <c r="B155" s="175">
        <v>46025</v>
      </c>
      <c r="C155" s="171" t="s">
        <v>115</v>
      </c>
      <c r="D155" s="171" t="s">
        <v>116</v>
      </c>
      <c r="E155" s="171" t="s">
        <v>38</v>
      </c>
      <c r="F155" s="171" t="s">
        <v>111</v>
      </c>
      <c r="G155" s="171" t="s">
        <v>112</v>
      </c>
      <c r="H155" s="176">
        <v>1</v>
      </c>
      <c r="I155" s="177">
        <v>1704</v>
      </c>
      <c r="J155" s="175">
        <v>46022</v>
      </c>
      <c r="K155" s="171" t="s">
        <v>113</v>
      </c>
      <c r="L155" s="171" t="s">
        <v>114</v>
      </c>
      <c r="M155" s="178">
        <v>0.43</v>
      </c>
      <c r="N155" s="176"/>
      <c r="O155" s="176"/>
      <c r="P155" s="179">
        <v>-12.76</v>
      </c>
    </row>
    <row r="156" spans="1:16" ht="19.5" customHeight="1">
      <c r="A156" s="171" t="s">
        <v>384</v>
      </c>
      <c r="B156" s="175">
        <v>46025</v>
      </c>
      <c r="C156" s="171" t="s">
        <v>115</v>
      </c>
      <c r="D156" s="171" t="s">
        <v>135</v>
      </c>
      <c r="E156" s="171" t="s">
        <v>41</v>
      </c>
      <c r="F156" s="171" t="s">
        <v>138</v>
      </c>
      <c r="G156" s="171" t="s">
        <v>112</v>
      </c>
      <c r="H156" s="176">
        <v>1</v>
      </c>
      <c r="I156" s="177">
        <v>0</v>
      </c>
      <c r="J156" s="175">
        <v>46014</v>
      </c>
      <c r="K156" s="171" t="s">
        <v>125</v>
      </c>
      <c r="L156" s="171" t="s">
        <v>125</v>
      </c>
      <c r="M156" s="178">
        <v>0</v>
      </c>
      <c r="N156" s="176"/>
      <c r="O156" s="176"/>
      <c r="P156" s="179">
        <v>11.02</v>
      </c>
    </row>
    <row r="157" spans="1:16" ht="19.5" customHeight="1">
      <c r="A157" s="171" t="s">
        <v>385</v>
      </c>
      <c r="B157" s="175">
        <v>46025</v>
      </c>
      <c r="C157" s="171" t="s">
        <v>115</v>
      </c>
      <c r="D157" s="171" t="s">
        <v>135</v>
      </c>
      <c r="E157" s="171" t="s">
        <v>41</v>
      </c>
      <c r="F157" s="171" t="s">
        <v>138</v>
      </c>
      <c r="G157" s="171" t="s">
        <v>112</v>
      </c>
      <c r="H157" s="176">
        <v>1</v>
      </c>
      <c r="I157" s="177">
        <v>0</v>
      </c>
      <c r="J157" s="175">
        <v>46025</v>
      </c>
      <c r="K157" s="171" t="s">
        <v>125</v>
      </c>
      <c r="L157" s="171" t="s">
        <v>125</v>
      </c>
      <c r="M157" s="178">
        <v>0</v>
      </c>
      <c r="N157" s="176"/>
      <c r="O157" s="176"/>
      <c r="P157" s="179">
        <v>-4.92</v>
      </c>
    </row>
    <row r="158" spans="1:16" ht="19.5" customHeight="1">
      <c r="A158" s="171" t="s">
        <v>386</v>
      </c>
      <c r="B158" s="175">
        <v>46025</v>
      </c>
      <c r="C158" s="171" t="s">
        <v>110</v>
      </c>
      <c r="D158" s="171" t="s">
        <v>24</v>
      </c>
      <c r="E158" s="171" t="s">
        <v>41</v>
      </c>
      <c r="F158" s="171" t="s">
        <v>138</v>
      </c>
      <c r="G158" s="171" t="s">
        <v>112</v>
      </c>
      <c r="H158" s="176">
        <v>1</v>
      </c>
      <c r="I158" s="177">
        <v>1687</v>
      </c>
      <c r="J158" s="175">
        <v>46018</v>
      </c>
      <c r="K158" s="171" t="s">
        <v>113</v>
      </c>
      <c r="L158" s="171" t="s">
        <v>114</v>
      </c>
      <c r="M158" s="178">
        <v>0.43</v>
      </c>
      <c r="N158" s="176"/>
      <c r="O158" s="176">
        <v>39</v>
      </c>
      <c r="P158" s="179">
        <v>-109.71</v>
      </c>
    </row>
    <row r="159" spans="1:16" ht="19.5" customHeight="1">
      <c r="A159" s="171" t="s">
        <v>386</v>
      </c>
      <c r="B159" s="175">
        <v>46025</v>
      </c>
      <c r="C159" s="171" t="s">
        <v>127</v>
      </c>
      <c r="D159" s="171" t="s">
        <v>128</v>
      </c>
      <c r="E159" s="171" t="s">
        <v>41</v>
      </c>
      <c r="F159" s="171" t="s">
        <v>138</v>
      </c>
      <c r="G159" s="171" t="s">
        <v>112</v>
      </c>
      <c r="H159" s="176">
        <v>1</v>
      </c>
      <c r="I159" s="177">
        <v>1687</v>
      </c>
      <c r="J159" s="175">
        <v>46018</v>
      </c>
      <c r="K159" s="171" t="s">
        <v>113</v>
      </c>
      <c r="L159" s="171" t="s">
        <v>114</v>
      </c>
      <c r="M159" s="178">
        <v>0</v>
      </c>
      <c r="N159" s="176"/>
      <c r="O159" s="176"/>
      <c r="P159" s="179">
        <v>580</v>
      </c>
    </row>
    <row r="160" spans="1:16" ht="19.5" customHeight="1">
      <c r="A160" s="171" t="s">
        <v>386</v>
      </c>
      <c r="B160" s="175">
        <v>46025</v>
      </c>
      <c r="C160" s="171" t="s">
        <v>127</v>
      </c>
      <c r="D160" s="171" t="s">
        <v>129</v>
      </c>
      <c r="E160" s="171" t="s">
        <v>41</v>
      </c>
      <c r="F160" s="171" t="s">
        <v>138</v>
      </c>
      <c r="G160" s="171" t="s">
        <v>112</v>
      </c>
      <c r="H160" s="176">
        <v>1</v>
      </c>
      <c r="I160" s="177">
        <v>1687</v>
      </c>
      <c r="J160" s="175">
        <v>46018</v>
      </c>
      <c r="K160" s="171" t="s">
        <v>113</v>
      </c>
      <c r="L160" s="171" t="s">
        <v>114</v>
      </c>
      <c r="M160" s="178">
        <v>0</v>
      </c>
      <c r="N160" s="176"/>
      <c r="O160" s="176"/>
      <c r="P160" s="179">
        <v>5.8</v>
      </c>
    </row>
    <row r="161" spans="1:16" ht="19.5" customHeight="1">
      <c r="A161" s="171" t="s">
        <v>386</v>
      </c>
      <c r="B161" s="175">
        <v>46025</v>
      </c>
      <c r="C161" s="171" t="s">
        <v>127</v>
      </c>
      <c r="D161" s="171" t="s">
        <v>130</v>
      </c>
      <c r="E161" s="171" t="s">
        <v>41</v>
      </c>
      <c r="F161" s="171" t="s">
        <v>138</v>
      </c>
      <c r="G161" s="171" t="s">
        <v>112</v>
      </c>
      <c r="H161" s="176">
        <v>1</v>
      </c>
      <c r="I161" s="177">
        <v>1687</v>
      </c>
      <c r="J161" s="175">
        <v>46018</v>
      </c>
      <c r="K161" s="171" t="s">
        <v>113</v>
      </c>
      <c r="L161" s="171" t="s">
        <v>114</v>
      </c>
      <c r="M161" s="178">
        <v>0</v>
      </c>
      <c r="N161" s="176"/>
      <c r="O161" s="176"/>
      <c r="P161" s="179">
        <v>1101.2</v>
      </c>
    </row>
    <row r="162" spans="1:16" ht="19.5" customHeight="1">
      <c r="A162" s="171" t="s">
        <v>386</v>
      </c>
      <c r="B162" s="175">
        <v>46025</v>
      </c>
      <c r="C162" s="171" t="s">
        <v>131</v>
      </c>
      <c r="D162" s="171" t="s">
        <v>132</v>
      </c>
      <c r="E162" s="171" t="s">
        <v>41</v>
      </c>
      <c r="F162" s="171" t="s">
        <v>138</v>
      </c>
      <c r="G162" s="171" t="s">
        <v>112</v>
      </c>
      <c r="H162" s="176">
        <v>1</v>
      </c>
      <c r="I162" s="177">
        <v>1687</v>
      </c>
      <c r="J162" s="175">
        <v>46018</v>
      </c>
      <c r="K162" s="171" t="s">
        <v>113</v>
      </c>
      <c r="L162" s="171" t="s">
        <v>114</v>
      </c>
      <c r="M162" s="178">
        <v>0.43</v>
      </c>
      <c r="N162" s="176"/>
      <c r="O162" s="176"/>
      <c r="P162" s="179">
        <v>-725.41</v>
      </c>
    </row>
    <row r="163" spans="1:16" ht="19.5" customHeight="1">
      <c r="A163" s="171" t="s">
        <v>387</v>
      </c>
      <c r="B163" s="175">
        <v>46025</v>
      </c>
      <c r="C163" s="171" t="s">
        <v>110</v>
      </c>
      <c r="D163" s="171" t="s">
        <v>24</v>
      </c>
      <c r="E163" s="171" t="s">
        <v>38</v>
      </c>
      <c r="F163" s="171" t="s">
        <v>111</v>
      </c>
      <c r="G163" s="171" t="s">
        <v>112</v>
      </c>
      <c r="H163" s="176">
        <v>1</v>
      </c>
      <c r="I163" s="177">
        <v>1704</v>
      </c>
      <c r="J163" s="175">
        <v>46018</v>
      </c>
      <c r="K163" s="171" t="s">
        <v>113</v>
      </c>
      <c r="L163" s="171" t="s">
        <v>114</v>
      </c>
      <c r="M163" s="178">
        <v>0.43</v>
      </c>
      <c r="N163" s="176"/>
      <c r="O163" s="176">
        <v>39</v>
      </c>
      <c r="P163" s="179">
        <v>-110.12</v>
      </c>
    </row>
    <row r="164" spans="1:16" ht="19.5" customHeight="1">
      <c r="A164" s="171" t="s">
        <v>387</v>
      </c>
      <c r="B164" s="175">
        <v>46025</v>
      </c>
      <c r="C164" s="171" t="s">
        <v>127</v>
      </c>
      <c r="D164" s="171" t="s">
        <v>128</v>
      </c>
      <c r="E164" s="171" t="s">
        <v>38</v>
      </c>
      <c r="F164" s="171" t="s">
        <v>111</v>
      </c>
      <c r="G164" s="171" t="s">
        <v>112</v>
      </c>
      <c r="H164" s="176">
        <v>1</v>
      </c>
      <c r="I164" s="177">
        <v>1704</v>
      </c>
      <c r="J164" s="175">
        <v>46018</v>
      </c>
      <c r="K164" s="171" t="s">
        <v>113</v>
      </c>
      <c r="L164" s="171" t="s">
        <v>114</v>
      </c>
      <c r="M164" s="178">
        <v>0</v>
      </c>
      <c r="N164" s="176"/>
      <c r="O164" s="176"/>
      <c r="P164" s="179">
        <v>585.16</v>
      </c>
    </row>
    <row r="165" spans="1:16" ht="19.5" customHeight="1">
      <c r="A165" s="171" t="s">
        <v>387</v>
      </c>
      <c r="B165" s="175">
        <v>46025</v>
      </c>
      <c r="C165" s="171" t="s">
        <v>127</v>
      </c>
      <c r="D165" s="171" t="s">
        <v>129</v>
      </c>
      <c r="E165" s="171" t="s">
        <v>38</v>
      </c>
      <c r="F165" s="171" t="s">
        <v>111</v>
      </c>
      <c r="G165" s="171" t="s">
        <v>112</v>
      </c>
      <c r="H165" s="176">
        <v>1</v>
      </c>
      <c r="I165" s="177">
        <v>1704</v>
      </c>
      <c r="J165" s="175">
        <v>46018</v>
      </c>
      <c r="K165" s="171" t="s">
        <v>113</v>
      </c>
      <c r="L165" s="171" t="s">
        <v>114</v>
      </c>
      <c r="M165" s="178">
        <v>0</v>
      </c>
      <c r="N165" s="176"/>
      <c r="O165" s="176"/>
      <c r="P165" s="179">
        <v>5.85</v>
      </c>
    </row>
    <row r="166" spans="1:16" ht="19.5" customHeight="1">
      <c r="A166" s="171" t="s">
        <v>387</v>
      </c>
      <c r="B166" s="175">
        <v>46025</v>
      </c>
      <c r="C166" s="171" t="s">
        <v>127</v>
      </c>
      <c r="D166" s="171" t="s">
        <v>130</v>
      </c>
      <c r="E166" s="171" t="s">
        <v>38</v>
      </c>
      <c r="F166" s="171" t="s">
        <v>111</v>
      </c>
      <c r="G166" s="171" t="s">
        <v>112</v>
      </c>
      <c r="H166" s="176">
        <v>1</v>
      </c>
      <c r="I166" s="177">
        <v>1704</v>
      </c>
      <c r="J166" s="175">
        <v>46018</v>
      </c>
      <c r="K166" s="171" t="s">
        <v>113</v>
      </c>
      <c r="L166" s="171" t="s">
        <v>114</v>
      </c>
      <c r="M166" s="178">
        <v>0</v>
      </c>
      <c r="N166" s="176"/>
      <c r="O166" s="176"/>
      <c r="P166" s="179">
        <v>1112.99</v>
      </c>
    </row>
    <row r="167" spans="1:16" ht="19.5" customHeight="1">
      <c r="A167" s="171" t="s">
        <v>387</v>
      </c>
      <c r="B167" s="175">
        <v>46025</v>
      </c>
      <c r="C167" s="171" t="s">
        <v>131</v>
      </c>
      <c r="D167" s="171" t="s">
        <v>132</v>
      </c>
      <c r="E167" s="171" t="s">
        <v>38</v>
      </c>
      <c r="F167" s="171" t="s">
        <v>111</v>
      </c>
      <c r="G167" s="171" t="s">
        <v>112</v>
      </c>
      <c r="H167" s="176">
        <v>1</v>
      </c>
      <c r="I167" s="177">
        <v>1704</v>
      </c>
      <c r="J167" s="175">
        <v>46018</v>
      </c>
      <c r="K167" s="171" t="s">
        <v>113</v>
      </c>
      <c r="L167" s="171" t="s">
        <v>114</v>
      </c>
      <c r="M167" s="178">
        <v>0.43</v>
      </c>
      <c r="N167" s="176"/>
      <c r="O167" s="176"/>
      <c r="P167" s="179">
        <v>-732.72</v>
      </c>
    </row>
    <row r="168" spans="1:16" ht="19.5" customHeight="1">
      <c r="A168" s="171" t="s">
        <v>387</v>
      </c>
      <c r="B168" s="175">
        <v>46025</v>
      </c>
      <c r="C168" s="171" t="s">
        <v>115</v>
      </c>
      <c r="D168" s="171" t="s">
        <v>116</v>
      </c>
      <c r="E168" s="171" t="s">
        <v>38</v>
      </c>
      <c r="F168" s="171" t="s">
        <v>111</v>
      </c>
      <c r="G168" s="171" t="s">
        <v>112</v>
      </c>
      <c r="H168" s="176">
        <v>1</v>
      </c>
      <c r="I168" s="177">
        <v>1704</v>
      </c>
      <c r="J168" s="175">
        <v>46018</v>
      </c>
      <c r="K168" s="171" t="s">
        <v>113</v>
      </c>
      <c r="L168" s="171" t="s">
        <v>114</v>
      </c>
      <c r="M168" s="178">
        <v>0.43</v>
      </c>
      <c r="N168" s="176"/>
      <c r="O168" s="176"/>
      <c r="P168" s="179">
        <v>-7.8</v>
      </c>
    </row>
    <row r="169" spans="1:16" ht="19.5" customHeight="1">
      <c r="A169" s="171" t="s">
        <v>387</v>
      </c>
      <c r="B169" s="175">
        <v>46025</v>
      </c>
      <c r="C169" s="171" t="s">
        <v>115</v>
      </c>
      <c r="D169" s="171" t="s">
        <v>135</v>
      </c>
      <c r="E169" s="171" t="s">
        <v>38</v>
      </c>
      <c r="F169" s="171" t="s">
        <v>111</v>
      </c>
      <c r="G169" s="171" t="s">
        <v>112</v>
      </c>
      <c r="H169" s="176">
        <v>1</v>
      </c>
      <c r="I169" s="177">
        <v>0</v>
      </c>
      <c r="J169" s="175">
        <v>46018</v>
      </c>
      <c r="K169" s="171" t="s">
        <v>125</v>
      </c>
      <c r="L169" s="171" t="s">
        <v>125</v>
      </c>
      <c r="M169" s="178">
        <v>0</v>
      </c>
      <c r="N169" s="176"/>
      <c r="O169" s="176"/>
      <c r="P169" s="179">
        <v>-11.12</v>
      </c>
    </row>
    <row r="170" spans="1:16" ht="19.5" customHeight="1">
      <c r="A170" s="171" t="s">
        <v>388</v>
      </c>
      <c r="B170" s="175">
        <v>46025</v>
      </c>
      <c r="C170" s="171" t="s">
        <v>110</v>
      </c>
      <c r="D170" s="171" t="s">
        <v>24</v>
      </c>
      <c r="E170" s="171" t="s">
        <v>48</v>
      </c>
      <c r="F170" s="171" t="s">
        <v>198</v>
      </c>
      <c r="G170" s="171" t="s">
        <v>112</v>
      </c>
      <c r="H170" s="176">
        <v>1</v>
      </c>
      <c r="I170" s="177">
        <v>0</v>
      </c>
      <c r="J170" s="175">
        <v>46018</v>
      </c>
      <c r="K170" s="171" t="s">
        <v>113</v>
      </c>
      <c r="L170" s="171" t="s">
        <v>114</v>
      </c>
      <c r="M170" s="178">
        <v>0</v>
      </c>
      <c r="N170" s="176"/>
      <c r="O170" s="176">
        <v>39</v>
      </c>
      <c r="P170" s="179">
        <v>-46.77</v>
      </c>
    </row>
    <row r="171" spans="1:16" ht="19.5" customHeight="1">
      <c r="A171" s="171" t="s">
        <v>388</v>
      </c>
      <c r="B171" s="175">
        <v>46025</v>
      </c>
      <c r="C171" s="171" t="s">
        <v>110</v>
      </c>
      <c r="D171" s="171" t="s">
        <v>117</v>
      </c>
      <c r="E171" s="171" t="s">
        <v>48</v>
      </c>
      <c r="F171" s="171" t="s">
        <v>198</v>
      </c>
      <c r="G171" s="171" t="s">
        <v>112</v>
      </c>
      <c r="H171" s="176">
        <v>1</v>
      </c>
      <c r="I171" s="177">
        <v>0</v>
      </c>
      <c r="J171" s="175">
        <v>46018</v>
      </c>
      <c r="K171" s="171" t="s">
        <v>113</v>
      </c>
      <c r="L171" s="171" t="s">
        <v>114</v>
      </c>
      <c r="M171" s="178">
        <v>0</v>
      </c>
      <c r="N171" s="176"/>
      <c r="O171" s="176"/>
      <c r="P171" s="179">
        <v>0</v>
      </c>
    </row>
    <row r="172" spans="1:16" ht="19.5" customHeight="1">
      <c r="A172" s="171" t="s">
        <v>388</v>
      </c>
      <c r="B172" s="175">
        <v>46025</v>
      </c>
      <c r="C172" s="171" t="s">
        <v>110</v>
      </c>
      <c r="D172" s="171" t="s">
        <v>118</v>
      </c>
      <c r="E172" s="171" t="s">
        <v>48</v>
      </c>
      <c r="F172" s="171" t="s">
        <v>198</v>
      </c>
      <c r="G172" s="171" t="s">
        <v>112</v>
      </c>
      <c r="H172" s="176">
        <v>1</v>
      </c>
      <c r="I172" s="177">
        <v>0</v>
      </c>
      <c r="J172" s="175">
        <v>46018</v>
      </c>
      <c r="K172" s="171" t="s">
        <v>113</v>
      </c>
      <c r="L172" s="171" t="s">
        <v>114</v>
      </c>
      <c r="M172" s="178">
        <v>0</v>
      </c>
      <c r="N172" s="176"/>
      <c r="O172" s="176"/>
      <c r="P172" s="179">
        <v>-46.77</v>
      </c>
    </row>
    <row r="173" spans="1:16" ht="19.5" customHeight="1">
      <c r="A173" s="171" t="s">
        <v>150</v>
      </c>
      <c r="B173" s="175">
        <v>46025</v>
      </c>
      <c r="C173" s="171" t="s">
        <v>151</v>
      </c>
      <c r="D173" s="171" t="s">
        <v>152</v>
      </c>
      <c r="E173" s="171" t="s">
        <v>125</v>
      </c>
      <c r="F173" s="171" t="s">
        <v>125</v>
      </c>
      <c r="G173" s="171" t="s">
        <v>125</v>
      </c>
      <c r="H173" s="176">
        <v>0</v>
      </c>
      <c r="I173" s="177">
        <v>0</v>
      </c>
      <c r="J173" s="175">
        <v>46025</v>
      </c>
      <c r="K173" s="171" t="s">
        <v>125</v>
      </c>
      <c r="L173" s="171" t="s">
        <v>125</v>
      </c>
      <c r="M173" s="178">
        <v>0</v>
      </c>
      <c r="N173" s="176"/>
      <c r="O173" s="176"/>
      <c r="P173" s="179">
        <v>-1296.52</v>
      </c>
    </row>
    <row r="174" spans="1:16" ht="19.5" customHeight="1">
      <c r="A174" s="171" t="s">
        <v>349</v>
      </c>
      <c r="B174" s="175">
        <v>46025</v>
      </c>
      <c r="C174" s="171" t="s">
        <v>151</v>
      </c>
      <c r="D174" s="171" t="s">
        <v>152</v>
      </c>
      <c r="E174" s="171" t="s">
        <v>125</v>
      </c>
      <c r="F174" s="171" t="s">
        <v>125</v>
      </c>
      <c r="G174" s="171" t="s">
        <v>125</v>
      </c>
      <c r="H174" s="176">
        <v>0</v>
      </c>
      <c r="I174" s="177">
        <v>0</v>
      </c>
      <c r="J174" s="175">
        <v>46025</v>
      </c>
      <c r="K174" s="171" t="s">
        <v>125</v>
      </c>
      <c r="L174" s="171" t="s">
        <v>125</v>
      </c>
      <c r="M174" s="178">
        <v>0</v>
      </c>
      <c r="N174" s="176"/>
      <c r="O174" s="176"/>
      <c r="P174" s="179">
        <v>-274.97000000000003</v>
      </c>
    </row>
    <row r="175" spans="1:16" ht="19.5" customHeight="1">
      <c r="A175" s="171" t="s">
        <v>155</v>
      </c>
      <c r="B175" s="175">
        <v>46025</v>
      </c>
      <c r="C175" s="171" t="s">
        <v>151</v>
      </c>
      <c r="D175" s="171" t="s">
        <v>156</v>
      </c>
      <c r="E175" s="171" t="s">
        <v>125</v>
      </c>
      <c r="F175" s="171" t="s">
        <v>125</v>
      </c>
      <c r="G175" s="171" t="s">
        <v>125</v>
      </c>
      <c r="H175" s="176">
        <v>0</v>
      </c>
      <c r="I175" s="177">
        <v>0</v>
      </c>
      <c r="J175" s="175">
        <v>46025</v>
      </c>
      <c r="K175" s="171" t="s">
        <v>125</v>
      </c>
      <c r="L175" s="171" t="s">
        <v>125</v>
      </c>
      <c r="M175" s="178">
        <v>0</v>
      </c>
      <c r="N175" s="176"/>
      <c r="O175" s="176"/>
      <c r="P175" s="179">
        <v>-1336.25</v>
      </c>
    </row>
    <row r="176" spans="1:16" ht="19.5" customHeight="1">
      <c r="A176" s="171" t="s">
        <v>352</v>
      </c>
      <c r="B176" s="175">
        <v>46025</v>
      </c>
      <c r="C176" s="171" t="s">
        <v>151</v>
      </c>
      <c r="D176" s="171" t="s">
        <v>152</v>
      </c>
      <c r="E176" s="171" t="s">
        <v>125</v>
      </c>
      <c r="F176" s="171" t="s">
        <v>125</v>
      </c>
      <c r="G176" s="171" t="s">
        <v>125</v>
      </c>
      <c r="H176" s="176">
        <v>0</v>
      </c>
      <c r="I176" s="177">
        <v>0</v>
      </c>
      <c r="J176" s="175">
        <v>46025</v>
      </c>
      <c r="K176" s="171" t="s">
        <v>125</v>
      </c>
      <c r="L176" s="171" t="s">
        <v>125</v>
      </c>
      <c r="M176" s="178">
        <v>0</v>
      </c>
      <c r="N176" s="176"/>
      <c r="O176" s="176"/>
      <c r="P176" s="179">
        <v>-558.61</v>
      </c>
    </row>
    <row r="177" spans="1:16" ht="19.5" customHeight="1">
      <c r="A177" s="171" t="s">
        <v>389</v>
      </c>
      <c r="B177" s="175">
        <v>46026</v>
      </c>
      <c r="C177" s="171" t="s">
        <v>115</v>
      </c>
      <c r="D177" s="171" t="s">
        <v>135</v>
      </c>
      <c r="E177" s="171" t="s">
        <v>38</v>
      </c>
      <c r="F177" s="171" t="s">
        <v>111</v>
      </c>
      <c r="G177" s="171" t="s">
        <v>112</v>
      </c>
      <c r="H177" s="176">
        <v>1</v>
      </c>
      <c r="I177" s="177">
        <v>0</v>
      </c>
      <c r="J177" s="175">
        <v>46026</v>
      </c>
      <c r="K177" s="171" t="s">
        <v>125</v>
      </c>
      <c r="L177" s="171" t="s">
        <v>125</v>
      </c>
      <c r="M177" s="178">
        <v>0</v>
      </c>
      <c r="N177" s="176"/>
      <c r="O177" s="176"/>
      <c r="P177" s="179">
        <v>-3.49</v>
      </c>
    </row>
    <row r="178" spans="1:16" ht="19.5" customHeight="1">
      <c r="A178" s="171" t="s">
        <v>390</v>
      </c>
      <c r="B178" s="175">
        <v>46026</v>
      </c>
      <c r="C178" s="171" t="s">
        <v>115</v>
      </c>
      <c r="D178" s="171" t="s">
        <v>135</v>
      </c>
      <c r="E178" s="171" t="s">
        <v>38</v>
      </c>
      <c r="F178" s="171" t="s">
        <v>111</v>
      </c>
      <c r="G178" s="171" t="s">
        <v>112</v>
      </c>
      <c r="H178" s="176">
        <v>1</v>
      </c>
      <c r="I178" s="177">
        <v>0</v>
      </c>
      <c r="J178" s="175">
        <v>46026</v>
      </c>
      <c r="K178" s="171" t="s">
        <v>125</v>
      </c>
      <c r="L178" s="171" t="s">
        <v>125</v>
      </c>
      <c r="M178" s="178">
        <v>0</v>
      </c>
      <c r="N178" s="176"/>
      <c r="O178" s="176"/>
      <c r="P178" s="179">
        <v>-11.29</v>
      </c>
    </row>
    <row r="179" spans="1:16" ht="19.5" customHeight="1">
      <c r="A179" s="171" t="s">
        <v>391</v>
      </c>
      <c r="B179" s="175">
        <v>46026</v>
      </c>
      <c r="C179" s="171" t="s">
        <v>110</v>
      </c>
      <c r="D179" s="171" t="s">
        <v>117</v>
      </c>
      <c r="E179" s="171" t="s">
        <v>38</v>
      </c>
      <c r="F179" s="171" t="s">
        <v>111</v>
      </c>
      <c r="G179" s="171" t="s">
        <v>112</v>
      </c>
      <c r="H179" s="176">
        <v>1</v>
      </c>
      <c r="I179" s="177">
        <v>0</v>
      </c>
      <c r="J179" s="175">
        <v>46020</v>
      </c>
      <c r="K179" s="171" t="s">
        <v>113</v>
      </c>
      <c r="L179" s="171" t="s">
        <v>114</v>
      </c>
      <c r="M179" s="178">
        <v>0</v>
      </c>
      <c r="N179" s="176"/>
      <c r="O179" s="176"/>
      <c r="P179" s="179">
        <v>0</v>
      </c>
    </row>
    <row r="180" spans="1:16" ht="19.5" customHeight="1">
      <c r="A180" s="171" t="s">
        <v>391</v>
      </c>
      <c r="B180" s="175">
        <v>46026</v>
      </c>
      <c r="C180" s="171" t="s">
        <v>110</v>
      </c>
      <c r="D180" s="171" t="s">
        <v>118</v>
      </c>
      <c r="E180" s="171" t="s">
        <v>38</v>
      </c>
      <c r="F180" s="171" t="s">
        <v>111</v>
      </c>
      <c r="G180" s="171" t="s">
        <v>112</v>
      </c>
      <c r="H180" s="176">
        <v>1</v>
      </c>
      <c r="I180" s="177">
        <v>0</v>
      </c>
      <c r="J180" s="175">
        <v>46020</v>
      </c>
      <c r="K180" s="171" t="s">
        <v>113</v>
      </c>
      <c r="L180" s="171" t="s">
        <v>114</v>
      </c>
      <c r="M180" s="178">
        <v>0</v>
      </c>
      <c r="N180" s="176"/>
      <c r="O180" s="176"/>
      <c r="P180" s="179">
        <v>-46.77</v>
      </c>
    </row>
    <row r="181" spans="1:16" ht="19.5" customHeight="1">
      <c r="A181" s="171" t="s">
        <v>391</v>
      </c>
      <c r="B181" s="175">
        <v>46026</v>
      </c>
      <c r="C181" s="171" t="s">
        <v>115</v>
      </c>
      <c r="D181" s="171" t="s">
        <v>119</v>
      </c>
      <c r="E181" s="171" t="s">
        <v>38</v>
      </c>
      <c r="F181" s="171" t="s">
        <v>111</v>
      </c>
      <c r="G181" s="171" t="s">
        <v>112</v>
      </c>
      <c r="H181" s="176">
        <v>1</v>
      </c>
      <c r="I181" s="177">
        <v>0</v>
      </c>
      <c r="J181" s="175">
        <v>46020</v>
      </c>
      <c r="K181" s="171" t="s">
        <v>113</v>
      </c>
      <c r="L181" s="171" t="s">
        <v>114</v>
      </c>
      <c r="M181" s="178">
        <v>0</v>
      </c>
      <c r="N181" s="176"/>
      <c r="O181" s="176"/>
      <c r="P181" s="179">
        <v>-15</v>
      </c>
    </row>
    <row r="182" spans="1:16" ht="19.5" customHeight="1">
      <c r="A182" s="171" t="s">
        <v>391</v>
      </c>
      <c r="B182" s="175">
        <v>46026</v>
      </c>
      <c r="C182" s="171" t="s">
        <v>110</v>
      </c>
      <c r="D182" s="171" t="s">
        <v>24</v>
      </c>
      <c r="E182" s="171" t="s">
        <v>38</v>
      </c>
      <c r="F182" s="171" t="s">
        <v>111</v>
      </c>
      <c r="G182" s="171" t="s">
        <v>112</v>
      </c>
      <c r="H182" s="176">
        <v>1</v>
      </c>
      <c r="I182" s="177">
        <v>0</v>
      </c>
      <c r="J182" s="175">
        <v>46020</v>
      </c>
      <c r="K182" s="171" t="s">
        <v>113</v>
      </c>
      <c r="L182" s="171" t="s">
        <v>114</v>
      </c>
      <c r="M182" s="178">
        <v>0</v>
      </c>
      <c r="N182" s="176"/>
      <c r="O182" s="176">
        <v>38</v>
      </c>
      <c r="P182" s="179">
        <v>-46.77</v>
      </c>
    </row>
    <row r="183" spans="1:16" ht="19.5" customHeight="1">
      <c r="A183" s="171" t="s">
        <v>391</v>
      </c>
      <c r="B183" s="175">
        <v>46026</v>
      </c>
      <c r="C183" s="171" t="s">
        <v>115</v>
      </c>
      <c r="D183" s="171" t="s">
        <v>116</v>
      </c>
      <c r="E183" s="171" t="s">
        <v>38</v>
      </c>
      <c r="F183" s="171" t="s">
        <v>111</v>
      </c>
      <c r="G183" s="171" t="s">
        <v>112</v>
      </c>
      <c r="H183" s="176">
        <v>1</v>
      </c>
      <c r="I183" s="177">
        <v>0</v>
      </c>
      <c r="J183" s="175">
        <v>46020</v>
      </c>
      <c r="K183" s="171" t="s">
        <v>113</v>
      </c>
      <c r="L183" s="171" t="s">
        <v>114</v>
      </c>
      <c r="M183" s="178">
        <v>0</v>
      </c>
      <c r="N183" s="176"/>
      <c r="O183" s="176"/>
      <c r="P183" s="179">
        <v>-8.49</v>
      </c>
    </row>
    <row r="184" spans="1:16" ht="19.5" customHeight="1">
      <c r="A184" s="171" t="s">
        <v>392</v>
      </c>
      <c r="B184" s="175">
        <v>46026</v>
      </c>
      <c r="C184" s="171" t="s">
        <v>110</v>
      </c>
      <c r="D184" s="171" t="s">
        <v>24</v>
      </c>
      <c r="E184" s="171" t="s">
        <v>38</v>
      </c>
      <c r="F184" s="171" t="s">
        <v>111</v>
      </c>
      <c r="G184" s="171" t="s">
        <v>112</v>
      </c>
      <c r="H184" s="176">
        <v>1</v>
      </c>
      <c r="I184" s="177">
        <v>1704</v>
      </c>
      <c r="J184" s="175">
        <v>46020</v>
      </c>
      <c r="K184" s="171" t="s">
        <v>113</v>
      </c>
      <c r="L184" s="171" t="s">
        <v>114</v>
      </c>
      <c r="M184" s="178">
        <v>0.43</v>
      </c>
      <c r="N184" s="176"/>
      <c r="O184" s="176">
        <v>38</v>
      </c>
      <c r="P184" s="179">
        <v>-104.84</v>
      </c>
    </row>
    <row r="185" spans="1:16" ht="19.5" customHeight="1">
      <c r="A185" s="171" t="s">
        <v>392</v>
      </c>
      <c r="B185" s="175">
        <v>46026</v>
      </c>
      <c r="C185" s="171" t="s">
        <v>127</v>
      </c>
      <c r="D185" s="171" t="s">
        <v>128</v>
      </c>
      <c r="E185" s="171" t="s">
        <v>38</v>
      </c>
      <c r="F185" s="171" t="s">
        <v>111</v>
      </c>
      <c r="G185" s="171" t="s">
        <v>112</v>
      </c>
      <c r="H185" s="176">
        <v>1</v>
      </c>
      <c r="I185" s="177">
        <v>1704</v>
      </c>
      <c r="J185" s="175">
        <v>46020</v>
      </c>
      <c r="K185" s="171" t="s">
        <v>113</v>
      </c>
      <c r="L185" s="171" t="s">
        <v>114</v>
      </c>
      <c r="M185" s="178">
        <v>0</v>
      </c>
      <c r="N185" s="176"/>
      <c r="O185" s="176"/>
      <c r="P185" s="179">
        <v>585.16</v>
      </c>
    </row>
    <row r="186" spans="1:16" ht="19.5" customHeight="1">
      <c r="A186" s="171" t="s">
        <v>392</v>
      </c>
      <c r="B186" s="175">
        <v>46026</v>
      </c>
      <c r="C186" s="171" t="s">
        <v>127</v>
      </c>
      <c r="D186" s="171" t="s">
        <v>129</v>
      </c>
      <c r="E186" s="171" t="s">
        <v>38</v>
      </c>
      <c r="F186" s="171" t="s">
        <v>111</v>
      </c>
      <c r="G186" s="171" t="s">
        <v>112</v>
      </c>
      <c r="H186" s="176">
        <v>1</v>
      </c>
      <c r="I186" s="177">
        <v>1704</v>
      </c>
      <c r="J186" s="175">
        <v>46020</v>
      </c>
      <c r="K186" s="171" t="s">
        <v>113</v>
      </c>
      <c r="L186" s="171" t="s">
        <v>114</v>
      </c>
      <c r="M186" s="178">
        <v>0</v>
      </c>
      <c r="N186" s="176"/>
      <c r="O186" s="176"/>
      <c r="P186" s="179">
        <v>5.85</v>
      </c>
    </row>
    <row r="187" spans="1:16" ht="19.5" customHeight="1">
      <c r="A187" s="171" t="s">
        <v>392</v>
      </c>
      <c r="B187" s="175">
        <v>46026</v>
      </c>
      <c r="C187" s="171" t="s">
        <v>127</v>
      </c>
      <c r="D187" s="171" t="s">
        <v>130</v>
      </c>
      <c r="E187" s="171" t="s">
        <v>38</v>
      </c>
      <c r="F187" s="171" t="s">
        <v>111</v>
      </c>
      <c r="G187" s="171" t="s">
        <v>112</v>
      </c>
      <c r="H187" s="176">
        <v>1</v>
      </c>
      <c r="I187" s="177">
        <v>1704</v>
      </c>
      <c r="J187" s="175">
        <v>46020</v>
      </c>
      <c r="K187" s="171" t="s">
        <v>113</v>
      </c>
      <c r="L187" s="171" t="s">
        <v>114</v>
      </c>
      <c r="M187" s="178">
        <v>0</v>
      </c>
      <c r="N187" s="176"/>
      <c r="O187" s="176"/>
      <c r="P187" s="179">
        <v>1112.99</v>
      </c>
    </row>
    <row r="188" spans="1:16" ht="19.5" customHeight="1">
      <c r="A188" s="171" t="s">
        <v>392</v>
      </c>
      <c r="B188" s="175">
        <v>46026</v>
      </c>
      <c r="C188" s="171" t="s">
        <v>131</v>
      </c>
      <c r="D188" s="171" t="s">
        <v>132</v>
      </c>
      <c r="E188" s="171" t="s">
        <v>38</v>
      </c>
      <c r="F188" s="171" t="s">
        <v>111</v>
      </c>
      <c r="G188" s="171" t="s">
        <v>112</v>
      </c>
      <c r="H188" s="176">
        <v>1</v>
      </c>
      <c r="I188" s="177">
        <v>1704</v>
      </c>
      <c r="J188" s="175">
        <v>46020</v>
      </c>
      <c r="K188" s="171" t="s">
        <v>113</v>
      </c>
      <c r="L188" s="171" t="s">
        <v>114</v>
      </c>
      <c r="M188" s="178">
        <v>0.43</v>
      </c>
      <c r="N188" s="176"/>
      <c r="O188" s="176"/>
      <c r="P188" s="179">
        <v>-732.72</v>
      </c>
    </row>
    <row r="189" spans="1:16" ht="19.5" customHeight="1">
      <c r="A189" s="171" t="s">
        <v>392</v>
      </c>
      <c r="B189" s="175">
        <v>46026</v>
      </c>
      <c r="C189" s="171" t="s">
        <v>115</v>
      </c>
      <c r="D189" s="171" t="s">
        <v>116</v>
      </c>
      <c r="E189" s="171" t="s">
        <v>38</v>
      </c>
      <c r="F189" s="171" t="s">
        <v>111</v>
      </c>
      <c r="G189" s="171" t="s">
        <v>112</v>
      </c>
      <c r="H189" s="176">
        <v>1</v>
      </c>
      <c r="I189" s="177">
        <v>1704</v>
      </c>
      <c r="J189" s="175">
        <v>46020</v>
      </c>
      <c r="K189" s="171" t="s">
        <v>113</v>
      </c>
      <c r="L189" s="171" t="s">
        <v>114</v>
      </c>
      <c r="M189" s="178">
        <v>0.43</v>
      </c>
      <c r="N189" s="176"/>
      <c r="O189" s="176"/>
      <c r="P189" s="179">
        <v>-10.220000000000001</v>
      </c>
    </row>
    <row r="190" spans="1:16" ht="19.5" customHeight="1">
      <c r="A190" s="171" t="s">
        <v>392</v>
      </c>
      <c r="B190" s="175">
        <v>46026</v>
      </c>
      <c r="C190" s="171" t="s">
        <v>115</v>
      </c>
      <c r="D190" s="171" t="s">
        <v>135</v>
      </c>
      <c r="E190" s="171" t="s">
        <v>38</v>
      </c>
      <c r="F190" s="171" t="s">
        <v>111</v>
      </c>
      <c r="G190" s="171" t="s">
        <v>112</v>
      </c>
      <c r="H190" s="176">
        <v>1</v>
      </c>
      <c r="I190" s="177">
        <v>0</v>
      </c>
      <c r="J190" s="175">
        <v>46020</v>
      </c>
      <c r="K190" s="171" t="s">
        <v>125</v>
      </c>
      <c r="L190" s="171" t="s">
        <v>125</v>
      </c>
      <c r="M190" s="178">
        <v>0</v>
      </c>
      <c r="N190" s="176"/>
      <c r="O190" s="176"/>
      <c r="P190" s="179">
        <v>-11.12</v>
      </c>
    </row>
    <row r="191" spans="1:16" ht="19.5" customHeight="1">
      <c r="A191" s="171" t="s">
        <v>393</v>
      </c>
      <c r="B191" s="175">
        <v>46026</v>
      </c>
      <c r="C191" s="171" t="s">
        <v>110</v>
      </c>
      <c r="D191" s="171" t="s">
        <v>24</v>
      </c>
      <c r="E191" s="171" t="s">
        <v>38</v>
      </c>
      <c r="F191" s="171" t="s">
        <v>111</v>
      </c>
      <c r="G191" s="171" t="s">
        <v>112</v>
      </c>
      <c r="H191" s="176">
        <v>1</v>
      </c>
      <c r="I191" s="177">
        <v>1704</v>
      </c>
      <c r="J191" s="175">
        <v>46021</v>
      </c>
      <c r="K191" s="171" t="s">
        <v>113</v>
      </c>
      <c r="L191" s="171" t="s">
        <v>114</v>
      </c>
      <c r="M191" s="178">
        <v>0.43</v>
      </c>
      <c r="N191" s="176"/>
      <c r="O191" s="176">
        <v>38</v>
      </c>
      <c r="P191" s="179">
        <v>-104.84</v>
      </c>
    </row>
    <row r="192" spans="1:16" ht="19.5" customHeight="1">
      <c r="A192" s="171" t="s">
        <v>393</v>
      </c>
      <c r="B192" s="175">
        <v>46026</v>
      </c>
      <c r="C192" s="171" t="s">
        <v>127</v>
      </c>
      <c r="D192" s="171" t="s">
        <v>128</v>
      </c>
      <c r="E192" s="171" t="s">
        <v>38</v>
      </c>
      <c r="F192" s="171" t="s">
        <v>111</v>
      </c>
      <c r="G192" s="171" t="s">
        <v>112</v>
      </c>
      <c r="H192" s="176">
        <v>1</v>
      </c>
      <c r="I192" s="177">
        <v>1704</v>
      </c>
      <c r="J192" s="175">
        <v>46021</v>
      </c>
      <c r="K192" s="171" t="s">
        <v>113</v>
      </c>
      <c r="L192" s="171" t="s">
        <v>114</v>
      </c>
      <c r="M192" s="178">
        <v>0</v>
      </c>
      <c r="N192" s="176"/>
      <c r="O192" s="176"/>
      <c r="P192" s="179">
        <v>585.71</v>
      </c>
    </row>
    <row r="193" spans="1:16" ht="19.5" customHeight="1">
      <c r="A193" s="171" t="s">
        <v>393</v>
      </c>
      <c r="B193" s="175">
        <v>46026</v>
      </c>
      <c r="C193" s="171" t="s">
        <v>127</v>
      </c>
      <c r="D193" s="171" t="s">
        <v>129</v>
      </c>
      <c r="E193" s="171" t="s">
        <v>38</v>
      </c>
      <c r="F193" s="171" t="s">
        <v>111</v>
      </c>
      <c r="G193" s="171" t="s">
        <v>112</v>
      </c>
      <c r="H193" s="176">
        <v>1</v>
      </c>
      <c r="I193" s="177">
        <v>1704</v>
      </c>
      <c r="J193" s="175">
        <v>46021</v>
      </c>
      <c r="K193" s="171" t="s">
        <v>113</v>
      </c>
      <c r="L193" s="171" t="s">
        <v>114</v>
      </c>
      <c r="M193" s="178">
        <v>0</v>
      </c>
      <c r="N193" s="176"/>
      <c r="O193" s="176"/>
      <c r="P193" s="179">
        <v>5.86</v>
      </c>
    </row>
    <row r="194" spans="1:16" ht="19.5" customHeight="1">
      <c r="A194" s="171" t="s">
        <v>393</v>
      </c>
      <c r="B194" s="175">
        <v>46026</v>
      </c>
      <c r="C194" s="171" t="s">
        <v>127</v>
      </c>
      <c r="D194" s="171" t="s">
        <v>130</v>
      </c>
      <c r="E194" s="171" t="s">
        <v>38</v>
      </c>
      <c r="F194" s="171" t="s">
        <v>111</v>
      </c>
      <c r="G194" s="171" t="s">
        <v>112</v>
      </c>
      <c r="H194" s="176">
        <v>1</v>
      </c>
      <c r="I194" s="177">
        <v>1704</v>
      </c>
      <c r="J194" s="175">
        <v>46021</v>
      </c>
      <c r="K194" s="171" t="s">
        <v>113</v>
      </c>
      <c r="L194" s="171" t="s">
        <v>114</v>
      </c>
      <c r="M194" s="178">
        <v>0</v>
      </c>
      <c r="N194" s="176"/>
      <c r="O194" s="176"/>
      <c r="P194" s="179">
        <v>1112.43</v>
      </c>
    </row>
    <row r="195" spans="1:16" ht="19.5" customHeight="1">
      <c r="A195" s="171" t="s">
        <v>393</v>
      </c>
      <c r="B195" s="175">
        <v>46026</v>
      </c>
      <c r="C195" s="171" t="s">
        <v>131</v>
      </c>
      <c r="D195" s="171" t="s">
        <v>132</v>
      </c>
      <c r="E195" s="171" t="s">
        <v>38</v>
      </c>
      <c r="F195" s="171" t="s">
        <v>111</v>
      </c>
      <c r="G195" s="171" t="s">
        <v>112</v>
      </c>
      <c r="H195" s="176">
        <v>1</v>
      </c>
      <c r="I195" s="177">
        <v>1704</v>
      </c>
      <c r="J195" s="175">
        <v>46021</v>
      </c>
      <c r="K195" s="171" t="s">
        <v>113</v>
      </c>
      <c r="L195" s="171" t="s">
        <v>114</v>
      </c>
      <c r="M195" s="178">
        <v>0.43</v>
      </c>
      <c r="N195" s="176"/>
      <c r="O195" s="176"/>
      <c r="P195" s="179">
        <v>-732.72</v>
      </c>
    </row>
    <row r="196" spans="1:16" ht="19.5" customHeight="1">
      <c r="A196" s="171" t="s">
        <v>393</v>
      </c>
      <c r="B196" s="175">
        <v>46026</v>
      </c>
      <c r="C196" s="171" t="s">
        <v>115</v>
      </c>
      <c r="D196" s="171" t="s">
        <v>116</v>
      </c>
      <c r="E196" s="171" t="s">
        <v>38</v>
      </c>
      <c r="F196" s="171" t="s">
        <v>111</v>
      </c>
      <c r="G196" s="171" t="s">
        <v>112</v>
      </c>
      <c r="H196" s="176">
        <v>1</v>
      </c>
      <c r="I196" s="177">
        <v>1704</v>
      </c>
      <c r="J196" s="175">
        <v>46021</v>
      </c>
      <c r="K196" s="171" t="s">
        <v>113</v>
      </c>
      <c r="L196" s="171" t="s">
        <v>114</v>
      </c>
      <c r="M196" s="178">
        <v>0.43</v>
      </c>
      <c r="N196" s="176"/>
      <c r="O196" s="176"/>
      <c r="P196" s="179">
        <v>-22.02</v>
      </c>
    </row>
    <row r="197" spans="1:16" ht="19.5" customHeight="1">
      <c r="A197" s="171" t="s">
        <v>393</v>
      </c>
      <c r="B197" s="175">
        <v>46026</v>
      </c>
      <c r="C197" s="171" t="s">
        <v>115</v>
      </c>
      <c r="D197" s="171" t="s">
        <v>135</v>
      </c>
      <c r="E197" s="171" t="s">
        <v>38</v>
      </c>
      <c r="F197" s="171" t="s">
        <v>111</v>
      </c>
      <c r="G197" s="171" t="s">
        <v>112</v>
      </c>
      <c r="H197" s="176">
        <v>1</v>
      </c>
      <c r="I197" s="177">
        <v>0</v>
      </c>
      <c r="J197" s="175">
        <v>46021</v>
      </c>
      <c r="K197" s="171" t="s">
        <v>125</v>
      </c>
      <c r="L197" s="171" t="s">
        <v>125</v>
      </c>
      <c r="M197" s="178">
        <v>0</v>
      </c>
      <c r="N197" s="176"/>
      <c r="O197" s="176"/>
      <c r="P197" s="179">
        <v>-11.13</v>
      </c>
    </row>
    <row r="198" spans="1:16" ht="19.5" customHeight="1">
      <c r="A198" s="171" t="s">
        <v>394</v>
      </c>
      <c r="B198" s="175">
        <v>46026</v>
      </c>
      <c r="C198" s="171" t="s">
        <v>110</v>
      </c>
      <c r="D198" s="171" t="s">
        <v>24</v>
      </c>
      <c r="E198" s="171" t="s">
        <v>38</v>
      </c>
      <c r="F198" s="171" t="s">
        <v>111</v>
      </c>
      <c r="G198" s="171" t="s">
        <v>112</v>
      </c>
      <c r="H198" s="176">
        <v>1</v>
      </c>
      <c r="I198" s="177">
        <v>1704</v>
      </c>
      <c r="J198" s="175">
        <v>46023</v>
      </c>
      <c r="K198" s="171" t="s">
        <v>113</v>
      </c>
      <c r="L198" s="171" t="s">
        <v>114</v>
      </c>
      <c r="M198" s="178">
        <v>0.43</v>
      </c>
      <c r="N198" s="176"/>
      <c r="O198" s="176">
        <v>39</v>
      </c>
      <c r="P198" s="179">
        <v>-110.12</v>
      </c>
    </row>
    <row r="199" spans="1:16" ht="19.5" customHeight="1">
      <c r="A199" s="171" t="s">
        <v>394</v>
      </c>
      <c r="B199" s="175">
        <v>46026</v>
      </c>
      <c r="C199" s="171" t="s">
        <v>127</v>
      </c>
      <c r="D199" s="171" t="s">
        <v>128</v>
      </c>
      <c r="E199" s="171" t="s">
        <v>38</v>
      </c>
      <c r="F199" s="171" t="s">
        <v>111</v>
      </c>
      <c r="G199" s="171" t="s">
        <v>112</v>
      </c>
      <c r="H199" s="176">
        <v>1</v>
      </c>
      <c r="I199" s="177">
        <v>1704</v>
      </c>
      <c r="J199" s="175">
        <v>46023</v>
      </c>
      <c r="K199" s="171" t="s">
        <v>113</v>
      </c>
      <c r="L199" s="171" t="s">
        <v>114</v>
      </c>
      <c r="M199" s="178">
        <v>0</v>
      </c>
      <c r="N199" s="176"/>
      <c r="O199" s="176"/>
      <c r="P199" s="179">
        <v>648.91</v>
      </c>
    </row>
    <row r="200" spans="1:16" ht="19.5" customHeight="1">
      <c r="A200" s="171" t="s">
        <v>394</v>
      </c>
      <c r="B200" s="175">
        <v>46026</v>
      </c>
      <c r="C200" s="171" t="s">
        <v>127</v>
      </c>
      <c r="D200" s="171" t="s">
        <v>129</v>
      </c>
      <c r="E200" s="171" t="s">
        <v>38</v>
      </c>
      <c r="F200" s="171" t="s">
        <v>111</v>
      </c>
      <c r="G200" s="171" t="s">
        <v>112</v>
      </c>
      <c r="H200" s="176">
        <v>1</v>
      </c>
      <c r="I200" s="177">
        <v>1704</v>
      </c>
      <c r="J200" s="175">
        <v>46023</v>
      </c>
      <c r="K200" s="171" t="s">
        <v>113</v>
      </c>
      <c r="L200" s="171" t="s">
        <v>114</v>
      </c>
      <c r="M200" s="178">
        <v>0</v>
      </c>
      <c r="N200" s="176"/>
      <c r="O200" s="176"/>
      <c r="P200" s="179">
        <v>0</v>
      </c>
    </row>
    <row r="201" spans="1:16" ht="19.5" customHeight="1">
      <c r="A201" s="171" t="s">
        <v>394</v>
      </c>
      <c r="B201" s="175">
        <v>46026</v>
      </c>
      <c r="C201" s="171" t="s">
        <v>127</v>
      </c>
      <c r="D201" s="171" t="s">
        <v>130</v>
      </c>
      <c r="E201" s="171" t="s">
        <v>38</v>
      </c>
      <c r="F201" s="171" t="s">
        <v>111</v>
      </c>
      <c r="G201" s="171" t="s">
        <v>112</v>
      </c>
      <c r="H201" s="176">
        <v>1</v>
      </c>
      <c r="I201" s="177">
        <v>1704</v>
      </c>
      <c r="J201" s="175">
        <v>46023</v>
      </c>
      <c r="K201" s="171" t="s">
        <v>113</v>
      </c>
      <c r="L201" s="171" t="s">
        <v>114</v>
      </c>
      <c r="M201" s="178">
        <v>0</v>
      </c>
      <c r="N201" s="176"/>
      <c r="O201" s="176"/>
      <c r="P201" s="179">
        <v>1055.0899999999999</v>
      </c>
    </row>
    <row r="202" spans="1:16" ht="19.5" customHeight="1">
      <c r="A202" s="171" t="s">
        <v>394</v>
      </c>
      <c r="B202" s="175">
        <v>46026</v>
      </c>
      <c r="C202" s="171" t="s">
        <v>131</v>
      </c>
      <c r="D202" s="171" t="s">
        <v>132</v>
      </c>
      <c r="E202" s="171" t="s">
        <v>38</v>
      </c>
      <c r="F202" s="171" t="s">
        <v>111</v>
      </c>
      <c r="G202" s="171" t="s">
        <v>112</v>
      </c>
      <c r="H202" s="176">
        <v>1</v>
      </c>
      <c r="I202" s="177">
        <v>1704</v>
      </c>
      <c r="J202" s="175">
        <v>46023</v>
      </c>
      <c r="K202" s="171" t="s">
        <v>113</v>
      </c>
      <c r="L202" s="171" t="s">
        <v>114</v>
      </c>
      <c r="M202" s="178">
        <v>0.43</v>
      </c>
      <c r="N202" s="176"/>
      <c r="O202" s="176"/>
      <c r="P202" s="179">
        <v>-732.72</v>
      </c>
    </row>
    <row r="203" spans="1:16" ht="19.5" customHeight="1">
      <c r="A203" s="171" t="s">
        <v>394</v>
      </c>
      <c r="B203" s="175">
        <v>46026</v>
      </c>
      <c r="C203" s="171" t="s">
        <v>115</v>
      </c>
      <c r="D203" s="171" t="s">
        <v>116</v>
      </c>
      <c r="E203" s="171" t="s">
        <v>38</v>
      </c>
      <c r="F203" s="171" t="s">
        <v>111</v>
      </c>
      <c r="G203" s="171" t="s">
        <v>112</v>
      </c>
      <c r="H203" s="176">
        <v>1</v>
      </c>
      <c r="I203" s="177">
        <v>1704</v>
      </c>
      <c r="J203" s="175">
        <v>46023</v>
      </c>
      <c r="K203" s="171" t="s">
        <v>113</v>
      </c>
      <c r="L203" s="171" t="s">
        <v>114</v>
      </c>
      <c r="M203" s="178">
        <v>0.43</v>
      </c>
      <c r="N203" s="176"/>
      <c r="O203" s="176"/>
      <c r="P203" s="179">
        <v>-10.79</v>
      </c>
    </row>
    <row r="204" spans="1:16" ht="19.5" customHeight="1">
      <c r="A204" s="171" t="s">
        <v>395</v>
      </c>
      <c r="B204" s="175">
        <v>46026</v>
      </c>
      <c r="C204" s="171" t="s">
        <v>115</v>
      </c>
      <c r="D204" s="171" t="s">
        <v>135</v>
      </c>
      <c r="E204" s="171" t="s">
        <v>38</v>
      </c>
      <c r="F204" s="171" t="s">
        <v>111</v>
      </c>
      <c r="G204" s="171" t="s">
        <v>112</v>
      </c>
      <c r="H204" s="176">
        <v>1</v>
      </c>
      <c r="I204" s="177">
        <v>0</v>
      </c>
      <c r="J204" s="175">
        <v>46026</v>
      </c>
      <c r="K204" s="171" t="s">
        <v>125</v>
      </c>
      <c r="L204" s="171" t="s">
        <v>125</v>
      </c>
      <c r="M204" s="178">
        <v>0</v>
      </c>
      <c r="N204" s="176"/>
      <c r="O204" s="176"/>
      <c r="P204" s="179">
        <v>-11.13</v>
      </c>
    </row>
    <row r="205" spans="1:16" ht="19.5" customHeight="1">
      <c r="A205" s="171" t="s">
        <v>396</v>
      </c>
      <c r="B205" s="175">
        <v>46026</v>
      </c>
      <c r="C205" s="171" t="s">
        <v>115</v>
      </c>
      <c r="D205" s="171" t="s">
        <v>135</v>
      </c>
      <c r="E205" s="171" t="s">
        <v>78</v>
      </c>
      <c r="F205" s="171" t="s">
        <v>176</v>
      </c>
      <c r="G205" s="171" t="s">
        <v>177</v>
      </c>
      <c r="H205" s="176">
        <v>1</v>
      </c>
      <c r="I205" s="177">
        <v>0</v>
      </c>
      <c r="J205" s="175">
        <v>46026</v>
      </c>
      <c r="K205" s="171" t="s">
        <v>125</v>
      </c>
      <c r="L205" s="171" t="s">
        <v>125</v>
      </c>
      <c r="M205" s="178">
        <v>0</v>
      </c>
      <c r="N205" s="176"/>
      <c r="O205" s="176"/>
      <c r="P205" s="179">
        <v>-46.04</v>
      </c>
    </row>
    <row r="206" spans="1:16" ht="19.5" customHeight="1">
      <c r="A206" s="171" t="s">
        <v>397</v>
      </c>
      <c r="B206" s="175">
        <v>46026</v>
      </c>
      <c r="C206" s="171" t="s">
        <v>110</v>
      </c>
      <c r="D206" s="171" t="s">
        <v>24</v>
      </c>
      <c r="E206" s="171" t="s">
        <v>38</v>
      </c>
      <c r="F206" s="171" t="s">
        <v>111</v>
      </c>
      <c r="G206" s="171" t="s">
        <v>112</v>
      </c>
      <c r="H206" s="176">
        <v>1</v>
      </c>
      <c r="I206" s="177">
        <v>1704</v>
      </c>
      <c r="J206" s="175">
        <v>46021</v>
      </c>
      <c r="K206" s="171" t="s">
        <v>113</v>
      </c>
      <c r="L206" s="171" t="s">
        <v>114</v>
      </c>
      <c r="M206" s="178">
        <v>0.43</v>
      </c>
      <c r="N206" s="176"/>
      <c r="O206" s="176">
        <v>38</v>
      </c>
      <c r="P206" s="179">
        <v>-104.84</v>
      </c>
    </row>
    <row r="207" spans="1:16" ht="19.5" customHeight="1">
      <c r="A207" s="171" t="s">
        <v>397</v>
      </c>
      <c r="B207" s="175">
        <v>46026</v>
      </c>
      <c r="C207" s="171" t="s">
        <v>127</v>
      </c>
      <c r="D207" s="171" t="s">
        <v>128</v>
      </c>
      <c r="E207" s="171" t="s">
        <v>38</v>
      </c>
      <c r="F207" s="171" t="s">
        <v>111</v>
      </c>
      <c r="G207" s="171" t="s">
        <v>112</v>
      </c>
      <c r="H207" s="176">
        <v>1</v>
      </c>
      <c r="I207" s="177">
        <v>1704</v>
      </c>
      <c r="J207" s="175">
        <v>46021</v>
      </c>
      <c r="K207" s="171" t="s">
        <v>113</v>
      </c>
      <c r="L207" s="171" t="s">
        <v>114</v>
      </c>
      <c r="M207" s="178">
        <v>0</v>
      </c>
      <c r="N207" s="176"/>
      <c r="O207" s="176"/>
      <c r="P207" s="179">
        <v>585.71</v>
      </c>
    </row>
    <row r="208" spans="1:16" ht="19.5" customHeight="1">
      <c r="A208" s="171" t="s">
        <v>397</v>
      </c>
      <c r="B208" s="175">
        <v>46026</v>
      </c>
      <c r="C208" s="171" t="s">
        <v>127</v>
      </c>
      <c r="D208" s="171" t="s">
        <v>129</v>
      </c>
      <c r="E208" s="171" t="s">
        <v>38</v>
      </c>
      <c r="F208" s="171" t="s">
        <v>111</v>
      </c>
      <c r="G208" s="171" t="s">
        <v>112</v>
      </c>
      <c r="H208" s="176">
        <v>1</v>
      </c>
      <c r="I208" s="177">
        <v>1704</v>
      </c>
      <c r="J208" s="175">
        <v>46021</v>
      </c>
      <c r="K208" s="171" t="s">
        <v>113</v>
      </c>
      <c r="L208" s="171" t="s">
        <v>114</v>
      </c>
      <c r="M208" s="178">
        <v>0</v>
      </c>
      <c r="N208" s="176"/>
      <c r="O208" s="176"/>
      <c r="P208" s="179">
        <v>5.86</v>
      </c>
    </row>
    <row r="209" spans="1:16" ht="19.5" customHeight="1">
      <c r="A209" s="171" t="s">
        <v>397</v>
      </c>
      <c r="B209" s="175">
        <v>46026</v>
      </c>
      <c r="C209" s="171" t="s">
        <v>127</v>
      </c>
      <c r="D209" s="171" t="s">
        <v>130</v>
      </c>
      <c r="E209" s="171" t="s">
        <v>38</v>
      </c>
      <c r="F209" s="171" t="s">
        <v>111</v>
      </c>
      <c r="G209" s="171" t="s">
        <v>112</v>
      </c>
      <c r="H209" s="176">
        <v>1</v>
      </c>
      <c r="I209" s="177">
        <v>1704</v>
      </c>
      <c r="J209" s="175">
        <v>46021</v>
      </c>
      <c r="K209" s="171" t="s">
        <v>113</v>
      </c>
      <c r="L209" s="171" t="s">
        <v>114</v>
      </c>
      <c r="M209" s="178">
        <v>0</v>
      </c>
      <c r="N209" s="176"/>
      <c r="O209" s="176"/>
      <c r="P209" s="179">
        <v>1112.43</v>
      </c>
    </row>
    <row r="210" spans="1:16" ht="19.5" customHeight="1">
      <c r="A210" s="171" t="s">
        <v>397</v>
      </c>
      <c r="B210" s="175">
        <v>46026</v>
      </c>
      <c r="C210" s="171" t="s">
        <v>131</v>
      </c>
      <c r="D210" s="171" t="s">
        <v>132</v>
      </c>
      <c r="E210" s="171" t="s">
        <v>38</v>
      </c>
      <c r="F210" s="171" t="s">
        <v>111</v>
      </c>
      <c r="G210" s="171" t="s">
        <v>112</v>
      </c>
      <c r="H210" s="176">
        <v>1</v>
      </c>
      <c r="I210" s="177">
        <v>1704</v>
      </c>
      <c r="J210" s="175">
        <v>46021</v>
      </c>
      <c r="K210" s="171" t="s">
        <v>113</v>
      </c>
      <c r="L210" s="171" t="s">
        <v>114</v>
      </c>
      <c r="M210" s="178">
        <v>0.43</v>
      </c>
      <c r="N210" s="176"/>
      <c r="O210" s="176"/>
      <c r="P210" s="179">
        <v>-732.72</v>
      </c>
    </row>
    <row r="211" spans="1:16" ht="19.5" customHeight="1">
      <c r="A211" s="171" t="s">
        <v>397</v>
      </c>
      <c r="B211" s="175">
        <v>46026</v>
      </c>
      <c r="C211" s="171" t="s">
        <v>115</v>
      </c>
      <c r="D211" s="171" t="s">
        <v>116</v>
      </c>
      <c r="E211" s="171" t="s">
        <v>38</v>
      </c>
      <c r="F211" s="171" t="s">
        <v>111</v>
      </c>
      <c r="G211" s="171" t="s">
        <v>112</v>
      </c>
      <c r="H211" s="176">
        <v>1</v>
      </c>
      <c r="I211" s="177">
        <v>1704</v>
      </c>
      <c r="J211" s="175">
        <v>46021</v>
      </c>
      <c r="K211" s="171" t="s">
        <v>113</v>
      </c>
      <c r="L211" s="171" t="s">
        <v>114</v>
      </c>
      <c r="M211" s="178">
        <v>0.43</v>
      </c>
      <c r="N211" s="176"/>
      <c r="O211" s="176"/>
      <c r="P211" s="179">
        <v>-20.41</v>
      </c>
    </row>
    <row r="212" spans="1:16" ht="19.5" customHeight="1">
      <c r="A212" s="171" t="s">
        <v>397</v>
      </c>
      <c r="B212" s="175">
        <v>46026</v>
      </c>
      <c r="C212" s="171" t="s">
        <v>115</v>
      </c>
      <c r="D212" s="171" t="s">
        <v>135</v>
      </c>
      <c r="E212" s="171" t="s">
        <v>38</v>
      </c>
      <c r="F212" s="171" t="s">
        <v>111</v>
      </c>
      <c r="G212" s="171" t="s">
        <v>112</v>
      </c>
      <c r="H212" s="176">
        <v>1</v>
      </c>
      <c r="I212" s="177">
        <v>0</v>
      </c>
      <c r="J212" s="175">
        <v>46021</v>
      </c>
      <c r="K212" s="171" t="s">
        <v>125</v>
      </c>
      <c r="L212" s="171" t="s">
        <v>125</v>
      </c>
      <c r="M212" s="178">
        <v>0</v>
      </c>
      <c r="N212" s="176"/>
      <c r="O212" s="176"/>
      <c r="P212" s="179">
        <v>-11.13</v>
      </c>
    </row>
    <row r="213" spans="1:16" ht="19.5" customHeight="1">
      <c r="A213" s="171" t="s">
        <v>398</v>
      </c>
      <c r="B213" s="175">
        <v>46026</v>
      </c>
      <c r="C213" s="171" t="s">
        <v>110</v>
      </c>
      <c r="D213" s="171" t="s">
        <v>24</v>
      </c>
      <c r="E213" s="171" t="s">
        <v>42</v>
      </c>
      <c r="F213" s="171" t="s">
        <v>248</v>
      </c>
      <c r="G213" s="171" t="s">
        <v>112</v>
      </c>
      <c r="H213" s="176">
        <v>1</v>
      </c>
      <c r="I213" s="177">
        <v>1414</v>
      </c>
      <c r="J213" s="175">
        <v>46022</v>
      </c>
      <c r="K213" s="171" t="s">
        <v>113</v>
      </c>
      <c r="L213" s="171" t="s">
        <v>114</v>
      </c>
      <c r="M213" s="178">
        <v>0.43</v>
      </c>
      <c r="N213" s="176"/>
      <c r="O213" s="176">
        <v>38</v>
      </c>
      <c r="P213" s="179">
        <v>-98.46</v>
      </c>
    </row>
    <row r="214" spans="1:16" ht="19.5" customHeight="1">
      <c r="A214" s="171" t="s">
        <v>398</v>
      </c>
      <c r="B214" s="175">
        <v>46026</v>
      </c>
      <c r="C214" s="171" t="s">
        <v>127</v>
      </c>
      <c r="D214" s="171" t="s">
        <v>128</v>
      </c>
      <c r="E214" s="171" t="s">
        <v>42</v>
      </c>
      <c r="F214" s="171" t="s">
        <v>248</v>
      </c>
      <c r="G214" s="171" t="s">
        <v>112</v>
      </c>
      <c r="H214" s="176">
        <v>1</v>
      </c>
      <c r="I214" s="177">
        <v>1414</v>
      </c>
      <c r="J214" s="175">
        <v>46022</v>
      </c>
      <c r="K214" s="171" t="s">
        <v>113</v>
      </c>
      <c r="L214" s="171" t="s">
        <v>114</v>
      </c>
      <c r="M214" s="178">
        <v>0</v>
      </c>
      <c r="N214" s="176"/>
      <c r="O214" s="176"/>
      <c r="P214" s="179">
        <v>650.48</v>
      </c>
    </row>
    <row r="215" spans="1:16" ht="19.5" customHeight="1">
      <c r="A215" s="171" t="s">
        <v>398</v>
      </c>
      <c r="B215" s="175">
        <v>46026</v>
      </c>
      <c r="C215" s="171" t="s">
        <v>127</v>
      </c>
      <c r="D215" s="171" t="s">
        <v>129</v>
      </c>
      <c r="E215" s="171" t="s">
        <v>42</v>
      </c>
      <c r="F215" s="171" t="s">
        <v>248</v>
      </c>
      <c r="G215" s="171" t="s">
        <v>112</v>
      </c>
      <c r="H215" s="176">
        <v>1</v>
      </c>
      <c r="I215" s="177">
        <v>1414</v>
      </c>
      <c r="J215" s="175">
        <v>46022</v>
      </c>
      <c r="K215" s="171" t="s">
        <v>113</v>
      </c>
      <c r="L215" s="171" t="s">
        <v>114</v>
      </c>
      <c r="M215" s="178">
        <v>0</v>
      </c>
      <c r="N215" s="176"/>
      <c r="O215" s="176"/>
      <c r="P215" s="179">
        <v>6.5</v>
      </c>
    </row>
    <row r="216" spans="1:16" ht="19.5" customHeight="1">
      <c r="A216" s="171" t="s">
        <v>398</v>
      </c>
      <c r="B216" s="175">
        <v>46026</v>
      </c>
      <c r="C216" s="171" t="s">
        <v>127</v>
      </c>
      <c r="D216" s="171" t="s">
        <v>130</v>
      </c>
      <c r="E216" s="171" t="s">
        <v>42</v>
      </c>
      <c r="F216" s="171" t="s">
        <v>248</v>
      </c>
      <c r="G216" s="171" t="s">
        <v>112</v>
      </c>
      <c r="H216" s="176">
        <v>1</v>
      </c>
      <c r="I216" s="177">
        <v>1414</v>
      </c>
      <c r="J216" s="175">
        <v>46022</v>
      </c>
      <c r="K216" s="171" t="s">
        <v>113</v>
      </c>
      <c r="L216" s="171" t="s">
        <v>114</v>
      </c>
      <c r="M216" s="178">
        <v>0</v>
      </c>
      <c r="N216" s="176"/>
      <c r="O216" s="176"/>
      <c r="P216" s="179">
        <v>757.02</v>
      </c>
    </row>
    <row r="217" spans="1:16" ht="19.5" customHeight="1">
      <c r="A217" s="171" t="s">
        <v>398</v>
      </c>
      <c r="B217" s="175">
        <v>46026</v>
      </c>
      <c r="C217" s="171" t="s">
        <v>131</v>
      </c>
      <c r="D217" s="171" t="s">
        <v>132</v>
      </c>
      <c r="E217" s="171" t="s">
        <v>42</v>
      </c>
      <c r="F217" s="171" t="s">
        <v>248</v>
      </c>
      <c r="G217" s="171" t="s">
        <v>112</v>
      </c>
      <c r="H217" s="176">
        <v>1</v>
      </c>
      <c r="I217" s="177">
        <v>1414</v>
      </c>
      <c r="J217" s="175">
        <v>46022</v>
      </c>
      <c r="K217" s="171" t="s">
        <v>113</v>
      </c>
      <c r="L217" s="171" t="s">
        <v>114</v>
      </c>
      <c r="M217" s="178">
        <v>0.43</v>
      </c>
      <c r="N217" s="176"/>
      <c r="O217" s="176"/>
      <c r="P217" s="179">
        <v>-608.02</v>
      </c>
    </row>
    <row r="218" spans="1:16" ht="19.5" customHeight="1">
      <c r="A218" s="171" t="s">
        <v>399</v>
      </c>
      <c r="B218" s="175">
        <v>46026</v>
      </c>
      <c r="C218" s="171" t="s">
        <v>110</v>
      </c>
      <c r="D218" s="171" t="s">
        <v>24</v>
      </c>
      <c r="E218" s="171" t="s">
        <v>41</v>
      </c>
      <c r="F218" s="171" t="s">
        <v>138</v>
      </c>
      <c r="G218" s="171" t="s">
        <v>112</v>
      </c>
      <c r="H218" s="176">
        <v>1</v>
      </c>
      <c r="I218" s="177">
        <v>1304</v>
      </c>
      <c r="J218" s="175">
        <v>46024</v>
      </c>
      <c r="K218" s="171" t="s">
        <v>113</v>
      </c>
      <c r="L218" s="171" t="s">
        <v>114</v>
      </c>
      <c r="M218" s="178">
        <v>0.43</v>
      </c>
      <c r="N218" s="176"/>
      <c r="O218" s="176">
        <v>39</v>
      </c>
      <c r="P218" s="179">
        <v>-100.52</v>
      </c>
    </row>
    <row r="219" spans="1:16" ht="19.5" customHeight="1">
      <c r="A219" s="171" t="s">
        <v>399</v>
      </c>
      <c r="B219" s="175">
        <v>46026</v>
      </c>
      <c r="C219" s="171" t="s">
        <v>127</v>
      </c>
      <c r="D219" s="171" t="s">
        <v>128</v>
      </c>
      <c r="E219" s="171" t="s">
        <v>41</v>
      </c>
      <c r="F219" s="171" t="s">
        <v>138</v>
      </c>
      <c r="G219" s="171" t="s">
        <v>112</v>
      </c>
      <c r="H219" s="176">
        <v>1</v>
      </c>
      <c r="I219" s="177">
        <v>1304</v>
      </c>
      <c r="J219" s="175">
        <v>46024</v>
      </c>
      <c r="K219" s="171" t="s">
        <v>113</v>
      </c>
      <c r="L219" s="171" t="s">
        <v>114</v>
      </c>
      <c r="M219" s="178">
        <v>0</v>
      </c>
      <c r="N219" s="176"/>
      <c r="O219" s="176"/>
      <c r="P219" s="179">
        <v>456.19</v>
      </c>
    </row>
    <row r="220" spans="1:16" ht="19.5" customHeight="1">
      <c r="A220" s="171" t="s">
        <v>399</v>
      </c>
      <c r="B220" s="175">
        <v>46026</v>
      </c>
      <c r="C220" s="171" t="s">
        <v>127</v>
      </c>
      <c r="D220" s="171" t="s">
        <v>129</v>
      </c>
      <c r="E220" s="171" t="s">
        <v>41</v>
      </c>
      <c r="F220" s="171" t="s">
        <v>138</v>
      </c>
      <c r="G220" s="171" t="s">
        <v>112</v>
      </c>
      <c r="H220" s="176">
        <v>1</v>
      </c>
      <c r="I220" s="177">
        <v>1304</v>
      </c>
      <c r="J220" s="175">
        <v>46024</v>
      </c>
      <c r="K220" s="171" t="s">
        <v>113</v>
      </c>
      <c r="L220" s="171" t="s">
        <v>114</v>
      </c>
      <c r="M220" s="178">
        <v>0</v>
      </c>
      <c r="N220" s="176"/>
      <c r="O220" s="176"/>
      <c r="P220" s="179">
        <v>4.5599999999999996</v>
      </c>
    </row>
    <row r="221" spans="1:16" ht="19.5" customHeight="1">
      <c r="A221" s="171" t="s">
        <v>399</v>
      </c>
      <c r="B221" s="175">
        <v>46026</v>
      </c>
      <c r="C221" s="171" t="s">
        <v>127</v>
      </c>
      <c r="D221" s="171" t="s">
        <v>130</v>
      </c>
      <c r="E221" s="171" t="s">
        <v>41</v>
      </c>
      <c r="F221" s="171" t="s">
        <v>138</v>
      </c>
      <c r="G221" s="171" t="s">
        <v>112</v>
      </c>
      <c r="H221" s="176">
        <v>1</v>
      </c>
      <c r="I221" s="177">
        <v>1304</v>
      </c>
      <c r="J221" s="175">
        <v>46024</v>
      </c>
      <c r="K221" s="171" t="s">
        <v>113</v>
      </c>
      <c r="L221" s="171" t="s">
        <v>114</v>
      </c>
      <c r="M221" s="178">
        <v>0</v>
      </c>
      <c r="N221" s="176"/>
      <c r="O221" s="176"/>
      <c r="P221" s="179">
        <v>843.25</v>
      </c>
    </row>
    <row r="222" spans="1:16" ht="19.5" customHeight="1">
      <c r="A222" s="171" t="s">
        <v>399</v>
      </c>
      <c r="B222" s="175">
        <v>46026</v>
      </c>
      <c r="C222" s="171" t="s">
        <v>131</v>
      </c>
      <c r="D222" s="171" t="s">
        <v>132</v>
      </c>
      <c r="E222" s="171" t="s">
        <v>41</v>
      </c>
      <c r="F222" s="171" t="s">
        <v>138</v>
      </c>
      <c r="G222" s="171" t="s">
        <v>112</v>
      </c>
      <c r="H222" s="176">
        <v>1</v>
      </c>
      <c r="I222" s="177">
        <v>1304</v>
      </c>
      <c r="J222" s="175">
        <v>46024</v>
      </c>
      <c r="K222" s="171" t="s">
        <v>113</v>
      </c>
      <c r="L222" s="171" t="s">
        <v>114</v>
      </c>
      <c r="M222" s="178">
        <v>0.43</v>
      </c>
      <c r="N222" s="176"/>
      <c r="O222" s="176"/>
      <c r="P222" s="179">
        <v>-560.72</v>
      </c>
    </row>
    <row r="223" spans="1:16" ht="19.5" customHeight="1">
      <c r="A223" s="171" t="s">
        <v>399</v>
      </c>
      <c r="B223" s="175">
        <v>46026</v>
      </c>
      <c r="C223" s="171" t="s">
        <v>115</v>
      </c>
      <c r="D223" s="171" t="s">
        <v>116</v>
      </c>
      <c r="E223" s="171" t="s">
        <v>41</v>
      </c>
      <c r="F223" s="171" t="s">
        <v>138</v>
      </c>
      <c r="G223" s="171" t="s">
        <v>112</v>
      </c>
      <c r="H223" s="176">
        <v>1</v>
      </c>
      <c r="I223" s="177">
        <v>1304</v>
      </c>
      <c r="J223" s="175">
        <v>46024</v>
      </c>
      <c r="K223" s="171" t="s">
        <v>113</v>
      </c>
      <c r="L223" s="171" t="s">
        <v>114</v>
      </c>
      <c r="M223" s="178">
        <v>0.43</v>
      </c>
      <c r="N223" s="176"/>
      <c r="O223" s="176"/>
      <c r="P223" s="179">
        <v>-8.94</v>
      </c>
    </row>
    <row r="224" spans="1:16" ht="19.5" customHeight="1">
      <c r="A224" s="171" t="s">
        <v>400</v>
      </c>
      <c r="B224" s="175">
        <v>46026</v>
      </c>
      <c r="C224" s="171" t="s">
        <v>115</v>
      </c>
      <c r="D224" s="171" t="s">
        <v>135</v>
      </c>
      <c r="E224" s="171" t="s">
        <v>38</v>
      </c>
      <c r="F224" s="171" t="s">
        <v>111</v>
      </c>
      <c r="G224" s="171" t="s">
        <v>112</v>
      </c>
      <c r="H224" s="176">
        <v>1</v>
      </c>
      <c r="I224" s="177">
        <v>0</v>
      </c>
      <c r="J224" s="175">
        <v>46026</v>
      </c>
      <c r="K224" s="171" t="s">
        <v>125</v>
      </c>
      <c r="L224" s="171" t="s">
        <v>125</v>
      </c>
      <c r="M224" s="178">
        <v>0</v>
      </c>
      <c r="N224" s="176"/>
      <c r="O224" s="176"/>
      <c r="P224" s="179">
        <v>-11.13</v>
      </c>
    </row>
    <row r="225" spans="1:16" ht="19.5" customHeight="1">
      <c r="A225" s="171" t="s">
        <v>401</v>
      </c>
      <c r="B225" s="175">
        <v>46026</v>
      </c>
      <c r="C225" s="171" t="s">
        <v>110</v>
      </c>
      <c r="D225" s="171" t="s">
        <v>24</v>
      </c>
      <c r="E225" s="171" t="s">
        <v>39</v>
      </c>
      <c r="F225" s="171" t="s">
        <v>141</v>
      </c>
      <c r="G225" s="171" t="s">
        <v>112</v>
      </c>
      <c r="H225" s="176">
        <v>1</v>
      </c>
      <c r="I225" s="177">
        <v>1195</v>
      </c>
      <c r="J225" s="175">
        <v>46023</v>
      </c>
      <c r="K225" s="171" t="s">
        <v>113</v>
      </c>
      <c r="L225" s="171" t="s">
        <v>114</v>
      </c>
      <c r="M225" s="178">
        <v>0.43</v>
      </c>
      <c r="N225" s="176"/>
      <c r="O225" s="176">
        <v>39</v>
      </c>
      <c r="P225" s="179">
        <v>-97.9</v>
      </c>
    </row>
    <row r="226" spans="1:16" ht="19.5" customHeight="1">
      <c r="A226" s="171" t="s">
        <v>401</v>
      </c>
      <c r="B226" s="175">
        <v>46026</v>
      </c>
      <c r="C226" s="171" t="s">
        <v>127</v>
      </c>
      <c r="D226" s="171" t="s">
        <v>128</v>
      </c>
      <c r="E226" s="171" t="s">
        <v>39</v>
      </c>
      <c r="F226" s="171" t="s">
        <v>141</v>
      </c>
      <c r="G226" s="171" t="s">
        <v>112</v>
      </c>
      <c r="H226" s="176">
        <v>1</v>
      </c>
      <c r="I226" s="177">
        <v>1195</v>
      </c>
      <c r="J226" s="175">
        <v>46023</v>
      </c>
      <c r="K226" s="171" t="s">
        <v>113</v>
      </c>
      <c r="L226" s="171" t="s">
        <v>114</v>
      </c>
      <c r="M226" s="178">
        <v>0</v>
      </c>
      <c r="N226" s="176"/>
      <c r="O226" s="176"/>
      <c r="P226" s="179">
        <v>592.38</v>
      </c>
    </row>
    <row r="227" spans="1:16" ht="19.5" customHeight="1">
      <c r="A227" s="171" t="s">
        <v>401</v>
      </c>
      <c r="B227" s="175">
        <v>46026</v>
      </c>
      <c r="C227" s="171" t="s">
        <v>127</v>
      </c>
      <c r="D227" s="171" t="s">
        <v>129</v>
      </c>
      <c r="E227" s="171" t="s">
        <v>39</v>
      </c>
      <c r="F227" s="171" t="s">
        <v>141</v>
      </c>
      <c r="G227" s="171" t="s">
        <v>112</v>
      </c>
      <c r="H227" s="176">
        <v>1</v>
      </c>
      <c r="I227" s="177">
        <v>1195</v>
      </c>
      <c r="J227" s="175">
        <v>46023</v>
      </c>
      <c r="K227" s="171" t="s">
        <v>113</v>
      </c>
      <c r="L227" s="171" t="s">
        <v>114</v>
      </c>
      <c r="M227" s="178">
        <v>0</v>
      </c>
      <c r="N227" s="176"/>
      <c r="O227" s="176"/>
      <c r="P227" s="179">
        <v>5.92</v>
      </c>
    </row>
    <row r="228" spans="1:16" ht="19.5" customHeight="1">
      <c r="A228" s="171" t="s">
        <v>401</v>
      </c>
      <c r="B228" s="175">
        <v>46026</v>
      </c>
      <c r="C228" s="171" t="s">
        <v>127</v>
      </c>
      <c r="D228" s="171" t="s">
        <v>130</v>
      </c>
      <c r="E228" s="171" t="s">
        <v>39</v>
      </c>
      <c r="F228" s="171" t="s">
        <v>141</v>
      </c>
      <c r="G228" s="171" t="s">
        <v>112</v>
      </c>
      <c r="H228" s="176">
        <v>1</v>
      </c>
      <c r="I228" s="177">
        <v>1195</v>
      </c>
      <c r="J228" s="175">
        <v>46023</v>
      </c>
      <c r="K228" s="171" t="s">
        <v>113</v>
      </c>
      <c r="L228" s="171" t="s">
        <v>114</v>
      </c>
      <c r="M228" s="178">
        <v>0</v>
      </c>
      <c r="N228" s="176"/>
      <c r="O228" s="176"/>
      <c r="P228" s="179">
        <v>596.70000000000005</v>
      </c>
    </row>
    <row r="229" spans="1:16" ht="19.5" customHeight="1">
      <c r="A229" s="171" t="s">
        <v>401</v>
      </c>
      <c r="B229" s="175">
        <v>46026</v>
      </c>
      <c r="C229" s="171" t="s">
        <v>131</v>
      </c>
      <c r="D229" s="171" t="s">
        <v>132</v>
      </c>
      <c r="E229" s="171" t="s">
        <v>39</v>
      </c>
      <c r="F229" s="171" t="s">
        <v>141</v>
      </c>
      <c r="G229" s="171" t="s">
        <v>112</v>
      </c>
      <c r="H229" s="176">
        <v>1</v>
      </c>
      <c r="I229" s="177">
        <v>1195</v>
      </c>
      <c r="J229" s="175">
        <v>46023</v>
      </c>
      <c r="K229" s="171" t="s">
        <v>113</v>
      </c>
      <c r="L229" s="171" t="s">
        <v>114</v>
      </c>
      <c r="M229" s="178">
        <v>0.43</v>
      </c>
      <c r="N229" s="176"/>
      <c r="O229" s="176"/>
      <c r="P229" s="179">
        <v>-513.85</v>
      </c>
    </row>
    <row r="230" spans="1:16" ht="19.5" customHeight="1">
      <c r="A230" s="171" t="s">
        <v>401</v>
      </c>
      <c r="B230" s="175">
        <v>46026</v>
      </c>
      <c r="C230" s="171" t="s">
        <v>115</v>
      </c>
      <c r="D230" s="171" t="s">
        <v>116</v>
      </c>
      <c r="E230" s="171" t="s">
        <v>39</v>
      </c>
      <c r="F230" s="171" t="s">
        <v>141</v>
      </c>
      <c r="G230" s="171" t="s">
        <v>112</v>
      </c>
      <c r="H230" s="176">
        <v>1</v>
      </c>
      <c r="I230" s="177">
        <v>1195</v>
      </c>
      <c r="J230" s="175">
        <v>46023</v>
      </c>
      <c r="K230" s="171" t="s">
        <v>113</v>
      </c>
      <c r="L230" s="171" t="s">
        <v>114</v>
      </c>
      <c r="M230" s="178">
        <v>0.43</v>
      </c>
      <c r="N230" s="176"/>
      <c r="O230" s="176"/>
      <c r="P230" s="179">
        <v>-5.82</v>
      </c>
    </row>
    <row r="231" spans="1:16" ht="19.5" customHeight="1">
      <c r="A231" s="171" t="s">
        <v>402</v>
      </c>
      <c r="B231" s="175">
        <v>46026</v>
      </c>
      <c r="C231" s="171" t="s">
        <v>110</v>
      </c>
      <c r="D231" s="171" t="s">
        <v>24</v>
      </c>
      <c r="E231" s="171" t="s">
        <v>38</v>
      </c>
      <c r="F231" s="171" t="s">
        <v>111</v>
      </c>
      <c r="G231" s="171" t="s">
        <v>112</v>
      </c>
      <c r="H231" s="176">
        <v>1</v>
      </c>
      <c r="I231" s="177">
        <v>1704</v>
      </c>
      <c r="J231" s="175">
        <v>46018</v>
      </c>
      <c r="K231" s="171" t="s">
        <v>113</v>
      </c>
      <c r="L231" s="171" t="s">
        <v>114</v>
      </c>
      <c r="M231" s="178">
        <v>0.43</v>
      </c>
      <c r="N231" s="176"/>
      <c r="O231" s="176">
        <v>39</v>
      </c>
      <c r="P231" s="179">
        <v>-110.12</v>
      </c>
    </row>
    <row r="232" spans="1:16" ht="19.5" customHeight="1">
      <c r="A232" s="171" t="s">
        <v>402</v>
      </c>
      <c r="B232" s="175">
        <v>46026</v>
      </c>
      <c r="C232" s="171" t="s">
        <v>127</v>
      </c>
      <c r="D232" s="171" t="s">
        <v>128</v>
      </c>
      <c r="E232" s="171" t="s">
        <v>38</v>
      </c>
      <c r="F232" s="171" t="s">
        <v>111</v>
      </c>
      <c r="G232" s="171" t="s">
        <v>112</v>
      </c>
      <c r="H232" s="176">
        <v>1</v>
      </c>
      <c r="I232" s="177">
        <v>1704</v>
      </c>
      <c r="J232" s="175">
        <v>46018</v>
      </c>
      <c r="K232" s="171" t="s">
        <v>113</v>
      </c>
      <c r="L232" s="171" t="s">
        <v>114</v>
      </c>
      <c r="M232" s="178">
        <v>0</v>
      </c>
      <c r="N232" s="176"/>
      <c r="O232" s="176"/>
      <c r="P232" s="179">
        <v>585.71</v>
      </c>
    </row>
    <row r="233" spans="1:16" ht="19.5" customHeight="1">
      <c r="A233" s="171" t="s">
        <v>402</v>
      </c>
      <c r="B233" s="175">
        <v>46026</v>
      </c>
      <c r="C233" s="171" t="s">
        <v>127</v>
      </c>
      <c r="D233" s="171" t="s">
        <v>129</v>
      </c>
      <c r="E233" s="171" t="s">
        <v>38</v>
      </c>
      <c r="F233" s="171" t="s">
        <v>111</v>
      </c>
      <c r="G233" s="171" t="s">
        <v>112</v>
      </c>
      <c r="H233" s="176">
        <v>1</v>
      </c>
      <c r="I233" s="177">
        <v>1704</v>
      </c>
      <c r="J233" s="175">
        <v>46018</v>
      </c>
      <c r="K233" s="171" t="s">
        <v>113</v>
      </c>
      <c r="L233" s="171" t="s">
        <v>114</v>
      </c>
      <c r="M233" s="178">
        <v>0</v>
      </c>
      <c r="N233" s="176"/>
      <c r="O233" s="176"/>
      <c r="P233" s="179">
        <v>5.86</v>
      </c>
    </row>
    <row r="234" spans="1:16" ht="19.5" customHeight="1">
      <c r="A234" s="171" t="s">
        <v>402</v>
      </c>
      <c r="B234" s="175">
        <v>46026</v>
      </c>
      <c r="C234" s="171" t="s">
        <v>127</v>
      </c>
      <c r="D234" s="171" t="s">
        <v>130</v>
      </c>
      <c r="E234" s="171" t="s">
        <v>38</v>
      </c>
      <c r="F234" s="171" t="s">
        <v>111</v>
      </c>
      <c r="G234" s="171" t="s">
        <v>112</v>
      </c>
      <c r="H234" s="176">
        <v>1</v>
      </c>
      <c r="I234" s="177">
        <v>1704</v>
      </c>
      <c r="J234" s="175">
        <v>46018</v>
      </c>
      <c r="K234" s="171" t="s">
        <v>113</v>
      </c>
      <c r="L234" s="171" t="s">
        <v>114</v>
      </c>
      <c r="M234" s="178">
        <v>0</v>
      </c>
      <c r="N234" s="176"/>
      <c r="O234" s="176"/>
      <c r="P234" s="179">
        <v>1112.43</v>
      </c>
    </row>
    <row r="235" spans="1:16" ht="19.5" customHeight="1">
      <c r="A235" s="171" t="s">
        <v>402</v>
      </c>
      <c r="B235" s="175">
        <v>46026</v>
      </c>
      <c r="C235" s="171" t="s">
        <v>131</v>
      </c>
      <c r="D235" s="171" t="s">
        <v>132</v>
      </c>
      <c r="E235" s="171" t="s">
        <v>38</v>
      </c>
      <c r="F235" s="171" t="s">
        <v>111</v>
      </c>
      <c r="G235" s="171" t="s">
        <v>112</v>
      </c>
      <c r="H235" s="176">
        <v>1</v>
      </c>
      <c r="I235" s="177">
        <v>1704</v>
      </c>
      <c r="J235" s="175">
        <v>46018</v>
      </c>
      <c r="K235" s="171" t="s">
        <v>113</v>
      </c>
      <c r="L235" s="171" t="s">
        <v>114</v>
      </c>
      <c r="M235" s="178">
        <v>0.43</v>
      </c>
      <c r="N235" s="176"/>
      <c r="O235" s="176"/>
      <c r="P235" s="179">
        <v>-732.72</v>
      </c>
    </row>
    <row r="236" spans="1:16" ht="19.5" customHeight="1">
      <c r="A236" s="171" t="s">
        <v>402</v>
      </c>
      <c r="B236" s="175">
        <v>46026</v>
      </c>
      <c r="C236" s="171" t="s">
        <v>115</v>
      </c>
      <c r="D236" s="171" t="s">
        <v>116</v>
      </c>
      <c r="E236" s="171" t="s">
        <v>38</v>
      </c>
      <c r="F236" s="171" t="s">
        <v>111</v>
      </c>
      <c r="G236" s="171" t="s">
        <v>112</v>
      </c>
      <c r="H236" s="176">
        <v>1</v>
      </c>
      <c r="I236" s="177">
        <v>1704</v>
      </c>
      <c r="J236" s="175">
        <v>46018</v>
      </c>
      <c r="K236" s="171" t="s">
        <v>113</v>
      </c>
      <c r="L236" s="171" t="s">
        <v>114</v>
      </c>
      <c r="M236" s="178">
        <v>0.43</v>
      </c>
      <c r="N236" s="176"/>
      <c r="O236" s="176"/>
      <c r="P236" s="179">
        <v>-17.3</v>
      </c>
    </row>
    <row r="237" spans="1:16" ht="19.5" customHeight="1">
      <c r="A237" s="171" t="s">
        <v>403</v>
      </c>
      <c r="B237" s="175">
        <v>46026</v>
      </c>
      <c r="C237" s="171" t="s">
        <v>110</v>
      </c>
      <c r="D237" s="171" t="s">
        <v>24</v>
      </c>
      <c r="E237" s="171" t="s">
        <v>41</v>
      </c>
      <c r="F237" s="171" t="s">
        <v>138</v>
      </c>
      <c r="G237" s="171" t="s">
        <v>112</v>
      </c>
      <c r="H237" s="176">
        <v>1</v>
      </c>
      <c r="I237" s="177">
        <v>1304</v>
      </c>
      <c r="J237" s="175">
        <v>46023</v>
      </c>
      <c r="K237" s="171" t="s">
        <v>113</v>
      </c>
      <c r="L237" s="171" t="s">
        <v>114</v>
      </c>
      <c r="M237" s="178">
        <v>0.43</v>
      </c>
      <c r="N237" s="176"/>
      <c r="O237" s="176">
        <v>39</v>
      </c>
      <c r="P237" s="179">
        <v>-99.38</v>
      </c>
    </row>
    <row r="238" spans="1:16" ht="19.5" customHeight="1">
      <c r="A238" s="171" t="s">
        <v>403</v>
      </c>
      <c r="B238" s="175">
        <v>46026</v>
      </c>
      <c r="C238" s="171" t="s">
        <v>127</v>
      </c>
      <c r="D238" s="171" t="s">
        <v>128</v>
      </c>
      <c r="E238" s="171" t="s">
        <v>41</v>
      </c>
      <c r="F238" s="171" t="s">
        <v>138</v>
      </c>
      <c r="G238" s="171" t="s">
        <v>112</v>
      </c>
      <c r="H238" s="176">
        <v>1</v>
      </c>
      <c r="I238" s="177">
        <v>1304</v>
      </c>
      <c r="J238" s="175">
        <v>46023</v>
      </c>
      <c r="K238" s="171" t="s">
        <v>113</v>
      </c>
      <c r="L238" s="171" t="s">
        <v>114</v>
      </c>
      <c r="M238" s="178">
        <v>0</v>
      </c>
      <c r="N238" s="176"/>
      <c r="O238" s="176"/>
      <c r="P238" s="179">
        <v>496.2</v>
      </c>
    </row>
    <row r="239" spans="1:16" ht="19.5" customHeight="1">
      <c r="A239" s="171" t="s">
        <v>403</v>
      </c>
      <c r="B239" s="175">
        <v>46026</v>
      </c>
      <c r="C239" s="171" t="s">
        <v>127</v>
      </c>
      <c r="D239" s="171" t="s">
        <v>129</v>
      </c>
      <c r="E239" s="171" t="s">
        <v>41</v>
      </c>
      <c r="F239" s="171" t="s">
        <v>138</v>
      </c>
      <c r="G239" s="171" t="s">
        <v>112</v>
      </c>
      <c r="H239" s="176">
        <v>1</v>
      </c>
      <c r="I239" s="177">
        <v>1304</v>
      </c>
      <c r="J239" s="175">
        <v>46023</v>
      </c>
      <c r="K239" s="171" t="s">
        <v>113</v>
      </c>
      <c r="L239" s="171" t="s">
        <v>114</v>
      </c>
      <c r="M239" s="178">
        <v>0</v>
      </c>
      <c r="N239" s="176"/>
      <c r="O239" s="176"/>
      <c r="P239" s="179">
        <v>0</v>
      </c>
    </row>
    <row r="240" spans="1:16" ht="19.5" customHeight="1">
      <c r="A240" s="171" t="s">
        <v>403</v>
      </c>
      <c r="B240" s="175">
        <v>46026</v>
      </c>
      <c r="C240" s="171" t="s">
        <v>127</v>
      </c>
      <c r="D240" s="171" t="s">
        <v>130</v>
      </c>
      <c r="E240" s="171" t="s">
        <v>41</v>
      </c>
      <c r="F240" s="171" t="s">
        <v>138</v>
      </c>
      <c r="G240" s="171" t="s">
        <v>112</v>
      </c>
      <c r="H240" s="176">
        <v>1</v>
      </c>
      <c r="I240" s="177">
        <v>1304</v>
      </c>
      <c r="J240" s="175">
        <v>46023</v>
      </c>
      <c r="K240" s="171" t="s">
        <v>113</v>
      </c>
      <c r="L240" s="171" t="s">
        <v>114</v>
      </c>
      <c r="M240" s="178">
        <v>0</v>
      </c>
      <c r="N240" s="176"/>
      <c r="O240" s="176"/>
      <c r="P240" s="179">
        <v>807.8</v>
      </c>
    </row>
    <row r="241" spans="1:16" ht="19.5" customHeight="1">
      <c r="A241" s="171" t="s">
        <v>403</v>
      </c>
      <c r="B241" s="175">
        <v>46026</v>
      </c>
      <c r="C241" s="171" t="s">
        <v>131</v>
      </c>
      <c r="D241" s="171" t="s">
        <v>132</v>
      </c>
      <c r="E241" s="171" t="s">
        <v>41</v>
      </c>
      <c r="F241" s="171" t="s">
        <v>138</v>
      </c>
      <c r="G241" s="171" t="s">
        <v>112</v>
      </c>
      <c r="H241" s="176">
        <v>1</v>
      </c>
      <c r="I241" s="177">
        <v>1304</v>
      </c>
      <c r="J241" s="175">
        <v>46023</v>
      </c>
      <c r="K241" s="171" t="s">
        <v>113</v>
      </c>
      <c r="L241" s="171" t="s">
        <v>114</v>
      </c>
      <c r="M241" s="178">
        <v>0.43</v>
      </c>
      <c r="N241" s="176"/>
      <c r="O241" s="176"/>
      <c r="P241" s="179">
        <v>-560.72</v>
      </c>
    </row>
    <row r="242" spans="1:16" ht="19.5" customHeight="1">
      <c r="A242" s="171" t="s">
        <v>403</v>
      </c>
      <c r="B242" s="175">
        <v>46026</v>
      </c>
      <c r="C242" s="171" t="s">
        <v>115</v>
      </c>
      <c r="D242" s="171" t="s">
        <v>116</v>
      </c>
      <c r="E242" s="171" t="s">
        <v>41</v>
      </c>
      <c r="F242" s="171" t="s">
        <v>138</v>
      </c>
      <c r="G242" s="171" t="s">
        <v>112</v>
      </c>
      <c r="H242" s="176">
        <v>1</v>
      </c>
      <c r="I242" s="177">
        <v>1304</v>
      </c>
      <c r="J242" s="175">
        <v>46023</v>
      </c>
      <c r="K242" s="171" t="s">
        <v>113</v>
      </c>
      <c r="L242" s="171" t="s">
        <v>114</v>
      </c>
      <c r="M242" s="178">
        <v>0.43</v>
      </c>
      <c r="N242" s="176"/>
      <c r="O242" s="176"/>
      <c r="P242" s="179">
        <v>-7.34</v>
      </c>
    </row>
    <row r="243" spans="1:16" ht="19.5" customHeight="1">
      <c r="A243" s="171" t="s">
        <v>404</v>
      </c>
      <c r="B243" s="175">
        <v>46026</v>
      </c>
      <c r="C243" s="171" t="s">
        <v>110</v>
      </c>
      <c r="D243" s="171" t="s">
        <v>24</v>
      </c>
      <c r="E243" s="171" t="s">
        <v>41</v>
      </c>
      <c r="F243" s="171" t="s">
        <v>138</v>
      </c>
      <c r="G243" s="171" t="s">
        <v>112</v>
      </c>
      <c r="H243" s="176">
        <v>1</v>
      </c>
      <c r="I243" s="177">
        <v>1687</v>
      </c>
      <c r="J243" s="175">
        <v>46025</v>
      </c>
      <c r="K243" s="171" t="s">
        <v>113</v>
      </c>
      <c r="L243" s="171" t="s">
        <v>114</v>
      </c>
      <c r="M243" s="178">
        <v>0.43</v>
      </c>
      <c r="N243" s="176"/>
      <c r="O243" s="176">
        <v>39</v>
      </c>
      <c r="P243" s="179">
        <v>-109.71</v>
      </c>
    </row>
    <row r="244" spans="1:16" ht="19.5" customHeight="1">
      <c r="A244" s="171" t="s">
        <v>404</v>
      </c>
      <c r="B244" s="175">
        <v>46026</v>
      </c>
      <c r="C244" s="171" t="s">
        <v>127</v>
      </c>
      <c r="D244" s="171" t="s">
        <v>128</v>
      </c>
      <c r="E244" s="171" t="s">
        <v>41</v>
      </c>
      <c r="F244" s="171" t="s">
        <v>138</v>
      </c>
      <c r="G244" s="171" t="s">
        <v>112</v>
      </c>
      <c r="H244" s="176">
        <v>1</v>
      </c>
      <c r="I244" s="177">
        <v>1687</v>
      </c>
      <c r="J244" s="175">
        <v>46025</v>
      </c>
      <c r="K244" s="171" t="s">
        <v>113</v>
      </c>
      <c r="L244" s="171" t="s">
        <v>114</v>
      </c>
      <c r="M244" s="178">
        <v>0</v>
      </c>
      <c r="N244" s="176"/>
      <c r="O244" s="176"/>
      <c r="P244" s="179">
        <v>639.80999999999995</v>
      </c>
    </row>
    <row r="245" spans="1:16" ht="19.5" customHeight="1">
      <c r="A245" s="171" t="s">
        <v>404</v>
      </c>
      <c r="B245" s="175">
        <v>46026</v>
      </c>
      <c r="C245" s="171" t="s">
        <v>127</v>
      </c>
      <c r="D245" s="171" t="s">
        <v>129</v>
      </c>
      <c r="E245" s="171" t="s">
        <v>41</v>
      </c>
      <c r="F245" s="171" t="s">
        <v>138</v>
      </c>
      <c r="G245" s="171" t="s">
        <v>112</v>
      </c>
      <c r="H245" s="176">
        <v>1</v>
      </c>
      <c r="I245" s="177">
        <v>1687</v>
      </c>
      <c r="J245" s="175">
        <v>46025</v>
      </c>
      <c r="K245" s="171" t="s">
        <v>113</v>
      </c>
      <c r="L245" s="171" t="s">
        <v>114</v>
      </c>
      <c r="M245" s="178">
        <v>0</v>
      </c>
      <c r="N245" s="176"/>
      <c r="O245" s="176"/>
      <c r="P245" s="179">
        <v>0</v>
      </c>
    </row>
    <row r="246" spans="1:16" ht="19.5" customHeight="1">
      <c r="A246" s="171" t="s">
        <v>404</v>
      </c>
      <c r="B246" s="175">
        <v>46026</v>
      </c>
      <c r="C246" s="171" t="s">
        <v>127</v>
      </c>
      <c r="D246" s="171" t="s">
        <v>130</v>
      </c>
      <c r="E246" s="171" t="s">
        <v>41</v>
      </c>
      <c r="F246" s="171" t="s">
        <v>138</v>
      </c>
      <c r="G246" s="171" t="s">
        <v>112</v>
      </c>
      <c r="H246" s="176">
        <v>1</v>
      </c>
      <c r="I246" s="177">
        <v>1687</v>
      </c>
      <c r="J246" s="175">
        <v>46025</v>
      </c>
      <c r="K246" s="171" t="s">
        <v>113</v>
      </c>
      <c r="L246" s="171" t="s">
        <v>114</v>
      </c>
      <c r="M246" s="178">
        <v>0</v>
      </c>
      <c r="N246" s="176"/>
      <c r="O246" s="176"/>
      <c r="P246" s="179">
        <v>1047.19</v>
      </c>
    </row>
    <row r="247" spans="1:16" ht="19.5" customHeight="1">
      <c r="A247" s="171" t="s">
        <v>404</v>
      </c>
      <c r="B247" s="175">
        <v>46026</v>
      </c>
      <c r="C247" s="171" t="s">
        <v>131</v>
      </c>
      <c r="D247" s="171" t="s">
        <v>132</v>
      </c>
      <c r="E247" s="171" t="s">
        <v>41</v>
      </c>
      <c r="F247" s="171" t="s">
        <v>138</v>
      </c>
      <c r="G247" s="171" t="s">
        <v>112</v>
      </c>
      <c r="H247" s="176">
        <v>1</v>
      </c>
      <c r="I247" s="177">
        <v>1687</v>
      </c>
      <c r="J247" s="175">
        <v>46025</v>
      </c>
      <c r="K247" s="171" t="s">
        <v>113</v>
      </c>
      <c r="L247" s="171" t="s">
        <v>114</v>
      </c>
      <c r="M247" s="178">
        <v>0.43</v>
      </c>
      <c r="N247" s="176"/>
      <c r="O247" s="176"/>
      <c r="P247" s="179">
        <v>-725.41</v>
      </c>
    </row>
    <row r="248" spans="1:16" ht="19.5" customHeight="1">
      <c r="A248" s="171" t="s">
        <v>404</v>
      </c>
      <c r="B248" s="175">
        <v>46026</v>
      </c>
      <c r="C248" s="171" t="s">
        <v>115</v>
      </c>
      <c r="D248" s="171" t="s">
        <v>116</v>
      </c>
      <c r="E248" s="171" t="s">
        <v>41</v>
      </c>
      <c r="F248" s="171" t="s">
        <v>138</v>
      </c>
      <c r="G248" s="171" t="s">
        <v>112</v>
      </c>
      <c r="H248" s="176">
        <v>1</v>
      </c>
      <c r="I248" s="177">
        <v>1687</v>
      </c>
      <c r="J248" s="175">
        <v>46025</v>
      </c>
      <c r="K248" s="171" t="s">
        <v>113</v>
      </c>
      <c r="L248" s="171" t="s">
        <v>114</v>
      </c>
      <c r="M248" s="178">
        <v>0.43</v>
      </c>
      <c r="N248" s="176"/>
      <c r="O248" s="176"/>
      <c r="P248" s="179">
        <v>-7.33</v>
      </c>
    </row>
    <row r="249" spans="1:16" ht="19.5" customHeight="1">
      <c r="A249" s="171" t="s">
        <v>405</v>
      </c>
      <c r="B249" s="175">
        <v>46026</v>
      </c>
      <c r="C249" s="171" t="s">
        <v>110</v>
      </c>
      <c r="D249" s="171" t="s">
        <v>24</v>
      </c>
      <c r="E249" s="171" t="s">
        <v>38</v>
      </c>
      <c r="F249" s="171" t="s">
        <v>111</v>
      </c>
      <c r="G249" s="171" t="s">
        <v>112</v>
      </c>
      <c r="H249" s="176">
        <v>1</v>
      </c>
      <c r="I249" s="177">
        <v>1704</v>
      </c>
      <c r="J249" s="175">
        <v>46023</v>
      </c>
      <c r="K249" s="171" t="s">
        <v>113</v>
      </c>
      <c r="L249" s="171" t="s">
        <v>114</v>
      </c>
      <c r="M249" s="178">
        <v>0.43</v>
      </c>
      <c r="N249" s="176"/>
      <c r="O249" s="176">
        <v>39</v>
      </c>
      <c r="P249" s="179">
        <v>-110.12</v>
      </c>
    </row>
    <row r="250" spans="1:16" ht="19.5" customHeight="1">
      <c r="A250" s="171" t="s">
        <v>405</v>
      </c>
      <c r="B250" s="175">
        <v>46026</v>
      </c>
      <c r="C250" s="171" t="s">
        <v>127</v>
      </c>
      <c r="D250" s="171" t="s">
        <v>128</v>
      </c>
      <c r="E250" s="171" t="s">
        <v>38</v>
      </c>
      <c r="F250" s="171" t="s">
        <v>111</v>
      </c>
      <c r="G250" s="171" t="s">
        <v>112</v>
      </c>
      <c r="H250" s="176">
        <v>1</v>
      </c>
      <c r="I250" s="177">
        <v>1704</v>
      </c>
      <c r="J250" s="175">
        <v>46023</v>
      </c>
      <c r="K250" s="171" t="s">
        <v>113</v>
      </c>
      <c r="L250" s="171" t="s">
        <v>114</v>
      </c>
      <c r="M250" s="178">
        <v>0</v>
      </c>
      <c r="N250" s="176"/>
      <c r="O250" s="176"/>
      <c r="P250" s="179">
        <v>585.71</v>
      </c>
    </row>
    <row r="251" spans="1:16" ht="19.5" customHeight="1">
      <c r="A251" s="171" t="s">
        <v>405</v>
      </c>
      <c r="B251" s="175">
        <v>46026</v>
      </c>
      <c r="C251" s="171" t="s">
        <v>127</v>
      </c>
      <c r="D251" s="171" t="s">
        <v>129</v>
      </c>
      <c r="E251" s="171" t="s">
        <v>38</v>
      </c>
      <c r="F251" s="171" t="s">
        <v>111</v>
      </c>
      <c r="G251" s="171" t="s">
        <v>112</v>
      </c>
      <c r="H251" s="176">
        <v>1</v>
      </c>
      <c r="I251" s="177">
        <v>1704</v>
      </c>
      <c r="J251" s="175">
        <v>46023</v>
      </c>
      <c r="K251" s="171" t="s">
        <v>113</v>
      </c>
      <c r="L251" s="171" t="s">
        <v>114</v>
      </c>
      <c r="M251" s="178">
        <v>0</v>
      </c>
      <c r="N251" s="176"/>
      <c r="O251" s="176"/>
      <c r="P251" s="179">
        <v>5.86</v>
      </c>
    </row>
    <row r="252" spans="1:16" ht="19.5" customHeight="1">
      <c r="A252" s="171" t="s">
        <v>405</v>
      </c>
      <c r="B252" s="175">
        <v>46026</v>
      </c>
      <c r="C252" s="171" t="s">
        <v>127</v>
      </c>
      <c r="D252" s="171" t="s">
        <v>130</v>
      </c>
      <c r="E252" s="171" t="s">
        <v>38</v>
      </c>
      <c r="F252" s="171" t="s">
        <v>111</v>
      </c>
      <c r="G252" s="171" t="s">
        <v>112</v>
      </c>
      <c r="H252" s="176">
        <v>1</v>
      </c>
      <c r="I252" s="177">
        <v>1704</v>
      </c>
      <c r="J252" s="175">
        <v>46023</v>
      </c>
      <c r="K252" s="171" t="s">
        <v>113</v>
      </c>
      <c r="L252" s="171" t="s">
        <v>114</v>
      </c>
      <c r="M252" s="178">
        <v>0</v>
      </c>
      <c r="N252" s="176"/>
      <c r="O252" s="176"/>
      <c r="P252" s="179">
        <v>1112.43</v>
      </c>
    </row>
    <row r="253" spans="1:16" ht="19.5" customHeight="1">
      <c r="A253" s="171" t="s">
        <v>405</v>
      </c>
      <c r="B253" s="175">
        <v>46026</v>
      </c>
      <c r="C253" s="171" t="s">
        <v>131</v>
      </c>
      <c r="D253" s="171" t="s">
        <v>132</v>
      </c>
      <c r="E253" s="171" t="s">
        <v>38</v>
      </c>
      <c r="F253" s="171" t="s">
        <v>111</v>
      </c>
      <c r="G253" s="171" t="s">
        <v>112</v>
      </c>
      <c r="H253" s="176">
        <v>1</v>
      </c>
      <c r="I253" s="177">
        <v>1704</v>
      </c>
      <c r="J253" s="175">
        <v>46023</v>
      </c>
      <c r="K253" s="171" t="s">
        <v>113</v>
      </c>
      <c r="L253" s="171" t="s">
        <v>114</v>
      </c>
      <c r="M253" s="178">
        <v>0.43</v>
      </c>
      <c r="N253" s="176"/>
      <c r="O253" s="176"/>
      <c r="P253" s="179">
        <v>-732.72</v>
      </c>
    </row>
    <row r="254" spans="1:16" ht="19.5" customHeight="1">
      <c r="A254" s="171" t="s">
        <v>405</v>
      </c>
      <c r="B254" s="175">
        <v>46026</v>
      </c>
      <c r="C254" s="171" t="s">
        <v>115</v>
      </c>
      <c r="D254" s="171" t="s">
        <v>116</v>
      </c>
      <c r="E254" s="171" t="s">
        <v>38</v>
      </c>
      <c r="F254" s="171" t="s">
        <v>111</v>
      </c>
      <c r="G254" s="171" t="s">
        <v>112</v>
      </c>
      <c r="H254" s="176">
        <v>1</v>
      </c>
      <c r="I254" s="177">
        <v>1704</v>
      </c>
      <c r="J254" s="175">
        <v>46023</v>
      </c>
      <c r="K254" s="171" t="s">
        <v>113</v>
      </c>
      <c r="L254" s="171" t="s">
        <v>114</v>
      </c>
      <c r="M254" s="178">
        <v>0.43</v>
      </c>
      <c r="N254" s="176"/>
      <c r="O254" s="176"/>
      <c r="P254" s="179">
        <v>-14.19</v>
      </c>
    </row>
    <row r="255" spans="1:16" ht="19.5" customHeight="1">
      <c r="A255" s="171" t="s">
        <v>405</v>
      </c>
      <c r="B255" s="175">
        <v>46026</v>
      </c>
      <c r="C255" s="171" t="s">
        <v>115</v>
      </c>
      <c r="D255" s="171" t="s">
        <v>135</v>
      </c>
      <c r="E255" s="171" t="s">
        <v>38</v>
      </c>
      <c r="F255" s="171" t="s">
        <v>111</v>
      </c>
      <c r="G255" s="171" t="s">
        <v>112</v>
      </c>
      <c r="H255" s="176">
        <v>1</v>
      </c>
      <c r="I255" s="177">
        <v>0</v>
      </c>
      <c r="J255" s="175">
        <v>46023</v>
      </c>
      <c r="K255" s="171" t="s">
        <v>125</v>
      </c>
      <c r="L255" s="171" t="s">
        <v>125</v>
      </c>
      <c r="M255" s="178">
        <v>0</v>
      </c>
      <c r="N255" s="176"/>
      <c r="O255" s="176"/>
      <c r="P255" s="179">
        <v>-11.13</v>
      </c>
    </row>
    <row r="256" spans="1:16" ht="19.5" customHeight="1">
      <c r="A256" s="171" t="s">
        <v>155</v>
      </c>
      <c r="B256" s="175">
        <v>46026</v>
      </c>
      <c r="C256" s="171" t="s">
        <v>151</v>
      </c>
      <c r="D256" s="171" t="s">
        <v>156</v>
      </c>
      <c r="E256" s="171" t="s">
        <v>125</v>
      </c>
      <c r="F256" s="171" t="s">
        <v>125</v>
      </c>
      <c r="G256" s="171" t="s">
        <v>125</v>
      </c>
      <c r="H256" s="176">
        <v>0</v>
      </c>
      <c r="I256" s="177">
        <v>0</v>
      </c>
      <c r="J256" s="175">
        <v>46026</v>
      </c>
      <c r="K256" s="171" t="s">
        <v>125</v>
      </c>
      <c r="L256" s="171" t="s">
        <v>125</v>
      </c>
      <c r="M256" s="178">
        <v>0</v>
      </c>
      <c r="N256" s="176"/>
      <c r="O256" s="176"/>
      <c r="P256" s="179">
        <v>-1363.2</v>
      </c>
    </row>
    <row r="257" spans="1:16" ht="19.5" customHeight="1">
      <c r="A257" s="171" t="s">
        <v>352</v>
      </c>
      <c r="B257" s="175">
        <v>46026</v>
      </c>
      <c r="C257" s="171" t="s">
        <v>151</v>
      </c>
      <c r="D257" s="171" t="s">
        <v>152</v>
      </c>
      <c r="E257" s="171" t="s">
        <v>125</v>
      </c>
      <c r="F257" s="171" t="s">
        <v>125</v>
      </c>
      <c r="G257" s="171" t="s">
        <v>125</v>
      </c>
      <c r="H257" s="176">
        <v>0</v>
      </c>
      <c r="I257" s="177">
        <v>0</v>
      </c>
      <c r="J257" s="175">
        <v>46026</v>
      </c>
      <c r="K257" s="171" t="s">
        <v>125</v>
      </c>
      <c r="L257" s="171" t="s">
        <v>125</v>
      </c>
      <c r="M257" s="178">
        <v>0</v>
      </c>
      <c r="N257" s="176"/>
      <c r="O257" s="176"/>
      <c r="P257" s="179">
        <v>-529.83000000000004</v>
      </c>
    </row>
    <row r="258" spans="1:16" ht="19.5" customHeight="1">
      <c r="A258" s="171" t="s">
        <v>150</v>
      </c>
      <c r="B258" s="175">
        <v>46026</v>
      </c>
      <c r="C258" s="171" t="s">
        <v>151</v>
      </c>
      <c r="D258" s="171" t="s">
        <v>152</v>
      </c>
      <c r="E258" s="171" t="s">
        <v>125</v>
      </c>
      <c r="F258" s="171" t="s">
        <v>125</v>
      </c>
      <c r="G258" s="171" t="s">
        <v>125</v>
      </c>
      <c r="H258" s="176">
        <v>0</v>
      </c>
      <c r="I258" s="177">
        <v>0</v>
      </c>
      <c r="J258" s="175">
        <v>46026</v>
      </c>
      <c r="K258" s="171" t="s">
        <v>125</v>
      </c>
      <c r="L258" s="171" t="s">
        <v>125</v>
      </c>
      <c r="M258" s="178">
        <v>0</v>
      </c>
      <c r="N258" s="176"/>
      <c r="O258" s="176"/>
      <c r="P258" s="179">
        <v>-1332.12</v>
      </c>
    </row>
    <row r="259" spans="1:16" ht="19.5" customHeight="1">
      <c r="A259" s="171" t="s">
        <v>349</v>
      </c>
      <c r="B259" s="175">
        <v>46026</v>
      </c>
      <c r="C259" s="171" t="s">
        <v>151</v>
      </c>
      <c r="D259" s="171" t="s">
        <v>152</v>
      </c>
      <c r="E259" s="171" t="s">
        <v>125</v>
      </c>
      <c r="F259" s="171" t="s">
        <v>125</v>
      </c>
      <c r="G259" s="171" t="s">
        <v>125</v>
      </c>
      <c r="H259" s="176">
        <v>0</v>
      </c>
      <c r="I259" s="177">
        <v>0</v>
      </c>
      <c r="J259" s="175">
        <v>46026</v>
      </c>
      <c r="K259" s="171" t="s">
        <v>125</v>
      </c>
      <c r="L259" s="171" t="s">
        <v>125</v>
      </c>
      <c r="M259" s="178">
        <v>0</v>
      </c>
      <c r="N259" s="176"/>
      <c r="O259" s="176"/>
      <c r="P259" s="179">
        <v>-280.39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36</vt:i4>
      </vt:variant>
    </vt:vector>
  </HeadingPairs>
  <TitlesOfParts>
    <vt:vector size="36" baseType="lpstr">
      <vt:lpstr>Сводная</vt:lpstr>
      <vt:lpstr>АВС 16-22.02</vt:lpstr>
      <vt:lpstr>АВС 09-15.02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01.03</vt:lpstr>
      <vt:lpstr>ФЕВРАЛЬ</vt:lpstr>
      <vt:lpstr>Юнит 23.02-01.03</vt:lpstr>
      <vt:lpstr>Юнит 23-28.02</vt:lpstr>
      <vt:lpstr>Юнит 16-22.02</vt:lpstr>
      <vt:lpstr>Юнит 09-15.02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01.03</vt:lpstr>
      <vt:lpstr>Отчет 23-28.02</vt:lpstr>
      <vt:lpstr>Отчет 16-22.02</vt:lpstr>
      <vt:lpstr>Отчет 09-15.02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2026-02-16T12:39:58Z</dcterms:modified>
</cp:coreProperties>
</file>