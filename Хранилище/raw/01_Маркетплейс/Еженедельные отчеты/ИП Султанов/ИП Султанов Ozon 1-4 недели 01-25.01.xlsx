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4 нед\"/>
    </mc:Choice>
  </mc:AlternateContent>
  <xr:revisionPtr revIDLastSave="0" documentId="13_ncr:1_{3302D8B8-20A4-49DD-A1C8-0E938233C36C}" xr6:coauthVersionLast="45" xr6:coauthVersionMax="45" xr10:uidLastSave="{00000000-0000-0000-0000-000000000000}"/>
  <bookViews>
    <workbookView xWindow="-110" yWindow="-110" windowWidth="19420" windowHeight="10420" activeTab="9" xr2:uid="{00000000-000D-0000-FFFF-FFFF00000000}"/>
  </bookViews>
  <sheets>
    <sheet name="Сводная" sheetId="6" r:id="rId1"/>
    <sheet name="АВС 01.02" sheetId="13" state="hidden" r:id="rId2"/>
    <sheet name="АВС ЯНВАРЬ" sheetId="12" state="hidden" r:id="rId3"/>
    <sheet name="АВС 26-31.01" sheetId="10" state="hidden" r:id="rId4"/>
    <sheet name="АВС 19-25.01" sheetId="9" r:id="rId5"/>
    <sheet name="АВС 12-18.01" sheetId="8" r:id="rId6"/>
    <sheet name="АВС 05-11.01" sheetId="7" r:id="rId7"/>
    <sheet name="АВС 01-04.01" sheetId="11" r:id="rId8"/>
    <sheet name="Юнит 01.02" sheetId="19" state="hidden" r:id="rId9"/>
    <sheet name="ЯНВАРЬ" sheetId="18" r:id="rId10"/>
    <sheet name="Юнит 26-31.01" sheetId="17" state="hidden" r:id="rId11"/>
    <sheet name="Юнит 19-25.01" sheetId="16" r:id="rId12"/>
    <sheet name="Юнит 12-18.01" sheetId="1" r:id="rId13"/>
    <sheet name="Юнит 05-11.01" sheetId="5" r:id="rId14"/>
    <sheet name="Юнит 01-04.01" sheetId="15" r:id="rId15"/>
    <sheet name="Отчет 01.02" sheetId="22" state="hidden" r:id="rId16"/>
    <sheet name="Отчет 26-31.01" sheetId="21" state="hidden" r:id="rId17"/>
    <sheet name="Отчет 19-25.01" sheetId="20" state="hidden" r:id="rId18"/>
    <sheet name="Отчет 12-18.01" sheetId="2" state="hidden" r:id="rId19"/>
    <sheet name="Отчет 05-11.01" sheetId="4" state="hidden" r:id="rId20"/>
    <sheet name="Отчет 01-04.01" sheetId="23" state="hidden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47" i="19" l="1"/>
  <c r="AD46" i="19"/>
  <c r="AD45" i="19"/>
  <c r="AD44" i="19"/>
  <c r="AD43" i="19"/>
  <c r="AD42" i="19"/>
  <c r="AD41" i="19"/>
  <c r="AD40" i="19"/>
  <c r="AD39" i="19"/>
  <c r="AD38" i="19"/>
  <c r="AD37" i="19"/>
  <c r="AD36" i="19"/>
  <c r="AD35" i="19"/>
  <c r="AD34" i="19"/>
  <c r="AD33" i="19"/>
  <c r="AD32" i="19"/>
  <c r="AD31" i="19"/>
  <c r="AD30" i="19"/>
  <c r="AD29" i="19"/>
  <c r="AD28" i="19"/>
  <c r="AD24" i="19"/>
  <c r="AD23" i="19"/>
  <c r="AD22" i="19"/>
  <c r="AD21" i="19"/>
  <c r="AD20" i="19"/>
  <c r="AD19" i="19"/>
  <c r="AD18" i="19"/>
  <c r="AD17" i="19"/>
  <c r="AD16" i="19"/>
  <c r="AD15" i="19"/>
  <c r="AD14" i="19"/>
  <c r="AD13" i="19"/>
  <c r="AD12" i="19"/>
  <c r="AD11" i="19"/>
  <c r="AD10" i="19"/>
  <c r="AD9" i="19"/>
  <c r="AD8" i="19"/>
  <c r="AD7" i="19"/>
  <c r="AD6" i="19"/>
  <c r="AD5" i="19"/>
  <c r="AD4" i="19"/>
  <c r="AD3" i="19"/>
  <c r="AD47" i="16"/>
  <c r="AD46" i="16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AD5" i="16"/>
  <c r="AD4" i="16"/>
  <c r="AD3" i="16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E10" i="6" l="1"/>
  <c r="E9" i="6"/>
  <c r="E8" i="6"/>
  <c r="E7" i="6"/>
  <c r="E6" i="6"/>
  <c r="E5" i="6"/>
  <c r="E4" i="6"/>
  <c r="E3" i="6"/>
  <c r="Z4" i="6"/>
  <c r="Z5" i="6"/>
  <c r="Z6" i="6"/>
  <c r="Z7" i="6"/>
  <c r="Z8" i="6"/>
  <c r="Z9" i="6"/>
  <c r="Z10" i="6"/>
  <c r="Z3" i="6"/>
  <c r="W36" i="16" l="1"/>
  <c r="L5" i="6"/>
  <c r="L7" i="6"/>
  <c r="J36" i="9" l="1"/>
  <c r="J37" i="9"/>
  <c r="J33" i="9"/>
  <c r="J38" i="9"/>
  <c r="J34" i="9"/>
  <c r="J39" i="9"/>
  <c r="J40" i="9"/>
  <c r="J41" i="9"/>
  <c r="J32" i="9"/>
  <c r="J49" i="9"/>
  <c r="J42" i="9"/>
  <c r="J43" i="9"/>
  <c r="J44" i="9"/>
  <c r="J45" i="9"/>
  <c r="J46" i="9"/>
  <c r="J31" i="9"/>
  <c r="J30" i="9"/>
  <c r="J47" i="9"/>
  <c r="J48" i="9"/>
  <c r="J35" i="9"/>
  <c r="J6" i="9"/>
  <c r="J14" i="9"/>
  <c r="J9" i="9"/>
  <c r="J5" i="9"/>
  <c r="J10" i="9"/>
  <c r="J7" i="9"/>
  <c r="J15" i="9"/>
  <c r="J16" i="9"/>
  <c r="J11" i="9"/>
  <c r="J8" i="9"/>
  <c r="J12" i="9"/>
  <c r="J17" i="9"/>
  <c r="J18" i="9"/>
  <c r="J19" i="9"/>
  <c r="J20" i="9"/>
  <c r="J13" i="9"/>
  <c r="J21" i="9"/>
  <c r="J22" i="9"/>
  <c r="J23" i="9"/>
  <c r="J24" i="9"/>
  <c r="J25" i="9"/>
  <c r="J4" i="9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AA49" i="18" l="1"/>
  <c r="AA52" i="18" s="1"/>
  <c r="AA27" i="18"/>
  <c r="AA26" i="18"/>
  <c r="AA50" i="18"/>
  <c r="U13" i="6"/>
  <c r="T13" i="6"/>
  <c r="AA52" i="15"/>
  <c r="AA26" i="15"/>
  <c r="AA51" i="18"/>
  <c r="R51" i="16"/>
  <c r="R51" i="1"/>
  <c r="R51" i="5"/>
  <c r="R51" i="15"/>
  <c r="AA53" i="18" l="1"/>
  <c r="AA50" i="15"/>
  <c r="AA27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F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N17" i="18" s="1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K47" i="16"/>
  <c r="AH47" i="16"/>
  <c r="AG47" i="16"/>
  <c r="AM47" i="16" s="1"/>
  <c r="Z47" i="16"/>
  <c r="AJ47" i="16" s="1"/>
  <c r="X47" i="16"/>
  <c r="T47" i="16"/>
  <c r="S47" i="16"/>
  <c r="U47" i="16" s="1"/>
  <c r="R47" i="16"/>
  <c r="Q47" i="16"/>
  <c r="P47" i="16"/>
  <c r="N47" i="16"/>
  <c r="I47" i="16"/>
  <c r="AK46" i="16"/>
  <c r="AH46" i="16"/>
  <c r="Z46" i="16"/>
  <c r="Y46" i="16"/>
  <c r="X46" i="16"/>
  <c r="T46" i="16"/>
  <c r="S46" i="16"/>
  <c r="U46" i="16" s="1"/>
  <c r="Q46" i="16"/>
  <c r="P46" i="16"/>
  <c r="AJ46" i="16" s="1"/>
  <c r="N46" i="16"/>
  <c r="I46" i="16"/>
  <c r="AH45" i="16"/>
  <c r="Z45" i="16"/>
  <c r="X45" i="16"/>
  <c r="U45" i="16"/>
  <c r="Y45" i="16" s="1"/>
  <c r="T45" i="16"/>
  <c r="S45" i="16"/>
  <c r="Q45" i="16"/>
  <c r="P45" i="16"/>
  <c r="N45" i="16"/>
  <c r="I45" i="16"/>
  <c r="AK44" i="16"/>
  <c r="AJ44" i="16"/>
  <c r="AH44" i="16"/>
  <c r="Z44" i="16"/>
  <c r="X44" i="16"/>
  <c r="T44" i="16"/>
  <c r="S44" i="16"/>
  <c r="U44" i="16" s="1"/>
  <c r="Q44" i="16"/>
  <c r="R44" i="16" s="1"/>
  <c r="P44" i="16"/>
  <c r="N44" i="16"/>
  <c r="I44" i="16"/>
  <c r="AH43" i="16"/>
  <c r="Z43" i="16"/>
  <c r="Y43" i="16"/>
  <c r="X43" i="16"/>
  <c r="T43" i="16"/>
  <c r="S43" i="16"/>
  <c r="U43" i="16" s="1"/>
  <c r="Q43" i="16"/>
  <c r="P43" i="16"/>
  <c r="AK43" i="16" s="1"/>
  <c r="N43" i="16"/>
  <c r="I43" i="16"/>
  <c r="AH42" i="16"/>
  <c r="Z42" i="16"/>
  <c r="X42" i="16"/>
  <c r="T42" i="16"/>
  <c r="S42" i="16"/>
  <c r="U42" i="16" s="1"/>
  <c r="Q42" i="16"/>
  <c r="P42" i="16"/>
  <c r="N42" i="16"/>
  <c r="I42" i="16"/>
  <c r="AH41" i="16"/>
  <c r="Z41" i="16"/>
  <c r="X41" i="16"/>
  <c r="T41" i="16"/>
  <c r="S41" i="16"/>
  <c r="U41" i="16" s="1"/>
  <c r="Q41" i="16"/>
  <c r="P41" i="16"/>
  <c r="AK41" i="16" s="1"/>
  <c r="N41" i="16"/>
  <c r="I41" i="16"/>
  <c r="AK40" i="16"/>
  <c r="AH40" i="16"/>
  <c r="Z40" i="16"/>
  <c r="Y40" i="16"/>
  <c r="X40" i="16"/>
  <c r="U40" i="16"/>
  <c r="T40" i="16"/>
  <c r="S40" i="16"/>
  <c r="Q40" i="16"/>
  <c r="P40" i="16"/>
  <c r="AJ40" i="16" s="1"/>
  <c r="N40" i="16"/>
  <c r="I40" i="16"/>
  <c r="AK39" i="16"/>
  <c r="AH39" i="16"/>
  <c r="Z39" i="16"/>
  <c r="X39" i="16"/>
  <c r="T39" i="16"/>
  <c r="S39" i="16"/>
  <c r="U39" i="16" s="1"/>
  <c r="R39" i="16"/>
  <c r="Q39" i="16"/>
  <c r="P39" i="16"/>
  <c r="N39" i="16"/>
  <c r="I39" i="16"/>
  <c r="AH38" i="16"/>
  <c r="Z38" i="16"/>
  <c r="X38" i="16"/>
  <c r="T38" i="16"/>
  <c r="S38" i="16"/>
  <c r="U38" i="16" s="1"/>
  <c r="Q38" i="16"/>
  <c r="P38" i="16"/>
  <c r="AK38" i="16" s="1"/>
  <c r="N38" i="16"/>
  <c r="I38" i="16"/>
  <c r="AH37" i="16"/>
  <c r="Z37" i="16"/>
  <c r="X37" i="16"/>
  <c r="T37" i="16"/>
  <c r="S37" i="16"/>
  <c r="U37" i="16" s="1"/>
  <c r="Q37" i="16"/>
  <c r="P37" i="16"/>
  <c r="N37" i="16"/>
  <c r="I37" i="16"/>
  <c r="AH36" i="16"/>
  <c r="AG36" i="16"/>
  <c r="AM36" i="16" s="1"/>
  <c r="Z36" i="16"/>
  <c r="X36" i="16"/>
  <c r="U36" i="16"/>
  <c r="T36" i="16"/>
  <c r="S36" i="16"/>
  <c r="R36" i="16"/>
  <c r="AI36" i="16" s="1"/>
  <c r="Q36" i="16"/>
  <c r="P36" i="16"/>
  <c r="AK36" i="16" s="1"/>
  <c r="N36" i="16"/>
  <c r="I36" i="16"/>
  <c r="AH35" i="16"/>
  <c r="Z35" i="16"/>
  <c r="X35" i="16"/>
  <c r="W35" i="16"/>
  <c r="T35" i="16"/>
  <c r="S35" i="16"/>
  <c r="U35" i="16" s="1"/>
  <c r="Q35" i="16"/>
  <c r="P35" i="16"/>
  <c r="R35" i="16" s="1"/>
  <c r="O35" i="16"/>
  <c r="N35" i="16"/>
  <c r="I35" i="16"/>
  <c r="AH34" i="16"/>
  <c r="Z34" i="16"/>
  <c r="X34" i="16"/>
  <c r="U34" i="16"/>
  <c r="T34" i="16"/>
  <c r="S34" i="16"/>
  <c r="R34" i="16"/>
  <c r="AG34" i="16" s="1"/>
  <c r="AM34" i="16" s="1"/>
  <c r="Q34" i="16"/>
  <c r="P34" i="16"/>
  <c r="N34" i="16"/>
  <c r="I34" i="16"/>
  <c r="AJ33" i="16"/>
  <c r="AH33" i="16"/>
  <c r="Z33" i="16"/>
  <c r="X33" i="16"/>
  <c r="T33" i="16"/>
  <c r="S33" i="16"/>
  <c r="U33" i="16" s="1"/>
  <c r="R33" i="16"/>
  <c r="Q33" i="16"/>
  <c r="P33" i="16"/>
  <c r="AK33" i="16" s="1"/>
  <c r="O33" i="16"/>
  <c r="N33" i="16"/>
  <c r="I33" i="16"/>
  <c r="AH32" i="16"/>
  <c r="Z32" i="16"/>
  <c r="X32" i="16"/>
  <c r="T32" i="16"/>
  <c r="S32" i="16"/>
  <c r="U32" i="16" s="1"/>
  <c r="Q32" i="16"/>
  <c r="P32" i="16"/>
  <c r="N32" i="16"/>
  <c r="I32" i="16"/>
  <c r="AH31" i="16"/>
  <c r="Z31" i="16"/>
  <c r="X31" i="16"/>
  <c r="T31" i="16"/>
  <c r="S31" i="16"/>
  <c r="U31" i="16" s="1"/>
  <c r="Q31" i="16"/>
  <c r="P31" i="16"/>
  <c r="N31" i="16"/>
  <c r="I31" i="16"/>
  <c r="AK30" i="16"/>
  <c r="AJ30" i="16"/>
  <c r="AH30" i="16"/>
  <c r="Z30" i="16"/>
  <c r="X30" i="16"/>
  <c r="U30" i="16"/>
  <c r="T30" i="16"/>
  <c r="S30" i="16"/>
  <c r="R30" i="16"/>
  <c r="Q30" i="16"/>
  <c r="P30" i="16"/>
  <c r="N30" i="16"/>
  <c r="I30" i="16"/>
  <c r="AK29" i="16"/>
  <c r="AH29" i="16"/>
  <c r="Z29" i="16"/>
  <c r="X29" i="16"/>
  <c r="T29" i="16"/>
  <c r="S29" i="16"/>
  <c r="U29" i="16" s="1"/>
  <c r="R29" i="16"/>
  <c r="W29" i="16" s="1"/>
  <c r="Q29" i="16"/>
  <c r="P29" i="16"/>
  <c r="AJ29" i="16" s="1"/>
  <c r="N29" i="16"/>
  <c r="I29" i="16"/>
  <c r="AK28" i="16"/>
  <c r="AH28" i="16"/>
  <c r="Z28" i="16"/>
  <c r="X28" i="16"/>
  <c r="T28" i="16"/>
  <c r="S28" i="16"/>
  <c r="U28" i="16" s="1"/>
  <c r="R28" i="16"/>
  <c r="Q28" i="16"/>
  <c r="Q49" i="16" s="1"/>
  <c r="P28" i="16"/>
  <c r="AC26" i="16"/>
  <c r="AC51" i="16" s="1"/>
  <c r="AB26" i="16"/>
  <c r="AK24" i="16"/>
  <c r="AH24" i="16"/>
  <c r="Z24" i="16"/>
  <c r="AJ24" i="16" s="1"/>
  <c r="X24" i="16"/>
  <c r="T24" i="16"/>
  <c r="S24" i="16"/>
  <c r="U24" i="16" s="1"/>
  <c r="Q24" i="16"/>
  <c r="R24" i="16" s="1"/>
  <c r="P24" i="16"/>
  <c r="N24" i="16"/>
  <c r="I24" i="16"/>
  <c r="AH23" i="16"/>
  <c r="Z23" i="16"/>
  <c r="X23" i="16"/>
  <c r="T23" i="16"/>
  <c r="S23" i="16"/>
  <c r="U23" i="16" s="1"/>
  <c r="Y23" i="16" s="1"/>
  <c r="R23" i="16"/>
  <c r="AG23" i="16" s="1"/>
  <c r="AM23" i="16" s="1"/>
  <c r="Q23" i="16"/>
  <c r="P23" i="16"/>
  <c r="AK23" i="16" s="1"/>
  <c r="N23" i="16"/>
  <c r="I23" i="16"/>
  <c r="AH22" i="16"/>
  <c r="Z22" i="16"/>
  <c r="X22" i="16"/>
  <c r="T22" i="16"/>
  <c r="S22" i="16"/>
  <c r="U22" i="16" s="1"/>
  <c r="Q22" i="16"/>
  <c r="P22" i="16"/>
  <c r="N22" i="16"/>
  <c r="I22" i="16"/>
  <c r="AK21" i="16"/>
  <c r="AH21" i="16"/>
  <c r="Z21" i="16"/>
  <c r="X21" i="16"/>
  <c r="U21" i="16"/>
  <c r="T21" i="16"/>
  <c r="S21" i="16"/>
  <c r="Q21" i="16"/>
  <c r="R21" i="16" s="1"/>
  <c r="P21" i="16"/>
  <c r="AJ21" i="16" s="1"/>
  <c r="N21" i="16"/>
  <c r="I21" i="16"/>
  <c r="AH20" i="16"/>
  <c r="Z20" i="16"/>
  <c r="X20" i="16"/>
  <c r="T20" i="16"/>
  <c r="S20" i="16"/>
  <c r="U20" i="16" s="1"/>
  <c r="Q20" i="16"/>
  <c r="P20" i="16"/>
  <c r="N20" i="16"/>
  <c r="I20" i="16"/>
  <c r="AH19" i="16"/>
  <c r="Z19" i="16"/>
  <c r="X19" i="16"/>
  <c r="U19" i="16"/>
  <c r="T19" i="16"/>
  <c r="S19" i="16"/>
  <c r="R19" i="16"/>
  <c r="Q19" i="16"/>
  <c r="P19" i="16"/>
  <c r="AJ19" i="16" s="1"/>
  <c r="N19" i="16"/>
  <c r="I19" i="16"/>
  <c r="AJ18" i="16"/>
  <c r="AH18" i="16"/>
  <c r="Z18" i="16"/>
  <c r="X18" i="16"/>
  <c r="T18" i="16"/>
  <c r="S18" i="16"/>
  <c r="U18" i="16" s="1"/>
  <c r="Q18" i="16"/>
  <c r="P18" i="16"/>
  <c r="AK18" i="16" s="1"/>
  <c r="N18" i="16"/>
  <c r="I18" i="16"/>
  <c r="AK17" i="16"/>
  <c r="AH17" i="16"/>
  <c r="Z17" i="16"/>
  <c r="AJ17" i="16" s="1"/>
  <c r="X17" i="16"/>
  <c r="U17" i="16"/>
  <c r="T17" i="16"/>
  <c r="S17" i="16"/>
  <c r="R17" i="16"/>
  <c r="Q17" i="16"/>
  <c r="P17" i="16"/>
  <c r="O17" i="16"/>
  <c r="N17" i="16"/>
  <c r="I17" i="16"/>
  <c r="AK16" i="16"/>
  <c r="AH16" i="16"/>
  <c r="AG16" i="16"/>
  <c r="AM16" i="16" s="1"/>
  <c r="Z16" i="16"/>
  <c r="AJ16" i="16" s="1"/>
  <c r="X16" i="16"/>
  <c r="T16" i="16"/>
  <c r="S16" i="16"/>
  <c r="U16" i="16" s="1"/>
  <c r="Y16" i="16" s="1"/>
  <c r="Q16" i="16"/>
  <c r="R16" i="16" s="1"/>
  <c r="O16" i="16" s="1"/>
  <c r="P16" i="16"/>
  <c r="N16" i="16"/>
  <c r="I16" i="16"/>
  <c r="AH15" i="16"/>
  <c r="Z15" i="16"/>
  <c r="X15" i="16"/>
  <c r="T15" i="16"/>
  <c r="S15" i="16"/>
  <c r="U15" i="16" s="1"/>
  <c r="Q15" i="16"/>
  <c r="P15" i="16"/>
  <c r="N15" i="16"/>
  <c r="I15" i="16"/>
  <c r="AJ14" i="16"/>
  <c r="AH14" i="16"/>
  <c r="Z14" i="16"/>
  <c r="X14" i="16"/>
  <c r="T14" i="16"/>
  <c r="U14" i="16" s="1"/>
  <c r="S14" i="16"/>
  <c r="Q14" i="16"/>
  <c r="P14" i="16"/>
  <c r="N14" i="16"/>
  <c r="I14" i="16"/>
  <c r="AK13" i="16"/>
  <c r="AH13" i="16"/>
  <c r="Z13" i="16"/>
  <c r="X13" i="16"/>
  <c r="T13" i="16"/>
  <c r="S13" i="16"/>
  <c r="U13" i="16" s="1"/>
  <c r="Q13" i="16"/>
  <c r="R13" i="16" s="1"/>
  <c r="AI13" i="16" s="1"/>
  <c r="P13" i="16"/>
  <c r="N13" i="16"/>
  <c r="I13" i="16"/>
  <c r="AH12" i="16"/>
  <c r="Z12" i="16"/>
  <c r="X12" i="16"/>
  <c r="U12" i="16"/>
  <c r="Y12" i="16" s="1"/>
  <c r="T12" i="16"/>
  <c r="S12" i="16"/>
  <c r="Q12" i="16"/>
  <c r="P12" i="16"/>
  <c r="N12" i="16"/>
  <c r="I12" i="16"/>
  <c r="AH11" i="16"/>
  <c r="Z11" i="16"/>
  <c r="X11" i="16"/>
  <c r="T11" i="16"/>
  <c r="S11" i="16"/>
  <c r="U11" i="16" s="1"/>
  <c r="R11" i="16"/>
  <c r="AG11" i="16" s="1"/>
  <c r="AM11" i="16" s="1"/>
  <c r="Q11" i="16"/>
  <c r="P11" i="16"/>
  <c r="N11" i="16"/>
  <c r="I11" i="16"/>
  <c r="AJ10" i="16"/>
  <c r="AH10" i="16"/>
  <c r="Z10" i="16"/>
  <c r="X10" i="16"/>
  <c r="T10" i="16"/>
  <c r="U10" i="16" s="1"/>
  <c r="S10" i="16"/>
  <c r="R10" i="16"/>
  <c r="Q10" i="16"/>
  <c r="P10" i="16"/>
  <c r="AK10" i="16" s="1"/>
  <c r="N10" i="16"/>
  <c r="I10" i="16"/>
  <c r="AH9" i="16"/>
  <c r="Z9" i="16"/>
  <c r="X9" i="16"/>
  <c r="T9" i="16"/>
  <c r="U9" i="16" s="1"/>
  <c r="S9" i="16"/>
  <c r="Q9" i="16"/>
  <c r="P9" i="16"/>
  <c r="N9" i="16"/>
  <c r="I9" i="16"/>
  <c r="AK8" i="16"/>
  <c r="AJ8" i="16"/>
  <c r="AH8" i="16"/>
  <c r="Z8" i="16"/>
  <c r="X8" i="16"/>
  <c r="T8" i="16"/>
  <c r="S8" i="16"/>
  <c r="Q8" i="16"/>
  <c r="R8" i="16" s="1"/>
  <c r="P8" i="16"/>
  <c r="N8" i="16"/>
  <c r="I8" i="16"/>
  <c r="AH7" i="16"/>
  <c r="AK7" i="16"/>
  <c r="Z7" i="16"/>
  <c r="X7" i="16"/>
  <c r="T7" i="16"/>
  <c r="S7" i="16"/>
  <c r="U7" i="16" s="1"/>
  <c r="R7" i="16"/>
  <c r="Q7" i="16"/>
  <c r="P7" i="16"/>
  <c r="AJ7" i="16" s="1"/>
  <c r="N7" i="16"/>
  <c r="I7" i="16"/>
  <c r="AH6" i="16"/>
  <c r="Z6" i="16"/>
  <c r="Y6" i="16"/>
  <c r="X6" i="16"/>
  <c r="T6" i="16"/>
  <c r="U6" i="16" s="1"/>
  <c r="S6" i="16"/>
  <c r="Q6" i="16"/>
  <c r="P6" i="16"/>
  <c r="AJ6" i="16" s="1"/>
  <c r="N6" i="16"/>
  <c r="I6" i="16"/>
  <c r="AH5" i="16"/>
  <c r="Z5" i="16"/>
  <c r="X5" i="16"/>
  <c r="T5" i="16"/>
  <c r="S5" i="16"/>
  <c r="Q5" i="16"/>
  <c r="P5" i="16"/>
  <c r="AJ5" i="16" s="1"/>
  <c r="N5" i="16"/>
  <c r="I5" i="16"/>
  <c r="AJ4" i="16"/>
  <c r="AH4" i="16"/>
  <c r="Z4" i="16"/>
  <c r="X4" i="16"/>
  <c r="U4" i="16"/>
  <c r="T4" i="16"/>
  <c r="S4" i="16"/>
  <c r="R4" i="16"/>
  <c r="Q4" i="16"/>
  <c r="P4" i="16"/>
  <c r="AK4" i="16" s="1"/>
  <c r="N4" i="16"/>
  <c r="I4" i="16"/>
  <c r="AH3" i="16"/>
  <c r="Z3" i="16"/>
  <c r="X3" i="16"/>
  <c r="W3" i="16"/>
  <c r="T3" i="16"/>
  <c r="U3" i="16" s="1"/>
  <c r="S3" i="16"/>
  <c r="R3" i="16"/>
  <c r="Q3" i="16"/>
  <c r="P3" i="16"/>
  <c r="I3" i="16"/>
  <c r="K60" i="17"/>
  <c r="I60" i="17"/>
  <c r="K58" i="17"/>
  <c r="L58" i="17" s="1"/>
  <c r="I58" i="17"/>
  <c r="K51" i="17"/>
  <c r="J51" i="17"/>
  <c r="G51" i="17"/>
  <c r="F51" i="17"/>
  <c r="E51" i="17"/>
  <c r="D51" i="17"/>
  <c r="AA50" i="17"/>
  <c r="AA53" i="17" s="1"/>
  <c r="AC49" i="17"/>
  <c r="AB49" i="17"/>
  <c r="K49" i="17"/>
  <c r="C49" i="17"/>
  <c r="AH47" i="17"/>
  <c r="Z47" i="17"/>
  <c r="Z47" i="18" s="1"/>
  <c r="X47" i="17"/>
  <c r="X47" i="18" s="1"/>
  <c r="T47" i="17"/>
  <c r="T47" i="18" s="1"/>
  <c r="S47" i="17"/>
  <c r="S47" i="18" s="1"/>
  <c r="Q47" i="17"/>
  <c r="Q47" i="18" s="1"/>
  <c r="P47" i="17"/>
  <c r="N47" i="17"/>
  <c r="I47" i="17"/>
  <c r="AH46" i="17"/>
  <c r="Z46" i="17"/>
  <c r="X46" i="17"/>
  <c r="X46" i="18" s="1"/>
  <c r="T46" i="17"/>
  <c r="T46" i="18" s="1"/>
  <c r="S46" i="17"/>
  <c r="S46" i="18" s="1"/>
  <c r="Q46" i="17"/>
  <c r="Q46" i="18" s="1"/>
  <c r="P46" i="17"/>
  <c r="P46" i="18" s="1"/>
  <c r="N46" i="17"/>
  <c r="I46" i="17"/>
  <c r="AH45" i="17"/>
  <c r="Z45" i="17"/>
  <c r="Z45" i="18" s="1"/>
  <c r="X45" i="17"/>
  <c r="X45" i="18" s="1"/>
  <c r="T45" i="17"/>
  <c r="T45" i="18" s="1"/>
  <c r="S45" i="17"/>
  <c r="S45" i="18" s="1"/>
  <c r="Q45" i="17"/>
  <c r="P45" i="17"/>
  <c r="N45" i="17"/>
  <c r="I45" i="17"/>
  <c r="AH44" i="17"/>
  <c r="Z44" i="17"/>
  <c r="Z44" i="18" s="1"/>
  <c r="X44" i="17"/>
  <c r="X44" i="18" s="1"/>
  <c r="T44" i="17"/>
  <c r="T44" i="18" s="1"/>
  <c r="S44" i="17"/>
  <c r="S44" i="18" s="1"/>
  <c r="Q44" i="17"/>
  <c r="Q44" i="18" s="1"/>
  <c r="P44" i="17"/>
  <c r="N44" i="17"/>
  <c r="I44" i="17"/>
  <c r="AH43" i="17"/>
  <c r="Z43" i="17"/>
  <c r="Z43" i="18" s="1"/>
  <c r="X43" i="17"/>
  <c r="X43" i="18" s="1"/>
  <c r="T43" i="17"/>
  <c r="T43" i="18" s="1"/>
  <c r="S43" i="17"/>
  <c r="S43" i="18" s="1"/>
  <c r="Q43" i="17"/>
  <c r="Q43" i="18" s="1"/>
  <c r="P43" i="17"/>
  <c r="P43" i="18" s="1"/>
  <c r="N43" i="17"/>
  <c r="I43" i="17"/>
  <c r="AH42" i="17"/>
  <c r="Z42" i="17"/>
  <c r="Z42" i="18" s="1"/>
  <c r="X42" i="17"/>
  <c r="X42" i="18" s="1"/>
  <c r="T42" i="17"/>
  <c r="T42" i="18" s="1"/>
  <c r="S42" i="17"/>
  <c r="S42" i="18" s="1"/>
  <c r="Q42" i="17"/>
  <c r="Q42" i="18" s="1"/>
  <c r="P42" i="17"/>
  <c r="P42" i="18" s="1"/>
  <c r="N42" i="17"/>
  <c r="I42" i="17"/>
  <c r="AH41" i="17"/>
  <c r="Z41" i="17"/>
  <c r="Z41" i="18" s="1"/>
  <c r="X41" i="17"/>
  <c r="X41" i="18" s="1"/>
  <c r="T41" i="17"/>
  <c r="T41" i="18" s="1"/>
  <c r="S41" i="17"/>
  <c r="S41" i="18" s="1"/>
  <c r="Q41" i="17"/>
  <c r="Q41" i="18" s="1"/>
  <c r="P41" i="17"/>
  <c r="N41" i="17"/>
  <c r="I41" i="17"/>
  <c r="AH40" i="17"/>
  <c r="Z40" i="17"/>
  <c r="Z40" i="18" s="1"/>
  <c r="X40" i="17"/>
  <c r="X40" i="18" s="1"/>
  <c r="T40" i="17"/>
  <c r="T40" i="18" s="1"/>
  <c r="S40" i="17"/>
  <c r="S40" i="18" s="1"/>
  <c r="Q40" i="17"/>
  <c r="Q40" i="18" s="1"/>
  <c r="P40" i="17"/>
  <c r="P40" i="18" s="1"/>
  <c r="N40" i="17"/>
  <c r="I40" i="17"/>
  <c r="AH39" i="17"/>
  <c r="Z39" i="17"/>
  <c r="Z39" i="18" s="1"/>
  <c r="X39" i="17"/>
  <c r="X39" i="18" s="1"/>
  <c r="T39" i="17"/>
  <c r="T39" i="18" s="1"/>
  <c r="S39" i="17"/>
  <c r="S39" i="18" s="1"/>
  <c r="Q39" i="17"/>
  <c r="Q39" i="18" s="1"/>
  <c r="P39" i="17"/>
  <c r="P39" i="18" s="1"/>
  <c r="N39" i="17"/>
  <c r="I39" i="17"/>
  <c r="AH38" i="17"/>
  <c r="Z38" i="17"/>
  <c r="Z38" i="18" s="1"/>
  <c r="X38" i="17"/>
  <c r="X38" i="18" s="1"/>
  <c r="T38" i="17"/>
  <c r="T38" i="18" s="1"/>
  <c r="S38" i="17"/>
  <c r="S38" i="18" s="1"/>
  <c r="Q38" i="17"/>
  <c r="Q38" i="18" s="1"/>
  <c r="P38" i="17"/>
  <c r="N38" i="17"/>
  <c r="I38" i="17"/>
  <c r="AH37" i="17"/>
  <c r="Z37" i="17"/>
  <c r="Z37" i="18" s="1"/>
  <c r="X37" i="17"/>
  <c r="X37" i="18" s="1"/>
  <c r="T37" i="17"/>
  <c r="T37" i="18" s="1"/>
  <c r="S37" i="17"/>
  <c r="S37" i="18" s="1"/>
  <c r="Q37" i="17"/>
  <c r="Q37" i="18" s="1"/>
  <c r="P37" i="17"/>
  <c r="N37" i="17"/>
  <c r="I37" i="17"/>
  <c r="AH36" i="17"/>
  <c r="Z36" i="17"/>
  <c r="Z36" i="18" s="1"/>
  <c r="X36" i="17"/>
  <c r="X36" i="18" s="1"/>
  <c r="T36" i="17"/>
  <c r="T36" i="18" s="1"/>
  <c r="S36" i="17"/>
  <c r="S36" i="18" s="1"/>
  <c r="Q36" i="17"/>
  <c r="Q36" i="18" s="1"/>
  <c r="P36" i="17"/>
  <c r="N36" i="17"/>
  <c r="I36" i="17"/>
  <c r="AH35" i="17"/>
  <c r="Z35" i="17"/>
  <c r="Z35" i="18" s="1"/>
  <c r="X35" i="17"/>
  <c r="X35" i="18" s="1"/>
  <c r="T35" i="17"/>
  <c r="T35" i="18" s="1"/>
  <c r="S35" i="17"/>
  <c r="S35" i="18" s="1"/>
  <c r="Q35" i="17"/>
  <c r="Q35" i="18" s="1"/>
  <c r="P35" i="17"/>
  <c r="N35" i="17"/>
  <c r="I35" i="17"/>
  <c r="AH34" i="17"/>
  <c r="Z34" i="17"/>
  <c r="Z34" i="18" s="1"/>
  <c r="X34" i="17"/>
  <c r="X34" i="18" s="1"/>
  <c r="T34" i="17"/>
  <c r="T34" i="18" s="1"/>
  <c r="S34" i="17"/>
  <c r="S34" i="18" s="1"/>
  <c r="Q34" i="17"/>
  <c r="Q34" i="18" s="1"/>
  <c r="P34" i="17"/>
  <c r="P34" i="18" s="1"/>
  <c r="N34" i="17"/>
  <c r="I34" i="17"/>
  <c r="AH33" i="17"/>
  <c r="Z33" i="17"/>
  <c r="Z33" i="18" s="1"/>
  <c r="X33" i="17"/>
  <c r="X33" i="18" s="1"/>
  <c r="T33" i="17"/>
  <c r="T33" i="18" s="1"/>
  <c r="S33" i="17"/>
  <c r="S33" i="18" s="1"/>
  <c r="Q33" i="17"/>
  <c r="Q33" i="18" s="1"/>
  <c r="P33" i="17"/>
  <c r="N33" i="17"/>
  <c r="I33" i="17"/>
  <c r="AH32" i="17"/>
  <c r="Z32" i="17"/>
  <c r="Z32" i="18" s="1"/>
  <c r="X32" i="17"/>
  <c r="X32" i="18" s="1"/>
  <c r="T32" i="17"/>
  <c r="T32" i="18" s="1"/>
  <c r="S32" i="17"/>
  <c r="S32" i="18" s="1"/>
  <c r="Q32" i="17"/>
  <c r="Q32" i="18" s="1"/>
  <c r="P32" i="17"/>
  <c r="N32" i="17"/>
  <c r="I32" i="17"/>
  <c r="AH31" i="17"/>
  <c r="Z31" i="17"/>
  <c r="Z31" i="18" s="1"/>
  <c r="X31" i="17"/>
  <c r="X31" i="18" s="1"/>
  <c r="T31" i="17"/>
  <c r="T31" i="18" s="1"/>
  <c r="S31" i="17"/>
  <c r="S31" i="18" s="1"/>
  <c r="Q31" i="17"/>
  <c r="Q31" i="18" s="1"/>
  <c r="P31" i="17"/>
  <c r="P31" i="18" s="1"/>
  <c r="N31" i="17"/>
  <c r="I31" i="17"/>
  <c r="AH30" i="17"/>
  <c r="Z30" i="17"/>
  <c r="Z30" i="18" s="1"/>
  <c r="X30" i="17"/>
  <c r="X30" i="18" s="1"/>
  <c r="T30" i="17"/>
  <c r="T30" i="18" s="1"/>
  <c r="S30" i="17"/>
  <c r="S30" i="18" s="1"/>
  <c r="Q30" i="17"/>
  <c r="Q30" i="18" s="1"/>
  <c r="P30" i="17"/>
  <c r="P30" i="18" s="1"/>
  <c r="AK30" i="18" s="1"/>
  <c r="N30" i="17"/>
  <c r="I30" i="17"/>
  <c r="AH29" i="17"/>
  <c r="Z29" i="17"/>
  <c r="Z29" i="18" s="1"/>
  <c r="X29" i="17"/>
  <c r="X29" i="18" s="1"/>
  <c r="T29" i="17"/>
  <c r="T29" i="18" s="1"/>
  <c r="S29" i="17"/>
  <c r="S29" i="18" s="1"/>
  <c r="Q29" i="17"/>
  <c r="Q29" i="18" s="1"/>
  <c r="P29" i="17"/>
  <c r="N29" i="17"/>
  <c r="I29" i="17"/>
  <c r="AH28" i="17"/>
  <c r="Z28" i="17"/>
  <c r="Z28" i="18" s="1"/>
  <c r="X28" i="17"/>
  <c r="X28" i="18" s="1"/>
  <c r="T28" i="17"/>
  <c r="T28" i="18" s="1"/>
  <c r="S28" i="17"/>
  <c r="S28" i="18" s="1"/>
  <c r="Q28" i="17"/>
  <c r="Q28" i="18" s="1"/>
  <c r="P28" i="17"/>
  <c r="P28" i="18" s="1"/>
  <c r="AK28" i="18" s="1"/>
  <c r="N28" i="17"/>
  <c r="I28" i="17"/>
  <c r="AA27" i="17"/>
  <c r="AC26" i="17"/>
  <c r="AC51" i="17" s="1"/>
  <c r="AB26" i="17"/>
  <c r="K26" i="17"/>
  <c r="I26" i="17"/>
  <c r="C26" i="17"/>
  <c r="C51" i="17" s="1"/>
  <c r="AH24" i="17"/>
  <c r="Z24" i="17"/>
  <c r="Z24" i="18" s="1"/>
  <c r="X24" i="17"/>
  <c r="X24" i="18" s="1"/>
  <c r="T24" i="17"/>
  <c r="T24" i="18" s="1"/>
  <c r="S24" i="17"/>
  <c r="S24" i="18" s="1"/>
  <c r="Q24" i="17"/>
  <c r="Q24" i="18" s="1"/>
  <c r="P24" i="17"/>
  <c r="P24" i="18" s="1"/>
  <c r="AK24" i="18" s="1"/>
  <c r="N24" i="17"/>
  <c r="I24" i="17"/>
  <c r="AH23" i="17"/>
  <c r="Z23" i="17"/>
  <c r="Z23" i="18" s="1"/>
  <c r="X23" i="17"/>
  <c r="X23" i="18" s="1"/>
  <c r="T23" i="17"/>
  <c r="T23" i="18" s="1"/>
  <c r="S23" i="17"/>
  <c r="S23" i="18" s="1"/>
  <c r="Q23" i="17"/>
  <c r="Q23" i="18" s="1"/>
  <c r="P23" i="17"/>
  <c r="P23" i="18" s="1"/>
  <c r="AK23" i="18" s="1"/>
  <c r="N23" i="17"/>
  <c r="I23" i="17"/>
  <c r="AH22" i="17"/>
  <c r="Z22" i="17"/>
  <c r="Z22" i="18" s="1"/>
  <c r="X22" i="17"/>
  <c r="X22" i="18" s="1"/>
  <c r="T22" i="17"/>
  <c r="T22" i="18" s="1"/>
  <c r="S22" i="17"/>
  <c r="S22" i="18" s="1"/>
  <c r="Q22" i="17"/>
  <c r="Q22" i="18" s="1"/>
  <c r="P22" i="17"/>
  <c r="N22" i="17"/>
  <c r="I22" i="17"/>
  <c r="AH21" i="17"/>
  <c r="Z21" i="17"/>
  <c r="Z21" i="18" s="1"/>
  <c r="X21" i="17"/>
  <c r="X21" i="18" s="1"/>
  <c r="T21" i="17"/>
  <c r="T21" i="18" s="1"/>
  <c r="S21" i="17"/>
  <c r="S21" i="18" s="1"/>
  <c r="Q21" i="17"/>
  <c r="Q21" i="18" s="1"/>
  <c r="P21" i="17"/>
  <c r="P21" i="18" s="1"/>
  <c r="N21" i="17"/>
  <c r="I21" i="17"/>
  <c r="AH20" i="17"/>
  <c r="Z20" i="17"/>
  <c r="Z20" i="18" s="1"/>
  <c r="X20" i="17"/>
  <c r="X20" i="18" s="1"/>
  <c r="T20" i="17"/>
  <c r="T20" i="18" s="1"/>
  <c r="S20" i="17"/>
  <c r="S20" i="18" s="1"/>
  <c r="Q20" i="17"/>
  <c r="Q20" i="18" s="1"/>
  <c r="P20" i="17"/>
  <c r="N20" i="17"/>
  <c r="I20" i="17"/>
  <c r="AH19" i="17"/>
  <c r="Z19" i="17"/>
  <c r="Z19" i="18" s="1"/>
  <c r="X19" i="17"/>
  <c r="X19" i="18" s="1"/>
  <c r="T19" i="17"/>
  <c r="T19" i="18" s="1"/>
  <c r="S19" i="17"/>
  <c r="S19" i="18" s="1"/>
  <c r="Q19" i="17"/>
  <c r="Q19" i="18" s="1"/>
  <c r="P19" i="17"/>
  <c r="N19" i="17"/>
  <c r="I19" i="17"/>
  <c r="AH18" i="17"/>
  <c r="Z18" i="17"/>
  <c r="Z18" i="18" s="1"/>
  <c r="X18" i="17"/>
  <c r="X18" i="18" s="1"/>
  <c r="T18" i="17"/>
  <c r="T18" i="18" s="1"/>
  <c r="S18" i="17"/>
  <c r="S18" i="18" s="1"/>
  <c r="Q18" i="17"/>
  <c r="Q18" i="18" s="1"/>
  <c r="P18" i="17"/>
  <c r="N18" i="17"/>
  <c r="I18" i="17"/>
  <c r="AH17" i="17"/>
  <c r="Z17" i="17"/>
  <c r="Z17" i="18" s="1"/>
  <c r="X17" i="17"/>
  <c r="X17" i="18" s="1"/>
  <c r="T17" i="17"/>
  <c r="T17" i="18" s="1"/>
  <c r="S17" i="17"/>
  <c r="S17" i="18" s="1"/>
  <c r="Q17" i="17"/>
  <c r="Q17" i="18" s="1"/>
  <c r="P17" i="17"/>
  <c r="N17" i="17"/>
  <c r="I17" i="17"/>
  <c r="AH16" i="17"/>
  <c r="Z16" i="17"/>
  <c r="Z16" i="18" s="1"/>
  <c r="X16" i="17"/>
  <c r="X16" i="18" s="1"/>
  <c r="T16" i="17"/>
  <c r="T16" i="18" s="1"/>
  <c r="S16" i="17"/>
  <c r="S16" i="18" s="1"/>
  <c r="Q16" i="17"/>
  <c r="Q16" i="18" s="1"/>
  <c r="P16" i="17"/>
  <c r="N16" i="17"/>
  <c r="I16" i="17"/>
  <c r="AH15" i="17"/>
  <c r="Z15" i="17"/>
  <c r="Z15" i="18" s="1"/>
  <c r="X15" i="17"/>
  <c r="X15" i="18" s="1"/>
  <c r="T15" i="17"/>
  <c r="T15" i="18" s="1"/>
  <c r="S15" i="17"/>
  <c r="S15" i="18" s="1"/>
  <c r="Q15" i="17"/>
  <c r="Q15" i="18" s="1"/>
  <c r="P15" i="17"/>
  <c r="N15" i="17"/>
  <c r="I15" i="17"/>
  <c r="AH14" i="17"/>
  <c r="Z14" i="17"/>
  <c r="Z14" i="18" s="1"/>
  <c r="X14" i="17"/>
  <c r="X14" i="18" s="1"/>
  <c r="T14" i="17"/>
  <c r="T14" i="18" s="1"/>
  <c r="S14" i="17"/>
  <c r="S14" i="18" s="1"/>
  <c r="Q14" i="17"/>
  <c r="Q14" i="18" s="1"/>
  <c r="P14" i="17"/>
  <c r="P14" i="18" s="1"/>
  <c r="N14" i="17"/>
  <c r="I14" i="17"/>
  <c r="AH13" i="17"/>
  <c r="Z13" i="17"/>
  <c r="Z13" i="18" s="1"/>
  <c r="X13" i="17"/>
  <c r="X13" i="18" s="1"/>
  <c r="T13" i="17"/>
  <c r="T13" i="18" s="1"/>
  <c r="S13" i="17"/>
  <c r="S13" i="18" s="1"/>
  <c r="Q13" i="17"/>
  <c r="Q13" i="18" s="1"/>
  <c r="P13" i="17"/>
  <c r="N13" i="17"/>
  <c r="I13" i="17"/>
  <c r="AH12" i="17"/>
  <c r="Z12" i="17"/>
  <c r="Z12" i="18" s="1"/>
  <c r="X12" i="17"/>
  <c r="X12" i="18" s="1"/>
  <c r="T12" i="17"/>
  <c r="T12" i="18" s="1"/>
  <c r="S12" i="17"/>
  <c r="S12" i="18" s="1"/>
  <c r="Q12" i="17"/>
  <c r="Q12" i="18" s="1"/>
  <c r="P12" i="17"/>
  <c r="N12" i="17"/>
  <c r="I12" i="17"/>
  <c r="AH11" i="17"/>
  <c r="Z11" i="17"/>
  <c r="Z11" i="18" s="1"/>
  <c r="X11" i="17"/>
  <c r="X11" i="18" s="1"/>
  <c r="T11" i="17"/>
  <c r="T11" i="18" s="1"/>
  <c r="S11" i="17"/>
  <c r="S11" i="18" s="1"/>
  <c r="Q11" i="17"/>
  <c r="Q11" i="18" s="1"/>
  <c r="P11" i="17"/>
  <c r="N11" i="17"/>
  <c r="I11" i="17"/>
  <c r="AH10" i="17"/>
  <c r="Z10" i="17"/>
  <c r="Z10" i="18" s="1"/>
  <c r="X10" i="17"/>
  <c r="X10" i="18" s="1"/>
  <c r="T10" i="17"/>
  <c r="T10" i="18" s="1"/>
  <c r="S10" i="17"/>
  <c r="S10" i="18" s="1"/>
  <c r="Q10" i="17"/>
  <c r="Q10" i="18" s="1"/>
  <c r="P10" i="17"/>
  <c r="P10" i="18" s="1"/>
  <c r="AK10" i="18" s="1"/>
  <c r="N10" i="17"/>
  <c r="I10" i="17"/>
  <c r="AH9" i="17"/>
  <c r="Z9" i="17"/>
  <c r="Z9" i="18" s="1"/>
  <c r="X9" i="17"/>
  <c r="X9" i="18" s="1"/>
  <c r="T9" i="17"/>
  <c r="T9" i="18" s="1"/>
  <c r="S9" i="17"/>
  <c r="S9" i="18" s="1"/>
  <c r="Q9" i="17"/>
  <c r="Q9" i="18" s="1"/>
  <c r="P9" i="17"/>
  <c r="P9" i="18" s="1"/>
  <c r="N9" i="17"/>
  <c r="I9" i="17"/>
  <c r="AH8" i="17"/>
  <c r="Z8" i="17"/>
  <c r="X8" i="17"/>
  <c r="X8" i="18" s="1"/>
  <c r="T8" i="17"/>
  <c r="T8" i="18" s="1"/>
  <c r="S8" i="17"/>
  <c r="S8" i="18" s="1"/>
  <c r="Q8" i="17"/>
  <c r="Q8" i="18" s="1"/>
  <c r="P8" i="17"/>
  <c r="N8" i="17"/>
  <c r="I8" i="17"/>
  <c r="AH7" i="17"/>
  <c r="Z7" i="17"/>
  <c r="Z7" i="18" s="1"/>
  <c r="X7" i="17"/>
  <c r="X7" i="18" s="1"/>
  <c r="T7" i="17"/>
  <c r="T7" i="18" s="1"/>
  <c r="S7" i="17"/>
  <c r="S7" i="18" s="1"/>
  <c r="Q7" i="17"/>
  <c r="Q7" i="18" s="1"/>
  <c r="P7" i="17"/>
  <c r="P7" i="18" s="1"/>
  <c r="N7" i="17"/>
  <c r="I7" i="17"/>
  <c r="AH6" i="17"/>
  <c r="Z6" i="17"/>
  <c r="Z6" i="18" s="1"/>
  <c r="X6" i="17"/>
  <c r="X6" i="18" s="1"/>
  <c r="T6" i="17"/>
  <c r="T6" i="18" s="1"/>
  <c r="S6" i="17"/>
  <c r="S6" i="18" s="1"/>
  <c r="Q6" i="17"/>
  <c r="Q6" i="18" s="1"/>
  <c r="P6" i="17"/>
  <c r="P6" i="18" s="1"/>
  <c r="N6" i="17"/>
  <c r="I6" i="17"/>
  <c r="AH5" i="17"/>
  <c r="Z5" i="17"/>
  <c r="Z5" i="18" s="1"/>
  <c r="X5" i="17"/>
  <c r="X5" i="18" s="1"/>
  <c r="T5" i="17"/>
  <c r="T5" i="18" s="1"/>
  <c r="S5" i="17"/>
  <c r="S5" i="18" s="1"/>
  <c r="Q5" i="17"/>
  <c r="Q5" i="18" s="1"/>
  <c r="P5" i="17"/>
  <c r="P5" i="18" s="1"/>
  <c r="N5" i="17"/>
  <c r="I5" i="17"/>
  <c r="AH4" i="17"/>
  <c r="Z4" i="17"/>
  <c r="Z4" i="18" s="1"/>
  <c r="X4" i="17"/>
  <c r="X4" i="18" s="1"/>
  <c r="T4" i="17"/>
  <c r="T4" i="18" s="1"/>
  <c r="S4" i="17"/>
  <c r="S4" i="18" s="1"/>
  <c r="Q4" i="17"/>
  <c r="Q4" i="18" s="1"/>
  <c r="P4" i="17"/>
  <c r="P4" i="18" s="1"/>
  <c r="N4" i="17"/>
  <c r="I4" i="17"/>
  <c r="AH3" i="17"/>
  <c r="Z3" i="17"/>
  <c r="Z3" i="18" s="1"/>
  <c r="X3" i="17"/>
  <c r="X3" i="18" s="1"/>
  <c r="T3" i="17"/>
  <c r="T3" i="18" s="1"/>
  <c r="S3" i="17"/>
  <c r="S3" i="18" s="1"/>
  <c r="Q3" i="17"/>
  <c r="Q3" i="18" s="1"/>
  <c r="P3" i="17"/>
  <c r="N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L60" i="19" s="1"/>
  <c r="I60" i="19"/>
  <c r="K58" i="19"/>
  <c r="L58" i="19" s="1"/>
  <c r="I58" i="19"/>
  <c r="J51" i="19"/>
  <c r="G51" i="19"/>
  <c r="F51" i="19"/>
  <c r="E51" i="19"/>
  <c r="D51" i="19"/>
  <c r="AA50" i="19"/>
  <c r="AC49" i="19"/>
  <c r="AB49" i="19"/>
  <c r="K49" i="19"/>
  <c r="C49" i="19"/>
  <c r="AK47" i="19"/>
  <c r="AH47" i="19"/>
  <c r="Z47" i="19"/>
  <c r="X47" i="19"/>
  <c r="T47" i="19"/>
  <c r="S47" i="19"/>
  <c r="U47" i="19" s="1"/>
  <c r="Q47" i="19"/>
  <c r="P47" i="19"/>
  <c r="AJ47" i="19" s="1"/>
  <c r="N47" i="19"/>
  <c r="I47" i="19"/>
  <c r="AH46" i="19"/>
  <c r="Z46" i="19"/>
  <c r="X46" i="19"/>
  <c r="T46" i="19"/>
  <c r="S46" i="19"/>
  <c r="U46" i="19" s="1"/>
  <c r="Q46" i="19"/>
  <c r="R46" i="19" s="1"/>
  <c r="P46" i="19"/>
  <c r="AK46" i="19" s="1"/>
  <c r="N46" i="19"/>
  <c r="I46" i="19"/>
  <c r="AH45" i="19"/>
  <c r="Z45" i="19"/>
  <c r="X45" i="19"/>
  <c r="U45" i="19"/>
  <c r="T45" i="19"/>
  <c r="S45" i="19"/>
  <c r="Q45" i="19"/>
  <c r="P45" i="19"/>
  <c r="N45" i="19"/>
  <c r="I45" i="19"/>
  <c r="AK44" i="19"/>
  <c r="AH44" i="19"/>
  <c r="Z44" i="19"/>
  <c r="X44" i="19"/>
  <c r="T44" i="19"/>
  <c r="U44" i="19" s="1"/>
  <c r="S44" i="19"/>
  <c r="R44" i="19"/>
  <c r="Q44" i="19"/>
  <c r="P44" i="19"/>
  <c r="AJ44" i="19" s="1"/>
  <c r="N44" i="19"/>
  <c r="I44" i="19"/>
  <c r="AK43" i="19"/>
  <c r="AH43" i="19"/>
  <c r="Z43" i="19"/>
  <c r="X43" i="19"/>
  <c r="T43" i="19"/>
  <c r="S43" i="19"/>
  <c r="Q43" i="19"/>
  <c r="P43" i="19"/>
  <c r="AJ43" i="19" s="1"/>
  <c r="N43" i="19"/>
  <c r="I43" i="19"/>
  <c r="AH42" i="19"/>
  <c r="Z42" i="19"/>
  <c r="X42" i="19"/>
  <c r="T42" i="19"/>
  <c r="S42" i="19"/>
  <c r="U42" i="19" s="1"/>
  <c r="R42" i="19"/>
  <c r="Q42" i="19"/>
  <c r="P42" i="19"/>
  <c r="AK42" i="19" s="1"/>
  <c r="N42" i="19"/>
  <c r="I42" i="19"/>
  <c r="AH41" i="19"/>
  <c r="Z41" i="19"/>
  <c r="X41" i="19"/>
  <c r="T41" i="19"/>
  <c r="U41" i="19" s="1"/>
  <c r="S41" i="19"/>
  <c r="Q41" i="19"/>
  <c r="P41" i="19"/>
  <c r="AK41" i="19" s="1"/>
  <c r="N41" i="19"/>
  <c r="I41" i="19"/>
  <c r="AM40" i="19"/>
  <c r="AI40" i="19"/>
  <c r="AH40" i="19"/>
  <c r="Z40" i="19"/>
  <c r="X40" i="19"/>
  <c r="T40" i="19"/>
  <c r="U40" i="19" s="1"/>
  <c r="S40" i="19"/>
  <c r="R40" i="19"/>
  <c r="AG40" i="19" s="1"/>
  <c r="Q40" i="19"/>
  <c r="P40" i="19"/>
  <c r="AK40" i="19" s="1"/>
  <c r="O40" i="19"/>
  <c r="N40" i="19"/>
  <c r="I40" i="19"/>
  <c r="AJ39" i="19"/>
  <c r="AH39" i="19"/>
  <c r="Z39" i="19"/>
  <c r="X39" i="19"/>
  <c r="T39" i="19"/>
  <c r="S39" i="19"/>
  <c r="U39" i="19" s="1"/>
  <c r="R39" i="19"/>
  <c r="O39" i="19" s="1"/>
  <c r="Q39" i="19"/>
  <c r="P39" i="19"/>
  <c r="AK39" i="19" s="1"/>
  <c r="N39" i="19"/>
  <c r="I39" i="19"/>
  <c r="AH38" i="19"/>
  <c r="Z38" i="19"/>
  <c r="X38" i="19"/>
  <c r="T38" i="19"/>
  <c r="S38" i="19"/>
  <c r="Q38" i="19"/>
  <c r="P38" i="19"/>
  <c r="N38" i="19"/>
  <c r="I38" i="19"/>
  <c r="AJ37" i="19"/>
  <c r="AH37" i="19"/>
  <c r="Z37" i="19"/>
  <c r="X37" i="19"/>
  <c r="U37" i="19"/>
  <c r="T37" i="19"/>
  <c r="S37" i="19"/>
  <c r="Q37" i="19"/>
  <c r="P37" i="19"/>
  <c r="AK37" i="19" s="1"/>
  <c r="N37" i="19"/>
  <c r="I37" i="19"/>
  <c r="AH36" i="19"/>
  <c r="Z36" i="19"/>
  <c r="X36" i="19"/>
  <c r="U36" i="19"/>
  <c r="T36" i="19"/>
  <c r="S36" i="19"/>
  <c r="R36" i="19"/>
  <c r="Q36" i="19"/>
  <c r="P36" i="19"/>
  <c r="AK36" i="19" s="1"/>
  <c r="N36" i="19"/>
  <c r="I36" i="19"/>
  <c r="AH35" i="19"/>
  <c r="Z35" i="19"/>
  <c r="X35" i="19"/>
  <c r="T35" i="19"/>
  <c r="S35" i="19"/>
  <c r="Q35" i="19"/>
  <c r="R35" i="19" s="1"/>
  <c r="P35" i="19"/>
  <c r="AK35" i="19" s="1"/>
  <c r="N35" i="19"/>
  <c r="I35" i="19"/>
  <c r="AH34" i="19"/>
  <c r="Z34" i="19"/>
  <c r="X34" i="19"/>
  <c r="T34" i="19"/>
  <c r="S34" i="19"/>
  <c r="U34" i="19" s="1"/>
  <c r="R34" i="19"/>
  <c r="Q34" i="19"/>
  <c r="P34" i="19"/>
  <c r="AK34" i="19" s="1"/>
  <c r="N34" i="19"/>
  <c r="I34" i="19"/>
  <c r="AM33" i="19"/>
  <c r="AH33" i="19"/>
  <c r="AG33" i="19"/>
  <c r="Z33" i="19"/>
  <c r="X33" i="19"/>
  <c r="T33" i="19"/>
  <c r="U33" i="19" s="1"/>
  <c r="S33" i="19"/>
  <c r="R33" i="19"/>
  <c r="Q33" i="19"/>
  <c r="P33" i="19"/>
  <c r="AK33" i="19" s="1"/>
  <c r="N33" i="19"/>
  <c r="I33" i="19"/>
  <c r="AH32" i="19"/>
  <c r="Z32" i="19"/>
  <c r="X32" i="19"/>
  <c r="T32" i="19"/>
  <c r="U32" i="19" s="1"/>
  <c r="S32" i="19"/>
  <c r="Q32" i="19"/>
  <c r="R32" i="19" s="1"/>
  <c r="P32" i="19"/>
  <c r="AK32" i="19" s="1"/>
  <c r="N32" i="19"/>
  <c r="I32" i="19"/>
  <c r="AH31" i="19"/>
  <c r="Z31" i="19"/>
  <c r="X31" i="19"/>
  <c r="T31" i="19"/>
  <c r="S31" i="19"/>
  <c r="U31" i="19" s="1"/>
  <c r="Q31" i="19"/>
  <c r="P31" i="19"/>
  <c r="AJ31" i="19" s="1"/>
  <c r="N31" i="19"/>
  <c r="I31" i="19"/>
  <c r="AH30" i="19"/>
  <c r="Z30" i="19"/>
  <c r="X30" i="19"/>
  <c r="T30" i="19"/>
  <c r="S30" i="19"/>
  <c r="U30" i="19" s="1"/>
  <c r="R30" i="19"/>
  <c r="Q30" i="19"/>
  <c r="P30" i="19"/>
  <c r="AK30" i="19" s="1"/>
  <c r="N30" i="19"/>
  <c r="I30" i="19"/>
  <c r="AH29" i="19"/>
  <c r="Z29" i="19"/>
  <c r="X29" i="19"/>
  <c r="T29" i="19"/>
  <c r="U29" i="19" s="1"/>
  <c r="S29" i="19"/>
  <c r="R29" i="19"/>
  <c r="Q29" i="19"/>
  <c r="P29" i="19"/>
  <c r="AK29" i="19" s="1"/>
  <c r="N29" i="19"/>
  <c r="I29" i="19"/>
  <c r="AI28" i="19"/>
  <c r="AH28" i="19"/>
  <c r="Z28" i="19"/>
  <c r="Z49" i="19" s="1"/>
  <c r="X28" i="19"/>
  <c r="W28" i="19"/>
  <c r="T28" i="19"/>
  <c r="S28" i="19"/>
  <c r="R28" i="19"/>
  <c r="AG28" i="19" s="1"/>
  <c r="Q28" i="19"/>
  <c r="P28" i="19"/>
  <c r="O28" i="19"/>
  <c r="N28" i="19"/>
  <c r="I28" i="19"/>
  <c r="AA27" i="19"/>
  <c r="AA53" i="19" s="1"/>
  <c r="AC26" i="19"/>
  <c r="AC51" i="19" s="1"/>
  <c r="AB26" i="19"/>
  <c r="K26" i="19"/>
  <c r="K51" i="19" s="1"/>
  <c r="C26" i="19"/>
  <c r="C51" i="19" s="1"/>
  <c r="AH24" i="19"/>
  <c r="AG24" i="19"/>
  <c r="AM24" i="19" s="1"/>
  <c r="Z24" i="19"/>
  <c r="X24" i="19"/>
  <c r="U24" i="19"/>
  <c r="T24" i="19"/>
  <c r="S24" i="19"/>
  <c r="Q24" i="19"/>
  <c r="P24" i="19"/>
  <c r="R24" i="19" s="1"/>
  <c r="N24" i="19"/>
  <c r="I24" i="19"/>
  <c r="AI23" i="19"/>
  <c r="AH23" i="19"/>
  <c r="Z23" i="19"/>
  <c r="X23" i="19"/>
  <c r="U23" i="19"/>
  <c r="T23" i="19"/>
  <c r="S23" i="19"/>
  <c r="Q23" i="19"/>
  <c r="P23" i="19"/>
  <c r="R23" i="19" s="1"/>
  <c r="O23" i="19"/>
  <c r="N23" i="19"/>
  <c r="I23" i="19"/>
  <c r="AK22" i="19"/>
  <c r="AH22" i="19"/>
  <c r="Z22" i="19"/>
  <c r="X22" i="19"/>
  <c r="T22" i="19"/>
  <c r="U22" i="19" s="1"/>
  <c r="S22" i="19"/>
  <c r="Q22" i="19"/>
  <c r="R22" i="19" s="1"/>
  <c r="P22" i="19"/>
  <c r="AJ22" i="19" s="1"/>
  <c r="N22" i="19"/>
  <c r="I22" i="19"/>
  <c r="AK21" i="19"/>
  <c r="AH21" i="19"/>
  <c r="Z21" i="19"/>
  <c r="X21" i="19"/>
  <c r="T21" i="19"/>
  <c r="S21" i="19"/>
  <c r="U21" i="19" s="1"/>
  <c r="Q21" i="19"/>
  <c r="R21" i="19" s="1"/>
  <c r="P21" i="19"/>
  <c r="AJ21" i="19" s="1"/>
  <c r="N21" i="19"/>
  <c r="I21" i="19"/>
  <c r="AH20" i="19"/>
  <c r="Z20" i="19"/>
  <c r="X20" i="19"/>
  <c r="U20" i="19"/>
  <c r="T20" i="19"/>
  <c r="S20" i="19"/>
  <c r="Q20" i="19"/>
  <c r="P20" i="19"/>
  <c r="R20" i="19" s="1"/>
  <c r="AG20" i="19" s="1"/>
  <c r="AM20" i="19" s="1"/>
  <c r="N20" i="19"/>
  <c r="I20" i="19"/>
  <c r="AI19" i="19"/>
  <c r="AH19" i="19"/>
  <c r="Z19" i="19"/>
  <c r="X19" i="19"/>
  <c r="U19" i="19"/>
  <c r="T19" i="19"/>
  <c r="S19" i="19"/>
  <c r="Q19" i="19"/>
  <c r="P19" i="19"/>
  <c r="R19" i="19" s="1"/>
  <c r="O19" i="19"/>
  <c r="N19" i="19"/>
  <c r="I19" i="19"/>
  <c r="AK18" i="19"/>
  <c r="AH18" i="19"/>
  <c r="Z18" i="19"/>
  <c r="X18" i="19"/>
  <c r="T18" i="19"/>
  <c r="U18" i="19" s="1"/>
  <c r="S18" i="19"/>
  <c r="Q18" i="19"/>
  <c r="R18" i="19" s="1"/>
  <c r="P18" i="19"/>
  <c r="AJ18" i="19" s="1"/>
  <c r="N18" i="19"/>
  <c r="I18" i="19"/>
  <c r="AK17" i="19"/>
  <c r="AH17" i="19"/>
  <c r="Z17" i="19"/>
  <c r="X17" i="19"/>
  <c r="T17" i="19"/>
  <c r="S17" i="19"/>
  <c r="U17" i="19" s="1"/>
  <c r="R17" i="19"/>
  <c r="Q17" i="19"/>
  <c r="P17" i="19"/>
  <c r="AJ17" i="19" s="1"/>
  <c r="N17" i="19"/>
  <c r="I17" i="19"/>
  <c r="AH16" i="19"/>
  <c r="Z16" i="19"/>
  <c r="X16" i="19"/>
  <c r="U16" i="19"/>
  <c r="T16" i="19"/>
  <c r="S16" i="19"/>
  <c r="Q16" i="19"/>
  <c r="P16" i="19"/>
  <c r="R16" i="19" s="1"/>
  <c r="N16" i="19"/>
  <c r="I16" i="19"/>
  <c r="AH15" i="19"/>
  <c r="Z15" i="19"/>
  <c r="X15" i="19"/>
  <c r="U15" i="19"/>
  <c r="T15" i="19"/>
  <c r="S15" i="19"/>
  <c r="Q15" i="19"/>
  <c r="P15" i="19"/>
  <c r="R15" i="19" s="1"/>
  <c r="N15" i="19"/>
  <c r="I15" i="19"/>
  <c r="AK14" i="19"/>
  <c r="AH14" i="19"/>
  <c r="Z14" i="19"/>
  <c r="X14" i="19"/>
  <c r="T14" i="19"/>
  <c r="U14" i="19" s="1"/>
  <c r="Y14" i="19" s="1"/>
  <c r="S14" i="19"/>
  <c r="Q14" i="19"/>
  <c r="R14" i="19" s="1"/>
  <c r="P14" i="19"/>
  <c r="AJ14" i="19" s="1"/>
  <c r="N14" i="19"/>
  <c r="I14" i="19"/>
  <c r="AH13" i="19"/>
  <c r="Z13" i="19"/>
  <c r="X13" i="19"/>
  <c r="T13" i="19"/>
  <c r="S13" i="19"/>
  <c r="U13" i="19" s="1"/>
  <c r="R13" i="19"/>
  <c r="Q13" i="19"/>
  <c r="P13" i="19"/>
  <c r="AK13" i="19" s="1"/>
  <c r="N13" i="19"/>
  <c r="I13" i="19"/>
  <c r="AH12" i="19"/>
  <c r="Z12" i="19"/>
  <c r="X12" i="19"/>
  <c r="U12" i="19"/>
  <c r="T12" i="19"/>
  <c r="S12" i="19"/>
  <c r="Q12" i="19"/>
  <c r="P12" i="19"/>
  <c r="R12" i="19" s="1"/>
  <c r="N12" i="19"/>
  <c r="I12" i="19"/>
  <c r="AH11" i="19"/>
  <c r="Z11" i="19"/>
  <c r="X11" i="19"/>
  <c r="W11" i="19"/>
  <c r="T11" i="19"/>
  <c r="U11" i="19" s="1"/>
  <c r="S11" i="19"/>
  <c r="Q11" i="19"/>
  <c r="P11" i="19"/>
  <c r="R11" i="19" s="1"/>
  <c r="O11" i="19"/>
  <c r="N11" i="19"/>
  <c r="I11" i="19"/>
  <c r="AK10" i="19"/>
  <c r="AH10" i="19"/>
  <c r="Z10" i="19"/>
  <c r="X10" i="19"/>
  <c r="T10" i="19"/>
  <c r="U10" i="19" s="1"/>
  <c r="Y10" i="19" s="1"/>
  <c r="S10" i="19"/>
  <c r="R10" i="19"/>
  <c r="Q10" i="19"/>
  <c r="P10" i="19"/>
  <c r="AJ10" i="19" s="1"/>
  <c r="N10" i="19"/>
  <c r="I10" i="19"/>
  <c r="AH9" i="19"/>
  <c r="Z9" i="19"/>
  <c r="X9" i="19"/>
  <c r="T9" i="19"/>
  <c r="S9" i="19"/>
  <c r="R9" i="19"/>
  <c r="Q9" i="19"/>
  <c r="P9" i="19"/>
  <c r="AK9" i="19" s="1"/>
  <c r="N9" i="19"/>
  <c r="I9" i="19"/>
  <c r="AH8" i="19"/>
  <c r="Z8" i="19"/>
  <c r="X8" i="19"/>
  <c r="T8" i="19"/>
  <c r="U8" i="19" s="1"/>
  <c r="S8" i="19"/>
  <c r="Q8" i="19"/>
  <c r="P8" i="19"/>
  <c r="N8" i="19"/>
  <c r="I8" i="19"/>
  <c r="AH7" i="19"/>
  <c r="Z7" i="19"/>
  <c r="X7" i="19"/>
  <c r="T7" i="19"/>
  <c r="U7" i="19" s="1"/>
  <c r="S7" i="19"/>
  <c r="Q7" i="19"/>
  <c r="P7" i="19"/>
  <c r="AK7" i="19" s="1"/>
  <c r="N7" i="19"/>
  <c r="I7" i="19"/>
  <c r="AJ6" i="19"/>
  <c r="AH6" i="19"/>
  <c r="Z6" i="19"/>
  <c r="X6" i="19"/>
  <c r="T6" i="19"/>
  <c r="U6" i="19" s="1"/>
  <c r="S6" i="19"/>
  <c r="Q6" i="19"/>
  <c r="P6" i="19"/>
  <c r="AK6" i="19" s="1"/>
  <c r="N6" i="19"/>
  <c r="I6" i="19"/>
  <c r="AJ5" i="19"/>
  <c r="AH5" i="19"/>
  <c r="Z5" i="19"/>
  <c r="X5" i="19"/>
  <c r="T5" i="19"/>
  <c r="S5" i="19"/>
  <c r="U5" i="19" s="1"/>
  <c r="Q5" i="19"/>
  <c r="P5" i="19"/>
  <c r="AK5" i="19" s="1"/>
  <c r="N5" i="19"/>
  <c r="I5" i="19"/>
  <c r="AH4" i="19"/>
  <c r="Z4" i="19"/>
  <c r="X4" i="19"/>
  <c r="U4" i="19"/>
  <c r="T4" i="19"/>
  <c r="S4" i="19"/>
  <c r="Q4" i="19"/>
  <c r="P4" i="19"/>
  <c r="AK4" i="19" s="1"/>
  <c r="N4" i="19"/>
  <c r="I4" i="19"/>
  <c r="AK3" i="19"/>
  <c r="AH3" i="19"/>
  <c r="Z3" i="19"/>
  <c r="Z26" i="19" s="1"/>
  <c r="Z51" i="19" s="1"/>
  <c r="X3" i="19"/>
  <c r="U3" i="19"/>
  <c r="T3" i="19"/>
  <c r="T26" i="19" s="1"/>
  <c r="S3" i="19"/>
  <c r="S26" i="19" s="1"/>
  <c r="Q3" i="19"/>
  <c r="Q26" i="19" s="1"/>
  <c r="P3" i="19"/>
  <c r="N3" i="19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9"/>
  <c r="K42" i="9" s="1"/>
  <c r="J26" i="9"/>
  <c r="K18" i="9" s="1"/>
  <c r="K50" i="10"/>
  <c r="J50" i="10"/>
  <c r="D50" i="10"/>
  <c r="C50" i="10"/>
  <c r="K49" i="10"/>
  <c r="D49" i="10"/>
  <c r="K48" i="10"/>
  <c r="D48" i="10"/>
  <c r="K47" i="10"/>
  <c r="D47" i="10"/>
  <c r="K46" i="10"/>
  <c r="D46" i="10"/>
  <c r="K45" i="10"/>
  <c r="D45" i="10"/>
  <c r="K44" i="10"/>
  <c r="D44" i="10"/>
  <c r="K43" i="10"/>
  <c r="D43" i="10"/>
  <c r="K42" i="10"/>
  <c r="D42" i="10"/>
  <c r="K41" i="10"/>
  <c r="D41" i="10"/>
  <c r="K40" i="10"/>
  <c r="D40" i="10"/>
  <c r="K39" i="10"/>
  <c r="D39" i="10"/>
  <c r="K38" i="10"/>
  <c r="D38" i="10"/>
  <c r="K37" i="10"/>
  <c r="D37" i="10"/>
  <c r="K36" i="10"/>
  <c r="D36" i="10"/>
  <c r="K35" i="10"/>
  <c r="D35" i="10"/>
  <c r="K34" i="10"/>
  <c r="D34" i="10"/>
  <c r="K33" i="10"/>
  <c r="D33" i="10"/>
  <c r="K32" i="10"/>
  <c r="D32" i="10"/>
  <c r="K31" i="10"/>
  <c r="E31" i="10"/>
  <c r="D31" i="10"/>
  <c r="L30" i="10"/>
  <c r="M30" i="10" s="1"/>
  <c r="G30" i="10" s="1"/>
  <c r="K30" i="10"/>
  <c r="D30" i="10"/>
  <c r="E30" i="10" s="1"/>
  <c r="F30" i="10" s="1"/>
  <c r="K26" i="10"/>
  <c r="J26" i="10"/>
  <c r="D26" i="10"/>
  <c r="C26" i="10"/>
  <c r="K25" i="10"/>
  <c r="D25" i="10"/>
  <c r="K24" i="10"/>
  <c r="D24" i="10"/>
  <c r="K23" i="10"/>
  <c r="D23" i="10"/>
  <c r="K22" i="10"/>
  <c r="D22" i="10"/>
  <c r="K21" i="10"/>
  <c r="D21" i="10"/>
  <c r="K20" i="10"/>
  <c r="D20" i="10"/>
  <c r="K19" i="10"/>
  <c r="D19" i="10"/>
  <c r="K18" i="10"/>
  <c r="D18" i="10"/>
  <c r="K17" i="10"/>
  <c r="D17" i="10"/>
  <c r="K16" i="10"/>
  <c r="D16" i="10"/>
  <c r="K15" i="10"/>
  <c r="D15" i="10"/>
  <c r="K14" i="10"/>
  <c r="D14" i="10"/>
  <c r="K13" i="10"/>
  <c r="D13" i="10"/>
  <c r="K12" i="10"/>
  <c r="D12" i="10"/>
  <c r="K11" i="10"/>
  <c r="D11" i="10"/>
  <c r="K10" i="10"/>
  <c r="D10" i="10"/>
  <c r="K9" i="10"/>
  <c r="D9" i="10"/>
  <c r="K8" i="10"/>
  <c r="D8" i="10"/>
  <c r="K7" i="10"/>
  <c r="L7" i="10" s="1"/>
  <c r="M7" i="10" s="1"/>
  <c r="G7" i="10" s="1"/>
  <c r="D7" i="10"/>
  <c r="L6" i="10"/>
  <c r="M6" i="10" s="1"/>
  <c r="K6" i="10"/>
  <c r="G6" i="10"/>
  <c r="D6" i="10"/>
  <c r="K5" i="10"/>
  <c r="L5" i="10" s="1"/>
  <c r="M5" i="10" s="1"/>
  <c r="G5" i="10" s="1"/>
  <c r="D5" i="10"/>
  <c r="M4" i="10"/>
  <c r="G4" i="10" s="1"/>
  <c r="L4" i="10"/>
  <c r="K4" i="10"/>
  <c r="D4" i="10"/>
  <c r="E4" i="10" s="1"/>
  <c r="J50" i="12"/>
  <c r="C50" i="12"/>
  <c r="D49" i="12"/>
  <c r="D48" i="12"/>
  <c r="K47" i="12"/>
  <c r="D47" i="12"/>
  <c r="D46" i="12"/>
  <c r="D45" i="12"/>
  <c r="K44" i="12"/>
  <c r="D44" i="12"/>
  <c r="D43" i="12"/>
  <c r="D42" i="12"/>
  <c r="K41" i="12"/>
  <c r="D41" i="12"/>
  <c r="D40" i="12"/>
  <c r="D39" i="12"/>
  <c r="D38" i="12"/>
  <c r="D37" i="12"/>
  <c r="D36" i="12"/>
  <c r="K35" i="12"/>
  <c r="D35" i="12"/>
  <c r="D34" i="12"/>
  <c r="D33" i="12"/>
  <c r="D32" i="12"/>
  <c r="K31" i="12"/>
  <c r="D31" i="12"/>
  <c r="D30" i="12"/>
  <c r="E30" i="12" s="1"/>
  <c r="F30" i="12" s="1"/>
  <c r="J26" i="12"/>
  <c r="K17" i="12" s="1"/>
  <c r="D26" i="12"/>
  <c r="C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K10" i="12"/>
  <c r="D10" i="12"/>
  <c r="D9" i="12"/>
  <c r="D8" i="12"/>
  <c r="F7" i="12"/>
  <c r="D7" i="12"/>
  <c r="E7" i="12" s="1"/>
  <c r="E6" i="12"/>
  <c r="F6" i="12" s="1"/>
  <c r="D6" i="12"/>
  <c r="D5" i="12"/>
  <c r="E5" i="12" s="1"/>
  <c r="F5" i="12" s="1"/>
  <c r="E4" i="12"/>
  <c r="F4" i="12" s="1"/>
  <c r="D4" i="12"/>
  <c r="J50" i="13"/>
  <c r="C50" i="13"/>
  <c r="K49" i="13"/>
  <c r="D48" i="13"/>
  <c r="K46" i="13"/>
  <c r="K45" i="13"/>
  <c r="D45" i="13"/>
  <c r="K44" i="13"/>
  <c r="K43" i="13"/>
  <c r="D42" i="13"/>
  <c r="K41" i="13"/>
  <c r="K39" i="13"/>
  <c r="K38" i="13"/>
  <c r="K37" i="13"/>
  <c r="K36" i="13"/>
  <c r="K33" i="13"/>
  <c r="K31" i="13"/>
  <c r="K30" i="13"/>
  <c r="K50" i="13" s="1"/>
  <c r="J26" i="13"/>
  <c r="K10" i="13" s="1"/>
  <c r="C26" i="13"/>
  <c r="D23" i="13" s="1"/>
  <c r="D25" i="13"/>
  <c r="D22" i="13"/>
  <c r="D21" i="13"/>
  <c r="D20" i="13"/>
  <c r="K19" i="13"/>
  <c r="D17" i="13"/>
  <c r="D15" i="13"/>
  <c r="D14" i="13"/>
  <c r="D13" i="13"/>
  <c r="D12" i="13"/>
  <c r="K11" i="13"/>
  <c r="D9" i="13"/>
  <c r="D7" i="13"/>
  <c r="D6" i="13"/>
  <c r="D5" i="13"/>
  <c r="D4" i="13"/>
  <c r="D26" i="13" s="1"/>
  <c r="X13" i="6"/>
  <c r="V13" i="6"/>
  <c r="S13" i="6"/>
  <c r="Q13" i="6"/>
  <c r="P13" i="6"/>
  <c r="O13" i="6"/>
  <c r="F12" i="6"/>
  <c r="F11" i="6"/>
  <c r="H10" i="6"/>
  <c r="N8" i="6"/>
  <c r="J8" i="6"/>
  <c r="G8" i="6"/>
  <c r="I7" i="6"/>
  <c r="I6" i="6"/>
  <c r="N4" i="6"/>
  <c r="M4" i="6"/>
  <c r="J4" i="6"/>
  <c r="I4" i="6"/>
  <c r="K4" i="6" s="1"/>
  <c r="Y4" i="6" s="1"/>
  <c r="J3" i="6"/>
  <c r="I3" i="6"/>
  <c r="K3" i="6" s="1"/>
  <c r="Y3" i="6" s="1"/>
  <c r="K35" i="18" l="1"/>
  <c r="N35" i="18" s="1"/>
  <c r="N39" i="1"/>
  <c r="K39" i="18"/>
  <c r="N39" i="18" s="1"/>
  <c r="N23" i="1"/>
  <c r="K23" i="18"/>
  <c r="N23" i="18" s="1"/>
  <c r="K11" i="18"/>
  <c r="N11" i="18" s="1"/>
  <c r="N13" i="1"/>
  <c r="K13" i="18"/>
  <c r="N13" i="18" s="1"/>
  <c r="N17" i="1"/>
  <c r="K19" i="18"/>
  <c r="N19" i="18" s="1"/>
  <c r="K28" i="18"/>
  <c r="K44" i="18"/>
  <c r="N44" i="18" s="1"/>
  <c r="N46" i="1"/>
  <c r="K46" i="18"/>
  <c r="N46" i="18" s="1"/>
  <c r="N10" i="1"/>
  <c r="K10" i="18"/>
  <c r="N10" i="18" s="1"/>
  <c r="N21" i="1"/>
  <c r="K21" i="18"/>
  <c r="N21" i="18" s="1"/>
  <c r="N35" i="1"/>
  <c r="K7" i="18"/>
  <c r="N7" i="18" s="1"/>
  <c r="N11" i="1"/>
  <c r="N20" i="1"/>
  <c r="K20" i="18"/>
  <c r="N20" i="18" s="1"/>
  <c r="N24" i="1"/>
  <c r="K24" i="18"/>
  <c r="N24" i="18" s="1"/>
  <c r="N31" i="1"/>
  <c r="K31" i="18"/>
  <c r="N31" i="18" s="1"/>
  <c r="K40" i="18"/>
  <c r="N40" i="18" s="1"/>
  <c r="N41" i="1"/>
  <c r="K41" i="18"/>
  <c r="N41" i="18" s="1"/>
  <c r="N44" i="1"/>
  <c r="N14" i="1"/>
  <c r="K14" i="18"/>
  <c r="N14" i="18" s="1"/>
  <c r="K16" i="18"/>
  <c r="N16" i="18" s="1"/>
  <c r="N18" i="1"/>
  <c r="K18" i="18"/>
  <c r="N18" i="18" s="1"/>
  <c r="K29" i="18"/>
  <c r="N29" i="18" s="1"/>
  <c r="N34" i="1"/>
  <c r="K34" i="18"/>
  <c r="N34" i="18" s="1"/>
  <c r="N38" i="1"/>
  <c r="K38" i="18"/>
  <c r="N38" i="18" s="1"/>
  <c r="N40" i="1"/>
  <c r="K4" i="18"/>
  <c r="N4" i="18" s="1"/>
  <c r="N9" i="1"/>
  <c r="K9" i="18"/>
  <c r="N9" i="18" s="1"/>
  <c r="K12" i="18"/>
  <c r="N12" i="18" s="1"/>
  <c r="N16" i="1"/>
  <c r="N29" i="1"/>
  <c r="N32" i="1"/>
  <c r="K32" i="18"/>
  <c r="N32" i="18" s="1"/>
  <c r="N43" i="1"/>
  <c r="K43" i="18"/>
  <c r="N43" i="18" s="1"/>
  <c r="N37" i="1"/>
  <c r="K37" i="18"/>
  <c r="N37" i="18" s="1"/>
  <c r="K26" i="1"/>
  <c r="F7" i="6" s="1"/>
  <c r="K3" i="18"/>
  <c r="N4" i="1"/>
  <c r="N6" i="1"/>
  <c r="K6" i="18"/>
  <c r="N6" i="18" s="1"/>
  <c r="N15" i="1"/>
  <c r="K15" i="18"/>
  <c r="N15" i="18" s="1"/>
  <c r="N22" i="1"/>
  <c r="K22" i="18"/>
  <c r="N22" i="18" s="1"/>
  <c r="K36" i="18"/>
  <c r="N36" i="18" s="1"/>
  <c r="K45" i="18"/>
  <c r="N45" i="18" s="1"/>
  <c r="N47" i="1"/>
  <c r="K47" i="18"/>
  <c r="N47" i="18" s="1"/>
  <c r="N8" i="1"/>
  <c r="K8" i="18"/>
  <c r="N8" i="18" s="1"/>
  <c r="N42" i="1"/>
  <c r="K42" i="18"/>
  <c r="N42" i="18" s="1"/>
  <c r="N5" i="1"/>
  <c r="K5" i="18"/>
  <c r="N5" i="18" s="1"/>
  <c r="N30" i="1"/>
  <c r="K30" i="18"/>
  <c r="N30" i="18" s="1"/>
  <c r="N33" i="1"/>
  <c r="K33" i="18"/>
  <c r="N33" i="18" s="1"/>
  <c r="N36" i="1"/>
  <c r="N45" i="1"/>
  <c r="K35" i="9"/>
  <c r="K43" i="9"/>
  <c r="K36" i="9"/>
  <c r="K44" i="9"/>
  <c r="K30" i="9"/>
  <c r="K37" i="9"/>
  <c r="K45" i="9"/>
  <c r="K31" i="9"/>
  <c r="K38" i="9"/>
  <c r="K46" i="9"/>
  <c r="K32" i="9"/>
  <c r="K39" i="9"/>
  <c r="K47" i="9"/>
  <c r="K33" i="9"/>
  <c r="K40" i="9"/>
  <c r="K48" i="9"/>
  <c r="K41" i="9"/>
  <c r="K49" i="9"/>
  <c r="K34" i="9"/>
  <c r="K19" i="9"/>
  <c r="K6" i="9"/>
  <c r="K12" i="9"/>
  <c r="K20" i="9"/>
  <c r="K13" i="9"/>
  <c r="K21" i="9"/>
  <c r="K7" i="9"/>
  <c r="K14" i="9"/>
  <c r="K22" i="9"/>
  <c r="K5" i="9"/>
  <c r="K8" i="9"/>
  <c r="K15" i="9"/>
  <c r="K23" i="9"/>
  <c r="K9" i="9"/>
  <c r="K16" i="9"/>
  <c r="K24" i="9"/>
  <c r="K4" i="9"/>
  <c r="K10" i="9"/>
  <c r="K17" i="9"/>
  <c r="K25" i="9"/>
  <c r="K11" i="9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43" i="18"/>
  <c r="U34" i="18"/>
  <c r="U42" i="18"/>
  <c r="AD42" i="18" s="1"/>
  <c r="R24" i="18"/>
  <c r="O24" i="18" s="1"/>
  <c r="U35" i="18"/>
  <c r="U22" i="18"/>
  <c r="U21" i="18"/>
  <c r="AD21" i="18" s="1"/>
  <c r="R23" i="18"/>
  <c r="W23" i="18" s="1"/>
  <c r="AA53" i="15"/>
  <c r="AA30" i="18"/>
  <c r="AA15" i="18"/>
  <c r="AA39" i="18"/>
  <c r="AA44" i="18"/>
  <c r="AA47" i="18"/>
  <c r="AA50" i="16"/>
  <c r="AA4" i="18"/>
  <c r="AA9" i="18"/>
  <c r="AK9" i="18" s="1"/>
  <c r="AA12" i="18"/>
  <c r="AA14" i="18"/>
  <c r="AA21" i="18"/>
  <c r="AA31" i="18"/>
  <c r="AA42" i="18"/>
  <c r="AK42" i="18" s="1"/>
  <c r="AA17" i="18"/>
  <c r="AA33" i="18"/>
  <c r="AA35" i="18"/>
  <c r="AA37" i="18"/>
  <c r="AA40" i="18"/>
  <c r="AK14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O28" i="18" s="1"/>
  <c r="U13" i="18"/>
  <c r="U14" i="18"/>
  <c r="AD14" i="18" s="1"/>
  <c r="AJ7" i="18"/>
  <c r="U4" i="18"/>
  <c r="AD4" i="18" s="1"/>
  <c r="U12" i="18"/>
  <c r="U41" i="18"/>
  <c r="U6" i="18"/>
  <c r="U5" i="18"/>
  <c r="AD5" i="18" s="1"/>
  <c r="R7" i="18"/>
  <c r="O7" i="18" s="1"/>
  <c r="U15" i="18"/>
  <c r="U23" i="18"/>
  <c r="AD23" i="18" s="1"/>
  <c r="R30" i="18"/>
  <c r="AG30" i="18" s="1"/>
  <c r="AM30" i="18" s="1"/>
  <c r="U36" i="18"/>
  <c r="AD36" i="18" s="1"/>
  <c r="U44" i="18"/>
  <c r="AD44" i="18" s="1"/>
  <c r="U19" i="18"/>
  <c r="U32" i="18"/>
  <c r="U40" i="18"/>
  <c r="AD40" i="18" s="1"/>
  <c r="U30" i="18"/>
  <c r="AD30" i="18" s="1"/>
  <c r="U38" i="18"/>
  <c r="R40" i="18"/>
  <c r="O40" i="18" s="1"/>
  <c r="U46" i="18"/>
  <c r="R34" i="18"/>
  <c r="O34" i="18" s="1"/>
  <c r="U8" i="18"/>
  <c r="AD8" i="18" s="1"/>
  <c r="R10" i="18"/>
  <c r="W10" i="18" s="1"/>
  <c r="U16" i="18"/>
  <c r="AD16" i="18" s="1"/>
  <c r="U24" i="18"/>
  <c r="AD24" i="18" s="1"/>
  <c r="R31" i="18"/>
  <c r="AI31" i="18" s="1"/>
  <c r="R39" i="18"/>
  <c r="W39" i="18" s="1"/>
  <c r="U45" i="18"/>
  <c r="U7" i="18"/>
  <c r="AD7" i="18" s="1"/>
  <c r="U33" i="18"/>
  <c r="AD33" i="18" s="1"/>
  <c r="U11" i="18"/>
  <c r="AD11" i="18" s="1"/>
  <c r="U3" i="18"/>
  <c r="AD3" i="18" s="1"/>
  <c r="AJ9" i="18"/>
  <c r="AJ8" i="17"/>
  <c r="Z8" i="18"/>
  <c r="Z26" i="18" s="1"/>
  <c r="U10" i="18"/>
  <c r="AD10" i="18" s="1"/>
  <c r="U18" i="18"/>
  <c r="U39" i="18"/>
  <c r="U47" i="18"/>
  <c r="AD47" i="18" s="1"/>
  <c r="U20" i="18"/>
  <c r="AJ46" i="17"/>
  <c r="Z46" i="18"/>
  <c r="AJ46" i="18" s="1"/>
  <c r="X49" i="18"/>
  <c r="X26" i="18"/>
  <c r="U31" i="18"/>
  <c r="T26" i="18"/>
  <c r="T49" i="18"/>
  <c r="R4" i="18"/>
  <c r="AI4" i="18" s="1"/>
  <c r="AK34" i="18"/>
  <c r="S26" i="18"/>
  <c r="S49" i="18"/>
  <c r="Q26" i="18"/>
  <c r="R45" i="17"/>
  <c r="AG45" i="17" s="1"/>
  <c r="AM45" i="17" s="1"/>
  <c r="Q45" i="18"/>
  <c r="Q49" i="18" s="1"/>
  <c r="R6" i="18"/>
  <c r="AI6" i="18" s="1"/>
  <c r="R14" i="18"/>
  <c r="AI14" i="18" s="1"/>
  <c r="AK12" i="17"/>
  <c r="P12" i="18"/>
  <c r="R12" i="18" s="1"/>
  <c r="AK20" i="17"/>
  <c r="P20" i="18"/>
  <c r="R20" i="18" s="1"/>
  <c r="AI20" i="18" s="1"/>
  <c r="AK33" i="17"/>
  <c r="P33" i="18"/>
  <c r="AK41" i="17"/>
  <c r="P41" i="18"/>
  <c r="AJ41" i="18" s="1"/>
  <c r="AK32" i="17"/>
  <c r="P32" i="18"/>
  <c r="R32" i="18" s="1"/>
  <c r="O32" i="18" s="1"/>
  <c r="AK13" i="17"/>
  <c r="P13" i="18"/>
  <c r="R13" i="18" s="1"/>
  <c r="AK15" i="17"/>
  <c r="P15" i="18"/>
  <c r="AJ15" i="18" s="1"/>
  <c r="AK36" i="17"/>
  <c r="P36" i="18"/>
  <c r="AJ36" i="18" s="1"/>
  <c r="AK44" i="17"/>
  <c r="P44" i="18"/>
  <c r="AK19" i="17"/>
  <c r="P19" i="18"/>
  <c r="R19" i="18" s="1"/>
  <c r="AI19" i="18" s="1"/>
  <c r="AK8" i="17"/>
  <c r="P8" i="18"/>
  <c r="AK16" i="17"/>
  <c r="P16" i="18"/>
  <c r="AJ16" i="18" s="1"/>
  <c r="AK29" i="17"/>
  <c r="P29" i="18"/>
  <c r="R29" i="18" s="1"/>
  <c r="AK37" i="17"/>
  <c r="P37" i="18"/>
  <c r="AK45" i="17"/>
  <c r="P45" i="18"/>
  <c r="AK11" i="17"/>
  <c r="P11" i="18"/>
  <c r="R11" i="18" s="1"/>
  <c r="AI11" i="18" s="1"/>
  <c r="AK17" i="17"/>
  <c r="P17" i="18"/>
  <c r="R17" i="18" s="1"/>
  <c r="AK38" i="17"/>
  <c r="P38" i="18"/>
  <c r="AK38" i="18" s="1"/>
  <c r="AK3" i="17"/>
  <c r="P3" i="18"/>
  <c r="R3" i="18" s="1"/>
  <c r="AK22" i="17"/>
  <c r="P22" i="18"/>
  <c r="AJ22" i="18" s="1"/>
  <c r="AK35" i="17"/>
  <c r="P35" i="18"/>
  <c r="AJ35" i="18" s="1"/>
  <c r="AK18" i="17"/>
  <c r="P18" i="18"/>
  <c r="AK18" i="18" s="1"/>
  <c r="AK47" i="17"/>
  <c r="P47" i="18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AG6" i="17" s="1"/>
  <c r="AM6" i="17" s="1"/>
  <c r="R7" i="17"/>
  <c r="W7" i="17" s="1"/>
  <c r="R20" i="17"/>
  <c r="O20" i="17" s="1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O4" i="17" s="1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O44" i="17" s="1"/>
  <c r="U4" i="17"/>
  <c r="R10" i="17"/>
  <c r="AG10" i="17" s="1"/>
  <c r="AM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N12" i="6" s="1"/>
  <c r="AK39" i="17"/>
  <c r="U7" i="17"/>
  <c r="U18" i="17"/>
  <c r="AD18" i="17" s="1"/>
  <c r="R19" i="17"/>
  <c r="AI19" i="17" s="1"/>
  <c r="AJ3" i="17"/>
  <c r="AJ6" i="17"/>
  <c r="AK6" i="17"/>
  <c r="R12" i="17"/>
  <c r="AG12" i="17" s="1"/>
  <c r="AM12" i="17" s="1"/>
  <c r="AJ13" i="17"/>
  <c r="U14" i="17"/>
  <c r="R28" i="17"/>
  <c r="O28" i="17" s="1"/>
  <c r="AJ28" i="17"/>
  <c r="R43" i="17"/>
  <c r="AG43" i="17" s="1"/>
  <c r="AM43" i="17" s="1"/>
  <c r="AK43" i="17"/>
  <c r="AJ45" i="17"/>
  <c r="Q49" i="17"/>
  <c r="H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O15" i="19"/>
  <c r="W15" i="19"/>
  <c r="AI15" i="19"/>
  <c r="E8" i="12"/>
  <c r="F8" i="12" s="1"/>
  <c r="E31" i="12"/>
  <c r="F31" i="12" s="1"/>
  <c r="K12" i="8"/>
  <c r="K17" i="13"/>
  <c r="K9" i="13"/>
  <c r="K13" i="12"/>
  <c r="E32" i="12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18" i="13"/>
  <c r="D44" i="13"/>
  <c r="D36" i="13"/>
  <c r="D46" i="13"/>
  <c r="D38" i="13"/>
  <c r="D30" i="13"/>
  <c r="D31" i="13"/>
  <c r="D37" i="13"/>
  <c r="D34" i="13"/>
  <c r="D40" i="13"/>
  <c r="D49" i="13"/>
  <c r="D43" i="13"/>
  <c r="D32" i="13"/>
  <c r="D47" i="13"/>
  <c r="D41" i="13"/>
  <c r="D35" i="13"/>
  <c r="D39" i="13"/>
  <c r="D33" i="13"/>
  <c r="D50" i="12"/>
  <c r="E6" i="10"/>
  <c r="F6" i="10" s="1"/>
  <c r="L8" i="10"/>
  <c r="K38" i="7"/>
  <c r="K24" i="13"/>
  <c r="K20" i="13"/>
  <c r="K12" i="13"/>
  <c r="K4" i="13"/>
  <c r="K13" i="13"/>
  <c r="K21" i="13"/>
  <c r="K5" i="13"/>
  <c r="K14" i="13"/>
  <c r="K6" i="13"/>
  <c r="K16" i="13"/>
  <c r="K25" i="13"/>
  <c r="K22" i="13"/>
  <c r="K15" i="13"/>
  <c r="K7" i="13"/>
  <c r="K8" i="13"/>
  <c r="K23" i="13"/>
  <c r="K22" i="12"/>
  <c r="K14" i="12"/>
  <c r="K6" i="12"/>
  <c r="K24" i="12"/>
  <c r="K16" i="12"/>
  <c r="K8" i="12"/>
  <c r="K11" i="12"/>
  <c r="K21" i="12"/>
  <c r="K18" i="12"/>
  <c r="K5" i="12"/>
  <c r="K15" i="12"/>
  <c r="K12" i="12"/>
  <c r="K25" i="12"/>
  <c r="K9" i="12"/>
  <c r="K19" i="12"/>
  <c r="K23" i="12"/>
  <c r="K20" i="12"/>
  <c r="K7" i="12"/>
  <c r="K4" i="12"/>
  <c r="F4" i="10"/>
  <c r="E5" i="10"/>
  <c r="F5" i="10" s="1"/>
  <c r="L9" i="10"/>
  <c r="M9" i="10" s="1"/>
  <c r="G9" i="10" s="1"/>
  <c r="K46" i="12"/>
  <c r="K38" i="12"/>
  <c r="K30" i="12"/>
  <c r="K48" i="12"/>
  <c r="K40" i="12"/>
  <c r="K32" i="12"/>
  <c r="L10" i="10"/>
  <c r="M10" i="10" s="1"/>
  <c r="G10" i="10" s="1"/>
  <c r="L30" i="8"/>
  <c r="M30" i="8" s="1"/>
  <c r="Y5" i="19"/>
  <c r="Y8" i="19"/>
  <c r="AG44" i="19"/>
  <c r="AM44" i="19" s="1"/>
  <c r="AI44" i="19"/>
  <c r="O44" i="19"/>
  <c r="W44" i="19"/>
  <c r="Y18" i="19"/>
  <c r="E32" i="10"/>
  <c r="F32" i="10" s="1"/>
  <c r="F31" i="10"/>
  <c r="K34" i="12"/>
  <c r="K37" i="12"/>
  <c r="W36" i="19"/>
  <c r="O36" i="19"/>
  <c r="AI36" i="19"/>
  <c r="AG36" i="19"/>
  <c r="AM36" i="19" s="1"/>
  <c r="E4" i="13"/>
  <c r="F4" i="13" s="1"/>
  <c r="D11" i="13"/>
  <c r="D19" i="13"/>
  <c r="D24" i="13"/>
  <c r="K48" i="13"/>
  <c r="K40" i="13"/>
  <c r="K32" i="13"/>
  <c r="K42" i="13"/>
  <c r="K34" i="13"/>
  <c r="K43" i="12"/>
  <c r="L31" i="10"/>
  <c r="M31" i="10" s="1"/>
  <c r="G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D10" i="13"/>
  <c r="D18" i="13"/>
  <c r="L30" i="13"/>
  <c r="K47" i="13"/>
  <c r="K33" i="12"/>
  <c r="K49" i="12"/>
  <c r="L30" i="9"/>
  <c r="K46" i="8"/>
  <c r="L4" i="7"/>
  <c r="K36" i="12"/>
  <c r="K39" i="12"/>
  <c r="Y12" i="19"/>
  <c r="AG12" i="19"/>
  <c r="Y16" i="19"/>
  <c r="AG16" i="19"/>
  <c r="Y33" i="19"/>
  <c r="D8" i="13"/>
  <c r="D16" i="13"/>
  <c r="K35" i="13"/>
  <c r="K42" i="12"/>
  <c r="K45" i="12"/>
  <c r="K38" i="8"/>
  <c r="R6" i="19"/>
  <c r="AG11" i="19"/>
  <c r="AM11" i="19" s="1"/>
  <c r="AI11" i="19"/>
  <c r="AG19" i="19"/>
  <c r="AM19" i="19" s="1"/>
  <c r="Y20" i="19"/>
  <c r="AG23" i="19"/>
  <c r="AM23" i="19" s="1"/>
  <c r="Y24" i="19"/>
  <c r="Y31" i="19"/>
  <c r="R8" i="19"/>
  <c r="AK8" i="19"/>
  <c r="AI21" i="19"/>
  <c r="W21" i="19"/>
  <c r="O21" i="19"/>
  <c r="AG21" i="19"/>
  <c r="AM21" i="19" s="1"/>
  <c r="AG32" i="19"/>
  <c r="AM32" i="19" s="1"/>
  <c r="AI32" i="19"/>
  <c r="W32" i="19"/>
  <c r="O32" i="19"/>
  <c r="R42" i="18"/>
  <c r="AJ42" i="18"/>
  <c r="AH25" i="19"/>
  <c r="Y13" i="19"/>
  <c r="Y17" i="19"/>
  <c r="Y21" i="19"/>
  <c r="AH48" i="19"/>
  <c r="AI34" i="19"/>
  <c r="W34" i="19"/>
  <c r="O34" i="19"/>
  <c r="AG34" i="19"/>
  <c r="AM34" i="19" s="1"/>
  <c r="AE39" i="19"/>
  <c r="AL39" i="19" s="1" a="1"/>
  <c r="AL39" i="19" s="1"/>
  <c r="Y39" i="19"/>
  <c r="Y41" i="19"/>
  <c r="K23" i="7"/>
  <c r="K25" i="7"/>
  <c r="I26" i="19"/>
  <c r="R4" i="19"/>
  <c r="R7" i="19"/>
  <c r="AE11" i="19"/>
  <c r="AL11" i="19" s="1" a="1"/>
  <c r="AL11" i="19" s="1"/>
  <c r="Y11" i="19"/>
  <c r="AI12" i="19"/>
  <c r="W12" i="19"/>
  <c r="AE12" i="19" s="1"/>
  <c r="AL12" i="19" s="1" a="1"/>
  <c r="AL12" i="19" s="1"/>
  <c r="O12" i="19"/>
  <c r="AI16" i="19"/>
  <c r="W16" i="19"/>
  <c r="AE16" i="19" s="1"/>
  <c r="AL16" i="19" s="1" a="1"/>
  <c r="AL16" i="19" s="1"/>
  <c r="O16" i="19"/>
  <c r="AM28" i="19"/>
  <c r="Y29" i="19"/>
  <c r="AE32" i="19"/>
  <c r="AL32" i="19" s="1" a="1"/>
  <c r="AL32" i="19" s="1"/>
  <c r="Y32" i="19"/>
  <c r="Y34" i="19"/>
  <c r="AE34" i="19"/>
  <c r="AL34" i="19" s="1" a="1"/>
  <c r="AL34" i="19" s="1"/>
  <c r="AJ7" i="19"/>
  <c r="AJ8" i="19"/>
  <c r="AI9" i="19"/>
  <c r="W9" i="19"/>
  <c r="O9" i="19"/>
  <c r="AI10" i="19"/>
  <c r="W10" i="19"/>
  <c r="O10" i="19"/>
  <c r="AG10" i="19"/>
  <c r="AM10" i="19" s="1"/>
  <c r="AI14" i="19"/>
  <c r="W14" i="19"/>
  <c r="O14" i="19"/>
  <c r="AG14" i="19"/>
  <c r="AI20" i="19"/>
  <c r="W20" i="19"/>
  <c r="AE20" i="19" s="1"/>
  <c r="AL20" i="19" s="1" a="1"/>
  <c r="AL20" i="19" s="1"/>
  <c r="O20" i="19"/>
  <c r="AI24" i="19"/>
  <c r="W24" i="19"/>
  <c r="AE24" i="19" s="1"/>
  <c r="AL24" i="19" s="1" a="1"/>
  <c r="AL24" i="19" s="1"/>
  <c r="O24" i="19"/>
  <c r="AG35" i="19"/>
  <c r="AM35" i="19" s="1"/>
  <c r="O35" i="19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AJ4" i="19"/>
  <c r="Y6" i="19"/>
  <c r="Y7" i="19"/>
  <c r="U9" i="19"/>
  <c r="AI18" i="19"/>
  <c r="W18" i="19"/>
  <c r="AE18" i="19" s="1"/>
  <c r="AL18" i="19" s="1" a="1"/>
  <c r="AL18" i="19" s="1"/>
  <c r="O18" i="19"/>
  <c r="AG18" i="19"/>
  <c r="AM18" i="19" s="1"/>
  <c r="W19" i="19"/>
  <c r="AI22" i="19"/>
  <c r="W22" i="19"/>
  <c r="AE22" i="19" s="1"/>
  <c r="AL22" i="19" s="1" a="1"/>
  <c r="AL22" i="19" s="1"/>
  <c r="O22" i="19"/>
  <c r="AG22" i="19"/>
  <c r="AM22" i="19" s="1"/>
  <c r="W23" i="19"/>
  <c r="AI30" i="19"/>
  <c r="W30" i="19"/>
  <c r="O30" i="19"/>
  <c r="AG30" i="19"/>
  <c r="AM30" i="19" s="1"/>
  <c r="AK38" i="19"/>
  <c r="AJ38" i="19"/>
  <c r="R38" i="19"/>
  <c r="P26" i="19"/>
  <c r="Y3" i="19"/>
  <c r="Y4" i="19"/>
  <c r="R5" i="19"/>
  <c r="AE10" i="19"/>
  <c r="AL10" i="19" s="1" a="1"/>
  <c r="AL10" i="19" s="1"/>
  <c r="AP10" i="19" s="1"/>
  <c r="AE14" i="19"/>
  <c r="AL14" i="19" s="1" a="1"/>
  <c r="AL14" i="19" s="1"/>
  <c r="AE21" i="19"/>
  <c r="AL21" i="19" s="1" a="1"/>
  <c r="AL21" i="19" s="1"/>
  <c r="Y30" i="19"/>
  <c r="AE30" i="19"/>
  <c r="AL30" i="19" s="1" a="1"/>
  <c r="AL30" i="19" s="1"/>
  <c r="R31" i="19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Y10" i="16"/>
  <c r="AJ3" i="19"/>
  <c r="AK11" i="19"/>
  <c r="AK25" i="19" s="1"/>
  <c r="AG13" i="19"/>
  <c r="Y15" i="19"/>
  <c r="AK15" i="19"/>
  <c r="AG17" i="19"/>
  <c r="AM17" i="19" s="1"/>
  <c r="Y19" i="19"/>
  <c r="AK19" i="19"/>
  <c r="Y23" i="19"/>
  <c r="AK23" i="19"/>
  <c r="P49" i="19"/>
  <c r="X49" i="19"/>
  <c r="AJ28" i="19"/>
  <c r="AJ32" i="19"/>
  <c r="U35" i="19"/>
  <c r="U43" i="19"/>
  <c r="AE44" i="19"/>
  <c r="AL44" i="19" s="1" a="1"/>
  <c r="AL44" i="19" s="1"/>
  <c r="Y44" i="19"/>
  <c r="AI46" i="19"/>
  <c r="W46" i="19"/>
  <c r="O46" i="19"/>
  <c r="AG46" i="19"/>
  <c r="AM46" i="19" s="1"/>
  <c r="I49" i="18"/>
  <c r="AJ12" i="19"/>
  <c r="AJ16" i="19"/>
  <c r="AJ20" i="19"/>
  <c r="AJ24" i="19"/>
  <c r="Q49" i="19"/>
  <c r="Q51" i="19" s="1"/>
  <c r="AK28" i="19"/>
  <c r="O29" i="19"/>
  <c r="W29" i="19"/>
  <c r="AE29" i="19" s="1"/>
  <c r="AL29" i="19" s="1" a="1"/>
  <c r="AL29" i="19" s="1"/>
  <c r="AI29" i="19"/>
  <c r="O33" i="19"/>
  <c r="W33" i="19"/>
  <c r="AE33" i="19" s="1"/>
  <c r="AL33" i="19" s="1" a="1"/>
  <c r="AL33" i="19" s="1"/>
  <c r="AI33" i="19"/>
  <c r="Y36" i="19"/>
  <c r="U38" i="19"/>
  <c r="W39" i="19"/>
  <c r="R41" i="19"/>
  <c r="Y46" i="19"/>
  <c r="AE46" i="19"/>
  <c r="AL46" i="19" s="1" a="1"/>
  <c r="AL46" i="19" s="1"/>
  <c r="R3" i="19"/>
  <c r="AK12" i="19"/>
  <c r="O13" i="19"/>
  <c r="W13" i="19"/>
  <c r="AE13" i="19" s="1"/>
  <c r="AL13" i="19" s="1" a="1"/>
  <c r="AL13" i="19" s="1"/>
  <c r="AI13" i="19"/>
  <c r="AE15" i="19"/>
  <c r="AL15" i="19" s="1" a="1"/>
  <c r="AL15" i="19" s="1"/>
  <c r="AK16" i="19"/>
  <c r="O17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O42" i="19"/>
  <c r="AG42" i="19"/>
  <c r="R45" i="19"/>
  <c r="AK45" i="19"/>
  <c r="R21" i="18"/>
  <c r="AK21" i="18"/>
  <c r="AJ21" i="18"/>
  <c r="AJ23" i="18"/>
  <c r="R43" i="18"/>
  <c r="AK43" i="18"/>
  <c r="AJ43" i="18"/>
  <c r="AJ9" i="19"/>
  <c r="AJ13" i="19"/>
  <c r="S49" i="19"/>
  <c r="S51" i="19" s="1"/>
  <c r="AJ34" i="19"/>
  <c r="AJ35" i="19"/>
  <c r="R37" i="19"/>
  <c r="Y42" i="19"/>
  <c r="AJ45" i="19"/>
  <c r="U9" i="18"/>
  <c r="AD9" i="18" s="1"/>
  <c r="AH48" i="18"/>
  <c r="U29" i="18"/>
  <c r="AD29" i="18" s="1"/>
  <c r="T49" i="19"/>
  <c r="T51" i="19" s="1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I39" i="19"/>
  <c r="AG39" i="19"/>
  <c r="AM39" i="19" s="1"/>
  <c r="N3" i="18"/>
  <c r="U17" i="18"/>
  <c r="AD17" i="18" s="1"/>
  <c r="U37" i="18"/>
  <c r="AD37" i="18" s="1"/>
  <c r="Z26" i="17"/>
  <c r="AJ4" i="18"/>
  <c r="AJ40" i="18"/>
  <c r="L60" i="17"/>
  <c r="AI3" i="16"/>
  <c r="AG3" i="16"/>
  <c r="R26" i="16"/>
  <c r="AI4" i="16"/>
  <c r="W4" i="16"/>
  <c r="O4" i="16"/>
  <c r="AG4" i="16"/>
  <c r="R15" i="16"/>
  <c r="AJ15" i="16"/>
  <c r="AK15" i="16"/>
  <c r="AJ40" i="19"/>
  <c r="R43" i="19"/>
  <c r="R47" i="19"/>
  <c r="AK4" i="18"/>
  <c r="R9" i="18"/>
  <c r="U28" i="18"/>
  <c r="AD28" i="18" s="1"/>
  <c r="AK40" i="18"/>
  <c r="X26" i="17"/>
  <c r="AK7" i="17"/>
  <c r="AJ7" i="17"/>
  <c r="AJ21" i="17"/>
  <c r="R21" i="17"/>
  <c r="AK21" i="17"/>
  <c r="U23" i="17"/>
  <c r="AD23" i="17" s="1"/>
  <c r="AK28" i="17"/>
  <c r="U5" i="16"/>
  <c r="U26" i="16" s="1"/>
  <c r="AJ10" i="18"/>
  <c r="AJ30" i="18"/>
  <c r="R9" i="17"/>
  <c r="R15" i="17"/>
  <c r="R17" i="17"/>
  <c r="AJ17" i="17"/>
  <c r="R42" i="17"/>
  <c r="AK42" i="17"/>
  <c r="U47" i="17"/>
  <c r="AD47" i="17" s="1"/>
  <c r="Y3" i="16"/>
  <c r="O7" i="16"/>
  <c r="AG7" i="16"/>
  <c r="W7" i="16"/>
  <c r="AJ9" i="16"/>
  <c r="AK9" i="16"/>
  <c r="O11" i="16"/>
  <c r="W11" i="16"/>
  <c r="AE11" i="16" s="1"/>
  <c r="AI11" i="16"/>
  <c r="Y15" i="16"/>
  <c r="Y18" i="16"/>
  <c r="AE7" i="16"/>
  <c r="Y7" i="16"/>
  <c r="AI7" i="16"/>
  <c r="AG10" i="16"/>
  <c r="AM10" i="16" s="1"/>
  <c r="AI10" i="16"/>
  <c r="W10" i="16"/>
  <c r="AE10" i="16" s="1"/>
  <c r="O10" i="16"/>
  <c r="Y11" i="16"/>
  <c r="V11" i="16"/>
  <c r="AJ24" i="18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AJ42" i="19"/>
  <c r="AJ46" i="19"/>
  <c r="AJ31" i="18"/>
  <c r="AJ39" i="18"/>
  <c r="J60" i="18"/>
  <c r="S26" i="17"/>
  <c r="U3" i="17"/>
  <c r="AD3" i="17" s="1"/>
  <c r="AH25" i="17"/>
  <c r="R24" i="17"/>
  <c r="AK24" i="17"/>
  <c r="AJ24" i="17"/>
  <c r="T26" i="17"/>
  <c r="T49" i="17"/>
  <c r="J12" i="6" s="1"/>
  <c r="O3" i="16"/>
  <c r="Z26" i="16"/>
  <c r="AJ3" i="16"/>
  <c r="R12" i="16"/>
  <c r="AK12" i="16"/>
  <c r="AJ12" i="16"/>
  <c r="V14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A27" i="16"/>
  <c r="AA53" i="16" s="1"/>
  <c r="AK6" i="16"/>
  <c r="R6" i="16"/>
  <c r="Y9" i="16"/>
  <c r="W21" i="16"/>
  <c r="AE21" i="16" s="1"/>
  <c r="O21" i="16"/>
  <c r="AI21" i="16"/>
  <c r="AG21" i="16"/>
  <c r="AM21" i="16" s="1"/>
  <c r="L60" i="18"/>
  <c r="U24" i="17"/>
  <c r="AD24" i="17" s="1"/>
  <c r="Q26" i="16"/>
  <c r="R5" i="16"/>
  <c r="AK5" i="16"/>
  <c r="Y17" i="16"/>
  <c r="Q26" i="17"/>
  <c r="R3" i="17"/>
  <c r="R8" i="17"/>
  <c r="U13" i="17"/>
  <c r="AD13" i="17" s="1"/>
  <c r="R22" i="17"/>
  <c r="R23" i="17"/>
  <c r="AK23" i="17"/>
  <c r="S49" i="17"/>
  <c r="I12" i="6" s="1"/>
  <c r="AH48" i="17"/>
  <c r="Z49" i="17"/>
  <c r="M12" i="6" s="1"/>
  <c r="R38" i="17"/>
  <c r="AJ38" i="17"/>
  <c r="I26" i="16"/>
  <c r="I51" i="16" s="1"/>
  <c r="I59" i="16" s="1"/>
  <c r="J59" i="16" s="1"/>
  <c r="Y13" i="16"/>
  <c r="Y19" i="16"/>
  <c r="AL28" i="16" a="1"/>
  <c r="AL28" i="16" s="1"/>
  <c r="AN28" i="16" s="1"/>
  <c r="W16" i="16"/>
  <c r="AI17" i="16"/>
  <c r="AG17" i="16"/>
  <c r="AM17" i="16" s="1"/>
  <c r="V19" i="16"/>
  <c r="U49" i="16"/>
  <c r="Y28" i="16"/>
  <c r="AE28" i="16"/>
  <c r="C46" i="9" s="1"/>
  <c r="AI24" i="16"/>
  <c r="W24" i="16"/>
  <c r="O24" i="16"/>
  <c r="AG24" i="16"/>
  <c r="AM24" i="16" s="1"/>
  <c r="R18" i="16"/>
  <c r="Y22" i="16"/>
  <c r="Y24" i="16"/>
  <c r="V24" i="16"/>
  <c r="AE24" i="16"/>
  <c r="R20" i="16"/>
  <c r="AK20" i="16"/>
  <c r="AI16" i="16"/>
  <c r="W17" i="16"/>
  <c r="AE17" i="16" s="1"/>
  <c r="AI19" i="16"/>
  <c r="W19" i="16"/>
  <c r="AE19" i="16" s="1"/>
  <c r="O19" i="16"/>
  <c r="AG19" i="16"/>
  <c r="AJ20" i="16"/>
  <c r="AE29" i="16"/>
  <c r="Y29" i="16"/>
  <c r="V29" i="16"/>
  <c r="R13" i="17"/>
  <c r="R36" i="17"/>
  <c r="AJ36" i="17"/>
  <c r="S26" i="16"/>
  <c r="AI8" i="16"/>
  <c r="W8" i="16"/>
  <c r="O8" i="16"/>
  <c r="AJ13" i="16"/>
  <c r="AE16" i="16"/>
  <c r="Y20" i="16"/>
  <c r="V20" i="16"/>
  <c r="Y31" i="16"/>
  <c r="R37" i="17"/>
  <c r="AJ37" i="17"/>
  <c r="T26" i="16"/>
  <c r="AH25" i="16"/>
  <c r="U8" i="16"/>
  <c r="AG8" i="16"/>
  <c r="V12" i="16"/>
  <c r="W13" i="16"/>
  <c r="AE13" i="16" s="1"/>
  <c r="O13" i="16"/>
  <c r="AG13" i="16"/>
  <c r="AK14" i="16"/>
  <c r="R14" i="16"/>
  <c r="AK19" i="16"/>
  <c r="W23" i="16"/>
  <c r="AI23" i="16"/>
  <c r="C49" i="16"/>
  <c r="T49" i="16"/>
  <c r="J10" i="6" s="1"/>
  <c r="AH48" i="16"/>
  <c r="Y32" i="16"/>
  <c r="Y41" i="16"/>
  <c r="AI44" i="16"/>
  <c r="W44" i="16"/>
  <c r="AE44" i="16" s="1"/>
  <c r="O44" i="16"/>
  <c r="AG44" i="16"/>
  <c r="Y47" i="16"/>
  <c r="V47" i="16"/>
  <c r="C26" i="16"/>
  <c r="C51" i="16" s="1"/>
  <c r="O23" i="16"/>
  <c r="AJ23" i="16"/>
  <c r="I28" i="16"/>
  <c r="I49" i="16" s="1"/>
  <c r="AI28" i="16"/>
  <c r="AI29" i="16"/>
  <c r="AG35" i="16"/>
  <c r="AM35" i="16" s="1"/>
  <c r="V44" i="16"/>
  <c r="Y44" i="16"/>
  <c r="AI5" i="1"/>
  <c r="W5" i="1"/>
  <c r="O5" i="1"/>
  <c r="AG5" i="1"/>
  <c r="K49" i="16"/>
  <c r="F10" i="6" s="1"/>
  <c r="N28" i="16"/>
  <c r="W28" i="16"/>
  <c r="O29" i="16"/>
  <c r="W30" i="16"/>
  <c r="AE30" i="16" s="1"/>
  <c r="O30" i="16"/>
  <c r="AG30" i="16"/>
  <c r="AM30" i="16" s="1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N10" i="6" s="1"/>
  <c r="AK31" i="16"/>
  <c r="R31" i="16"/>
  <c r="AJ31" i="16"/>
  <c r="V33" i="16"/>
  <c r="Y33" i="16"/>
  <c r="V35" i="16"/>
  <c r="AE35" i="16"/>
  <c r="Y35" i="16"/>
  <c r="AE36" i="16"/>
  <c r="Y36" i="16"/>
  <c r="Y42" i="16"/>
  <c r="V42" i="16"/>
  <c r="AJ18" i="17"/>
  <c r="R34" i="17"/>
  <c r="AK34" i="17"/>
  <c r="AJ35" i="17"/>
  <c r="Y21" i="16"/>
  <c r="P49" i="16"/>
  <c r="AJ28" i="16"/>
  <c r="Z49" i="16"/>
  <c r="M10" i="6" s="1"/>
  <c r="AI30" i="16"/>
  <c r="AE23" i="16"/>
  <c r="V30" i="16"/>
  <c r="Y34" i="16"/>
  <c r="V34" i="16"/>
  <c r="AE34" i="16"/>
  <c r="AI39" i="16"/>
  <c r="W39" i="16"/>
  <c r="AE39" i="16" s="1"/>
  <c r="O39" i="16"/>
  <c r="AG39" i="16"/>
  <c r="AM39" i="16" s="1"/>
  <c r="AG28" i="16"/>
  <c r="AK32" i="16"/>
  <c r="R32" i="16"/>
  <c r="AJ32" i="16"/>
  <c r="Y37" i="16"/>
  <c r="V37" i="16"/>
  <c r="Y39" i="16"/>
  <c r="U20" i="17"/>
  <c r="AD20" i="17" s="1"/>
  <c r="R46" i="17"/>
  <c r="AK46" i="17"/>
  <c r="AJ47" i="17"/>
  <c r="AK3" i="16"/>
  <c r="AK22" i="16"/>
  <c r="R22" i="16"/>
  <c r="AJ22" i="16"/>
  <c r="V23" i="16"/>
  <c r="S49" i="16"/>
  <c r="I10" i="6" s="1"/>
  <c r="AG29" i="16"/>
  <c r="AM29" i="16" s="1"/>
  <c r="Y30" i="16"/>
  <c r="AI47" i="16"/>
  <c r="W47" i="16"/>
  <c r="AE47" i="16" s="1"/>
  <c r="O47" i="16"/>
  <c r="J60" i="16"/>
  <c r="AA27" i="1"/>
  <c r="AA53" i="1" s="1"/>
  <c r="R4" i="1"/>
  <c r="R26" i="1" s="1"/>
  <c r="U13" i="1"/>
  <c r="AJ35" i="16"/>
  <c r="R38" i="16"/>
  <c r="R40" i="16"/>
  <c r="R41" i="16"/>
  <c r="R43" i="16"/>
  <c r="AI3" i="1"/>
  <c r="W3" i="1"/>
  <c r="O3" i="1"/>
  <c r="Y6" i="1"/>
  <c r="AK35" i="16"/>
  <c r="V38" i="16"/>
  <c r="AJ7" i="1"/>
  <c r="AI12" i="1"/>
  <c r="AG12" i="1"/>
  <c r="AM12" i="1" s="1"/>
  <c r="AJ36" i="16"/>
  <c r="AK45" i="16"/>
  <c r="R45" i="16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I26" i="1"/>
  <c r="U3" i="1"/>
  <c r="AJ4" i="1"/>
  <c r="AG7" i="1"/>
  <c r="AM7" i="1" s="1"/>
  <c r="AI7" i="1"/>
  <c r="AK10" i="1"/>
  <c r="R10" i="1"/>
  <c r="O36" i="16"/>
  <c r="AJ41" i="16"/>
  <c r="AJ43" i="16"/>
  <c r="V46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I8" i="6" s="1"/>
  <c r="K8" i="6" s="1"/>
  <c r="Y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F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A27" i="5"/>
  <c r="AA53" i="5" s="1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H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M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J6" i="6" s="1"/>
  <c r="K6" i="6" s="1"/>
  <c r="Y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F6" i="6" s="1"/>
  <c r="N28" i="5"/>
  <c r="AK35" i="5"/>
  <c r="R35" i="5"/>
  <c r="AJ35" i="5"/>
  <c r="R36" i="5"/>
  <c r="Y38" i="5"/>
  <c r="Y46" i="5"/>
  <c r="X49" i="5"/>
  <c r="N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H6" i="6" s="1"/>
  <c r="Z49" i="5"/>
  <c r="M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F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H4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Y41" i="17" l="1"/>
  <c r="AD41" i="17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Y7" i="17"/>
  <c r="AD7" i="17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AD39" i="18"/>
  <c r="AE39" i="18" s="1"/>
  <c r="AL39" i="18" s="1" a="1"/>
  <c r="AL39" i="18" s="1"/>
  <c r="AP39" i="18" s="1"/>
  <c r="Y19" i="18"/>
  <c r="AD19" i="18"/>
  <c r="Y6" i="18"/>
  <c r="AD6" i="18"/>
  <c r="Y34" i="18"/>
  <c r="AD34" i="18"/>
  <c r="Y31" i="18"/>
  <c r="AD31" i="18"/>
  <c r="Y18" i="18"/>
  <c r="AD18" i="18"/>
  <c r="Y41" i="18"/>
  <c r="AD41" i="18"/>
  <c r="Y43" i="18"/>
  <c r="AD43" i="18"/>
  <c r="Y32" i="18"/>
  <c r="AD32" i="18"/>
  <c r="Y45" i="18"/>
  <c r="AD45" i="18"/>
  <c r="Y46" i="18"/>
  <c r="AD46" i="18"/>
  <c r="Y12" i="18"/>
  <c r="AD12" i="18"/>
  <c r="Y38" i="18"/>
  <c r="AD38" i="18"/>
  <c r="Y22" i="18"/>
  <c r="AD22" i="18"/>
  <c r="Y35" i="18"/>
  <c r="AD35" i="18"/>
  <c r="Y15" i="18"/>
  <c r="AD15" i="18"/>
  <c r="Y20" i="18"/>
  <c r="AD20" i="18"/>
  <c r="Y13" i="18"/>
  <c r="AD13" i="18"/>
  <c r="AL23" i="16" a="1"/>
  <c r="AL23" i="16" s="1"/>
  <c r="C18" i="9"/>
  <c r="AL33" i="16" a="1"/>
  <c r="AL33" i="16" s="1"/>
  <c r="C33" i="9"/>
  <c r="AL11" i="16" a="1"/>
  <c r="AL11" i="16" s="1"/>
  <c r="C21" i="9"/>
  <c r="AL10" i="16" a="1"/>
  <c r="AL10" i="16" s="1"/>
  <c r="C20" i="9"/>
  <c r="AL13" i="16" a="1"/>
  <c r="AL13" i="16" s="1"/>
  <c r="C10" i="9"/>
  <c r="AL24" i="16" a="1"/>
  <c r="AL24" i="16" s="1"/>
  <c r="C19" i="9"/>
  <c r="AL35" i="16" a="1"/>
  <c r="AL35" i="16" s="1"/>
  <c r="C38" i="9"/>
  <c r="AL39" i="16" a="1"/>
  <c r="AL39" i="16" s="1"/>
  <c r="C39" i="9"/>
  <c r="AL21" i="16" a="1"/>
  <c r="AL21" i="16" s="1"/>
  <c r="C16" i="9"/>
  <c r="AL44" i="16" a="1"/>
  <c r="AL44" i="16" s="1"/>
  <c r="C49" i="9"/>
  <c r="AL34" i="16" a="1"/>
  <c r="AL34" i="16" s="1"/>
  <c r="C37" i="9"/>
  <c r="AL16" i="16" a="1"/>
  <c r="AL16" i="16" s="1"/>
  <c r="C23" i="9"/>
  <c r="AL7" i="16" a="1"/>
  <c r="AL7" i="16" s="1"/>
  <c r="AP7" i="16" s="1"/>
  <c r="C5" i="9"/>
  <c r="AL19" i="16" a="1"/>
  <c r="AL19" i="16" s="1"/>
  <c r="C6" i="9"/>
  <c r="AL36" i="16" a="1"/>
  <c r="AL36" i="16" s="1"/>
  <c r="C45" i="9"/>
  <c r="AL30" i="16" a="1"/>
  <c r="AL30" i="16" s="1"/>
  <c r="C35" i="9"/>
  <c r="AL17" i="16" a="1"/>
  <c r="AL17" i="16" s="1"/>
  <c r="C13" i="9"/>
  <c r="AL47" i="16" a="1"/>
  <c r="AL47" i="16" s="1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N28" i="18"/>
  <c r="K49" i="18"/>
  <c r="K50" i="9"/>
  <c r="L4" i="9"/>
  <c r="M4" i="9" s="1"/>
  <c r="G4" i="9" s="1"/>
  <c r="K26" i="9"/>
  <c r="K50" i="8"/>
  <c r="L32" i="8"/>
  <c r="M32" i="8" s="1"/>
  <c r="K26" i="7"/>
  <c r="L5" i="11"/>
  <c r="M5" i="11" s="1"/>
  <c r="K26" i="11"/>
  <c r="W24" i="18"/>
  <c r="AE24" i="18" s="1"/>
  <c r="AL24" i="18" s="1" a="1"/>
  <c r="AL24" i="18" s="1"/>
  <c r="AP24" i="18" s="1"/>
  <c r="AG24" i="18"/>
  <c r="AM24" i="18" s="1"/>
  <c r="AI24" i="18"/>
  <c r="Y42" i="18"/>
  <c r="Y21" i="18"/>
  <c r="AG23" i="18"/>
  <c r="AM23" i="18" s="1"/>
  <c r="AI23" i="18"/>
  <c r="O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T51" i="18"/>
  <c r="Y44" i="18"/>
  <c r="R45" i="18"/>
  <c r="AG45" i="18" s="1"/>
  <c r="Y11" i="18"/>
  <c r="W7" i="18"/>
  <c r="AE7" i="18" s="1"/>
  <c r="AL7" i="18" s="1" a="1"/>
  <c r="AL7" i="18" s="1"/>
  <c r="AP7" i="18" s="1"/>
  <c r="AI7" i="18"/>
  <c r="Y40" i="18"/>
  <c r="Y23" i="18"/>
  <c r="Y36" i="18"/>
  <c r="W31" i="18"/>
  <c r="Z49" i="18"/>
  <c r="Z51" i="18" s="1"/>
  <c r="AG10" i="18"/>
  <c r="AM10" i="18" s="1"/>
  <c r="Y5" i="18"/>
  <c r="AI40" i="18"/>
  <c r="W30" i="18"/>
  <c r="AE30" i="18" s="1"/>
  <c r="AL30" i="18" s="1" a="1"/>
  <c r="AL30" i="18" s="1"/>
  <c r="AP30" i="18" s="1"/>
  <c r="AI39" i="18"/>
  <c r="AI10" i="18"/>
  <c r="Y4" i="18"/>
  <c r="AG39" i="18"/>
  <c r="AM39" i="18" s="1"/>
  <c r="W40" i="18"/>
  <c r="AE40" i="18" s="1"/>
  <c r="AL40" i="18" s="1" a="1"/>
  <c r="AL40" i="18" s="1"/>
  <c r="AP40" i="18" s="1"/>
  <c r="AI30" i="18"/>
  <c r="O31" i="18"/>
  <c r="AG40" i="18"/>
  <c r="AM40" i="18" s="1"/>
  <c r="O10" i="18"/>
  <c r="O30" i="18"/>
  <c r="O39" i="18"/>
  <c r="AG34" i="18"/>
  <c r="AG31" i="18"/>
  <c r="AI45" i="17"/>
  <c r="W45" i="17"/>
  <c r="AJ8" i="18"/>
  <c r="AI34" i="18"/>
  <c r="Y33" i="18"/>
  <c r="Y16" i="18"/>
  <c r="Y3" i="18"/>
  <c r="Y30" i="18"/>
  <c r="Y8" i="18"/>
  <c r="Y24" i="18"/>
  <c r="Y47" i="18"/>
  <c r="W34" i="18"/>
  <c r="AG7" i="18"/>
  <c r="Y7" i="18"/>
  <c r="O12" i="17"/>
  <c r="AJ12" i="18"/>
  <c r="Y10" i="18"/>
  <c r="O12" i="18"/>
  <c r="W32" i="18"/>
  <c r="W12" i="18"/>
  <c r="AI32" i="18"/>
  <c r="X51" i="18"/>
  <c r="AJ13" i="18"/>
  <c r="AK13" i="18"/>
  <c r="AG20" i="18"/>
  <c r="AK20" i="18"/>
  <c r="O20" i="18"/>
  <c r="W20" i="18"/>
  <c r="AJ20" i="18"/>
  <c r="AG4" i="18"/>
  <c r="O4" i="18"/>
  <c r="W6" i="18"/>
  <c r="W4" i="18"/>
  <c r="AE4" i="18" s="1"/>
  <c r="AL4" i="18" s="1" a="1"/>
  <c r="AL4" i="18" s="1"/>
  <c r="AP4" i="18" s="1"/>
  <c r="O6" i="18"/>
  <c r="AG6" i="18"/>
  <c r="W47" i="17"/>
  <c r="AI12" i="18"/>
  <c r="AE10" i="18"/>
  <c r="AL10" i="18" s="1" a="1"/>
  <c r="AL10" i="18" s="1"/>
  <c r="AP10" i="18" s="1"/>
  <c r="O47" i="17"/>
  <c r="AG47" i="17"/>
  <c r="AM47" i="17" s="1"/>
  <c r="AE14" i="17"/>
  <c r="AL14" i="17" s="1" a="1"/>
  <c r="AL14" i="17" s="1"/>
  <c r="AP14" i="17" s="1"/>
  <c r="AK12" i="18"/>
  <c r="AG44" i="17"/>
  <c r="AM44" i="17" s="1"/>
  <c r="AG32" i="18"/>
  <c r="AM32" i="18" s="1"/>
  <c r="AK32" i="18"/>
  <c r="AJ32" i="18"/>
  <c r="AJ18" i="18"/>
  <c r="Y38" i="17"/>
  <c r="Y12" i="17"/>
  <c r="O45" i="17"/>
  <c r="Y6" i="17"/>
  <c r="R18" i="18"/>
  <c r="AI18" i="18" s="1"/>
  <c r="S51" i="18"/>
  <c r="AE23" i="18"/>
  <c r="AL23" i="18" s="1" a="1"/>
  <c r="AL23" i="18" s="1"/>
  <c r="AP23" i="18" s="1"/>
  <c r="R33" i="18"/>
  <c r="AG33" i="18" s="1"/>
  <c r="O14" i="18"/>
  <c r="AK41" i="18"/>
  <c r="AG14" i="18"/>
  <c r="R41" i="18"/>
  <c r="AI41" i="18" s="1"/>
  <c r="AG11" i="18"/>
  <c r="AM11" i="18" s="1"/>
  <c r="W14" i="18"/>
  <c r="AE14" i="18" s="1"/>
  <c r="AL14" i="18" s="1" a="1"/>
  <c r="AL14" i="18" s="1"/>
  <c r="AP14" i="18" s="1"/>
  <c r="AE41" i="17"/>
  <c r="AL41" i="17" s="1" a="1"/>
  <c r="AL41" i="17" s="1"/>
  <c r="AN41" i="17" s="1"/>
  <c r="AK11" i="18"/>
  <c r="AJ11" i="18"/>
  <c r="O11" i="18"/>
  <c r="W11" i="18"/>
  <c r="AE11" i="18" s="1"/>
  <c r="AL11" i="18" s="1" a="1"/>
  <c r="AL11" i="18" s="1"/>
  <c r="AP11" i="18" s="1"/>
  <c r="Y8" i="17"/>
  <c r="W29" i="17"/>
  <c r="W6" i="17"/>
  <c r="AE6" i="17" s="1"/>
  <c r="AL6" i="17" s="1" a="1"/>
  <c r="AL6" i="17" s="1"/>
  <c r="O6" i="17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E7" i="17"/>
  <c r="AL7" i="17" s="1" a="1"/>
  <c r="AL7" i="17" s="1"/>
  <c r="AP7" i="17" s="1"/>
  <c r="O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W37" i="18" s="1"/>
  <c r="R38" i="18"/>
  <c r="AG38" i="18" s="1"/>
  <c r="AM38" i="18" s="1"/>
  <c r="R15" i="18"/>
  <c r="AK15" i="18"/>
  <c r="Y36" i="17"/>
  <c r="W16" i="17"/>
  <c r="Y46" i="17"/>
  <c r="K12" i="6"/>
  <c r="O29" i="17"/>
  <c r="Y30" i="17"/>
  <c r="AI29" i="17"/>
  <c r="AI12" i="17"/>
  <c r="Y17" i="17"/>
  <c r="AI16" i="17"/>
  <c r="Y31" i="17"/>
  <c r="O16" i="17"/>
  <c r="W12" i="17"/>
  <c r="AE12" i="17" s="1"/>
  <c r="AL12" i="17" s="1" a="1"/>
  <c r="AL12" i="17" s="1"/>
  <c r="AP12" i="17" s="1"/>
  <c r="W4" i="17"/>
  <c r="AI6" i="17"/>
  <c r="W20" i="17"/>
  <c r="O35" i="17"/>
  <c r="AI20" i="17"/>
  <c r="AG41" i="17"/>
  <c r="AM41" i="17" s="1"/>
  <c r="AG20" i="17"/>
  <c r="AM20" i="17" s="1"/>
  <c r="O41" i="17"/>
  <c r="AI41" i="17"/>
  <c r="AI35" i="17"/>
  <c r="AG35" i="17"/>
  <c r="AM35" i="17" s="1"/>
  <c r="AI33" i="17"/>
  <c r="AI4" i="17"/>
  <c r="O7" i="17"/>
  <c r="AG7" i="17"/>
  <c r="AM7" i="17" s="1"/>
  <c r="AI7" i="17"/>
  <c r="Y10" i="17"/>
  <c r="AG4" i="17"/>
  <c r="AM4" i="17" s="1"/>
  <c r="AG19" i="17"/>
  <c r="AM19" i="17" s="1"/>
  <c r="O33" i="17"/>
  <c r="W33" i="17"/>
  <c r="W28" i="17"/>
  <c r="Y42" i="17"/>
  <c r="O14" i="17"/>
  <c r="O19" i="17"/>
  <c r="AJ48" i="17"/>
  <c r="AI28" i="17"/>
  <c r="O39" i="17"/>
  <c r="Y18" i="17"/>
  <c r="AG14" i="17"/>
  <c r="AM14" i="17" s="1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O10" i="17"/>
  <c r="AJ25" i="17"/>
  <c r="AI31" i="17"/>
  <c r="W31" i="17"/>
  <c r="AE31" i="17" s="1"/>
  <c r="AL31" i="17" s="1" a="1"/>
  <c r="AL31" i="17" s="1"/>
  <c r="O31" i="17"/>
  <c r="AI44" i="17"/>
  <c r="W44" i="17"/>
  <c r="AI43" i="17"/>
  <c r="O43" i="17"/>
  <c r="W43" i="17"/>
  <c r="AG18" i="17"/>
  <c r="AM18" i="17" s="1"/>
  <c r="W18" i="17"/>
  <c r="AE18" i="17" s="1"/>
  <c r="AL18" i="17" s="1" a="1"/>
  <c r="AL18" i="17" s="1"/>
  <c r="AP18" i="17" s="1"/>
  <c r="O18" i="17"/>
  <c r="AG11" i="17"/>
  <c r="AM11" i="17" s="1"/>
  <c r="O11" i="17"/>
  <c r="AI11" i="17"/>
  <c r="AN20" i="15"/>
  <c r="AP11" i="19"/>
  <c r="AN11" i="19"/>
  <c r="AP23" i="5"/>
  <c r="AP46" i="1"/>
  <c r="AN46" i="1"/>
  <c r="AP7" i="1"/>
  <c r="AN7" i="1"/>
  <c r="AP17" i="16"/>
  <c r="AN17" i="16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47" i="16"/>
  <c r="AN47" i="16"/>
  <c r="AP11" i="16"/>
  <c r="AN11" i="16"/>
  <c r="AP24" i="19"/>
  <c r="AN24" i="19"/>
  <c r="AN6" i="5"/>
  <c r="AP5" i="1"/>
  <c r="AN5" i="1"/>
  <c r="AP36" i="16"/>
  <c r="AN36" i="16"/>
  <c r="AP29" i="16"/>
  <c r="AN29" i="16"/>
  <c r="I59" i="17"/>
  <c r="J59" i="17" s="1"/>
  <c r="J58" i="17"/>
  <c r="J60" i="17"/>
  <c r="U51" i="16"/>
  <c r="Y26" i="16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6"/>
  <c r="AN23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24" i="16"/>
  <c r="AN24" i="16"/>
  <c r="AP21" i="16"/>
  <c r="AN21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6" i="16"/>
  <c r="AN16" i="16"/>
  <c r="AP19" i="19"/>
  <c r="AN19" i="19"/>
  <c r="AP21" i="19"/>
  <c r="AN21" i="19"/>
  <c r="AP44" i="1"/>
  <c r="AN44" i="1"/>
  <c r="AP17" i="19"/>
  <c r="AN17" i="19"/>
  <c r="AP44" i="16"/>
  <c r="AN44" i="16"/>
  <c r="AP13" i="16"/>
  <c r="AN13" i="16"/>
  <c r="AP19" i="16"/>
  <c r="AN19" i="16"/>
  <c r="AP10" i="16"/>
  <c r="AN10" i="16"/>
  <c r="AP29" i="19"/>
  <c r="AN29" i="19"/>
  <c r="AI30" i="1"/>
  <c r="W30" i="1"/>
  <c r="AE30" i="1" s="1"/>
  <c r="O30" i="1"/>
  <c r="AG30" i="1"/>
  <c r="AM30" i="1" s="1"/>
  <c r="AG46" i="17"/>
  <c r="AM46" i="17" s="1"/>
  <c r="O46" i="17"/>
  <c r="W46" i="17"/>
  <c r="AE46" i="17" s="1"/>
  <c r="AL46" i="17" s="1" a="1"/>
  <c r="AL46" i="17" s="1"/>
  <c r="AI46" i="17"/>
  <c r="O36" i="17"/>
  <c r="AG36" i="17"/>
  <c r="AM36" i="17" s="1"/>
  <c r="W36" i="17"/>
  <c r="AE36" i="17" s="1"/>
  <c r="AL36" i="17" s="1" a="1"/>
  <c r="AL36" i="17" s="1"/>
  <c r="AI36" i="17"/>
  <c r="X51" i="16"/>
  <c r="Y51" i="16" s="1"/>
  <c r="N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F5" i="6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O37" i="17"/>
  <c r="AG37" i="17"/>
  <c r="AM37" i="17" s="1"/>
  <c r="AI37" i="17"/>
  <c r="Y49" i="16"/>
  <c r="V40" i="16"/>
  <c r="V21" i="16"/>
  <c r="V6" i="16"/>
  <c r="V13" i="16"/>
  <c r="V7" i="16"/>
  <c r="AI23" i="17"/>
  <c r="W23" i="17"/>
  <c r="O23" i="17"/>
  <c r="AG23" i="17"/>
  <c r="AM23" i="17" s="1"/>
  <c r="Q51" i="16"/>
  <c r="H9" i="6"/>
  <c r="U26" i="17"/>
  <c r="Y3" i="17"/>
  <c r="K51" i="16"/>
  <c r="F9" i="6"/>
  <c r="AN7" i="16"/>
  <c r="U49" i="19"/>
  <c r="AE28" i="19"/>
  <c r="Y28" i="19"/>
  <c r="Y38" i="19"/>
  <c r="V38" i="19"/>
  <c r="AI13" i="18"/>
  <c r="W13" i="18"/>
  <c r="O13" i="18"/>
  <c r="AG13" i="18"/>
  <c r="AN40" i="19"/>
  <c r="AG46" i="18"/>
  <c r="AM46" i="18" s="1"/>
  <c r="O46" i="18"/>
  <c r="W46" i="18"/>
  <c r="AI46" i="18"/>
  <c r="AI31" i="19"/>
  <c r="AI48" i="19" s="1"/>
  <c r="W31" i="19"/>
  <c r="AE31" i="19" s="1"/>
  <c r="AL31" i="19" s="1" a="1"/>
  <c r="AL31" i="19" s="1"/>
  <c r="O31" i="19"/>
  <c r="AG31" i="19"/>
  <c r="AM31" i="19" s="1"/>
  <c r="AI38" i="19"/>
  <c r="W38" i="19"/>
  <c r="AE38" i="19" s="1"/>
  <c r="AL38" i="19" s="1" a="1"/>
  <c r="AL38" i="19" s="1"/>
  <c r="O38" i="19"/>
  <c r="AG38" i="19"/>
  <c r="AM38" i="19" s="1"/>
  <c r="AI4" i="19"/>
  <c r="W4" i="19"/>
  <c r="AE4" i="19" s="1"/>
  <c r="AL4" i="19" s="1" a="1"/>
  <c r="AL4" i="19" s="1"/>
  <c r="O4" i="19"/>
  <c r="AG4" i="19"/>
  <c r="AM4" i="19" s="1"/>
  <c r="AG42" i="18"/>
  <c r="O42" i="18"/>
  <c r="AI42" i="18"/>
  <c r="W42" i="18"/>
  <c r="AE42" i="18" s="1"/>
  <c r="AL42" i="18" s="1" a="1"/>
  <c r="AL42" i="18" s="1"/>
  <c r="AI6" i="19"/>
  <c r="W6" i="19"/>
  <c r="AE6" i="19" s="1"/>
  <c r="AL6" i="19" s="1" a="1"/>
  <c r="AL6" i="19" s="1"/>
  <c r="O6" i="19"/>
  <c r="AG6" i="19"/>
  <c r="M4" i="7"/>
  <c r="G4" i="7" s="1"/>
  <c r="L5" i="7"/>
  <c r="M5" i="7" s="1"/>
  <c r="E33" i="10"/>
  <c r="F32" i="12"/>
  <c r="E33" i="12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AP35" i="16"/>
  <c r="AN35" i="16"/>
  <c r="Q51" i="15"/>
  <c r="H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I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O22" i="17"/>
  <c r="W22" i="17"/>
  <c r="V17" i="16"/>
  <c r="P51" i="16"/>
  <c r="AA26" i="16"/>
  <c r="G9" i="6"/>
  <c r="AG5" i="17"/>
  <c r="AM5" i="17" s="1"/>
  <c r="AI5" i="17"/>
  <c r="W5" i="17"/>
  <c r="O5" i="17"/>
  <c r="S51" i="17"/>
  <c r="I11" i="6"/>
  <c r="P51" i="17"/>
  <c r="AA26" i="17" s="1"/>
  <c r="G11" i="6"/>
  <c r="Y47" i="17"/>
  <c r="AK48" i="17"/>
  <c r="Y37" i="18"/>
  <c r="Y29" i="18"/>
  <c r="AI21" i="18"/>
  <c r="W21" i="18"/>
  <c r="AE21" i="18" s="1"/>
  <c r="AL21" i="18" s="1" a="1"/>
  <c r="AL21" i="18" s="1"/>
  <c r="O21" i="18"/>
  <c r="AG21" i="18"/>
  <c r="AM21" i="18" s="1"/>
  <c r="Y35" i="19"/>
  <c r="V35" i="19"/>
  <c r="AE35" i="19"/>
  <c r="AL35" i="19" s="1" a="1"/>
  <c r="AL35" i="19" s="1"/>
  <c r="AI40" i="17"/>
  <c r="W40" i="17"/>
  <c r="AG40" i="17"/>
  <c r="AM40" i="17" s="1"/>
  <c r="O40" i="17"/>
  <c r="AN10" i="19"/>
  <c r="AI8" i="19"/>
  <c r="W8" i="19"/>
  <c r="AE8" i="19" s="1"/>
  <c r="AL8" i="19" s="1" a="1"/>
  <c r="AL8" i="19" s="1"/>
  <c r="O8" i="19"/>
  <c r="AG8" i="19"/>
  <c r="AM8" i="19" s="1"/>
  <c r="AM12" i="19"/>
  <c r="AE36" i="19"/>
  <c r="AL36" i="19" s="1" a="1"/>
  <c r="AL36" i="19" s="1"/>
  <c r="E9" i="12"/>
  <c r="AG36" i="5"/>
  <c r="AM36" i="5" s="1"/>
  <c r="O36" i="5"/>
  <c r="W36" i="5"/>
  <c r="AE36" i="5" s="1"/>
  <c r="AI36" i="5"/>
  <c r="Q51" i="5"/>
  <c r="H5" i="6"/>
  <c r="X51" i="5"/>
  <c r="N5" i="6"/>
  <c r="Z51" i="1"/>
  <c r="M7" i="6"/>
  <c r="W31" i="16"/>
  <c r="AE31" i="16" s="1"/>
  <c r="O31" i="16"/>
  <c r="AG31" i="16"/>
  <c r="AI31" i="16"/>
  <c r="AI48" i="16" s="1"/>
  <c r="AI42" i="17"/>
  <c r="W42" i="17"/>
  <c r="AE42" i="17" s="1"/>
  <c r="AL42" i="17" s="1" a="1"/>
  <c r="AL42" i="17" s="1"/>
  <c r="O42" i="17"/>
  <c r="AG42" i="17"/>
  <c r="AM42" i="17" s="1"/>
  <c r="K26" i="13"/>
  <c r="L4" i="13"/>
  <c r="M4" i="13" s="1"/>
  <c r="G4" i="13" s="1"/>
  <c r="D50" i="13"/>
  <c r="E30" i="13"/>
  <c r="F30" i="13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N7" i="6"/>
  <c r="W10" i="1"/>
  <c r="AE10" i="1" s="1"/>
  <c r="C22" i="8" s="1"/>
  <c r="O10" i="1"/>
  <c r="AG10" i="1"/>
  <c r="AM10" i="1" s="1"/>
  <c r="AI10" i="1"/>
  <c r="AA49" i="16"/>
  <c r="R10" i="6" s="1"/>
  <c r="G10" i="6"/>
  <c r="AG13" i="17"/>
  <c r="AM13" i="17" s="1"/>
  <c r="AI13" i="17"/>
  <c r="W13" i="17"/>
  <c r="O13" i="17"/>
  <c r="AM19" i="16"/>
  <c r="O38" i="17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O17" i="17"/>
  <c r="Y23" i="17"/>
  <c r="AI29" i="18"/>
  <c r="W29" i="18"/>
  <c r="O29" i="18"/>
  <c r="AG29" i="18"/>
  <c r="AM29" i="18" s="1"/>
  <c r="AI9" i="18"/>
  <c r="W9" i="18"/>
  <c r="O9" i="18"/>
  <c r="AG9" i="18"/>
  <c r="O15" i="16"/>
  <c r="AI15" i="16"/>
  <c r="W15" i="16"/>
  <c r="AE15" i="16" s="1"/>
  <c r="C22" i="9" s="1"/>
  <c r="AG15" i="16"/>
  <c r="AM15" i="16" s="1"/>
  <c r="AL15" i="16" a="1"/>
  <c r="AL15" i="16" s="1"/>
  <c r="V4" i="16"/>
  <c r="AK48" i="19"/>
  <c r="AP30" i="19"/>
  <c r="AN30" i="19"/>
  <c r="X51" i="19"/>
  <c r="I51" i="19"/>
  <c r="E11" i="12"/>
  <c r="L6" i="13"/>
  <c r="M6" i="13" s="1"/>
  <c r="G6" i="13" s="1"/>
  <c r="E7" i="10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N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M3" i="6"/>
  <c r="P51" i="15"/>
  <c r="G3" i="6"/>
  <c r="K51" i="15"/>
  <c r="AM5" i="15"/>
  <c r="G6" i="6"/>
  <c r="T51" i="5"/>
  <c r="J5" i="6"/>
  <c r="W33" i="5"/>
  <c r="AE33" i="5" s="1"/>
  <c r="O33" i="5"/>
  <c r="AI33" i="5"/>
  <c r="AG33" i="5"/>
  <c r="AM33" i="5" s="1"/>
  <c r="R49" i="5"/>
  <c r="AK25" i="5"/>
  <c r="AM14" i="5"/>
  <c r="AM38" i="1"/>
  <c r="Q51" i="1"/>
  <c r="H7" i="6"/>
  <c r="U49" i="1"/>
  <c r="V11" i="1" s="1"/>
  <c r="Y28" i="1"/>
  <c r="V28" i="1"/>
  <c r="V18" i="1"/>
  <c r="Y18" i="1"/>
  <c r="AE18" i="1"/>
  <c r="P51" i="1"/>
  <c r="AA49" i="1" s="1"/>
  <c r="R8" i="6" s="1"/>
  <c r="AE8" i="6" s="1"/>
  <c r="AA26" i="1"/>
  <c r="G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AE8" i="16"/>
  <c r="Y8" i="16"/>
  <c r="V8" i="16"/>
  <c r="S51" i="16"/>
  <c r="I9" i="6"/>
  <c r="K9" i="6" s="1"/>
  <c r="Y9" i="6" s="1"/>
  <c r="AG20" i="16"/>
  <c r="AM20" i="16" s="1"/>
  <c r="AI20" i="16"/>
  <c r="W20" i="16"/>
  <c r="AE20" i="16" s="1"/>
  <c r="O20" i="16"/>
  <c r="V22" i="16"/>
  <c r="V16" i="16"/>
  <c r="Y13" i="17"/>
  <c r="O32" i="17"/>
  <c r="AI32" i="17"/>
  <c r="AG32" i="17"/>
  <c r="AM32" i="17" s="1"/>
  <c r="W32" i="17"/>
  <c r="AJ25" i="16"/>
  <c r="V18" i="16"/>
  <c r="AM7" i="16"/>
  <c r="O15" i="17"/>
  <c r="W15" i="17"/>
  <c r="AG15" i="17"/>
  <c r="AM15" i="17" s="1"/>
  <c r="AI15" i="17"/>
  <c r="X51" i="17"/>
  <c r="N11" i="6"/>
  <c r="Y9" i="18"/>
  <c r="AI45" i="19"/>
  <c r="W45" i="19"/>
  <c r="AE45" i="19" s="1"/>
  <c r="AL45" i="19" s="1" a="1"/>
  <c r="AL45" i="19" s="1"/>
  <c r="O45" i="19"/>
  <c r="AG45" i="19"/>
  <c r="AJ48" i="19"/>
  <c r="V10" i="16"/>
  <c r="P51" i="19"/>
  <c r="AA26" i="19"/>
  <c r="AM14" i="19"/>
  <c r="L33" i="8"/>
  <c r="M33" i="8" s="1"/>
  <c r="G30" i="8" s="1"/>
  <c r="K26" i="12"/>
  <c r="L4" i="12"/>
  <c r="M4" i="12" s="1"/>
  <c r="G4" i="12" s="1"/>
  <c r="E5" i="13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O24" i="17"/>
  <c r="W24" i="17"/>
  <c r="AI17" i="18"/>
  <c r="W17" i="18"/>
  <c r="O17" i="18"/>
  <c r="AG17" i="18"/>
  <c r="AM17" i="18" s="1"/>
  <c r="U26" i="18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M5" i="6"/>
  <c r="P51" i="5"/>
  <c r="AA26" i="5" s="1"/>
  <c r="G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M13" i="16"/>
  <c r="AD49" i="16"/>
  <c r="AI8" i="17"/>
  <c r="W8" i="17"/>
  <c r="AE8" i="17" s="1"/>
  <c r="AL8" i="17" s="1" a="1"/>
  <c r="AL8" i="17" s="1"/>
  <c r="O8" i="17"/>
  <c r="AG8" i="17"/>
  <c r="AM8" i="17" s="1"/>
  <c r="V9" i="16"/>
  <c r="Z51" i="16"/>
  <c r="M9" i="6"/>
  <c r="T51" i="17"/>
  <c r="J11" i="6"/>
  <c r="AG21" i="17"/>
  <c r="AM21" i="17" s="1"/>
  <c r="AI21" i="17"/>
  <c r="W21" i="17"/>
  <c r="O21" i="17"/>
  <c r="J58" i="18"/>
  <c r="U49" i="18"/>
  <c r="V9" i="18" s="1"/>
  <c r="Y28" i="18"/>
  <c r="AE4" i="16"/>
  <c r="AI37" i="19"/>
  <c r="W37" i="19"/>
  <c r="AE37" i="19" s="1"/>
  <c r="AL37" i="19" s="1" a="1"/>
  <c r="AL37" i="19" s="1"/>
  <c r="O37" i="19"/>
  <c r="AG37" i="19"/>
  <c r="AM37" i="19" s="1"/>
  <c r="AI43" i="18"/>
  <c r="W43" i="18"/>
  <c r="O43" i="18"/>
  <c r="AG43" i="18"/>
  <c r="AM43" i="18" s="1"/>
  <c r="AM42" i="19"/>
  <c r="U49" i="17"/>
  <c r="V3" i="17" s="1"/>
  <c r="V26" i="17" s="1"/>
  <c r="Y9" i="19"/>
  <c r="AE9" i="19"/>
  <c r="AL9" i="19" s="1" a="1"/>
  <c r="AL9" i="19" s="1"/>
  <c r="V9" i="19"/>
  <c r="L6" i="7"/>
  <c r="AM16" i="19"/>
  <c r="L5" i="12"/>
  <c r="M5" i="12" s="1"/>
  <c r="G5" i="12" s="1"/>
  <c r="L5" i="13"/>
  <c r="M5" i="13" s="1"/>
  <c r="G5" i="13" s="1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O5" i="19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L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O3" i="17"/>
  <c r="W3" i="17"/>
  <c r="AE3" i="16"/>
  <c r="C4" i="9" s="1"/>
  <c r="Y5" i="16"/>
  <c r="AD26" i="16"/>
  <c r="AD51" i="16" s="1"/>
  <c r="V5" i="16"/>
  <c r="AI47" i="19"/>
  <c r="W47" i="19"/>
  <c r="AE47" i="19" s="1"/>
  <c r="AL47" i="19" s="1" a="1"/>
  <c r="AL47" i="19" s="1"/>
  <c r="O47" i="19"/>
  <c r="AG47" i="19"/>
  <c r="AM47" i="19" s="1"/>
  <c r="AI41" i="19"/>
  <c r="W41" i="19"/>
  <c r="AE41" i="19" s="1"/>
  <c r="AL41" i="19" s="1" a="1"/>
  <c r="AL41" i="19" s="1"/>
  <c r="O41" i="19"/>
  <c r="AG41" i="19"/>
  <c r="AM41" i="19" s="1"/>
  <c r="AA49" i="19"/>
  <c r="AM13" i="19"/>
  <c r="AI5" i="18"/>
  <c r="W5" i="18"/>
  <c r="AE5" i="18" s="1"/>
  <c r="AL5" i="18" s="1" a="1"/>
  <c r="AL5" i="18" s="1"/>
  <c r="O5" i="18"/>
  <c r="AG5" i="18"/>
  <c r="AG9" i="19"/>
  <c r="U26" i="19"/>
  <c r="L32" i="13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AA49" i="15"/>
  <c r="R4" i="6" s="1"/>
  <c r="G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J7" i="6"/>
  <c r="K7" i="6" s="1"/>
  <c r="W41" i="16"/>
  <c r="AE41" i="16" s="1"/>
  <c r="O41" i="16"/>
  <c r="AG41" i="16"/>
  <c r="AM41" i="16" s="1"/>
  <c r="AL41" i="16" a="1"/>
  <c r="AL41" i="16" s="1"/>
  <c r="AI41" i="16"/>
  <c r="K10" i="6"/>
  <c r="Y10" i="6" s="1"/>
  <c r="AG48" i="16"/>
  <c r="AM28" i="16"/>
  <c r="O34" i="17"/>
  <c r="AG34" i="17"/>
  <c r="AM34" i="17" s="1"/>
  <c r="AI34" i="17"/>
  <c r="W34" i="17"/>
  <c r="AM5" i="1"/>
  <c r="T51" i="16"/>
  <c r="J9" i="6"/>
  <c r="V31" i="16"/>
  <c r="V28" i="16"/>
  <c r="Q51" i="17"/>
  <c r="H11" i="6"/>
  <c r="W5" i="16"/>
  <c r="W26" i="16" s="1"/>
  <c r="O5" i="16"/>
  <c r="AG5" i="16"/>
  <c r="AM5" i="16" s="1"/>
  <c r="AI5" i="16"/>
  <c r="AI25" i="16" s="1"/>
  <c r="AI6" i="16"/>
  <c r="O6" i="16"/>
  <c r="AG6" i="16"/>
  <c r="W6" i="16"/>
  <c r="AE6" i="16" s="1"/>
  <c r="AG30" i="17"/>
  <c r="AM30" i="17" s="1"/>
  <c r="AI30" i="17"/>
  <c r="W30" i="17"/>
  <c r="AE30" i="17" s="1"/>
  <c r="O30" i="17"/>
  <c r="AG9" i="16"/>
  <c r="AI9" i="16"/>
  <c r="W9" i="16"/>
  <c r="AE9" i="16" s="1"/>
  <c r="O9" i="16"/>
  <c r="Y9" i="17"/>
  <c r="V15" i="16"/>
  <c r="V3" i="16"/>
  <c r="AG9" i="17"/>
  <c r="AM9" i="17" s="1"/>
  <c r="AI9" i="17"/>
  <c r="W9" i="17"/>
  <c r="O9" i="17"/>
  <c r="AI43" i="19"/>
  <c r="W43" i="19"/>
  <c r="AE43" i="19" s="1"/>
  <c r="AL43" i="19" s="1" a="1"/>
  <c r="AL43" i="19" s="1"/>
  <c r="O43" i="19"/>
  <c r="AG43" i="19"/>
  <c r="AM43" i="19" s="1"/>
  <c r="Z51" i="17"/>
  <c r="M11" i="6"/>
  <c r="R49" i="19"/>
  <c r="R26" i="19"/>
  <c r="R51" i="19" s="1"/>
  <c r="O3" i="19"/>
  <c r="W3" i="19"/>
  <c r="AI3" i="19"/>
  <c r="AI25" i="19" s="1"/>
  <c r="AG3" i="19"/>
  <c r="G12" i="6"/>
  <c r="AG7" i="19"/>
  <c r="AI7" i="19"/>
  <c r="O7" i="19"/>
  <c r="W7" i="19"/>
  <c r="AE7" i="19" s="1"/>
  <c r="AL7" i="19" s="1" a="1"/>
  <c r="AL7" i="19" s="1"/>
  <c r="M30" i="9"/>
  <c r="L31" i="9"/>
  <c r="M30" i="13"/>
  <c r="G30" i="13" s="1"/>
  <c r="L31" i="13"/>
  <c r="M31" i="13" s="1"/>
  <c r="G31" i="13" s="1"/>
  <c r="L30" i="11"/>
  <c r="M30" i="11" s="1"/>
  <c r="K50" i="11"/>
  <c r="L30" i="12"/>
  <c r="K50" i="12"/>
  <c r="M8" i="10"/>
  <c r="G8" i="10" s="1"/>
  <c r="L11" i="10"/>
  <c r="E31" i="13"/>
  <c r="F31" i="13" s="1"/>
  <c r="AM7" i="19" l="1"/>
  <c r="AL6" i="16" a="1"/>
  <c r="AL6" i="16" s="1"/>
  <c r="C25" i="9"/>
  <c r="AL43" i="16" a="1"/>
  <c r="AL43" i="16" s="1"/>
  <c r="C43" i="9"/>
  <c r="AL8" i="16" a="1"/>
  <c r="AL8" i="16" s="1"/>
  <c r="C7" i="9"/>
  <c r="AL12" i="16" a="1"/>
  <c r="AL12" i="16" s="1"/>
  <c r="C9" i="9"/>
  <c r="AL22" i="16" a="1"/>
  <c r="AL22" i="16" s="1"/>
  <c r="C17" i="9"/>
  <c r="AL20" i="16" a="1"/>
  <c r="AL20" i="16" s="1"/>
  <c r="C15" i="9"/>
  <c r="AL14" i="16" a="1"/>
  <c r="AL14" i="16" s="1"/>
  <c r="C8" i="9"/>
  <c r="AL40" i="16" a="1"/>
  <c r="AL40" i="16" s="1"/>
  <c r="C40" i="9"/>
  <c r="AL38" i="16" a="1"/>
  <c r="AL38" i="16" s="1"/>
  <c r="C48" i="9"/>
  <c r="AL37" i="16" a="1"/>
  <c r="AL37" i="16" s="1"/>
  <c r="C31" i="9"/>
  <c r="AL9" i="16" a="1"/>
  <c r="AL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L31" i="16" a="1"/>
  <c r="AL31" i="16" s="1"/>
  <c r="C32" i="9"/>
  <c r="AL42" i="16" a="1"/>
  <c r="AL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Y12" i="6"/>
  <c r="Y7" i="6"/>
  <c r="K51" i="18"/>
  <c r="F13" i="6"/>
  <c r="L5" i="9"/>
  <c r="L34" i="8"/>
  <c r="M34" i="8" s="1"/>
  <c r="G4" i="11"/>
  <c r="L6" i="11"/>
  <c r="AE34" i="18"/>
  <c r="AL34" i="18" s="1" a="1"/>
  <c r="AL34" i="18" s="1"/>
  <c r="AM34" i="18" s="1"/>
  <c r="AE43" i="18"/>
  <c r="AL43" i="18" s="1" a="1"/>
  <c r="AL43" i="18" s="1"/>
  <c r="AP43" i="18" s="1"/>
  <c r="AE28" i="18"/>
  <c r="AL28" i="18" s="1" a="1"/>
  <c r="AL28" i="18" s="1"/>
  <c r="AE13" i="18"/>
  <c r="AL13" i="18" s="1" a="1"/>
  <c r="AL13" i="18" s="1"/>
  <c r="AP13" i="18" s="1"/>
  <c r="AE12" i="18"/>
  <c r="AL12" i="18" s="1" a="1"/>
  <c r="AL12" i="18" s="1"/>
  <c r="AM12" i="18" s="1"/>
  <c r="AM45" i="5"/>
  <c r="AM48" i="5" s="1"/>
  <c r="W45" i="18"/>
  <c r="AE45" i="18" s="1"/>
  <c r="AL45" i="18" s="1" a="1"/>
  <c r="AL45" i="18" s="1"/>
  <c r="AP45" i="18" s="1"/>
  <c r="R51" i="17"/>
  <c r="O45" i="18"/>
  <c r="AI45" i="18"/>
  <c r="AE20" i="18"/>
  <c r="AL20" i="18" s="1" a="1"/>
  <c r="AL20" i="18" s="1"/>
  <c r="AN20" i="18" s="1"/>
  <c r="AN40" i="18"/>
  <c r="AE32" i="18"/>
  <c r="AL32" i="18" s="1" a="1"/>
  <c r="AL32" i="18" s="1"/>
  <c r="AP32" i="18" s="1"/>
  <c r="U51" i="18"/>
  <c r="Y51" i="18" s="1"/>
  <c r="AE46" i="18"/>
  <c r="AL46" i="18" s="1" a="1"/>
  <c r="AL46" i="18" s="1"/>
  <c r="AP46" i="18" s="1"/>
  <c r="AE31" i="18"/>
  <c r="AL31" i="18" s="1" a="1"/>
  <c r="AL31" i="18" s="1"/>
  <c r="AM31" i="18" s="1"/>
  <c r="AN11" i="18"/>
  <c r="O33" i="18"/>
  <c r="AG37" i="18"/>
  <c r="AE45" i="17"/>
  <c r="AL45" i="17" s="1" a="1"/>
  <c r="AL45" i="17" s="1"/>
  <c r="AP45" i="17" s="1"/>
  <c r="AE6" i="18"/>
  <c r="AL6" i="18" s="1" a="1"/>
  <c r="AL6" i="18" s="1"/>
  <c r="AP6" i="18" s="1"/>
  <c r="AE19" i="18"/>
  <c r="AL19" i="18" s="1" a="1"/>
  <c r="AL19" i="18" s="1"/>
  <c r="AP19" i="18" s="1"/>
  <c r="AG18" i="18"/>
  <c r="AM18" i="18" s="1"/>
  <c r="AI37" i="18"/>
  <c r="AN30" i="18"/>
  <c r="AE29" i="17"/>
  <c r="AL29" i="17" s="1" a="1"/>
  <c r="AL29" i="17" s="1"/>
  <c r="AN29" i="17" s="1"/>
  <c r="AN23" i="18"/>
  <c r="O37" i="18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18" i="18" s="1"/>
  <c r="AL18" i="18" s="1" a="1"/>
  <c r="AL18" i="18" s="1"/>
  <c r="AP18" i="18" s="1"/>
  <c r="AE28" i="17"/>
  <c r="AL28" i="17" s="1" a="1"/>
  <c r="AL28" i="17" s="1"/>
  <c r="AP28" i="17" s="1"/>
  <c r="W33" i="18"/>
  <c r="AE33" i="18" s="1"/>
  <c r="AL33" i="18" s="1" a="1"/>
  <c r="AL33" i="18" s="1"/>
  <c r="AP33" i="18" s="1"/>
  <c r="AI33" i="18"/>
  <c r="AE47" i="17"/>
  <c r="AL47" i="17" s="1" a="1"/>
  <c r="AL47" i="17" s="1"/>
  <c r="AN47" i="17" s="1"/>
  <c r="AE15" i="17"/>
  <c r="AL15" i="17" s="1" a="1"/>
  <c r="AL15" i="17" s="1"/>
  <c r="AP15" i="17" s="1"/>
  <c r="AN7" i="18"/>
  <c r="AM7" i="18"/>
  <c r="AN39" i="18"/>
  <c r="AN14" i="18"/>
  <c r="AN10" i="18"/>
  <c r="AM14" i="18"/>
  <c r="AM4" i="18"/>
  <c r="AN4" i="18"/>
  <c r="AD26" i="18"/>
  <c r="AJ25" i="18"/>
  <c r="O41" i="18"/>
  <c r="AE32" i="17"/>
  <c r="AL32" i="17" s="1" a="1"/>
  <c r="AL32" i="17" s="1"/>
  <c r="AN32" i="17" s="1"/>
  <c r="AJ48" i="18"/>
  <c r="AN24" i="18"/>
  <c r="W41" i="18"/>
  <c r="AE41" i="18" s="1"/>
  <c r="AL41" i="18" s="1" a="1"/>
  <c r="AL41" i="18" s="1"/>
  <c r="AP41" i="18" s="1"/>
  <c r="O18" i="18"/>
  <c r="AE9" i="18"/>
  <c r="AL9" i="18" s="1" a="1"/>
  <c r="AL9" i="18" s="1"/>
  <c r="AN9" i="18" s="1"/>
  <c r="AK25" i="18"/>
  <c r="AE34" i="17"/>
  <c r="AL34" i="17" s="1" a="1"/>
  <c r="AL34" i="17" s="1"/>
  <c r="AP34" i="17" s="1"/>
  <c r="AD49" i="18"/>
  <c r="AG41" i="18"/>
  <c r="AM41" i="18" s="1"/>
  <c r="AE5" i="17"/>
  <c r="AL5" i="17" s="1" a="1"/>
  <c r="AL5" i="17" s="1"/>
  <c r="AP5" i="17" s="1"/>
  <c r="AE37" i="18"/>
  <c r="AL37" i="18" s="1" a="1"/>
  <c r="AL37" i="18" s="1"/>
  <c r="W38" i="18"/>
  <c r="AE38" i="18" s="1"/>
  <c r="AL38" i="18" s="1" a="1"/>
  <c r="AL38" i="18" s="1"/>
  <c r="AP38" i="18" s="1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E17" i="18"/>
  <c r="AL17" i="18" s="1" a="1"/>
  <c r="AL17" i="18" s="1"/>
  <c r="AP17" i="18" s="1"/>
  <c r="O38" i="18"/>
  <c r="AI38" i="18"/>
  <c r="AP6" i="17"/>
  <c r="AN6" i="17"/>
  <c r="R49" i="18"/>
  <c r="AK48" i="18"/>
  <c r="AG3" i="18"/>
  <c r="AI3" i="18"/>
  <c r="W3" i="18"/>
  <c r="AE3" i="18" s="1"/>
  <c r="O3" i="18"/>
  <c r="AI22" i="18"/>
  <c r="AG22" i="18"/>
  <c r="AM22" i="18" s="1"/>
  <c r="W22" i="18"/>
  <c r="AE22" i="18" s="1"/>
  <c r="AL22" i="18" s="1" a="1"/>
  <c r="AL22" i="18" s="1"/>
  <c r="O22" i="18"/>
  <c r="R26" i="18"/>
  <c r="O8" i="18"/>
  <c r="W8" i="18"/>
  <c r="AE8" i="18" s="1"/>
  <c r="AL8" i="18" s="1" a="1"/>
  <c r="AL8" i="18" s="1"/>
  <c r="AG8" i="18"/>
  <c r="AI8" i="18"/>
  <c r="O44" i="18"/>
  <c r="W44" i="18"/>
  <c r="AE44" i="18" s="1"/>
  <c r="AL44" i="18" s="1" a="1"/>
  <c r="AL44" i="18" s="1"/>
  <c r="AI44" i="18"/>
  <c r="AG44" i="18"/>
  <c r="AG35" i="18"/>
  <c r="AM35" i="18" s="1"/>
  <c r="AI35" i="18"/>
  <c r="W35" i="18"/>
  <c r="AE35" i="18" s="1"/>
  <c r="AL35" i="18" s="1" a="1"/>
  <c r="AL35" i="18" s="1"/>
  <c r="O35" i="18"/>
  <c r="AE39" i="17"/>
  <c r="AL39" i="17" s="1" a="1"/>
  <c r="AL39" i="17" s="1"/>
  <c r="AN39" i="17" s="1"/>
  <c r="W47" i="18"/>
  <c r="AE47" i="18" s="1"/>
  <c r="AL47" i="18" s="1" a="1"/>
  <c r="AL47" i="18" s="1"/>
  <c r="AI47" i="18"/>
  <c r="AG47" i="18"/>
  <c r="AM47" i="18" s="1"/>
  <c r="O47" i="18"/>
  <c r="AE44" i="17"/>
  <c r="AL44" i="17" s="1" a="1"/>
  <c r="AL44" i="17" s="1"/>
  <c r="AP44" i="17" s="1"/>
  <c r="AI36" i="18"/>
  <c r="AG36" i="18"/>
  <c r="AM36" i="18" s="1"/>
  <c r="O36" i="18"/>
  <c r="W36" i="18"/>
  <c r="AE36" i="18" s="1"/>
  <c r="AL36" i="18" s="1" a="1"/>
  <c r="AL36" i="18" s="1"/>
  <c r="AG15" i="18"/>
  <c r="AI15" i="18"/>
  <c r="W15" i="18"/>
  <c r="AE15" i="18" s="1"/>
  <c r="AL15" i="18" s="1" a="1"/>
  <c r="AL15" i="18" s="1"/>
  <c r="O15" i="18"/>
  <c r="AI16" i="18"/>
  <c r="AG16" i="18"/>
  <c r="O16" i="18"/>
  <c r="W16" i="18"/>
  <c r="AE16" i="18" s="1"/>
  <c r="AL16" i="18" s="1" a="1"/>
  <c r="AL16" i="18" s="1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AA49" i="17"/>
  <c r="R12" i="6" s="1"/>
  <c r="AE12" i="6" s="1"/>
  <c r="AI48" i="17"/>
  <c r="AP37" i="19"/>
  <c r="AN37" i="19"/>
  <c r="AP6" i="16"/>
  <c r="AN6" i="16"/>
  <c r="L9" i="6"/>
  <c r="AB9" i="6" s="1"/>
  <c r="AP31" i="1"/>
  <c r="AN31" i="1"/>
  <c r="AP20" i="16"/>
  <c r="AN20" i="16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8" i="16"/>
  <c r="AN8" i="16"/>
  <c r="AM8" i="16"/>
  <c r="AP36" i="5"/>
  <c r="AN36" i="5"/>
  <c r="AP40" i="16"/>
  <c r="AN40" i="16"/>
  <c r="AP9" i="16"/>
  <c r="AN9" i="16"/>
  <c r="AP4" i="5"/>
  <c r="AP42" i="5"/>
  <c r="AN42" i="5"/>
  <c r="AP45" i="16"/>
  <c r="AN45" i="16"/>
  <c r="AP30" i="1"/>
  <c r="AN30" i="1"/>
  <c r="AP5" i="18"/>
  <c r="AN5" i="18"/>
  <c r="AP14" i="1"/>
  <c r="AN14" i="1"/>
  <c r="AP43" i="5"/>
  <c r="AN43" i="5"/>
  <c r="AP32" i="16"/>
  <c r="AN32" i="16"/>
  <c r="AP42" i="17"/>
  <c r="AN42" i="17"/>
  <c r="AP21" i="18"/>
  <c r="AN21" i="18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42" i="18"/>
  <c r="AN42" i="18"/>
  <c r="AP32" i="1"/>
  <c r="AN32" i="1"/>
  <c r="AP5" i="5"/>
  <c r="AN5" i="5"/>
  <c r="AP42" i="1"/>
  <c r="AN42" i="1"/>
  <c r="R5" i="6"/>
  <c r="AN8" i="19"/>
  <c r="AP8" i="19"/>
  <c r="AP35" i="19"/>
  <c r="AN35" i="19"/>
  <c r="AP22" i="16"/>
  <c r="AN22" i="16"/>
  <c r="AP37" i="16"/>
  <c r="AN37" i="16"/>
  <c r="AP18" i="1"/>
  <c r="AN18" i="1"/>
  <c r="AP33" i="5"/>
  <c r="AN33" i="5"/>
  <c r="AP13" i="15"/>
  <c r="AN13" i="15"/>
  <c r="AP14" i="16"/>
  <c r="AN14" i="16"/>
  <c r="AP30" i="5"/>
  <c r="AN30" i="5"/>
  <c r="AP4" i="19"/>
  <c r="AN4" i="19"/>
  <c r="AP21" i="15"/>
  <c r="AN21" i="15"/>
  <c r="AP31" i="16"/>
  <c r="AN31" i="16"/>
  <c r="AL48" i="16"/>
  <c r="AP42" i="16"/>
  <c r="AN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AM48" i="17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J13" i="6"/>
  <c r="W26" i="5"/>
  <c r="AE3" i="5"/>
  <c r="C4" i="7" s="1"/>
  <c r="F7" i="10"/>
  <c r="E8" i="10"/>
  <c r="I59" i="19"/>
  <c r="J59" i="19" s="1"/>
  <c r="J58" i="19"/>
  <c r="J60" i="19"/>
  <c r="V29" i="5"/>
  <c r="W49" i="15"/>
  <c r="L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L3" i="6"/>
  <c r="F5" i="13"/>
  <c r="E6" i="13"/>
  <c r="AP46" i="17"/>
  <c r="AN46" i="17"/>
  <c r="AP7" i="19"/>
  <c r="AN7" i="19"/>
  <c r="AG48" i="17"/>
  <c r="AE5" i="16"/>
  <c r="AP47" i="5"/>
  <c r="AN47" i="5"/>
  <c r="AP18" i="15"/>
  <c r="AN18" i="15"/>
  <c r="Y49" i="18"/>
  <c r="V41" i="18"/>
  <c r="V11" i="18"/>
  <c r="V31" i="18"/>
  <c r="V16" i="18"/>
  <c r="V34" i="18"/>
  <c r="V35" i="18"/>
  <c r="V12" i="18"/>
  <c r="V40" i="18"/>
  <c r="V22" i="18"/>
  <c r="V44" i="18"/>
  <c r="V21" i="18"/>
  <c r="V43" i="18"/>
  <c r="V19" i="18"/>
  <c r="V14" i="18"/>
  <c r="V3" i="18"/>
  <c r="V23" i="18"/>
  <c r="V46" i="18"/>
  <c r="V24" i="18"/>
  <c r="V15" i="18"/>
  <c r="V30" i="18"/>
  <c r="V42" i="18"/>
  <c r="V20" i="18"/>
  <c r="V5" i="18"/>
  <c r="V45" i="18"/>
  <c r="V32" i="18"/>
  <c r="V18" i="18"/>
  <c r="V8" i="18"/>
  <c r="V6" i="18"/>
  <c r="V10" i="18"/>
  <c r="V4" i="18"/>
  <c r="V39" i="18"/>
  <c r="V47" i="18"/>
  <c r="V36" i="18"/>
  <c r="V7" i="18"/>
  <c r="V38" i="18"/>
  <c r="V13" i="18"/>
  <c r="V33" i="18"/>
  <c r="W49" i="1"/>
  <c r="L8" i="6" s="1"/>
  <c r="U51" i="15"/>
  <c r="Y51" i="15" s="1"/>
  <c r="Y26" i="15"/>
  <c r="AP32" i="15"/>
  <c r="AN32" i="15"/>
  <c r="W49" i="19"/>
  <c r="AE28" i="1"/>
  <c r="C32" i="8" s="1"/>
  <c r="M13" i="6"/>
  <c r="AP35" i="15"/>
  <c r="AN35" i="15"/>
  <c r="AM31" i="16"/>
  <c r="E10" i="12"/>
  <c r="F10" i="12" s="1"/>
  <c r="F9" i="12"/>
  <c r="AE29" i="18"/>
  <c r="AL29" i="18" s="1" a="1"/>
  <c r="AL29" i="18" s="1"/>
  <c r="V37" i="18"/>
  <c r="I59" i="1"/>
  <c r="J59" i="1" s="1"/>
  <c r="J58" i="1"/>
  <c r="J60" i="1"/>
  <c r="AP45" i="1"/>
  <c r="AN45" i="1"/>
  <c r="AP10" i="5"/>
  <c r="AN10" i="5"/>
  <c r="K5" i="6"/>
  <c r="Y5" i="6" s="1"/>
  <c r="I13" i="6"/>
  <c r="E32" i="13"/>
  <c r="Y49" i="19"/>
  <c r="V42" i="19"/>
  <c r="V15" i="19"/>
  <c r="V7" i="19"/>
  <c r="V32" i="19"/>
  <c r="V4" i="19"/>
  <c r="V5" i="19"/>
  <c r="V20" i="19"/>
  <c r="V34" i="19"/>
  <c r="V45" i="19"/>
  <c r="V44" i="19"/>
  <c r="V22" i="19"/>
  <c r="V16" i="19"/>
  <c r="V39" i="19"/>
  <c r="V11" i="19"/>
  <c r="V10" i="19"/>
  <c r="V36" i="19"/>
  <c r="V6" i="19"/>
  <c r="V46" i="19"/>
  <c r="V17" i="19"/>
  <c r="V23" i="19"/>
  <c r="V31" i="19"/>
  <c r="V13" i="19"/>
  <c r="V8" i="19"/>
  <c r="V29" i="19"/>
  <c r="V30" i="19"/>
  <c r="V37" i="19"/>
  <c r="V40" i="19"/>
  <c r="V12" i="19"/>
  <c r="V41" i="19"/>
  <c r="V18" i="19"/>
  <c r="V33" i="19"/>
  <c r="V21" i="19"/>
  <c r="V3" i="19"/>
  <c r="V19" i="19"/>
  <c r="V14" i="19"/>
  <c r="V47" i="19"/>
  <c r="V24" i="19"/>
  <c r="U51" i="1"/>
  <c r="Y51" i="1" s="1"/>
  <c r="Y26" i="1"/>
  <c r="AP44" i="5"/>
  <c r="AN44" i="5"/>
  <c r="AP41" i="16"/>
  <c r="AN41" i="16"/>
  <c r="M32" i="13"/>
  <c r="G32" i="13" s="1"/>
  <c r="L33" i="13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L6" i="12"/>
  <c r="AA52" i="19"/>
  <c r="AK51" i="19" s="1"/>
  <c r="AP45" i="19"/>
  <c r="AN45" i="19"/>
  <c r="AP46" i="16"/>
  <c r="AN46" i="16"/>
  <c r="AA52" i="1"/>
  <c r="AK51" i="1" s="1"/>
  <c r="R7" i="6"/>
  <c r="AE7" i="6" s="1"/>
  <c r="AG25" i="5"/>
  <c r="L31" i="7"/>
  <c r="AP17" i="17"/>
  <c r="AN17" i="17"/>
  <c r="AE10" i="6"/>
  <c r="L35" i="8"/>
  <c r="R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37" i="16"/>
  <c r="V17" i="18"/>
  <c r="M30" i="12"/>
  <c r="G30" i="12" s="1"/>
  <c r="L31" i="12"/>
  <c r="AM5" i="5"/>
  <c r="AN40" i="15"/>
  <c r="AD49" i="19"/>
  <c r="V26" i="16"/>
  <c r="V51" i="16" s="1"/>
  <c r="AP34" i="15"/>
  <c r="AN34" i="15"/>
  <c r="L7" i="13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AA49" i="5"/>
  <c r="R6" i="6" s="1"/>
  <c r="AP24" i="15"/>
  <c r="AN24" i="15"/>
  <c r="AP42" i="15"/>
  <c r="AN42" i="15"/>
  <c r="Y51" i="19"/>
  <c r="AP15" i="16"/>
  <c r="AN15" i="16"/>
  <c r="V23" i="17"/>
  <c r="AP41" i="15"/>
  <c r="K11" i="6"/>
  <c r="AA52" i="16"/>
  <c r="AK51" i="16" s="1"/>
  <c r="R9" i="6"/>
  <c r="AE9" i="6" s="1"/>
  <c r="AM6" i="1"/>
  <c r="V31" i="5"/>
  <c r="V21" i="15"/>
  <c r="V39" i="5"/>
  <c r="H13" i="6"/>
  <c r="AG25" i="16"/>
  <c r="AP29" i="15"/>
  <c r="AN29" i="15"/>
  <c r="AN43" i="16"/>
  <c r="AP43" i="16"/>
  <c r="AK51" i="15"/>
  <c r="R3" i="6"/>
  <c r="Y51" i="5"/>
  <c r="M31" i="9"/>
  <c r="L32" i="9"/>
  <c r="AL30" i="17" a="1"/>
  <c r="AL30" i="17" s="1"/>
  <c r="AM9" i="16"/>
  <c r="V49" i="16"/>
  <c r="AL28" i="5" a="1"/>
  <c r="AL28" i="5" s="1"/>
  <c r="AM34" i="15"/>
  <c r="AM9" i="19"/>
  <c r="AL3" i="16"/>
  <c r="V28" i="15"/>
  <c r="AP22" i="15"/>
  <c r="AN22" i="15"/>
  <c r="AP4" i="16"/>
  <c r="AN4" i="16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V29" i="18"/>
  <c r="AG48" i="15"/>
  <c r="AM28" i="15"/>
  <c r="F33" i="12"/>
  <c r="E34" i="12"/>
  <c r="AD26" i="17"/>
  <c r="AM38" i="16"/>
  <c r="M11" i="10"/>
  <c r="G11" i="10" s="1"/>
  <c r="L12" i="10"/>
  <c r="AM42" i="5"/>
  <c r="AM14" i="16"/>
  <c r="V10" i="5"/>
  <c r="F33" i="10"/>
  <c r="E34" i="10"/>
  <c r="W26" i="19"/>
  <c r="W51" i="19" s="1"/>
  <c r="AE3" i="19"/>
  <c r="AM5" i="18"/>
  <c r="AG25" i="17"/>
  <c r="AM3" i="17"/>
  <c r="AM25" i="17" s="1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46" i="17"/>
  <c r="V31" i="17"/>
  <c r="V45" i="17"/>
  <c r="V37" i="17"/>
  <c r="V36" i="17"/>
  <c r="V32" i="17"/>
  <c r="V15" i="17"/>
  <c r="V28" i="17"/>
  <c r="V49" i="17" s="1"/>
  <c r="V51" i="17" s="1"/>
  <c r="V34" i="17"/>
  <c r="V21" i="17"/>
  <c r="V43" i="17"/>
  <c r="V12" i="17"/>
  <c r="AG25" i="15"/>
  <c r="V13" i="17"/>
  <c r="W49" i="16"/>
  <c r="L10" i="6" s="1"/>
  <c r="AB10" i="6" s="1"/>
  <c r="M32" i="10"/>
  <c r="G32" i="10" s="1"/>
  <c r="L33" i="10"/>
  <c r="AM12" i="16"/>
  <c r="AP10" i="1"/>
  <c r="AN10" i="1"/>
  <c r="AP45" i="5"/>
  <c r="AN45" i="5"/>
  <c r="AN36" i="19"/>
  <c r="AP36" i="19"/>
  <c r="V47" i="17"/>
  <c r="AP6" i="19"/>
  <c r="AN6" i="19"/>
  <c r="AM42" i="18"/>
  <c r="AG48" i="19"/>
  <c r="V2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V28" i="18"/>
  <c r="AM45" i="19"/>
  <c r="AM48" i="19" s="1"/>
  <c r="AP13" i="1"/>
  <c r="AN13" i="1"/>
  <c r="G13" i="6"/>
  <c r="AG48" i="5"/>
  <c r="N13" i="6"/>
  <c r="V24" i="17"/>
  <c r="F11" i="12"/>
  <c r="E12" i="12"/>
  <c r="L31" i="11"/>
  <c r="AM6" i="19"/>
  <c r="AE26" i="1"/>
  <c r="AL3" i="1"/>
  <c r="V43" i="19"/>
  <c r="AP36" i="17"/>
  <c r="AN36" i="17"/>
  <c r="AL5" i="16" l="1" a="1"/>
  <c r="AL5" i="16" s="1"/>
  <c r="C12" i="9"/>
  <c r="C50" i="9"/>
  <c r="D30" i="9"/>
  <c r="D36" i="9"/>
  <c r="D31" i="9"/>
  <c r="D40" i="9"/>
  <c r="AM48" i="16"/>
  <c r="D48" i="9"/>
  <c r="D43" i="9"/>
  <c r="D41" i="9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E11" i="6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E12" i="6"/>
  <c r="Y11" i="6"/>
  <c r="Y13" i="6" s="1"/>
  <c r="L12" i="6"/>
  <c r="Z12" i="6" s="1"/>
  <c r="L6" i="9"/>
  <c r="M5" i="9"/>
  <c r="G5" i="9" s="1"/>
  <c r="G31" i="8"/>
  <c r="AN43" i="18"/>
  <c r="G5" i="7"/>
  <c r="AP34" i="18"/>
  <c r="AN34" i="18"/>
  <c r="M6" i="11"/>
  <c r="L7" i="11"/>
  <c r="AP20" i="18"/>
  <c r="AN13" i="18"/>
  <c r="AM20" i="18"/>
  <c r="AP12" i="18"/>
  <c r="AM13" i="18"/>
  <c r="AN12" i="18"/>
  <c r="AP49" i="16"/>
  <c r="AE49" i="5"/>
  <c r="AM45" i="18"/>
  <c r="R13" i="6"/>
  <c r="AN45" i="18"/>
  <c r="AN18" i="18"/>
  <c r="AN32" i="18"/>
  <c r="R51" i="18"/>
  <c r="AN45" i="17"/>
  <c r="AN21" i="17"/>
  <c r="AN28" i="17"/>
  <c r="AP31" i="18"/>
  <c r="AP47" i="17"/>
  <c r="AN31" i="18"/>
  <c r="AN46" i="18"/>
  <c r="AM37" i="18"/>
  <c r="AN6" i="18"/>
  <c r="AM6" i="18"/>
  <c r="AN33" i="18"/>
  <c r="AN19" i="18"/>
  <c r="AP29" i="17"/>
  <c r="AM19" i="18"/>
  <c r="AK51" i="18"/>
  <c r="AN15" i="17"/>
  <c r="AN43" i="17"/>
  <c r="AE26" i="18"/>
  <c r="AM33" i="18"/>
  <c r="AP32" i="17"/>
  <c r="AN41" i="18"/>
  <c r="AD51" i="18"/>
  <c r="AN38" i="18"/>
  <c r="AN44" i="17"/>
  <c r="AN37" i="18"/>
  <c r="AP37" i="18"/>
  <c r="AP9" i="18"/>
  <c r="AN5" i="17"/>
  <c r="AM9" i="18"/>
  <c r="AN17" i="18"/>
  <c r="AN22" i="17"/>
  <c r="AN40" i="17"/>
  <c r="AN37" i="17"/>
  <c r="AN34" i="17"/>
  <c r="AN20" i="17"/>
  <c r="AN9" i="17"/>
  <c r="AN33" i="17"/>
  <c r="AI48" i="18"/>
  <c r="AM8" i="18"/>
  <c r="AE49" i="17"/>
  <c r="AP39" i="17"/>
  <c r="AM44" i="18"/>
  <c r="AG25" i="18"/>
  <c r="W49" i="18"/>
  <c r="AN16" i="17"/>
  <c r="AG48" i="18"/>
  <c r="W26" i="18"/>
  <c r="AP22" i="18"/>
  <c r="AN22" i="18"/>
  <c r="AM16" i="18"/>
  <c r="AP35" i="18"/>
  <c r="AN35" i="18"/>
  <c r="AN44" i="18"/>
  <c r="AP44" i="18"/>
  <c r="AP8" i="18"/>
  <c r="AN8" i="18"/>
  <c r="AP16" i="18"/>
  <c r="AN16" i="18"/>
  <c r="AN15" i="18"/>
  <c r="AP15" i="18"/>
  <c r="AP47" i="18"/>
  <c r="AN47" i="18"/>
  <c r="AI25" i="18"/>
  <c r="AN36" i="18"/>
  <c r="AP36" i="18"/>
  <c r="AM15" i="18"/>
  <c r="AP13" i="17"/>
  <c r="AN4" i="17"/>
  <c r="AN19" i="17"/>
  <c r="AN24" i="17"/>
  <c r="AN23" i="17"/>
  <c r="AD51" i="17"/>
  <c r="AA52" i="17"/>
  <c r="AK51" i="17" s="1"/>
  <c r="V51" i="1"/>
  <c r="AP28" i="18"/>
  <c r="AL48" i="18"/>
  <c r="AN28" i="18"/>
  <c r="F34" i="12"/>
  <c r="E35" i="12"/>
  <c r="AL25" i="1"/>
  <c r="AP3" i="1"/>
  <c r="AN3" i="1"/>
  <c r="V49" i="18"/>
  <c r="V49" i="19"/>
  <c r="AE49" i="18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F32" i="13"/>
  <c r="E33" i="13"/>
  <c r="V26" i="18"/>
  <c r="AD51" i="19"/>
  <c r="AA52" i="5"/>
  <c r="AK51" i="5" s="1"/>
  <c r="AL48" i="19"/>
  <c r="AP28" i="19"/>
  <c r="AP49" i="19" s="1"/>
  <c r="AN28" i="19"/>
  <c r="AN48" i="19" s="1"/>
  <c r="F12" i="12"/>
  <c r="E13" i="12"/>
  <c r="AE26" i="17"/>
  <c r="AL3" i="17"/>
  <c r="V26" i="19"/>
  <c r="V51" i="19" s="1"/>
  <c r="M7" i="7"/>
  <c r="L8" i="7"/>
  <c r="AE26" i="16"/>
  <c r="AE51" i="16" s="1"/>
  <c r="L33" i="9"/>
  <c r="M32" i="9"/>
  <c r="M7" i="13"/>
  <c r="G7" i="13" s="1"/>
  <c r="L8" i="13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G33" i="10" s="1"/>
  <c r="L34" i="10"/>
  <c r="M33" i="13"/>
  <c r="G33" i="13" s="1"/>
  <c r="L34" i="13"/>
  <c r="M31" i="11"/>
  <c r="L32" i="11"/>
  <c r="M12" i="10"/>
  <c r="G12" i="10" s="1"/>
  <c r="L13" i="10"/>
  <c r="AE26" i="15"/>
  <c r="AL3" i="15"/>
  <c r="M31" i="12"/>
  <c r="G31" i="12" s="1"/>
  <c r="L32" i="12"/>
  <c r="AP31" i="5"/>
  <c r="AN31" i="5"/>
  <c r="M6" i="12"/>
  <c r="G6" i="12" s="1"/>
  <c r="L7" i="12"/>
  <c r="K13" i="6"/>
  <c r="M15" i="6" s="1"/>
  <c r="AB4" i="6"/>
  <c r="AM3" i="1"/>
  <c r="AM25" i="1" s="1"/>
  <c r="AN48" i="16"/>
  <c r="AP29" i="18"/>
  <c r="AN29" i="18"/>
  <c r="AE49" i="1"/>
  <c r="AE51" i="1" s="1"/>
  <c r="AL28" i="1" a="1"/>
  <c r="AL28" i="1" s="1"/>
  <c r="AE26" i="5"/>
  <c r="AE51" i="5" s="1"/>
  <c r="AL3" i="5"/>
  <c r="AE6" i="6"/>
  <c r="AP5" i="16"/>
  <c r="AN5" i="16"/>
  <c r="W51" i="5"/>
  <c r="AB5" i="6"/>
  <c r="W51" i="17"/>
  <c r="L11" i="6"/>
  <c r="F34" i="10"/>
  <c r="E35" i="10"/>
  <c r="AE11" i="6"/>
  <c r="F6" i="13"/>
  <c r="E7" i="13"/>
  <c r="J15" i="6"/>
  <c r="V49" i="5"/>
  <c r="E30" i="9" l="1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Z11" i="6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L13" i="6"/>
  <c r="M6" i="9"/>
  <c r="L7" i="9"/>
  <c r="G32" i="8"/>
  <c r="G30" i="11"/>
  <c r="M7" i="11"/>
  <c r="G7" i="11" s="1"/>
  <c r="L8" i="11"/>
  <c r="AE51" i="15"/>
  <c r="AE51" i="18"/>
  <c r="AE51" i="17"/>
  <c r="AM48" i="18"/>
  <c r="AL3" i="18"/>
  <c r="W51" i="18"/>
  <c r="AN48" i="17"/>
  <c r="AP49" i="17"/>
  <c r="V51" i="18"/>
  <c r="N15" i="6"/>
  <c r="AP26" i="1"/>
  <c r="F7" i="13"/>
  <c r="E8" i="13"/>
  <c r="AC12" i="6"/>
  <c r="AD12" i="6"/>
  <c r="Y15" i="6"/>
  <c r="AL25" i="15"/>
  <c r="AP3" i="15"/>
  <c r="AN3" i="15"/>
  <c r="AN25" i="15" s="1"/>
  <c r="AM3" i="15"/>
  <c r="AM25" i="15" s="1"/>
  <c r="L35" i="10"/>
  <c r="M34" i="10"/>
  <c r="G34" i="10" s="1"/>
  <c r="F11" i="10"/>
  <c r="E12" i="10"/>
  <c r="M8" i="7"/>
  <c r="L11" i="7"/>
  <c r="L9" i="7"/>
  <c r="M32" i="7"/>
  <c r="L33" i="7"/>
  <c r="AD9" i="6"/>
  <c r="AC9" i="6"/>
  <c r="E10" i="10"/>
  <c r="F10" i="10" s="1"/>
  <c r="F9" i="10"/>
  <c r="M8" i="13"/>
  <c r="G8" i="13" s="1"/>
  <c r="L11" i="13"/>
  <c r="L9" i="13"/>
  <c r="M6" i="8"/>
  <c r="L7" i="8"/>
  <c r="AP26" i="16"/>
  <c r="AP51" i="16" s="1"/>
  <c r="K59" i="16" s="1"/>
  <c r="L59" i="16" s="1"/>
  <c r="AD10" i="6"/>
  <c r="AC10" i="6"/>
  <c r="F35" i="12"/>
  <c r="E36" i="12"/>
  <c r="AD6" i="6"/>
  <c r="AC6" i="6"/>
  <c r="M7" i="12"/>
  <c r="G7" i="12" s="1"/>
  <c r="L8" i="12"/>
  <c r="L14" i="10"/>
  <c r="M13" i="10"/>
  <c r="G13" i="10" s="1"/>
  <c r="AN48" i="5"/>
  <c r="AN25" i="16"/>
  <c r="AE13" i="6"/>
  <c r="R15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N48" i="18"/>
  <c r="F33" i="13"/>
  <c r="E34" i="13"/>
  <c r="L34" i="9"/>
  <c r="M33" i="9"/>
  <c r="G33" i="9" s="1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AD3" i="6"/>
  <c r="AC3" i="6"/>
  <c r="AP49" i="18"/>
  <c r="E14" i="12"/>
  <c r="F13" i="12"/>
  <c r="M32" i="11"/>
  <c r="L33" i="11"/>
  <c r="F35" i="10"/>
  <c r="E36" i="10"/>
  <c r="AC8" i="6"/>
  <c r="AD8" i="6"/>
  <c r="M32" i="12"/>
  <c r="G32" i="12" s="1"/>
  <c r="L33" i="12"/>
  <c r="M34" i="13"/>
  <c r="G34" i="13" s="1"/>
  <c r="L35" i="13"/>
  <c r="E13" i="6"/>
  <c r="D50" i="9" l="1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M7" i="9"/>
  <c r="L8" i="9"/>
  <c r="G33" i="8"/>
  <c r="G7" i="7"/>
  <c r="G30" i="7"/>
  <c r="G31" i="11"/>
  <c r="L9" i="11"/>
  <c r="M8" i="11"/>
  <c r="L11" i="11"/>
  <c r="AC11" i="6"/>
  <c r="Z13" i="6"/>
  <c r="AE52" i="18" s="1"/>
  <c r="AL25" i="18"/>
  <c r="AP3" i="18"/>
  <c r="AP26" i="18" s="1"/>
  <c r="AP51" i="18" s="1"/>
  <c r="K59" i="18" s="1"/>
  <c r="L59" i="18" s="1"/>
  <c r="AN3" i="18"/>
  <c r="AN25" i="18" s="1"/>
  <c r="AM3" i="18"/>
  <c r="AM25" i="18" s="1"/>
  <c r="AA3" i="6"/>
  <c r="AD11" i="6"/>
  <c r="M34" i="9"/>
  <c r="L35" i="9"/>
  <c r="M14" i="10"/>
  <c r="G14" i="10" s="1"/>
  <c r="L15" i="10"/>
  <c r="M11" i="13"/>
  <c r="G11" i="13" s="1"/>
  <c r="L12" i="13"/>
  <c r="M35" i="13"/>
  <c r="G35" i="13" s="1"/>
  <c r="L36" i="13"/>
  <c r="M8" i="12"/>
  <c r="G8" i="12" s="1"/>
  <c r="L9" i="12"/>
  <c r="L11" i="12"/>
  <c r="M33" i="7"/>
  <c r="L34" i="7"/>
  <c r="L36" i="10"/>
  <c r="M35" i="10"/>
  <c r="G35" i="10" s="1"/>
  <c r="F8" i="13"/>
  <c r="E9" i="13"/>
  <c r="E11" i="13"/>
  <c r="L15" i="6"/>
  <c r="AB13" i="6"/>
  <c r="AP26" i="5"/>
  <c r="AP51" i="5" s="1"/>
  <c r="K59" i="5" s="1"/>
  <c r="L59" i="5" s="1"/>
  <c r="M9" i="13"/>
  <c r="G9" i="13" s="1"/>
  <c r="L10" i="13"/>
  <c r="M10" i="13" s="1"/>
  <c r="G10" i="13" s="1"/>
  <c r="AP26" i="19"/>
  <c r="AP51" i="19" s="1"/>
  <c r="K59" i="19" s="1"/>
  <c r="L59" i="19" s="1"/>
  <c r="F36" i="10"/>
  <c r="E37" i="10"/>
  <c r="F36" i="12"/>
  <c r="E37" i="12"/>
  <c r="F14" i="12"/>
  <c r="E15" i="12"/>
  <c r="M33" i="12"/>
  <c r="G33" i="12" s="1"/>
  <c r="L34" i="12"/>
  <c r="F34" i="13"/>
  <c r="E35" i="13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E4" i="9" l="1"/>
  <c r="F4" i="9" s="1"/>
  <c r="D26" i="9"/>
  <c r="E5" i="9"/>
  <c r="F5" i="9" s="1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L9" i="9"/>
  <c r="L11" i="9"/>
  <c r="M8" i="9"/>
  <c r="G6" i="8"/>
  <c r="G34" i="8"/>
  <c r="G31" i="7"/>
  <c r="G8" i="11"/>
  <c r="G6" i="11"/>
  <c r="G32" i="11"/>
  <c r="L12" i="11"/>
  <c r="M11" i="11"/>
  <c r="L10" i="11"/>
  <c r="M10" i="11" s="1"/>
  <c r="M9" i="11"/>
  <c r="AA13" i="6"/>
  <c r="AC13" i="6"/>
  <c r="Z15" i="6"/>
  <c r="AD13" i="6"/>
  <c r="M11" i="12"/>
  <c r="G11" i="12" s="1"/>
  <c r="L12" i="12"/>
  <c r="M12" i="13"/>
  <c r="G12" i="13" s="1"/>
  <c r="L13" i="13"/>
  <c r="M34" i="11"/>
  <c r="L35" i="11"/>
  <c r="F35" i="13"/>
  <c r="E36" i="13"/>
  <c r="F37" i="10"/>
  <c r="E38" i="10"/>
  <c r="F11" i="13"/>
  <c r="E12" i="13"/>
  <c r="M9" i="12"/>
  <c r="G9" i="12" s="1"/>
  <c r="L10" i="12"/>
  <c r="M10" i="12" s="1"/>
  <c r="G10" i="12" s="1"/>
  <c r="M15" i="10"/>
  <c r="G15" i="10" s="1"/>
  <c r="L16" i="10"/>
  <c r="F9" i="13"/>
  <c r="E10" i="13"/>
  <c r="F10" i="13" s="1"/>
  <c r="F13" i="10"/>
  <c r="E14" i="10"/>
  <c r="M38" i="8"/>
  <c r="L39" i="8"/>
  <c r="M34" i="12"/>
  <c r="G34" i="12" s="1"/>
  <c r="L35" i="12"/>
  <c r="L13" i="7"/>
  <c r="M12" i="7"/>
  <c r="M36" i="10"/>
  <c r="G36" i="10" s="1"/>
  <c r="L37" i="10"/>
  <c r="M36" i="13"/>
  <c r="G36" i="13" s="1"/>
  <c r="L37" i="13"/>
  <c r="M35" i="9"/>
  <c r="L36" i="9"/>
  <c r="F37" i="12"/>
  <c r="E38" i="12"/>
  <c r="F15" i="12"/>
  <c r="E16" i="12"/>
  <c r="M8" i="8"/>
  <c r="L11" i="8"/>
  <c r="L9" i="8"/>
  <c r="M34" i="7"/>
  <c r="L35" i="7"/>
  <c r="E6" i="9" l="1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5" i="9"/>
  <c r="G30" i="9"/>
  <c r="L12" i="9"/>
  <c r="M11" i="9"/>
  <c r="G11" i="9" s="1"/>
  <c r="M9" i="9"/>
  <c r="G9" i="9" s="1"/>
  <c r="L10" i="9"/>
  <c r="M10" i="9" s="1"/>
  <c r="G7" i="8"/>
  <c r="G35" i="8"/>
  <c r="G8" i="7"/>
  <c r="G32" i="7"/>
  <c r="G9" i="11"/>
  <c r="G5" i="11"/>
  <c r="G33" i="11"/>
  <c r="M12" i="11"/>
  <c r="L13" i="11"/>
  <c r="E39" i="10"/>
  <c r="F38" i="10"/>
  <c r="M13" i="13"/>
  <c r="G13" i="13" s="1"/>
  <c r="L14" i="13"/>
  <c r="M11" i="8"/>
  <c r="L12" i="8"/>
  <c r="M35" i="7"/>
  <c r="L36" i="7"/>
  <c r="M37" i="13"/>
  <c r="G37" i="13" s="1"/>
  <c r="L38" i="13"/>
  <c r="F16" i="12"/>
  <c r="E17" i="12"/>
  <c r="M37" i="10"/>
  <c r="G37" i="10" s="1"/>
  <c r="L38" i="10"/>
  <c r="M13" i="7"/>
  <c r="L14" i="7"/>
  <c r="M16" i="10"/>
  <c r="G16" i="10" s="1"/>
  <c r="L17" i="10"/>
  <c r="F36" i="13"/>
  <c r="E37" i="13"/>
  <c r="M12" i="12"/>
  <c r="G12" i="12" s="1"/>
  <c r="L13" i="12"/>
  <c r="F38" i="12"/>
  <c r="E39" i="12"/>
  <c r="M39" i="8"/>
  <c r="L40" i="8"/>
  <c r="M35" i="11"/>
  <c r="L36" i="11"/>
  <c r="M36" i="9"/>
  <c r="L37" i="9"/>
  <c r="M9" i="8"/>
  <c r="G9" i="8" s="1"/>
  <c r="L10" i="8"/>
  <c r="M10" i="8" s="1"/>
  <c r="M35" i="12"/>
  <c r="G35" i="12" s="1"/>
  <c r="L36" i="12"/>
  <c r="F14" i="10"/>
  <c r="E15" i="10"/>
  <c r="F12" i="13"/>
  <c r="E13" i="13"/>
  <c r="F33" i="9" l="1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7" i="9"/>
  <c r="G31" i="9"/>
  <c r="M12" i="9"/>
  <c r="L13" i="9"/>
  <c r="G8" i="8"/>
  <c r="G36" i="8"/>
  <c r="G10" i="7"/>
  <c r="G33" i="7"/>
  <c r="G10" i="11"/>
  <c r="G34" i="11"/>
  <c r="M13" i="11"/>
  <c r="L14" i="11"/>
  <c r="F39" i="12"/>
  <c r="E40" i="12"/>
  <c r="F15" i="10"/>
  <c r="E16" i="10"/>
  <c r="M37" i="9"/>
  <c r="L38" i="9"/>
  <c r="M36" i="12"/>
  <c r="G36" i="12" s="1"/>
  <c r="L37" i="12"/>
  <c r="M36" i="11"/>
  <c r="G36" i="11" s="1"/>
  <c r="L37" i="11"/>
  <c r="F37" i="13"/>
  <c r="E38" i="13"/>
  <c r="M14" i="7"/>
  <c r="L15" i="7"/>
  <c r="M36" i="7"/>
  <c r="L37" i="7"/>
  <c r="F13" i="13"/>
  <c r="E14" i="13"/>
  <c r="M12" i="8"/>
  <c r="L13" i="8"/>
  <c r="M13" i="12"/>
  <c r="G13" i="12" s="1"/>
  <c r="L14" i="12"/>
  <c r="M14" i="13"/>
  <c r="G14" i="13" s="1"/>
  <c r="L15" i="13"/>
  <c r="E40" i="10"/>
  <c r="F39" i="10"/>
  <c r="M38" i="13"/>
  <c r="G38" i="13" s="1"/>
  <c r="L39" i="13"/>
  <c r="M40" i="8"/>
  <c r="L41" i="8"/>
  <c r="M17" i="10"/>
  <c r="G17" i="10" s="1"/>
  <c r="L18" i="10"/>
  <c r="M38" i="10"/>
  <c r="G38" i="10" s="1"/>
  <c r="L39" i="10"/>
  <c r="F17" i="12"/>
  <c r="E18" i="12"/>
  <c r="F7" i="9" l="1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8" i="9"/>
  <c r="G32" i="9"/>
  <c r="M13" i="9"/>
  <c r="L14" i="9"/>
  <c r="G40" i="8"/>
  <c r="G37" i="8"/>
  <c r="G12" i="7"/>
  <c r="G34" i="7"/>
  <c r="G11" i="11"/>
  <c r="G35" i="11"/>
  <c r="M14" i="11"/>
  <c r="L15" i="11"/>
  <c r="M13" i="8"/>
  <c r="L14" i="8"/>
  <c r="M39" i="10"/>
  <c r="G39" i="10" s="1"/>
  <c r="L40" i="10"/>
  <c r="F14" i="13"/>
  <c r="E15" i="13"/>
  <c r="M38" i="9"/>
  <c r="L39" i="9"/>
  <c r="M41" i="8"/>
  <c r="L42" i="8"/>
  <c r="F38" i="13"/>
  <c r="E39" i="13"/>
  <c r="F40" i="10"/>
  <c r="E41" i="10"/>
  <c r="F18" i="12"/>
  <c r="E19" i="12"/>
  <c r="M18" i="10"/>
  <c r="G18" i="10" s="1"/>
  <c r="L19" i="10"/>
  <c r="M15" i="13"/>
  <c r="G15" i="13" s="1"/>
  <c r="L16" i="13"/>
  <c r="M37" i="7"/>
  <c r="L38" i="7"/>
  <c r="M37" i="11"/>
  <c r="G37" i="11" s="1"/>
  <c r="L38" i="11"/>
  <c r="F16" i="10"/>
  <c r="E17" i="10"/>
  <c r="M39" i="13"/>
  <c r="G39" i="13" s="1"/>
  <c r="L40" i="13"/>
  <c r="M14" i="12"/>
  <c r="G14" i="12" s="1"/>
  <c r="L15" i="12"/>
  <c r="M15" i="7"/>
  <c r="L16" i="7"/>
  <c r="M37" i="12"/>
  <c r="G37" i="12" s="1"/>
  <c r="L38" i="12"/>
  <c r="E41" i="12"/>
  <c r="F40" i="12"/>
  <c r="F35" i="9" l="1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6" i="9"/>
  <c r="G34" i="9"/>
  <c r="L15" i="9"/>
  <c r="M14" i="9"/>
  <c r="G10" i="8"/>
  <c r="G38" i="8"/>
  <c r="G13" i="7"/>
  <c r="G35" i="7"/>
  <c r="G12" i="11"/>
  <c r="L16" i="11"/>
  <c r="M15" i="11"/>
  <c r="F39" i="13"/>
  <c r="E40" i="13"/>
  <c r="M40" i="13"/>
  <c r="G40" i="13" s="1"/>
  <c r="L41" i="13"/>
  <c r="F15" i="13"/>
  <c r="E16" i="13"/>
  <c r="F41" i="12"/>
  <c r="E42" i="12"/>
  <c r="M38" i="12"/>
  <c r="G38" i="12" s="1"/>
  <c r="L39" i="12"/>
  <c r="M38" i="7"/>
  <c r="L39" i="7"/>
  <c r="E20" i="12"/>
  <c r="F19" i="12"/>
  <c r="M42" i="8"/>
  <c r="L43" i="8"/>
  <c r="M15" i="12"/>
  <c r="G15" i="12" s="1"/>
  <c r="L16" i="12"/>
  <c r="M19" i="10"/>
  <c r="G19" i="10" s="1"/>
  <c r="L20" i="10"/>
  <c r="F17" i="10"/>
  <c r="E18" i="10"/>
  <c r="M38" i="11"/>
  <c r="G38" i="11" s="1"/>
  <c r="L39" i="11"/>
  <c r="M16" i="7"/>
  <c r="L17" i="7"/>
  <c r="M16" i="13"/>
  <c r="G16" i="13" s="1"/>
  <c r="L17" i="13"/>
  <c r="M39" i="9"/>
  <c r="L40" i="9"/>
  <c r="M40" i="10"/>
  <c r="G40" i="10" s="1"/>
  <c r="L41" i="10"/>
  <c r="M14" i="8"/>
  <c r="L15" i="8"/>
  <c r="F41" i="10"/>
  <c r="E42" i="10"/>
  <c r="F9" i="9" l="1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12" i="9"/>
  <c r="G39" i="9"/>
  <c r="G36" i="9"/>
  <c r="M15" i="9"/>
  <c r="L16" i="9"/>
  <c r="G11" i="8"/>
  <c r="G39" i="8"/>
  <c r="G36" i="7"/>
  <c r="M16" i="11"/>
  <c r="L17" i="11"/>
  <c r="M16" i="12"/>
  <c r="G16" i="12" s="1"/>
  <c r="L17" i="12"/>
  <c r="F20" i="12"/>
  <c r="E21" i="12"/>
  <c r="M39" i="11"/>
  <c r="G39" i="11" s="1"/>
  <c r="L40" i="11"/>
  <c r="F42" i="12"/>
  <c r="E43" i="12"/>
  <c r="M15" i="8"/>
  <c r="L16" i="8"/>
  <c r="M17" i="13"/>
  <c r="G17" i="13" s="1"/>
  <c r="L18" i="13"/>
  <c r="F18" i="10"/>
  <c r="E19" i="10"/>
  <c r="M39" i="7"/>
  <c r="L40" i="7"/>
  <c r="F16" i="13"/>
  <c r="E17" i="13"/>
  <c r="M41" i="10"/>
  <c r="G41" i="10" s="1"/>
  <c r="L42" i="10"/>
  <c r="M41" i="13"/>
  <c r="G41" i="13" s="1"/>
  <c r="L42" i="13"/>
  <c r="F42" i="10"/>
  <c r="E43" i="10"/>
  <c r="M40" i="9"/>
  <c r="L41" i="9"/>
  <c r="M17" i="7"/>
  <c r="L18" i="7"/>
  <c r="M20" i="10"/>
  <c r="G20" i="10" s="1"/>
  <c r="L21" i="10"/>
  <c r="M43" i="8"/>
  <c r="L44" i="8"/>
  <c r="M39" i="12"/>
  <c r="G39" i="12" s="1"/>
  <c r="L40" i="12"/>
  <c r="F40" i="13"/>
  <c r="E41" i="13"/>
  <c r="E38" i="9" l="1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L17" i="9"/>
  <c r="M16" i="9"/>
  <c r="G41" i="8"/>
  <c r="G14" i="7"/>
  <c r="G37" i="7"/>
  <c r="G13" i="11"/>
  <c r="L18" i="11"/>
  <c r="M17" i="11"/>
  <c r="M42" i="13"/>
  <c r="G42" i="13" s="1"/>
  <c r="L43" i="13"/>
  <c r="M40" i="11"/>
  <c r="G40" i="11" s="1"/>
  <c r="L41" i="11"/>
  <c r="M18" i="7"/>
  <c r="L19" i="7"/>
  <c r="M40" i="7"/>
  <c r="L41" i="7"/>
  <c r="M40" i="12"/>
  <c r="G40" i="12" s="1"/>
  <c r="L41" i="12"/>
  <c r="L42" i="9"/>
  <c r="M41" i="9"/>
  <c r="F21" i="12"/>
  <c r="E22" i="12"/>
  <c r="L22" i="10"/>
  <c r="M21" i="10"/>
  <c r="G21" i="10" s="1"/>
  <c r="M16" i="8"/>
  <c r="L17" i="8"/>
  <c r="F17" i="13"/>
  <c r="E18" i="13"/>
  <c r="F41" i="13"/>
  <c r="E42" i="13"/>
  <c r="M42" i="10"/>
  <c r="G42" i="10" s="1"/>
  <c r="L43" i="10"/>
  <c r="M44" i="8"/>
  <c r="L45" i="8"/>
  <c r="F43" i="10"/>
  <c r="E44" i="10"/>
  <c r="F19" i="10"/>
  <c r="E20" i="10"/>
  <c r="F43" i="12"/>
  <c r="E44" i="12"/>
  <c r="M17" i="12"/>
  <c r="G17" i="12" s="1"/>
  <c r="L18" i="12"/>
  <c r="M18" i="13"/>
  <c r="G18" i="13" s="1"/>
  <c r="L19" i="13"/>
  <c r="F38" i="9" l="1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M17" i="9"/>
  <c r="L18" i="9"/>
  <c r="G12" i="8"/>
  <c r="G42" i="8"/>
  <c r="G15" i="7"/>
  <c r="G38" i="7"/>
  <c r="M18" i="11"/>
  <c r="L19" i="11"/>
  <c r="M17" i="8"/>
  <c r="L18" i="8"/>
  <c r="M18" i="12"/>
  <c r="G18" i="12" s="1"/>
  <c r="L19" i="12"/>
  <c r="L44" i="10"/>
  <c r="M43" i="10"/>
  <c r="G43" i="10" s="1"/>
  <c r="M41" i="11"/>
  <c r="G41" i="11" s="1"/>
  <c r="L42" i="11"/>
  <c r="M19" i="13"/>
  <c r="G19" i="13" s="1"/>
  <c r="L20" i="13"/>
  <c r="F22" i="12"/>
  <c r="E23" i="12"/>
  <c r="M19" i="7"/>
  <c r="L20" i="7"/>
  <c r="M42" i="9"/>
  <c r="L43" i="9"/>
  <c r="F44" i="12"/>
  <c r="E45" i="12"/>
  <c r="F44" i="10"/>
  <c r="E45" i="10"/>
  <c r="F42" i="13"/>
  <c r="E43" i="13"/>
  <c r="M41" i="12"/>
  <c r="G41" i="12" s="1"/>
  <c r="L42" i="12"/>
  <c r="M43" i="13"/>
  <c r="G43" i="13" s="1"/>
  <c r="L44" i="13"/>
  <c r="M41" i="7"/>
  <c r="L42" i="7"/>
  <c r="F20" i="10"/>
  <c r="E21" i="10"/>
  <c r="M45" i="8"/>
  <c r="L46" i="8"/>
  <c r="F18" i="13"/>
  <c r="E19" i="13"/>
  <c r="M22" i="10"/>
  <c r="G22" i="10" s="1"/>
  <c r="L23" i="10"/>
  <c r="F14" i="9" l="1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41" i="9"/>
  <c r="M18" i="9"/>
  <c r="L19" i="9"/>
  <c r="G13" i="8"/>
  <c r="G43" i="8"/>
  <c r="G16" i="7"/>
  <c r="G39" i="7"/>
  <c r="G14" i="11"/>
  <c r="L20" i="11"/>
  <c r="M19" i="11"/>
  <c r="M23" i="10"/>
  <c r="G23" i="10" s="1"/>
  <c r="L24" i="10"/>
  <c r="F19" i="13"/>
  <c r="E20" i="13"/>
  <c r="M42" i="7"/>
  <c r="L43" i="7"/>
  <c r="F45" i="12"/>
  <c r="E46" i="12"/>
  <c r="F45" i="10"/>
  <c r="E46" i="10"/>
  <c r="M42" i="12"/>
  <c r="G42" i="12" s="1"/>
  <c r="L43" i="12"/>
  <c r="F23" i="12"/>
  <c r="E24" i="12"/>
  <c r="M19" i="12"/>
  <c r="G19" i="12" s="1"/>
  <c r="L20" i="12"/>
  <c r="M46" i="8"/>
  <c r="L47" i="8"/>
  <c r="M43" i="9"/>
  <c r="L44" i="9"/>
  <c r="M20" i="13"/>
  <c r="G20" i="13" s="1"/>
  <c r="L21" i="13"/>
  <c r="M18" i="8"/>
  <c r="L19" i="8"/>
  <c r="M44" i="10"/>
  <c r="G44" i="10" s="1"/>
  <c r="L45" i="10"/>
  <c r="F21" i="10"/>
  <c r="E22" i="10"/>
  <c r="M44" i="13"/>
  <c r="G44" i="13" s="1"/>
  <c r="L45" i="13"/>
  <c r="F43" i="13"/>
  <c r="E44" i="13"/>
  <c r="L21" i="7"/>
  <c r="M20" i="7"/>
  <c r="M42" i="11"/>
  <c r="G42" i="11" s="1"/>
  <c r="L43" i="11"/>
  <c r="E41" i="9" l="1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42" i="9"/>
  <c r="M19" i="9"/>
  <c r="L20" i="9"/>
  <c r="G14" i="8"/>
  <c r="G46" i="8"/>
  <c r="G44" i="8"/>
  <c r="G17" i="7"/>
  <c r="G40" i="7"/>
  <c r="G15" i="11"/>
  <c r="M20" i="11"/>
  <c r="L21" i="11"/>
  <c r="F44" i="13"/>
  <c r="E45" i="13"/>
  <c r="M45" i="13"/>
  <c r="G45" i="13" s="1"/>
  <c r="L46" i="13"/>
  <c r="M21" i="13"/>
  <c r="G21" i="13" s="1"/>
  <c r="L22" i="13"/>
  <c r="M47" i="8"/>
  <c r="L48" i="8"/>
  <c r="M43" i="7"/>
  <c r="L44" i="7"/>
  <c r="M43" i="12"/>
  <c r="G43" i="12" s="1"/>
  <c r="L44" i="12"/>
  <c r="M19" i="8"/>
  <c r="L20" i="8"/>
  <c r="M43" i="11"/>
  <c r="G43" i="11" s="1"/>
  <c r="L44" i="11"/>
  <c r="F22" i="10"/>
  <c r="E23" i="10"/>
  <c r="M44" i="9"/>
  <c r="L45" i="9"/>
  <c r="M20" i="12"/>
  <c r="G20" i="12" s="1"/>
  <c r="L21" i="12"/>
  <c r="F46" i="10"/>
  <c r="E47" i="10"/>
  <c r="F20" i="13"/>
  <c r="E21" i="13"/>
  <c r="M45" i="10"/>
  <c r="G45" i="10" s="1"/>
  <c r="L46" i="10"/>
  <c r="F24" i="12"/>
  <c r="E25" i="12"/>
  <c r="F25" i="12" s="1"/>
  <c r="F46" i="12"/>
  <c r="E47" i="12"/>
  <c r="M24" i="10"/>
  <c r="G24" i="10" s="1"/>
  <c r="L25" i="10"/>
  <c r="M25" i="10" s="1"/>
  <c r="G25" i="10" s="1"/>
  <c r="M21" i="7"/>
  <c r="L22" i="7"/>
  <c r="F16" i="9" l="1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3" i="9"/>
  <c r="G43" i="9"/>
  <c r="M20" i="9"/>
  <c r="L21" i="9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13"/>
  <c r="G22" i="13" s="1"/>
  <c r="L23" i="13"/>
  <c r="F45" i="13"/>
  <c r="E46" i="13"/>
  <c r="M22" i="7"/>
  <c r="L23" i="7"/>
  <c r="F23" i="10"/>
  <c r="E24" i="10"/>
  <c r="M48" i="8"/>
  <c r="G48" i="8" s="1"/>
  <c r="L49" i="8"/>
  <c r="M49" i="8" s="1"/>
  <c r="G49" i="8" s="1"/>
  <c r="F47" i="12"/>
  <c r="E48" i="12"/>
  <c r="M46" i="10"/>
  <c r="G46" i="10" s="1"/>
  <c r="L47" i="10"/>
  <c r="M21" i="12"/>
  <c r="G21" i="12" s="1"/>
  <c r="L22" i="12"/>
  <c r="M20" i="8"/>
  <c r="L21" i="8"/>
  <c r="M46" i="13"/>
  <c r="G46" i="13" s="1"/>
  <c r="L47" i="13"/>
  <c r="F21" i="13"/>
  <c r="E22" i="13"/>
  <c r="M45" i="9"/>
  <c r="L46" i="9"/>
  <c r="M44" i="12"/>
  <c r="G44" i="12" s="1"/>
  <c r="L45" i="12"/>
  <c r="F42" i="9" l="1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4" i="9"/>
  <c r="G44" i="9"/>
  <c r="M21" i="9"/>
  <c r="L22" i="9"/>
  <c r="G16" i="8"/>
  <c r="G19" i="7"/>
  <c r="G44" i="7"/>
  <c r="G42" i="7"/>
  <c r="G17" i="11"/>
  <c r="M22" i="11"/>
  <c r="L23" i="11"/>
  <c r="M45" i="7"/>
  <c r="L46" i="7"/>
  <c r="M21" i="8"/>
  <c r="L22" i="8"/>
  <c r="M46" i="9"/>
  <c r="G46" i="9" s="1"/>
  <c r="L47" i="9"/>
  <c r="M22" i="12"/>
  <c r="G22" i="12" s="1"/>
  <c r="L23" i="12"/>
  <c r="M23" i="7"/>
  <c r="L24" i="7"/>
  <c r="M45" i="11"/>
  <c r="G45" i="11" s="1"/>
  <c r="L46" i="11"/>
  <c r="M45" i="12"/>
  <c r="G45" i="12" s="1"/>
  <c r="L46" i="12"/>
  <c r="F22" i="13"/>
  <c r="E23" i="13"/>
  <c r="M47" i="13"/>
  <c r="G47" i="13" s="1"/>
  <c r="L48" i="13"/>
  <c r="M47" i="10"/>
  <c r="G47" i="10" s="1"/>
  <c r="L48" i="10"/>
  <c r="F46" i="13"/>
  <c r="E47" i="13"/>
  <c r="F48" i="10"/>
  <c r="E49" i="10"/>
  <c r="F49" i="10" s="1"/>
  <c r="F48" i="12"/>
  <c r="E49" i="12"/>
  <c r="F49" i="12" s="1"/>
  <c r="F24" i="10"/>
  <c r="E25" i="10"/>
  <c r="F25" i="10" s="1"/>
  <c r="M23" i="13"/>
  <c r="G23" i="13" s="1"/>
  <c r="L24" i="13"/>
  <c r="E19" i="9" l="1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15" i="9"/>
  <c r="G45" i="9"/>
  <c r="L23" i="9"/>
  <c r="M22" i="9"/>
  <c r="G17" i="8"/>
  <c r="G23" i="7"/>
  <c r="G20" i="7"/>
  <c r="G43" i="7"/>
  <c r="G22" i="11"/>
  <c r="G18" i="11"/>
  <c r="L24" i="11"/>
  <c r="M23" i="11"/>
  <c r="F47" i="13"/>
  <c r="E48" i="13"/>
  <c r="M46" i="7"/>
  <c r="L47" i="7"/>
  <c r="M46" i="12"/>
  <c r="G46" i="12" s="1"/>
  <c r="L47" i="12"/>
  <c r="M23" i="12"/>
  <c r="G23" i="12" s="1"/>
  <c r="L24" i="12"/>
  <c r="F23" i="13"/>
  <c r="E24" i="13"/>
  <c r="M24" i="13"/>
  <c r="G24" i="13" s="1"/>
  <c r="L25" i="13"/>
  <c r="M25" i="13" s="1"/>
  <c r="G25" i="13" s="1"/>
  <c r="M48" i="10"/>
  <c r="G48" i="10" s="1"/>
  <c r="L49" i="10"/>
  <c r="M49" i="10" s="1"/>
  <c r="G49" i="10" s="1"/>
  <c r="M46" i="11"/>
  <c r="G46" i="11" s="1"/>
  <c r="L47" i="11"/>
  <c r="M47" i="9"/>
  <c r="G47" i="9" s="1"/>
  <c r="L48" i="9"/>
  <c r="M48" i="13"/>
  <c r="G48" i="13" s="1"/>
  <c r="L49" i="13"/>
  <c r="M49" i="13" s="1"/>
  <c r="G49" i="13" s="1"/>
  <c r="M24" i="7"/>
  <c r="L25" i="7"/>
  <c r="M25" i="7" s="1"/>
  <c r="M22" i="8"/>
  <c r="L23" i="8"/>
  <c r="F44" i="9" l="1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16" i="9"/>
  <c r="L24" i="9"/>
  <c r="M23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F24" i="13"/>
  <c r="E25" i="13"/>
  <c r="F25" i="13" s="1"/>
  <c r="M47" i="12"/>
  <c r="G47" i="12" s="1"/>
  <c r="L48" i="12"/>
  <c r="M23" i="8"/>
  <c r="L24" i="8"/>
  <c r="L49" i="9"/>
  <c r="M49" i="9" s="1"/>
  <c r="M48" i="9"/>
  <c r="G48" i="9" s="1"/>
  <c r="M24" i="12"/>
  <c r="G24" i="12" s="1"/>
  <c r="L25" i="12"/>
  <c r="M25" i="12" s="1"/>
  <c r="G25" i="12" s="1"/>
  <c r="M47" i="7"/>
  <c r="G47" i="7" s="1"/>
  <c r="L48" i="7"/>
  <c r="M47" i="11"/>
  <c r="G47" i="11" s="1"/>
  <c r="L48" i="11"/>
  <c r="F48" i="13"/>
  <c r="E49" i="13"/>
  <c r="F49" i="13" s="1"/>
  <c r="E21" i="9" l="1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17" i="9"/>
  <c r="G49" i="9"/>
  <c r="G40" i="9"/>
  <c r="L25" i="9"/>
  <c r="M25" i="9" s="1"/>
  <c r="M24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2"/>
  <c r="G48" i="12" s="1"/>
  <c r="L49" i="12"/>
  <c r="M49" i="12" s="1"/>
  <c r="G49" i="12" s="1"/>
  <c r="M48" i="11"/>
  <c r="G48" i="11" s="1"/>
  <c r="L49" i="11"/>
  <c r="M49" i="11" s="1"/>
  <c r="G49" i="11" s="1"/>
  <c r="M24" i="8"/>
  <c r="L25" i="8"/>
  <c r="M25" i="8" s="1"/>
  <c r="E22" i="9" l="1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18" i="9"/>
  <c r="G25" i="9"/>
  <c r="G19" i="9"/>
  <c r="G25" i="8"/>
  <c r="G21" i="8"/>
  <c r="G24" i="8"/>
  <c r="G20" i="8"/>
  <c r="F47" i="9" l="1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F23" i="9" l="1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E25" i="9" l="1"/>
  <c r="F25" i="9" s="1"/>
  <c r="F24" i="9"/>
  <c r="E49" i="8"/>
  <c r="F49" i="8" s="1"/>
  <c r="F48" i="8"/>
  <c r="F48" i="7"/>
  <c r="E49" i="7"/>
  <c r="F4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<sst xmlns="http://schemas.openxmlformats.org/spreadsheetml/2006/main" count="21017" uniqueCount="756">
  <si>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</si>
  <si>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</si>
  <si>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</si>
  <si>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</si>
  <si>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</si>
  <si>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</si>
  <si>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</si>
  <si>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</si>
  <si>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</si>
  <si>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</si>
  <si>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</si>
  <si>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</si>
  <si>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</si>
  <si>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</si>
  <si>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</si>
  <si>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</si>
  <si>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</si>
  <si>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</si>
  <si>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</si>
  <si>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</si>
  <si>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</si>
  <si>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</si>
  <si>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</si>
  <si>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</si>
  <si>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</si>
  <si>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</si>
  <si>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</si>
  <si>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</si>
  <si>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</si>
  <si>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</si>
  <si>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</si>
  <si>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</si>
  <si>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</si>
  <si>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</si>
  <si>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</si>
  <si>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</si>
  <si>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</si>
  <si>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</si>
  <si>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</si>
  <si>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</si>
  <si>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</si>
  <si>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</si>
  <si>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</si>
  <si>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</si>
  <si>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</si>
  <si>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</si>
  <si>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</si>
  <si>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</si>
  <si>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</si>
  <si>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</si>
  <si>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</si>
  <si>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</si>
  <si>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</si>
  <si>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</si>
  <si>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</si>
  <si>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</si>
  <si>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</si>
  <si>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</si>
  <si>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</si>
  <si>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</si>
  <si>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</si>
  <si>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</si>
  <si>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</si>
  <si>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</si>
  <si>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</si>
  <si>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</si>
  <si>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</si>
  <si>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</si>
  <si>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</si>
  <si>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</si>
  <si>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</si>
  <si>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</si>
  <si>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</si>
  <si>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</si>
  <si>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</si>
  <si>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</si>
  <si>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</si>
  <si>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</si>
  <si>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</si>
  <si>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</si>
  <si>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</si>
  <si>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</si>
  <si>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</si>
  <si>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</si>
  <si>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</si>
  <si>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</si>
  <si>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</si>
  <si>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</si>
  <si>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</si>
  <si>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</si>
  <si>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</si>
  <si>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</si>
  <si>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</si>
  <si>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</si>
  <si>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</si>
  <si>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</si>
  <si>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</si>
  <si>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</si>
  <si>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</si>
  <si>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</si>
  <si>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</si>
  <si>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</si>
  <si>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</si>
  <si>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</si>
  <si>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</si>
  <si>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</si>
  <si>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</si>
  <si>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</si>
  <si>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</si>
  <si>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</si>
  <si>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</si>
  <si>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</si>
  <si>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</si>
  <si>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</si>
  <si>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</si>
  <si>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</si>
  <si>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</si>
  <si>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</si>
  <si>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</si>
  <si>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</si>
  <si>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</si>
  <si>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</si>
  <si>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</si>
  <si>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</si>
  <si>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</si>
  <si>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</si>
  <si>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</si>
  <si>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</si>
  <si>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</si>
  <si>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</si>
  <si>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</si>
  <si>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</si>
  <si>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</si>
  <si>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</si>
  <si>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</si>
  <si>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</si>
  <si>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</si>
  <si>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</si>
  <si>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</si>
  <si>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</si>
  <si>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</si>
  <si>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</si>
  <si>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</si>
  <si>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</si>
  <si>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</si>
  <si>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</si>
  <si>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</si>
  <si>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</si>
  <si>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</si>
  <si>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</si>
  <si>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</si>
  <si>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</si>
  <si>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</si>
  <si>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</si>
  <si>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</si>
  <si>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</si>
  <si>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</si>
  <si>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</si>
  <si>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</si>
  <si>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</si>
  <si>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</si>
  <si>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</si>
  <si>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</si>
  <si>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</si>
  <si>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</si>
  <si>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</si>
  <si>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</si>
  <si>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</si>
  <si>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</si>
  <si>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</si>
  <si>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</si>
  <si>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</si>
  <si>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</si>
  <si>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</si>
  <si>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</si>
  <si>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</si>
  <si>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</si>
  <si>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</si>
  <si>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</si>
  <si>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</si>
  <si>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</si>
  <si>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</si>
  <si>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</si>
  <si>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</si>
  <si>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</si>
  <si>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</si>
  <si>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</si>
  <si>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</si>
  <si>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</si>
  <si>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</si>
  <si>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</si>
  <si>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</si>
  <si>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</si>
  <si>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</si>
  <si>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</si>
  <si>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</si>
  <si>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</si>
  <si>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</si>
  <si>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</si>
  <si>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</si>
  <si>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</si>
  <si>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</si>
  <si>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</si>
  <si>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</si>
  <si>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</si>
  <si>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</si>
  <si>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</si>
  <si>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</si>
  <si>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</si>
  <si>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</si>
  <si>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</si>
  <si>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</si>
  <si>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</si>
  <si>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</si>
  <si>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</si>
  <si>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</si>
  <si>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</si>
  <si>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</si>
  <si>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</si>
  <si>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</si>
  <si>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</si>
  <si>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</si>
  <si>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</si>
  <si>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</si>
  <si>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</si>
  <si>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</si>
  <si>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</si>
  <si>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</si>
  <si>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</si>
  <si>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</si>
  <si>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</si>
  <si>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</si>
  <si>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</si>
  <si>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</si>
  <si>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</si>
  <si>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</si>
  <si>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</si>
  <si>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</si>
  <si>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</si>
  <si>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</si>
  <si>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</si>
  <si>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</si>
  <si>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</si>
  <si>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</si>
  <si>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</si>
  <si>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</si>
  <si>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</si>
  <si>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</si>
  <si>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</si>
  <si>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</si>
  <si>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</si>
  <si>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</si>
  <si>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</si>
  <si>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</si>
  <si>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</si>
  <si>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</si>
  <si>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</si>
  <si>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</si>
  <si>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</si>
  <si>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</si>
  <si>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</si>
  <si>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</si>
  <si>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</si>
  <si>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</si>
  <si>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</si>
  <si>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</si>
  <si>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</si>
  <si>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</si>
  <si>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</si>
  <si>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</si>
  <si>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</si>
  <si>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</si>
  <si>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</si>
  <si>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</si>
  <si>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</si>
  <si>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</si>
  <si>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</si>
  <si>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</si>
  <si>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</si>
  <si>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</si>
  <si>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</si>
  <si>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</si>
  <si>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</si>
  <si>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</si>
  <si>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</si>
  <si>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</si>
  <si>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</si>
  <si>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</si>
  <si>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</si>
  <si>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</si>
  <si>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Дата поступления дс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</si>
  <si>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</si>
  <si>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</si>
  <si>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</si>
  <si>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</si>
  <si>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</si>
  <si>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</si>
  <si>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</si>
  <si>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</si>
  <si>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</si>
  <si>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Компенсировано</t>
  </si>
  <si>
    <t>Прочие начисления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</si>
  <si>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</si>
  <si>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</si>
  <si>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</si>
  <si>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</si>
  <si>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</si>
  <si>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</si>
  <si>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</si>
  <si>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</si>
  <si>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</si>
  <si>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</si>
  <si>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</si>
  <si>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</si>
  <si>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</si>
  <si>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</si>
  <si>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</si>
  <si>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</si>
  <si>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</si>
  <si>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</si>
  <si>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</si>
  <si>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</si>
  <si>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</si>
  <si>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</si>
  <si>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</si>
  <si>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</si>
  <si>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</si>
  <si>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</si>
  <si>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</si>
  <si>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</si>
  <si>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</si>
  <si>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</si>
  <si>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</si>
  <si>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</si>
  <si>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</si>
  <si>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</si>
  <si>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</si>
  <si>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</si>
  <si>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</si>
  <si>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</si>
  <si>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</si>
  <si>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</si>
  <si>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</si>
  <si>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</si>
  <si>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</si>
  <si>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</si>
  <si>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</si>
  <si>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</si>
  <si>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</si>
  <si>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</si>
  <si>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</si>
  <si>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</si>
  <si>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</si>
  <si>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</si>
  <si>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</si>
  <si>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</si>
  <si>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</si>
  <si>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</si>
  <si>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</si>
  <si>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</si>
  <si>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</si>
  <si>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</si>
  <si>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</si>
  <si>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</si>
  <si>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</si>
  <si>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</si>
  <si>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</si>
  <si>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</si>
  <si>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</si>
  <si>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</si>
  <si>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</si>
  <si>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</si>
  <si>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</si>
  <si>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</si>
  <si>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</si>
  <si>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</si>
  <si>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</si>
  <si>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</si>
  <si>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</si>
  <si>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</si>
  <si>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</si>
  <si>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</si>
  <si>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</si>
  <si>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</si>
  <si>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</si>
  <si>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</si>
  <si>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</si>
  <si>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</si>
  <si>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</si>
  <si>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</si>
  <si>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</si>
  <si>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</si>
  <si>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</si>
  <si>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</si>
  <si>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</si>
  <si>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</si>
  <si>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</si>
  <si>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</si>
  <si>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</si>
  <si>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</si>
  <si>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</si>
  <si>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</si>
  <si>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</si>
  <si>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</si>
  <si>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</si>
  <si>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</si>
  <si>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</si>
  <si>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</si>
  <si>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</si>
  <si>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</si>
  <si>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</si>
  <si>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</si>
  <si>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</si>
  <si>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</si>
  <si>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</si>
  <si>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</si>
  <si>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</si>
  <si>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</si>
  <si>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</si>
  <si>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</si>
  <si>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</si>
  <si>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</si>
  <si>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</si>
  <si>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</si>
  <si>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</si>
  <si>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</si>
  <si>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</si>
  <si>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</si>
  <si>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</si>
  <si>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</si>
  <si>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</si>
  <si>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</si>
  <si>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</si>
  <si>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</si>
  <si>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</si>
  <si>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</si>
  <si>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</si>
  <si>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</si>
  <si>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</si>
  <si>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</si>
  <si>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</si>
  <si>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</si>
  <si>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</si>
  <si>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</si>
  <si>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</si>
  <si>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</si>
  <si>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</si>
  <si>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</si>
  <si>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</si>
  <si>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</si>
  <si>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</si>
  <si>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</si>
  <si>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</si>
  <si>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</si>
  <si>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</si>
  <si>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</si>
  <si>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</si>
  <si>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</si>
  <si>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</si>
  <si>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</si>
  <si>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</si>
  <si>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</si>
  <si>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</si>
  <si>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</si>
  <si>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</si>
  <si>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</si>
  <si>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</si>
  <si>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</si>
  <si>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</si>
  <si>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</si>
  <si>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</si>
  <si>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</si>
  <si>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</si>
  <si>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</si>
  <si>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</si>
  <si>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</si>
  <si>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</si>
  <si>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</si>
  <si>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</si>
  <si>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</si>
  <si>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</si>
  <si>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</si>
  <si>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</si>
  <si>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</si>
  <si>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</si>
  <si>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</si>
  <si>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</si>
  <si>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</si>
  <si>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</si>
  <si>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</si>
  <si>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</si>
  <si>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</si>
  <si>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</si>
  <si>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</si>
  <si>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</si>
  <si>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</si>
  <si>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</si>
  <si>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</si>
  <si>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</si>
  <si>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</si>
  <si>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</si>
  <si>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</si>
  <si>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</si>
  <si>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</si>
  <si>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</si>
  <si>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</si>
  <si>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</si>
  <si>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</si>
  <si>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</si>
  <si>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</si>
  <si>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</si>
  <si>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</si>
  <si>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</si>
  <si>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</si>
  <si>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</si>
  <si>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</si>
  <si>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</si>
  <si>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</si>
  <si>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</si>
  <si>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</si>
  <si>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</si>
  <si>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</si>
  <si>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</si>
  <si>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</si>
  <si>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</si>
  <si>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</si>
  <si>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</si>
  <si>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</si>
  <si>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</si>
  <si>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</si>
  <si>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</si>
  <si>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</si>
  <si>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</si>
  <si>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</si>
  <si>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</si>
  <si>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</si>
  <si>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</si>
  <si>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</si>
  <si>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</si>
  <si>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</si>
  <si>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</si>
  <si>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</si>
  <si>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</si>
  <si>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</si>
  <si>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</si>
  <si>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</si>
  <si>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</si>
  <si>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</si>
  <si>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Период: 19.01.2026-25.01.2026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</si>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</sst>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[$-419]d\ mmm;@"/>
    <numFmt numFmtId="170" formatCode="#,##0.00_ ;\-#,##0.00\ "/>
    <numFmt numFmtId="171" formatCode="#,##0_ ;\-#,##0\ "/>
    <numFmt numFmtId="172" formatCode="_-* #,##0\ &quot;₽&quot;_-;\-* #,##0\ &quot;₽&quot;_-;_-* &quot;-&quot;??\ &quot;₽&quot;_-;_-@_-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308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" fontId="34" fillId="3" borderId="27" xfId="0" applyNumberFormat="1" applyFont="1" applyFill="1" applyBorder="1" applyAlignment="1">
      <alignment horizontal="center" vertical="center" wrapText="1"/>
    </xf>
    <xf numFmtId="0" fontId="34" fillId="18" borderId="28" xfId="0" applyFont="1" applyFill="1" applyBorder="1" applyAlignment="1">
      <alignment horizontal="center" vertical="center" wrapText="1"/>
    </xf>
    <xf numFmtId="0" fontId="34" fillId="6" borderId="28" xfId="0" applyFont="1" applyFill="1" applyBorder="1" applyAlignment="1">
      <alignment horizontal="center" vertical="center" wrapText="1"/>
    </xf>
    <xf numFmtId="0" fontId="34" fillId="19" borderId="28" xfId="0" applyFont="1" applyFill="1" applyBorder="1" applyAlignment="1">
      <alignment horizontal="center" vertical="center" wrapText="1"/>
    </xf>
    <xf numFmtId="170" fontId="37" fillId="0" borderId="29" xfId="6" applyNumberFormat="1" applyFont="1" applyFill="1" applyBorder="1"/>
    <xf numFmtId="171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4" fontId="38" fillId="0" borderId="29" xfId="6" applyNumberFormat="1" applyFont="1" applyFill="1" applyBorder="1"/>
    <xf numFmtId="4" fontId="36" fillId="4" borderId="29" xfId="6" applyNumberFormat="1" applyFont="1" applyFill="1" applyBorder="1"/>
    <xf numFmtId="4" fontId="34" fillId="12" borderId="29" xfId="6" applyNumberFormat="1" applyFont="1" applyFill="1" applyBorder="1"/>
    <xf numFmtId="9" fontId="36" fillId="0" borderId="0" xfId="11" applyFont="1" applyBorder="1"/>
    <xf numFmtId="172" fontId="36" fillId="0" borderId="0" xfId="12" applyNumberFormat="1" applyFont="1" applyBorder="1"/>
    <xf numFmtId="49" fontId="36" fillId="2" borderId="32" xfId="13" applyNumberFormat="1" applyFont="1" applyFill="1" applyBorder="1" applyAlignment="1">
      <alignment horizontal="center"/>
    </xf>
    <xf numFmtId="14" fontId="36" fillId="2" borderId="32" xfId="13" applyNumberFormat="1" applyFont="1" applyFill="1" applyBorder="1" applyAlignment="1">
      <alignment horizontal="center"/>
    </xf>
    <xf numFmtId="49" fontId="36" fillId="2" borderId="33" xfId="0" applyNumberFormat="1" applyFont="1" applyFill="1" applyBorder="1"/>
    <xf numFmtId="49" fontId="36" fillId="2" borderId="34" xfId="13" applyNumberFormat="1" applyFont="1" applyFill="1" applyBorder="1" applyAlignment="1">
      <alignment horizontal="center"/>
    </xf>
    <xf numFmtId="14" fontId="36" fillId="2" borderId="34" xfId="13" applyNumberFormat="1" applyFont="1" applyFill="1" applyBorder="1" applyAlignment="1">
      <alignment horizontal="center"/>
    </xf>
    <xf numFmtId="170" fontId="37" fillId="0" borderId="34" xfId="6" applyNumberFormat="1" applyFont="1" applyFill="1" applyBorder="1"/>
    <xf numFmtId="171" fontId="36" fillId="0" borderId="34" xfId="6" applyNumberFormat="1" applyFont="1" applyFill="1" applyBorder="1"/>
    <xf numFmtId="3" fontId="36" fillId="0" borderId="34" xfId="6" applyNumberFormat="1" applyFont="1" applyFill="1" applyBorder="1"/>
    <xf numFmtId="3" fontId="36" fillId="0" borderId="34" xfId="6" applyNumberFormat="1" applyFont="1" applyBorder="1"/>
    <xf numFmtId="4" fontId="36" fillId="0" borderId="34" xfId="6" applyNumberFormat="1" applyFont="1" applyBorder="1"/>
    <xf numFmtId="4" fontId="36" fillId="0" borderId="34" xfId="6" applyNumberFormat="1" applyFont="1" applyFill="1" applyBorder="1"/>
    <xf numFmtId="4" fontId="34" fillId="0" borderId="34" xfId="6" applyNumberFormat="1" applyFont="1" applyBorder="1"/>
    <xf numFmtId="4" fontId="36" fillId="2" borderId="34" xfId="6" applyNumberFormat="1" applyFont="1" applyFill="1" applyBorder="1"/>
    <xf numFmtId="4" fontId="36" fillId="4" borderId="34" xfId="6" applyNumberFormat="1" applyFont="1" applyFill="1" applyBorder="1"/>
    <xf numFmtId="49" fontId="36" fillId="2" borderId="36" xfId="0" applyNumberFormat="1" applyFont="1" applyFill="1" applyBorder="1"/>
    <xf numFmtId="14" fontId="36" fillId="2" borderId="36" xfId="13" applyNumberFormat="1" applyFont="1" applyFill="1" applyBorder="1" applyAlignment="1">
      <alignment horizontal="center"/>
    </xf>
    <xf numFmtId="49" fontId="36" fillId="2" borderId="34" xfId="0" applyNumberFormat="1" applyFont="1" applyFill="1" applyBorder="1"/>
    <xf numFmtId="49" fontId="36" fillId="2" borderId="33" xfId="13" applyNumberFormat="1" applyFont="1" applyFill="1" applyBorder="1" applyAlignment="1">
      <alignment horizontal="center"/>
    </xf>
    <xf numFmtId="49" fontId="36" fillId="2" borderId="36" xfId="13" applyNumberFormat="1" applyFont="1" applyFill="1" applyBorder="1" applyAlignment="1">
      <alignment horizontal="center"/>
    </xf>
    <xf numFmtId="49" fontId="36" fillId="2" borderId="25" xfId="0" applyNumberFormat="1" applyFont="1" applyFill="1" applyBorder="1"/>
    <xf numFmtId="49" fontId="36" fillId="2" borderId="25" xfId="13" applyNumberFormat="1" applyFont="1" applyFill="1" applyBorder="1" applyAlignment="1">
      <alignment horizontal="center"/>
    </xf>
    <xf numFmtId="14" fontId="36" fillId="2" borderId="25" xfId="13" applyNumberFormat="1" applyFont="1" applyFill="1" applyBorder="1" applyAlignment="1">
      <alignment horizontal="center"/>
    </xf>
    <xf numFmtId="170" fontId="37" fillId="0" borderId="32" xfId="6" applyNumberFormat="1" applyFont="1" applyFill="1" applyBorder="1"/>
    <xf numFmtId="49" fontId="36" fillId="2" borderId="29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14" fontId="36" fillId="2" borderId="29" xfId="13" applyNumberFormat="1" applyFont="1" applyFill="1" applyBorder="1" applyAlignment="1">
      <alignment horizontal="center"/>
    </xf>
    <xf numFmtId="14" fontId="36" fillId="2" borderId="33" xfId="13" applyNumberFormat="1" applyFont="1" applyFill="1" applyBorder="1" applyAlignment="1">
      <alignment horizontal="center"/>
    </xf>
    <xf numFmtId="170" fontId="37" fillId="0" borderId="33" xfId="6" applyNumberFormat="1" applyFont="1" applyFill="1" applyBorder="1"/>
    <xf numFmtId="4" fontId="34" fillId="12" borderId="33" xfId="6" applyNumberFormat="1" applyFont="1" applyFill="1" applyBorder="1"/>
    <xf numFmtId="49" fontId="34" fillId="0" borderId="39" xfId="0" applyNumberFormat="1" applyFont="1" applyBorder="1" applyAlignment="1">
      <alignment horizontal="left" vertical="center"/>
    </xf>
    <xf numFmtId="49" fontId="39" fillId="0" borderId="39" xfId="0" applyNumberFormat="1" applyFont="1" applyBorder="1" applyAlignment="1">
      <alignment horizontal="center" vertical="center"/>
    </xf>
    <xf numFmtId="0" fontId="39" fillId="0" borderId="39" xfId="0" applyFont="1" applyBorder="1" applyAlignment="1">
      <alignment horizontal="center" vertical="center"/>
    </xf>
    <xf numFmtId="169" fontId="39" fillId="0" borderId="39" xfId="0" applyNumberFormat="1" applyFont="1" applyBorder="1" applyAlignment="1">
      <alignment horizontal="center" vertical="center"/>
    </xf>
    <xf numFmtId="172" fontId="34" fillId="0" borderId="39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169" fontId="36" fillId="0" borderId="0" xfId="0" applyNumberFormat="1" applyFont="1"/>
    <xf numFmtId="0" fontId="36" fillId="0" borderId="0" xfId="0" applyFont="1"/>
    <xf numFmtId="0" fontId="34" fillId="0" borderId="0" xfId="13" applyFont="1" applyAlignment="1">
      <alignment horizontal="left" vertical="center"/>
    </xf>
    <xf numFmtId="172" fontId="36" fillId="0" borderId="0" xfId="0" applyNumberFormat="1" applyFont="1"/>
    <xf numFmtId="49" fontId="36" fillId="0" borderId="0" xfId="0" applyNumberFormat="1" applyFont="1" applyAlignment="1">
      <alignment horizontal="center"/>
    </xf>
    <xf numFmtId="169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1" fillId="0" borderId="43" xfId="0" applyFont="1" applyBorder="1" applyAlignment="1">
      <alignment horizontal="center" vertical="center" wrapText="1"/>
    </xf>
    <xf numFmtId="0" fontId="40" fillId="20" borderId="44" xfId="0" applyFont="1" applyFill="1" applyBorder="1" applyAlignment="1">
      <alignment horizontal="center" vertical="center" wrapText="1"/>
    </xf>
    <xf numFmtId="0" fontId="42" fillId="0" borderId="43" xfId="0" applyFont="1" applyBorder="1" applyAlignment="1">
      <alignment horizontal="center" vertical="center" wrapText="1"/>
    </xf>
    <xf numFmtId="0" fontId="40" fillId="21" borderId="44" xfId="0" applyFont="1" applyFill="1" applyBorder="1" applyAlignment="1">
      <alignment horizontal="center" vertical="center" wrapText="1"/>
    </xf>
    <xf numFmtId="0" fontId="42" fillId="0" borderId="45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2" fillId="22" borderId="45" xfId="0" applyFont="1" applyFill="1" applyBorder="1" applyAlignment="1">
      <alignment horizontal="center" wrapText="1"/>
    </xf>
    <xf numFmtId="9" fontId="42" fillId="0" borderId="45" xfId="0" applyNumberFormat="1" applyFont="1" applyBorder="1" applyAlignment="1">
      <alignment horizontal="center" vertical="center" wrapText="1"/>
    </xf>
    <xf numFmtId="0" fontId="42" fillId="23" borderId="45" xfId="0" applyFont="1" applyFill="1" applyBorder="1" applyAlignment="1">
      <alignment horizontal="center" wrapText="1"/>
    </xf>
    <xf numFmtId="0" fontId="42" fillId="24" borderId="45" xfId="0" applyFont="1" applyFill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27" fillId="0" borderId="0" xfId="9" applyNumberFormat="1" applyFont="1" applyFill="1" applyAlignment="1">
      <alignment horizontal="center" vertical="center"/>
    </xf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6" xfId="6" applyNumberFormat="1" applyFont="1" applyBorder="1"/>
    <xf numFmtId="44" fontId="34" fillId="0" borderId="39" xfId="0" applyNumberFormat="1" applyFont="1" applyBorder="1" applyAlignment="1">
      <alignment horizontal="center" vertical="center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49" fontId="36" fillId="2" borderId="3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8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35" xfId="0" applyNumberFormat="1" applyFont="1" applyFill="1" applyBorder="1" applyAlignment="1">
      <alignment horizontal="center" vertical="center"/>
    </xf>
    <xf numFmtId="2" fontId="34" fillId="12" borderId="31" xfId="0" applyNumberFormat="1" applyFont="1" applyFill="1" applyBorder="1" applyAlignment="1">
      <alignment horizontal="center" vertical="center"/>
    </xf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169" fontId="35" fillId="3" borderId="18" xfId="0" applyNumberFormat="1" applyFont="1" applyFill="1" applyBorder="1" applyAlignment="1">
      <alignment horizontal="center" vertical="center" wrapText="1"/>
    </xf>
    <xf numFmtId="169" fontId="35" fillId="3" borderId="24" xfId="0" applyNumberFormat="1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40" fillId="6" borderId="40" xfId="0" applyFont="1" applyFill="1" applyBorder="1" applyAlignment="1">
      <alignment horizontal="center" vertical="center" wrapText="1"/>
    </xf>
    <xf numFmtId="0" fontId="40" fillId="6" borderId="41" xfId="0" applyFont="1" applyFill="1" applyBorder="1" applyAlignment="1">
      <alignment horizontal="center" vertical="center" wrapText="1"/>
    </xf>
    <xf numFmtId="0" fontId="40" fillId="6" borderId="42" xfId="0" applyFont="1" applyFill="1" applyBorder="1" applyAlignment="1">
      <alignment horizontal="center" vertical="center" wrapText="1"/>
    </xf>
    <xf numFmtId="0" fontId="40" fillId="25" borderId="40" xfId="0" applyFont="1" applyFill="1" applyBorder="1" applyAlignment="1">
      <alignment horizontal="center" vertical="center" wrapText="1"/>
    </xf>
    <xf numFmtId="0" fontId="40" fillId="25" borderId="41" xfId="0" applyFont="1" applyFill="1" applyBorder="1" applyAlignment="1">
      <alignment horizontal="center" vertical="center" wrapText="1"/>
    </xf>
    <xf numFmtId="0" fontId="40" fillId="25" borderId="42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15"/>
  <sheetViews>
    <sheetView topLeftCell="F1" zoomScale="50" zoomScaleNormal="50" workbookViewId="0">
      <selection activeCell="X10" sqref="X10"/>
    </sheetView>
  </sheetViews>
  <sheetFormatPr defaultColWidth="12.08984375" defaultRowHeight="13.5" outlineLevelCol="1"/>
  <cols>
    <col min="1" max="1" width="12.453125" style="239" customWidth="1"/>
    <col min="2" max="2" width="13.81640625" style="239" customWidth="1"/>
    <col min="3" max="3" width="5.7265625" style="240" customWidth="1"/>
    <col min="4" max="4" width="13.6328125" style="241" customWidth="1"/>
    <col min="5" max="5" width="17" style="242" customWidth="1"/>
    <col min="6" max="6" width="10.453125" style="242" customWidth="1"/>
    <col min="7" max="7" width="11.1796875" style="242" customWidth="1"/>
    <col min="8" max="8" width="12.08984375" style="242"/>
    <col min="9" max="9" width="18.36328125" style="242" customWidth="1"/>
    <col min="10" max="10" width="20.81640625" style="242" customWidth="1"/>
    <col min="11" max="11" width="17.90625" style="242" customWidth="1"/>
    <col min="12" max="14" width="16.54296875" style="242" customWidth="1"/>
    <col min="15" max="15" width="11.36328125" style="242" hidden="1" customWidth="1" outlineLevel="1"/>
    <col min="16" max="16" width="19.7265625" style="242" hidden="1" customWidth="1" outlineLevel="1"/>
    <col min="17" max="17" width="10.26953125" style="242" hidden="1" customWidth="1" outlineLevel="1"/>
    <col min="18" max="18" width="15.81640625" style="242" bestFit="1" customWidth="1" collapsed="1"/>
    <col min="19" max="19" width="14.453125" style="242" customWidth="1"/>
    <col min="20" max="21" width="17.36328125" style="242" customWidth="1"/>
    <col min="22" max="22" width="22.81640625" style="242" customWidth="1"/>
    <col min="23" max="23" width="17.1796875" style="242" customWidth="1"/>
    <col min="24" max="24" width="16.81640625" style="242" customWidth="1"/>
    <col min="25" max="25" width="15.7265625" style="242" customWidth="1"/>
    <col min="26" max="27" width="16.90625" style="242" customWidth="1"/>
    <col min="28" max="28" width="18.26953125" style="242" customWidth="1"/>
    <col min="29" max="29" width="19.54296875" style="201" customWidth="1"/>
    <col min="30" max="31" width="18.26953125" style="201" customWidth="1"/>
    <col min="32" max="16384" width="12.08984375" style="242"/>
  </cols>
  <sheetData>
    <row r="1" spans="1:36" s="180" customFormat="1" ht="19.25" customHeight="1" thickBot="1">
      <c r="A1" s="292" t="s">
        <v>289</v>
      </c>
      <c r="B1" s="293"/>
      <c r="C1" s="293"/>
      <c r="D1" s="294" t="s">
        <v>290</v>
      </c>
      <c r="E1" s="296" t="s">
        <v>291</v>
      </c>
      <c r="F1" s="298" t="s">
        <v>292</v>
      </c>
      <c r="G1" s="299"/>
      <c r="H1" s="300"/>
      <c r="I1" s="301" t="s">
        <v>128</v>
      </c>
      <c r="J1" s="301"/>
      <c r="K1" s="301"/>
      <c r="L1" s="283" t="s">
        <v>21</v>
      </c>
      <c r="M1" s="290" t="s">
        <v>293</v>
      </c>
      <c r="N1" s="290" t="s">
        <v>294</v>
      </c>
      <c r="O1" s="290" t="s">
        <v>295</v>
      </c>
      <c r="P1" s="290" t="s">
        <v>296</v>
      </c>
      <c r="Q1" s="290" t="s">
        <v>27</v>
      </c>
      <c r="R1" s="290" t="s">
        <v>297</v>
      </c>
      <c r="S1" s="272" t="s">
        <v>298</v>
      </c>
      <c r="T1" s="281" t="s">
        <v>299</v>
      </c>
      <c r="U1" s="272" t="s">
        <v>123</v>
      </c>
      <c r="V1" s="281" t="s">
        <v>300</v>
      </c>
      <c r="W1" s="272" t="s">
        <v>754</v>
      </c>
      <c r="X1" s="272" t="s">
        <v>301</v>
      </c>
      <c r="Y1" s="283" t="s">
        <v>302</v>
      </c>
      <c r="Z1" s="285" t="s">
        <v>303</v>
      </c>
      <c r="AA1" s="287" t="s">
        <v>304</v>
      </c>
      <c r="AB1" s="289" t="s">
        <v>305</v>
      </c>
      <c r="AC1" s="280" t="s">
        <v>35</v>
      </c>
      <c r="AD1" s="280" t="s">
        <v>36</v>
      </c>
      <c r="AE1" s="280" t="s">
        <v>306</v>
      </c>
      <c r="AG1" s="181" t="s">
        <v>307</v>
      </c>
    </row>
    <row r="2" spans="1:36" s="180" customFormat="1" ht="31" customHeight="1" thickBot="1">
      <c r="A2" s="182" t="s">
        <v>308</v>
      </c>
      <c r="B2" s="182" t="s">
        <v>309</v>
      </c>
      <c r="C2" s="183" t="s">
        <v>310</v>
      </c>
      <c r="D2" s="295"/>
      <c r="E2" s="297"/>
      <c r="F2" s="184" t="s">
        <v>311</v>
      </c>
      <c r="G2" s="184" t="s">
        <v>127</v>
      </c>
      <c r="H2" s="184" t="s">
        <v>312</v>
      </c>
      <c r="I2" s="185" t="s">
        <v>127</v>
      </c>
      <c r="J2" s="185" t="s">
        <v>312</v>
      </c>
      <c r="K2" s="185" t="s">
        <v>313</v>
      </c>
      <c r="L2" s="284"/>
      <c r="M2" s="291"/>
      <c r="N2" s="291"/>
      <c r="O2" s="291"/>
      <c r="P2" s="291"/>
      <c r="Q2" s="291"/>
      <c r="R2" s="291"/>
      <c r="S2" s="273"/>
      <c r="T2" s="282"/>
      <c r="U2" s="273"/>
      <c r="V2" s="282"/>
      <c r="W2" s="273"/>
      <c r="X2" s="273"/>
      <c r="Y2" s="284"/>
      <c r="Z2" s="286"/>
      <c r="AA2" s="288"/>
      <c r="AB2" s="289"/>
      <c r="AC2" s="280"/>
      <c r="AD2" s="280"/>
      <c r="AE2" s="280"/>
      <c r="AG2" s="186" t="s">
        <v>310</v>
      </c>
      <c r="AH2" s="187" t="s">
        <v>314</v>
      </c>
      <c r="AI2" s="188" t="s">
        <v>315</v>
      </c>
      <c r="AJ2" s="189" t="s">
        <v>316</v>
      </c>
    </row>
    <row r="3" spans="1:36" s="202" customFormat="1" ht="27" customHeight="1">
      <c r="A3" s="274" t="s">
        <v>318</v>
      </c>
      <c r="B3" s="217" t="s">
        <v>319</v>
      </c>
      <c r="C3" s="203"/>
      <c r="D3" s="204"/>
      <c r="E3" s="225">
        <f t="shared" ref="E3:E12" si="0">K3-SUM(M3:U3)+V3+W3+X3</f>
        <v>6689.7486206896574</v>
      </c>
      <c r="F3" s="191">
        <f>'Юнит 01-04.01'!K$26</f>
        <v>44</v>
      </c>
      <c r="G3" s="191">
        <f>'Юнит 01-04.01'!P$26</f>
        <v>28</v>
      </c>
      <c r="H3" s="191">
        <f>'Юнит 01-04.01'!Q$26</f>
        <v>0</v>
      </c>
      <c r="I3" s="192">
        <f>'Юнит 01-04.01'!S$26</f>
        <v>45978</v>
      </c>
      <c r="J3" s="193">
        <f>'Юнит 01-04.01'!T$26</f>
        <v>0</v>
      </c>
      <c r="K3" s="193">
        <f>I3+J3</f>
        <v>45978</v>
      </c>
      <c r="L3" s="194">
        <f>'Юнит 01-04.01'!W$26</f>
        <v>4528.66</v>
      </c>
      <c r="M3" s="195">
        <f>'Юнит 01-04.01'!Z$26</f>
        <v>3709.3399999999997</v>
      </c>
      <c r="N3" s="194">
        <f>'Юнит 01-04.01'!X$26</f>
        <v>19770.54</v>
      </c>
      <c r="O3" s="194"/>
      <c r="P3" s="196"/>
      <c r="Q3" s="194"/>
      <c r="R3" s="197">
        <f>'Юнит 01-04.01'!AA$26</f>
        <v>14387.481379310344</v>
      </c>
      <c r="S3" s="195"/>
      <c r="T3" s="195">
        <v>808.39</v>
      </c>
      <c r="U3" s="195">
        <v>612.5</v>
      </c>
      <c r="V3" s="197"/>
      <c r="W3" s="197"/>
      <c r="X3" s="195"/>
      <c r="Y3" s="199">
        <f t="shared" ref="Y3:Y12" si="1">(K3)*0.01</f>
        <v>459.78000000000003</v>
      </c>
      <c r="Z3" s="200">
        <f>K3-SUM(M3:U3)-L3-Y3+V3+X3</f>
        <v>1701.3086206896576</v>
      </c>
      <c r="AA3" s="277">
        <f ca="1">SUM(Z3:Z12)</f>
        <v>33354.59000000004</v>
      </c>
      <c r="AB3" s="201">
        <f t="shared" ref="AB3:AB12" si="2">L3/K3</f>
        <v>9.8496237330897379E-2</v>
      </c>
      <c r="AC3" s="201">
        <f t="shared" ref="AC3:AC12" si="3">Z3/L3</f>
        <v>0.37567594402972571</v>
      </c>
      <c r="AD3" s="201">
        <f t="shared" ref="AD3:AD12" si="4">Z3/K3</f>
        <v>3.7002666942660786E-2</v>
      </c>
      <c r="AE3" s="201">
        <f t="shared" ref="AE3:AE13" si="5">R3/K3</f>
        <v>0.3129209921986677</v>
      </c>
    </row>
    <row r="4" spans="1:36" s="202" customFormat="1" ht="27" customHeight="1">
      <c r="A4" s="275"/>
      <c r="B4" s="219" t="s">
        <v>320</v>
      </c>
      <c r="C4" s="206"/>
      <c r="D4" s="207"/>
      <c r="E4" s="230">
        <f t="shared" si="0"/>
        <v>1720.7513793103449</v>
      </c>
      <c r="F4" s="209">
        <f>'Юнит 01-04.01'!K$49</f>
        <v>5</v>
      </c>
      <c r="G4" s="209">
        <f>'Юнит 01-04.01'!P$49</f>
        <v>1</v>
      </c>
      <c r="H4" s="209">
        <f>'Юнит 01-04.01'!Q$49</f>
        <v>0</v>
      </c>
      <c r="I4" s="210">
        <f>'Юнит 01-04.01'!S$49</f>
        <v>4247</v>
      </c>
      <c r="J4" s="211">
        <f>'Юнит 01-04.01'!T$49</f>
        <v>0</v>
      </c>
      <c r="K4" s="211">
        <f t="shared" ref="K4:K12" si="6">I4+J4</f>
        <v>4247</v>
      </c>
      <c r="L4" s="212">
        <f>'Юнит 01-04.01'!W$49</f>
        <v>597</v>
      </c>
      <c r="M4" s="213">
        <f>'Юнит 01-04.01'!Z$49</f>
        <v>186.2</v>
      </c>
      <c r="N4" s="212">
        <f>'Юнит 01-04.01'!X$49</f>
        <v>1826.21</v>
      </c>
      <c r="O4" s="212"/>
      <c r="P4" s="214"/>
      <c r="Q4" s="212"/>
      <c r="R4" s="215">
        <f>'Юнит 01-04.01'!AA$49</f>
        <v>513.83862068965516</v>
      </c>
      <c r="S4" s="213"/>
      <c r="T4" s="213"/>
      <c r="U4" s="213"/>
      <c r="V4" s="215"/>
      <c r="W4" s="215"/>
      <c r="X4" s="213"/>
      <c r="Y4" s="216">
        <f t="shared" si="1"/>
        <v>42.47</v>
      </c>
      <c r="Z4" s="231">
        <f t="shared" ref="Z4:Z12" si="7">K4-SUM(M4:U4)-L4-Y4+V4+X4</f>
        <v>1081.2813793103448</v>
      </c>
      <c r="AA4" s="278"/>
      <c r="AB4" s="201">
        <f t="shared" si="2"/>
        <v>0.1405698139863433</v>
      </c>
      <c r="AC4" s="201">
        <f t="shared" si="3"/>
        <v>1.811191590134581</v>
      </c>
      <c r="AD4" s="201">
        <f t="shared" si="4"/>
        <v>0.25459886491884737</v>
      </c>
      <c r="AE4" s="201">
        <f t="shared" si="5"/>
        <v>0.12098860859186605</v>
      </c>
    </row>
    <row r="5" spans="1:36" s="202" customFormat="1" ht="27" customHeight="1">
      <c r="A5" s="275"/>
      <c r="B5" s="217" t="s">
        <v>321</v>
      </c>
      <c r="C5" s="221"/>
      <c r="D5" s="218"/>
      <c r="E5" s="190">
        <f t="shared" si="0"/>
        <v>15120.023666666661</v>
      </c>
      <c r="F5" s="191">
        <f>'Юнит 05-11.01'!K$26</f>
        <v>74</v>
      </c>
      <c r="G5" s="191">
        <f>'Юнит 05-11.01'!P$26</f>
        <v>58</v>
      </c>
      <c r="H5" s="191">
        <f>'Юнит 05-11.01'!Q$26</f>
        <v>4</v>
      </c>
      <c r="I5" s="192">
        <f>'Юнит 05-11.01'!S$26</f>
        <v>92160.000000000015</v>
      </c>
      <c r="J5" s="193">
        <f>'Юнит 05-11.01'!T$26</f>
        <v>-6799</v>
      </c>
      <c r="K5" s="193">
        <f t="shared" si="6"/>
        <v>85361.000000000015</v>
      </c>
      <c r="L5" s="194">
        <f>'Юнит 05-11.01'!W$26</f>
        <v>7651.7999999999993</v>
      </c>
      <c r="M5" s="195">
        <f>'Юнит 05-11.01'!Z$26</f>
        <v>9950.2700000000059</v>
      </c>
      <c r="N5" s="194">
        <f>'Юнит 05-11.01'!X$26</f>
        <v>36705.23000000001</v>
      </c>
      <c r="O5" s="194"/>
      <c r="P5" s="196"/>
      <c r="Q5" s="194"/>
      <c r="R5" s="197">
        <f>'Юнит 05-11.01'!AA$26</f>
        <v>20346.216333333334</v>
      </c>
      <c r="S5" s="195">
        <v>5</v>
      </c>
      <c r="T5" s="195">
        <v>1918.46</v>
      </c>
      <c r="U5" s="195">
        <v>1315.8</v>
      </c>
      <c r="V5" s="197"/>
      <c r="W5" s="197"/>
      <c r="X5" s="195"/>
      <c r="Y5" s="199">
        <f t="shared" si="1"/>
        <v>853.61000000000013</v>
      </c>
      <c r="Z5" s="200">
        <f t="shared" si="7"/>
        <v>6614.6136666666607</v>
      </c>
      <c r="AA5" s="278"/>
      <c r="AB5" s="201">
        <f t="shared" si="2"/>
        <v>8.9640468129473627E-2</v>
      </c>
      <c r="AC5" s="201">
        <f t="shared" si="3"/>
        <v>0.86445198079754582</v>
      </c>
      <c r="AD5" s="201">
        <f t="shared" si="4"/>
        <v>7.7489880234142758E-2</v>
      </c>
      <c r="AE5" s="201">
        <f t="shared" si="5"/>
        <v>0.23835494351440739</v>
      </c>
    </row>
    <row r="6" spans="1:36" s="202" customFormat="1" ht="27" customHeight="1">
      <c r="A6" s="275"/>
      <c r="B6" s="205" t="s">
        <v>322</v>
      </c>
      <c r="C6" s="206"/>
      <c r="D6" s="207"/>
      <c r="E6" s="230">
        <f t="shared" si="0"/>
        <v>4389.7863333333335</v>
      </c>
      <c r="F6" s="209">
        <f>'Юнит 05-11.01'!K$49</f>
        <v>4</v>
      </c>
      <c r="G6" s="209">
        <f>'Юнит 05-11.01'!P$49</f>
        <v>2</v>
      </c>
      <c r="H6" s="209">
        <f>'Юнит 05-11.01'!Q$49</f>
        <v>0</v>
      </c>
      <c r="I6" s="210">
        <f>'Юнит 05-11.01'!S$49</f>
        <v>10524</v>
      </c>
      <c r="J6" s="211">
        <f>'Юнит 05-11.01'!T$49</f>
        <v>0</v>
      </c>
      <c r="K6" s="211">
        <f t="shared" si="6"/>
        <v>10524</v>
      </c>
      <c r="L6" s="212">
        <f>'Юнит 05-11.01'!W$49</f>
        <v>1329</v>
      </c>
      <c r="M6" s="213">
        <f>'Юнит 05-11.01'!Z$49</f>
        <v>907.30000000000007</v>
      </c>
      <c r="N6" s="212">
        <f>'Юнит 05-11.01'!X$49</f>
        <v>4525.32</v>
      </c>
      <c r="O6" s="212"/>
      <c r="P6" s="214"/>
      <c r="Q6" s="212"/>
      <c r="R6" s="215">
        <f>'Юнит 05-11.01'!AA$49</f>
        <v>701.59366666666676</v>
      </c>
      <c r="S6" s="213"/>
      <c r="T6" s="213"/>
      <c r="U6" s="213"/>
      <c r="V6" s="215"/>
      <c r="W6" s="215"/>
      <c r="X6" s="213"/>
      <c r="Y6" s="216">
        <f t="shared" si="1"/>
        <v>105.24000000000001</v>
      </c>
      <c r="Z6" s="231">
        <f t="shared" si="7"/>
        <v>2955.5463333333337</v>
      </c>
      <c r="AA6" s="278"/>
      <c r="AB6" s="201">
        <f t="shared" si="2"/>
        <v>0.12628278221208666</v>
      </c>
      <c r="AC6" s="201">
        <f t="shared" si="3"/>
        <v>2.2238873839979938</v>
      </c>
      <c r="AD6" s="201">
        <f t="shared" si="4"/>
        <v>0.28083868617762575</v>
      </c>
      <c r="AE6" s="201">
        <f t="shared" si="5"/>
        <v>6.6666064867604222E-2</v>
      </c>
    </row>
    <row r="7" spans="1:36" s="202" customFormat="1" ht="27" customHeight="1">
      <c r="A7" s="275"/>
      <c r="B7" s="226" t="s">
        <v>323</v>
      </c>
      <c r="C7" s="227"/>
      <c r="D7" s="228"/>
      <c r="E7" s="190">
        <f t="shared" si="0"/>
        <v>23997.297540983607</v>
      </c>
      <c r="F7" s="191">
        <f>'Юнит 12-18.01'!K$26</f>
        <v>96</v>
      </c>
      <c r="G7" s="191">
        <f>'Юнит 12-18.01'!P$26</f>
        <v>56</v>
      </c>
      <c r="H7" s="191">
        <f>'Юнит 12-18.01'!Q$26</f>
        <v>0</v>
      </c>
      <c r="I7" s="192">
        <f>'Юнит 12-18.01'!S$26</f>
        <v>91762.000000000015</v>
      </c>
      <c r="J7" s="193">
        <f>'Юнит 12-18.01'!T$26</f>
        <v>0</v>
      </c>
      <c r="K7" s="193">
        <f>I7+J7</f>
        <v>91762.000000000015</v>
      </c>
      <c r="L7" s="194">
        <f>'Юнит 12-18.01'!W$26</f>
        <v>7841.91</v>
      </c>
      <c r="M7" s="195">
        <f>'Юнит 12-18.01'!Z$26</f>
        <v>9811.6400000000031</v>
      </c>
      <c r="N7" s="194">
        <f>'Юнит 12-18.01'!X$26</f>
        <v>39457.660000000011</v>
      </c>
      <c r="O7" s="194"/>
      <c r="P7" s="196"/>
      <c r="Q7" s="194"/>
      <c r="R7" s="197">
        <f>'Юнит 12-18.01'!AA$26</f>
        <v>22526.532459016395</v>
      </c>
      <c r="S7" s="195"/>
      <c r="T7" s="195">
        <v>2168.87</v>
      </c>
      <c r="U7" s="195">
        <v>800</v>
      </c>
      <c r="V7" s="197"/>
      <c r="W7" s="197">
        <v>7000</v>
      </c>
      <c r="X7" s="198"/>
      <c r="Y7" s="199">
        <f t="shared" si="1"/>
        <v>917.62000000000012</v>
      </c>
      <c r="Z7" s="200">
        <f t="shared" si="7"/>
        <v>8237.7675409836065</v>
      </c>
      <c r="AA7" s="278"/>
      <c r="AB7" s="201">
        <f t="shared" si="2"/>
        <v>8.5459231490159313E-2</v>
      </c>
      <c r="AC7" s="201">
        <f t="shared" si="3"/>
        <v>1.0504797352919897</v>
      </c>
      <c r="AD7" s="201">
        <f t="shared" si="4"/>
        <v>8.9773190874039413E-2</v>
      </c>
      <c r="AE7" s="201">
        <f t="shared" si="5"/>
        <v>0.24548868223247522</v>
      </c>
    </row>
    <row r="8" spans="1:36" s="202" customFormat="1" ht="27" customHeight="1">
      <c r="A8" s="275"/>
      <c r="B8" s="219" t="s">
        <v>324</v>
      </c>
      <c r="C8" s="206"/>
      <c r="D8" s="207"/>
      <c r="E8" s="230">
        <f t="shared" si="0"/>
        <v>8441.1124590163945</v>
      </c>
      <c r="F8" s="209">
        <f>'Юнит 12-18.01'!K$49</f>
        <v>30</v>
      </c>
      <c r="G8" s="209">
        <f>'Юнит 12-18.01'!P$49</f>
        <v>5</v>
      </c>
      <c r="H8" s="209">
        <f>'Юнит 12-18.01'!Q$49</f>
        <v>0</v>
      </c>
      <c r="I8" s="210">
        <f>'Юнит 12-18.01'!S$49</f>
        <v>21020</v>
      </c>
      <c r="J8" s="211">
        <f>'Юнит 12-18.01'!T$49</f>
        <v>0</v>
      </c>
      <c r="K8" s="211">
        <f t="shared" si="6"/>
        <v>21020</v>
      </c>
      <c r="L8" s="212">
        <f>'Юнит 12-18.01'!W$49</f>
        <v>3435</v>
      </c>
      <c r="M8" s="213">
        <f>'Юнит 12-18.01'!Z$49</f>
        <v>1528.99</v>
      </c>
      <c r="N8" s="212">
        <f>'Юнит 12-18.01'!X$49</f>
        <v>9038.5999999999985</v>
      </c>
      <c r="O8" s="212"/>
      <c r="P8" s="214"/>
      <c r="Q8" s="212"/>
      <c r="R8" s="215">
        <f>'Юнит 12-18.01'!AA$49</f>
        <v>2011.2975409836067</v>
      </c>
      <c r="S8" s="213"/>
      <c r="T8" s="213"/>
      <c r="U8" s="213"/>
      <c r="V8" s="215"/>
      <c r="W8" s="215"/>
      <c r="X8" s="213"/>
      <c r="Y8" s="216">
        <f t="shared" si="1"/>
        <v>210.20000000000002</v>
      </c>
      <c r="Z8" s="231">
        <f t="shared" si="7"/>
        <v>4795.9124590163947</v>
      </c>
      <c r="AA8" s="278"/>
      <c r="AB8" s="201">
        <f t="shared" si="2"/>
        <v>0.16341579448144625</v>
      </c>
      <c r="AC8" s="201">
        <f t="shared" si="3"/>
        <v>1.3961899444006971</v>
      </c>
      <c r="AD8" s="201">
        <f t="shared" si="4"/>
        <v>0.22815948901124619</v>
      </c>
      <c r="AE8" s="201">
        <f t="shared" si="5"/>
        <v>9.5684944861256269E-2</v>
      </c>
    </row>
    <row r="9" spans="1:36" s="202" customFormat="1" ht="27" customHeight="1">
      <c r="A9" s="275"/>
      <c r="B9" s="217" t="s">
        <v>325</v>
      </c>
      <c r="C9" s="221"/>
      <c r="D9" s="218"/>
      <c r="E9" s="190">
        <f t="shared" si="0"/>
        <v>15283.413414634197</v>
      </c>
      <c r="F9" s="191">
        <f>'Юнит 19-25.01'!K$26</f>
        <v>119</v>
      </c>
      <c r="G9" s="191">
        <f>'Юнит 19-25.01'!P$26</f>
        <v>64</v>
      </c>
      <c r="H9" s="191">
        <f>'Юнит 19-25.01'!Q$26</f>
        <v>1</v>
      </c>
      <c r="I9" s="192">
        <f>'Юнит 19-25.01'!S$26</f>
        <v>104586.00000000003</v>
      </c>
      <c r="J9" s="193">
        <f>'Юнит 19-25.01'!T$26</f>
        <v>-1670</v>
      </c>
      <c r="K9" s="193">
        <f t="shared" si="6"/>
        <v>102916.00000000003</v>
      </c>
      <c r="L9" s="194">
        <f>'Юнит 19-25.01'!W$26</f>
        <v>9494.9799999999977</v>
      </c>
      <c r="M9" s="195">
        <f>'Юнит 19-25.01'!Z$26</f>
        <v>12870.130000000006</v>
      </c>
      <c r="N9" s="194">
        <f>'Юнит 19-25.01'!X$26</f>
        <v>44253.879999999983</v>
      </c>
      <c r="O9" s="194"/>
      <c r="P9" s="196"/>
      <c r="Q9" s="194"/>
      <c r="R9" s="197">
        <f>'Юнит 19-25.01'!AA$26</f>
        <v>31721.256585365853</v>
      </c>
      <c r="S9" s="195">
        <v>15</v>
      </c>
      <c r="T9" s="195">
        <v>3536.42</v>
      </c>
      <c r="U9" s="195">
        <v>2235.9</v>
      </c>
      <c r="V9" s="197"/>
      <c r="W9" s="197">
        <v>7000</v>
      </c>
      <c r="X9" s="198"/>
      <c r="Y9" s="199">
        <f t="shared" si="1"/>
        <v>1029.1600000000003</v>
      </c>
      <c r="Z9" s="200">
        <f t="shared" si="7"/>
        <v>-2240.7265853658014</v>
      </c>
      <c r="AA9" s="278"/>
      <c r="AB9" s="201">
        <f t="shared" si="2"/>
        <v>9.2259512612227396E-2</v>
      </c>
      <c r="AC9" s="201">
        <f t="shared" si="3"/>
        <v>-0.23599065878662218</v>
      </c>
      <c r="AD9" s="201">
        <f t="shared" si="4"/>
        <v>-2.1772383160692223E-2</v>
      </c>
      <c r="AE9" s="201">
        <f t="shared" si="5"/>
        <v>0.30822473264959621</v>
      </c>
    </row>
    <row r="10" spans="1:36" s="202" customFormat="1" ht="27" customHeight="1">
      <c r="A10" s="275"/>
      <c r="B10" s="205" t="s">
        <v>326</v>
      </c>
      <c r="C10" s="220"/>
      <c r="D10" s="229"/>
      <c r="E10" s="230">
        <f t="shared" si="0"/>
        <v>20301.696585365848</v>
      </c>
      <c r="F10" s="209">
        <f>'Юнит 19-25.01'!K$49</f>
        <v>66</v>
      </c>
      <c r="G10" s="209">
        <f>'Юнит 19-25.01'!P$49</f>
        <v>18</v>
      </c>
      <c r="H10" s="209">
        <f>'Юнит 19-25.01'!Q$49</f>
        <v>4</v>
      </c>
      <c r="I10" s="210">
        <f>'Юнит 19-25.01'!S$49</f>
        <v>80413</v>
      </c>
      <c r="J10" s="211">
        <f>'Юнит 19-25.01'!T$49</f>
        <v>-17932</v>
      </c>
      <c r="K10" s="211">
        <f t="shared" si="6"/>
        <v>62481</v>
      </c>
      <c r="L10" s="212">
        <f>'Юнит 19-25.01'!W$49</f>
        <v>9468</v>
      </c>
      <c r="M10" s="213">
        <f>'Юнит 19-25.01'!Z$49</f>
        <v>6390.8700000000008</v>
      </c>
      <c r="N10" s="212">
        <f>'Юнит 19-25.01'!X$49</f>
        <v>26866.83</v>
      </c>
      <c r="O10" s="212"/>
      <c r="P10" s="214"/>
      <c r="Q10" s="212"/>
      <c r="R10" s="215">
        <f>'Юнит 19-25.01'!AA$49</f>
        <v>8921.6034146341462</v>
      </c>
      <c r="S10" s="213"/>
      <c r="T10" s="213"/>
      <c r="U10" s="213"/>
      <c r="V10" s="215"/>
      <c r="W10" s="215"/>
      <c r="X10" s="213"/>
      <c r="Y10" s="216">
        <f t="shared" si="1"/>
        <v>624.81000000000006</v>
      </c>
      <c r="Z10" s="231">
        <f t="shared" si="7"/>
        <v>10208.886585365848</v>
      </c>
      <c r="AA10" s="278"/>
      <c r="AB10" s="201">
        <f t="shared" si="2"/>
        <v>0.15153406635617228</v>
      </c>
      <c r="AC10" s="201">
        <f t="shared" si="3"/>
        <v>1.0782516461096163</v>
      </c>
      <c r="AD10" s="201">
        <f t="shared" si="4"/>
        <v>0.16339185649022661</v>
      </c>
      <c r="AE10" s="201">
        <f t="shared" si="5"/>
        <v>0.14278906250914913</v>
      </c>
    </row>
    <row r="11" spans="1:36" s="202" customFormat="1" ht="27" customHeight="1">
      <c r="A11" s="275"/>
      <c r="B11" s="226" t="s">
        <v>327</v>
      </c>
      <c r="C11" s="227"/>
      <c r="D11" s="228"/>
      <c r="E11" s="190">
        <f t="shared" ca="1" si="0"/>
        <v>0</v>
      </c>
      <c r="F11" s="191">
        <f>'Юнит 26-31.01'!K$26</f>
        <v>0</v>
      </c>
      <c r="G11" s="191">
        <f ca="1">'Юнит 26-31.01'!P$26</f>
        <v>0</v>
      </c>
      <c r="H11" s="191">
        <f ca="1">'Юнит 26-31.01'!Q$26</f>
        <v>0</v>
      </c>
      <c r="I11" s="192">
        <f ca="1">'Юнит 26-31.01'!S$26</f>
        <v>0</v>
      </c>
      <c r="J11" s="193">
        <f ca="1">'Юнит 26-31.01'!T$26</f>
        <v>0</v>
      </c>
      <c r="K11" s="193">
        <f t="shared" ca="1" si="6"/>
        <v>0</v>
      </c>
      <c r="L11" s="194">
        <f ca="1">'Юнит 26-31.01'!W$26</f>
        <v>0</v>
      </c>
      <c r="M11" s="195">
        <f ca="1">'Юнит 26-31.01'!Z$26</f>
        <v>0</v>
      </c>
      <c r="N11" s="194">
        <f ca="1">'Юнит 26-31.01'!X$26</f>
        <v>0</v>
      </c>
      <c r="O11" s="194"/>
      <c r="P11" s="196"/>
      <c r="Q11" s="194"/>
      <c r="R11" s="197">
        <f ca="1">'Юнит 26-31.01'!AA$26</f>
        <v>0</v>
      </c>
      <c r="S11" s="195"/>
      <c r="T11" s="195"/>
      <c r="U11" s="195"/>
      <c r="V11" s="197"/>
      <c r="W11" s="197"/>
      <c r="X11" s="195"/>
      <c r="Y11" s="199">
        <f t="shared" ca="1" si="1"/>
        <v>0</v>
      </c>
      <c r="Z11" s="200">
        <f t="shared" ca="1" si="7"/>
        <v>0</v>
      </c>
      <c r="AA11" s="278"/>
      <c r="AB11" s="201" t="e">
        <f t="shared" ca="1" si="2"/>
        <v>#DIV/0!</v>
      </c>
      <c r="AC11" s="201" t="e">
        <f t="shared" ca="1" si="3"/>
        <v>#DIV/0!</v>
      </c>
      <c r="AD11" s="201" t="e">
        <f t="shared" ca="1" si="4"/>
        <v>#DIV/0!</v>
      </c>
      <c r="AE11" s="201" t="e">
        <f t="shared" ca="1" si="5"/>
        <v>#DIV/0!</v>
      </c>
    </row>
    <row r="12" spans="1:36" s="202" customFormat="1" ht="27" customHeight="1" thickBot="1">
      <c r="A12" s="276"/>
      <c r="B12" s="222" t="s">
        <v>328</v>
      </c>
      <c r="C12" s="223"/>
      <c r="D12" s="224"/>
      <c r="E12" s="208">
        <f t="shared" ca="1" si="0"/>
        <v>0</v>
      </c>
      <c r="F12" s="209">
        <f>'Юнит 26-31.01'!K$49</f>
        <v>0</v>
      </c>
      <c r="G12" s="209">
        <f ca="1">'Юнит 26-31.01'!P$49</f>
        <v>0</v>
      </c>
      <c r="H12" s="209">
        <f ca="1">'Юнит 26-31.01'!Q$49</f>
        <v>0</v>
      </c>
      <c r="I12" s="210">
        <f ca="1">'Юнит 26-31.01'!S$49</f>
        <v>0</v>
      </c>
      <c r="J12" s="211">
        <f ca="1">'Юнит 26-31.01'!T$49</f>
        <v>0</v>
      </c>
      <c r="K12" s="211">
        <f t="shared" ca="1" si="6"/>
        <v>0</v>
      </c>
      <c r="L12" s="270">
        <f ca="1">'Юнит 26-31.01'!W$26</f>
        <v>0</v>
      </c>
      <c r="M12" s="213">
        <f ca="1">'Юнит 26-31.01'!Z$49</f>
        <v>0</v>
      </c>
      <c r="N12" s="212">
        <f ca="1">'Юнит 26-31.01'!X$49</f>
        <v>0</v>
      </c>
      <c r="O12" s="212"/>
      <c r="P12" s="214"/>
      <c r="Q12" s="212"/>
      <c r="R12" s="215">
        <f ca="1">'Юнит 26-31.01'!AA$49</f>
        <v>0</v>
      </c>
      <c r="S12" s="213"/>
      <c r="T12" s="213"/>
      <c r="U12" s="213"/>
      <c r="V12" s="215"/>
      <c r="W12" s="215"/>
      <c r="X12" s="213"/>
      <c r="Y12" s="216">
        <f t="shared" ca="1" si="1"/>
        <v>0</v>
      </c>
      <c r="Z12" s="200">
        <f t="shared" ca="1" si="7"/>
        <v>0</v>
      </c>
      <c r="AA12" s="279"/>
      <c r="AB12" s="201" t="e">
        <f t="shared" ca="1" si="2"/>
        <v>#DIV/0!</v>
      </c>
      <c r="AC12" s="201" t="e">
        <f t="shared" ca="1" si="3"/>
        <v>#DIV/0!</v>
      </c>
      <c r="AD12" s="201" t="e">
        <f t="shared" ca="1" si="4"/>
        <v>#DIV/0!</v>
      </c>
      <c r="AE12" s="201" t="e">
        <f t="shared" ca="1" si="5"/>
        <v>#DIV/0!</v>
      </c>
    </row>
    <row r="13" spans="1:36" s="238" customFormat="1" ht="22" customHeight="1" thickBot="1">
      <c r="A13" s="232" t="s">
        <v>303</v>
      </c>
      <c r="B13" s="233"/>
      <c r="C13" s="234"/>
      <c r="D13" s="235"/>
      <c r="E13" s="236">
        <f ca="1">SUM(E3:E12)</f>
        <v>95943.830000000045</v>
      </c>
      <c r="F13" s="236">
        <f t="shared" ref="F13:X13" si="8">SUM(F3:F12)</f>
        <v>438</v>
      </c>
      <c r="G13" s="236">
        <f t="shared" ca="1" si="8"/>
        <v>232</v>
      </c>
      <c r="H13" s="236">
        <f t="shared" ca="1" si="8"/>
        <v>9</v>
      </c>
      <c r="I13" s="236">
        <f t="shared" ca="1" si="8"/>
        <v>450690</v>
      </c>
      <c r="J13" s="236">
        <f t="shared" ca="1" si="8"/>
        <v>-26401</v>
      </c>
      <c r="K13" s="236">
        <f t="shared" ca="1" si="8"/>
        <v>424289</v>
      </c>
      <c r="L13" s="236">
        <f t="shared" ca="1" si="8"/>
        <v>44346.35</v>
      </c>
      <c r="M13" s="236">
        <f t="shared" ca="1" si="8"/>
        <v>45354.74000000002</v>
      </c>
      <c r="N13" s="236">
        <f t="shared" ca="1" si="8"/>
        <v>182444.27000000002</v>
      </c>
      <c r="O13" s="236">
        <f t="shared" si="8"/>
        <v>0</v>
      </c>
      <c r="P13" s="236">
        <f t="shared" si="8"/>
        <v>0</v>
      </c>
      <c r="Q13" s="236">
        <f t="shared" si="8"/>
        <v>0</v>
      </c>
      <c r="R13" s="236">
        <f ca="1">SUM(R3:R12)</f>
        <v>101129.81999999999</v>
      </c>
      <c r="S13" s="236">
        <f t="shared" si="8"/>
        <v>20</v>
      </c>
      <c r="T13" s="236">
        <f>SUM(T3:T12)</f>
        <v>8432.14</v>
      </c>
      <c r="U13" s="236">
        <f>SUM(U3:U12)</f>
        <v>4964.2000000000007</v>
      </c>
      <c r="V13" s="236">
        <f t="shared" si="8"/>
        <v>0</v>
      </c>
      <c r="W13" s="236"/>
      <c r="X13" s="236">
        <f t="shared" si="8"/>
        <v>0</v>
      </c>
      <c r="Y13" s="236">
        <f ca="1">SUM(Y3:Y12)</f>
        <v>4242.8900000000003</v>
      </c>
      <c r="Z13" s="271">
        <f ca="1">SUM(Z3:Z12)</f>
        <v>33354.59000000004</v>
      </c>
      <c r="AA13" s="271">
        <f ca="1">SUM(AA3:AA12)</f>
        <v>33354.59000000004</v>
      </c>
      <c r="AB13" s="237">
        <f ca="1">L13/K13</f>
        <v>0.10451920742701319</v>
      </c>
      <c r="AC13" s="237">
        <f ca="1">Z13/L13</f>
        <v>0.75213833832998755</v>
      </c>
      <c r="AD13" s="237">
        <f ca="1">Z13/K13</f>
        <v>7.8612902997720988E-2</v>
      </c>
      <c r="AE13" s="237">
        <f t="shared" ca="1" si="5"/>
        <v>0.23835126529323172</v>
      </c>
    </row>
    <row r="14" spans="1:36">
      <c r="I14" s="243" t="s">
        <v>317</v>
      </c>
      <c r="K14" s="244"/>
      <c r="N14" s="244"/>
      <c r="S14" s="244"/>
      <c r="T14" s="244"/>
      <c r="U14" s="244"/>
      <c r="Y14" s="244"/>
    </row>
    <row r="15" spans="1:36" s="240" customFormat="1">
      <c r="A15" s="245"/>
      <c r="B15" s="245"/>
      <c r="D15" s="246"/>
      <c r="E15" s="247"/>
      <c r="F15" s="247"/>
      <c r="G15" s="247"/>
      <c r="H15" s="247"/>
      <c r="J15" s="248">
        <f ca="1">-J13/I13</f>
        <v>5.8579067651822761E-2</v>
      </c>
      <c r="K15" s="249">
        <v>0</v>
      </c>
      <c r="L15" s="248">
        <f ca="1">L13/$K$13</f>
        <v>0.10451920742701319</v>
      </c>
      <c r="M15" s="248">
        <f ca="1">M13/$K$13</f>
        <v>0.10689586578959158</v>
      </c>
      <c r="N15" s="248">
        <f ca="1">N13/$K$13</f>
        <v>0.43000000000000005</v>
      </c>
      <c r="O15" s="248"/>
      <c r="P15" s="248"/>
      <c r="Q15" s="248"/>
      <c r="R15" s="248">
        <f ca="1">R13/$K$13</f>
        <v>0.23835126529323172</v>
      </c>
      <c r="S15" s="248"/>
      <c r="T15" s="248"/>
      <c r="U15" s="248"/>
      <c r="V15" s="238"/>
      <c r="W15" s="238"/>
      <c r="X15" s="238"/>
      <c r="Y15" s="248">
        <f ca="1">Y13/$K$13</f>
        <v>0.01</v>
      </c>
      <c r="Z15" s="248">
        <f ca="1">Z13/L13</f>
        <v>0.75213833832998755</v>
      </c>
      <c r="AA15" s="181" t="s">
        <v>35</v>
      </c>
      <c r="AB15" s="238"/>
      <c r="AC15" s="250"/>
      <c r="AD15" s="250"/>
      <c r="AE15" s="250"/>
    </row>
  </sheetData>
  <mergeCells count="27">
    <mergeCell ref="Q1:Q2"/>
    <mergeCell ref="L1:L2"/>
    <mergeCell ref="M1:M2"/>
    <mergeCell ref="N1:N2"/>
    <mergeCell ref="O1:O2"/>
    <mergeCell ref="P1:P2"/>
    <mergeCell ref="A1:C1"/>
    <mergeCell ref="D1:D2"/>
    <mergeCell ref="E1:E2"/>
    <mergeCell ref="F1:H1"/>
    <mergeCell ref="I1:K1"/>
    <mergeCell ref="W1:W2"/>
    <mergeCell ref="A3:A12"/>
    <mergeCell ref="AA3:AA12"/>
    <mergeCell ref="AE1:AE2"/>
    <mergeCell ref="S1:S2"/>
    <mergeCell ref="T1:T2"/>
    <mergeCell ref="U1:U2"/>
    <mergeCell ref="V1:V2"/>
    <mergeCell ref="X1:X2"/>
    <mergeCell ref="Y1:Y2"/>
    <mergeCell ref="Z1:Z2"/>
    <mergeCell ref="AA1:AA2"/>
    <mergeCell ref="AB1:AB2"/>
    <mergeCell ref="AC1:AC2"/>
    <mergeCell ref="AD1:AD2"/>
    <mergeCell ref="R1:R2"/>
  </mergeCells>
  <conditionalFormatting sqref="K2">
    <cfRule type="dataBar" priority="1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13">
    <cfRule type="dataBar" priority="1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13">
    <cfRule type="dataBar" priority="1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13">
    <cfRule type="dataBar" priority="1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1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1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1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M7"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N7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3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M7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N7"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K7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K7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K7"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M7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N7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M7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N7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K7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K7"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M7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N7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K7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M7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N7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M7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N7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K7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M8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N8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3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M8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N8"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K8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K8">
    <cfRule type="dataBar" priority="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K8">
    <cfRule type="dataBar" priority="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M8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N8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M8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N8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K8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K8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M8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N8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K8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M8"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N8"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M8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N8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K8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12">
    <cfRule type="dataBar" priority="1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12">
    <cfRule type="dataBar" priority="1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12">
    <cfRule type="dataBar" priority="1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M3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N3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M3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N3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K3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K3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K3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M3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N3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M3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N3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K3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K3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M3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N3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K3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M3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N3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M3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N3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K3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M4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N4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1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M4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N4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K4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K4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K4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M4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N4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M4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N4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K4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K4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M4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N4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K4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M4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N4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M4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N4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K4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M5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N5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M5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N5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K5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K5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K5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M5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N5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M5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N5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K5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K5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M5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N5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K5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M5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N5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M5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N5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K5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M6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N6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M6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N6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K6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K6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K6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M6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N6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M6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N6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K6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K6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M6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N6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K6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M6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N6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M6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N6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K6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M9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N9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M9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N9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K9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K9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K9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M9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N9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M9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N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K9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K9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M9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N9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K9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M9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N9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M9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N9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K9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M10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N10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M10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N10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K10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K10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K10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M10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N10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M10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N10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K10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K10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M10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N10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K10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M10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N10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M10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N10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K10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M11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N11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M11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N11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K11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K1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K1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M1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N11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M11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N11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K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K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M11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N11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K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M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N11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M11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N11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K11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M1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N12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M1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N12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K1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K1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K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{2B39508D-BA60-469E-A774-190447F2D58A}</x14:id>
        </ext>
      </extLst>
    </cfRule>
  </conditionalFormatting>
  <conditionalFormatting sqref="M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{D4DE3395-08E5-44A3-99F6-B31BCDF754ED}</x14:id>
        </ext>
      </extLst>
    </cfRule>
  </conditionalFormatting>
  <conditionalFormatting sqref="N12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{7683FADA-8B49-47B2-8F77-AC7F96669BB0}</x14:id>
        </ext>
      </extLst>
    </cfRule>
  </conditionalFormatting>
  <conditionalFormatting sqref="M1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{5E84C0A7-BF52-40FD-A3E4-4F8C341804FB}</x14:id>
        </ext>
      </extLst>
    </cfRule>
  </conditionalFormatting>
  <conditionalFormatting sqref="N12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{40641DD5-9F07-4B39-9F31-8594A0240642}</x14:id>
        </ext>
      </extLst>
    </cfRule>
  </conditionalFormatting>
  <conditionalFormatting sqref="K1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{CB3F2B39-F7F9-45F4-BDE5-0AB9B09BB599}</x14:id>
        </ext>
      </extLst>
    </cfRule>
  </conditionalFormatting>
  <conditionalFormatting sqref="K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{F82F9CD2-8FEE-49FE-B967-8ECC619D7EBD}</x14:id>
        </ext>
      </extLst>
    </cfRule>
  </conditionalFormatting>
  <conditionalFormatting sqref="M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{C39E8199-1C43-46F3-A397-BFD6C2DFF8F2}</x14:id>
        </ext>
      </extLst>
    </cfRule>
  </conditionalFormatting>
  <conditionalFormatting sqref="N1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{CE74E839-0010-459A-B75A-646BEC4843E0}</x14:id>
        </ext>
      </extLst>
    </cfRule>
  </conditionalFormatting>
  <conditionalFormatting sqref="K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{13DA1E3F-9EC5-496B-A114-0B9345D0A6A7}</x14:id>
        </ext>
      </extLst>
    </cfRule>
  </conditionalFormatting>
  <conditionalFormatting sqref="M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{E55C39DA-16AB-44B0-8DB7-7311A8C686A7}</x14:id>
        </ext>
      </extLst>
    </cfRule>
  </conditionalFormatting>
  <conditionalFormatting sqref="N1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{6E912CCF-2721-4B23-B2FF-0DF9CF818CF3}</x14:id>
        </ext>
      </extLst>
    </cfRule>
  </conditionalFormatting>
  <conditionalFormatting sqref="M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{2D187512-AF02-494C-98C0-611932FCDB22}</x14:id>
        </ext>
      </extLst>
    </cfRule>
  </conditionalFormatting>
  <conditionalFormatting sqref="N12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{356F95E6-7296-4B0E-83DE-B19F591F6FA4}</x14:id>
        </ext>
      </extLst>
    </cfRule>
  </conditionalFormatting>
  <conditionalFormatting sqref="K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{34F83905-3BE4-400D-A38C-5F1756A5962A}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AE13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AC3:AC12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AD3:AD12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AE3:AE12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2B39508D-BA60-469E-A774-190447F2D5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D4DE3395-08E5-44A3-99F6-B31BCDF754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683FADA-8B49-47B2-8F77-AC7F96669B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5E84C0A7-BF52-40FD-A3E4-4F8C34180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40641DD5-9F07-4B39-9F31-8594A0240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CB3F2B39-F7F9-45F4-BDE5-0AB9B09BB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F82F9CD2-8FEE-49FE-B967-8ECC619D7E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C39E8199-1C43-46F3-A397-BFD6C2DFF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CE74E839-0010-459A-B75A-646BEC4843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13DA1E3F-9EC5-496B-A114-0B9345D0A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E55C39DA-16AB-44B0-8DB7-7311A8C68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6E912CCF-2721-4B23-B2FF-0DF9CF818C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2D187512-AF02-494C-98C0-611932FCD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56F95E6-7296-4B0E-83DE-B19F591F6F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34F83905-3BE4-400D-A38C-5F1756A596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EB69-AF74-4110-8DC8-403BF0035E0C}">
  <dimension ref="B1:Q50"/>
  <sheetViews>
    <sheetView topLeftCell="A40" zoomScale="90" zoomScaleNormal="90" workbookViewId="0">
      <selection activeCell="E50" sqref="E5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329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1" t="s">
        <v>28</v>
      </c>
      <c r="D3" s="252" t="s">
        <v>330</v>
      </c>
      <c r="E3" s="253" t="s">
        <v>331</v>
      </c>
      <c r="F3" s="252" t="s">
        <v>332</v>
      </c>
      <c r="G3" s="252" t="s">
        <v>333</v>
      </c>
      <c r="J3" s="251" t="s">
        <v>334</v>
      </c>
      <c r="K3" s="252" t="s">
        <v>335</v>
      </c>
      <c r="L3" s="253" t="s">
        <v>331</v>
      </c>
      <c r="M3" s="254" t="s">
        <v>333</v>
      </c>
    </row>
    <row r="4" spans="2:17" ht="28.5" customHeight="1" outlineLevel="1" thickBot="1">
      <c r="B4" s="255" t="s">
        <v>38</v>
      </c>
      <c r="C4" s="256"/>
      <c r="D4" s="257" t="e">
        <f>C4/C$26</f>
        <v>#DIV/0!</v>
      </c>
      <c r="E4" s="257" t="e">
        <f>D4</f>
        <v>#DIV/0!</v>
      </c>
      <c r="F4" s="258" t="e">
        <f t="shared" ref="F4:F12" si="0">IF(AND(E4&lt;=0),"C",IF(E4&lt;=0.8,"A",IF(E4&lt;=0.95,"B","C")))</f>
        <v>#DIV/0!</v>
      </c>
      <c r="G4" s="258" t="e">
        <f>VLOOKUP(B$4:B$25,I$4:M$25,5,0)</f>
        <v>#DIV/0!</v>
      </c>
      <c r="I4" s="255" t="s">
        <v>38</v>
      </c>
      <c r="J4" s="256"/>
      <c r="K4" s="257" t="e">
        <f>J4/J$26</f>
        <v>#DIV/0!</v>
      </c>
      <c r="L4" s="257" t="e">
        <f>K4</f>
        <v>#DIV/0!</v>
      </c>
      <c r="M4" s="258" t="e">
        <f t="shared" ref="M4:M12" si="1">_xlfn.IFS(L4&lt;80%,"A",L4&lt;=95%,"B",L4&gt;95%,"C")</f>
        <v>#DIV/0!</v>
      </c>
    </row>
    <row r="5" spans="2:17" ht="28.5" customHeight="1" outlineLevel="1" thickBot="1">
      <c r="B5" s="255" t="s">
        <v>39</v>
      </c>
      <c r="C5" s="256"/>
      <c r="D5" s="257" t="e">
        <f>C5/C$26</f>
        <v>#DIV/0!</v>
      </c>
      <c r="E5" s="257" t="e">
        <f>D5+E4</f>
        <v>#DIV/0!</v>
      </c>
      <c r="F5" s="258" t="e">
        <f t="shared" si="0"/>
        <v>#DIV/0!</v>
      </c>
      <c r="G5" s="258" t="e">
        <f>VLOOKUP(B$4:B$25,I$4:M$25,5,0)</f>
        <v>#DIV/0!</v>
      </c>
      <c r="I5" s="255" t="s">
        <v>39</v>
      </c>
      <c r="J5" s="256"/>
      <c r="K5" s="257" t="e">
        <f>J5/J$26</f>
        <v>#DIV/0!</v>
      </c>
      <c r="L5" s="257" t="e">
        <f>K5+L4</f>
        <v>#DIV/0!</v>
      </c>
      <c r="M5" s="258" t="e">
        <f t="shared" si="1"/>
        <v>#DIV/0!</v>
      </c>
    </row>
    <row r="6" spans="2:17" ht="28.5" customHeight="1" outlineLevel="1" thickBot="1">
      <c r="B6" s="255" t="s">
        <v>40</v>
      </c>
      <c r="C6" s="256"/>
      <c r="D6" s="257" t="e">
        <f>C6/C$26</f>
        <v>#DIV/0!</v>
      </c>
      <c r="E6" s="257" t="e">
        <f t="shared" ref="E6:E25" si="2">D6+E5</f>
        <v>#DIV/0!</v>
      </c>
      <c r="F6" s="258" t="e">
        <f t="shared" si="0"/>
        <v>#DIV/0!</v>
      </c>
      <c r="G6" s="258" t="e">
        <f>VLOOKUP(B$4:B$25,I$4:M$25,5,0)</f>
        <v>#DIV/0!</v>
      </c>
      <c r="I6" s="255" t="s">
        <v>40</v>
      </c>
      <c r="J6" s="256"/>
      <c r="K6" s="257" t="e">
        <f>J6/J$26</f>
        <v>#DIV/0!</v>
      </c>
      <c r="L6" s="257" t="e">
        <f t="shared" ref="L6:L25" si="3">K6+L5</f>
        <v>#DIV/0!</v>
      </c>
      <c r="M6" s="258" t="e">
        <f t="shared" si="1"/>
        <v>#DIV/0!</v>
      </c>
    </row>
    <row r="7" spans="2:17" ht="28.5" customHeight="1" outlineLevel="1" thickBot="1">
      <c r="B7" s="255" t="s">
        <v>41</v>
      </c>
      <c r="C7" s="256"/>
      <c r="D7" s="257" t="e">
        <f>C7/C$26</f>
        <v>#DIV/0!</v>
      </c>
      <c r="E7" s="257" t="e">
        <f t="shared" si="2"/>
        <v>#DIV/0!</v>
      </c>
      <c r="F7" s="258" t="e">
        <f t="shared" si="0"/>
        <v>#DIV/0!</v>
      </c>
      <c r="G7" s="258" t="e">
        <f>VLOOKUP(B$4:B$25,I$4:M$25,5,0)</f>
        <v>#DIV/0!</v>
      </c>
      <c r="I7" s="255" t="s">
        <v>41</v>
      </c>
      <c r="J7" s="256"/>
      <c r="K7" s="257" t="e">
        <f>J7/J$26</f>
        <v>#DIV/0!</v>
      </c>
      <c r="L7" s="257" t="e">
        <f t="shared" si="3"/>
        <v>#DIV/0!</v>
      </c>
      <c r="M7" s="258" t="e">
        <f t="shared" si="1"/>
        <v>#DIV/0!</v>
      </c>
    </row>
    <row r="8" spans="2:17" ht="28.5" customHeight="1" outlineLevel="1" thickBot="1">
      <c r="B8" s="255" t="s">
        <v>42</v>
      </c>
      <c r="C8" s="256"/>
      <c r="D8" s="257" t="e">
        <f>C8/C$26</f>
        <v>#DIV/0!</v>
      </c>
      <c r="E8" s="257" t="e">
        <f t="shared" si="2"/>
        <v>#DIV/0!</v>
      </c>
      <c r="F8" s="258" t="e">
        <f t="shared" si="0"/>
        <v>#DIV/0!</v>
      </c>
      <c r="G8" s="258" t="e">
        <f>VLOOKUP(B$4:B$25,I$4:M$25,5,0)</f>
        <v>#DIV/0!</v>
      </c>
      <c r="I8" s="255" t="s">
        <v>42</v>
      </c>
      <c r="J8" s="256"/>
      <c r="K8" s="257" t="e">
        <f>J8/J$26</f>
        <v>#DIV/0!</v>
      </c>
      <c r="L8" s="257" t="e">
        <f t="shared" si="3"/>
        <v>#DIV/0!</v>
      </c>
      <c r="M8" s="258" t="e">
        <f t="shared" si="1"/>
        <v>#DIV/0!</v>
      </c>
    </row>
    <row r="9" spans="2:17" ht="28.5" customHeight="1" outlineLevel="1" thickBot="1">
      <c r="B9" s="255" t="s">
        <v>43</v>
      </c>
      <c r="C9" s="256"/>
      <c r="D9" s="257" t="e">
        <f t="shared" ref="D9:D25" si="4">C9/C$26</f>
        <v>#DIV/0!</v>
      </c>
      <c r="E9" s="257" t="e">
        <f t="shared" si="2"/>
        <v>#DIV/0!</v>
      </c>
      <c r="F9" s="258" t="e">
        <f t="shared" si="0"/>
        <v>#DIV/0!</v>
      </c>
      <c r="G9" s="258" t="e">
        <f t="shared" ref="G9:G25" si="5">VLOOKUP(B$4:B$25,I$4:M$25,5,0)</f>
        <v>#DIV/0!</v>
      </c>
      <c r="I9" s="255" t="s">
        <v>43</v>
      </c>
      <c r="J9" s="256"/>
      <c r="K9" s="257" t="e">
        <f t="shared" ref="K9:K25" si="6">J9/J$26</f>
        <v>#DIV/0!</v>
      </c>
      <c r="L9" s="257" t="e">
        <f t="shared" si="3"/>
        <v>#DIV/0!</v>
      </c>
      <c r="M9" s="258" t="e">
        <f t="shared" si="1"/>
        <v>#DIV/0!</v>
      </c>
    </row>
    <row r="10" spans="2:17" ht="28.5" customHeight="1" outlineLevel="1" thickBot="1">
      <c r="B10" s="255" t="s">
        <v>44</v>
      </c>
      <c r="C10" s="256"/>
      <c r="D10" s="257" t="e">
        <f t="shared" si="4"/>
        <v>#DIV/0!</v>
      </c>
      <c r="E10" s="257" t="e">
        <f t="shared" si="2"/>
        <v>#DIV/0!</v>
      </c>
      <c r="F10" s="258" t="e">
        <f t="shared" si="0"/>
        <v>#DIV/0!</v>
      </c>
      <c r="G10" s="258" t="e">
        <f t="shared" si="5"/>
        <v>#DIV/0!</v>
      </c>
      <c r="I10" s="255" t="s">
        <v>44</v>
      </c>
      <c r="J10" s="256"/>
      <c r="K10" s="257" t="e">
        <f t="shared" si="6"/>
        <v>#DIV/0!</v>
      </c>
      <c r="L10" s="257" t="e">
        <f t="shared" si="3"/>
        <v>#DIV/0!</v>
      </c>
      <c r="M10" s="258" t="e">
        <f t="shared" si="1"/>
        <v>#DIV/0!</v>
      </c>
    </row>
    <row r="11" spans="2:17" ht="28.5" customHeight="1" outlineLevel="1" thickBot="1">
      <c r="B11" s="255" t="s">
        <v>45</v>
      </c>
      <c r="C11" s="256"/>
      <c r="D11" s="257" t="e">
        <f t="shared" si="4"/>
        <v>#DIV/0!</v>
      </c>
      <c r="E11" s="257" t="e">
        <f>D11+E8</f>
        <v>#DIV/0!</v>
      </c>
      <c r="F11" s="258" t="e">
        <f t="shared" si="0"/>
        <v>#DIV/0!</v>
      </c>
      <c r="G11" s="258" t="e">
        <f t="shared" si="5"/>
        <v>#DIV/0!</v>
      </c>
      <c r="I11" s="255" t="s">
        <v>45</v>
      </c>
      <c r="J11" s="256"/>
      <c r="K11" s="257" t="e">
        <f t="shared" si="6"/>
        <v>#DIV/0!</v>
      </c>
      <c r="L11" s="257" t="e">
        <f>K11+L8</f>
        <v>#DIV/0!</v>
      </c>
      <c r="M11" s="258" t="e">
        <f t="shared" si="1"/>
        <v>#DIV/0!</v>
      </c>
    </row>
    <row r="12" spans="2:17" ht="28.5" customHeight="1" outlineLevel="1" thickBot="1">
      <c r="B12" s="255" t="s">
        <v>46</v>
      </c>
      <c r="C12" s="256"/>
      <c r="D12" s="257" t="e">
        <f t="shared" si="4"/>
        <v>#DIV/0!</v>
      </c>
      <c r="E12" s="257" t="e">
        <f t="shared" si="2"/>
        <v>#DIV/0!</v>
      </c>
      <c r="F12" s="258" t="e">
        <f t="shared" si="0"/>
        <v>#DIV/0!</v>
      </c>
      <c r="G12" s="258" t="e">
        <f t="shared" si="5"/>
        <v>#DIV/0!</v>
      </c>
      <c r="I12" s="255" t="s">
        <v>46</v>
      </c>
      <c r="J12" s="256"/>
      <c r="K12" s="257" t="e">
        <f t="shared" si="6"/>
        <v>#DIV/0!</v>
      </c>
      <c r="L12" s="257" t="e">
        <f t="shared" si="3"/>
        <v>#DIV/0!</v>
      </c>
      <c r="M12" s="258" t="e">
        <f t="shared" si="1"/>
        <v>#DIV/0!</v>
      </c>
    </row>
    <row r="13" spans="2:17" ht="15" outlineLevel="1" thickBot="1">
      <c r="B13" s="255" t="s">
        <v>47</v>
      </c>
      <c r="C13" s="256"/>
      <c r="D13" s="257" t="e">
        <f t="shared" si="4"/>
        <v>#DIV/0!</v>
      </c>
      <c r="E13" s="257" t="e">
        <f t="shared" si="2"/>
        <v>#DIV/0!</v>
      </c>
      <c r="F13" s="258" t="e">
        <f>IF(AND(E13&lt;=0),"C",IF(E13&lt;=0.8,"A",IF(E13&lt;=0.95,"B","C")))</f>
        <v>#DIV/0!</v>
      </c>
      <c r="G13" s="258" t="e">
        <f t="shared" si="5"/>
        <v>#DIV/0!</v>
      </c>
      <c r="I13" s="255" t="s">
        <v>47</v>
      </c>
      <c r="J13" s="256"/>
      <c r="K13" s="257" t="e">
        <f t="shared" si="6"/>
        <v>#DIV/0!</v>
      </c>
      <c r="L13" s="257" t="e">
        <f t="shared" si="3"/>
        <v>#DIV/0!</v>
      </c>
      <c r="M13" s="258" t="e">
        <f>_xlfn.IFS(L13&lt;80%,"A",L13&lt;=95%,"B",L13&gt;95%,"C")</f>
        <v>#DIV/0!</v>
      </c>
      <c r="P13" s="259" t="s">
        <v>336</v>
      </c>
      <c r="Q13" s="260">
        <v>0.8</v>
      </c>
    </row>
    <row r="14" spans="2:17" ht="15" outlineLevel="1" thickBot="1">
      <c r="B14" s="255" t="s">
        <v>48</v>
      </c>
      <c r="C14" s="256"/>
      <c r="D14" s="257" t="e">
        <f t="shared" si="4"/>
        <v>#DIV/0!</v>
      </c>
      <c r="E14" s="257" t="e">
        <f t="shared" si="2"/>
        <v>#DIV/0!</v>
      </c>
      <c r="F14" s="258" t="e">
        <f t="shared" ref="F14:F25" si="7">IF(AND(E14&lt;=0),"C",IF(E14&lt;=0.8,"A",IF(E14&lt;=0.95,"B","C")))</f>
        <v>#DIV/0!</v>
      </c>
      <c r="G14" s="258" t="e">
        <f t="shared" si="5"/>
        <v>#DIV/0!</v>
      </c>
      <c r="I14" s="255" t="s">
        <v>48</v>
      </c>
      <c r="J14" s="256"/>
      <c r="K14" s="257" t="e">
        <f t="shared" si="6"/>
        <v>#DIV/0!</v>
      </c>
      <c r="L14" s="257" t="e">
        <f t="shared" si="3"/>
        <v>#DIV/0!</v>
      </c>
      <c r="M14" s="258" t="e">
        <f t="shared" ref="M14:M25" si="8">_xlfn.IFS(L14&lt;80%,"A",L14&lt;=95%,"B",L14&gt;95%,"C")</f>
        <v>#DIV/0!</v>
      </c>
      <c r="P14" s="261" t="s">
        <v>337</v>
      </c>
      <c r="Q14" s="260">
        <v>0.15</v>
      </c>
    </row>
    <row r="15" spans="2:17" ht="15" outlineLevel="1" thickBot="1">
      <c r="B15" s="255" t="s">
        <v>49</v>
      </c>
      <c r="C15" s="256"/>
      <c r="D15" s="257" t="e">
        <f t="shared" si="4"/>
        <v>#DIV/0!</v>
      </c>
      <c r="E15" s="257" t="e">
        <f t="shared" si="2"/>
        <v>#DIV/0!</v>
      </c>
      <c r="F15" s="258" t="e">
        <f t="shared" si="7"/>
        <v>#DIV/0!</v>
      </c>
      <c r="G15" s="258" t="e">
        <f t="shared" si="5"/>
        <v>#DIV/0!</v>
      </c>
      <c r="I15" s="255" t="s">
        <v>49</v>
      </c>
      <c r="J15" s="256"/>
      <c r="K15" s="257" t="e">
        <f t="shared" si="6"/>
        <v>#DIV/0!</v>
      </c>
      <c r="L15" s="257" t="e">
        <f t="shared" si="3"/>
        <v>#DIV/0!</v>
      </c>
      <c r="M15" s="258" t="e">
        <f t="shared" si="8"/>
        <v>#DIV/0!</v>
      </c>
      <c r="P15" s="262" t="s">
        <v>338</v>
      </c>
      <c r="Q15" s="260">
        <v>0.05</v>
      </c>
    </row>
    <row r="16" spans="2:17" ht="26.5" outlineLevel="1" thickBot="1">
      <c r="B16" s="255" t="s">
        <v>50</v>
      </c>
      <c r="C16" s="256"/>
      <c r="D16" s="257" t="e">
        <f t="shared" si="4"/>
        <v>#DIV/0!</v>
      </c>
      <c r="E16" s="257" t="e">
        <f t="shared" si="2"/>
        <v>#DIV/0!</v>
      </c>
      <c r="F16" s="258" t="e">
        <f t="shared" si="7"/>
        <v>#DIV/0!</v>
      </c>
      <c r="G16" s="258" t="e">
        <f t="shared" si="5"/>
        <v>#DIV/0!</v>
      </c>
      <c r="I16" s="255" t="s">
        <v>50</v>
      </c>
      <c r="J16" s="256"/>
      <c r="K16" s="257" t="e">
        <f t="shared" si="6"/>
        <v>#DIV/0!</v>
      </c>
      <c r="L16" s="257" t="e">
        <f t="shared" si="3"/>
        <v>#DIV/0!</v>
      </c>
      <c r="M16" s="258" t="e">
        <f t="shared" si="8"/>
        <v>#DIV/0!</v>
      </c>
      <c r="P16" s="263"/>
      <c r="Q16" s="257"/>
    </row>
    <row r="17" spans="2:17" ht="15" outlineLevel="1" thickBot="1">
      <c r="B17" s="255" t="s">
        <v>51</v>
      </c>
      <c r="C17" s="256"/>
      <c r="D17" s="257" t="e">
        <f t="shared" si="4"/>
        <v>#DIV/0!</v>
      </c>
      <c r="E17" s="257" t="e">
        <f t="shared" si="2"/>
        <v>#DIV/0!</v>
      </c>
      <c r="F17" s="258" t="e">
        <f t="shared" si="7"/>
        <v>#DIV/0!</v>
      </c>
      <c r="G17" s="258" t="e">
        <f t="shared" si="5"/>
        <v>#DIV/0!</v>
      </c>
      <c r="I17" s="255" t="s">
        <v>51</v>
      </c>
      <c r="J17" s="256"/>
      <c r="K17" s="257" t="e">
        <f t="shared" si="6"/>
        <v>#DIV/0!</v>
      </c>
      <c r="L17" s="257" t="e">
        <f t="shared" si="3"/>
        <v>#DIV/0!</v>
      </c>
      <c r="M17" s="258" t="e">
        <f t="shared" si="8"/>
        <v>#DIV/0!</v>
      </c>
      <c r="P17" s="263"/>
      <c r="Q17" s="257"/>
    </row>
    <row r="18" spans="2:17" ht="15" outlineLevel="1" thickBot="1">
      <c r="B18" s="255" t="s">
        <v>52</v>
      </c>
      <c r="C18" s="256"/>
      <c r="D18" s="257" t="e">
        <f t="shared" si="4"/>
        <v>#DIV/0!</v>
      </c>
      <c r="E18" s="257" t="e">
        <f t="shared" si="2"/>
        <v>#DIV/0!</v>
      </c>
      <c r="F18" s="258" t="e">
        <f t="shared" si="7"/>
        <v>#DIV/0!</v>
      </c>
      <c r="G18" s="258" t="e">
        <f t="shared" si="5"/>
        <v>#DIV/0!</v>
      </c>
      <c r="I18" s="255" t="s">
        <v>52</v>
      </c>
      <c r="J18" s="256"/>
      <c r="K18" s="257" t="e">
        <f t="shared" si="6"/>
        <v>#DIV/0!</v>
      </c>
      <c r="L18" s="257" t="e">
        <f t="shared" si="3"/>
        <v>#DIV/0!</v>
      </c>
      <c r="M18" s="258" t="e">
        <f t="shared" si="8"/>
        <v>#DIV/0!</v>
      </c>
      <c r="P18" s="263"/>
      <c r="Q18" s="257"/>
    </row>
    <row r="19" spans="2:17" ht="15" outlineLevel="1" thickBot="1">
      <c r="B19" s="255" t="s">
        <v>53</v>
      </c>
      <c r="C19" s="256"/>
      <c r="D19" s="257" t="e">
        <f t="shared" si="4"/>
        <v>#DIV/0!</v>
      </c>
      <c r="E19" s="257" t="e">
        <f t="shared" si="2"/>
        <v>#DIV/0!</v>
      </c>
      <c r="F19" s="258" t="e">
        <f t="shared" si="7"/>
        <v>#DIV/0!</v>
      </c>
      <c r="G19" s="258" t="e">
        <f t="shared" si="5"/>
        <v>#DIV/0!</v>
      </c>
      <c r="I19" s="255" t="s">
        <v>53</v>
      </c>
      <c r="J19" s="256"/>
      <c r="K19" s="257" t="e">
        <f t="shared" si="6"/>
        <v>#DIV/0!</v>
      </c>
      <c r="L19" s="257" t="e">
        <f t="shared" si="3"/>
        <v>#DIV/0!</v>
      </c>
      <c r="M19" s="258" t="e">
        <f t="shared" si="8"/>
        <v>#DIV/0!</v>
      </c>
      <c r="P19" s="263"/>
      <c r="Q19" s="257"/>
    </row>
    <row r="20" spans="2:17" ht="15" outlineLevel="1" thickBot="1">
      <c r="B20" s="255" t="s">
        <v>54</v>
      </c>
      <c r="C20" s="256"/>
      <c r="D20" s="257" t="e">
        <f t="shared" si="4"/>
        <v>#DIV/0!</v>
      </c>
      <c r="E20" s="257" t="e">
        <f t="shared" si="2"/>
        <v>#DIV/0!</v>
      </c>
      <c r="F20" s="258" t="e">
        <f t="shared" si="7"/>
        <v>#DIV/0!</v>
      </c>
      <c r="G20" s="258" t="e">
        <f t="shared" si="5"/>
        <v>#DIV/0!</v>
      </c>
      <c r="I20" s="255" t="s">
        <v>54</v>
      </c>
      <c r="J20" s="256"/>
      <c r="K20" s="257" t="e">
        <f t="shared" si="6"/>
        <v>#DIV/0!</v>
      </c>
      <c r="L20" s="257" t="e">
        <f t="shared" si="3"/>
        <v>#DIV/0!</v>
      </c>
      <c r="M20" s="258" t="e">
        <f t="shared" si="8"/>
        <v>#DIV/0!</v>
      </c>
      <c r="P20" s="263"/>
      <c r="Q20" s="257"/>
    </row>
    <row r="21" spans="2:17" ht="15" outlineLevel="1" thickBot="1">
      <c r="B21" s="255" t="s">
        <v>55</v>
      </c>
      <c r="C21" s="256"/>
      <c r="D21" s="257" t="e">
        <f t="shared" si="4"/>
        <v>#DIV/0!</v>
      </c>
      <c r="E21" s="257" t="e">
        <f t="shared" si="2"/>
        <v>#DIV/0!</v>
      </c>
      <c r="F21" s="258" t="e">
        <f t="shared" si="7"/>
        <v>#DIV/0!</v>
      </c>
      <c r="G21" s="258" t="e">
        <f t="shared" si="5"/>
        <v>#DIV/0!</v>
      </c>
      <c r="I21" s="255" t="s">
        <v>55</v>
      </c>
      <c r="J21" s="256"/>
      <c r="K21" s="257" t="e">
        <f t="shared" si="6"/>
        <v>#DIV/0!</v>
      </c>
      <c r="L21" s="257" t="e">
        <f t="shared" si="3"/>
        <v>#DIV/0!</v>
      </c>
      <c r="M21" s="258" t="e">
        <f t="shared" si="8"/>
        <v>#DIV/0!</v>
      </c>
      <c r="P21" s="263"/>
      <c r="Q21" s="257"/>
    </row>
    <row r="22" spans="2:17" ht="15" outlineLevel="1" thickBot="1">
      <c r="B22" s="255" t="s">
        <v>56</v>
      </c>
      <c r="C22" s="256"/>
      <c r="D22" s="257" t="e">
        <f t="shared" si="4"/>
        <v>#DIV/0!</v>
      </c>
      <c r="E22" s="257" t="e">
        <f t="shared" si="2"/>
        <v>#DIV/0!</v>
      </c>
      <c r="F22" s="258" t="e">
        <f t="shared" si="7"/>
        <v>#DIV/0!</v>
      </c>
      <c r="G22" s="258" t="e">
        <f t="shared" si="5"/>
        <v>#DIV/0!</v>
      </c>
      <c r="I22" s="255" t="s">
        <v>56</v>
      </c>
      <c r="J22" s="256"/>
      <c r="K22" s="257" t="e">
        <f t="shared" si="6"/>
        <v>#DIV/0!</v>
      </c>
      <c r="L22" s="257" t="e">
        <f t="shared" si="3"/>
        <v>#DIV/0!</v>
      </c>
      <c r="M22" s="258" t="e">
        <f t="shared" si="8"/>
        <v>#DIV/0!</v>
      </c>
      <c r="P22" s="263"/>
      <c r="Q22" s="257"/>
    </row>
    <row r="23" spans="2:17" ht="15" outlineLevel="1" thickBot="1">
      <c r="B23" s="255" t="s">
        <v>57</v>
      </c>
      <c r="C23" s="256"/>
      <c r="D23" s="257" t="e">
        <f t="shared" si="4"/>
        <v>#DIV/0!</v>
      </c>
      <c r="E23" s="257" t="e">
        <f t="shared" si="2"/>
        <v>#DIV/0!</v>
      </c>
      <c r="F23" s="258" t="e">
        <f t="shared" si="7"/>
        <v>#DIV/0!</v>
      </c>
      <c r="G23" s="258" t="e">
        <f t="shared" si="5"/>
        <v>#DIV/0!</v>
      </c>
      <c r="I23" s="255" t="s">
        <v>57</v>
      </c>
      <c r="J23" s="256"/>
      <c r="K23" s="257" t="e">
        <f t="shared" si="6"/>
        <v>#DIV/0!</v>
      </c>
      <c r="L23" s="257" t="e">
        <f t="shared" si="3"/>
        <v>#DIV/0!</v>
      </c>
      <c r="M23" s="258" t="e">
        <f t="shared" si="8"/>
        <v>#DIV/0!</v>
      </c>
      <c r="P23" s="263"/>
      <c r="Q23" s="257"/>
    </row>
    <row r="24" spans="2:17" ht="15" outlineLevel="1" thickBot="1">
      <c r="B24" s="255" t="s">
        <v>58</v>
      </c>
      <c r="C24" s="256"/>
      <c r="D24" s="257" t="e">
        <f t="shared" si="4"/>
        <v>#DIV/0!</v>
      </c>
      <c r="E24" s="257" t="e">
        <f t="shared" si="2"/>
        <v>#DIV/0!</v>
      </c>
      <c r="F24" s="258" t="e">
        <f t="shared" si="7"/>
        <v>#DIV/0!</v>
      </c>
      <c r="G24" s="258" t="e">
        <f t="shared" si="5"/>
        <v>#DIV/0!</v>
      </c>
      <c r="I24" s="255" t="s">
        <v>58</v>
      </c>
      <c r="J24" s="256"/>
      <c r="K24" s="257" t="e">
        <f t="shared" si="6"/>
        <v>#DIV/0!</v>
      </c>
      <c r="L24" s="257" t="e">
        <f t="shared" si="3"/>
        <v>#DIV/0!</v>
      </c>
      <c r="M24" s="258" t="e">
        <f t="shared" si="8"/>
        <v>#DIV/0!</v>
      </c>
      <c r="P24" s="263"/>
      <c r="Q24" s="257"/>
    </row>
    <row r="25" spans="2:17" ht="15" outlineLevel="1" thickBot="1">
      <c r="B25" s="255" t="s">
        <v>59</v>
      </c>
      <c r="C25" s="256"/>
      <c r="D25" s="257" t="e">
        <f t="shared" si="4"/>
        <v>#DIV/0!</v>
      </c>
      <c r="E25" s="257" t="e">
        <f t="shared" si="2"/>
        <v>#DIV/0!</v>
      </c>
      <c r="F25" s="258" t="e">
        <f t="shared" si="7"/>
        <v>#DIV/0!</v>
      </c>
      <c r="G25" s="258" t="e">
        <f t="shared" si="5"/>
        <v>#DIV/0!</v>
      </c>
      <c r="I25" s="255" t="s">
        <v>59</v>
      </c>
      <c r="J25" s="256"/>
      <c r="K25" s="257" t="e">
        <f t="shared" si="6"/>
        <v>#DIV/0!</v>
      </c>
      <c r="L25" s="257" t="e">
        <f t="shared" si="3"/>
        <v>#DIV/0!</v>
      </c>
      <c r="M25" s="258" t="e">
        <f t="shared" si="8"/>
        <v>#DIV/0!</v>
      </c>
      <c r="P25" s="263"/>
      <c r="Q25" s="257"/>
    </row>
    <row r="26" spans="2:17" outlineLevel="1">
      <c r="C26" s="264">
        <f>SUM(C4:C25)</f>
        <v>0</v>
      </c>
      <c r="D26" s="265" t="e">
        <f>SUM(D4:D25)</f>
        <v>#DIV/0!</v>
      </c>
      <c r="J26" s="264">
        <f>SUM(J4:J25)</f>
        <v>0</v>
      </c>
      <c r="K26" s="265" t="e">
        <f>SUM(K4:K25)</f>
        <v>#DIV/0!</v>
      </c>
    </row>
    <row r="27" spans="2:17" ht="15" thickBot="1"/>
    <row r="28" spans="2:17" ht="15" thickBot="1">
      <c r="B28" s="305" t="s">
        <v>339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1" t="s">
        <v>28</v>
      </c>
      <c r="D29" s="252" t="s">
        <v>330</v>
      </c>
      <c r="E29" s="253" t="s">
        <v>331</v>
      </c>
      <c r="F29" s="252" t="s">
        <v>332</v>
      </c>
      <c r="G29" s="252" t="s">
        <v>333</v>
      </c>
      <c r="J29" s="251" t="s">
        <v>334</v>
      </c>
      <c r="K29" s="252" t="s">
        <v>335</v>
      </c>
      <c r="L29" s="253" t="s">
        <v>331</v>
      </c>
      <c r="M29" s="254" t="s">
        <v>333</v>
      </c>
    </row>
    <row r="30" spans="2:17" ht="26.5" thickBot="1">
      <c r="B30" s="255" t="s">
        <v>61</v>
      </c>
      <c r="C30" s="256"/>
      <c r="D30" s="257" t="e">
        <f>C30/C$50</f>
        <v>#DIV/0!</v>
      </c>
      <c r="E30" s="257" t="e">
        <f>D30</f>
        <v>#DIV/0!</v>
      </c>
      <c r="F30" s="258" t="e">
        <f t="shared" ref="F30:F36" si="9">IF(AND(E30&lt;=0),"C",IF(E30&lt;=0.8,"A",IF(E30&lt;=0.95,"B","C")))</f>
        <v>#DIV/0!</v>
      </c>
      <c r="G30" s="258" t="e">
        <f>VLOOKUP(B$30:B$50,I$30:M$50,5,0)</f>
        <v>#DIV/0!</v>
      </c>
      <c r="I30" s="255" t="s">
        <v>61</v>
      </c>
      <c r="J30" s="256"/>
      <c r="K30" s="257" t="e">
        <f>J30/J$50</f>
        <v>#DIV/0!</v>
      </c>
      <c r="L30" s="257" t="e">
        <f>K30</f>
        <v>#DIV/0!</v>
      </c>
      <c r="M30" s="258" t="e">
        <f t="shared" ref="M30:M36" si="10">_xlfn.IFS(L30&lt;80%,"A",L30&lt;=95%,"B",L30&gt;95%,"C")</f>
        <v>#DIV/0!</v>
      </c>
    </row>
    <row r="31" spans="2:17" ht="26.5" thickBot="1">
      <c r="B31" s="255" t="s">
        <v>62</v>
      </c>
      <c r="C31" s="256"/>
      <c r="D31" s="257" t="e">
        <f t="shared" ref="D31:D49" si="11">C31/C$50</f>
        <v>#DIV/0!</v>
      </c>
      <c r="E31" s="257" t="e">
        <f>D31+E30</f>
        <v>#DIV/0!</v>
      </c>
      <c r="F31" s="258" t="e">
        <f t="shared" si="9"/>
        <v>#DIV/0!</v>
      </c>
      <c r="G31" s="258" t="e">
        <f t="shared" ref="G31:G49" si="12">VLOOKUP(B$30:B$50,I$30:M$50,5,0)</f>
        <v>#DIV/0!</v>
      </c>
      <c r="I31" s="255" t="s">
        <v>62</v>
      </c>
      <c r="J31" s="256"/>
      <c r="K31" s="257" t="e">
        <f t="shared" ref="K31:K49" si="13">J31/J$50</f>
        <v>#DIV/0!</v>
      </c>
      <c r="L31" s="257" t="e">
        <f>K31+L30</f>
        <v>#DIV/0!</v>
      </c>
      <c r="M31" s="258" t="e">
        <f t="shared" si="10"/>
        <v>#DIV/0!</v>
      </c>
    </row>
    <row r="32" spans="2:17" ht="26.5" thickBot="1">
      <c r="B32" s="255" t="s">
        <v>63</v>
      </c>
      <c r="C32" s="256"/>
      <c r="D32" s="257" t="e">
        <f t="shared" si="11"/>
        <v>#DIV/0!</v>
      </c>
      <c r="E32" s="257" t="e">
        <f t="shared" ref="E32:E49" si="14">D32+E31</f>
        <v>#DIV/0!</v>
      </c>
      <c r="F32" s="258" t="e">
        <f t="shared" si="9"/>
        <v>#DIV/0!</v>
      </c>
      <c r="G32" s="258" t="e">
        <f t="shared" si="12"/>
        <v>#DIV/0!</v>
      </c>
      <c r="I32" s="255" t="s">
        <v>63</v>
      </c>
      <c r="J32" s="256"/>
      <c r="K32" s="257" t="e">
        <f t="shared" si="13"/>
        <v>#DIV/0!</v>
      </c>
      <c r="L32" s="257" t="e">
        <f t="shared" ref="L32:L49" si="15">K32+L31</f>
        <v>#DIV/0!</v>
      </c>
      <c r="M32" s="258" t="e">
        <f t="shared" si="10"/>
        <v>#DIV/0!</v>
      </c>
    </row>
    <row r="33" spans="2:13" ht="15" thickBot="1">
      <c r="B33" s="255" t="s">
        <v>64</v>
      </c>
      <c r="C33" s="256"/>
      <c r="D33" s="257" t="e">
        <f t="shared" si="11"/>
        <v>#DIV/0!</v>
      </c>
      <c r="E33" s="257" t="e">
        <f t="shared" si="14"/>
        <v>#DIV/0!</v>
      </c>
      <c r="F33" s="258" t="e">
        <f t="shared" si="9"/>
        <v>#DIV/0!</v>
      </c>
      <c r="G33" s="258" t="e">
        <f t="shared" si="12"/>
        <v>#DIV/0!</v>
      </c>
      <c r="I33" s="255" t="s">
        <v>64</v>
      </c>
      <c r="J33" s="256"/>
      <c r="K33" s="257" t="e">
        <f t="shared" si="13"/>
        <v>#DIV/0!</v>
      </c>
      <c r="L33" s="257" t="e">
        <f t="shared" si="15"/>
        <v>#DIV/0!</v>
      </c>
      <c r="M33" s="258" t="e">
        <f t="shared" si="10"/>
        <v>#DIV/0!</v>
      </c>
    </row>
    <row r="34" spans="2:13" ht="15" thickBot="1">
      <c r="B34" s="255" t="s">
        <v>65</v>
      </c>
      <c r="C34" s="256"/>
      <c r="D34" s="257" t="e">
        <f t="shared" si="11"/>
        <v>#DIV/0!</v>
      </c>
      <c r="E34" s="257" t="e">
        <f t="shared" si="14"/>
        <v>#DIV/0!</v>
      </c>
      <c r="F34" s="258" t="e">
        <f t="shared" si="9"/>
        <v>#DIV/0!</v>
      </c>
      <c r="G34" s="258" t="e">
        <f t="shared" si="12"/>
        <v>#DIV/0!</v>
      </c>
      <c r="I34" s="255" t="s">
        <v>65</v>
      </c>
      <c r="J34" s="256"/>
      <c r="K34" s="257" t="e">
        <f t="shared" si="13"/>
        <v>#DIV/0!</v>
      </c>
      <c r="L34" s="257" t="e">
        <f t="shared" si="15"/>
        <v>#DIV/0!</v>
      </c>
      <c r="M34" s="258" t="e">
        <f t="shared" si="10"/>
        <v>#DIV/0!</v>
      </c>
    </row>
    <row r="35" spans="2:13" ht="15" thickBot="1">
      <c r="B35" s="255" t="s">
        <v>66</v>
      </c>
      <c r="C35" s="256"/>
      <c r="D35" s="257" t="e">
        <f t="shared" si="11"/>
        <v>#DIV/0!</v>
      </c>
      <c r="E35" s="257" t="e">
        <f t="shared" si="14"/>
        <v>#DIV/0!</v>
      </c>
      <c r="F35" s="258" t="e">
        <f t="shared" si="9"/>
        <v>#DIV/0!</v>
      </c>
      <c r="G35" s="258" t="e">
        <f t="shared" si="12"/>
        <v>#DIV/0!</v>
      </c>
      <c r="I35" s="255" t="s">
        <v>66</v>
      </c>
      <c r="J35" s="256"/>
      <c r="K35" s="257" t="e">
        <f t="shared" si="13"/>
        <v>#DIV/0!</v>
      </c>
      <c r="L35" s="257" t="e">
        <f t="shared" si="15"/>
        <v>#DIV/0!</v>
      </c>
      <c r="M35" s="258" t="e">
        <f t="shared" si="10"/>
        <v>#DIV/0!</v>
      </c>
    </row>
    <row r="36" spans="2:13" ht="15" thickBot="1">
      <c r="B36" s="255" t="s">
        <v>67</v>
      </c>
      <c r="C36" s="256"/>
      <c r="D36" s="257" t="e">
        <f t="shared" si="11"/>
        <v>#DIV/0!</v>
      </c>
      <c r="E36" s="257" t="e">
        <f t="shared" si="14"/>
        <v>#DIV/0!</v>
      </c>
      <c r="F36" s="258" t="e">
        <f t="shared" si="9"/>
        <v>#DIV/0!</v>
      </c>
      <c r="G36" s="258" t="e">
        <f t="shared" si="12"/>
        <v>#DIV/0!</v>
      </c>
      <c r="I36" s="255" t="s">
        <v>67</v>
      </c>
      <c r="J36" s="256"/>
      <c r="K36" s="257" t="e">
        <f t="shared" si="13"/>
        <v>#DIV/0!</v>
      </c>
      <c r="L36" s="257" t="e">
        <f t="shared" si="15"/>
        <v>#DIV/0!</v>
      </c>
      <c r="M36" s="258" t="e">
        <f t="shared" si="10"/>
        <v>#DIV/0!</v>
      </c>
    </row>
    <row r="37" spans="2:13" ht="15" thickBot="1">
      <c r="B37" s="255" t="s">
        <v>68</v>
      </c>
      <c r="C37" s="256"/>
      <c r="D37" s="257" t="e">
        <f t="shared" si="11"/>
        <v>#DIV/0!</v>
      </c>
      <c r="E37" s="257" t="e">
        <f t="shared" si="14"/>
        <v>#DIV/0!</v>
      </c>
      <c r="F37" s="258" t="e">
        <f>IF(AND(E37&lt;=0),"C",IF(E37&lt;=0.8,"A",IF(E37&lt;=0.95,"B","C")))</f>
        <v>#DIV/0!</v>
      </c>
      <c r="G37" s="258" t="e">
        <f t="shared" si="12"/>
        <v>#DIV/0!</v>
      </c>
      <c r="I37" s="255" t="s">
        <v>68</v>
      </c>
      <c r="J37" s="256"/>
      <c r="K37" s="257" t="e">
        <f t="shared" si="13"/>
        <v>#DIV/0!</v>
      </c>
      <c r="L37" s="257" t="e">
        <f t="shared" si="15"/>
        <v>#DIV/0!</v>
      </c>
      <c r="M37" s="258" t="e">
        <f>_xlfn.IFS(L37&lt;80%,"A",L37&lt;=95%,"B",L37&gt;95%,"C")</f>
        <v>#DIV/0!</v>
      </c>
    </row>
    <row r="38" spans="2:13" ht="15" thickBot="1">
      <c r="B38" s="255" t="s">
        <v>69</v>
      </c>
      <c r="C38" s="256"/>
      <c r="D38" s="257" t="e">
        <f t="shared" si="11"/>
        <v>#DIV/0!</v>
      </c>
      <c r="E38" s="257" t="e">
        <f t="shared" si="14"/>
        <v>#DIV/0!</v>
      </c>
      <c r="F38" s="258" t="e">
        <f t="shared" ref="F38:F49" si="16">IF(AND(E38&lt;=0),"C",IF(E38&lt;=0.8,"A",IF(E38&lt;=0.95,"B","C")))</f>
        <v>#DIV/0!</v>
      </c>
      <c r="G38" s="258" t="e">
        <f t="shared" si="12"/>
        <v>#DIV/0!</v>
      </c>
      <c r="I38" s="255" t="s">
        <v>69</v>
      </c>
      <c r="J38" s="256"/>
      <c r="K38" s="257" t="e">
        <f t="shared" si="13"/>
        <v>#DIV/0!</v>
      </c>
      <c r="L38" s="257" t="e">
        <f t="shared" si="15"/>
        <v>#DIV/0!</v>
      </c>
      <c r="M38" s="258" t="e">
        <f t="shared" ref="M38:M49" si="17">_xlfn.IFS(L38&lt;80%,"A",L38&lt;=95%,"B",L38&gt;95%,"C")</f>
        <v>#DIV/0!</v>
      </c>
    </row>
    <row r="39" spans="2:13" ht="15" thickBot="1">
      <c r="B39" s="255" t="s">
        <v>70</v>
      </c>
      <c r="C39" s="256"/>
      <c r="D39" s="257" t="e">
        <f t="shared" si="11"/>
        <v>#DIV/0!</v>
      </c>
      <c r="E39" s="257" t="e">
        <f t="shared" si="14"/>
        <v>#DIV/0!</v>
      </c>
      <c r="F39" s="258" t="e">
        <f t="shared" si="16"/>
        <v>#DIV/0!</v>
      </c>
      <c r="G39" s="258" t="e">
        <f t="shared" si="12"/>
        <v>#DIV/0!</v>
      </c>
      <c r="I39" s="255" t="s">
        <v>70</v>
      </c>
      <c r="J39" s="256"/>
      <c r="K39" s="257" t="e">
        <f t="shared" si="13"/>
        <v>#DIV/0!</v>
      </c>
      <c r="L39" s="257" t="e">
        <f t="shared" si="15"/>
        <v>#DIV/0!</v>
      </c>
      <c r="M39" s="258" t="e">
        <f t="shared" si="17"/>
        <v>#DIV/0!</v>
      </c>
    </row>
    <row r="40" spans="2:13" ht="15" thickBot="1">
      <c r="B40" s="255" t="s">
        <v>71</v>
      </c>
      <c r="C40" s="256"/>
      <c r="D40" s="257" t="e">
        <f t="shared" si="11"/>
        <v>#DIV/0!</v>
      </c>
      <c r="E40" s="257" t="e">
        <f t="shared" si="14"/>
        <v>#DIV/0!</v>
      </c>
      <c r="F40" s="258" t="e">
        <f t="shared" si="16"/>
        <v>#DIV/0!</v>
      </c>
      <c r="G40" s="258" t="e">
        <f t="shared" si="12"/>
        <v>#DIV/0!</v>
      </c>
      <c r="I40" s="255" t="s">
        <v>71</v>
      </c>
      <c r="J40" s="256"/>
      <c r="K40" s="257" t="e">
        <f t="shared" si="13"/>
        <v>#DIV/0!</v>
      </c>
      <c r="L40" s="257" t="e">
        <f t="shared" si="15"/>
        <v>#DIV/0!</v>
      </c>
      <c r="M40" s="258" t="e">
        <f t="shared" si="17"/>
        <v>#DIV/0!</v>
      </c>
    </row>
    <row r="41" spans="2:13" ht="26.5" thickBot="1">
      <c r="B41" s="255" t="s">
        <v>72</v>
      </c>
      <c r="C41" s="256"/>
      <c r="D41" s="257" t="e">
        <f t="shared" si="11"/>
        <v>#DIV/0!</v>
      </c>
      <c r="E41" s="257" t="e">
        <f t="shared" si="14"/>
        <v>#DIV/0!</v>
      </c>
      <c r="F41" s="258" t="e">
        <f t="shared" si="16"/>
        <v>#DIV/0!</v>
      </c>
      <c r="G41" s="258" t="e">
        <f t="shared" si="12"/>
        <v>#DIV/0!</v>
      </c>
      <c r="I41" s="255" t="s">
        <v>72</v>
      </c>
      <c r="J41" s="256"/>
      <c r="K41" s="257" t="e">
        <f t="shared" si="13"/>
        <v>#DIV/0!</v>
      </c>
      <c r="L41" s="257" t="e">
        <f t="shared" si="15"/>
        <v>#DIV/0!</v>
      </c>
      <c r="M41" s="258" t="e">
        <f t="shared" si="17"/>
        <v>#DIV/0!</v>
      </c>
    </row>
    <row r="42" spans="2:13" ht="15" thickBot="1">
      <c r="B42" s="255" t="s">
        <v>73</v>
      </c>
      <c r="C42" s="256"/>
      <c r="D42" s="257" t="e">
        <f t="shared" si="11"/>
        <v>#DIV/0!</v>
      </c>
      <c r="E42" s="257" t="e">
        <f t="shared" si="14"/>
        <v>#DIV/0!</v>
      </c>
      <c r="F42" s="258" t="e">
        <f t="shared" si="16"/>
        <v>#DIV/0!</v>
      </c>
      <c r="G42" s="258" t="e">
        <f t="shared" si="12"/>
        <v>#DIV/0!</v>
      </c>
      <c r="I42" s="255" t="s">
        <v>73</v>
      </c>
      <c r="J42" s="256"/>
      <c r="K42" s="257" t="e">
        <f t="shared" si="13"/>
        <v>#DIV/0!</v>
      </c>
      <c r="L42" s="257" t="e">
        <f t="shared" si="15"/>
        <v>#DIV/0!</v>
      </c>
      <c r="M42" s="258" t="e">
        <f t="shared" si="17"/>
        <v>#DIV/0!</v>
      </c>
    </row>
    <row r="43" spans="2:13" ht="26.5" thickBot="1">
      <c r="B43" s="255" t="s">
        <v>74</v>
      </c>
      <c r="C43" s="256"/>
      <c r="D43" s="257" t="e">
        <f t="shared" si="11"/>
        <v>#DIV/0!</v>
      </c>
      <c r="E43" s="257" t="e">
        <f t="shared" si="14"/>
        <v>#DIV/0!</v>
      </c>
      <c r="F43" s="258" t="e">
        <f t="shared" si="16"/>
        <v>#DIV/0!</v>
      </c>
      <c r="G43" s="258" t="e">
        <f t="shared" si="12"/>
        <v>#DIV/0!</v>
      </c>
      <c r="I43" s="255" t="s">
        <v>74</v>
      </c>
      <c r="J43" s="256"/>
      <c r="K43" s="257" t="e">
        <f t="shared" si="13"/>
        <v>#DIV/0!</v>
      </c>
      <c r="L43" s="257" t="e">
        <f t="shared" si="15"/>
        <v>#DIV/0!</v>
      </c>
      <c r="M43" s="258" t="e">
        <f t="shared" si="17"/>
        <v>#DIV/0!</v>
      </c>
    </row>
    <row r="44" spans="2:13" ht="26.5" thickBot="1">
      <c r="B44" s="255" t="s">
        <v>75</v>
      </c>
      <c r="C44" s="256"/>
      <c r="D44" s="257" t="e">
        <f t="shared" si="11"/>
        <v>#DIV/0!</v>
      </c>
      <c r="E44" s="257" t="e">
        <f t="shared" si="14"/>
        <v>#DIV/0!</v>
      </c>
      <c r="F44" s="258" t="e">
        <f t="shared" si="16"/>
        <v>#DIV/0!</v>
      </c>
      <c r="G44" s="258" t="e">
        <f t="shared" si="12"/>
        <v>#DIV/0!</v>
      </c>
      <c r="I44" s="255" t="s">
        <v>75</v>
      </c>
      <c r="J44" s="256"/>
      <c r="K44" s="257" t="e">
        <f t="shared" si="13"/>
        <v>#DIV/0!</v>
      </c>
      <c r="L44" s="257" t="e">
        <f t="shared" si="15"/>
        <v>#DIV/0!</v>
      </c>
      <c r="M44" s="258" t="e">
        <f t="shared" si="17"/>
        <v>#DIV/0!</v>
      </c>
    </row>
    <row r="45" spans="2:13" ht="26.5" thickBot="1">
      <c r="B45" s="255" t="s">
        <v>76</v>
      </c>
      <c r="C45" s="256"/>
      <c r="D45" s="257" t="e">
        <f t="shared" si="11"/>
        <v>#DIV/0!</v>
      </c>
      <c r="E45" s="257" t="e">
        <f t="shared" si="14"/>
        <v>#DIV/0!</v>
      </c>
      <c r="F45" s="258" t="e">
        <f t="shared" si="16"/>
        <v>#DIV/0!</v>
      </c>
      <c r="G45" s="258" t="e">
        <f t="shared" si="12"/>
        <v>#DIV/0!</v>
      </c>
      <c r="I45" s="255" t="s">
        <v>76</v>
      </c>
      <c r="J45" s="256"/>
      <c r="K45" s="257" t="e">
        <f t="shared" si="13"/>
        <v>#DIV/0!</v>
      </c>
      <c r="L45" s="257" t="e">
        <f t="shared" si="15"/>
        <v>#DIV/0!</v>
      </c>
      <c r="M45" s="258" t="e">
        <f t="shared" si="17"/>
        <v>#DIV/0!</v>
      </c>
    </row>
    <row r="46" spans="2:13" ht="26.5" thickBot="1">
      <c r="B46" s="255" t="s">
        <v>77</v>
      </c>
      <c r="C46" s="256"/>
      <c r="D46" s="257" t="e">
        <f t="shared" si="11"/>
        <v>#DIV/0!</v>
      </c>
      <c r="E46" s="257" t="e">
        <f t="shared" si="14"/>
        <v>#DIV/0!</v>
      </c>
      <c r="F46" s="258" t="e">
        <f t="shared" si="16"/>
        <v>#DIV/0!</v>
      </c>
      <c r="G46" s="258" t="e">
        <f t="shared" si="12"/>
        <v>#DIV/0!</v>
      </c>
      <c r="I46" s="255" t="s">
        <v>77</v>
      </c>
      <c r="J46" s="256"/>
      <c r="K46" s="257" t="e">
        <f t="shared" si="13"/>
        <v>#DIV/0!</v>
      </c>
      <c r="L46" s="257" t="e">
        <f t="shared" si="15"/>
        <v>#DIV/0!</v>
      </c>
      <c r="M46" s="258" t="e">
        <f t="shared" si="17"/>
        <v>#DIV/0!</v>
      </c>
    </row>
    <row r="47" spans="2:13" ht="26.5" thickBot="1">
      <c r="B47" s="255" t="s">
        <v>78</v>
      </c>
      <c r="C47" s="256"/>
      <c r="D47" s="257" t="e">
        <f t="shared" si="11"/>
        <v>#DIV/0!</v>
      </c>
      <c r="E47" s="257" t="e">
        <f t="shared" si="14"/>
        <v>#DIV/0!</v>
      </c>
      <c r="F47" s="258" t="e">
        <f t="shared" si="16"/>
        <v>#DIV/0!</v>
      </c>
      <c r="G47" s="258" t="e">
        <f t="shared" si="12"/>
        <v>#DIV/0!</v>
      </c>
      <c r="I47" s="255" t="s">
        <v>78</v>
      </c>
      <c r="J47" s="256"/>
      <c r="K47" s="257" t="e">
        <f t="shared" si="13"/>
        <v>#DIV/0!</v>
      </c>
      <c r="L47" s="257" t="e">
        <f t="shared" si="15"/>
        <v>#DIV/0!</v>
      </c>
      <c r="M47" s="258" t="e">
        <f t="shared" si="17"/>
        <v>#DIV/0!</v>
      </c>
    </row>
    <row r="48" spans="2:13" ht="15" thickBot="1">
      <c r="B48" s="255" t="s">
        <v>79</v>
      </c>
      <c r="C48" s="256"/>
      <c r="D48" s="257" t="e">
        <f t="shared" si="11"/>
        <v>#DIV/0!</v>
      </c>
      <c r="E48" s="257" t="e">
        <f t="shared" si="14"/>
        <v>#DIV/0!</v>
      </c>
      <c r="F48" s="258" t="e">
        <f t="shared" si="16"/>
        <v>#DIV/0!</v>
      </c>
      <c r="G48" s="258" t="e">
        <f t="shared" si="12"/>
        <v>#DIV/0!</v>
      </c>
      <c r="I48" s="255" t="s">
        <v>79</v>
      </c>
      <c r="J48" s="256"/>
      <c r="K48" s="257" t="e">
        <f t="shared" si="13"/>
        <v>#DIV/0!</v>
      </c>
      <c r="L48" s="257" t="e">
        <f t="shared" si="15"/>
        <v>#DIV/0!</v>
      </c>
      <c r="M48" s="258" t="e">
        <f t="shared" si="17"/>
        <v>#DIV/0!</v>
      </c>
    </row>
    <row r="49" spans="2:13" ht="26.5" thickBot="1">
      <c r="B49" s="255" t="s">
        <v>80</v>
      </c>
      <c r="C49" s="256"/>
      <c r="D49" s="257" t="e">
        <f t="shared" si="11"/>
        <v>#DIV/0!</v>
      </c>
      <c r="E49" s="257" t="e">
        <f t="shared" si="14"/>
        <v>#DIV/0!</v>
      </c>
      <c r="F49" s="258" t="e">
        <f t="shared" si="16"/>
        <v>#DIV/0!</v>
      </c>
      <c r="G49" s="258" t="e">
        <f t="shared" si="12"/>
        <v>#DIV/0!</v>
      </c>
      <c r="I49" s="255" t="s">
        <v>80</v>
      </c>
      <c r="J49" s="256"/>
      <c r="K49" s="257" t="e">
        <f t="shared" si="13"/>
        <v>#DIV/0!</v>
      </c>
      <c r="L49" s="257" t="e">
        <f t="shared" si="15"/>
        <v>#DIV/0!</v>
      </c>
      <c r="M49" s="258" t="e">
        <f t="shared" si="17"/>
        <v>#DIV/0!</v>
      </c>
    </row>
    <row r="50" spans="2:13">
      <c r="C50" s="264">
        <f>SUM(C30:C49)</f>
        <v>0</v>
      </c>
      <c r="D50" s="265" t="e">
        <f>SUM(D30:D49)</f>
        <v>#DIV/0!</v>
      </c>
      <c r="J50" s="264">
        <f>SUM(J30:J49)</f>
        <v>0</v>
      </c>
      <c r="K50" s="265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139" priority="4" operator="equal">
      <formula>"C"</formula>
    </cfRule>
    <cfRule type="cellIs" dxfId="138" priority="5" operator="equal">
      <formula>"B"</formula>
    </cfRule>
    <cfRule type="cellIs" dxfId="137" priority="6" operator="equal">
      <formula>"A"</formula>
    </cfRule>
  </conditionalFormatting>
  <conditionalFormatting sqref="M30:M49 D30:D49 K30:K49 F30:G49">
    <cfRule type="cellIs" dxfId="136" priority="1" operator="equal">
      <formula>"C"</formula>
    </cfRule>
    <cfRule type="cellIs" dxfId="135" priority="2" operator="equal">
      <formula>"B"</formula>
    </cfRule>
    <cfRule type="cellIs" dxfId="134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topLeftCell="A40" zoomScale="90" zoomScaleNormal="90" workbookViewId="0">
      <selection activeCell="I51" sqref="I5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329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1" t="s">
        <v>28</v>
      </c>
      <c r="D3" s="252" t="s">
        <v>330</v>
      </c>
      <c r="E3" s="253" t="s">
        <v>331</v>
      </c>
      <c r="F3" s="252" t="s">
        <v>332</v>
      </c>
      <c r="G3" s="252" t="s">
        <v>333</v>
      </c>
      <c r="J3" s="251" t="s">
        <v>334</v>
      </c>
      <c r="K3" s="252" t="s">
        <v>335</v>
      </c>
      <c r="L3" s="253" t="s">
        <v>331</v>
      </c>
      <c r="M3" s="254" t="s">
        <v>333</v>
      </c>
    </row>
    <row r="4" spans="2:17" ht="28.5" customHeight="1" outlineLevel="1" thickBot="1">
      <c r="B4" s="255" t="s">
        <v>38</v>
      </c>
      <c r="C4" s="256"/>
      <c r="D4" s="257" t="e">
        <f>C4/C$26</f>
        <v>#DIV/0!</v>
      </c>
      <c r="E4" s="257" t="e">
        <f>D4</f>
        <v>#DIV/0!</v>
      </c>
      <c r="F4" s="258" t="e">
        <f t="shared" ref="F4:F12" si="0">IF(AND(E4&lt;=0),"C",IF(E4&lt;=0.8,"A",IF(E4&lt;=0.95,"B","C")))</f>
        <v>#DIV/0!</v>
      </c>
      <c r="G4" s="258" t="e">
        <f>VLOOKUP(B$4:B$25,I$4:M$25,5,0)</f>
        <v>#DIV/0!</v>
      </c>
      <c r="I4" s="255" t="s">
        <v>38</v>
      </c>
      <c r="J4" s="256"/>
      <c r="K4" s="257" t="e">
        <f>J4/J$26</f>
        <v>#DIV/0!</v>
      </c>
      <c r="L4" s="257" t="e">
        <f>K4</f>
        <v>#DIV/0!</v>
      </c>
      <c r="M4" s="258" t="e">
        <f t="shared" ref="M4:M12" si="1">_xlfn.IFS(L4&lt;80%,"A",L4&lt;=95%,"B",L4&gt;95%,"C")</f>
        <v>#DIV/0!</v>
      </c>
    </row>
    <row r="5" spans="2:17" ht="28.5" customHeight="1" outlineLevel="1" thickBot="1">
      <c r="B5" s="255" t="s">
        <v>39</v>
      </c>
      <c r="C5" s="256"/>
      <c r="D5" s="257" t="e">
        <f>C5/C$26</f>
        <v>#DIV/0!</v>
      </c>
      <c r="E5" s="257" t="e">
        <f>D5+E4</f>
        <v>#DIV/0!</v>
      </c>
      <c r="F5" s="258" t="e">
        <f t="shared" si="0"/>
        <v>#DIV/0!</v>
      </c>
      <c r="G5" s="258" t="e">
        <f>VLOOKUP(B$4:B$25,I$4:M$25,5,0)</f>
        <v>#DIV/0!</v>
      </c>
      <c r="I5" s="255" t="s">
        <v>39</v>
      </c>
      <c r="J5" s="256"/>
      <c r="K5" s="257" t="e">
        <f>J5/J$26</f>
        <v>#DIV/0!</v>
      </c>
      <c r="L5" s="257" t="e">
        <f>K5+L4</f>
        <v>#DIV/0!</v>
      </c>
      <c r="M5" s="258" t="e">
        <f t="shared" si="1"/>
        <v>#DIV/0!</v>
      </c>
    </row>
    <row r="6" spans="2:17" ht="28.5" customHeight="1" outlineLevel="1" thickBot="1">
      <c r="B6" s="255" t="s">
        <v>40</v>
      </c>
      <c r="C6" s="256"/>
      <c r="D6" s="257" t="e">
        <f>C6/C$26</f>
        <v>#DIV/0!</v>
      </c>
      <c r="E6" s="257" t="e">
        <f t="shared" ref="E6:E25" si="2">D6+E5</f>
        <v>#DIV/0!</v>
      </c>
      <c r="F6" s="258" t="e">
        <f t="shared" si="0"/>
        <v>#DIV/0!</v>
      </c>
      <c r="G6" s="258" t="e">
        <f>VLOOKUP(B$4:B$25,I$4:M$25,5,0)</f>
        <v>#DIV/0!</v>
      </c>
      <c r="I6" s="255" t="s">
        <v>40</v>
      </c>
      <c r="J6" s="256"/>
      <c r="K6" s="257" t="e">
        <f>J6/J$26</f>
        <v>#DIV/0!</v>
      </c>
      <c r="L6" s="257" t="e">
        <f t="shared" ref="L6:L25" si="3">K6+L5</f>
        <v>#DIV/0!</v>
      </c>
      <c r="M6" s="258" t="e">
        <f t="shared" si="1"/>
        <v>#DIV/0!</v>
      </c>
    </row>
    <row r="7" spans="2:17" ht="28.5" customHeight="1" outlineLevel="1" thickBot="1">
      <c r="B7" s="255" t="s">
        <v>41</v>
      </c>
      <c r="C7" s="256"/>
      <c r="D7" s="257" t="e">
        <f>C7/C$26</f>
        <v>#DIV/0!</v>
      </c>
      <c r="E7" s="257" t="e">
        <f t="shared" si="2"/>
        <v>#DIV/0!</v>
      </c>
      <c r="F7" s="258" t="e">
        <f t="shared" si="0"/>
        <v>#DIV/0!</v>
      </c>
      <c r="G7" s="258" t="e">
        <f>VLOOKUP(B$4:B$25,I$4:M$25,5,0)</f>
        <v>#DIV/0!</v>
      </c>
      <c r="I7" s="255" t="s">
        <v>41</v>
      </c>
      <c r="J7" s="256"/>
      <c r="K7" s="257" t="e">
        <f>J7/J$26</f>
        <v>#DIV/0!</v>
      </c>
      <c r="L7" s="257" t="e">
        <f t="shared" si="3"/>
        <v>#DIV/0!</v>
      </c>
      <c r="M7" s="258" t="e">
        <f t="shared" si="1"/>
        <v>#DIV/0!</v>
      </c>
    </row>
    <row r="8" spans="2:17" ht="28.5" customHeight="1" outlineLevel="1" thickBot="1">
      <c r="B8" s="255" t="s">
        <v>42</v>
      </c>
      <c r="C8" s="256"/>
      <c r="D8" s="257" t="e">
        <f>C8/C$26</f>
        <v>#DIV/0!</v>
      </c>
      <c r="E8" s="257" t="e">
        <f t="shared" si="2"/>
        <v>#DIV/0!</v>
      </c>
      <c r="F8" s="258" t="e">
        <f t="shared" si="0"/>
        <v>#DIV/0!</v>
      </c>
      <c r="G8" s="258" t="e">
        <f>VLOOKUP(B$4:B$25,I$4:M$25,5,0)</f>
        <v>#DIV/0!</v>
      </c>
      <c r="I8" s="255" t="s">
        <v>42</v>
      </c>
      <c r="J8" s="256"/>
      <c r="K8" s="257" t="e">
        <f>J8/J$26</f>
        <v>#DIV/0!</v>
      </c>
      <c r="L8" s="257" t="e">
        <f t="shared" si="3"/>
        <v>#DIV/0!</v>
      </c>
      <c r="M8" s="258" t="e">
        <f t="shared" si="1"/>
        <v>#DIV/0!</v>
      </c>
    </row>
    <row r="9" spans="2:17" ht="28.5" customHeight="1" outlineLevel="1" thickBot="1">
      <c r="B9" s="255" t="s">
        <v>43</v>
      </c>
      <c r="C9" s="256"/>
      <c r="D9" s="257" t="e">
        <f t="shared" ref="D9:D25" si="4">C9/C$26</f>
        <v>#DIV/0!</v>
      </c>
      <c r="E9" s="257" t="e">
        <f t="shared" si="2"/>
        <v>#DIV/0!</v>
      </c>
      <c r="F9" s="258" t="e">
        <f t="shared" si="0"/>
        <v>#DIV/0!</v>
      </c>
      <c r="G9" s="258" t="e">
        <f t="shared" ref="G9:G25" si="5">VLOOKUP(B$4:B$25,I$4:M$25,5,0)</f>
        <v>#DIV/0!</v>
      </c>
      <c r="I9" s="255" t="s">
        <v>43</v>
      </c>
      <c r="J9" s="256"/>
      <c r="K9" s="257" t="e">
        <f t="shared" ref="K9:K25" si="6">J9/J$26</f>
        <v>#DIV/0!</v>
      </c>
      <c r="L9" s="257" t="e">
        <f t="shared" si="3"/>
        <v>#DIV/0!</v>
      </c>
      <c r="M9" s="258" t="e">
        <f t="shared" si="1"/>
        <v>#DIV/0!</v>
      </c>
    </row>
    <row r="10" spans="2:17" ht="28.5" customHeight="1" outlineLevel="1" thickBot="1">
      <c r="B10" s="255" t="s">
        <v>44</v>
      </c>
      <c r="C10" s="256"/>
      <c r="D10" s="257" t="e">
        <f t="shared" si="4"/>
        <v>#DIV/0!</v>
      </c>
      <c r="E10" s="257" t="e">
        <f t="shared" si="2"/>
        <v>#DIV/0!</v>
      </c>
      <c r="F10" s="258" t="e">
        <f t="shared" si="0"/>
        <v>#DIV/0!</v>
      </c>
      <c r="G10" s="258" t="e">
        <f t="shared" si="5"/>
        <v>#DIV/0!</v>
      </c>
      <c r="I10" s="255" t="s">
        <v>44</v>
      </c>
      <c r="J10" s="256"/>
      <c r="K10" s="257" t="e">
        <f t="shared" si="6"/>
        <v>#DIV/0!</v>
      </c>
      <c r="L10" s="257" t="e">
        <f t="shared" si="3"/>
        <v>#DIV/0!</v>
      </c>
      <c r="M10" s="258" t="e">
        <f t="shared" si="1"/>
        <v>#DIV/0!</v>
      </c>
    </row>
    <row r="11" spans="2:17" ht="28.5" customHeight="1" outlineLevel="1" thickBot="1">
      <c r="B11" s="255" t="s">
        <v>45</v>
      </c>
      <c r="C11" s="256"/>
      <c r="D11" s="257" t="e">
        <f t="shared" si="4"/>
        <v>#DIV/0!</v>
      </c>
      <c r="E11" s="257" t="e">
        <f>D11+E8</f>
        <v>#DIV/0!</v>
      </c>
      <c r="F11" s="258" t="e">
        <f t="shared" si="0"/>
        <v>#DIV/0!</v>
      </c>
      <c r="G11" s="258" t="e">
        <f t="shared" si="5"/>
        <v>#DIV/0!</v>
      </c>
      <c r="I11" s="255" t="s">
        <v>45</v>
      </c>
      <c r="J11" s="256"/>
      <c r="K11" s="257" t="e">
        <f t="shared" si="6"/>
        <v>#DIV/0!</v>
      </c>
      <c r="L11" s="257" t="e">
        <f>K11+L8</f>
        <v>#DIV/0!</v>
      </c>
      <c r="M11" s="258" t="e">
        <f t="shared" si="1"/>
        <v>#DIV/0!</v>
      </c>
    </row>
    <row r="12" spans="2:17" ht="28.5" customHeight="1" outlineLevel="1" thickBot="1">
      <c r="B12" s="255" t="s">
        <v>46</v>
      </c>
      <c r="C12" s="256"/>
      <c r="D12" s="257" t="e">
        <f t="shared" si="4"/>
        <v>#DIV/0!</v>
      </c>
      <c r="E12" s="257" t="e">
        <f t="shared" si="2"/>
        <v>#DIV/0!</v>
      </c>
      <c r="F12" s="258" t="e">
        <f t="shared" si="0"/>
        <v>#DIV/0!</v>
      </c>
      <c r="G12" s="258" t="e">
        <f t="shared" si="5"/>
        <v>#DIV/0!</v>
      </c>
      <c r="I12" s="255" t="s">
        <v>46</v>
      </c>
      <c r="J12" s="256"/>
      <c r="K12" s="257" t="e">
        <f t="shared" si="6"/>
        <v>#DIV/0!</v>
      </c>
      <c r="L12" s="257" t="e">
        <f t="shared" si="3"/>
        <v>#DIV/0!</v>
      </c>
      <c r="M12" s="258" t="e">
        <f t="shared" si="1"/>
        <v>#DIV/0!</v>
      </c>
    </row>
    <row r="13" spans="2:17" ht="15" outlineLevel="1" thickBot="1">
      <c r="B13" s="255" t="s">
        <v>47</v>
      </c>
      <c r="C13" s="256"/>
      <c r="D13" s="257" t="e">
        <f t="shared" si="4"/>
        <v>#DIV/0!</v>
      </c>
      <c r="E13" s="257" t="e">
        <f t="shared" si="2"/>
        <v>#DIV/0!</v>
      </c>
      <c r="F13" s="258" t="e">
        <f>IF(AND(E13&lt;=0),"C",IF(E13&lt;=0.8,"A",IF(E13&lt;=0.95,"B","C")))</f>
        <v>#DIV/0!</v>
      </c>
      <c r="G13" s="258" t="e">
        <f t="shared" si="5"/>
        <v>#DIV/0!</v>
      </c>
      <c r="I13" s="255" t="s">
        <v>47</v>
      </c>
      <c r="J13" s="256"/>
      <c r="K13" s="257" t="e">
        <f t="shared" si="6"/>
        <v>#DIV/0!</v>
      </c>
      <c r="L13" s="257" t="e">
        <f t="shared" si="3"/>
        <v>#DIV/0!</v>
      </c>
      <c r="M13" s="258" t="e">
        <f>_xlfn.IFS(L13&lt;80%,"A",L13&lt;=95%,"B",L13&gt;95%,"C")</f>
        <v>#DIV/0!</v>
      </c>
      <c r="P13" s="259" t="s">
        <v>336</v>
      </c>
      <c r="Q13" s="260">
        <v>0.8</v>
      </c>
    </row>
    <row r="14" spans="2:17" ht="15" outlineLevel="1" thickBot="1">
      <c r="B14" s="255" t="s">
        <v>48</v>
      </c>
      <c r="C14" s="256"/>
      <c r="D14" s="257" t="e">
        <f t="shared" si="4"/>
        <v>#DIV/0!</v>
      </c>
      <c r="E14" s="257" t="e">
        <f t="shared" si="2"/>
        <v>#DIV/0!</v>
      </c>
      <c r="F14" s="258" t="e">
        <f t="shared" ref="F14:F25" si="7">IF(AND(E14&lt;=0),"C",IF(E14&lt;=0.8,"A",IF(E14&lt;=0.95,"B","C")))</f>
        <v>#DIV/0!</v>
      </c>
      <c r="G14" s="258" t="e">
        <f t="shared" si="5"/>
        <v>#DIV/0!</v>
      </c>
      <c r="I14" s="255" t="s">
        <v>48</v>
      </c>
      <c r="J14" s="256"/>
      <c r="K14" s="257" t="e">
        <f t="shared" si="6"/>
        <v>#DIV/0!</v>
      </c>
      <c r="L14" s="257" t="e">
        <f t="shared" si="3"/>
        <v>#DIV/0!</v>
      </c>
      <c r="M14" s="258" t="e">
        <f t="shared" ref="M14:M25" si="8">_xlfn.IFS(L14&lt;80%,"A",L14&lt;=95%,"B",L14&gt;95%,"C")</f>
        <v>#DIV/0!</v>
      </c>
      <c r="P14" s="261" t="s">
        <v>337</v>
      </c>
      <c r="Q14" s="260">
        <v>0.15</v>
      </c>
    </row>
    <row r="15" spans="2:17" ht="15" outlineLevel="1" thickBot="1">
      <c r="B15" s="255" t="s">
        <v>49</v>
      </c>
      <c r="C15" s="256"/>
      <c r="D15" s="257" t="e">
        <f t="shared" si="4"/>
        <v>#DIV/0!</v>
      </c>
      <c r="E15" s="257" t="e">
        <f t="shared" si="2"/>
        <v>#DIV/0!</v>
      </c>
      <c r="F15" s="258" t="e">
        <f t="shared" si="7"/>
        <v>#DIV/0!</v>
      </c>
      <c r="G15" s="258" t="e">
        <f t="shared" si="5"/>
        <v>#DIV/0!</v>
      </c>
      <c r="I15" s="255" t="s">
        <v>49</v>
      </c>
      <c r="J15" s="256"/>
      <c r="K15" s="257" t="e">
        <f t="shared" si="6"/>
        <v>#DIV/0!</v>
      </c>
      <c r="L15" s="257" t="e">
        <f t="shared" si="3"/>
        <v>#DIV/0!</v>
      </c>
      <c r="M15" s="258" t="e">
        <f t="shared" si="8"/>
        <v>#DIV/0!</v>
      </c>
      <c r="P15" s="262" t="s">
        <v>338</v>
      </c>
      <c r="Q15" s="260">
        <v>0.05</v>
      </c>
    </row>
    <row r="16" spans="2:17" ht="26.5" outlineLevel="1" thickBot="1">
      <c r="B16" s="255" t="s">
        <v>50</v>
      </c>
      <c r="C16" s="256"/>
      <c r="D16" s="257" t="e">
        <f t="shared" si="4"/>
        <v>#DIV/0!</v>
      </c>
      <c r="E16" s="257" t="e">
        <f t="shared" si="2"/>
        <v>#DIV/0!</v>
      </c>
      <c r="F16" s="258" t="e">
        <f t="shared" si="7"/>
        <v>#DIV/0!</v>
      </c>
      <c r="G16" s="258" t="e">
        <f t="shared" si="5"/>
        <v>#DIV/0!</v>
      </c>
      <c r="I16" s="255" t="s">
        <v>50</v>
      </c>
      <c r="J16" s="256"/>
      <c r="K16" s="257" t="e">
        <f t="shared" si="6"/>
        <v>#DIV/0!</v>
      </c>
      <c r="L16" s="257" t="e">
        <f t="shared" si="3"/>
        <v>#DIV/0!</v>
      </c>
      <c r="M16" s="258" t="e">
        <f t="shared" si="8"/>
        <v>#DIV/0!</v>
      </c>
      <c r="P16" s="263"/>
      <c r="Q16" s="257"/>
    </row>
    <row r="17" spans="2:17" ht="15" outlineLevel="1" thickBot="1">
      <c r="B17" s="255" t="s">
        <v>51</v>
      </c>
      <c r="C17" s="256"/>
      <c r="D17" s="257" t="e">
        <f t="shared" si="4"/>
        <v>#DIV/0!</v>
      </c>
      <c r="E17" s="257" t="e">
        <f t="shared" si="2"/>
        <v>#DIV/0!</v>
      </c>
      <c r="F17" s="258" t="e">
        <f t="shared" si="7"/>
        <v>#DIV/0!</v>
      </c>
      <c r="G17" s="258" t="e">
        <f t="shared" si="5"/>
        <v>#DIV/0!</v>
      </c>
      <c r="I17" s="255" t="s">
        <v>51</v>
      </c>
      <c r="J17" s="256"/>
      <c r="K17" s="257" t="e">
        <f t="shared" si="6"/>
        <v>#DIV/0!</v>
      </c>
      <c r="L17" s="257" t="e">
        <f t="shared" si="3"/>
        <v>#DIV/0!</v>
      </c>
      <c r="M17" s="258" t="e">
        <f t="shared" si="8"/>
        <v>#DIV/0!</v>
      </c>
      <c r="P17" s="263"/>
      <c r="Q17" s="257"/>
    </row>
    <row r="18" spans="2:17" ht="15" outlineLevel="1" thickBot="1">
      <c r="B18" s="255" t="s">
        <v>52</v>
      </c>
      <c r="C18" s="256"/>
      <c r="D18" s="257" t="e">
        <f t="shared" si="4"/>
        <v>#DIV/0!</v>
      </c>
      <c r="E18" s="257" t="e">
        <f t="shared" si="2"/>
        <v>#DIV/0!</v>
      </c>
      <c r="F18" s="258" t="e">
        <f t="shared" si="7"/>
        <v>#DIV/0!</v>
      </c>
      <c r="G18" s="258" t="e">
        <f t="shared" si="5"/>
        <v>#DIV/0!</v>
      </c>
      <c r="I18" s="255" t="s">
        <v>52</v>
      </c>
      <c r="J18" s="256"/>
      <c r="K18" s="257" t="e">
        <f t="shared" si="6"/>
        <v>#DIV/0!</v>
      </c>
      <c r="L18" s="257" t="e">
        <f t="shared" si="3"/>
        <v>#DIV/0!</v>
      </c>
      <c r="M18" s="258" t="e">
        <f t="shared" si="8"/>
        <v>#DIV/0!</v>
      </c>
      <c r="P18" s="263"/>
      <c r="Q18" s="257"/>
    </row>
    <row r="19" spans="2:17" ht="15" outlineLevel="1" thickBot="1">
      <c r="B19" s="255" t="s">
        <v>53</v>
      </c>
      <c r="C19" s="256"/>
      <c r="D19" s="257" t="e">
        <f t="shared" si="4"/>
        <v>#DIV/0!</v>
      </c>
      <c r="E19" s="257" t="e">
        <f t="shared" si="2"/>
        <v>#DIV/0!</v>
      </c>
      <c r="F19" s="258" t="e">
        <f t="shared" si="7"/>
        <v>#DIV/0!</v>
      </c>
      <c r="G19" s="258" t="e">
        <f t="shared" si="5"/>
        <v>#DIV/0!</v>
      </c>
      <c r="I19" s="255" t="s">
        <v>53</v>
      </c>
      <c r="J19" s="256"/>
      <c r="K19" s="257" t="e">
        <f t="shared" si="6"/>
        <v>#DIV/0!</v>
      </c>
      <c r="L19" s="257" t="e">
        <f t="shared" si="3"/>
        <v>#DIV/0!</v>
      </c>
      <c r="M19" s="258" t="e">
        <f t="shared" si="8"/>
        <v>#DIV/0!</v>
      </c>
      <c r="P19" s="263"/>
      <c r="Q19" s="257"/>
    </row>
    <row r="20" spans="2:17" ht="15" outlineLevel="1" thickBot="1">
      <c r="B20" s="255" t="s">
        <v>54</v>
      </c>
      <c r="C20" s="256"/>
      <c r="D20" s="257" t="e">
        <f t="shared" si="4"/>
        <v>#DIV/0!</v>
      </c>
      <c r="E20" s="257" t="e">
        <f t="shared" si="2"/>
        <v>#DIV/0!</v>
      </c>
      <c r="F20" s="258" t="e">
        <f t="shared" si="7"/>
        <v>#DIV/0!</v>
      </c>
      <c r="G20" s="258" t="e">
        <f t="shared" si="5"/>
        <v>#DIV/0!</v>
      </c>
      <c r="I20" s="255" t="s">
        <v>54</v>
      </c>
      <c r="J20" s="256"/>
      <c r="K20" s="257" t="e">
        <f t="shared" si="6"/>
        <v>#DIV/0!</v>
      </c>
      <c r="L20" s="257" t="e">
        <f t="shared" si="3"/>
        <v>#DIV/0!</v>
      </c>
      <c r="M20" s="258" t="e">
        <f t="shared" si="8"/>
        <v>#DIV/0!</v>
      </c>
      <c r="P20" s="263"/>
      <c r="Q20" s="257"/>
    </row>
    <row r="21" spans="2:17" ht="15" outlineLevel="1" thickBot="1">
      <c r="B21" s="255" t="s">
        <v>55</v>
      </c>
      <c r="C21" s="256"/>
      <c r="D21" s="257" t="e">
        <f t="shared" si="4"/>
        <v>#DIV/0!</v>
      </c>
      <c r="E21" s="257" t="e">
        <f t="shared" si="2"/>
        <v>#DIV/0!</v>
      </c>
      <c r="F21" s="258" t="e">
        <f t="shared" si="7"/>
        <v>#DIV/0!</v>
      </c>
      <c r="G21" s="258" t="e">
        <f t="shared" si="5"/>
        <v>#DIV/0!</v>
      </c>
      <c r="I21" s="255" t="s">
        <v>55</v>
      </c>
      <c r="J21" s="256"/>
      <c r="K21" s="257" t="e">
        <f t="shared" si="6"/>
        <v>#DIV/0!</v>
      </c>
      <c r="L21" s="257" t="e">
        <f t="shared" si="3"/>
        <v>#DIV/0!</v>
      </c>
      <c r="M21" s="258" t="e">
        <f t="shared" si="8"/>
        <v>#DIV/0!</v>
      </c>
      <c r="P21" s="263"/>
      <c r="Q21" s="257"/>
    </row>
    <row r="22" spans="2:17" ht="15" outlineLevel="1" thickBot="1">
      <c r="B22" s="255" t="s">
        <v>56</v>
      </c>
      <c r="C22" s="256"/>
      <c r="D22" s="257" t="e">
        <f t="shared" si="4"/>
        <v>#DIV/0!</v>
      </c>
      <c r="E22" s="257" t="e">
        <f t="shared" si="2"/>
        <v>#DIV/0!</v>
      </c>
      <c r="F22" s="258" t="e">
        <f t="shared" si="7"/>
        <v>#DIV/0!</v>
      </c>
      <c r="G22" s="258" t="e">
        <f t="shared" si="5"/>
        <v>#DIV/0!</v>
      </c>
      <c r="I22" s="255" t="s">
        <v>56</v>
      </c>
      <c r="J22" s="256"/>
      <c r="K22" s="257" t="e">
        <f t="shared" si="6"/>
        <v>#DIV/0!</v>
      </c>
      <c r="L22" s="257" t="e">
        <f t="shared" si="3"/>
        <v>#DIV/0!</v>
      </c>
      <c r="M22" s="258" t="e">
        <f t="shared" si="8"/>
        <v>#DIV/0!</v>
      </c>
      <c r="P22" s="263"/>
      <c r="Q22" s="257"/>
    </row>
    <row r="23" spans="2:17" ht="15" outlineLevel="1" thickBot="1">
      <c r="B23" s="255" t="s">
        <v>57</v>
      </c>
      <c r="C23" s="256"/>
      <c r="D23" s="257" t="e">
        <f t="shared" si="4"/>
        <v>#DIV/0!</v>
      </c>
      <c r="E23" s="257" t="e">
        <f t="shared" si="2"/>
        <v>#DIV/0!</v>
      </c>
      <c r="F23" s="258" t="e">
        <f t="shared" si="7"/>
        <v>#DIV/0!</v>
      </c>
      <c r="G23" s="258" t="e">
        <f t="shared" si="5"/>
        <v>#DIV/0!</v>
      </c>
      <c r="I23" s="255" t="s">
        <v>57</v>
      </c>
      <c r="J23" s="256"/>
      <c r="K23" s="257" t="e">
        <f t="shared" si="6"/>
        <v>#DIV/0!</v>
      </c>
      <c r="L23" s="257" t="e">
        <f t="shared" si="3"/>
        <v>#DIV/0!</v>
      </c>
      <c r="M23" s="258" t="e">
        <f t="shared" si="8"/>
        <v>#DIV/0!</v>
      </c>
      <c r="P23" s="263"/>
      <c r="Q23" s="257"/>
    </row>
    <row r="24" spans="2:17" ht="15" outlineLevel="1" thickBot="1">
      <c r="B24" s="255" t="s">
        <v>58</v>
      </c>
      <c r="C24" s="256"/>
      <c r="D24" s="257" t="e">
        <f t="shared" si="4"/>
        <v>#DIV/0!</v>
      </c>
      <c r="E24" s="257" t="e">
        <f t="shared" si="2"/>
        <v>#DIV/0!</v>
      </c>
      <c r="F24" s="258" t="e">
        <f t="shared" si="7"/>
        <v>#DIV/0!</v>
      </c>
      <c r="G24" s="258" t="e">
        <f t="shared" si="5"/>
        <v>#DIV/0!</v>
      </c>
      <c r="I24" s="255" t="s">
        <v>58</v>
      </c>
      <c r="J24" s="256"/>
      <c r="K24" s="257" t="e">
        <f t="shared" si="6"/>
        <v>#DIV/0!</v>
      </c>
      <c r="L24" s="257" t="e">
        <f t="shared" si="3"/>
        <v>#DIV/0!</v>
      </c>
      <c r="M24" s="258" t="e">
        <f t="shared" si="8"/>
        <v>#DIV/0!</v>
      </c>
      <c r="P24" s="263"/>
      <c r="Q24" s="257"/>
    </row>
    <row r="25" spans="2:17" ht="15" outlineLevel="1" thickBot="1">
      <c r="B25" s="255" t="s">
        <v>59</v>
      </c>
      <c r="C25" s="256"/>
      <c r="D25" s="257" t="e">
        <f t="shared" si="4"/>
        <v>#DIV/0!</v>
      </c>
      <c r="E25" s="257" t="e">
        <f t="shared" si="2"/>
        <v>#DIV/0!</v>
      </c>
      <c r="F25" s="258" t="e">
        <f t="shared" si="7"/>
        <v>#DIV/0!</v>
      </c>
      <c r="G25" s="258" t="e">
        <f t="shared" si="5"/>
        <v>#DIV/0!</v>
      </c>
      <c r="I25" s="255" t="s">
        <v>59</v>
      </c>
      <c r="J25" s="256"/>
      <c r="K25" s="257" t="e">
        <f t="shared" si="6"/>
        <v>#DIV/0!</v>
      </c>
      <c r="L25" s="257" t="e">
        <f t="shared" si="3"/>
        <v>#DIV/0!</v>
      </c>
      <c r="M25" s="258" t="e">
        <f t="shared" si="8"/>
        <v>#DIV/0!</v>
      </c>
      <c r="P25" s="263"/>
      <c r="Q25" s="257"/>
    </row>
    <row r="26" spans="2:17" outlineLevel="1">
      <c r="C26" s="264">
        <f>SUM(C4:C25)</f>
        <v>0</v>
      </c>
      <c r="D26" s="265" t="e">
        <f>SUM(D4:D25)</f>
        <v>#DIV/0!</v>
      </c>
      <c r="J26" s="264">
        <f>SUM(J4:J25)</f>
        <v>0</v>
      </c>
      <c r="K26" s="265" t="e">
        <f>SUM(K4:K25)</f>
        <v>#DIV/0!</v>
      </c>
    </row>
    <row r="27" spans="2:17" ht="15" thickBot="1"/>
    <row r="28" spans="2:17" ht="15" thickBot="1">
      <c r="B28" s="305" t="s">
        <v>339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1" t="s">
        <v>28</v>
      </c>
      <c r="D29" s="252" t="s">
        <v>330</v>
      </c>
      <c r="E29" s="253" t="s">
        <v>331</v>
      </c>
      <c r="F29" s="252" t="s">
        <v>332</v>
      </c>
      <c r="G29" s="252" t="s">
        <v>333</v>
      </c>
      <c r="J29" s="251" t="s">
        <v>334</v>
      </c>
      <c r="K29" s="252" t="s">
        <v>335</v>
      </c>
      <c r="L29" s="253" t="s">
        <v>331</v>
      </c>
      <c r="M29" s="254" t="s">
        <v>333</v>
      </c>
    </row>
    <row r="30" spans="2:17" ht="26.5" thickBot="1">
      <c r="B30" s="255" t="s">
        <v>61</v>
      </c>
      <c r="C30" s="256"/>
      <c r="D30" s="257" t="e">
        <f>C30/C$50</f>
        <v>#DIV/0!</v>
      </c>
      <c r="E30" s="257" t="e">
        <f>D30</f>
        <v>#DIV/0!</v>
      </c>
      <c r="F30" s="258" t="e">
        <f t="shared" ref="F30:F36" si="9">IF(AND(E30&lt;=0),"C",IF(E30&lt;=0.8,"A",IF(E30&lt;=0.95,"B","C")))</f>
        <v>#DIV/0!</v>
      </c>
      <c r="G30" s="258" t="e">
        <f>VLOOKUP(B$30:B$50,I$30:M$50,5,0)</f>
        <v>#DIV/0!</v>
      </c>
      <c r="I30" s="255" t="s">
        <v>61</v>
      </c>
      <c r="J30" s="256"/>
      <c r="K30" s="257" t="e">
        <f>J30/J$50</f>
        <v>#DIV/0!</v>
      </c>
      <c r="L30" s="257" t="e">
        <f>K30</f>
        <v>#DIV/0!</v>
      </c>
      <c r="M30" s="258" t="e">
        <f t="shared" ref="M30:M36" si="10">_xlfn.IFS(L30&lt;80%,"A",L30&lt;=95%,"B",L30&gt;95%,"C")</f>
        <v>#DIV/0!</v>
      </c>
    </row>
    <row r="31" spans="2:17" ht="26.5" thickBot="1">
      <c r="B31" s="255" t="s">
        <v>62</v>
      </c>
      <c r="C31" s="256"/>
      <c r="D31" s="257" t="e">
        <f t="shared" ref="D31:D49" si="11">C31/C$50</f>
        <v>#DIV/0!</v>
      </c>
      <c r="E31" s="257" t="e">
        <f>D31+E30</f>
        <v>#DIV/0!</v>
      </c>
      <c r="F31" s="258" t="e">
        <f t="shared" si="9"/>
        <v>#DIV/0!</v>
      </c>
      <c r="G31" s="258" t="e">
        <f t="shared" ref="G31:G49" si="12">VLOOKUP(B$30:B$50,I$30:M$50,5,0)</f>
        <v>#DIV/0!</v>
      </c>
      <c r="I31" s="255" t="s">
        <v>62</v>
      </c>
      <c r="J31" s="256"/>
      <c r="K31" s="257" t="e">
        <f t="shared" ref="K31:K49" si="13">J31/J$50</f>
        <v>#DIV/0!</v>
      </c>
      <c r="L31" s="257" t="e">
        <f>K31+L30</f>
        <v>#DIV/0!</v>
      </c>
      <c r="M31" s="258" t="e">
        <f t="shared" si="10"/>
        <v>#DIV/0!</v>
      </c>
    </row>
    <row r="32" spans="2:17" ht="26.5" thickBot="1">
      <c r="B32" s="255" t="s">
        <v>63</v>
      </c>
      <c r="C32" s="256"/>
      <c r="D32" s="257" t="e">
        <f t="shared" si="11"/>
        <v>#DIV/0!</v>
      </c>
      <c r="E32" s="257" t="e">
        <f t="shared" ref="E32:E49" si="14">D32+E31</f>
        <v>#DIV/0!</v>
      </c>
      <c r="F32" s="258" t="e">
        <f t="shared" si="9"/>
        <v>#DIV/0!</v>
      </c>
      <c r="G32" s="258" t="e">
        <f t="shared" si="12"/>
        <v>#DIV/0!</v>
      </c>
      <c r="I32" s="255" t="s">
        <v>63</v>
      </c>
      <c r="J32" s="256"/>
      <c r="K32" s="257" t="e">
        <f t="shared" si="13"/>
        <v>#DIV/0!</v>
      </c>
      <c r="L32" s="257" t="e">
        <f t="shared" ref="L32:L49" si="15">K32+L31</f>
        <v>#DIV/0!</v>
      </c>
      <c r="M32" s="258" t="e">
        <f t="shared" si="10"/>
        <v>#DIV/0!</v>
      </c>
    </row>
    <row r="33" spans="2:13" ht="15" thickBot="1">
      <c r="B33" s="255" t="s">
        <v>64</v>
      </c>
      <c r="C33" s="256"/>
      <c r="D33" s="257" t="e">
        <f t="shared" si="11"/>
        <v>#DIV/0!</v>
      </c>
      <c r="E33" s="257" t="e">
        <f t="shared" si="14"/>
        <v>#DIV/0!</v>
      </c>
      <c r="F33" s="258" t="e">
        <f t="shared" si="9"/>
        <v>#DIV/0!</v>
      </c>
      <c r="G33" s="258" t="e">
        <f t="shared" si="12"/>
        <v>#DIV/0!</v>
      </c>
      <c r="I33" s="255" t="s">
        <v>64</v>
      </c>
      <c r="J33" s="256"/>
      <c r="K33" s="257" t="e">
        <f t="shared" si="13"/>
        <v>#DIV/0!</v>
      </c>
      <c r="L33" s="257" t="e">
        <f t="shared" si="15"/>
        <v>#DIV/0!</v>
      </c>
      <c r="M33" s="258" t="e">
        <f t="shared" si="10"/>
        <v>#DIV/0!</v>
      </c>
    </row>
    <row r="34" spans="2:13" ht="15" thickBot="1">
      <c r="B34" s="255" t="s">
        <v>65</v>
      </c>
      <c r="C34" s="256"/>
      <c r="D34" s="257" t="e">
        <f t="shared" si="11"/>
        <v>#DIV/0!</v>
      </c>
      <c r="E34" s="257" t="e">
        <f t="shared" si="14"/>
        <v>#DIV/0!</v>
      </c>
      <c r="F34" s="258" t="e">
        <f t="shared" si="9"/>
        <v>#DIV/0!</v>
      </c>
      <c r="G34" s="258" t="e">
        <f t="shared" si="12"/>
        <v>#DIV/0!</v>
      </c>
      <c r="I34" s="255" t="s">
        <v>65</v>
      </c>
      <c r="J34" s="256"/>
      <c r="K34" s="257" t="e">
        <f t="shared" si="13"/>
        <v>#DIV/0!</v>
      </c>
      <c r="L34" s="257" t="e">
        <f t="shared" si="15"/>
        <v>#DIV/0!</v>
      </c>
      <c r="M34" s="258" t="e">
        <f t="shared" si="10"/>
        <v>#DIV/0!</v>
      </c>
    </row>
    <row r="35" spans="2:13" ht="15" thickBot="1">
      <c r="B35" s="255" t="s">
        <v>66</v>
      </c>
      <c r="C35" s="256"/>
      <c r="D35" s="257" t="e">
        <f t="shared" si="11"/>
        <v>#DIV/0!</v>
      </c>
      <c r="E35" s="257" t="e">
        <f t="shared" si="14"/>
        <v>#DIV/0!</v>
      </c>
      <c r="F35" s="258" t="e">
        <f t="shared" si="9"/>
        <v>#DIV/0!</v>
      </c>
      <c r="G35" s="258" t="e">
        <f t="shared" si="12"/>
        <v>#DIV/0!</v>
      </c>
      <c r="I35" s="255" t="s">
        <v>66</v>
      </c>
      <c r="J35" s="256"/>
      <c r="K35" s="257" t="e">
        <f t="shared" si="13"/>
        <v>#DIV/0!</v>
      </c>
      <c r="L35" s="257" t="e">
        <f t="shared" si="15"/>
        <v>#DIV/0!</v>
      </c>
      <c r="M35" s="258" t="e">
        <f t="shared" si="10"/>
        <v>#DIV/0!</v>
      </c>
    </row>
    <row r="36" spans="2:13" ht="15" thickBot="1">
      <c r="B36" s="255" t="s">
        <v>67</v>
      </c>
      <c r="C36" s="256"/>
      <c r="D36" s="257" t="e">
        <f t="shared" si="11"/>
        <v>#DIV/0!</v>
      </c>
      <c r="E36" s="257" t="e">
        <f t="shared" si="14"/>
        <v>#DIV/0!</v>
      </c>
      <c r="F36" s="258" t="e">
        <f t="shared" si="9"/>
        <v>#DIV/0!</v>
      </c>
      <c r="G36" s="258" t="e">
        <f t="shared" si="12"/>
        <v>#DIV/0!</v>
      </c>
      <c r="I36" s="255" t="s">
        <v>67</v>
      </c>
      <c r="J36" s="256"/>
      <c r="K36" s="257" t="e">
        <f t="shared" si="13"/>
        <v>#DIV/0!</v>
      </c>
      <c r="L36" s="257" t="e">
        <f t="shared" si="15"/>
        <v>#DIV/0!</v>
      </c>
      <c r="M36" s="258" t="e">
        <f t="shared" si="10"/>
        <v>#DIV/0!</v>
      </c>
    </row>
    <row r="37" spans="2:13" ht="15" thickBot="1">
      <c r="B37" s="255" t="s">
        <v>68</v>
      </c>
      <c r="C37" s="256"/>
      <c r="D37" s="257" t="e">
        <f t="shared" si="11"/>
        <v>#DIV/0!</v>
      </c>
      <c r="E37" s="257" t="e">
        <f t="shared" si="14"/>
        <v>#DIV/0!</v>
      </c>
      <c r="F37" s="258" t="e">
        <f>IF(AND(E37&lt;=0),"C",IF(E37&lt;=0.8,"A",IF(E37&lt;=0.95,"B","C")))</f>
        <v>#DIV/0!</v>
      </c>
      <c r="G37" s="258" t="e">
        <f t="shared" si="12"/>
        <v>#DIV/0!</v>
      </c>
      <c r="I37" s="255" t="s">
        <v>68</v>
      </c>
      <c r="J37" s="256"/>
      <c r="K37" s="257" t="e">
        <f t="shared" si="13"/>
        <v>#DIV/0!</v>
      </c>
      <c r="L37" s="257" t="e">
        <f t="shared" si="15"/>
        <v>#DIV/0!</v>
      </c>
      <c r="M37" s="258" t="e">
        <f>_xlfn.IFS(L37&lt;80%,"A",L37&lt;=95%,"B",L37&gt;95%,"C")</f>
        <v>#DIV/0!</v>
      </c>
    </row>
    <row r="38" spans="2:13" ht="15" thickBot="1">
      <c r="B38" s="255" t="s">
        <v>69</v>
      </c>
      <c r="C38" s="256"/>
      <c r="D38" s="257" t="e">
        <f t="shared" si="11"/>
        <v>#DIV/0!</v>
      </c>
      <c r="E38" s="257" t="e">
        <f t="shared" si="14"/>
        <v>#DIV/0!</v>
      </c>
      <c r="F38" s="258" t="e">
        <f t="shared" ref="F38:F49" si="16">IF(AND(E38&lt;=0),"C",IF(E38&lt;=0.8,"A",IF(E38&lt;=0.95,"B","C")))</f>
        <v>#DIV/0!</v>
      </c>
      <c r="G38" s="258" t="e">
        <f t="shared" si="12"/>
        <v>#DIV/0!</v>
      </c>
      <c r="I38" s="255" t="s">
        <v>69</v>
      </c>
      <c r="J38" s="256"/>
      <c r="K38" s="257" t="e">
        <f t="shared" si="13"/>
        <v>#DIV/0!</v>
      </c>
      <c r="L38" s="257" t="e">
        <f t="shared" si="15"/>
        <v>#DIV/0!</v>
      </c>
      <c r="M38" s="258" t="e">
        <f t="shared" ref="M38:M49" si="17">_xlfn.IFS(L38&lt;80%,"A",L38&lt;=95%,"B",L38&gt;95%,"C")</f>
        <v>#DIV/0!</v>
      </c>
    </row>
    <row r="39" spans="2:13" ht="15" thickBot="1">
      <c r="B39" s="255" t="s">
        <v>70</v>
      </c>
      <c r="C39" s="256"/>
      <c r="D39" s="257" t="e">
        <f t="shared" si="11"/>
        <v>#DIV/0!</v>
      </c>
      <c r="E39" s="257" t="e">
        <f t="shared" si="14"/>
        <v>#DIV/0!</v>
      </c>
      <c r="F39" s="258" t="e">
        <f t="shared" si="16"/>
        <v>#DIV/0!</v>
      </c>
      <c r="G39" s="258" t="e">
        <f t="shared" si="12"/>
        <v>#DIV/0!</v>
      </c>
      <c r="I39" s="255" t="s">
        <v>70</v>
      </c>
      <c r="J39" s="256"/>
      <c r="K39" s="257" t="e">
        <f t="shared" si="13"/>
        <v>#DIV/0!</v>
      </c>
      <c r="L39" s="257" t="e">
        <f t="shared" si="15"/>
        <v>#DIV/0!</v>
      </c>
      <c r="M39" s="258" t="e">
        <f t="shared" si="17"/>
        <v>#DIV/0!</v>
      </c>
    </row>
    <row r="40" spans="2:13" ht="15" thickBot="1">
      <c r="B40" s="255" t="s">
        <v>71</v>
      </c>
      <c r="C40" s="256"/>
      <c r="D40" s="257" t="e">
        <f t="shared" si="11"/>
        <v>#DIV/0!</v>
      </c>
      <c r="E40" s="257" t="e">
        <f t="shared" si="14"/>
        <v>#DIV/0!</v>
      </c>
      <c r="F40" s="258" t="e">
        <f t="shared" si="16"/>
        <v>#DIV/0!</v>
      </c>
      <c r="G40" s="258" t="e">
        <f t="shared" si="12"/>
        <v>#DIV/0!</v>
      </c>
      <c r="I40" s="255" t="s">
        <v>71</v>
      </c>
      <c r="J40" s="256"/>
      <c r="K40" s="257" t="e">
        <f t="shared" si="13"/>
        <v>#DIV/0!</v>
      </c>
      <c r="L40" s="257" t="e">
        <f t="shared" si="15"/>
        <v>#DIV/0!</v>
      </c>
      <c r="M40" s="258" t="e">
        <f t="shared" si="17"/>
        <v>#DIV/0!</v>
      </c>
    </row>
    <row r="41" spans="2:13" ht="26.5" thickBot="1">
      <c r="B41" s="255" t="s">
        <v>72</v>
      </c>
      <c r="C41" s="256"/>
      <c r="D41" s="257" t="e">
        <f t="shared" si="11"/>
        <v>#DIV/0!</v>
      </c>
      <c r="E41" s="257" t="e">
        <f t="shared" si="14"/>
        <v>#DIV/0!</v>
      </c>
      <c r="F41" s="258" t="e">
        <f t="shared" si="16"/>
        <v>#DIV/0!</v>
      </c>
      <c r="G41" s="258" t="e">
        <f t="shared" si="12"/>
        <v>#DIV/0!</v>
      </c>
      <c r="I41" s="255" t="s">
        <v>72</v>
      </c>
      <c r="J41" s="256"/>
      <c r="K41" s="257" t="e">
        <f t="shared" si="13"/>
        <v>#DIV/0!</v>
      </c>
      <c r="L41" s="257" t="e">
        <f t="shared" si="15"/>
        <v>#DIV/0!</v>
      </c>
      <c r="M41" s="258" t="e">
        <f t="shared" si="17"/>
        <v>#DIV/0!</v>
      </c>
    </row>
    <row r="42" spans="2:13" ht="15" thickBot="1">
      <c r="B42" s="255" t="s">
        <v>73</v>
      </c>
      <c r="C42" s="256"/>
      <c r="D42" s="257" t="e">
        <f t="shared" si="11"/>
        <v>#DIV/0!</v>
      </c>
      <c r="E42" s="257" t="e">
        <f t="shared" si="14"/>
        <v>#DIV/0!</v>
      </c>
      <c r="F42" s="258" t="e">
        <f t="shared" si="16"/>
        <v>#DIV/0!</v>
      </c>
      <c r="G42" s="258" t="e">
        <f t="shared" si="12"/>
        <v>#DIV/0!</v>
      </c>
      <c r="I42" s="255" t="s">
        <v>73</v>
      </c>
      <c r="J42" s="256"/>
      <c r="K42" s="257" t="e">
        <f t="shared" si="13"/>
        <v>#DIV/0!</v>
      </c>
      <c r="L42" s="257" t="e">
        <f t="shared" si="15"/>
        <v>#DIV/0!</v>
      </c>
      <c r="M42" s="258" t="e">
        <f t="shared" si="17"/>
        <v>#DIV/0!</v>
      </c>
    </row>
    <row r="43" spans="2:13" ht="26.5" thickBot="1">
      <c r="B43" s="255" t="s">
        <v>74</v>
      </c>
      <c r="C43" s="256"/>
      <c r="D43" s="257" t="e">
        <f t="shared" si="11"/>
        <v>#DIV/0!</v>
      </c>
      <c r="E43" s="257" t="e">
        <f t="shared" si="14"/>
        <v>#DIV/0!</v>
      </c>
      <c r="F43" s="258" t="e">
        <f t="shared" si="16"/>
        <v>#DIV/0!</v>
      </c>
      <c r="G43" s="258" t="e">
        <f t="shared" si="12"/>
        <v>#DIV/0!</v>
      </c>
      <c r="I43" s="255" t="s">
        <v>74</v>
      </c>
      <c r="J43" s="256"/>
      <c r="K43" s="257" t="e">
        <f t="shared" si="13"/>
        <v>#DIV/0!</v>
      </c>
      <c r="L43" s="257" t="e">
        <f t="shared" si="15"/>
        <v>#DIV/0!</v>
      </c>
      <c r="M43" s="258" t="e">
        <f t="shared" si="17"/>
        <v>#DIV/0!</v>
      </c>
    </row>
    <row r="44" spans="2:13" ht="26.5" thickBot="1">
      <c r="B44" s="255" t="s">
        <v>75</v>
      </c>
      <c r="C44" s="256"/>
      <c r="D44" s="257" t="e">
        <f t="shared" si="11"/>
        <v>#DIV/0!</v>
      </c>
      <c r="E44" s="257" t="e">
        <f t="shared" si="14"/>
        <v>#DIV/0!</v>
      </c>
      <c r="F44" s="258" t="e">
        <f t="shared" si="16"/>
        <v>#DIV/0!</v>
      </c>
      <c r="G44" s="258" t="e">
        <f t="shared" si="12"/>
        <v>#DIV/0!</v>
      </c>
      <c r="I44" s="255" t="s">
        <v>75</v>
      </c>
      <c r="J44" s="256"/>
      <c r="K44" s="257" t="e">
        <f t="shared" si="13"/>
        <v>#DIV/0!</v>
      </c>
      <c r="L44" s="257" t="e">
        <f t="shared" si="15"/>
        <v>#DIV/0!</v>
      </c>
      <c r="M44" s="258" t="e">
        <f t="shared" si="17"/>
        <v>#DIV/0!</v>
      </c>
    </row>
    <row r="45" spans="2:13" ht="26.5" thickBot="1">
      <c r="B45" s="255" t="s">
        <v>76</v>
      </c>
      <c r="C45" s="256"/>
      <c r="D45" s="257" t="e">
        <f t="shared" si="11"/>
        <v>#DIV/0!</v>
      </c>
      <c r="E45" s="257" t="e">
        <f t="shared" si="14"/>
        <v>#DIV/0!</v>
      </c>
      <c r="F45" s="258" t="e">
        <f t="shared" si="16"/>
        <v>#DIV/0!</v>
      </c>
      <c r="G45" s="258" t="e">
        <f t="shared" si="12"/>
        <v>#DIV/0!</v>
      </c>
      <c r="I45" s="255" t="s">
        <v>76</v>
      </c>
      <c r="J45" s="256"/>
      <c r="K45" s="257" t="e">
        <f t="shared" si="13"/>
        <v>#DIV/0!</v>
      </c>
      <c r="L45" s="257" t="e">
        <f t="shared" si="15"/>
        <v>#DIV/0!</v>
      </c>
      <c r="M45" s="258" t="e">
        <f t="shared" si="17"/>
        <v>#DIV/0!</v>
      </c>
    </row>
    <row r="46" spans="2:13" ht="26.5" thickBot="1">
      <c r="B46" s="255" t="s">
        <v>77</v>
      </c>
      <c r="C46" s="256"/>
      <c r="D46" s="257" t="e">
        <f t="shared" si="11"/>
        <v>#DIV/0!</v>
      </c>
      <c r="E46" s="257" t="e">
        <f t="shared" si="14"/>
        <v>#DIV/0!</v>
      </c>
      <c r="F46" s="258" t="e">
        <f t="shared" si="16"/>
        <v>#DIV/0!</v>
      </c>
      <c r="G46" s="258" t="e">
        <f t="shared" si="12"/>
        <v>#DIV/0!</v>
      </c>
      <c r="I46" s="255" t="s">
        <v>77</v>
      </c>
      <c r="J46" s="256"/>
      <c r="K46" s="257" t="e">
        <f t="shared" si="13"/>
        <v>#DIV/0!</v>
      </c>
      <c r="L46" s="257" t="e">
        <f t="shared" si="15"/>
        <v>#DIV/0!</v>
      </c>
      <c r="M46" s="258" t="e">
        <f t="shared" si="17"/>
        <v>#DIV/0!</v>
      </c>
    </row>
    <row r="47" spans="2:13" ht="26.5" thickBot="1">
      <c r="B47" s="255" t="s">
        <v>78</v>
      </c>
      <c r="C47" s="256"/>
      <c r="D47" s="257" t="e">
        <f t="shared" si="11"/>
        <v>#DIV/0!</v>
      </c>
      <c r="E47" s="257" t="e">
        <f t="shared" si="14"/>
        <v>#DIV/0!</v>
      </c>
      <c r="F47" s="258" t="e">
        <f t="shared" si="16"/>
        <v>#DIV/0!</v>
      </c>
      <c r="G47" s="258" t="e">
        <f t="shared" si="12"/>
        <v>#DIV/0!</v>
      </c>
      <c r="I47" s="255" t="s">
        <v>78</v>
      </c>
      <c r="J47" s="256"/>
      <c r="K47" s="257" t="e">
        <f t="shared" si="13"/>
        <v>#DIV/0!</v>
      </c>
      <c r="L47" s="257" t="e">
        <f t="shared" si="15"/>
        <v>#DIV/0!</v>
      </c>
      <c r="M47" s="258" t="e">
        <f t="shared" si="17"/>
        <v>#DIV/0!</v>
      </c>
    </row>
    <row r="48" spans="2:13" ht="15" thickBot="1">
      <c r="B48" s="255" t="s">
        <v>79</v>
      </c>
      <c r="C48" s="256"/>
      <c r="D48" s="257" t="e">
        <f t="shared" si="11"/>
        <v>#DIV/0!</v>
      </c>
      <c r="E48" s="257" t="e">
        <f t="shared" si="14"/>
        <v>#DIV/0!</v>
      </c>
      <c r="F48" s="258" t="e">
        <f t="shared" si="16"/>
        <v>#DIV/0!</v>
      </c>
      <c r="G48" s="258" t="e">
        <f t="shared" si="12"/>
        <v>#DIV/0!</v>
      </c>
      <c r="I48" s="255" t="s">
        <v>79</v>
      </c>
      <c r="J48" s="256"/>
      <c r="K48" s="257" t="e">
        <f t="shared" si="13"/>
        <v>#DIV/0!</v>
      </c>
      <c r="L48" s="257" t="e">
        <f t="shared" si="15"/>
        <v>#DIV/0!</v>
      </c>
      <c r="M48" s="258" t="e">
        <f t="shared" si="17"/>
        <v>#DIV/0!</v>
      </c>
    </row>
    <row r="49" spans="2:13" ht="26.5" thickBot="1">
      <c r="B49" s="255" t="s">
        <v>80</v>
      </c>
      <c r="C49" s="256"/>
      <c r="D49" s="257" t="e">
        <f t="shared" si="11"/>
        <v>#DIV/0!</v>
      </c>
      <c r="E49" s="257" t="e">
        <f t="shared" si="14"/>
        <v>#DIV/0!</v>
      </c>
      <c r="F49" s="258" t="e">
        <f t="shared" si="16"/>
        <v>#DIV/0!</v>
      </c>
      <c r="G49" s="258" t="e">
        <f t="shared" si="12"/>
        <v>#DIV/0!</v>
      </c>
      <c r="I49" s="255" t="s">
        <v>80</v>
      </c>
      <c r="J49" s="256"/>
      <c r="K49" s="257" t="e">
        <f t="shared" si="13"/>
        <v>#DIV/0!</v>
      </c>
      <c r="L49" s="257" t="e">
        <f t="shared" si="15"/>
        <v>#DIV/0!</v>
      </c>
      <c r="M49" s="258" t="e">
        <f t="shared" si="17"/>
        <v>#DIV/0!</v>
      </c>
    </row>
    <row r="50" spans="2:13">
      <c r="C50" s="264">
        <f>SUM(C30:C49)</f>
        <v>0</v>
      </c>
      <c r="D50" s="265" t="e">
        <f>SUM(D30:D49)</f>
        <v>#DIV/0!</v>
      </c>
      <c r="J50" s="264">
        <f>SUM(J30:J49)</f>
        <v>0</v>
      </c>
      <c r="K50" s="265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133" priority="4" operator="equal">
      <formula>"C"</formula>
    </cfRule>
    <cfRule type="cellIs" dxfId="132" priority="5" operator="equal">
      <formula>"B"</formula>
    </cfRule>
    <cfRule type="cellIs" dxfId="131" priority="6" operator="equal">
      <formula>"A"</formula>
    </cfRule>
  </conditionalFormatting>
  <conditionalFormatting sqref="M30:M49 D30:D49 K30:K49 F30:G49">
    <cfRule type="cellIs" dxfId="130" priority="1" operator="equal">
      <formula>"C"</formula>
    </cfRule>
    <cfRule type="cellIs" dxfId="129" priority="2" operator="equal">
      <formula>"B"</formula>
    </cfRule>
    <cfRule type="cellIs" dxfId="128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topLeftCell="A40" zoomScale="90" zoomScaleNormal="90" workbookViewId="0">
      <selection activeCell="I49" sqref="I4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329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1" t="s">
        <v>28</v>
      </c>
      <c r="D3" s="252" t="s">
        <v>330</v>
      </c>
      <c r="E3" s="253" t="s">
        <v>331</v>
      </c>
      <c r="F3" s="252" t="s">
        <v>332</v>
      </c>
      <c r="G3" s="252" t="s">
        <v>333</v>
      </c>
      <c r="J3" s="251" t="s">
        <v>334</v>
      </c>
      <c r="K3" s="252" t="s">
        <v>335</v>
      </c>
      <c r="L3" s="253" t="s">
        <v>331</v>
      </c>
      <c r="M3" s="254" t="s">
        <v>333</v>
      </c>
    </row>
    <row r="4" spans="2:17" ht="28.5" customHeight="1" outlineLevel="1" thickBot="1">
      <c r="B4" s="255" t="s">
        <v>38</v>
      </c>
      <c r="C4" s="256"/>
      <c r="D4" s="257" t="e">
        <f>C4/C$26</f>
        <v>#DIV/0!</v>
      </c>
      <c r="E4" s="257" t="e">
        <f>D4</f>
        <v>#DIV/0!</v>
      </c>
      <c r="F4" s="258" t="e">
        <f t="shared" ref="F4:F12" si="0">IF(AND(E4&lt;=0),"C",IF(E4&lt;=0.8,"A",IF(E4&lt;=0.95,"B","C")))</f>
        <v>#DIV/0!</v>
      </c>
      <c r="G4" s="258" t="e">
        <f>VLOOKUP(B$4:B$25,I$4:M$25,5,0)</f>
        <v>#DIV/0!</v>
      </c>
      <c r="I4" s="255" t="s">
        <v>38</v>
      </c>
      <c r="J4" s="256"/>
      <c r="K4" s="257" t="e">
        <f>J4/J$26</f>
        <v>#DIV/0!</v>
      </c>
      <c r="L4" s="257" t="e">
        <f>K4</f>
        <v>#DIV/0!</v>
      </c>
      <c r="M4" s="258" t="e">
        <f t="shared" ref="M4:M12" si="1">_xlfn.IFS(L4&lt;80%,"A",L4&lt;=95%,"B",L4&gt;95%,"C")</f>
        <v>#DIV/0!</v>
      </c>
    </row>
    <row r="5" spans="2:17" ht="28.5" customHeight="1" outlineLevel="1" thickBot="1">
      <c r="B5" s="255" t="s">
        <v>39</v>
      </c>
      <c r="C5" s="256"/>
      <c r="D5" s="257" t="e">
        <f>C5/C$26</f>
        <v>#DIV/0!</v>
      </c>
      <c r="E5" s="257" t="e">
        <f>D5+E4</f>
        <v>#DIV/0!</v>
      </c>
      <c r="F5" s="258" t="e">
        <f t="shared" si="0"/>
        <v>#DIV/0!</v>
      </c>
      <c r="G5" s="258" t="e">
        <f>VLOOKUP(B$4:B$25,I$4:M$25,5,0)</f>
        <v>#DIV/0!</v>
      </c>
      <c r="I5" s="255" t="s">
        <v>39</v>
      </c>
      <c r="J5" s="256"/>
      <c r="K5" s="257" t="e">
        <f>J5/J$26</f>
        <v>#DIV/0!</v>
      </c>
      <c r="L5" s="257" t="e">
        <f>K5+L4</f>
        <v>#DIV/0!</v>
      </c>
      <c r="M5" s="258" t="e">
        <f t="shared" si="1"/>
        <v>#DIV/0!</v>
      </c>
    </row>
    <row r="6" spans="2:17" ht="28.5" customHeight="1" outlineLevel="1" thickBot="1">
      <c r="B6" s="255" t="s">
        <v>40</v>
      </c>
      <c r="C6" s="256"/>
      <c r="D6" s="257" t="e">
        <f>C6/C$26</f>
        <v>#DIV/0!</v>
      </c>
      <c r="E6" s="257" t="e">
        <f t="shared" ref="E6:E25" si="2">D6+E5</f>
        <v>#DIV/0!</v>
      </c>
      <c r="F6" s="258" t="e">
        <f t="shared" si="0"/>
        <v>#DIV/0!</v>
      </c>
      <c r="G6" s="258" t="e">
        <f>VLOOKUP(B$4:B$25,I$4:M$25,5,0)</f>
        <v>#DIV/0!</v>
      </c>
      <c r="I6" s="255" t="s">
        <v>40</v>
      </c>
      <c r="J6" s="256"/>
      <c r="K6" s="257" t="e">
        <f>J6/J$26</f>
        <v>#DIV/0!</v>
      </c>
      <c r="L6" s="257" t="e">
        <f t="shared" ref="L6:L25" si="3">K6+L5</f>
        <v>#DIV/0!</v>
      </c>
      <c r="M6" s="258" t="e">
        <f t="shared" si="1"/>
        <v>#DIV/0!</v>
      </c>
    </row>
    <row r="7" spans="2:17" ht="28.5" customHeight="1" outlineLevel="1" thickBot="1">
      <c r="B7" s="255" t="s">
        <v>41</v>
      </c>
      <c r="C7" s="256"/>
      <c r="D7" s="257" t="e">
        <f>C7/C$26</f>
        <v>#DIV/0!</v>
      </c>
      <c r="E7" s="257" t="e">
        <f t="shared" si="2"/>
        <v>#DIV/0!</v>
      </c>
      <c r="F7" s="258" t="e">
        <f t="shared" si="0"/>
        <v>#DIV/0!</v>
      </c>
      <c r="G7" s="258" t="e">
        <f>VLOOKUP(B$4:B$25,I$4:M$25,5,0)</f>
        <v>#DIV/0!</v>
      </c>
      <c r="I7" s="255" t="s">
        <v>41</v>
      </c>
      <c r="J7" s="256"/>
      <c r="K7" s="257" t="e">
        <f>J7/J$26</f>
        <v>#DIV/0!</v>
      </c>
      <c r="L7" s="257" t="e">
        <f t="shared" si="3"/>
        <v>#DIV/0!</v>
      </c>
      <c r="M7" s="258" t="e">
        <f t="shared" si="1"/>
        <v>#DIV/0!</v>
      </c>
    </row>
    <row r="8" spans="2:17" ht="28.5" customHeight="1" outlineLevel="1" thickBot="1">
      <c r="B8" s="255" t="s">
        <v>42</v>
      </c>
      <c r="C8" s="256"/>
      <c r="D8" s="257" t="e">
        <f>C8/C$26</f>
        <v>#DIV/0!</v>
      </c>
      <c r="E8" s="257" t="e">
        <f t="shared" si="2"/>
        <v>#DIV/0!</v>
      </c>
      <c r="F8" s="258" t="e">
        <f t="shared" si="0"/>
        <v>#DIV/0!</v>
      </c>
      <c r="G8" s="258" t="e">
        <f>VLOOKUP(B$4:B$25,I$4:M$25,5,0)</f>
        <v>#DIV/0!</v>
      </c>
      <c r="I8" s="255" t="s">
        <v>42</v>
      </c>
      <c r="J8" s="256"/>
      <c r="K8" s="257" t="e">
        <f>J8/J$26</f>
        <v>#DIV/0!</v>
      </c>
      <c r="L8" s="257" t="e">
        <f t="shared" si="3"/>
        <v>#DIV/0!</v>
      </c>
      <c r="M8" s="258" t="e">
        <f t="shared" si="1"/>
        <v>#DIV/0!</v>
      </c>
    </row>
    <row r="9" spans="2:17" ht="28.5" customHeight="1" outlineLevel="1" thickBot="1">
      <c r="B9" s="255" t="s">
        <v>43</v>
      </c>
      <c r="C9" s="256"/>
      <c r="D9" s="257" t="e">
        <f t="shared" ref="D9:D25" si="4">C9/C$26</f>
        <v>#DIV/0!</v>
      </c>
      <c r="E9" s="257" t="e">
        <f t="shared" si="2"/>
        <v>#DIV/0!</v>
      </c>
      <c r="F9" s="258" t="e">
        <f t="shared" si="0"/>
        <v>#DIV/0!</v>
      </c>
      <c r="G9" s="258" t="e">
        <f t="shared" ref="G9:G25" si="5">VLOOKUP(B$4:B$25,I$4:M$25,5,0)</f>
        <v>#DIV/0!</v>
      </c>
      <c r="I9" s="255" t="s">
        <v>43</v>
      </c>
      <c r="J9" s="256"/>
      <c r="K9" s="257" t="e">
        <f t="shared" ref="K9:K25" si="6">J9/J$26</f>
        <v>#DIV/0!</v>
      </c>
      <c r="L9" s="257" t="e">
        <f t="shared" si="3"/>
        <v>#DIV/0!</v>
      </c>
      <c r="M9" s="258" t="e">
        <f t="shared" si="1"/>
        <v>#DIV/0!</v>
      </c>
    </row>
    <row r="10" spans="2:17" ht="28.5" customHeight="1" outlineLevel="1" thickBot="1">
      <c r="B10" s="255" t="s">
        <v>44</v>
      </c>
      <c r="C10" s="256"/>
      <c r="D10" s="257" t="e">
        <f t="shared" si="4"/>
        <v>#DIV/0!</v>
      </c>
      <c r="E10" s="257" t="e">
        <f t="shared" si="2"/>
        <v>#DIV/0!</v>
      </c>
      <c r="F10" s="258" t="e">
        <f t="shared" si="0"/>
        <v>#DIV/0!</v>
      </c>
      <c r="G10" s="258" t="e">
        <f t="shared" si="5"/>
        <v>#DIV/0!</v>
      </c>
      <c r="I10" s="255" t="s">
        <v>44</v>
      </c>
      <c r="J10" s="256"/>
      <c r="K10" s="257" t="e">
        <f t="shared" si="6"/>
        <v>#DIV/0!</v>
      </c>
      <c r="L10" s="257" t="e">
        <f t="shared" si="3"/>
        <v>#DIV/0!</v>
      </c>
      <c r="M10" s="258" t="e">
        <f t="shared" si="1"/>
        <v>#DIV/0!</v>
      </c>
    </row>
    <row r="11" spans="2:17" ht="28.5" customHeight="1" outlineLevel="1" thickBot="1">
      <c r="B11" s="255" t="s">
        <v>45</v>
      </c>
      <c r="C11" s="256"/>
      <c r="D11" s="257" t="e">
        <f t="shared" si="4"/>
        <v>#DIV/0!</v>
      </c>
      <c r="E11" s="257" t="e">
        <f>D11+E8</f>
        <v>#DIV/0!</v>
      </c>
      <c r="F11" s="258" t="e">
        <f t="shared" si="0"/>
        <v>#DIV/0!</v>
      </c>
      <c r="G11" s="258" t="e">
        <f t="shared" si="5"/>
        <v>#DIV/0!</v>
      </c>
      <c r="I11" s="255" t="s">
        <v>45</v>
      </c>
      <c r="J11" s="256"/>
      <c r="K11" s="257" t="e">
        <f t="shared" si="6"/>
        <v>#DIV/0!</v>
      </c>
      <c r="L11" s="257" t="e">
        <f>K11+L8</f>
        <v>#DIV/0!</v>
      </c>
      <c r="M11" s="258" t="e">
        <f t="shared" si="1"/>
        <v>#DIV/0!</v>
      </c>
    </row>
    <row r="12" spans="2:17" ht="28.5" customHeight="1" outlineLevel="1" thickBot="1">
      <c r="B12" s="255" t="s">
        <v>46</v>
      </c>
      <c r="C12" s="256"/>
      <c r="D12" s="257" t="e">
        <f t="shared" si="4"/>
        <v>#DIV/0!</v>
      </c>
      <c r="E12" s="257" t="e">
        <f t="shared" si="2"/>
        <v>#DIV/0!</v>
      </c>
      <c r="F12" s="258" t="e">
        <f t="shared" si="0"/>
        <v>#DIV/0!</v>
      </c>
      <c r="G12" s="258" t="e">
        <f t="shared" si="5"/>
        <v>#DIV/0!</v>
      </c>
      <c r="I12" s="255" t="s">
        <v>46</v>
      </c>
      <c r="J12" s="256"/>
      <c r="K12" s="257" t="e">
        <f t="shared" si="6"/>
        <v>#DIV/0!</v>
      </c>
      <c r="L12" s="257" t="e">
        <f t="shared" si="3"/>
        <v>#DIV/0!</v>
      </c>
      <c r="M12" s="258" t="e">
        <f t="shared" si="1"/>
        <v>#DIV/0!</v>
      </c>
    </row>
    <row r="13" spans="2:17" ht="15" outlineLevel="1" thickBot="1">
      <c r="B13" s="255" t="s">
        <v>47</v>
      </c>
      <c r="C13" s="256"/>
      <c r="D13" s="257" t="e">
        <f t="shared" si="4"/>
        <v>#DIV/0!</v>
      </c>
      <c r="E13" s="257" t="e">
        <f t="shared" si="2"/>
        <v>#DIV/0!</v>
      </c>
      <c r="F13" s="258" t="e">
        <f>IF(AND(E13&lt;=0),"C",IF(E13&lt;=0.8,"A",IF(E13&lt;=0.95,"B","C")))</f>
        <v>#DIV/0!</v>
      </c>
      <c r="G13" s="258" t="e">
        <f t="shared" si="5"/>
        <v>#DIV/0!</v>
      </c>
      <c r="I13" s="255" t="s">
        <v>47</v>
      </c>
      <c r="J13" s="256"/>
      <c r="K13" s="257" t="e">
        <f t="shared" si="6"/>
        <v>#DIV/0!</v>
      </c>
      <c r="L13" s="257" t="e">
        <f t="shared" si="3"/>
        <v>#DIV/0!</v>
      </c>
      <c r="M13" s="258" t="e">
        <f>_xlfn.IFS(L13&lt;80%,"A",L13&lt;=95%,"B",L13&gt;95%,"C")</f>
        <v>#DIV/0!</v>
      </c>
      <c r="P13" s="259" t="s">
        <v>336</v>
      </c>
      <c r="Q13" s="260">
        <v>0.8</v>
      </c>
    </row>
    <row r="14" spans="2:17" ht="15" outlineLevel="1" thickBot="1">
      <c r="B14" s="255" t="s">
        <v>48</v>
      </c>
      <c r="C14" s="256"/>
      <c r="D14" s="257" t="e">
        <f t="shared" si="4"/>
        <v>#DIV/0!</v>
      </c>
      <c r="E14" s="257" t="e">
        <f t="shared" si="2"/>
        <v>#DIV/0!</v>
      </c>
      <c r="F14" s="258" t="e">
        <f t="shared" ref="F14:F25" si="7">IF(AND(E14&lt;=0),"C",IF(E14&lt;=0.8,"A",IF(E14&lt;=0.95,"B","C")))</f>
        <v>#DIV/0!</v>
      </c>
      <c r="G14" s="258" t="e">
        <f t="shared" si="5"/>
        <v>#DIV/0!</v>
      </c>
      <c r="I14" s="255" t="s">
        <v>48</v>
      </c>
      <c r="J14" s="256"/>
      <c r="K14" s="257" t="e">
        <f t="shared" si="6"/>
        <v>#DIV/0!</v>
      </c>
      <c r="L14" s="257" t="e">
        <f t="shared" si="3"/>
        <v>#DIV/0!</v>
      </c>
      <c r="M14" s="258" t="e">
        <f t="shared" ref="M14:M25" si="8">_xlfn.IFS(L14&lt;80%,"A",L14&lt;=95%,"B",L14&gt;95%,"C")</f>
        <v>#DIV/0!</v>
      </c>
      <c r="P14" s="261" t="s">
        <v>337</v>
      </c>
      <c r="Q14" s="260">
        <v>0.15</v>
      </c>
    </row>
    <row r="15" spans="2:17" ht="15" outlineLevel="1" thickBot="1">
      <c r="B15" s="255" t="s">
        <v>49</v>
      </c>
      <c r="C15" s="256"/>
      <c r="D15" s="257" t="e">
        <f t="shared" si="4"/>
        <v>#DIV/0!</v>
      </c>
      <c r="E15" s="257" t="e">
        <f t="shared" si="2"/>
        <v>#DIV/0!</v>
      </c>
      <c r="F15" s="258" t="e">
        <f t="shared" si="7"/>
        <v>#DIV/0!</v>
      </c>
      <c r="G15" s="258" t="e">
        <f t="shared" si="5"/>
        <v>#DIV/0!</v>
      </c>
      <c r="I15" s="255" t="s">
        <v>49</v>
      </c>
      <c r="J15" s="256"/>
      <c r="K15" s="257" t="e">
        <f t="shared" si="6"/>
        <v>#DIV/0!</v>
      </c>
      <c r="L15" s="257" t="e">
        <f t="shared" si="3"/>
        <v>#DIV/0!</v>
      </c>
      <c r="M15" s="258" t="e">
        <f t="shared" si="8"/>
        <v>#DIV/0!</v>
      </c>
      <c r="P15" s="262" t="s">
        <v>338</v>
      </c>
      <c r="Q15" s="260">
        <v>0.05</v>
      </c>
    </row>
    <row r="16" spans="2:17" ht="26.5" outlineLevel="1" thickBot="1">
      <c r="B16" s="255" t="s">
        <v>50</v>
      </c>
      <c r="C16" s="256"/>
      <c r="D16" s="257" t="e">
        <f t="shared" si="4"/>
        <v>#DIV/0!</v>
      </c>
      <c r="E16" s="257" t="e">
        <f t="shared" si="2"/>
        <v>#DIV/0!</v>
      </c>
      <c r="F16" s="258" t="e">
        <f t="shared" si="7"/>
        <v>#DIV/0!</v>
      </c>
      <c r="G16" s="258" t="e">
        <f t="shared" si="5"/>
        <v>#DIV/0!</v>
      </c>
      <c r="I16" s="255" t="s">
        <v>50</v>
      </c>
      <c r="J16" s="256"/>
      <c r="K16" s="257" t="e">
        <f t="shared" si="6"/>
        <v>#DIV/0!</v>
      </c>
      <c r="L16" s="257" t="e">
        <f t="shared" si="3"/>
        <v>#DIV/0!</v>
      </c>
      <c r="M16" s="258" t="e">
        <f t="shared" si="8"/>
        <v>#DIV/0!</v>
      </c>
      <c r="P16" s="263"/>
      <c r="Q16" s="257"/>
    </row>
    <row r="17" spans="2:17" ht="15" outlineLevel="1" thickBot="1">
      <c r="B17" s="255" t="s">
        <v>51</v>
      </c>
      <c r="C17" s="256"/>
      <c r="D17" s="257" t="e">
        <f t="shared" si="4"/>
        <v>#DIV/0!</v>
      </c>
      <c r="E17" s="257" t="e">
        <f t="shared" si="2"/>
        <v>#DIV/0!</v>
      </c>
      <c r="F17" s="258" t="e">
        <f t="shared" si="7"/>
        <v>#DIV/0!</v>
      </c>
      <c r="G17" s="258" t="e">
        <f t="shared" si="5"/>
        <v>#DIV/0!</v>
      </c>
      <c r="I17" s="255" t="s">
        <v>51</v>
      </c>
      <c r="J17" s="256"/>
      <c r="K17" s="257" t="e">
        <f t="shared" si="6"/>
        <v>#DIV/0!</v>
      </c>
      <c r="L17" s="257" t="e">
        <f t="shared" si="3"/>
        <v>#DIV/0!</v>
      </c>
      <c r="M17" s="258" t="e">
        <f t="shared" si="8"/>
        <v>#DIV/0!</v>
      </c>
      <c r="P17" s="263"/>
      <c r="Q17" s="257"/>
    </row>
    <row r="18" spans="2:17" ht="15" outlineLevel="1" thickBot="1">
      <c r="B18" s="255" t="s">
        <v>52</v>
      </c>
      <c r="C18" s="256"/>
      <c r="D18" s="257" t="e">
        <f t="shared" si="4"/>
        <v>#DIV/0!</v>
      </c>
      <c r="E18" s="257" t="e">
        <f t="shared" si="2"/>
        <v>#DIV/0!</v>
      </c>
      <c r="F18" s="258" t="e">
        <f t="shared" si="7"/>
        <v>#DIV/0!</v>
      </c>
      <c r="G18" s="258" t="e">
        <f t="shared" si="5"/>
        <v>#DIV/0!</v>
      </c>
      <c r="I18" s="255" t="s">
        <v>52</v>
      </c>
      <c r="J18" s="256"/>
      <c r="K18" s="257" t="e">
        <f t="shared" si="6"/>
        <v>#DIV/0!</v>
      </c>
      <c r="L18" s="257" t="e">
        <f t="shared" si="3"/>
        <v>#DIV/0!</v>
      </c>
      <c r="M18" s="258" t="e">
        <f t="shared" si="8"/>
        <v>#DIV/0!</v>
      </c>
      <c r="P18" s="263"/>
      <c r="Q18" s="257"/>
    </row>
    <row r="19" spans="2:17" ht="15" outlineLevel="1" thickBot="1">
      <c r="B19" s="255" t="s">
        <v>53</v>
      </c>
      <c r="C19" s="256"/>
      <c r="D19" s="257" t="e">
        <f t="shared" si="4"/>
        <v>#DIV/0!</v>
      </c>
      <c r="E19" s="257" t="e">
        <f t="shared" si="2"/>
        <v>#DIV/0!</v>
      </c>
      <c r="F19" s="258" t="e">
        <f t="shared" si="7"/>
        <v>#DIV/0!</v>
      </c>
      <c r="G19" s="258" t="e">
        <f t="shared" si="5"/>
        <v>#DIV/0!</v>
      </c>
      <c r="I19" s="255" t="s">
        <v>53</v>
      </c>
      <c r="J19" s="256"/>
      <c r="K19" s="257" t="e">
        <f t="shared" si="6"/>
        <v>#DIV/0!</v>
      </c>
      <c r="L19" s="257" t="e">
        <f t="shared" si="3"/>
        <v>#DIV/0!</v>
      </c>
      <c r="M19" s="258" t="e">
        <f t="shared" si="8"/>
        <v>#DIV/0!</v>
      </c>
      <c r="P19" s="263"/>
      <c r="Q19" s="257"/>
    </row>
    <row r="20" spans="2:17" ht="15" outlineLevel="1" thickBot="1">
      <c r="B20" s="255" t="s">
        <v>54</v>
      </c>
      <c r="C20" s="256"/>
      <c r="D20" s="257" t="e">
        <f t="shared" si="4"/>
        <v>#DIV/0!</v>
      </c>
      <c r="E20" s="257" t="e">
        <f t="shared" si="2"/>
        <v>#DIV/0!</v>
      </c>
      <c r="F20" s="258" t="e">
        <f t="shared" si="7"/>
        <v>#DIV/0!</v>
      </c>
      <c r="G20" s="258" t="e">
        <f t="shared" si="5"/>
        <v>#DIV/0!</v>
      </c>
      <c r="I20" s="255" t="s">
        <v>54</v>
      </c>
      <c r="J20" s="256"/>
      <c r="K20" s="257" t="e">
        <f t="shared" si="6"/>
        <v>#DIV/0!</v>
      </c>
      <c r="L20" s="257" t="e">
        <f t="shared" si="3"/>
        <v>#DIV/0!</v>
      </c>
      <c r="M20" s="258" t="e">
        <f t="shared" si="8"/>
        <v>#DIV/0!</v>
      </c>
      <c r="P20" s="263"/>
      <c r="Q20" s="257"/>
    </row>
    <row r="21" spans="2:17" ht="15" outlineLevel="1" thickBot="1">
      <c r="B21" s="255" t="s">
        <v>55</v>
      </c>
      <c r="C21" s="256"/>
      <c r="D21" s="257" t="e">
        <f t="shared" si="4"/>
        <v>#DIV/0!</v>
      </c>
      <c r="E21" s="257" t="e">
        <f t="shared" si="2"/>
        <v>#DIV/0!</v>
      </c>
      <c r="F21" s="258" t="e">
        <f t="shared" si="7"/>
        <v>#DIV/0!</v>
      </c>
      <c r="G21" s="258" t="e">
        <f t="shared" si="5"/>
        <v>#DIV/0!</v>
      </c>
      <c r="I21" s="255" t="s">
        <v>55</v>
      </c>
      <c r="J21" s="256"/>
      <c r="K21" s="257" t="e">
        <f t="shared" si="6"/>
        <v>#DIV/0!</v>
      </c>
      <c r="L21" s="257" t="e">
        <f t="shared" si="3"/>
        <v>#DIV/0!</v>
      </c>
      <c r="M21" s="258" t="e">
        <f t="shared" si="8"/>
        <v>#DIV/0!</v>
      </c>
      <c r="P21" s="263"/>
      <c r="Q21" s="257"/>
    </row>
    <row r="22" spans="2:17" ht="15" outlineLevel="1" thickBot="1">
      <c r="B22" s="255" t="s">
        <v>56</v>
      </c>
      <c r="C22" s="256"/>
      <c r="D22" s="257" t="e">
        <f t="shared" si="4"/>
        <v>#DIV/0!</v>
      </c>
      <c r="E22" s="257" t="e">
        <f t="shared" si="2"/>
        <v>#DIV/0!</v>
      </c>
      <c r="F22" s="258" t="e">
        <f t="shared" si="7"/>
        <v>#DIV/0!</v>
      </c>
      <c r="G22" s="258" t="e">
        <f t="shared" si="5"/>
        <v>#DIV/0!</v>
      </c>
      <c r="I22" s="255" t="s">
        <v>56</v>
      </c>
      <c r="J22" s="256"/>
      <c r="K22" s="257" t="e">
        <f t="shared" si="6"/>
        <v>#DIV/0!</v>
      </c>
      <c r="L22" s="257" t="e">
        <f t="shared" si="3"/>
        <v>#DIV/0!</v>
      </c>
      <c r="M22" s="258" t="e">
        <f t="shared" si="8"/>
        <v>#DIV/0!</v>
      </c>
      <c r="P22" s="263"/>
      <c r="Q22" s="257"/>
    </row>
    <row r="23" spans="2:17" ht="15" outlineLevel="1" thickBot="1">
      <c r="B23" s="255" t="s">
        <v>57</v>
      </c>
      <c r="C23" s="256"/>
      <c r="D23" s="257" t="e">
        <f t="shared" si="4"/>
        <v>#DIV/0!</v>
      </c>
      <c r="E23" s="257" t="e">
        <f t="shared" si="2"/>
        <v>#DIV/0!</v>
      </c>
      <c r="F23" s="258" t="e">
        <f t="shared" si="7"/>
        <v>#DIV/0!</v>
      </c>
      <c r="G23" s="258" t="e">
        <f t="shared" si="5"/>
        <v>#DIV/0!</v>
      </c>
      <c r="I23" s="255" t="s">
        <v>57</v>
      </c>
      <c r="J23" s="256"/>
      <c r="K23" s="257" t="e">
        <f t="shared" si="6"/>
        <v>#DIV/0!</v>
      </c>
      <c r="L23" s="257" t="e">
        <f t="shared" si="3"/>
        <v>#DIV/0!</v>
      </c>
      <c r="M23" s="258" t="e">
        <f t="shared" si="8"/>
        <v>#DIV/0!</v>
      </c>
      <c r="P23" s="263"/>
      <c r="Q23" s="257"/>
    </row>
    <row r="24" spans="2:17" ht="15" outlineLevel="1" thickBot="1">
      <c r="B24" s="255" t="s">
        <v>58</v>
      </c>
      <c r="C24" s="256"/>
      <c r="D24" s="257" t="e">
        <f t="shared" si="4"/>
        <v>#DIV/0!</v>
      </c>
      <c r="E24" s="257" t="e">
        <f t="shared" si="2"/>
        <v>#DIV/0!</v>
      </c>
      <c r="F24" s="258" t="e">
        <f t="shared" si="7"/>
        <v>#DIV/0!</v>
      </c>
      <c r="G24" s="258" t="e">
        <f t="shared" si="5"/>
        <v>#DIV/0!</v>
      </c>
      <c r="I24" s="255" t="s">
        <v>58</v>
      </c>
      <c r="J24" s="256"/>
      <c r="K24" s="257" t="e">
        <f t="shared" si="6"/>
        <v>#DIV/0!</v>
      </c>
      <c r="L24" s="257" t="e">
        <f t="shared" si="3"/>
        <v>#DIV/0!</v>
      </c>
      <c r="M24" s="258" t="e">
        <f t="shared" si="8"/>
        <v>#DIV/0!</v>
      </c>
      <c r="P24" s="263"/>
      <c r="Q24" s="257"/>
    </row>
    <row r="25" spans="2:17" ht="15" outlineLevel="1" thickBot="1">
      <c r="B25" s="255" t="s">
        <v>59</v>
      </c>
      <c r="C25" s="256"/>
      <c r="D25" s="257" t="e">
        <f t="shared" si="4"/>
        <v>#DIV/0!</v>
      </c>
      <c r="E25" s="257" t="e">
        <f t="shared" si="2"/>
        <v>#DIV/0!</v>
      </c>
      <c r="F25" s="258" t="e">
        <f t="shared" si="7"/>
        <v>#DIV/0!</v>
      </c>
      <c r="G25" s="258" t="e">
        <f t="shared" si="5"/>
        <v>#DIV/0!</v>
      </c>
      <c r="I25" s="255" t="s">
        <v>59</v>
      </c>
      <c r="J25" s="256"/>
      <c r="K25" s="257" t="e">
        <f t="shared" si="6"/>
        <v>#DIV/0!</v>
      </c>
      <c r="L25" s="257" t="e">
        <f t="shared" si="3"/>
        <v>#DIV/0!</v>
      </c>
      <c r="M25" s="258" t="e">
        <f t="shared" si="8"/>
        <v>#DIV/0!</v>
      </c>
      <c r="P25" s="263"/>
      <c r="Q25" s="257"/>
    </row>
    <row r="26" spans="2:17" outlineLevel="1">
      <c r="C26" s="264">
        <f>SUM(C4:C25)</f>
        <v>0</v>
      </c>
      <c r="D26" s="265" t="e">
        <f>SUM(D4:D25)</f>
        <v>#DIV/0!</v>
      </c>
      <c r="J26" s="264">
        <f>SUM(J4:J25)</f>
        <v>0</v>
      </c>
      <c r="K26" s="265" t="e">
        <f>SUM(K4:K25)</f>
        <v>#DIV/0!</v>
      </c>
    </row>
    <row r="27" spans="2:17" ht="15" thickBot="1"/>
    <row r="28" spans="2:17" ht="15" thickBot="1">
      <c r="B28" s="305" t="s">
        <v>339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1" t="s">
        <v>28</v>
      </c>
      <c r="D29" s="252" t="s">
        <v>330</v>
      </c>
      <c r="E29" s="253" t="s">
        <v>331</v>
      </c>
      <c r="F29" s="252" t="s">
        <v>332</v>
      </c>
      <c r="G29" s="252" t="s">
        <v>333</v>
      </c>
      <c r="J29" s="251" t="s">
        <v>334</v>
      </c>
      <c r="K29" s="252" t="s">
        <v>335</v>
      </c>
      <c r="L29" s="253" t="s">
        <v>331</v>
      </c>
      <c r="M29" s="254" t="s">
        <v>333</v>
      </c>
    </row>
    <row r="30" spans="2:17" ht="26.5" thickBot="1">
      <c r="B30" s="255" t="s">
        <v>61</v>
      </c>
      <c r="C30" s="256"/>
      <c r="D30" s="257" t="e">
        <f>C30/C$50</f>
        <v>#DIV/0!</v>
      </c>
      <c r="E30" s="257" t="e">
        <f>D30</f>
        <v>#DIV/0!</v>
      </c>
      <c r="F30" s="258" t="e">
        <f t="shared" ref="F30:F36" si="9">IF(AND(E30&lt;=0),"C",IF(E30&lt;=0.8,"A",IF(E30&lt;=0.95,"B","C")))</f>
        <v>#DIV/0!</v>
      </c>
      <c r="G30" s="258" t="e">
        <f>VLOOKUP(B$30:B$50,I$30:M$50,5,0)</f>
        <v>#DIV/0!</v>
      </c>
      <c r="I30" s="255" t="s">
        <v>61</v>
      </c>
      <c r="J30" s="256"/>
      <c r="K30" s="257" t="e">
        <f>J30/J$50</f>
        <v>#DIV/0!</v>
      </c>
      <c r="L30" s="257" t="e">
        <f>K30</f>
        <v>#DIV/0!</v>
      </c>
      <c r="M30" s="258" t="e">
        <f t="shared" ref="M30:M36" si="10">_xlfn.IFS(L30&lt;80%,"A",L30&lt;=95%,"B",L30&gt;95%,"C")</f>
        <v>#DIV/0!</v>
      </c>
    </row>
    <row r="31" spans="2:17" ht="26.5" thickBot="1">
      <c r="B31" s="255" t="s">
        <v>62</v>
      </c>
      <c r="C31" s="256"/>
      <c r="D31" s="257" t="e">
        <f t="shared" ref="D31:D49" si="11">C31/C$50</f>
        <v>#DIV/0!</v>
      </c>
      <c r="E31" s="257" t="e">
        <f>D31+E30</f>
        <v>#DIV/0!</v>
      </c>
      <c r="F31" s="258" t="e">
        <f t="shared" si="9"/>
        <v>#DIV/0!</v>
      </c>
      <c r="G31" s="258" t="e">
        <f t="shared" ref="G31:G49" si="12">VLOOKUP(B$30:B$50,I$30:M$50,5,0)</f>
        <v>#DIV/0!</v>
      </c>
      <c r="I31" s="255" t="s">
        <v>62</v>
      </c>
      <c r="J31" s="256"/>
      <c r="K31" s="257" t="e">
        <f t="shared" ref="K31:K49" si="13">J31/J$50</f>
        <v>#DIV/0!</v>
      </c>
      <c r="L31" s="257" t="e">
        <f>K31+L30</f>
        <v>#DIV/0!</v>
      </c>
      <c r="M31" s="258" t="e">
        <f t="shared" si="10"/>
        <v>#DIV/0!</v>
      </c>
    </row>
    <row r="32" spans="2:17" ht="26.5" thickBot="1">
      <c r="B32" s="255" t="s">
        <v>63</v>
      </c>
      <c r="C32" s="256"/>
      <c r="D32" s="257" t="e">
        <f t="shared" si="11"/>
        <v>#DIV/0!</v>
      </c>
      <c r="E32" s="257" t="e">
        <f t="shared" ref="E32:E49" si="14">D32+E31</f>
        <v>#DIV/0!</v>
      </c>
      <c r="F32" s="258" t="e">
        <f t="shared" si="9"/>
        <v>#DIV/0!</v>
      </c>
      <c r="G32" s="258" t="e">
        <f t="shared" si="12"/>
        <v>#DIV/0!</v>
      </c>
      <c r="I32" s="255" t="s">
        <v>63</v>
      </c>
      <c r="J32" s="256"/>
      <c r="K32" s="257" t="e">
        <f t="shared" si="13"/>
        <v>#DIV/0!</v>
      </c>
      <c r="L32" s="257" t="e">
        <f t="shared" ref="L32:L49" si="15">K32+L31</f>
        <v>#DIV/0!</v>
      </c>
      <c r="M32" s="258" t="e">
        <f t="shared" si="10"/>
        <v>#DIV/0!</v>
      </c>
    </row>
    <row r="33" spans="2:13" ht="15" thickBot="1">
      <c r="B33" s="255" t="s">
        <v>64</v>
      </c>
      <c r="C33" s="256"/>
      <c r="D33" s="257" t="e">
        <f t="shared" si="11"/>
        <v>#DIV/0!</v>
      </c>
      <c r="E33" s="257" t="e">
        <f t="shared" si="14"/>
        <v>#DIV/0!</v>
      </c>
      <c r="F33" s="258" t="e">
        <f t="shared" si="9"/>
        <v>#DIV/0!</v>
      </c>
      <c r="G33" s="258" t="e">
        <f t="shared" si="12"/>
        <v>#DIV/0!</v>
      </c>
      <c r="I33" s="255" t="s">
        <v>64</v>
      </c>
      <c r="J33" s="256"/>
      <c r="K33" s="257" t="e">
        <f t="shared" si="13"/>
        <v>#DIV/0!</v>
      </c>
      <c r="L33" s="257" t="e">
        <f t="shared" si="15"/>
        <v>#DIV/0!</v>
      </c>
      <c r="M33" s="258" t="e">
        <f t="shared" si="10"/>
        <v>#DIV/0!</v>
      </c>
    </row>
    <row r="34" spans="2:13" ht="15" thickBot="1">
      <c r="B34" s="255" t="s">
        <v>65</v>
      </c>
      <c r="C34" s="256"/>
      <c r="D34" s="257" t="e">
        <f t="shared" si="11"/>
        <v>#DIV/0!</v>
      </c>
      <c r="E34" s="257" t="e">
        <f t="shared" si="14"/>
        <v>#DIV/0!</v>
      </c>
      <c r="F34" s="258" t="e">
        <f t="shared" si="9"/>
        <v>#DIV/0!</v>
      </c>
      <c r="G34" s="258" t="e">
        <f t="shared" si="12"/>
        <v>#DIV/0!</v>
      </c>
      <c r="I34" s="255" t="s">
        <v>65</v>
      </c>
      <c r="J34" s="256"/>
      <c r="K34" s="257" t="e">
        <f t="shared" si="13"/>
        <v>#DIV/0!</v>
      </c>
      <c r="L34" s="257" t="e">
        <f t="shared" si="15"/>
        <v>#DIV/0!</v>
      </c>
      <c r="M34" s="258" t="e">
        <f t="shared" si="10"/>
        <v>#DIV/0!</v>
      </c>
    </row>
    <row r="35" spans="2:13" ht="15" thickBot="1">
      <c r="B35" s="255" t="s">
        <v>66</v>
      </c>
      <c r="C35" s="256"/>
      <c r="D35" s="257" t="e">
        <f t="shared" si="11"/>
        <v>#DIV/0!</v>
      </c>
      <c r="E35" s="257" t="e">
        <f t="shared" si="14"/>
        <v>#DIV/0!</v>
      </c>
      <c r="F35" s="258" t="e">
        <f t="shared" si="9"/>
        <v>#DIV/0!</v>
      </c>
      <c r="G35" s="258" t="e">
        <f t="shared" si="12"/>
        <v>#DIV/0!</v>
      </c>
      <c r="I35" s="255" t="s">
        <v>66</v>
      </c>
      <c r="J35" s="256"/>
      <c r="K35" s="257" t="e">
        <f t="shared" si="13"/>
        <v>#DIV/0!</v>
      </c>
      <c r="L35" s="257" t="e">
        <f t="shared" si="15"/>
        <v>#DIV/0!</v>
      </c>
      <c r="M35" s="258" t="e">
        <f t="shared" si="10"/>
        <v>#DIV/0!</v>
      </c>
    </row>
    <row r="36" spans="2:13" ht="15" thickBot="1">
      <c r="B36" s="255" t="s">
        <v>67</v>
      </c>
      <c r="C36" s="256"/>
      <c r="D36" s="257" t="e">
        <f t="shared" si="11"/>
        <v>#DIV/0!</v>
      </c>
      <c r="E36" s="257" t="e">
        <f t="shared" si="14"/>
        <v>#DIV/0!</v>
      </c>
      <c r="F36" s="258" t="e">
        <f t="shared" si="9"/>
        <v>#DIV/0!</v>
      </c>
      <c r="G36" s="258" t="e">
        <f t="shared" si="12"/>
        <v>#DIV/0!</v>
      </c>
      <c r="I36" s="255" t="s">
        <v>67</v>
      </c>
      <c r="J36" s="256"/>
      <c r="K36" s="257" t="e">
        <f t="shared" si="13"/>
        <v>#DIV/0!</v>
      </c>
      <c r="L36" s="257" t="e">
        <f t="shared" si="15"/>
        <v>#DIV/0!</v>
      </c>
      <c r="M36" s="258" t="e">
        <f t="shared" si="10"/>
        <v>#DIV/0!</v>
      </c>
    </row>
    <row r="37" spans="2:13" ht="15" thickBot="1">
      <c r="B37" s="255" t="s">
        <v>68</v>
      </c>
      <c r="C37" s="256"/>
      <c r="D37" s="257" t="e">
        <f t="shared" si="11"/>
        <v>#DIV/0!</v>
      </c>
      <c r="E37" s="257" t="e">
        <f t="shared" si="14"/>
        <v>#DIV/0!</v>
      </c>
      <c r="F37" s="258" t="e">
        <f>IF(AND(E37&lt;=0),"C",IF(E37&lt;=0.8,"A",IF(E37&lt;=0.95,"B","C")))</f>
        <v>#DIV/0!</v>
      </c>
      <c r="G37" s="258" t="e">
        <f t="shared" si="12"/>
        <v>#DIV/0!</v>
      </c>
      <c r="I37" s="255" t="s">
        <v>68</v>
      </c>
      <c r="J37" s="256"/>
      <c r="K37" s="257" t="e">
        <f t="shared" si="13"/>
        <v>#DIV/0!</v>
      </c>
      <c r="L37" s="257" t="e">
        <f t="shared" si="15"/>
        <v>#DIV/0!</v>
      </c>
      <c r="M37" s="258" t="e">
        <f>_xlfn.IFS(L37&lt;80%,"A",L37&lt;=95%,"B",L37&gt;95%,"C")</f>
        <v>#DIV/0!</v>
      </c>
    </row>
    <row r="38" spans="2:13" ht="15" thickBot="1">
      <c r="B38" s="255" t="s">
        <v>69</v>
      </c>
      <c r="C38" s="256"/>
      <c r="D38" s="257" t="e">
        <f t="shared" si="11"/>
        <v>#DIV/0!</v>
      </c>
      <c r="E38" s="257" t="e">
        <f t="shared" si="14"/>
        <v>#DIV/0!</v>
      </c>
      <c r="F38" s="258" t="e">
        <f t="shared" ref="F38:F49" si="16">IF(AND(E38&lt;=0),"C",IF(E38&lt;=0.8,"A",IF(E38&lt;=0.95,"B","C")))</f>
        <v>#DIV/0!</v>
      </c>
      <c r="G38" s="258" t="e">
        <f t="shared" si="12"/>
        <v>#DIV/0!</v>
      </c>
      <c r="I38" s="255" t="s">
        <v>69</v>
      </c>
      <c r="J38" s="256"/>
      <c r="K38" s="257" t="e">
        <f t="shared" si="13"/>
        <v>#DIV/0!</v>
      </c>
      <c r="L38" s="257" t="e">
        <f t="shared" si="15"/>
        <v>#DIV/0!</v>
      </c>
      <c r="M38" s="258" t="e">
        <f t="shared" ref="M38:M49" si="17">_xlfn.IFS(L38&lt;80%,"A",L38&lt;=95%,"B",L38&gt;95%,"C")</f>
        <v>#DIV/0!</v>
      </c>
    </row>
    <row r="39" spans="2:13" ht="15" thickBot="1">
      <c r="B39" s="255" t="s">
        <v>70</v>
      </c>
      <c r="C39" s="256"/>
      <c r="D39" s="257" t="e">
        <f t="shared" si="11"/>
        <v>#DIV/0!</v>
      </c>
      <c r="E39" s="257" t="e">
        <f t="shared" si="14"/>
        <v>#DIV/0!</v>
      </c>
      <c r="F39" s="258" t="e">
        <f t="shared" si="16"/>
        <v>#DIV/0!</v>
      </c>
      <c r="G39" s="258" t="e">
        <f t="shared" si="12"/>
        <v>#DIV/0!</v>
      </c>
      <c r="I39" s="255" t="s">
        <v>70</v>
      </c>
      <c r="J39" s="256"/>
      <c r="K39" s="257" t="e">
        <f t="shared" si="13"/>
        <v>#DIV/0!</v>
      </c>
      <c r="L39" s="257" t="e">
        <f t="shared" si="15"/>
        <v>#DIV/0!</v>
      </c>
      <c r="M39" s="258" t="e">
        <f t="shared" si="17"/>
        <v>#DIV/0!</v>
      </c>
    </row>
    <row r="40" spans="2:13" ht="15" thickBot="1">
      <c r="B40" s="255" t="s">
        <v>71</v>
      </c>
      <c r="C40" s="256"/>
      <c r="D40" s="257" t="e">
        <f t="shared" si="11"/>
        <v>#DIV/0!</v>
      </c>
      <c r="E40" s="257" t="e">
        <f t="shared" si="14"/>
        <v>#DIV/0!</v>
      </c>
      <c r="F40" s="258" t="e">
        <f t="shared" si="16"/>
        <v>#DIV/0!</v>
      </c>
      <c r="G40" s="258" t="e">
        <f t="shared" si="12"/>
        <v>#DIV/0!</v>
      </c>
      <c r="I40" s="255" t="s">
        <v>71</v>
      </c>
      <c r="J40" s="256"/>
      <c r="K40" s="257" t="e">
        <f t="shared" si="13"/>
        <v>#DIV/0!</v>
      </c>
      <c r="L40" s="257" t="e">
        <f t="shared" si="15"/>
        <v>#DIV/0!</v>
      </c>
      <c r="M40" s="258" t="e">
        <f t="shared" si="17"/>
        <v>#DIV/0!</v>
      </c>
    </row>
    <row r="41" spans="2:13" ht="26.5" thickBot="1">
      <c r="B41" s="255" t="s">
        <v>72</v>
      </c>
      <c r="C41" s="256"/>
      <c r="D41" s="257" t="e">
        <f t="shared" si="11"/>
        <v>#DIV/0!</v>
      </c>
      <c r="E41" s="257" t="e">
        <f t="shared" si="14"/>
        <v>#DIV/0!</v>
      </c>
      <c r="F41" s="258" t="e">
        <f t="shared" si="16"/>
        <v>#DIV/0!</v>
      </c>
      <c r="G41" s="258" t="e">
        <f t="shared" si="12"/>
        <v>#DIV/0!</v>
      </c>
      <c r="I41" s="255" t="s">
        <v>72</v>
      </c>
      <c r="J41" s="256"/>
      <c r="K41" s="257" t="e">
        <f t="shared" si="13"/>
        <v>#DIV/0!</v>
      </c>
      <c r="L41" s="257" t="e">
        <f t="shared" si="15"/>
        <v>#DIV/0!</v>
      </c>
      <c r="M41" s="258" t="e">
        <f t="shared" si="17"/>
        <v>#DIV/0!</v>
      </c>
    </row>
    <row r="42" spans="2:13" ht="15" thickBot="1">
      <c r="B42" s="255" t="s">
        <v>73</v>
      </c>
      <c r="C42" s="256"/>
      <c r="D42" s="257" t="e">
        <f t="shared" si="11"/>
        <v>#DIV/0!</v>
      </c>
      <c r="E42" s="257" t="e">
        <f t="shared" si="14"/>
        <v>#DIV/0!</v>
      </c>
      <c r="F42" s="258" t="e">
        <f t="shared" si="16"/>
        <v>#DIV/0!</v>
      </c>
      <c r="G42" s="258" t="e">
        <f t="shared" si="12"/>
        <v>#DIV/0!</v>
      </c>
      <c r="I42" s="255" t="s">
        <v>73</v>
      </c>
      <c r="J42" s="256"/>
      <c r="K42" s="257" t="e">
        <f t="shared" si="13"/>
        <v>#DIV/0!</v>
      </c>
      <c r="L42" s="257" t="e">
        <f t="shared" si="15"/>
        <v>#DIV/0!</v>
      </c>
      <c r="M42" s="258" t="e">
        <f t="shared" si="17"/>
        <v>#DIV/0!</v>
      </c>
    </row>
    <row r="43" spans="2:13" ht="26.5" thickBot="1">
      <c r="B43" s="255" t="s">
        <v>74</v>
      </c>
      <c r="C43" s="256"/>
      <c r="D43" s="257" t="e">
        <f t="shared" si="11"/>
        <v>#DIV/0!</v>
      </c>
      <c r="E43" s="257" t="e">
        <f t="shared" si="14"/>
        <v>#DIV/0!</v>
      </c>
      <c r="F43" s="258" t="e">
        <f t="shared" si="16"/>
        <v>#DIV/0!</v>
      </c>
      <c r="G43" s="258" t="e">
        <f t="shared" si="12"/>
        <v>#DIV/0!</v>
      </c>
      <c r="I43" s="255" t="s">
        <v>74</v>
      </c>
      <c r="J43" s="256"/>
      <c r="K43" s="257" t="e">
        <f t="shared" si="13"/>
        <v>#DIV/0!</v>
      </c>
      <c r="L43" s="257" t="e">
        <f t="shared" si="15"/>
        <v>#DIV/0!</v>
      </c>
      <c r="M43" s="258" t="e">
        <f t="shared" si="17"/>
        <v>#DIV/0!</v>
      </c>
    </row>
    <row r="44" spans="2:13" ht="26.5" thickBot="1">
      <c r="B44" s="255" t="s">
        <v>75</v>
      </c>
      <c r="C44" s="256"/>
      <c r="D44" s="257" t="e">
        <f t="shared" si="11"/>
        <v>#DIV/0!</v>
      </c>
      <c r="E44" s="257" t="e">
        <f t="shared" si="14"/>
        <v>#DIV/0!</v>
      </c>
      <c r="F44" s="258" t="e">
        <f t="shared" si="16"/>
        <v>#DIV/0!</v>
      </c>
      <c r="G44" s="258" t="e">
        <f t="shared" si="12"/>
        <v>#DIV/0!</v>
      </c>
      <c r="I44" s="255" t="s">
        <v>75</v>
      </c>
      <c r="J44" s="256"/>
      <c r="K44" s="257" t="e">
        <f t="shared" si="13"/>
        <v>#DIV/0!</v>
      </c>
      <c r="L44" s="257" t="e">
        <f t="shared" si="15"/>
        <v>#DIV/0!</v>
      </c>
      <c r="M44" s="258" t="e">
        <f t="shared" si="17"/>
        <v>#DIV/0!</v>
      </c>
    </row>
    <row r="45" spans="2:13" ht="26.5" thickBot="1">
      <c r="B45" s="255" t="s">
        <v>76</v>
      </c>
      <c r="C45" s="256"/>
      <c r="D45" s="257" t="e">
        <f t="shared" si="11"/>
        <v>#DIV/0!</v>
      </c>
      <c r="E45" s="257" t="e">
        <f t="shared" si="14"/>
        <v>#DIV/0!</v>
      </c>
      <c r="F45" s="258" t="e">
        <f t="shared" si="16"/>
        <v>#DIV/0!</v>
      </c>
      <c r="G45" s="258" t="e">
        <f t="shared" si="12"/>
        <v>#DIV/0!</v>
      </c>
      <c r="I45" s="255" t="s">
        <v>76</v>
      </c>
      <c r="J45" s="256"/>
      <c r="K45" s="257" t="e">
        <f t="shared" si="13"/>
        <v>#DIV/0!</v>
      </c>
      <c r="L45" s="257" t="e">
        <f t="shared" si="15"/>
        <v>#DIV/0!</v>
      </c>
      <c r="M45" s="258" t="e">
        <f t="shared" si="17"/>
        <v>#DIV/0!</v>
      </c>
    </row>
    <row r="46" spans="2:13" ht="26.5" thickBot="1">
      <c r="B46" s="255" t="s">
        <v>77</v>
      </c>
      <c r="C46" s="256"/>
      <c r="D46" s="257" t="e">
        <f t="shared" si="11"/>
        <v>#DIV/0!</v>
      </c>
      <c r="E46" s="257" t="e">
        <f t="shared" si="14"/>
        <v>#DIV/0!</v>
      </c>
      <c r="F46" s="258" t="e">
        <f t="shared" si="16"/>
        <v>#DIV/0!</v>
      </c>
      <c r="G46" s="258" t="e">
        <f t="shared" si="12"/>
        <v>#DIV/0!</v>
      </c>
      <c r="I46" s="255" t="s">
        <v>77</v>
      </c>
      <c r="J46" s="256"/>
      <c r="K46" s="257" t="e">
        <f t="shared" si="13"/>
        <v>#DIV/0!</v>
      </c>
      <c r="L46" s="257" t="e">
        <f t="shared" si="15"/>
        <v>#DIV/0!</v>
      </c>
      <c r="M46" s="258" t="e">
        <f t="shared" si="17"/>
        <v>#DIV/0!</v>
      </c>
    </row>
    <row r="47" spans="2:13" ht="26.5" thickBot="1">
      <c r="B47" s="255" t="s">
        <v>78</v>
      </c>
      <c r="C47" s="256"/>
      <c r="D47" s="257" t="e">
        <f t="shared" si="11"/>
        <v>#DIV/0!</v>
      </c>
      <c r="E47" s="257" t="e">
        <f t="shared" si="14"/>
        <v>#DIV/0!</v>
      </c>
      <c r="F47" s="258" t="e">
        <f t="shared" si="16"/>
        <v>#DIV/0!</v>
      </c>
      <c r="G47" s="258" t="e">
        <f t="shared" si="12"/>
        <v>#DIV/0!</v>
      </c>
      <c r="I47" s="255" t="s">
        <v>78</v>
      </c>
      <c r="J47" s="256"/>
      <c r="K47" s="257" t="e">
        <f t="shared" si="13"/>
        <v>#DIV/0!</v>
      </c>
      <c r="L47" s="257" t="e">
        <f t="shared" si="15"/>
        <v>#DIV/0!</v>
      </c>
      <c r="M47" s="258" t="e">
        <f t="shared" si="17"/>
        <v>#DIV/0!</v>
      </c>
    </row>
    <row r="48" spans="2:13" ht="15" thickBot="1">
      <c r="B48" s="255" t="s">
        <v>79</v>
      </c>
      <c r="C48" s="256"/>
      <c r="D48" s="257" t="e">
        <f t="shared" si="11"/>
        <v>#DIV/0!</v>
      </c>
      <c r="E48" s="257" t="e">
        <f t="shared" si="14"/>
        <v>#DIV/0!</v>
      </c>
      <c r="F48" s="258" t="e">
        <f t="shared" si="16"/>
        <v>#DIV/0!</v>
      </c>
      <c r="G48" s="258" t="e">
        <f t="shared" si="12"/>
        <v>#DIV/0!</v>
      </c>
      <c r="I48" s="255" t="s">
        <v>79</v>
      </c>
      <c r="J48" s="256"/>
      <c r="K48" s="257" t="e">
        <f t="shared" si="13"/>
        <v>#DIV/0!</v>
      </c>
      <c r="L48" s="257" t="e">
        <f t="shared" si="15"/>
        <v>#DIV/0!</v>
      </c>
      <c r="M48" s="258" t="e">
        <f t="shared" si="17"/>
        <v>#DIV/0!</v>
      </c>
    </row>
    <row r="49" spans="2:13" ht="26.5" thickBot="1">
      <c r="B49" s="255" t="s">
        <v>80</v>
      </c>
      <c r="C49" s="256"/>
      <c r="D49" s="257" t="e">
        <f t="shared" si="11"/>
        <v>#DIV/0!</v>
      </c>
      <c r="E49" s="257" t="e">
        <f t="shared" si="14"/>
        <v>#DIV/0!</v>
      </c>
      <c r="F49" s="258" t="e">
        <f t="shared" si="16"/>
        <v>#DIV/0!</v>
      </c>
      <c r="G49" s="258" t="e">
        <f t="shared" si="12"/>
        <v>#DIV/0!</v>
      </c>
      <c r="I49" s="255" t="s">
        <v>80</v>
      </c>
      <c r="J49" s="256"/>
      <c r="K49" s="257" t="e">
        <f t="shared" si="13"/>
        <v>#DIV/0!</v>
      </c>
      <c r="L49" s="257" t="e">
        <f t="shared" si="15"/>
        <v>#DIV/0!</v>
      </c>
      <c r="M49" s="258" t="e">
        <f t="shared" si="17"/>
        <v>#DIV/0!</v>
      </c>
    </row>
    <row r="50" spans="2:13">
      <c r="C50" s="264">
        <f>SUM(C30:C49)</f>
        <v>0</v>
      </c>
      <c r="D50" s="265" t="e">
        <f>SUM(D30:D49)</f>
        <v>#DIV/0!</v>
      </c>
      <c r="J50" s="264">
        <f>SUM(J30:J49)</f>
        <v>0</v>
      </c>
      <c r="K50" s="265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127" priority="4" operator="equal">
      <formula>"C"</formula>
    </cfRule>
    <cfRule type="cellIs" dxfId="126" priority="5" operator="equal">
      <formula>"B"</formula>
    </cfRule>
    <cfRule type="cellIs" dxfId="125" priority="6" operator="equal">
      <formula>"A"</formula>
    </cfRule>
  </conditionalFormatting>
  <conditionalFormatting sqref="M30:M49 D30:D49 K30:K49 F30:G49">
    <cfRule type="cellIs" dxfId="124" priority="1" operator="equal">
      <formula>"C"</formula>
    </cfRule>
    <cfRule type="cellIs" dxfId="123" priority="2" operator="equal">
      <formula>"B"</formula>
    </cfRule>
    <cfRule type="cellIs" dxfId="122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329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1" t="s">
        <v>28</v>
      </c>
      <c r="D3" s="252" t="s">
        <v>330</v>
      </c>
      <c r="E3" s="253" t="s">
        <v>331</v>
      </c>
      <c r="F3" s="252" t="s">
        <v>332</v>
      </c>
      <c r="G3" s="252" t="s">
        <v>333</v>
      </c>
      <c r="J3" s="251" t="s">
        <v>334</v>
      </c>
      <c r="K3" s="252" t="s">
        <v>335</v>
      </c>
      <c r="L3" s="253" t="s">
        <v>331</v>
      </c>
      <c r="M3" s="254" t="s">
        <v>333</v>
      </c>
    </row>
    <row r="4" spans="2:17" ht="28.5" customHeight="1" outlineLevel="1" thickBot="1">
      <c r="B4" s="255" t="s">
        <v>38</v>
      </c>
      <c r="C4" s="256">
        <f>'Юнит 19-25.01'!AE3</f>
        <v>5864.4518090000402</v>
      </c>
      <c r="D4" s="257">
        <f>C4/C$26</f>
        <v>0.58621261915732104</v>
      </c>
      <c r="E4" s="257">
        <f>D4</f>
        <v>0.58621261915732104</v>
      </c>
      <c r="F4" s="258" t="str">
        <f t="shared" ref="F4:F12" si="0">IF(AND(E4&lt;=0),"C",IF(E4&lt;=0.8,"A",IF(E4&lt;=0.95,"B","C")))</f>
        <v>A</v>
      </c>
      <c r="G4" s="258" t="str">
        <f>VLOOKUP(B$4:B$25,I$4:M$25,5,0)</f>
        <v>A</v>
      </c>
      <c r="I4" s="255" t="s">
        <v>38</v>
      </c>
      <c r="J4" s="256">
        <f>'Юнит 19-25.01'!R3</f>
        <v>38</v>
      </c>
      <c r="K4" s="257">
        <f>J4/J$26</f>
        <v>0.60317460317460314</v>
      </c>
      <c r="L4" s="257">
        <f>K4</f>
        <v>0.60317460317460314</v>
      </c>
      <c r="M4" s="258" t="str">
        <f t="shared" ref="M4:M12" si="1">_xlfn.IFS(L4&lt;80%,"A",L4&lt;=95%,"B",L4&gt;95%,"C")</f>
        <v>A</v>
      </c>
    </row>
    <row r="5" spans="2:17" ht="28.5" customHeight="1" outlineLevel="1" thickBot="1">
      <c r="B5" s="255" t="s">
        <v>42</v>
      </c>
      <c r="C5" s="256">
        <f>'Юнит 19-25.01'!AE7</f>
        <v>2637.9799999999996</v>
      </c>
      <c r="D5" s="257">
        <f>C5/C$26</f>
        <v>0.26369338779651635</v>
      </c>
      <c r="E5" s="257">
        <f>D5+E4</f>
        <v>0.84990600695383733</v>
      </c>
      <c r="F5" s="258" t="str">
        <f t="shared" si="0"/>
        <v>B</v>
      </c>
      <c r="G5" s="258" t="str">
        <f>VLOOKUP(B$4:B$25,I$4:M$25,5,0)</f>
        <v>A</v>
      </c>
      <c r="I5" s="255" t="s">
        <v>42</v>
      </c>
      <c r="J5" s="256">
        <f>'Юнит 19-25.01'!R7</f>
        <v>6</v>
      </c>
      <c r="K5" s="257">
        <f>J5/J$26</f>
        <v>9.5238095238095233E-2</v>
      </c>
      <c r="L5" s="257">
        <f>K5+L4</f>
        <v>0.69841269841269837</v>
      </c>
      <c r="M5" s="258" t="str">
        <f t="shared" si="1"/>
        <v>A</v>
      </c>
    </row>
    <row r="6" spans="2:17" ht="28.5" customHeight="1" outlineLevel="1" thickBot="1">
      <c r="B6" s="255" t="s">
        <v>54</v>
      </c>
      <c r="C6" s="256">
        <f>'Юнит 19-25.01'!AE19</f>
        <v>914.64999999999986</v>
      </c>
      <c r="D6" s="257">
        <f>C6/C$26</f>
        <v>9.1428728477124049E-2</v>
      </c>
      <c r="E6" s="257">
        <f t="shared" ref="E6:E25" si="2">D6+E5</f>
        <v>0.94133473543096136</v>
      </c>
      <c r="F6" s="258" t="str">
        <f t="shared" si="0"/>
        <v>B</v>
      </c>
      <c r="G6" s="258" t="str">
        <f>VLOOKUP(B$4:B$25,I$4:M$25,5,0)</f>
        <v>C</v>
      </c>
      <c r="I6" s="255" t="s">
        <v>39</v>
      </c>
      <c r="J6" s="256">
        <f>'Юнит 19-25.01'!R4</f>
        <v>5</v>
      </c>
      <c r="K6" s="257">
        <f>J6/J$26</f>
        <v>7.9365079365079361E-2</v>
      </c>
      <c r="L6" s="257">
        <f t="shared" ref="L6:L25" si="3">K6+L5</f>
        <v>0.77777777777777768</v>
      </c>
      <c r="M6" s="258" t="str">
        <f t="shared" si="1"/>
        <v>A</v>
      </c>
    </row>
    <row r="7" spans="2:17" ht="28.5" customHeight="1" outlineLevel="1" thickBot="1">
      <c r="B7" s="255" t="s">
        <v>43</v>
      </c>
      <c r="C7" s="256">
        <f>'Юнит 19-25.01'!AE8</f>
        <v>606.70000000000005</v>
      </c>
      <c r="D7" s="257">
        <f>C7/C$26</f>
        <v>6.0645940597027471E-2</v>
      </c>
      <c r="E7" s="257">
        <f t="shared" si="2"/>
        <v>1.0019806760279888</v>
      </c>
      <c r="F7" s="258" t="str">
        <f t="shared" si="0"/>
        <v>C</v>
      </c>
      <c r="G7" s="258" t="str">
        <f>VLOOKUP(B$4:B$25,I$4:M$25,5,0)</f>
        <v>C</v>
      </c>
      <c r="I7" s="255" t="s">
        <v>44</v>
      </c>
      <c r="J7" s="256">
        <f>'Юнит 19-25.01'!R9</f>
        <v>5</v>
      </c>
      <c r="K7" s="257">
        <f>J7/J$26</f>
        <v>7.9365079365079361E-2</v>
      </c>
      <c r="L7" s="257">
        <f t="shared" si="3"/>
        <v>0.85714285714285698</v>
      </c>
      <c r="M7" s="258" t="str">
        <f t="shared" si="1"/>
        <v>B</v>
      </c>
    </row>
    <row r="8" spans="2:17" ht="28.5" customHeight="1" outlineLevel="1" thickBot="1">
      <c r="B8" s="255" t="s">
        <v>49</v>
      </c>
      <c r="C8" s="256">
        <f>'Юнит 19-25.01'!AE14</f>
        <v>490.89000000000004</v>
      </c>
      <c r="D8" s="257">
        <f>C8/C$26</f>
        <v>4.9069533178959644E-2</v>
      </c>
      <c r="E8" s="257">
        <f t="shared" si="2"/>
        <v>1.0510502092069485</v>
      </c>
      <c r="F8" s="258" t="str">
        <f t="shared" si="0"/>
        <v>C</v>
      </c>
      <c r="G8" s="258" t="str">
        <f>VLOOKUP(B$4:B$25,I$4:M$25,5,0)</f>
        <v>B</v>
      </c>
      <c r="I8" s="255" t="s">
        <v>48</v>
      </c>
      <c r="J8" s="256">
        <f>'Юнит 19-25.01'!R13</f>
        <v>3</v>
      </c>
      <c r="K8" s="257">
        <f>J8/J$26</f>
        <v>4.7619047619047616E-2</v>
      </c>
      <c r="L8" s="257">
        <f t="shared" si="3"/>
        <v>0.90476190476190466</v>
      </c>
      <c r="M8" s="258" t="str">
        <f t="shared" si="1"/>
        <v>B</v>
      </c>
    </row>
    <row r="9" spans="2:17" ht="28.5" customHeight="1" outlineLevel="1" thickBot="1">
      <c r="B9" s="255" t="s">
        <v>47</v>
      </c>
      <c r="C9" s="256">
        <f>'Юнит 19-25.01'!AE12</f>
        <v>322.02000000000004</v>
      </c>
      <c r="D9" s="257">
        <f t="shared" ref="D9:D25" si="4">C9/C$26</f>
        <v>3.2189229917677246E-2</v>
      </c>
      <c r="E9" s="257">
        <f t="shared" si="2"/>
        <v>1.0832394391246256</v>
      </c>
      <c r="F9" s="258" t="str">
        <f t="shared" si="0"/>
        <v>C</v>
      </c>
      <c r="G9" s="258" t="str">
        <f t="shared" ref="G9:G25" si="5">VLOOKUP(B$4:B$25,I$4:M$25,5,0)</f>
        <v>B</v>
      </c>
      <c r="I9" s="255" t="s">
        <v>41</v>
      </c>
      <c r="J9" s="256">
        <f>'Юнит 19-25.01'!R6</f>
        <v>2</v>
      </c>
      <c r="K9" s="257">
        <f t="shared" ref="K9:K25" si="6">J9/J$26</f>
        <v>3.1746031746031744E-2</v>
      </c>
      <c r="L9" s="257">
        <f t="shared" si="3"/>
        <v>0.9365079365079364</v>
      </c>
      <c r="M9" s="258" t="str">
        <f t="shared" si="1"/>
        <v>B</v>
      </c>
    </row>
    <row r="10" spans="2:17" ht="28.5" customHeight="1" outlineLevel="1" thickBot="1">
      <c r="B10" s="255" t="s">
        <v>48</v>
      </c>
      <c r="C10" s="256">
        <f>'Юнит 19-25.01'!AE13</f>
        <v>420.19</v>
      </c>
      <c r="D10" s="257">
        <f t="shared" si="4"/>
        <v>4.2002336870718589E-2</v>
      </c>
      <c r="E10" s="257">
        <f t="shared" si="2"/>
        <v>1.1252417759953441</v>
      </c>
      <c r="F10" s="258" t="str">
        <f t="shared" si="0"/>
        <v>C</v>
      </c>
      <c r="G10" s="258" t="str">
        <f t="shared" si="5"/>
        <v>B</v>
      </c>
      <c r="I10" s="255" t="s">
        <v>43</v>
      </c>
      <c r="J10" s="256">
        <f>'Юнит 19-25.01'!R8</f>
        <v>1</v>
      </c>
      <c r="K10" s="257">
        <f t="shared" si="6"/>
        <v>1.5873015873015872E-2</v>
      </c>
      <c r="L10" s="257">
        <f t="shared" si="3"/>
        <v>0.95238095238095233</v>
      </c>
      <c r="M10" s="258" t="str">
        <f t="shared" si="1"/>
        <v>C</v>
      </c>
    </row>
    <row r="11" spans="2:17" ht="28.5" customHeight="1" outlineLevel="1" thickBot="1">
      <c r="B11" s="255" t="s">
        <v>39</v>
      </c>
      <c r="C11" s="256">
        <f>'Юнит 19-25.01'!AE4</f>
        <v>591.94117299999994</v>
      </c>
      <c r="D11" s="257">
        <f t="shared" si="4"/>
        <v>5.9170643175692685E-2</v>
      </c>
      <c r="E11" s="257">
        <f>D11+E8</f>
        <v>1.1102208523826411</v>
      </c>
      <c r="F11" s="258" t="str">
        <f t="shared" si="0"/>
        <v>C</v>
      </c>
      <c r="G11" s="258" t="str">
        <f t="shared" si="5"/>
        <v>A</v>
      </c>
      <c r="I11" s="255" t="s">
        <v>47</v>
      </c>
      <c r="J11" s="256">
        <f>'Юнит 19-25.01'!R12</f>
        <v>1</v>
      </c>
      <c r="K11" s="257">
        <f t="shared" si="6"/>
        <v>1.5873015873015872E-2</v>
      </c>
      <c r="L11" s="257">
        <f>K11+L8</f>
        <v>0.92063492063492047</v>
      </c>
      <c r="M11" s="258" t="str">
        <f t="shared" si="1"/>
        <v>B</v>
      </c>
    </row>
    <row r="12" spans="2:17" ht="28.5" customHeight="1" outlineLevel="1" thickBot="1">
      <c r="B12" s="255" t="s">
        <v>40</v>
      </c>
      <c r="C12" s="256">
        <f>'Юнит 19-25.01'!AE5</f>
        <v>0</v>
      </c>
      <c r="D12" s="257">
        <f t="shared" si="4"/>
        <v>0</v>
      </c>
      <c r="E12" s="257">
        <f t="shared" si="2"/>
        <v>1.1102208523826411</v>
      </c>
      <c r="F12" s="258" t="str">
        <f t="shared" si="0"/>
        <v>C</v>
      </c>
      <c r="G12" s="258" t="str">
        <f t="shared" si="5"/>
        <v>C</v>
      </c>
      <c r="I12" s="255" t="s">
        <v>49</v>
      </c>
      <c r="J12" s="256">
        <f>'Юнит 19-25.01'!R14</f>
        <v>1</v>
      </c>
      <c r="K12" s="257">
        <f t="shared" si="6"/>
        <v>1.5873015873015872E-2</v>
      </c>
      <c r="L12" s="257">
        <f t="shared" si="3"/>
        <v>0.93650793650793629</v>
      </c>
      <c r="M12" s="258" t="str">
        <f t="shared" si="1"/>
        <v>B</v>
      </c>
    </row>
    <row r="13" spans="2:17" ht="15" outlineLevel="1" thickBot="1">
      <c r="B13" s="255" t="s">
        <v>52</v>
      </c>
      <c r="C13" s="256">
        <f>'Юнит 19-25.01'!AE17</f>
        <v>0</v>
      </c>
      <c r="D13" s="257">
        <f t="shared" si="4"/>
        <v>0</v>
      </c>
      <c r="E13" s="257">
        <f t="shared" si="2"/>
        <v>1.1102208523826411</v>
      </c>
      <c r="F13" s="258" t="str">
        <f>IF(AND(E13&lt;=0),"C",IF(E13&lt;=0.8,"A",IF(E13&lt;=0.95,"B","C")))</f>
        <v>C</v>
      </c>
      <c r="G13" s="258" t="str">
        <f t="shared" si="5"/>
        <v>C</v>
      </c>
      <c r="I13" s="255" t="s">
        <v>54</v>
      </c>
      <c r="J13" s="256">
        <f>'Юнит 19-25.01'!R19</f>
        <v>1</v>
      </c>
      <c r="K13" s="257">
        <f t="shared" si="6"/>
        <v>1.5873015873015872E-2</v>
      </c>
      <c r="L13" s="257">
        <f t="shared" si="3"/>
        <v>0.95238095238095211</v>
      </c>
      <c r="M13" s="258" t="str">
        <f>_xlfn.IFS(L13&lt;80%,"A",L13&lt;=95%,"B",L13&gt;95%,"C")</f>
        <v>C</v>
      </c>
      <c r="P13" s="259" t="s">
        <v>336</v>
      </c>
      <c r="Q13" s="260">
        <v>0.8</v>
      </c>
    </row>
    <row r="14" spans="2:17" ht="15" outlineLevel="1" thickBot="1">
      <c r="B14" s="255" t="s">
        <v>53</v>
      </c>
      <c r="C14" s="256">
        <f>'Юнит 19-25.01'!AE18</f>
        <v>0</v>
      </c>
      <c r="D14" s="257">
        <f t="shared" si="4"/>
        <v>0</v>
      </c>
      <c r="E14" s="257">
        <f t="shared" si="2"/>
        <v>1.1102208523826411</v>
      </c>
      <c r="F14" s="258" t="str">
        <f t="shared" ref="F14:F25" si="7">IF(AND(E14&lt;=0),"C",IF(E14&lt;=0.8,"A",IF(E14&lt;=0.95,"B","C")))</f>
        <v>C</v>
      </c>
      <c r="G14" s="258" t="str">
        <f t="shared" si="5"/>
        <v>C</v>
      </c>
      <c r="I14" s="255" t="s">
        <v>40</v>
      </c>
      <c r="J14" s="256">
        <f>'Юнит 19-25.01'!R5</f>
        <v>0</v>
      </c>
      <c r="K14" s="257">
        <f t="shared" si="6"/>
        <v>0</v>
      </c>
      <c r="L14" s="257">
        <f t="shared" si="3"/>
        <v>0.95238095238095211</v>
      </c>
      <c r="M14" s="258" t="str">
        <f t="shared" ref="M14:M25" si="8">_xlfn.IFS(L14&lt;80%,"A",L14&lt;=95%,"B",L14&gt;95%,"C")</f>
        <v>C</v>
      </c>
      <c r="P14" s="261" t="s">
        <v>337</v>
      </c>
      <c r="Q14" s="260">
        <v>0.15</v>
      </c>
    </row>
    <row r="15" spans="2:17" ht="15" outlineLevel="1" thickBot="1">
      <c r="B15" s="255" t="s">
        <v>55</v>
      </c>
      <c r="C15" s="256">
        <f>'Юнит 19-25.01'!AE20</f>
        <v>0</v>
      </c>
      <c r="D15" s="257">
        <f t="shared" si="4"/>
        <v>0</v>
      </c>
      <c r="E15" s="257">
        <f t="shared" si="2"/>
        <v>1.1102208523826411</v>
      </c>
      <c r="F15" s="258" t="str">
        <f t="shared" si="7"/>
        <v>C</v>
      </c>
      <c r="G15" s="258" t="str">
        <f t="shared" si="5"/>
        <v>C</v>
      </c>
      <c r="I15" s="255" t="s">
        <v>45</v>
      </c>
      <c r="J15" s="256">
        <f>'Юнит 19-25.01'!R10</f>
        <v>0</v>
      </c>
      <c r="K15" s="257">
        <f t="shared" si="6"/>
        <v>0</v>
      </c>
      <c r="L15" s="257">
        <f t="shared" si="3"/>
        <v>0.95238095238095211</v>
      </c>
      <c r="M15" s="258" t="str">
        <f t="shared" si="8"/>
        <v>C</v>
      </c>
      <c r="P15" s="262" t="s">
        <v>338</v>
      </c>
      <c r="Q15" s="260">
        <v>0.05</v>
      </c>
    </row>
    <row r="16" spans="2:17" ht="15" outlineLevel="1" thickBot="1">
      <c r="B16" s="255" t="s">
        <v>56</v>
      </c>
      <c r="C16" s="256">
        <f>'Юнит 19-25.01'!AE21</f>
        <v>0</v>
      </c>
      <c r="D16" s="257">
        <f t="shared" si="4"/>
        <v>0</v>
      </c>
      <c r="E16" s="257">
        <f t="shared" si="2"/>
        <v>1.1102208523826411</v>
      </c>
      <c r="F16" s="258" t="str">
        <f t="shared" si="7"/>
        <v>C</v>
      </c>
      <c r="G16" s="258" t="str">
        <f t="shared" si="5"/>
        <v>C</v>
      </c>
      <c r="I16" s="255" t="s">
        <v>46</v>
      </c>
      <c r="J16" s="256">
        <f>'Юнит 19-25.01'!R11</f>
        <v>0</v>
      </c>
      <c r="K16" s="257">
        <f t="shared" si="6"/>
        <v>0</v>
      </c>
      <c r="L16" s="257">
        <f t="shared" si="3"/>
        <v>0.95238095238095211</v>
      </c>
      <c r="M16" s="258" t="str">
        <f t="shared" si="8"/>
        <v>C</v>
      </c>
      <c r="P16" s="263"/>
      <c r="Q16" s="257"/>
    </row>
    <row r="17" spans="2:17" ht="26.5" outlineLevel="1" thickBot="1">
      <c r="B17" s="255" t="s">
        <v>57</v>
      </c>
      <c r="C17" s="256">
        <f>'Юнит 19-25.01'!AE22</f>
        <v>0</v>
      </c>
      <c r="D17" s="257">
        <f t="shared" si="4"/>
        <v>0</v>
      </c>
      <c r="E17" s="257">
        <f t="shared" si="2"/>
        <v>1.1102208523826411</v>
      </c>
      <c r="F17" s="258" t="str">
        <f t="shared" si="7"/>
        <v>C</v>
      </c>
      <c r="G17" s="258" t="str">
        <f t="shared" si="5"/>
        <v>C</v>
      </c>
      <c r="I17" s="255" t="s">
        <v>50</v>
      </c>
      <c r="J17" s="256">
        <f>'Юнит 19-25.01'!R15</f>
        <v>0</v>
      </c>
      <c r="K17" s="257">
        <f t="shared" si="6"/>
        <v>0</v>
      </c>
      <c r="L17" s="257">
        <f t="shared" si="3"/>
        <v>0.95238095238095211</v>
      </c>
      <c r="M17" s="258" t="str">
        <f t="shared" si="8"/>
        <v>C</v>
      </c>
      <c r="P17" s="263"/>
      <c r="Q17" s="257"/>
    </row>
    <row r="18" spans="2:17" ht="15" outlineLevel="1" thickBot="1">
      <c r="B18" s="255" t="s">
        <v>58</v>
      </c>
      <c r="C18" s="256">
        <f>'Юнит 19-25.01'!AE23</f>
        <v>0</v>
      </c>
      <c r="D18" s="257">
        <f t="shared" si="4"/>
        <v>0</v>
      </c>
      <c r="E18" s="257">
        <f t="shared" si="2"/>
        <v>1.1102208523826411</v>
      </c>
      <c r="F18" s="258" t="str">
        <f t="shared" si="7"/>
        <v>C</v>
      </c>
      <c r="G18" s="258" t="str">
        <f t="shared" si="5"/>
        <v>C</v>
      </c>
      <c r="I18" s="255" t="s">
        <v>51</v>
      </c>
      <c r="J18" s="256">
        <f>'Юнит 19-25.01'!R16</f>
        <v>0</v>
      </c>
      <c r="K18" s="257">
        <f t="shared" si="6"/>
        <v>0</v>
      </c>
      <c r="L18" s="257">
        <f t="shared" si="3"/>
        <v>0.95238095238095211</v>
      </c>
      <c r="M18" s="258" t="str">
        <f t="shared" si="8"/>
        <v>C</v>
      </c>
      <c r="P18" s="263"/>
      <c r="Q18" s="257"/>
    </row>
    <row r="19" spans="2:17" ht="15" outlineLevel="1" thickBot="1">
      <c r="B19" s="255" t="s">
        <v>59</v>
      </c>
      <c r="C19" s="256">
        <f>'Юнит 19-25.01'!AE24</f>
        <v>0</v>
      </c>
      <c r="D19" s="257">
        <f t="shared" si="4"/>
        <v>0</v>
      </c>
      <c r="E19" s="257">
        <f t="shared" si="2"/>
        <v>1.1102208523826411</v>
      </c>
      <c r="F19" s="258" t="str">
        <f t="shared" si="7"/>
        <v>C</v>
      </c>
      <c r="G19" s="258" t="str">
        <f t="shared" si="5"/>
        <v>C</v>
      </c>
      <c r="I19" s="255" t="s">
        <v>52</v>
      </c>
      <c r="J19" s="256">
        <f>'Юнит 19-25.01'!R17</f>
        <v>0</v>
      </c>
      <c r="K19" s="257">
        <f t="shared" si="6"/>
        <v>0</v>
      </c>
      <c r="L19" s="257">
        <f t="shared" si="3"/>
        <v>0.95238095238095211</v>
      </c>
      <c r="M19" s="258" t="str">
        <f t="shared" si="8"/>
        <v>C</v>
      </c>
      <c r="P19" s="263"/>
      <c r="Q19" s="257"/>
    </row>
    <row r="20" spans="2:17" ht="15" outlineLevel="1" thickBot="1">
      <c r="B20" s="255" t="s">
        <v>45</v>
      </c>
      <c r="C20" s="256">
        <f>'Юнит 19-25.01'!AE10</f>
        <v>-93.54</v>
      </c>
      <c r="D20" s="257">
        <f t="shared" si="4"/>
        <v>-9.3502905611438092E-3</v>
      </c>
      <c r="E20" s="257">
        <f t="shared" si="2"/>
        <v>1.1008705618214973</v>
      </c>
      <c r="F20" s="258" t="str">
        <f t="shared" si="7"/>
        <v>C</v>
      </c>
      <c r="G20" s="258" t="str">
        <f t="shared" si="5"/>
        <v>C</v>
      </c>
      <c r="I20" s="255" t="s">
        <v>53</v>
      </c>
      <c r="J20" s="256">
        <f>'Юнит 19-25.01'!R18</f>
        <v>0</v>
      </c>
      <c r="K20" s="257">
        <f t="shared" si="6"/>
        <v>0</v>
      </c>
      <c r="L20" s="257">
        <f t="shared" si="3"/>
        <v>0.95238095238095211</v>
      </c>
      <c r="M20" s="258" t="str">
        <f t="shared" si="8"/>
        <v>C</v>
      </c>
      <c r="P20" s="263"/>
      <c r="Q20" s="257"/>
    </row>
    <row r="21" spans="2:17" ht="15" outlineLevel="1" thickBot="1">
      <c r="B21" s="255" t="s">
        <v>46</v>
      </c>
      <c r="C21" s="256">
        <f>'Юнит 19-25.01'!AE11</f>
        <v>-93.54</v>
      </c>
      <c r="D21" s="257">
        <f t="shared" si="4"/>
        <v>-9.3502905611438092E-3</v>
      </c>
      <c r="E21" s="257">
        <f t="shared" si="2"/>
        <v>1.0915202712603536</v>
      </c>
      <c r="F21" s="258" t="str">
        <f t="shared" si="7"/>
        <v>C</v>
      </c>
      <c r="G21" s="258" t="str">
        <f t="shared" si="5"/>
        <v>C</v>
      </c>
      <c r="I21" s="255" t="s">
        <v>55</v>
      </c>
      <c r="J21" s="256">
        <f>'Юнит 19-25.01'!R20</f>
        <v>0</v>
      </c>
      <c r="K21" s="257">
        <f t="shared" si="6"/>
        <v>0</v>
      </c>
      <c r="L21" s="257">
        <f t="shared" si="3"/>
        <v>0.95238095238095211</v>
      </c>
      <c r="M21" s="258" t="str">
        <f t="shared" si="8"/>
        <v>C</v>
      </c>
      <c r="P21" s="263"/>
      <c r="Q21" s="257"/>
    </row>
    <row r="22" spans="2:17" ht="26.5" outlineLevel="1" thickBot="1">
      <c r="B22" s="255" t="s">
        <v>50</v>
      </c>
      <c r="C22" s="256">
        <f>'Юнит 19-25.01'!AE15</f>
        <v>-93.54</v>
      </c>
      <c r="D22" s="257">
        <f t="shared" si="4"/>
        <v>-9.3502905611438092E-3</v>
      </c>
      <c r="E22" s="257">
        <f t="shared" si="2"/>
        <v>1.0821699806992098</v>
      </c>
      <c r="F22" s="258" t="str">
        <f t="shared" si="7"/>
        <v>C</v>
      </c>
      <c r="G22" s="258" t="str">
        <f t="shared" si="5"/>
        <v>C</v>
      </c>
      <c r="I22" s="255" t="s">
        <v>56</v>
      </c>
      <c r="J22" s="256">
        <f>'Юнит 19-25.01'!R21</f>
        <v>0</v>
      </c>
      <c r="K22" s="257">
        <f t="shared" si="6"/>
        <v>0</v>
      </c>
      <c r="L22" s="257">
        <f t="shared" si="3"/>
        <v>0.95238095238095211</v>
      </c>
      <c r="M22" s="258" t="str">
        <f t="shared" si="8"/>
        <v>C</v>
      </c>
      <c r="P22" s="263"/>
      <c r="Q22" s="257"/>
    </row>
    <row r="23" spans="2:17" ht="15" outlineLevel="1" thickBot="1">
      <c r="B23" s="255" t="s">
        <v>51</v>
      </c>
      <c r="C23" s="256">
        <f>'Юнит 19-25.01'!AE16</f>
        <v>-328.67</v>
      </c>
      <c r="D23" s="257">
        <f t="shared" si="4"/>
        <v>-3.2853966204095961E-2</v>
      </c>
      <c r="E23" s="257">
        <f t="shared" si="2"/>
        <v>1.0493160144951139</v>
      </c>
      <c r="F23" s="258" t="str">
        <f t="shared" si="7"/>
        <v>C</v>
      </c>
      <c r="G23" s="258" t="str">
        <f t="shared" si="5"/>
        <v>C</v>
      </c>
      <c r="I23" s="255" t="s">
        <v>57</v>
      </c>
      <c r="J23" s="256">
        <f>'Юнит 19-25.01'!R22</f>
        <v>0</v>
      </c>
      <c r="K23" s="257">
        <f t="shared" si="6"/>
        <v>0</v>
      </c>
      <c r="L23" s="257">
        <f t="shared" si="3"/>
        <v>0.95238095238095211</v>
      </c>
      <c r="M23" s="258" t="str">
        <f t="shared" si="8"/>
        <v>C</v>
      </c>
      <c r="P23" s="263"/>
      <c r="Q23" s="257"/>
    </row>
    <row r="24" spans="2:17" ht="15" outlineLevel="1" thickBot="1">
      <c r="B24" s="255" t="s">
        <v>44</v>
      </c>
      <c r="C24" s="256">
        <f>'Юнит 19-25.01'!AE9</f>
        <v>72.942610000000514</v>
      </c>
      <c r="D24" s="257">
        <f t="shared" si="4"/>
        <v>7.2913683749005649E-3</v>
      </c>
      <c r="E24" s="257">
        <f t="shared" si="2"/>
        <v>1.0566073828700144</v>
      </c>
      <c r="F24" s="258" t="str">
        <f t="shared" si="7"/>
        <v>C</v>
      </c>
      <c r="G24" s="258" t="str">
        <f t="shared" si="5"/>
        <v>B</v>
      </c>
      <c r="I24" s="255" t="s">
        <v>58</v>
      </c>
      <c r="J24" s="256">
        <f>'Юнит 19-25.01'!R23</f>
        <v>0</v>
      </c>
      <c r="K24" s="257">
        <f t="shared" si="6"/>
        <v>0</v>
      </c>
      <c r="L24" s="257">
        <f t="shared" si="3"/>
        <v>0.95238095238095211</v>
      </c>
      <c r="M24" s="258" t="str">
        <f t="shared" si="8"/>
        <v>C</v>
      </c>
      <c r="P24" s="263"/>
      <c r="Q24" s="257"/>
    </row>
    <row r="25" spans="2:17" ht="15" outlineLevel="1" thickBot="1">
      <c r="B25" s="255" t="s">
        <v>41</v>
      </c>
      <c r="C25" s="256">
        <f>'Юнит 19-25.01'!AE6</f>
        <v>-1308.5084009999994</v>
      </c>
      <c r="D25" s="257">
        <f t="shared" si="4"/>
        <v>-0.13079894965841002</v>
      </c>
      <c r="E25" s="257">
        <f t="shared" si="2"/>
        <v>0.92580843321160444</v>
      </c>
      <c r="F25" s="258" t="str">
        <f t="shared" si="7"/>
        <v>B</v>
      </c>
      <c r="G25" s="258" t="str">
        <f t="shared" si="5"/>
        <v>B</v>
      </c>
      <c r="I25" s="255" t="s">
        <v>59</v>
      </c>
      <c r="J25" s="256">
        <f>'Юнит 19-25.01'!R24</f>
        <v>0</v>
      </c>
      <c r="K25" s="257">
        <f t="shared" si="6"/>
        <v>0</v>
      </c>
      <c r="L25" s="257">
        <f t="shared" si="3"/>
        <v>0.95238095238095211</v>
      </c>
      <c r="M25" s="258" t="str">
        <f t="shared" si="8"/>
        <v>C</v>
      </c>
      <c r="P25" s="263"/>
      <c r="Q25" s="257"/>
    </row>
    <row r="26" spans="2:17" outlineLevel="1">
      <c r="C26" s="264">
        <f>SUM(C4:C25)</f>
        <v>10003.967191000038</v>
      </c>
      <c r="D26" s="265">
        <f>SUM(D4:D25)</f>
        <v>1</v>
      </c>
      <c r="J26" s="264">
        <f>SUM(J4:J25)</f>
        <v>63</v>
      </c>
      <c r="K26" s="265">
        <f>SUM(K4:K25)</f>
        <v>0.99999999999999978</v>
      </c>
    </row>
    <row r="27" spans="2:17" ht="15" thickBot="1"/>
    <row r="28" spans="2:17" ht="15" thickBot="1">
      <c r="B28" s="305" t="s">
        <v>339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1" t="s">
        <v>28</v>
      </c>
      <c r="D29" s="252" t="s">
        <v>330</v>
      </c>
      <c r="E29" s="253" t="s">
        <v>331</v>
      </c>
      <c r="F29" s="252" t="s">
        <v>332</v>
      </c>
      <c r="G29" s="252" t="s">
        <v>333</v>
      </c>
      <c r="J29" s="251" t="s">
        <v>334</v>
      </c>
      <c r="K29" s="252" t="s">
        <v>335</v>
      </c>
      <c r="L29" s="253" t="s">
        <v>331</v>
      </c>
      <c r="M29" s="254" t="s">
        <v>333</v>
      </c>
    </row>
    <row r="30" spans="2:17" ht="26.5" thickBot="1">
      <c r="B30" s="255" t="s">
        <v>78</v>
      </c>
      <c r="C30" s="256">
        <f>'Юнит 19-25.01'!AE45</f>
        <v>6439.7034269999904</v>
      </c>
      <c r="D30" s="257">
        <f>C30/C$50</f>
        <v>1.6022371811607998</v>
      </c>
      <c r="E30" s="257">
        <f>D30</f>
        <v>1.6022371811607998</v>
      </c>
      <c r="F30" s="258" t="str">
        <f t="shared" ref="F30:F36" si="9">IF(AND(E30&lt;=0),"C",IF(E30&lt;=0.8,"A",IF(E30&lt;=0.95,"B","C")))</f>
        <v>C</v>
      </c>
      <c r="G30" s="258" t="str">
        <f>VLOOKUP(B$30:B$50,I$30:M$50,5,0)</f>
        <v>A</v>
      </c>
      <c r="I30" s="255" t="s">
        <v>78</v>
      </c>
      <c r="J30" s="256">
        <f>'Юнит 19-25.01'!R45</f>
        <v>8</v>
      </c>
      <c r="K30" s="257">
        <f>J30/J$50</f>
        <v>0.5714285714285714</v>
      </c>
      <c r="L30" s="257">
        <f>K30</f>
        <v>0.5714285714285714</v>
      </c>
      <c r="M30" s="258" t="str">
        <f t="shared" ref="M30:M36" si="10">_xlfn.IFS(L30&lt;80%,"A",L30&lt;=95%,"B",L30&gt;95%,"C")</f>
        <v>A</v>
      </c>
    </row>
    <row r="31" spans="2:17" ht="26.5" thickBot="1">
      <c r="B31" s="255" t="s">
        <v>70</v>
      </c>
      <c r="C31" s="256">
        <f>'Юнит 19-25.01'!AE37</f>
        <v>2688.1400000000003</v>
      </c>
      <c r="D31" s="257">
        <f t="shared" ref="D31:D49" si="11">C31/C$50</f>
        <v>0.66882549871898</v>
      </c>
      <c r="E31" s="257">
        <f>D31+E30</f>
        <v>2.2710626798797797</v>
      </c>
      <c r="F31" s="258" t="str">
        <f t="shared" si="9"/>
        <v>C</v>
      </c>
      <c r="G31" s="258" t="str">
        <f t="shared" ref="G31:G49" si="12">VLOOKUP(B$30:B$50,I$30:M$50,5,0)</f>
        <v>B</v>
      </c>
      <c r="I31" s="255" t="s">
        <v>77</v>
      </c>
      <c r="J31" s="256">
        <f>'Юнит 19-25.01'!R44</f>
        <v>3</v>
      </c>
      <c r="K31" s="257">
        <f t="shared" ref="K31:K49" si="13">J31/J$50</f>
        <v>0.21428571428571427</v>
      </c>
      <c r="L31" s="257">
        <f>K31+L30</f>
        <v>0.7857142857142857</v>
      </c>
      <c r="M31" s="258" t="str">
        <f t="shared" si="10"/>
        <v>A</v>
      </c>
    </row>
    <row r="32" spans="2:17" ht="15" thickBot="1">
      <c r="B32" s="255" t="s">
        <v>64</v>
      </c>
      <c r="C32" s="256">
        <f>'Юнит 19-25.01'!AE31</f>
        <v>1234.21</v>
      </c>
      <c r="D32" s="257">
        <f t="shared" si="11"/>
        <v>0.30707891656459568</v>
      </c>
      <c r="E32" s="257">
        <f t="shared" ref="E32:E49" si="14">D32+E31</f>
        <v>2.5781415964443752</v>
      </c>
      <c r="F32" s="258" t="str">
        <f t="shared" si="9"/>
        <v>C</v>
      </c>
      <c r="G32" s="258" t="str">
        <f t="shared" si="12"/>
        <v>C</v>
      </c>
      <c r="I32" s="255" t="s">
        <v>70</v>
      </c>
      <c r="J32" s="256">
        <f>'Юнит 19-25.01'!R37</f>
        <v>2</v>
      </c>
      <c r="K32" s="257">
        <f t="shared" si="13"/>
        <v>0.14285714285714285</v>
      </c>
      <c r="L32" s="257">
        <f t="shared" ref="L32:L49" si="15">K32+L31</f>
        <v>0.9285714285714286</v>
      </c>
      <c r="M32" s="258" t="str">
        <f t="shared" si="10"/>
        <v>B</v>
      </c>
    </row>
    <row r="33" spans="2:13" ht="15" thickBot="1">
      <c r="B33" s="255" t="s">
        <v>66</v>
      </c>
      <c r="C33" s="256">
        <f>'Юнит 19-25.01'!AE33</f>
        <v>848.43999999999994</v>
      </c>
      <c r="D33" s="257">
        <f t="shared" si="11"/>
        <v>0.21109700615783822</v>
      </c>
      <c r="E33" s="257">
        <f t="shared" si="14"/>
        <v>2.7892386026022136</v>
      </c>
      <c r="F33" s="258" t="str">
        <f t="shared" si="9"/>
        <v>C</v>
      </c>
      <c r="G33" s="258" t="str">
        <f t="shared" si="12"/>
        <v>C</v>
      </c>
      <c r="I33" s="255" t="s">
        <v>64</v>
      </c>
      <c r="J33" s="256">
        <f>'Юнит 19-25.01'!R31</f>
        <v>1</v>
      </c>
      <c r="K33" s="257">
        <f t="shared" si="13"/>
        <v>7.1428571428571425E-2</v>
      </c>
      <c r="L33" s="257">
        <f t="shared" si="15"/>
        <v>1</v>
      </c>
      <c r="M33" s="258" t="str">
        <f t="shared" si="10"/>
        <v>C</v>
      </c>
    </row>
    <row r="34" spans="2:13" ht="26.5" thickBot="1">
      <c r="B34" s="255" t="s">
        <v>62</v>
      </c>
      <c r="C34" s="256">
        <f>'Юнит 19-25.01'!AE29</f>
        <v>0</v>
      </c>
      <c r="D34" s="257">
        <f t="shared" si="11"/>
        <v>0</v>
      </c>
      <c r="E34" s="257">
        <f t="shared" si="14"/>
        <v>2.7892386026022136</v>
      </c>
      <c r="F34" s="258" t="str">
        <f t="shared" si="9"/>
        <v>C</v>
      </c>
      <c r="G34" s="258" t="str">
        <f t="shared" si="12"/>
        <v>C</v>
      </c>
      <c r="I34" s="255" t="s">
        <v>66</v>
      </c>
      <c r="J34" s="256">
        <f>'Юнит 19-25.01'!R33</f>
        <v>1</v>
      </c>
      <c r="K34" s="257">
        <f t="shared" si="13"/>
        <v>7.1428571428571425E-2</v>
      </c>
      <c r="L34" s="257">
        <f t="shared" si="15"/>
        <v>1.0714285714285714</v>
      </c>
      <c r="M34" s="258" t="str">
        <f t="shared" si="10"/>
        <v>C</v>
      </c>
    </row>
    <row r="35" spans="2:13" ht="26.5" thickBot="1">
      <c r="B35" s="255" t="s">
        <v>63</v>
      </c>
      <c r="C35" s="256">
        <f>'Юнит 19-25.01'!AE30</f>
        <v>0</v>
      </c>
      <c r="D35" s="257">
        <f t="shared" si="11"/>
        <v>0</v>
      </c>
      <c r="E35" s="257">
        <f t="shared" si="14"/>
        <v>2.7892386026022136</v>
      </c>
      <c r="F35" s="258" t="str">
        <f t="shared" si="9"/>
        <v>C</v>
      </c>
      <c r="G35" s="258" t="str">
        <f t="shared" si="12"/>
        <v>C</v>
      </c>
      <c r="I35" s="255" t="s">
        <v>61</v>
      </c>
      <c r="J35" s="256">
        <f>'Юнит 19-25.01'!R28</f>
        <v>0</v>
      </c>
      <c r="K35" s="257">
        <f t="shared" si="13"/>
        <v>0</v>
      </c>
      <c r="L35" s="257">
        <f t="shared" si="15"/>
        <v>1.0714285714285714</v>
      </c>
      <c r="M35" s="258" t="str">
        <f t="shared" si="10"/>
        <v>C</v>
      </c>
    </row>
    <row r="36" spans="2:13" ht="26.5" thickBot="1">
      <c r="B36" s="255" t="s">
        <v>65</v>
      </c>
      <c r="C36" s="256">
        <f>'Юнит 19-25.01'!AE32</f>
        <v>0</v>
      </c>
      <c r="D36" s="257">
        <f t="shared" si="11"/>
        <v>0</v>
      </c>
      <c r="E36" s="257">
        <f t="shared" si="14"/>
        <v>2.7892386026022136</v>
      </c>
      <c r="F36" s="258" t="str">
        <f t="shared" si="9"/>
        <v>C</v>
      </c>
      <c r="G36" s="258" t="str">
        <f t="shared" si="12"/>
        <v>C</v>
      </c>
      <c r="I36" s="255" t="s">
        <v>62</v>
      </c>
      <c r="J36" s="256">
        <f>'Юнит 19-25.01'!R29</f>
        <v>0</v>
      </c>
      <c r="K36" s="257">
        <f t="shared" si="13"/>
        <v>0</v>
      </c>
      <c r="L36" s="257">
        <f t="shared" si="15"/>
        <v>1.0714285714285714</v>
      </c>
      <c r="M36" s="258" t="str">
        <f t="shared" si="10"/>
        <v>C</v>
      </c>
    </row>
    <row r="37" spans="2:13" ht="26.5" thickBot="1">
      <c r="B37" s="255" t="s">
        <v>67</v>
      </c>
      <c r="C37" s="256">
        <f>'Юнит 19-25.01'!AE34</f>
        <v>0</v>
      </c>
      <c r="D37" s="257">
        <f t="shared" si="11"/>
        <v>0</v>
      </c>
      <c r="E37" s="257">
        <f t="shared" si="14"/>
        <v>2.7892386026022136</v>
      </c>
      <c r="F37" s="258" t="str">
        <f>IF(AND(E37&lt;=0),"C",IF(E37&lt;=0.8,"A",IF(E37&lt;=0.95,"B","C")))</f>
        <v>C</v>
      </c>
      <c r="G37" s="258" t="str">
        <f t="shared" si="12"/>
        <v>C</v>
      </c>
      <c r="I37" s="255" t="s">
        <v>63</v>
      </c>
      <c r="J37" s="256">
        <f>'Юнит 19-25.01'!R30</f>
        <v>0</v>
      </c>
      <c r="K37" s="257">
        <f t="shared" si="13"/>
        <v>0</v>
      </c>
      <c r="L37" s="257">
        <f t="shared" si="15"/>
        <v>1.0714285714285714</v>
      </c>
      <c r="M37" s="258" t="str">
        <f>_xlfn.IFS(L37&lt;80%,"A",L37&lt;=95%,"B",L37&gt;95%,"C")</f>
        <v>C</v>
      </c>
    </row>
    <row r="38" spans="2:13" ht="15" thickBot="1">
      <c r="B38" s="255" t="s">
        <v>68</v>
      </c>
      <c r="C38" s="256">
        <f>'Юнит 19-25.01'!AE35</f>
        <v>0</v>
      </c>
      <c r="D38" s="257">
        <f t="shared" si="11"/>
        <v>0</v>
      </c>
      <c r="E38" s="257">
        <f t="shared" si="14"/>
        <v>2.7892386026022136</v>
      </c>
      <c r="F38" s="258" t="str">
        <f t="shared" ref="F38:F49" si="16">IF(AND(E38&lt;=0),"C",IF(E38&lt;=0.8,"A",IF(E38&lt;=0.95,"B","C")))</f>
        <v>C</v>
      </c>
      <c r="G38" s="258" t="str">
        <f t="shared" si="12"/>
        <v>C</v>
      </c>
      <c r="I38" s="255" t="s">
        <v>65</v>
      </c>
      <c r="J38" s="256">
        <f>'Юнит 19-25.01'!R32</f>
        <v>0</v>
      </c>
      <c r="K38" s="257">
        <f t="shared" si="13"/>
        <v>0</v>
      </c>
      <c r="L38" s="257">
        <f t="shared" si="15"/>
        <v>1.0714285714285714</v>
      </c>
      <c r="M38" s="258" t="str">
        <f t="shared" ref="M38:M49" si="17">_xlfn.IFS(L38&lt;80%,"A",L38&lt;=95%,"B",L38&gt;95%,"C")</f>
        <v>C</v>
      </c>
    </row>
    <row r="39" spans="2:13" ht="26.5" thickBot="1">
      <c r="B39" s="255" t="s">
        <v>72</v>
      </c>
      <c r="C39" s="256">
        <f>'Юнит 19-25.01'!AE39</f>
        <v>0</v>
      </c>
      <c r="D39" s="257">
        <f t="shared" si="11"/>
        <v>0</v>
      </c>
      <c r="E39" s="257">
        <f t="shared" si="14"/>
        <v>2.7892386026022136</v>
      </c>
      <c r="F39" s="258" t="str">
        <f t="shared" si="16"/>
        <v>C</v>
      </c>
      <c r="G39" s="258" t="str">
        <f t="shared" si="12"/>
        <v>C</v>
      </c>
      <c r="I39" s="255" t="s">
        <v>67</v>
      </c>
      <c r="J39" s="256">
        <f>'Юнит 19-25.01'!R34</f>
        <v>0</v>
      </c>
      <c r="K39" s="257">
        <f t="shared" si="13"/>
        <v>0</v>
      </c>
      <c r="L39" s="257">
        <f t="shared" si="15"/>
        <v>1.0714285714285714</v>
      </c>
      <c r="M39" s="258" t="str">
        <f t="shared" si="17"/>
        <v>C</v>
      </c>
    </row>
    <row r="40" spans="2:13" ht="15" thickBot="1">
      <c r="B40" s="255" t="s">
        <v>73</v>
      </c>
      <c r="C40" s="256">
        <f>'Юнит 19-25.01'!AE40</f>
        <v>0</v>
      </c>
      <c r="D40" s="257">
        <f t="shared" si="11"/>
        <v>0</v>
      </c>
      <c r="E40" s="257">
        <f t="shared" si="14"/>
        <v>2.7892386026022136</v>
      </c>
      <c r="F40" s="258" t="str">
        <f t="shared" si="16"/>
        <v>C</v>
      </c>
      <c r="G40" s="258" t="str">
        <f t="shared" si="12"/>
        <v>C</v>
      </c>
      <c r="I40" s="255" t="s">
        <v>68</v>
      </c>
      <c r="J40" s="256">
        <f>'Юнит 19-25.01'!R35</f>
        <v>0</v>
      </c>
      <c r="K40" s="257">
        <f t="shared" si="13"/>
        <v>0</v>
      </c>
      <c r="L40" s="257">
        <f t="shared" si="15"/>
        <v>1.0714285714285714</v>
      </c>
      <c r="M40" s="258" t="str">
        <f t="shared" si="17"/>
        <v>C</v>
      </c>
    </row>
    <row r="41" spans="2:13" ht="26.5" thickBot="1">
      <c r="B41" s="255" t="s">
        <v>74</v>
      </c>
      <c r="C41" s="256">
        <f>'Юнит 19-25.01'!AE41</f>
        <v>0</v>
      </c>
      <c r="D41" s="257">
        <f t="shared" si="11"/>
        <v>0</v>
      </c>
      <c r="E41" s="257">
        <f t="shared" si="14"/>
        <v>2.7892386026022136</v>
      </c>
      <c r="F41" s="258" t="str">
        <f t="shared" si="16"/>
        <v>C</v>
      </c>
      <c r="G41" s="258" t="str">
        <f t="shared" si="12"/>
        <v>C</v>
      </c>
      <c r="I41" s="255" t="s">
        <v>69</v>
      </c>
      <c r="J41" s="256">
        <f>'Юнит 19-25.01'!R36</f>
        <v>0</v>
      </c>
      <c r="K41" s="257">
        <f t="shared" si="13"/>
        <v>0</v>
      </c>
      <c r="L41" s="257">
        <f t="shared" si="15"/>
        <v>1.0714285714285714</v>
      </c>
      <c r="M41" s="258" t="str">
        <f t="shared" si="17"/>
        <v>C</v>
      </c>
    </row>
    <row r="42" spans="2:13" ht="26.5" thickBot="1">
      <c r="B42" s="255" t="s">
        <v>75</v>
      </c>
      <c r="C42" s="256">
        <f>'Юнит 19-25.01'!AE42</f>
        <v>0</v>
      </c>
      <c r="D42" s="257">
        <f t="shared" si="11"/>
        <v>0</v>
      </c>
      <c r="E42" s="257">
        <f t="shared" si="14"/>
        <v>2.7892386026022136</v>
      </c>
      <c r="F42" s="258" t="str">
        <f t="shared" si="16"/>
        <v>C</v>
      </c>
      <c r="G42" s="258" t="str">
        <f t="shared" si="12"/>
        <v>C</v>
      </c>
      <c r="I42" s="255" t="s">
        <v>72</v>
      </c>
      <c r="J42" s="256">
        <f>'Юнит 19-25.01'!R39</f>
        <v>0</v>
      </c>
      <c r="K42" s="257">
        <f t="shared" si="13"/>
        <v>0</v>
      </c>
      <c r="L42" s="257">
        <f t="shared" si="15"/>
        <v>1.0714285714285714</v>
      </c>
      <c r="M42" s="258" t="str">
        <f t="shared" si="17"/>
        <v>C</v>
      </c>
    </row>
    <row r="43" spans="2:13" ht="26.5" thickBot="1">
      <c r="B43" s="255" t="s">
        <v>76</v>
      </c>
      <c r="C43" s="256">
        <f>'Юнит 19-25.01'!AE43</f>
        <v>0</v>
      </c>
      <c r="D43" s="257">
        <f t="shared" si="11"/>
        <v>0</v>
      </c>
      <c r="E43" s="257">
        <f t="shared" si="14"/>
        <v>2.7892386026022136</v>
      </c>
      <c r="F43" s="258" t="str">
        <f t="shared" si="16"/>
        <v>C</v>
      </c>
      <c r="G43" s="258" t="str">
        <f t="shared" si="12"/>
        <v>C</v>
      </c>
      <c r="I43" s="255" t="s">
        <v>73</v>
      </c>
      <c r="J43" s="256">
        <f>'Юнит 19-25.01'!R40</f>
        <v>0</v>
      </c>
      <c r="K43" s="257">
        <f t="shared" si="13"/>
        <v>0</v>
      </c>
      <c r="L43" s="257">
        <f t="shared" si="15"/>
        <v>1.0714285714285714</v>
      </c>
      <c r="M43" s="258" t="str">
        <f t="shared" si="17"/>
        <v>C</v>
      </c>
    </row>
    <row r="44" spans="2:13" ht="26.5" thickBot="1">
      <c r="B44" s="255" t="s">
        <v>80</v>
      </c>
      <c r="C44" s="256">
        <f>'Юнит 19-25.01'!AE47</f>
        <v>0</v>
      </c>
      <c r="D44" s="257">
        <f t="shared" si="11"/>
        <v>0</v>
      </c>
      <c r="E44" s="257">
        <f t="shared" si="14"/>
        <v>2.7892386026022136</v>
      </c>
      <c r="F44" s="258" t="str">
        <f t="shared" si="16"/>
        <v>C</v>
      </c>
      <c r="G44" s="258" t="str">
        <f t="shared" si="12"/>
        <v>C</v>
      </c>
      <c r="I44" s="255" t="s">
        <v>74</v>
      </c>
      <c r="J44" s="256">
        <f>'Юнит 19-25.01'!R41</f>
        <v>0</v>
      </c>
      <c r="K44" s="257">
        <f t="shared" si="13"/>
        <v>0</v>
      </c>
      <c r="L44" s="257">
        <f t="shared" si="15"/>
        <v>1.0714285714285714</v>
      </c>
      <c r="M44" s="258" t="str">
        <f t="shared" si="17"/>
        <v>C</v>
      </c>
    </row>
    <row r="45" spans="2:13" ht="26.5" thickBot="1">
      <c r="B45" s="255" t="s">
        <v>69</v>
      </c>
      <c r="C45" s="256">
        <f>'Юнит 19-25.01'!AE36</f>
        <v>-113.88</v>
      </c>
      <c r="D45" s="257">
        <f t="shared" si="11"/>
        <v>-2.8334033121086486E-2</v>
      </c>
      <c r="E45" s="257">
        <f t="shared" si="14"/>
        <v>2.7609045694811272</v>
      </c>
      <c r="F45" s="258" t="str">
        <f t="shared" si="16"/>
        <v>C</v>
      </c>
      <c r="G45" s="258" t="str">
        <f t="shared" si="12"/>
        <v>C</v>
      </c>
      <c r="I45" s="255" t="s">
        <v>75</v>
      </c>
      <c r="J45" s="256">
        <f>'Юнит 19-25.01'!R42</f>
        <v>0</v>
      </c>
      <c r="K45" s="257">
        <f t="shared" si="13"/>
        <v>0</v>
      </c>
      <c r="L45" s="257">
        <f t="shared" si="15"/>
        <v>1.0714285714285714</v>
      </c>
      <c r="M45" s="258" t="str">
        <f t="shared" si="17"/>
        <v>C</v>
      </c>
    </row>
    <row r="46" spans="2:13" ht="26.5" thickBot="1">
      <c r="B46" s="255" t="s">
        <v>61</v>
      </c>
      <c r="C46" s="256">
        <f>'Юнит 19-25.01'!AE28</f>
        <v>-537.70695000000001</v>
      </c>
      <c r="D46" s="257">
        <f t="shared" si="11"/>
        <v>-0.13378474298154544</v>
      </c>
      <c r="E46" s="257">
        <f t="shared" si="14"/>
        <v>2.6271198264995816</v>
      </c>
      <c r="F46" s="258" t="str">
        <f t="shared" si="16"/>
        <v>C</v>
      </c>
      <c r="G46" s="258" t="str">
        <f t="shared" si="12"/>
        <v>C</v>
      </c>
      <c r="I46" s="255" t="s">
        <v>76</v>
      </c>
      <c r="J46" s="256">
        <f>'Юнит 19-25.01'!R43</f>
        <v>0</v>
      </c>
      <c r="K46" s="257">
        <f t="shared" si="13"/>
        <v>0</v>
      </c>
      <c r="L46" s="257">
        <f t="shared" si="15"/>
        <v>1.0714285714285714</v>
      </c>
      <c r="M46" s="258" t="str">
        <f t="shared" si="17"/>
        <v>C</v>
      </c>
    </row>
    <row r="47" spans="2:13" ht="15" thickBot="1">
      <c r="B47" s="255" t="s">
        <v>79</v>
      </c>
      <c r="C47" s="256">
        <f>'Юнит 19-25.01'!AE46</f>
        <v>-810.57042999999999</v>
      </c>
      <c r="D47" s="257">
        <f t="shared" si="11"/>
        <v>-0.20167482798202771</v>
      </c>
      <c r="E47" s="257">
        <f t="shared" si="14"/>
        <v>2.4254449985175541</v>
      </c>
      <c r="F47" s="258" t="str">
        <f t="shared" si="16"/>
        <v>C</v>
      </c>
      <c r="G47" s="258" t="str">
        <f t="shared" si="12"/>
        <v>C</v>
      </c>
      <c r="I47" s="255" t="s">
        <v>79</v>
      </c>
      <c r="J47" s="256">
        <f>'Юнит 19-25.01'!R46</f>
        <v>0</v>
      </c>
      <c r="K47" s="257">
        <f t="shared" si="13"/>
        <v>0</v>
      </c>
      <c r="L47" s="257">
        <f t="shared" si="15"/>
        <v>1.0714285714285714</v>
      </c>
      <c r="M47" s="258" t="str">
        <f t="shared" si="17"/>
        <v>C</v>
      </c>
    </row>
    <row r="48" spans="2:13" ht="26.5" thickBot="1">
      <c r="B48" s="255" t="s">
        <v>71</v>
      </c>
      <c r="C48" s="256">
        <f>'Юнит 19-25.01'!AE38</f>
        <v>-1412.6399999999999</v>
      </c>
      <c r="D48" s="257">
        <f t="shared" si="11"/>
        <v>-0.35147338029655439</v>
      </c>
      <c r="E48" s="257">
        <f t="shared" si="14"/>
        <v>2.073971618221</v>
      </c>
      <c r="F48" s="258" t="str">
        <f t="shared" si="16"/>
        <v>C</v>
      </c>
      <c r="G48" s="258" t="str">
        <f t="shared" si="12"/>
        <v>C</v>
      </c>
      <c r="I48" s="255" t="s">
        <v>80</v>
      </c>
      <c r="J48" s="256">
        <f>'Юнит 19-25.01'!R47</f>
        <v>0</v>
      </c>
      <c r="K48" s="257">
        <f t="shared" si="13"/>
        <v>0</v>
      </c>
      <c r="L48" s="257">
        <f t="shared" si="15"/>
        <v>1.0714285714285714</v>
      </c>
      <c r="M48" s="258" t="str">
        <f t="shared" si="17"/>
        <v>C</v>
      </c>
    </row>
    <row r="49" spans="2:13" ht="26.5" thickBot="1">
      <c r="B49" s="255" t="s">
        <v>77</v>
      </c>
      <c r="C49" s="256">
        <f>'Юнит 19-25.01'!AE44</f>
        <v>-4316.5011970000023</v>
      </c>
      <c r="D49" s="257">
        <f t="shared" si="11"/>
        <v>-1.0739716182210004</v>
      </c>
      <c r="E49" s="257">
        <f t="shared" si="14"/>
        <v>0.99999999999999956</v>
      </c>
      <c r="F49" s="258" t="str">
        <f t="shared" si="16"/>
        <v>C</v>
      </c>
      <c r="G49" s="258" t="str">
        <f t="shared" si="12"/>
        <v>A</v>
      </c>
      <c r="I49" s="255" t="s">
        <v>71</v>
      </c>
      <c r="J49" s="256">
        <f>'Юнит 19-25.01'!R38</f>
        <v>-1</v>
      </c>
      <c r="K49" s="257">
        <f t="shared" si="13"/>
        <v>-7.1428571428571425E-2</v>
      </c>
      <c r="L49" s="257">
        <f t="shared" si="15"/>
        <v>1</v>
      </c>
      <c r="M49" s="258" t="str">
        <f t="shared" si="17"/>
        <v>C</v>
      </c>
    </row>
    <row r="50" spans="2:13">
      <c r="C50" s="264">
        <f>SUM(C30:C49)</f>
        <v>4019.1948499999917</v>
      </c>
      <c r="D50" s="265">
        <f>SUM(D30:D49)</f>
        <v>0.99999999999999956</v>
      </c>
      <c r="J50" s="264">
        <f>SUM(J30:J49)</f>
        <v>14</v>
      </c>
      <c r="K50" s="265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21" priority="4" operator="equal">
      <formula>"C"</formula>
    </cfRule>
    <cfRule type="cellIs" dxfId="120" priority="5" operator="equal">
      <formula>"B"</formula>
    </cfRule>
    <cfRule type="cellIs" dxfId="119" priority="6" operator="equal">
      <formula>"A"</formula>
    </cfRule>
  </conditionalFormatting>
  <conditionalFormatting sqref="M30:M49 D30:D49 K30:K49 F30:G49">
    <cfRule type="cellIs" dxfId="118" priority="1" operator="equal">
      <formula>"C"</formula>
    </cfRule>
    <cfRule type="cellIs" dxfId="117" priority="2" operator="equal">
      <formula>"B"</formula>
    </cfRule>
    <cfRule type="cellIs" dxfId="116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329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1" t="s">
        <v>28</v>
      </c>
      <c r="D3" s="252" t="s">
        <v>330</v>
      </c>
      <c r="E3" s="253" t="s">
        <v>331</v>
      </c>
      <c r="F3" s="252" t="s">
        <v>332</v>
      </c>
      <c r="G3" s="252" t="s">
        <v>333</v>
      </c>
      <c r="J3" s="251" t="s">
        <v>334</v>
      </c>
      <c r="K3" s="252" t="s">
        <v>335</v>
      </c>
      <c r="L3" s="253" t="s">
        <v>331</v>
      </c>
      <c r="M3" s="254" t="s">
        <v>333</v>
      </c>
    </row>
    <row r="4" spans="2:17" ht="28.5" customHeight="1" outlineLevel="1" thickBot="1">
      <c r="B4" s="255" t="s">
        <v>38</v>
      </c>
      <c r="C4" s="256">
        <f>'Юнит 12-18.01'!AE3</f>
        <v>11137.395480000014</v>
      </c>
      <c r="D4" s="257">
        <f>C4/C$26</f>
        <v>0.74671755480592805</v>
      </c>
      <c r="E4" s="257">
        <f>D4</f>
        <v>0.74671755480592805</v>
      </c>
      <c r="F4" s="258" t="str">
        <f t="shared" ref="F4:F12" si="0">IF(AND(E4&lt;=0),"C",IF(E4&lt;=0.8,"A",IF(E4&lt;=0.95,"B","C")))</f>
        <v>A</v>
      </c>
      <c r="G4" s="258" t="str">
        <f>VLOOKUP(B$4:B$25,I$4:M$25,5,0)</f>
        <v>A</v>
      </c>
      <c r="I4" s="255" t="s">
        <v>38</v>
      </c>
      <c r="J4" s="256">
        <f>'Юнит 12-18.01'!R3</f>
        <v>43</v>
      </c>
      <c r="K4" s="257">
        <f>J4/J$26</f>
        <v>0.7678571428571429</v>
      </c>
      <c r="L4" s="257">
        <f>K4</f>
        <v>0.7678571428571429</v>
      </c>
      <c r="M4" s="258" t="str">
        <f t="shared" ref="M4:M12" si="1">_xlfn.IFS(L4&lt;80%,"A",L4&lt;=95%,"B",L4&gt;95%,"C")</f>
        <v>A</v>
      </c>
    </row>
    <row r="5" spans="2:17" ht="28.5" customHeight="1" outlineLevel="1" thickBot="1">
      <c r="B5" s="255" t="s">
        <v>41</v>
      </c>
      <c r="C5" s="256">
        <f>'Юнит 12-18.01'!AE6</f>
        <v>3561.251341000001</v>
      </c>
      <c r="D5" s="257">
        <f>C5/C$26</f>
        <v>0.2387675734579239</v>
      </c>
      <c r="E5" s="257">
        <f>D5+E4</f>
        <v>0.98548512826385193</v>
      </c>
      <c r="F5" s="258" t="str">
        <f t="shared" si="0"/>
        <v>C</v>
      </c>
      <c r="G5" s="258" t="str">
        <f>VLOOKUP(B$4:B$25,I$4:M$25,5,0)</f>
        <v>B</v>
      </c>
      <c r="I5" s="255" t="s">
        <v>41</v>
      </c>
      <c r="J5" s="256">
        <f>'Юнит 12-18.01'!R6</f>
        <v>7</v>
      </c>
      <c r="K5" s="257">
        <f>J5/J$26</f>
        <v>0.125</v>
      </c>
      <c r="L5" s="257">
        <f>K5+L4</f>
        <v>0.8928571428571429</v>
      </c>
      <c r="M5" s="258" t="str">
        <f t="shared" si="1"/>
        <v>B</v>
      </c>
    </row>
    <row r="6" spans="2:17" ht="28.5" customHeight="1" outlineLevel="1" thickBot="1">
      <c r="B6" s="255" t="s">
        <v>40</v>
      </c>
      <c r="C6" s="256">
        <f>'Юнит 12-18.01'!AE5</f>
        <v>881.45</v>
      </c>
      <c r="D6" s="257">
        <f>C6/C$26</f>
        <v>5.9097675921236527E-2</v>
      </c>
      <c r="E6" s="257">
        <f t="shared" ref="E6:E25" si="2">D6+E5</f>
        <v>1.0445828041850884</v>
      </c>
      <c r="F6" s="258" t="str">
        <f t="shared" si="0"/>
        <v>C</v>
      </c>
      <c r="G6" s="258" t="str">
        <f>VLOOKUP(B$4:B$25,I$4:M$25,5,0)</f>
        <v>C</v>
      </c>
      <c r="I6" s="255" t="s">
        <v>39</v>
      </c>
      <c r="J6" s="256">
        <f>'Юнит 12-18.01'!R4</f>
        <v>2</v>
      </c>
      <c r="K6" s="257">
        <f>J6/J$26</f>
        <v>3.5714285714285712E-2</v>
      </c>
      <c r="L6" s="257">
        <f t="shared" ref="L6:L25" si="3">K6+L5</f>
        <v>0.9285714285714286</v>
      </c>
      <c r="M6" s="258" t="str">
        <f t="shared" si="1"/>
        <v>B</v>
      </c>
    </row>
    <row r="7" spans="2:17" ht="28.5" customHeight="1" outlineLevel="1" thickBot="1">
      <c r="B7" s="255" t="s">
        <v>51</v>
      </c>
      <c r="C7" s="256">
        <f>'Юнит 12-18.01'!AE16</f>
        <v>861.87000000000023</v>
      </c>
      <c r="D7" s="257">
        <f>C7/C$26</f>
        <v>5.7784915702803488E-2</v>
      </c>
      <c r="E7" s="257">
        <f t="shared" si="2"/>
        <v>1.1023677198878918</v>
      </c>
      <c r="F7" s="258" t="str">
        <f t="shared" si="0"/>
        <v>C</v>
      </c>
      <c r="G7" s="258" t="str">
        <f>VLOOKUP(B$4:B$25,I$4:M$25,5,0)</f>
        <v>C</v>
      </c>
      <c r="I7" s="255" t="s">
        <v>40</v>
      </c>
      <c r="J7" s="256">
        <f>'Юнит 12-18.01'!R5</f>
        <v>2</v>
      </c>
      <c r="K7" s="257">
        <f>J7/J$26</f>
        <v>3.5714285714285712E-2</v>
      </c>
      <c r="L7" s="257">
        <f t="shared" si="3"/>
        <v>0.9642857142857143</v>
      </c>
      <c r="M7" s="258" t="str">
        <f t="shared" si="1"/>
        <v>C</v>
      </c>
    </row>
    <row r="8" spans="2:17" ht="28.5" customHeight="1" outlineLevel="1" thickBot="1">
      <c r="B8" s="255" t="s">
        <v>42</v>
      </c>
      <c r="C8" s="256">
        <f>'Юнит 12-18.01'!AE7</f>
        <v>0</v>
      </c>
      <c r="D8" s="257">
        <f>C8/C$26</f>
        <v>0</v>
      </c>
      <c r="E8" s="257">
        <f t="shared" si="2"/>
        <v>1.1023677198878918</v>
      </c>
      <c r="F8" s="258" t="str">
        <f t="shared" si="0"/>
        <v>C</v>
      </c>
      <c r="G8" s="258" t="str">
        <f>VLOOKUP(B$4:B$25,I$4:M$25,5,0)</f>
        <v>C</v>
      </c>
      <c r="I8" s="255" t="s">
        <v>51</v>
      </c>
      <c r="J8" s="256">
        <f>'Юнит 12-18.01'!R16</f>
        <v>2</v>
      </c>
      <c r="K8" s="257">
        <f>J8/J$26</f>
        <v>3.5714285714285712E-2</v>
      </c>
      <c r="L8" s="257">
        <f t="shared" si="3"/>
        <v>1</v>
      </c>
      <c r="M8" s="258" t="str">
        <f t="shared" si="1"/>
        <v>C</v>
      </c>
    </row>
    <row r="9" spans="2:17" ht="28.5" customHeight="1" outlineLevel="1" thickBot="1">
      <c r="B9" s="255" t="s">
        <v>43</v>
      </c>
      <c r="C9" s="256">
        <f>'Юнит 12-18.01'!AE8</f>
        <v>0</v>
      </c>
      <c r="D9" s="257">
        <f t="shared" ref="D9:D25" si="4">C9/C$26</f>
        <v>0</v>
      </c>
      <c r="E9" s="257">
        <f t="shared" si="2"/>
        <v>1.1023677198878918</v>
      </c>
      <c r="F9" s="258" t="str">
        <f t="shared" si="0"/>
        <v>C</v>
      </c>
      <c r="G9" s="258" t="str">
        <f t="shared" ref="G9:G25" si="5">VLOOKUP(B$4:B$25,I$4:M$25,5,0)</f>
        <v>C</v>
      </c>
      <c r="I9" s="255" t="s">
        <v>42</v>
      </c>
      <c r="J9" s="256">
        <f>'Юнит 12-18.01'!R7</f>
        <v>0</v>
      </c>
      <c r="K9" s="257">
        <f t="shared" ref="K9:K25" si="6">J9/J$26</f>
        <v>0</v>
      </c>
      <c r="L9" s="257">
        <f t="shared" si="3"/>
        <v>1</v>
      </c>
      <c r="M9" s="258" t="str">
        <f t="shared" si="1"/>
        <v>C</v>
      </c>
    </row>
    <row r="10" spans="2:17" ht="28.5" customHeight="1" outlineLevel="1" thickBot="1">
      <c r="B10" s="255" t="s">
        <v>46</v>
      </c>
      <c r="C10" s="256">
        <f>'Юнит 12-18.01'!AE11</f>
        <v>0</v>
      </c>
      <c r="D10" s="257">
        <f t="shared" si="4"/>
        <v>0</v>
      </c>
      <c r="E10" s="257">
        <f t="shared" si="2"/>
        <v>1.1023677198878918</v>
      </c>
      <c r="F10" s="258" t="str">
        <f t="shared" si="0"/>
        <v>C</v>
      </c>
      <c r="G10" s="258" t="str">
        <f t="shared" si="5"/>
        <v>C</v>
      </c>
      <c r="I10" s="255" t="s">
        <v>43</v>
      </c>
      <c r="J10" s="256">
        <f>'Юнит 12-18.01'!R8</f>
        <v>0</v>
      </c>
      <c r="K10" s="257">
        <f t="shared" si="6"/>
        <v>0</v>
      </c>
      <c r="L10" s="257">
        <f t="shared" si="3"/>
        <v>1</v>
      </c>
      <c r="M10" s="258" t="str">
        <f t="shared" si="1"/>
        <v>C</v>
      </c>
    </row>
    <row r="11" spans="2:17" ht="28.5" customHeight="1" outlineLevel="1" thickBot="1">
      <c r="B11" s="255" t="s">
        <v>47</v>
      </c>
      <c r="C11" s="256">
        <f>'Юнит 12-18.01'!AE12</f>
        <v>0</v>
      </c>
      <c r="D11" s="257">
        <f t="shared" si="4"/>
        <v>0</v>
      </c>
      <c r="E11" s="257">
        <f>D11+E8</f>
        <v>1.1023677198878918</v>
      </c>
      <c r="F11" s="258" t="str">
        <f t="shared" si="0"/>
        <v>C</v>
      </c>
      <c r="G11" s="258" t="str">
        <f t="shared" si="5"/>
        <v>C</v>
      </c>
      <c r="I11" s="255" t="s">
        <v>44</v>
      </c>
      <c r="J11" s="256">
        <f>'Юнит 12-18.01'!R9</f>
        <v>0</v>
      </c>
      <c r="K11" s="257">
        <f t="shared" si="6"/>
        <v>0</v>
      </c>
      <c r="L11" s="257">
        <f>K11+L8</f>
        <v>1</v>
      </c>
      <c r="M11" s="258" t="str">
        <f t="shared" si="1"/>
        <v>C</v>
      </c>
    </row>
    <row r="12" spans="2:17" ht="28.5" customHeight="1" outlineLevel="1" thickBot="1">
      <c r="B12" s="255" t="s">
        <v>49</v>
      </c>
      <c r="C12" s="256">
        <f>'Юнит 12-18.01'!AE14</f>
        <v>0</v>
      </c>
      <c r="D12" s="257">
        <f t="shared" si="4"/>
        <v>0</v>
      </c>
      <c r="E12" s="257">
        <f t="shared" si="2"/>
        <v>1.1023677198878918</v>
      </c>
      <c r="F12" s="258" t="str">
        <f t="shared" si="0"/>
        <v>C</v>
      </c>
      <c r="G12" s="258" t="str">
        <f t="shared" si="5"/>
        <v>C</v>
      </c>
      <c r="I12" s="255" t="s">
        <v>45</v>
      </c>
      <c r="J12" s="256">
        <f>'Юнит 12-18.01'!R10</f>
        <v>0</v>
      </c>
      <c r="K12" s="257">
        <f t="shared" si="6"/>
        <v>0</v>
      </c>
      <c r="L12" s="257">
        <f t="shared" si="3"/>
        <v>1</v>
      </c>
      <c r="M12" s="258" t="str">
        <f t="shared" si="1"/>
        <v>C</v>
      </c>
    </row>
    <row r="13" spans="2:17" ht="26.5" outlineLevel="1" thickBot="1">
      <c r="B13" s="255" t="s">
        <v>50</v>
      </c>
      <c r="C13" s="256">
        <f>'Юнит 12-18.01'!AE15</f>
        <v>0</v>
      </c>
      <c r="D13" s="257">
        <f t="shared" si="4"/>
        <v>0</v>
      </c>
      <c r="E13" s="257">
        <f t="shared" si="2"/>
        <v>1.1023677198878918</v>
      </c>
      <c r="F13" s="258" t="str">
        <f>IF(AND(E13&lt;=0),"C",IF(E13&lt;=0.8,"A",IF(E13&lt;=0.95,"B","C")))</f>
        <v>C</v>
      </c>
      <c r="G13" s="258" t="str">
        <f t="shared" si="5"/>
        <v>C</v>
      </c>
      <c r="I13" s="255" t="s">
        <v>46</v>
      </c>
      <c r="J13" s="256">
        <f>'Юнит 12-18.01'!R11</f>
        <v>0</v>
      </c>
      <c r="K13" s="257">
        <f t="shared" si="6"/>
        <v>0</v>
      </c>
      <c r="L13" s="257">
        <f t="shared" si="3"/>
        <v>1</v>
      </c>
      <c r="M13" s="258" t="str">
        <f>_xlfn.IFS(L13&lt;80%,"A",L13&lt;=95%,"B",L13&gt;95%,"C")</f>
        <v>C</v>
      </c>
      <c r="P13" s="259" t="s">
        <v>336</v>
      </c>
      <c r="Q13" s="260">
        <v>0.8</v>
      </c>
    </row>
    <row r="14" spans="2:17" ht="15" outlineLevel="1" thickBot="1">
      <c r="B14" s="255" t="s">
        <v>52</v>
      </c>
      <c r="C14" s="256">
        <f>'Юнит 12-18.01'!AE17</f>
        <v>0</v>
      </c>
      <c r="D14" s="257">
        <f t="shared" si="4"/>
        <v>0</v>
      </c>
      <c r="E14" s="257">
        <f t="shared" si="2"/>
        <v>1.1023677198878918</v>
      </c>
      <c r="F14" s="258" t="str">
        <f t="shared" ref="F14:F25" si="7">IF(AND(E14&lt;=0),"C",IF(E14&lt;=0.8,"A",IF(E14&lt;=0.95,"B","C")))</f>
        <v>C</v>
      </c>
      <c r="G14" s="258" t="str">
        <f t="shared" si="5"/>
        <v>C</v>
      </c>
      <c r="I14" s="255" t="s">
        <v>47</v>
      </c>
      <c r="J14" s="256">
        <f>'Юнит 12-18.01'!R12</f>
        <v>0</v>
      </c>
      <c r="K14" s="257">
        <f t="shared" si="6"/>
        <v>0</v>
      </c>
      <c r="L14" s="257">
        <f t="shared" si="3"/>
        <v>1</v>
      </c>
      <c r="M14" s="258" t="str">
        <f t="shared" ref="M14:M25" si="8">_xlfn.IFS(L14&lt;80%,"A",L14&lt;=95%,"B",L14&gt;95%,"C")</f>
        <v>C</v>
      </c>
      <c r="P14" s="261" t="s">
        <v>337</v>
      </c>
      <c r="Q14" s="260">
        <v>0.15</v>
      </c>
    </row>
    <row r="15" spans="2:17" ht="15" outlineLevel="1" thickBot="1">
      <c r="B15" s="255" t="s">
        <v>53</v>
      </c>
      <c r="C15" s="256">
        <f>'Юнит 12-18.01'!AE18</f>
        <v>0</v>
      </c>
      <c r="D15" s="257">
        <f t="shared" si="4"/>
        <v>0</v>
      </c>
      <c r="E15" s="257">
        <f t="shared" si="2"/>
        <v>1.1023677198878918</v>
      </c>
      <c r="F15" s="258" t="str">
        <f t="shared" si="7"/>
        <v>C</v>
      </c>
      <c r="G15" s="258" t="str">
        <f t="shared" si="5"/>
        <v>C</v>
      </c>
      <c r="I15" s="255" t="s">
        <v>48</v>
      </c>
      <c r="J15" s="256">
        <f>'Юнит 12-18.01'!R13</f>
        <v>0</v>
      </c>
      <c r="K15" s="257">
        <f t="shared" si="6"/>
        <v>0</v>
      </c>
      <c r="L15" s="257">
        <f t="shared" si="3"/>
        <v>1</v>
      </c>
      <c r="M15" s="258" t="str">
        <f t="shared" si="8"/>
        <v>C</v>
      </c>
      <c r="P15" s="262" t="s">
        <v>338</v>
      </c>
      <c r="Q15" s="260">
        <v>0.05</v>
      </c>
    </row>
    <row r="16" spans="2:17" ht="15" outlineLevel="1" thickBot="1">
      <c r="B16" s="255" t="s">
        <v>54</v>
      </c>
      <c r="C16" s="256">
        <f>'Юнит 12-18.01'!AE19</f>
        <v>0</v>
      </c>
      <c r="D16" s="257">
        <f t="shared" si="4"/>
        <v>0</v>
      </c>
      <c r="E16" s="257">
        <f t="shared" si="2"/>
        <v>1.1023677198878918</v>
      </c>
      <c r="F16" s="258" t="str">
        <f t="shared" si="7"/>
        <v>C</v>
      </c>
      <c r="G16" s="258" t="str">
        <f t="shared" si="5"/>
        <v>C</v>
      </c>
      <c r="I16" s="255" t="s">
        <v>49</v>
      </c>
      <c r="J16" s="256">
        <f>'Юнит 12-18.01'!R14</f>
        <v>0</v>
      </c>
      <c r="K16" s="257">
        <f t="shared" si="6"/>
        <v>0</v>
      </c>
      <c r="L16" s="257">
        <f t="shared" si="3"/>
        <v>1</v>
      </c>
      <c r="M16" s="258" t="str">
        <f t="shared" si="8"/>
        <v>C</v>
      </c>
      <c r="P16" s="263"/>
      <c r="Q16" s="257"/>
    </row>
    <row r="17" spans="2:17" ht="26.5" outlineLevel="1" thickBot="1">
      <c r="B17" s="255" t="s">
        <v>55</v>
      </c>
      <c r="C17" s="256">
        <f>'Юнит 12-18.01'!AE20</f>
        <v>0</v>
      </c>
      <c r="D17" s="257">
        <f t="shared" si="4"/>
        <v>0</v>
      </c>
      <c r="E17" s="257">
        <f t="shared" si="2"/>
        <v>1.1023677198878918</v>
      </c>
      <c r="F17" s="258" t="str">
        <f t="shared" si="7"/>
        <v>C</v>
      </c>
      <c r="G17" s="258" t="str">
        <f t="shared" si="5"/>
        <v>C</v>
      </c>
      <c r="I17" s="255" t="s">
        <v>50</v>
      </c>
      <c r="J17" s="256">
        <f>'Юнит 12-18.01'!R15</f>
        <v>0</v>
      </c>
      <c r="K17" s="257">
        <f t="shared" si="6"/>
        <v>0</v>
      </c>
      <c r="L17" s="257">
        <f t="shared" si="3"/>
        <v>1</v>
      </c>
      <c r="M17" s="258" t="str">
        <f t="shared" si="8"/>
        <v>C</v>
      </c>
      <c r="P17" s="263"/>
      <c r="Q17" s="257"/>
    </row>
    <row r="18" spans="2:17" ht="15" outlineLevel="1" thickBot="1">
      <c r="B18" s="255" t="s">
        <v>56</v>
      </c>
      <c r="C18" s="256">
        <f>'Юнит 12-18.01'!AE21</f>
        <v>0</v>
      </c>
      <c r="D18" s="257">
        <f t="shared" si="4"/>
        <v>0</v>
      </c>
      <c r="E18" s="257">
        <f t="shared" si="2"/>
        <v>1.1023677198878918</v>
      </c>
      <c r="F18" s="258" t="str">
        <f t="shared" si="7"/>
        <v>C</v>
      </c>
      <c r="G18" s="258" t="str">
        <f t="shared" si="5"/>
        <v>C</v>
      </c>
      <c r="I18" s="255" t="s">
        <v>52</v>
      </c>
      <c r="J18" s="256">
        <f>'Юнит 12-18.01'!R17</f>
        <v>0</v>
      </c>
      <c r="K18" s="257">
        <f t="shared" si="6"/>
        <v>0</v>
      </c>
      <c r="L18" s="257">
        <f t="shared" si="3"/>
        <v>1</v>
      </c>
      <c r="M18" s="258" t="str">
        <f t="shared" si="8"/>
        <v>C</v>
      </c>
      <c r="P18" s="263"/>
      <c r="Q18" s="257"/>
    </row>
    <row r="19" spans="2:17" ht="15" outlineLevel="1" thickBot="1">
      <c r="B19" s="255" t="s">
        <v>57</v>
      </c>
      <c r="C19" s="256">
        <f>'Юнит 12-18.01'!AE22</f>
        <v>0</v>
      </c>
      <c r="D19" s="257">
        <f t="shared" si="4"/>
        <v>0</v>
      </c>
      <c r="E19" s="257">
        <f t="shared" si="2"/>
        <v>1.1023677198878918</v>
      </c>
      <c r="F19" s="258" t="str">
        <f t="shared" si="7"/>
        <v>C</v>
      </c>
      <c r="G19" s="258" t="str">
        <f t="shared" si="5"/>
        <v>C</v>
      </c>
      <c r="I19" s="255" t="s">
        <v>53</v>
      </c>
      <c r="J19" s="256">
        <f>'Юнит 12-18.01'!R18</f>
        <v>0</v>
      </c>
      <c r="K19" s="257">
        <f t="shared" si="6"/>
        <v>0</v>
      </c>
      <c r="L19" s="257">
        <f t="shared" si="3"/>
        <v>1</v>
      </c>
      <c r="M19" s="258" t="str">
        <f t="shared" si="8"/>
        <v>C</v>
      </c>
      <c r="P19" s="263"/>
      <c r="Q19" s="257"/>
    </row>
    <row r="20" spans="2:17" ht="15" outlineLevel="1" thickBot="1">
      <c r="B20" s="255" t="s">
        <v>58</v>
      </c>
      <c r="C20" s="256">
        <f>'Юнит 12-18.01'!AE23</f>
        <v>0</v>
      </c>
      <c r="D20" s="257">
        <f t="shared" si="4"/>
        <v>0</v>
      </c>
      <c r="E20" s="257">
        <f t="shared" si="2"/>
        <v>1.1023677198878918</v>
      </c>
      <c r="F20" s="258" t="str">
        <f t="shared" si="7"/>
        <v>C</v>
      </c>
      <c r="G20" s="258" t="str">
        <f t="shared" si="5"/>
        <v>C</v>
      </c>
      <c r="I20" s="255" t="s">
        <v>54</v>
      </c>
      <c r="J20" s="256">
        <f>'Юнит 12-18.01'!R19</f>
        <v>0</v>
      </c>
      <c r="K20" s="257">
        <f t="shared" si="6"/>
        <v>0</v>
      </c>
      <c r="L20" s="257">
        <f t="shared" si="3"/>
        <v>1</v>
      </c>
      <c r="M20" s="258" t="str">
        <f t="shared" si="8"/>
        <v>C</v>
      </c>
      <c r="P20" s="263"/>
      <c r="Q20" s="257"/>
    </row>
    <row r="21" spans="2:17" ht="15" outlineLevel="1" thickBot="1">
      <c r="B21" s="255" t="s">
        <v>59</v>
      </c>
      <c r="C21" s="256">
        <f>'Юнит 12-18.01'!AE24</f>
        <v>0</v>
      </c>
      <c r="D21" s="257">
        <f t="shared" si="4"/>
        <v>0</v>
      </c>
      <c r="E21" s="257">
        <f t="shared" si="2"/>
        <v>1.1023677198878918</v>
      </c>
      <c r="F21" s="258" t="str">
        <f t="shared" si="7"/>
        <v>C</v>
      </c>
      <c r="G21" s="258" t="str">
        <f t="shared" si="5"/>
        <v>C</v>
      </c>
      <c r="I21" s="255" t="s">
        <v>55</v>
      </c>
      <c r="J21" s="256">
        <f>'Юнит 12-18.01'!R20</f>
        <v>0</v>
      </c>
      <c r="K21" s="257">
        <f t="shared" si="6"/>
        <v>0</v>
      </c>
      <c r="L21" s="257">
        <f t="shared" si="3"/>
        <v>1</v>
      </c>
      <c r="M21" s="258" t="str">
        <f t="shared" si="8"/>
        <v>C</v>
      </c>
      <c r="P21" s="263"/>
      <c r="Q21" s="257"/>
    </row>
    <row r="22" spans="2:17" ht="15" outlineLevel="1" thickBot="1">
      <c r="B22" s="255" t="s">
        <v>45</v>
      </c>
      <c r="C22" s="256">
        <f>'Юнит 12-18.01'!AE10</f>
        <v>-93.54</v>
      </c>
      <c r="D22" s="257">
        <f t="shared" si="4"/>
        <v>-6.2714806349452208E-3</v>
      </c>
      <c r="E22" s="257">
        <f t="shared" si="2"/>
        <v>1.0960962392529465</v>
      </c>
      <c r="F22" s="258" t="str">
        <f t="shared" si="7"/>
        <v>C</v>
      </c>
      <c r="G22" s="258" t="str">
        <f t="shared" si="5"/>
        <v>C</v>
      </c>
      <c r="I22" s="255" t="s">
        <v>56</v>
      </c>
      <c r="J22" s="256">
        <f>'Юнит 12-18.01'!R21</f>
        <v>0</v>
      </c>
      <c r="K22" s="257">
        <f t="shared" si="6"/>
        <v>0</v>
      </c>
      <c r="L22" s="257">
        <f t="shared" si="3"/>
        <v>1</v>
      </c>
      <c r="M22" s="258" t="str">
        <f t="shared" si="8"/>
        <v>C</v>
      </c>
      <c r="P22" s="263"/>
      <c r="Q22" s="257"/>
    </row>
    <row r="23" spans="2:17" ht="15" outlineLevel="1" thickBot="1">
      <c r="B23" s="255" t="s">
        <v>48</v>
      </c>
      <c r="C23" s="256">
        <f>'Юнит 12-18.01'!AE13</f>
        <v>-93.54</v>
      </c>
      <c r="D23" s="257">
        <f t="shared" si="4"/>
        <v>-6.2714806349452208E-3</v>
      </c>
      <c r="E23" s="257">
        <f t="shared" si="2"/>
        <v>1.0898247586180012</v>
      </c>
      <c r="F23" s="258" t="str">
        <f t="shared" si="7"/>
        <v>C</v>
      </c>
      <c r="G23" s="258" t="str">
        <f t="shared" si="5"/>
        <v>C</v>
      </c>
      <c r="I23" s="255" t="s">
        <v>57</v>
      </c>
      <c r="J23" s="256">
        <f>'Юнит 12-18.01'!R22</f>
        <v>0</v>
      </c>
      <c r="K23" s="257">
        <f t="shared" si="6"/>
        <v>0</v>
      </c>
      <c r="L23" s="257">
        <f t="shared" si="3"/>
        <v>1</v>
      </c>
      <c r="M23" s="258" t="str">
        <f t="shared" si="8"/>
        <v>C</v>
      </c>
      <c r="P23" s="263"/>
      <c r="Q23" s="257"/>
    </row>
    <row r="24" spans="2:17" ht="15" outlineLevel="1" thickBot="1">
      <c r="B24" s="255" t="s">
        <v>44</v>
      </c>
      <c r="C24" s="256">
        <f>'Юнит 12-18.01'!AE9</f>
        <v>-429.25018599999999</v>
      </c>
      <c r="D24" s="257">
        <f t="shared" si="4"/>
        <v>-2.877949785167451E-2</v>
      </c>
      <c r="E24" s="257">
        <f t="shared" si="2"/>
        <v>1.0610452607663268</v>
      </c>
      <c r="F24" s="258" t="str">
        <f t="shared" si="7"/>
        <v>C</v>
      </c>
      <c r="G24" s="258" t="str">
        <f t="shared" si="5"/>
        <v>C</v>
      </c>
      <c r="I24" s="255" t="s">
        <v>58</v>
      </c>
      <c r="J24" s="256">
        <f>'Юнит 12-18.01'!R23</f>
        <v>0</v>
      </c>
      <c r="K24" s="257">
        <f t="shared" si="6"/>
        <v>0</v>
      </c>
      <c r="L24" s="257">
        <f t="shared" si="3"/>
        <v>1</v>
      </c>
      <c r="M24" s="258" t="str">
        <f t="shared" si="8"/>
        <v>C</v>
      </c>
      <c r="P24" s="263"/>
      <c r="Q24" s="257"/>
    </row>
    <row r="25" spans="2:17" ht="15" outlineLevel="1" thickBot="1">
      <c r="B25" s="255" t="s">
        <v>39</v>
      </c>
      <c r="C25" s="256">
        <f>'Юнит 12-18.01'!AE4</f>
        <v>-910.4984969999997</v>
      </c>
      <c r="D25" s="257">
        <f t="shared" si="4"/>
        <v>-6.1045260766326992E-2</v>
      </c>
      <c r="E25" s="257">
        <f t="shared" si="2"/>
        <v>0.99999999999999978</v>
      </c>
      <c r="F25" s="258" t="str">
        <f t="shared" si="7"/>
        <v>C</v>
      </c>
      <c r="G25" s="258" t="str">
        <f t="shared" si="5"/>
        <v>B</v>
      </c>
      <c r="I25" s="255" t="s">
        <v>59</v>
      </c>
      <c r="J25" s="256">
        <f>'Юнит 12-18.01'!R24</f>
        <v>0</v>
      </c>
      <c r="K25" s="257">
        <f t="shared" si="6"/>
        <v>0</v>
      </c>
      <c r="L25" s="257">
        <f t="shared" si="3"/>
        <v>1</v>
      </c>
      <c r="M25" s="258" t="str">
        <f t="shared" si="8"/>
        <v>C</v>
      </c>
      <c r="P25" s="263"/>
      <c r="Q25" s="257"/>
    </row>
    <row r="26" spans="2:17" outlineLevel="1">
      <c r="C26" s="264">
        <f>SUM(C4:C25)</f>
        <v>14915.138138000015</v>
      </c>
      <c r="D26" s="265">
        <f>SUM(D4:D25)</f>
        <v>0.99999999999999978</v>
      </c>
      <c r="J26" s="264">
        <f>SUM(J4:J25)</f>
        <v>56</v>
      </c>
      <c r="K26" s="265">
        <f>SUM(K4:K25)</f>
        <v>1</v>
      </c>
    </row>
    <row r="27" spans="2:17" ht="15" thickBot="1"/>
    <row r="28" spans="2:17" ht="15" thickBot="1">
      <c r="B28" s="305" t="s">
        <v>339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1" t="s">
        <v>28</v>
      </c>
      <c r="D29" s="252" t="s">
        <v>330</v>
      </c>
      <c r="E29" s="253" t="s">
        <v>331</v>
      </c>
      <c r="F29" s="252" t="s">
        <v>332</v>
      </c>
      <c r="G29" s="252" t="s">
        <v>333</v>
      </c>
      <c r="J29" s="251" t="s">
        <v>334</v>
      </c>
      <c r="K29" s="252" t="s">
        <v>335</v>
      </c>
      <c r="L29" s="253" t="s">
        <v>331</v>
      </c>
      <c r="M29" s="254" t="s">
        <v>333</v>
      </c>
    </row>
    <row r="30" spans="2:17" ht="26.5" thickBot="1">
      <c r="B30" s="255" t="s">
        <v>71</v>
      </c>
      <c r="C30" s="256">
        <f>'Юнит 12-18.01'!AE38</f>
        <v>1094.25</v>
      </c>
      <c r="D30" s="257">
        <f>C30/C$50</f>
        <v>1.0062694286786111</v>
      </c>
      <c r="E30" s="257">
        <f>D30</f>
        <v>1.0062694286786111</v>
      </c>
      <c r="F30" s="258" t="str">
        <f t="shared" ref="F30:F36" si="9">IF(AND(E30&lt;=0),"C",IF(E30&lt;=0.8,"A",IF(E30&lt;=0.95,"B","C")))</f>
        <v>C</v>
      </c>
      <c r="G30" s="258" t="str">
        <f>VLOOKUP(B$30:B$50,I$30:M$50,5,0)</f>
        <v>B</v>
      </c>
      <c r="I30" s="255" t="s">
        <v>77</v>
      </c>
      <c r="J30" s="256">
        <f>'Юнит 12-18.01'!R44</f>
        <v>3</v>
      </c>
      <c r="K30" s="257">
        <f>J30/J$50</f>
        <v>0.6</v>
      </c>
      <c r="L30" s="257">
        <f>K30</f>
        <v>0.6</v>
      </c>
      <c r="M30" s="258" t="str">
        <f t="shared" ref="M30:M36" si="10">_xlfn.IFS(L30&lt;80%,"A",L30&lt;=95%,"B",L30&gt;95%,"C")</f>
        <v>A</v>
      </c>
    </row>
    <row r="31" spans="2:17" ht="26.5" thickBot="1">
      <c r="B31" s="255" t="s">
        <v>77</v>
      </c>
      <c r="C31" s="256">
        <f>'Юнит 12-18.01'!AE44</f>
        <v>1366.2751290000003</v>
      </c>
      <c r="D31" s="257">
        <f t="shared" ref="D31:D49" si="11">C31/C$50</f>
        <v>1.2564230235107388</v>
      </c>
      <c r="E31" s="257">
        <f>D31+E30</f>
        <v>2.2626924521893499</v>
      </c>
      <c r="F31" s="258" t="str">
        <f t="shared" si="9"/>
        <v>C</v>
      </c>
      <c r="G31" s="258" t="str">
        <f t="shared" ref="G31:G49" si="12">VLOOKUP(B$30:B$50,I$30:M$50,5,0)</f>
        <v>A</v>
      </c>
      <c r="I31" s="255" t="s">
        <v>71</v>
      </c>
      <c r="J31" s="256">
        <f>'Юнит 12-18.01'!R38</f>
        <v>1</v>
      </c>
      <c r="K31" s="257">
        <f t="shared" ref="K31:K49" si="13">J31/J$50</f>
        <v>0.2</v>
      </c>
      <c r="L31" s="257">
        <f>K31+L30</f>
        <v>0.8</v>
      </c>
      <c r="M31" s="258" t="str">
        <f t="shared" si="10"/>
        <v>B</v>
      </c>
    </row>
    <row r="32" spans="2:17" ht="26.5" thickBot="1">
      <c r="B32" s="255" t="s">
        <v>61</v>
      </c>
      <c r="C32" s="256">
        <f>'Юнит 12-18.01'!AE28</f>
        <v>0</v>
      </c>
      <c r="D32" s="257">
        <f t="shared" si="11"/>
        <v>0</v>
      </c>
      <c r="E32" s="257">
        <f t="shared" ref="E32:E49" si="14">D32+E31</f>
        <v>2.2626924521893499</v>
      </c>
      <c r="F32" s="258" t="str">
        <f t="shared" si="9"/>
        <v>C</v>
      </c>
      <c r="G32" s="258" t="str">
        <f t="shared" si="12"/>
        <v>C</v>
      </c>
      <c r="I32" s="255" t="s">
        <v>78</v>
      </c>
      <c r="J32" s="256">
        <f>'Юнит 12-18.01'!R45</f>
        <v>1</v>
      </c>
      <c r="K32" s="257">
        <f t="shared" si="13"/>
        <v>0.2</v>
      </c>
      <c r="L32" s="257">
        <f t="shared" ref="L32:L49" si="15">K32+L31</f>
        <v>1</v>
      </c>
      <c r="M32" s="258" t="str">
        <f t="shared" si="10"/>
        <v>C</v>
      </c>
    </row>
    <row r="33" spans="2:13" ht="26.5" thickBot="1">
      <c r="B33" s="255" t="s">
        <v>62</v>
      </c>
      <c r="C33" s="256">
        <f>'Юнит 12-18.01'!AE29</f>
        <v>0</v>
      </c>
      <c r="D33" s="257">
        <f t="shared" si="11"/>
        <v>0</v>
      </c>
      <c r="E33" s="257">
        <f t="shared" si="14"/>
        <v>2.2626924521893499</v>
      </c>
      <c r="F33" s="258" t="str">
        <f t="shared" si="9"/>
        <v>C</v>
      </c>
      <c r="G33" s="258" t="str">
        <f t="shared" si="12"/>
        <v>C</v>
      </c>
      <c r="I33" s="255" t="s">
        <v>61</v>
      </c>
      <c r="J33" s="256">
        <f>'Юнит 12-18.01'!R28</f>
        <v>0</v>
      </c>
      <c r="K33" s="257">
        <f t="shared" si="13"/>
        <v>0</v>
      </c>
      <c r="L33" s="257">
        <f t="shared" si="15"/>
        <v>1</v>
      </c>
      <c r="M33" s="258" t="str">
        <f t="shared" si="10"/>
        <v>C</v>
      </c>
    </row>
    <row r="34" spans="2:13" ht="26.5" thickBot="1">
      <c r="B34" s="255" t="s">
        <v>63</v>
      </c>
      <c r="C34" s="256">
        <f>'Юнит 12-18.01'!AE30</f>
        <v>0</v>
      </c>
      <c r="D34" s="257">
        <f t="shared" si="11"/>
        <v>0</v>
      </c>
      <c r="E34" s="257">
        <f t="shared" si="14"/>
        <v>2.2626924521893499</v>
      </c>
      <c r="F34" s="258" t="str">
        <f t="shared" si="9"/>
        <v>C</v>
      </c>
      <c r="G34" s="258" t="str">
        <f t="shared" si="12"/>
        <v>C</v>
      </c>
      <c r="I34" s="255" t="s">
        <v>62</v>
      </c>
      <c r="J34" s="256">
        <f>'Юнит 12-18.01'!R29</f>
        <v>0</v>
      </c>
      <c r="K34" s="257">
        <f t="shared" si="13"/>
        <v>0</v>
      </c>
      <c r="L34" s="257">
        <f t="shared" si="15"/>
        <v>1</v>
      </c>
      <c r="M34" s="258" t="str">
        <f t="shared" si="10"/>
        <v>C</v>
      </c>
    </row>
    <row r="35" spans="2:13" ht="26.5" thickBot="1">
      <c r="B35" s="255" t="s">
        <v>64</v>
      </c>
      <c r="C35" s="256">
        <f>'Юнит 12-18.01'!AE31</f>
        <v>0</v>
      </c>
      <c r="D35" s="257">
        <f t="shared" si="11"/>
        <v>0</v>
      </c>
      <c r="E35" s="257">
        <f t="shared" si="14"/>
        <v>2.2626924521893499</v>
      </c>
      <c r="F35" s="258" t="str">
        <f t="shared" si="9"/>
        <v>C</v>
      </c>
      <c r="G35" s="258" t="str">
        <f t="shared" si="12"/>
        <v>C</v>
      </c>
      <c r="I35" s="255" t="s">
        <v>63</v>
      </c>
      <c r="J35" s="256">
        <f>'Юнит 12-18.01'!R30</f>
        <v>0</v>
      </c>
      <c r="K35" s="257">
        <f t="shared" si="13"/>
        <v>0</v>
      </c>
      <c r="L35" s="257">
        <f t="shared" si="15"/>
        <v>1</v>
      </c>
      <c r="M35" s="258" t="str">
        <f t="shared" si="10"/>
        <v>C</v>
      </c>
    </row>
    <row r="36" spans="2:13" ht="15" thickBot="1">
      <c r="B36" s="255" t="s">
        <v>65</v>
      </c>
      <c r="C36" s="256">
        <f>'Юнит 12-18.01'!AE32</f>
        <v>0</v>
      </c>
      <c r="D36" s="257">
        <f t="shared" si="11"/>
        <v>0</v>
      </c>
      <c r="E36" s="257">
        <f t="shared" si="14"/>
        <v>2.2626924521893499</v>
      </c>
      <c r="F36" s="258" t="str">
        <f t="shared" si="9"/>
        <v>C</v>
      </c>
      <c r="G36" s="258" t="str">
        <f t="shared" si="12"/>
        <v>C</v>
      </c>
      <c r="I36" s="255" t="s">
        <v>64</v>
      </c>
      <c r="J36" s="256">
        <f>'Юнит 12-18.01'!R31</f>
        <v>0</v>
      </c>
      <c r="K36" s="257">
        <f t="shared" si="13"/>
        <v>0</v>
      </c>
      <c r="L36" s="257">
        <f t="shared" si="15"/>
        <v>1</v>
      </c>
      <c r="M36" s="258" t="str">
        <f t="shared" si="10"/>
        <v>C</v>
      </c>
    </row>
    <row r="37" spans="2:13" ht="15" thickBot="1">
      <c r="B37" s="255" t="s">
        <v>66</v>
      </c>
      <c r="C37" s="256">
        <f>'Юнит 12-18.01'!AE33</f>
        <v>0</v>
      </c>
      <c r="D37" s="257">
        <f t="shared" si="11"/>
        <v>0</v>
      </c>
      <c r="E37" s="257">
        <f t="shared" si="14"/>
        <v>2.2626924521893499</v>
      </c>
      <c r="F37" s="258" t="str">
        <f>IF(AND(E37&lt;=0),"C",IF(E37&lt;=0.8,"A",IF(E37&lt;=0.95,"B","C")))</f>
        <v>C</v>
      </c>
      <c r="G37" s="258" t="str">
        <f t="shared" si="12"/>
        <v>C</v>
      </c>
      <c r="I37" s="255" t="s">
        <v>65</v>
      </c>
      <c r="J37" s="256">
        <f>'Юнит 12-18.01'!R32</f>
        <v>0</v>
      </c>
      <c r="K37" s="257">
        <f t="shared" si="13"/>
        <v>0</v>
      </c>
      <c r="L37" s="257">
        <f t="shared" si="15"/>
        <v>1</v>
      </c>
      <c r="M37" s="258" t="str">
        <f>_xlfn.IFS(L37&lt;80%,"A",L37&lt;=95%,"B",L37&gt;95%,"C")</f>
        <v>C</v>
      </c>
    </row>
    <row r="38" spans="2:13" ht="15" thickBot="1">
      <c r="B38" s="255" t="s">
        <v>67</v>
      </c>
      <c r="C38" s="256">
        <f>'Юнит 12-18.01'!AE34</f>
        <v>0</v>
      </c>
      <c r="D38" s="257">
        <f t="shared" si="11"/>
        <v>0</v>
      </c>
      <c r="E38" s="257">
        <f t="shared" si="14"/>
        <v>2.2626924521893499</v>
      </c>
      <c r="F38" s="258" t="str">
        <f t="shared" ref="F38:F49" si="16">IF(AND(E38&lt;=0),"C",IF(E38&lt;=0.8,"A",IF(E38&lt;=0.95,"B","C")))</f>
        <v>C</v>
      </c>
      <c r="G38" s="258" t="str">
        <f t="shared" si="12"/>
        <v>C</v>
      </c>
      <c r="I38" s="255" t="s">
        <v>66</v>
      </c>
      <c r="J38" s="256">
        <f>'Юнит 12-18.01'!R33</f>
        <v>0</v>
      </c>
      <c r="K38" s="257">
        <f t="shared" si="13"/>
        <v>0</v>
      </c>
      <c r="L38" s="257">
        <f t="shared" si="15"/>
        <v>1</v>
      </c>
      <c r="M38" s="258" t="str">
        <f t="shared" ref="M38:M49" si="17">_xlfn.IFS(L38&lt;80%,"A",L38&lt;=95%,"B",L38&gt;95%,"C")</f>
        <v>C</v>
      </c>
    </row>
    <row r="39" spans="2:13" ht="15" thickBot="1">
      <c r="B39" s="255" t="s">
        <v>68</v>
      </c>
      <c r="C39" s="256">
        <f>'Юнит 12-18.01'!AE35</f>
        <v>0</v>
      </c>
      <c r="D39" s="257">
        <f t="shared" si="11"/>
        <v>0</v>
      </c>
      <c r="E39" s="257">
        <f t="shared" si="14"/>
        <v>2.2626924521893499</v>
      </c>
      <c r="F39" s="258" t="str">
        <f t="shared" si="16"/>
        <v>C</v>
      </c>
      <c r="G39" s="258" t="str">
        <f t="shared" si="12"/>
        <v>C</v>
      </c>
      <c r="I39" s="255" t="s">
        <v>67</v>
      </c>
      <c r="J39" s="256">
        <f>'Юнит 12-18.01'!R34</f>
        <v>0</v>
      </c>
      <c r="K39" s="257">
        <f t="shared" si="13"/>
        <v>0</v>
      </c>
      <c r="L39" s="257">
        <f t="shared" si="15"/>
        <v>1</v>
      </c>
      <c r="M39" s="258" t="str">
        <f t="shared" si="17"/>
        <v>C</v>
      </c>
    </row>
    <row r="40" spans="2:13" ht="15" thickBot="1">
      <c r="B40" s="255" t="s">
        <v>69</v>
      </c>
      <c r="C40" s="256">
        <f>'Юнит 12-18.01'!AE36</f>
        <v>0</v>
      </c>
      <c r="D40" s="257">
        <f t="shared" si="11"/>
        <v>0</v>
      </c>
      <c r="E40" s="257">
        <f t="shared" si="14"/>
        <v>2.2626924521893499</v>
      </c>
      <c r="F40" s="258" t="str">
        <f t="shared" si="16"/>
        <v>C</v>
      </c>
      <c r="G40" s="258" t="str">
        <f t="shared" si="12"/>
        <v>C</v>
      </c>
      <c r="I40" s="255" t="s">
        <v>68</v>
      </c>
      <c r="J40" s="256">
        <f>'Юнит 12-18.01'!R35</f>
        <v>0</v>
      </c>
      <c r="K40" s="257">
        <f t="shared" si="13"/>
        <v>0</v>
      </c>
      <c r="L40" s="257">
        <f t="shared" si="15"/>
        <v>1</v>
      </c>
      <c r="M40" s="258" t="str">
        <f t="shared" si="17"/>
        <v>C</v>
      </c>
    </row>
    <row r="41" spans="2:13" ht="15" thickBot="1">
      <c r="B41" s="255" t="s">
        <v>70</v>
      </c>
      <c r="C41" s="256">
        <f>'Юнит 12-18.01'!AE37</f>
        <v>0</v>
      </c>
      <c r="D41" s="257">
        <f t="shared" si="11"/>
        <v>0</v>
      </c>
      <c r="E41" s="257">
        <f t="shared" si="14"/>
        <v>2.2626924521893499</v>
      </c>
      <c r="F41" s="258" t="str">
        <f t="shared" si="16"/>
        <v>C</v>
      </c>
      <c r="G41" s="258" t="str">
        <f t="shared" si="12"/>
        <v>C</v>
      </c>
      <c r="I41" s="255" t="s">
        <v>69</v>
      </c>
      <c r="J41" s="256">
        <f>'Юнит 12-18.01'!R36</f>
        <v>0</v>
      </c>
      <c r="K41" s="257">
        <f t="shared" si="13"/>
        <v>0</v>
      </c>
      <c r="L41" s="257">
        <f t="shared" si="15"/>
        <v>1</v>
      </c>
      <c r="M41" s="258" t="str">
        <f t="shared" si="17"/>
        <v>C</v>
      </c>
    </row>
    <row r="42" spans="2:13" ht="26.5" thickBot="1">
      <c r="B42" s="255" t="s">
        <v>72</v>
      </c>
      <c r="C42" s="256">
        <f>'Юнит 12-18.01'!AE39</f>
        <v>0</v>
      </c>
      <c r="D42" s="257">
        <f t="shared" si="11"/>
        <v>0</v>
      </c>
      <c r="E42" s="257">
        <f t="shared" si="14"/>
        <v>2.2626924521893499</v>
      </c>
      <c r="F42" s="258" t="str">
        <f t="shared" si="16"/>
        <v>C</v>
      </c>
      <c r="G42" s="258" t="str">
        <f t="shared" si="12"/>
        <v>C</v>
      </c>
      <c r="I42" s="255" t="s">
        <v>70</v>
      </c>
      <c r="J42" s="256">
        <f>'Юнит 12-18.01'!R37</f>
        <v>0</v>
      </c>
      <c r="K42" s="257">
        <f t="shared" si="13"/>
        <v>0</v>
      </c>
      <c r="L42" s="257">
        <f t="shared" si="15"/>
        <v>1</v>
      </c>
      <c r="M42" s="258" t="str">
        <f t="shared" si="17"/>
        <v>C</v>
      </c>
    </row>
    <row r="43" spans="2:13" ht="26.5" thickBot="1">
      <c r="B43" s="255" t="s">
        <v>73</v>
      </c>
      <c r="C43" s="256">
        <f>'Юнит 12-18.01'!AE40</f>
        <v>0</v>
      </c>
      <c r="D43" s="257">
        <f t="shared" si="11"/>
        <v>0</v>
      </c>
      <c r="E43" s="257">
        <f t="shared" si="14"/>
        <v>2.2626924521893499</v>
      </c>
      <c r="F43" s="258" t="str">
        <f t="shared" si="16"/>
        <v>C</v>
      </c>
      <c r="G43" s="258" t="str">
        <f t="shared" si="12"/>
        <v>C</v>
      </c>
      <c r="I43" s="255" t="s">
        <v>72</v>
      </c>
      <c r="J43" s="256">
        <f>'Юнит 12-18.01'!R39</f>
        <v>0</v>
      </c>
      <c r="K43" s="257">
        <f t="shared" si="13"/>
        <v>0</v>
      </c>
      <c r="L43" s="257">
        <f t="shared" si="15"/>
        <v>1</v>
      </c>
      <c r="M43" s="258" t="str">
        <f t="shared" si="17"/>
        <v>C</v>
      </c>
    </row>
    <row r="44" spans="2:13" ht="26.5" thickBot="1">
      <c r="B44" s="255" t="s">
        <v>74</v>
      </c>
      <c r="C44" s="256">
        <f>'Юнит 12-18.01'!AE41</f>
        <v>0</v>
      </c>
      <c r="D44" s="257">
        <f t="shared" si="11"/>
        <v>0</v>
      </c>
      <c r="E44" s="257">
        <f t="shared" si="14"/>
        <v>2.2626924521893499</v>
      </c>
      <c r="F44" s="258" t="str">
        <f t="shared" si="16"/>
        <v>C</v>
      </c>
      <c r="G44" s="258" t="str">
        <f t="shared" si="12"/>
        <v>C</v>
      </c>
      <c r="I44" s="255" t="s">
        <v>73</v>
      </c>
      <c r="J44" s="256">
        <f>'Юнит 12-18.01'!R40</f>
        <v>0</v>
      </c>
      <c r="K44" s="257">
        <f t="shared" si="13"/>
        <v>0</v>
      </c>
      <c r="L44" s="257">
        <f t="shared" si="15"/>
        <v>1</v>
      </c>
      <c r="M44" s="258" t="str">
        <f t="shared" si="17"/>
        <v>C</v>
      </c>
    </row>
    <row r="45" spans="2:13" ht="26.5" thickBot="1">
      <c r="B45" s="255" t="s">
        <v>75</v>
      </c>
      <c r="C45" s="256">
        <f>'Юнит 12-18.01'!AE42</f>
        <v>0</v>
      </c>
      <c r="D45" s="257">
        <f t="shared" si="11"/>
        <v>0</v>
      </c>
      <c r="E45" s="257">
        <f t="shared" si="14"/>
        <v>2.2626924521893499</v>
      </c>
      <c r="F45" s="258" t="str">
        <f t="shared" si="16"/>
        <v>C</v>
      </c>
      <c r="G45" s="258" t="str">
        <f t="shared" si="12"/>
        <v>C</v>
      </c>
      <c r="I45" s="255" t="s">
        <v>74</v>
      </c>
      <c r="J45" s="256">
        <f>'Юнит 12-18.01'!R41</f>
        <v>0</v>
      </c>
      <c r="K45" s="257">
        <f t="shared" si="13"/>
        <v>0</v>
      </c>
      <c r="L45" s="257">
        <f t="shared" si="15"/>
        <v>1</v>
      </c>
      <c r="M45" s="258" t="str">
        <f t="shared" si="17"/>
        <v>C</v>
      </c>
    </row>
    <row r="46" spans="2:13" ht="26.5" thickBot="1">
      <c r="B46" s="255" t="s">
        <v>76</v>
      </c>
      <c r="C46" s="256">
        <f>'Юнит 12-18.01'!AE43</f>
        <v>0</v>
      </c>
      <c r="D46" s="257">
        <f t="shared" si="11"/>
        <v>0</v>
      </c>
      <c r="E46" s="257">
        <f t="shared" si="14"/>
        <v>2.2626924521893499</v>
      </c>
      <c r="F46" s="258" t="str">
        <f t="shared" si="16"/>
        <v>C</v>
      </c>
      <c r="G46" s="258" t="str">
        <f t="shared" si="12"/>
        <v>C</v>
      </c>
      <c r="I46" s="255" t="s">
        <v>75</v>
      </c>
      <c r="J46" s="256">
        <f>'Юнит 12-18.01'!R42</f>
        <v>0</v>
      </c>
      <c r="K46" s="257">
        <f t="shared" si="13"/>
        <v>0</v>
      </c>
      <c r="L46" s="257">
        <f t="shared" si="15"/>
        <v>1</v>
      </c>
      <c r="M46" s="258" t="str">
        <f t="shared" si="17"/>
        <v>C</v>
      </c>
    </row>
    <row r="47" spans="2:13" ht="26.5" thickBot="1">
      <c r="B47" s="255" t="s">
        <v>79</v>
      </c>
      <c r="C47" s="256">
        <f>'Юнит 12-18.01'!AE46</f>
        <v>0</v>
      </c>
      <c r="D47" s="257">
        <f t="shared" si="11"/>
        <v>0</v>
      </c>
      <c r="E47" s="257">
        <f t="shared" si="14"/>
        <v>2.2626924521893499</v>
      </c>
      <c r="F47" s="258" t="str">
        <f t="shared" si="16"/>
        <v>C</v>
      </c>
      <c r="G47" s="258" t="str">
        <f t="shared" si="12"/>
        <v>C</v>
      </c>
      <c r="I47" s="255" t="s">
        <v>76</v>
      </c>
      <c r="J47" s="256">
        <f>'Юнит 12-18.01'!R43</f>
        <v>0</v>
      </c>
      <c r="K47" s="257">
        <f t="shared" si="13"/>
        <v>0</v>
      </c>
      <c r="L47" s="257">
        <f t="shared" si="15"/>
        <v>1</v>
      </c>
      <c r="M47" s="258" t="str">
        <f t="shared" si="17"/>
        <v>C</v>
      </c>
    </row>
    <row r="48" spans="2:13" ht="26.5" thickBot="1">
      <c r="B48" s="255" t="s">
        <v>80</v>
      </c>
      <c r="C48" s="256">
        <f>'Юнит 12-18.01'!AE47</f>
        <v>0</v>
      </c>
      <c r="D48" s="257">
        <f t="shared" si="11"/>
        <v>0</v>
      </c>
      <c r="E48" s="257">
        <f t="shared" si="14"/>
        <v>2.2626924521893499</v>
      </c>
      <c r="F48" s="258" t="str">
        <f t="shared" si="16"/>
        <v>C</v>
      </c>
      <c r="G48" s="258" t="str">
        <f t="shared" si="12"/>
        <v>C</v>
      </c>
      <c r="I48" s="255" t="s">
        <v>79</v>
      </c>
      <c r="J48" s="256">
        <f>'Юнит 12-18.01'!R46</f>
        <v>0</v>
      </c>
      <c r="K48" s="257">
        <f t="shared" si="13"/>
        <v>0</v>
      </c>
      <c r="L48" s="257">
        <f t="shared" si="15"/>
        <v>1</v>
      </c>
      <c r="M48" s="258" t="str">
        <f t="shared" si="17"/>
        <v>C</v>
      </c>
    </row>
    <row r="49" spans="2:13" ht="26.5" thickBot="1">
      <c r="B49" s="255" t="s">
        <v>78</v>
      </c>
      <c r="C49" s="256">
        <f>'Юнит 12-18.01'!AE45</f>
        <v>-1373.092709</v>
      </c>
      <c r="D49" s="257">
        <f t="shared" si="11"/>
        <v>-1.2626924521893501</v>
      </c>
      <c r="E49" s="257">
        <f t="shared" si="14"/>
        <v>0.99999999999999978</v>
      </c>
      <c r="F49" s="258" t="str">
        <f t="shared" si="16"/>
        <v>C</v>
      </c>
      <c r="G49" s="258" t="str">
        <f t="shared" si="12"/>
        <v>C</v>
      </c>
      <c r="I49" s="255" t="s">
        <v>80</v>
      </c>
      <c r="J49" s="256">
        <f>'Юнит 12-18.01'!R47</f>
        <v>0</v>
      </c>
      <c r="K49" s="257">
        <f t="shared" si="13"/>
        <v>0</v>
      </c>
      <c r="L49" s="257">
        <f t="shared" si="15"/>
        <v>1</v>
      </c>
      <c r="M49" s="258" t="str">
        <f t="shared" si="17"/>
        <v>C</v>
      </c>
    </row>
    <row r="50" spans="2:13">
      <c r="C50" s="264">
        <f>SUM(C30:C49)</f>
        <v>1087.4324200000005</v>
      </c>
      <c r="D50" s="265">
        <f>SUM(D30:D49)</f>
        <v>0.99999999999999978</v>
      </c>
      <c r="J50" s="264">
        <f>SUM(J30:J49)</f>
        <v>5</v>
      </c>
      <c r="K50" s="265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15" priority="4" operator="equal">
      <formula>"C"</formula>
    </cfRule>
    <cfRule type="cellIs" dxfId="114" priority="5" operator="equal">
      <formula>"B"</formula>
    </cfRule>
    <cfRule type="cellIs" dxfId="113" priority="6" operator="equal">
      <formula>"A"</formula>
    </cfRule>
  </conditionalFormatting>
  <conditionalFormatting sqref="M30:M49 D30:D49 K30:K49 F30:G49">
    <cfRule type="cellIs" dxfId="112" priority="1" operator="equal">
      <formula>"C"</formula>
    </cfRule>
    <cfRule type="cellIs" dxfId="111" priority="2" operator="equal">
      <formula>"B"</formula>
    </cfRule>
    <cfRule type="cellIs" dxfId="110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329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1" t="s">
        <v>28</v>
      </c>
      <c r="D3" s="252" t="s">
        <v>330</v>
      </c>
      <c r="E3" s="253" t="s">
        <v>331</v>
      </c>
      <c r="F3" s="252" t="s">
        <v>332</v>
      </c>
      <c r="G3" s="252" t="s">
        <v>333</v>
      </c>
      <c r="J3" s="251" t="s">
        <v>334</v>
      </c>
      <c r="K3" s="252" t="s">
        <v>335</v>
      </c>
      <c r="L3" s="253" t="s">
        <v>331</v>
      </c>
      <c r="M3" s="254" t="s">
        <v>333</v>
      </c>
    </row>
    <row r="4" spans="2:17" ht="28.5" customHeight="1" outlineLevel="1" thickBot="1">
      <c r="B4" s="255" t="s">
        <v>38</v>
      </c>
      <c r="C4" s="256">
        <f>'Юнит 05-11.01'!AE3</f>
        <v>6568.9866900000034</v>
      </c>
      <c r="D4" s="257">
        <f>C4/C$26</f>
        <v>0.6482752530447432</v>
      </c>
      <c r="E4" s="257">
        <f>D4</f>
        <v>0.6482752530447432</v>
      </c>
      <c r="F4" s="258" t="str">
        <f t="shared" ref="F4:F12" si="0">IF(AND(E4&lt;=0),"C",IF(E4&lt;=0.8,"A",IF(E4&lt;=0.95,"B","C")))</f>
        <v>A</v>
      </c>
      <c r="G4" s="258" t="str">
        <f>VLOOKUP(B$4:B$25,I$4:M$25,5,0)</f>
        <v>A</v>
      </c>
      <c r="I4" s="255" t="s">
        <v>38</v>
      </c>
      <c r="J4" s="256">
        <f>'Юнит 05-11.01'!R3</f>
        <v>32</v>
      </c>
      <c r="K4" s="257">
        <f>J4/J$26</f>
        <v>0.59259259259259256</v>
      </c>
      <c r="L4" s="257">
        <f>K4</f>
        <v>0.59259259259259256</v>
      </c>
      <c r="M4" s="258" t="str">
        <f t="shared" ref="M4:M12" si="1">_xlfn.IFS(L4&lt;80%,"A",L4&lt;=95%,"B",L4&gt;95%,"C")</f>
        <v>A</v>
      </c>
    </row>
    <row r="5" spans="2:17" ht="28.5" customHeight="1" outlineLevel="1" thickBot="1">
      <c r="B5" s="255" t="s">
        <v>47</v>
      </c>
      <c r="C5" s="256">
        <f>'Юнит 05-11.01'!AE12</f>
        <v>698.36000000000013</v>
      </c>
      <c r="D5" s="257">
        <f>C5/C$26</f>
        <v>6.8919230176781907E-2</v>
      </c>
      <c r="E5" s="257">
        <f>D5+E4</f>
        <v>0.71719448322152513</v>
      </c>
      <c r="F5" s="258" t="str">
        <f t="shared" si="0"/>
        <v>A</v>
      </c>
      <c r="G5" s="258" t="str">
        <f>VLOOKUP(B$4:B$25,I$4:M$25,5,0)</f>
        <v>B</v>
      </c>
      <c r="I5" s="255" t="s">
        <v>41</v>
      </c>
      <c r="J5" s="256">
        <f>'Юнит 05-11.01'!R6</f>
        <v>11</v>
      </c>
      <c r="K5" s="257">
        <f>J5/J$26</f>
        <v>0.20370370370370369</v>
      </c>
      <c r="L5" s="257">
        <f>K5+L4</f>
        <v>0.79629629629629628</v>
      </c>
      <c r="M5" s="258" t="str">
        <f t="shared" si="1"/>
        <v>A</v>
      </c>
    </row>
    <row r="6" spans="2:17" ht="28.5" customHeight="1" outlineLevel="1" thickBot="1">
      <c r="B6" s="255" t="s">
        <v>41</v>
      </c>
      <c r="C6" s="256">
        <f>'Юнит 05-11.01'!AE6</f>
        <v>1305.2943180000032</v>
      </c>
      <c r="D6" s="257">
        <f>C6/C$26</f>
        <v>0.12881591092085423</v>
      </c>
      <c r="E6" s="257">
        <f t="shared" ref="E6:E25" si="2">D6+E5</f>
        <v>0.84601039414237933</v>
      </c>
      <c r="F6" s="258" t="str">
        <f t="shared" si="0"/>
        <v>B</v>
      </c>
      <c r="G6" s="258" t="str">
        <f>VLOOKUP(B$4:B$25,I$4:M$25,5,0)</f>
        <v>A</v>
      </c>
      <c r="I6" s="255" t="s">
        <v>47</v>
      </c>
      <c r="J6" s="256">
        <f>'Юнит 05-11.01'!R12</f>
        <v>2</v>
      </c>
      <c r="K6" s="257">
        <f>J6/J$26</f>
        <v>3.7037037037037035E-2</v>
      </c>
      <c r="L6" s="257">
        <f t="shared" ref="L6:L25" si="3">K6+L5</f>
        <v>0.83333333333333326</v>
      </c>
      <c r="M6" s="258" t="str">
        <f t="shared" si="1"/>
        <v>B</v>
      </c>
    </row>
    <row r="7" spans="2:17" ht="28.5" customHeight="1" outlineLevel="1" thickBot="1">
      <c r="B7" s="255" t="s">
        <v>51</v>
      </c>
      <c r="C7" s="256">
        <f>'Юнит 05-11.01'!AE16</f>
        <v>584.28000000000009</v>
      </c>
      <c r="D7" s="257">
        <f>C7/C$26</f>
        <v>5.766098832649369E-2</v>
      </c>
      <c r="E7" s="257">
        <f t="shared" si="2"/>
        <v>0.90367138246887302</v>
      </c>
      <c r="F7" s="258" t="str">
        <f t="shared" si="0"/>
        <v>B</v>
      </c>
      <c r="G7" s="258" t="str">
        <f>VLOOKUP(B$4:B$25,I$4:M$25,5,0)</f>
        <v>B</v>
      </c>
      <c r="I7" s="255" t="s">
        <v>50</v>
      </c>
      <c r="J7" s="256">
        <f>'Юнит 05-11.01'!R15</f>
        <v>2</v>
      </c>
      <c r="K7" s="257">
        <f>J7/J$26</f>
        <v>3.7037037037037035E-2</v>
      </c>
      <c r="L7" s="257">
        <f t="shared" si="3"/>
        <v>0.87037037037037024</v>
      </c>
      <c r="M7" s="258" t="str">
        <f t="shared" si="1"/>
        <v>B</v>
      </c>
    </row>
    <row r="8" spans="2:17" ht="28.5" customHeight="1" outlineLevel="1" thickBot="1">
      <c r="B8" s="255" t="s">
        <v>48</v>
      </c>
      <c r="C8" s="256">
        <f>'Юнит 05-11.01'!AE13</f>
        <v>497.35000000000014</v>
      </c>
      <c r="D8" s="257">
        <f>C8/C$26</f>
        <v>4.9082105401830695E-2</v>
      </c>
      <c r="E8" s="257">
        <f t="shared" si="2"/>
        <v>0.95275348787070369</v>
      </c>
      <c r="F8" s="258" t="str">
        <f t="shared" si="0"/>
        <v>C</v>
      </c>
      <c r="G8" s="258" t="str">
        <f>VLOOKUP(B$4:B$25,I$4:M$25,5,0)</f>
        <v>B</v>
      </c>
      <c r="I8" s="255" t="s">
        <v>51</v>
      </c>
      <c r="J8" s="256">
        <f>'Юнит 05-11.01'!R16</f>
        <v>2</v>
      </c>
      <c r="K8" s="257">
        <f>J8/J$26</f>
        <v>3.7037037037037035E-2</v>
      </c>
      <c r="L8" s="257">
        <f t="shared" si="3"/>
        <v>0.90740740740740722</v>
      </c>
      <c r="M8" s="258" t="str">
        <f t="shared" si="1"/>
        <v>B</v>
      </c>
    </row>
    <row r="9" spans="2:17" ht="28.5" customHeight="1" outlineLevel="1" thickBot="1">
      <c r="B9" s="255" t="s">
        <v>40</v>
      </c>
      <c r="C9" s="256">
        <f>'Юнит 05-11.01'!AE5</f>
        <v>360.57000000000005</v>
      </c>
      <c r="D9" s="257">
        <f t="shared" ref="D9:D25" si="4">C9/C$26</f>
        <v>3.558366290286135E-2</v>
      </c>
      <c r="E9" s="257">
        <f t="shared" si="2"/>
        <v>0.98833715077356499</v>
      </c>
      <c r="F9" s="258" t="str">
        <f t="shared" si="0"/>
        <v>C</v>
      </c>
      <c r="G9" s="258" t="str">
        <f t="shared" ref="G9:G25" si="5">VLOOKUP(B$4:B$25,I$4:M$25,5,0)</f>
        <v>B</v>
      </c>
      <c r="I9" s="255" t="s">
        <v>40</v>
      </c>
      <c r="J9" s="256">
        <f>'Юнит 05-11.01'!R5</f>
        <v>1</v>
      </c>
      <c r="K9" s="257">
        <f t="shared" ref="K9:K25" si="6">J9/J$26</f>
        <v>1.8518518518518517E-2</v>
      </c>
      <c r="L9" s="257">
        <f t="shared" si="3"/>
        <v>0.92592592592592571</v>
      </c>
      <c r="M9" s="258" t="str">
        <f t="shared" si="1"/>
        <v>B</v>
      </c>
    </row>
    <row r="10" spans="2:17" ht="28.5" customHeight="1" outlineLevel="1" thickBot="1">
      <c r="B10" s="255" t="s">
        <v>49</v>
      </c>
      <c r="C10" s="256">
        <f>'Юнит 05-11.01'!AE14</f>
        <v>280.86000000000013</v>
      </c>
      <c r="D10" s="257">
        <f t="shared" si="4"/>
        <v>2.77173019466335E-2</v>
      </c>
      <c r="E10" s="257">
        <f t="shared" si="2"/>
        <v>1.0160544527201985</v>
      </c>
      <c r="F10" s="258" t="str">
        <f t="shared" si="0"/>
        <v>C</v>
      </c>
      <c r="G10" s="258" t="str">
        <f t="shared" si="5"/>
        <v>C</v>
      </c>
      <c r="I10" s="255" t="s">
        <v>42</v>
      </c>
      <c r="J10" s="256">
        <f>'Юнит 05-11.01'!R7</f>
        <v>1</v>
      </c>
      <c r="K10" s="257">
        <f t="shared" si="6"/>
        <v>1.8518518518518517E-2</v>
      </c>
      <c r="L10" s="257">
        <f t="shared" si="3"/>
        <v>0.9444444444444442</v>
      </c>
      <c r="M10" s="258" t="str">
        <f t="shared" si="1"/>
        <v>B</v>
      </c>
    </row>
    <row r="11" spans="2:17" ht="28.5" customHeight="1" outlineLevel="1" thickBot="1">
      <c r="B11" s="255" t="s">
        <v>50</v>
      </c>
      <c r="C11" s="256">
        <f>'Юнит 05-11.01'!AE15</f>
        <v>132.94000000000045</v>
      </c>
      <c r="D11" s="257">
        <f t="shared" si="4"/>
        <v>1.3119483446505265E-2</v>
      </c>
      <c r="E11" s="257">
        <f>D11+E8</f>
        <v>0.96587297131720895</v>
      </c>
      <c r="F11" s="258" t="str">
        <f t="shared" si="0"/>
        <v>C</v>
      </c>
      <c r="G11" s="258" t="str">
        <f t="shared" si="5"/>
        <v>B</v>
      </c>
      <c r="I11" s="255" t="s">
        <v>44</v>
      </c>
      <c r="J11" s="256">
        <f>'Юнит 05-11.01'!R9</f>
        <v>1</v>
      </c>
      <c r="K11" s="257">
        <f t="shared" si="6"/>
        <v>1.8518518518518517E-2</v>
      </c>
      <c r="L11" s="257">
        <f>K11+L8</f>
        <v>0.92592592592592571</v>
      </c>
      <c r="M11" s="258" t="str">
        <f t="shared" si="1"/>
        <v>B</v>
      </c>
    </row>
    <row r="12" spans="2:17" ht="28.5" customHeight="1" outlineLevel="1" thickBot="1">
      <c r="B12" s="255" t="s">
        <v>39</v>
      </c>
      <c r="C12" s="256">
        <f>'Юнит 05-11.01'!AE4</f>
        <v>0</v>
      </c>
      <c r="D12" s="257">
        <f t="shared" si="4"/>
        <v>0</v>
      </c>
      <c r="E12" s="257">
        <f t="shared" si="2"/>
        <v>0.96587297131720895</v>
      </c>
      <c r="F12" s="258" t="str">
        <f t="shared" si="0"/>
        <v>C</v>
      </c>
      <c r="G12" s="258" t="str">
        <f t="shared" si="5"/>
        <v>C</v>
      </c>
      <c r="I12" s="255" t="s">
        <v>48</v>
      </c>
      <c r="J12" s="256">
        <f>'Юнит 05-11.01'!R13</f>
        <v>1</v>
      </c>
      <c r="K12" s="257">
        <f t="shared" si="6"/>
        <v>1.8518518518518517E-2</v>
      </c>
      <c r="L12" s="257">
        <f t="shared" si="3"/>
        <v>0.9444444444444442</v>
      </c>
      <c r="M12" s="258" t="str">
        <f t="shared" si="1"/>
        <v>B</v>
      </c>
    </row>
    <row r="13" spans="2:17" ht="15" outlineLevel="1" thickBot="1">
      <c r="B13" s="255" t="s">
        <v>43</v>
      </c>
      <c r="C13" s="256">
        <f>'Юнит 05-11.01'!AE8</f>
        <v>0</v>
      </c>
      <c r="D13" s="257">
        <f t="shared" si="4"/>
        <v>0</v>
      </c>
      <c r="E13" s="257">
        <f t="shared" si="2"/>
        <v>0.96587297131720895</v>
      </c>
      <c r="F13" s="258" t="str">
        <f>IF(AND(E13&lt;=0),"C",IF(E13&lt;=0.8,"A",IF(E13&lt;=0.95,"B","C")))</f>
        <v>C</v>
      </c>
      <c r="G13" s="258" t="str">
        <f t="shared" si="5"/>
        <v>C</v>
      </c>
      <c r="I13" s="255" t="s">
        <v>49</v>
      </c>
      <c r="J13" s="256">
        <f>'Юнит 05-11.01'!R14</f>
        <v>1</v>
      </c>
      <c r="K13" s="257">
        <f t="shared" si="6"/>
        <v>1.8518518518518517E-2</v>
      </c>
      <c r="L13" s="257">
        <f t="shared" si="3"/>
        <v>0.96296296296296269</v>
      </c>
      <c r="M13" s="258" t="str">
        <f>_xlfn.IFS(L13&lt;80%,"A",L13&lt;=95%,"B",L13&gt;95%,"C")</f>
        <v>C</v>
      </c>
      <c r="P13" s="259" t="s">
        <v>336</v>
      </c>
      <c r="Q13" s="260">
        <v>0.8</v>
      </c>
    </row>
    <row r="14" spans="2:17" ht="15" outlineLevel="1" thickBot="1">
      <c r="B14" s="255" t="s">
        <v>46</v>
      </c>
      <c r="C14" s="256">
        <f>'Юнит 05-11.01'!AE11</f>
        <v>0</v>
      </c>
      <c r="D14" s="257">
        <f t="shared" si="4"/>
        <v>0</v>
      </c>
      <c r="E14" s="257">
        <f t="shared" si="2"/>
        <v>0.96587297131720895</v>
      </c>
      <c r="F14" s="258" t="str">
        <f t="shared" ref="F14:F25" si="7">IF(AND(E14&lt;=0),"C",IF(E14&lt;=0.8,"A",IF(E14&lt;=0.95,"B","C")))</f>
        <v>C</v>
      </c>
      <c r="G14" s="258" t="str">
        <f t="shared" si="5"/>
        <v>C</v>
      </c>
      <c r="I14" s="255" t="s">
        <v>39</v>
      </c>
      <c r="J14" s="256">
        <f>'Юнит 05-11.01'!R4</f>
        <v>0</v>
      </c>
      <c r="K14" s="257">
        <f t="shared" si="6"/>
        <v>0</v>
      </c>
      <c r="L14" s="257">
        <f t="shared" si="3"/>
        <v>0.96296296296296269</v>
      </c>
      <c r="M14" s="258" t="str">
        <f t="shared" ref="M14:M25" si="8">_xlfn.IFS(L14&lt;80%,"A",L14&lt;=95%,"B",L14&gt;95%,"C")</f>
        <v>C</v>
      </c>
      <c r="P14" s="261" t="s">
        <v>337</v>
      </c>
      <c r="Q14" s="260">
        <v>0.15</v>
      </c>
    </row>
    <row r="15" spans="2:17" ht="15" outlineLevel="1" thickBot="1">
      <c r="B15" s="255" t="s">
        <v>52</v>
      </c>
      <c r="C15" s="256">
        <f>'Юнит 05-11.01'!AE17</f>
        <v>0</v>
      </c>
      <c r="D15" s="257">
        <f t="shared" si="4"/>
        <v>0</v>
      </c>
      <c r="E15" s="257">
        <f t="shared" si="2"/>
        <v>0.96587297131720895</v>
      </c>
      <c r="F15" s="258" t="str">
        <f t="shared" si="7"/>
        <v>C</v>
      </c>
      <c r="G15" s="258" t="str">
        <f t="shared" si="5"/>
        <v>C</v>
      </c>
      <c r="I15" s="255" t="s">
        <v>43</v>
      </c>
      <c r="J15" s="256">
        <f>'Юнит 05-11.01'!R8</f>
        <v>0</v>
      </c>
      <c r="K15" s="257">
        <f t="shared" si="6"/>
        <v>0</v>
      </c>
      <c r="L15" s="257">
        <f t="shared" si="3"/>
        <v>0.96296296296296269</v>
      </c>
      <c r="M15" s="258" t="str">
        <f t="shared" si="8"/>
        <v>C</v>
      </c>
      <c r="P15" s="262" t="s">
        <v>338</v>
      </c>
      <c r="Q15" s="260">
        <v>0.05</v>
      </c>
    </row>
    <row r="16" spans="2:17" ht="15" outlineLevel="1" thickBot="1">
      <c r="B16" s="255" t="s">
        <v>53</v>
      </c>
      <c r="C16" s="256">
        <f>'Юнит 05-11.01'!AE18</f>
        <v>0</v>
      </c>
      <c r="D16" s="257">
        <f t="shared" si="4"/>
        <v>0</v>
      </c>
      <c r="E16" s="257">
        <f t="shared" si="2"/>
        <v>0.96587297131720895</v>
      </c>
      <c r="F16" s="258" t="str">
        <f t="shared" si="7"/>
        <v>C</v>
      </c>
      <c r="G16" s="258" t="str">
        <f t="shared" si="5"/>
        <v>C</v>
      </c>
      <c r="I16" s="255" t="s">
        <v>45</v>
      </c>
      <c r="J16" s="256">
        <f>'Юнит 05-11.01'!R10</f>
        <v>0</v>
      </c>
      <c r="K16" s="257">
        <f t="shared" si="6"/>
        <v>0</v>
      </c>
      <c r="L16" s="257">
        <f t="shared" si="3"/>
        <v>0.96296296296296269</v>
      </c>
      <c r="M16" s="258" t="str">
        <f t="shared" si="8"/>
        <v>C</v>
      </c>
      <c r="P16" s="263"/>
      <c r="Q16" s="257"/>
    </row>
    <row r="17" spans="2:17" ht="15" outlineLevel="1" thickBot="1">
      <c r="B17" s="255" t="s">
        <v>54</v>
      </c>
      <c r="C17" s="256">
        <f>'Юнит 05-11.01'!AE19</f>
        <v>0</v>
      </c>
      <c r="D17" s="257">
        <f t="shared" si="4"/>
        <v>0</v>
      </c>
      <c r="E17" s="257">
        <f t="shared" si="2"/>
        <v>0.96587297131720895</v>
      </c>
      <c r="F17" s="258" t="str">
        <f t="shared" si="7"/>
        <v>C</v>
      </c>
      <c r="G17" s="258" t="str">
        <f t="shared" si="5"/>
        <v>C</v>
      </c>
      <c r="I17" s="255" t="s">
        <v>46</v>
      </c>
      <c r="J17" s="256">
        <f>'Юнит 05-11.01'!R11</f>
        <v>0</v>
      </c>
      <c r="K17" s="257">
        <f t="shared" si="6"/>
        <v>0</v>
      </c>
      <c r="L17" s="257">
        <f t="shared" si="3"/>
        <v>0.96296296296296269</v>
      </c>
      <c r="M17" s="258" t="str">
        <f t="shared" si="8"/>
        <v>C</v>
      </c>
      <c r="P17" s="263"/>
      <c r="Q17" s="257"/>
    </row>
    <row r="18" spans="2:17" ht="15" outlineLevel="1" thickBot="1">
      <c r="B18" s="255" t="s">
        <v>55</v>
      </c>
      <c r="C18" s="256">
        <f>'Юнит 05-11.01'!AE20</f>
        <v>0</v>
      </c>
      <c r="D18" s="257">
        <f t="shared" si="4"/>
        <v>0</v>
      </c>
      <c r="E18" s="257">
        <f t="shared" si="2"/>
        <v>0.96587297131720895</v>
      </c>
      <c r="F18" s="258" t="str">
        <f t="shared" si="7"/>
        <v>C</v>
      </c>
      <c r="G18" s="258" t="str">
        <f t="shared" si="5"/>
        <v>C</v>
      </c>
      <c r="I18" s="255" t="s">
        <v>52</v>
      </c>
      <c r="J18" s="256">
        <f>'Юнит 05-11.01'!R17</f>
        <v>0</v>
      </c>
      <c r="K18" s="257">
        <f t="shared" si="6"/>
        <v>0</v>
      </c>
      <c r="L18" s="257">
        <f t="shared" si="3"/>
        <v>0.96296296296296269</v>
      </c>
      <c r="M18" s="258" t="str">
        <f t="shared" si="8"/>
        <v>C</v>
      </c>
      <c r="P18" s="263"/>
      <c r="Q18" s="257"/>
    </row>
    <row r="19" spans="2:17" ht="15" outlineLevel="1" thickBot="1">
      <c r="B19" s="255" t="s">
        <v>56</v>
      </c>
      <c r="C19" s="256">
        <f>'Юнит 05-11.01'!AE21</f>
        <v>0</v>
      </c>
      <c r="D19" s="257">
        <f t="shared" si="4"/>
        <v>0</v>
      </c>
      <c r="E19" s="257">
        <f t="shared" si="2"/>
        <v>0.96587297131720895</v>
      </c>
      <c r="F19" s="258" t="str">
        <f t="shared" si="7"/>
        <v>C</v>
      </c>
      <c r="G19" s="258" t="str">
        <f t="shared" si="5"/>
        <v>C</v>
      </c>
      <c r="I19" s="255" t="s">
        <v>53</v>
      </c>
      <c r="J19" s="256">
        <f>'Юнит 05-11.01'!R18</f>
        <v>0</v>
      </c>
      <c r="K19" s="257">
        <f t="shared" si="6"/>
        <v>0</v>
      </c>
      <c r="L19" s="257">
        <f t="shared" si="3"/>
        <v>0.96296296296296269</v>
      </c>
      <c r="M19" s="258" t="str">
        <f t="shared" si="8"/>
        <v>C</v>
      </c>
      <c r="P19" s="263"/>
      <c r="Q19" s="257"/>
    </row>
    <row r="20" spans="2:17" ht="15" outlineLevel="1" thickBot="1">
      <c r="B20" s="255" t="s">
        <v>57</v>
      </c>
      <c r="C20" s="256">
        <f>'Юнит 05-11.01'!AE22</f>
        <v>0</v>
      </c>
      <c r="D20" s="257">
        <f t="shared" si="4"/>
        <v>0</v>
      </c>
      <c r="E20" s="257">
        <f t="shared" si="2"/>
        <v>0.96587297131720895</v>
      </c>
      <c r="F20" s="258" t="str">
        <f t="shared" si="7"/>
        <v>C</v>
      </c>
      <c r="G20" s="258" t="str">
        <f t="shared" si="5"/>
        <v>C</v>
      </c>
      <c r="I20" s="255" t="s">
        <v>54</v>
      </c>
      <c r="J20" s="256">
        <f>'Юнит 05-11.01'!R19</f>
        <v>0</v>
      </c>
      <c r="K20" s="257">
        <f t="shared" si="6"/>
        <v>0</v>
      </c>
      <c r="L20" s="257">
        <f t="shared" si="3"/>
        <v>0.96296296296296269</v>
      </c>
      <c r="M20" s="258" t="str">
        <f t="shared" si="8"/>
        <v>C</v>
      </c>
      <c r="P20" s="263"/>
      <c r="Q20" s="257"/>
    </row>
    <row r="21" spans="2:17" ht="15" outlineLevel="1" thickBot="1">
      <c r="B21" s="255" t="s">
        <v>58</v>
      </c>
      <c r="C21" s="256">
        <f>'Юнит 05-11.01'!AE23</f>
        <v>0</v>
      </c>
      <c r="D21" s="257">
        <f t="shared" si="4"/>
        <v>0</v>
      </c>
      <c r="E21" s="257">
        <f t="shared" si="2"/>
        <v>0.96587297131720895</v>
      </c>
      <c r="F21" s="258" t="str">
        <f t="shared" si="7"/>
        <v>C</v>
      </c>
      <c r="G21" s="258" t="str">
        <f t="shared" si="5"/>
        <v>C</v>
      </c>
      <c r="I21" s="255" t="s">
        <v>55</v>
      </c>
      <c r="J21" s="256">
        <f>'Юнит 05-11.01'!R20</f>
        <v>0</v>
      </c>
      <c r="K21" s="257">
        <f t="shared" si="6"/>
        <v>0</v>
      </c>
      <c r="L21" s="257">
        <f t="shared" si="3"/>
        <v>0.96296296296296269</v>
      </c>
      <c r="M21" s="258" t="str">
        <f t="shared" si="8"/>
        <v>C</v>
      </c>
      <c r="P21" s="263"/>
      <c r="Q21" s="257"/>
    </row>
    <row r="22" spans="2:17" ht="15" outlineLevel="1" thickBot="1">
      <c r="B22" s="255" t="s">
        <v>59</v>
      </c>
      <c r="C22" s="256">
        <f>'Юнит 05-11.01'!AE24</f>
        <v>0</v>
      </c>
      <c r="D22" s="257">
        <f t="shared" si="4"/>
        <v>0</v>
      </c>
      <c r="E22" s="257">
        <f t="shared" si="2"/>
        <v>0.96587297131720895</v>
      </c>
      <c r="F22" s="258" t="str">
        <f t="shared" si="7"/>
        <v>C</v>
      </c>
      <c r="G22" s="258" t="str">
        <f t="shared" si="5"/>
        <v>C</v>
      </c>
      <c r="I22" s="255" t="s">
        <v>56</v>
      </c>
      <c r="J22" s="256">
        <f>'Юнит 05-11.01'!R21</f>
        <v>0</v>
      </c>
      <c r="K22" s="257">
        <f t="shared" si="6"/>
        <v>0</v>
      </c>
      <c r="L22" s="257">
        <f t="shared" si="3"/>
        <v>0.96296296296296269</v>
      </c>
      <c r="M22" s="258" t="str">
        <f t="shared" si="8"/>
        <v>C</v>
      </c>
      <c r="P22" s="263"/>
      <c r="Q22" s="257"/>
    </row>
    <row r="23" spans="2:17" ht="15" outlineLevel="1" thickBot="1">
      <c r="B23" s="255" t="s">
        <v>42</v>
      </c>
      <c r="C23" s="256">
        <f>'Юнит 05-11.01'!AE7</f>
        <v>-11.197255000000037</v>
      </c>
      <c r="D23" s="257">
        <f t="shared" si="4"/>
        <v>-1.1050263398435256E-3</v>
      </c>
      <c r="E23" s="257">
        <f t="shared" si="2"/>
        <v>0.9647679449773654</v>
      </c>
      <c r="F23" s="258" t="str">
        <f t="shared" si="7"/>
        <v>C</v>
      </c>
      <c r="G23" s="258" t="str">
        <f t="shared" si="5"/>
        <v>B</v>
      </c>
      <c r="I23" s="255" t="s">
        <v>57</v>
      </c>
      <c r="J23" s="256">
        <f>'Юнит 05-11.01'!R22</f>
        <v>0</v>
      </c>
      <c r="K23" s="257">
        <f t="shared" si="6"/>
        <v>0</v>
      </c>
      <c r="L23" s="257">
        <f t="shared" si="3"/>
        <v>0.96296296296296269</v>
      </c>
      <c r="M23" s="258" t="str">
        <f t="shared" si="8"/>
        <v>C</v>
      </c>
      <c r="P23" s="263"/>
      <c r="Q23" s="257"/>
    </row>
    <row r="24" spans="2:17" ht="15" outlineLevel="1" thickBot="1">
      <c r="B24" s="255" t="s">
        <v>45</v>
      </c>
      <c r="C24" s="256">
        <f>'Юнит 05-11.01'!AE10</f>
        <v>-93.54</v>
      </c>
      <c r="D24" s="257">
        <f t="shared" si="4"/>
        <v>-9.2312056686181618E-3</v>
      </c>
      <c r="E24" s="257">
        <f t="shared" si="2"/>
        <v>0.95553673930874727</v>
      </c>
      <c r="F24" s="258" t="str">
        <f t="shared" si="7"/>
        <v>C</v>
      </c>
      <c r="G24" s="258" t="str">
        <f t="shared" si="5"/>
        <v>C</v>
      </c>
      <c r="I24" s="255" t="s">
        <v>58</v>
      </c>
      <c r="J24" s="256">
        <f>'Юнит 05-11.01'!R23</f>
        <v>0</v>
      </c>
      <c r="K24" s="257">
        <f t="shared" si="6"/>
        <v>0</v>
      </c>
      <c r="L24" s="257">
        <f t="shared" si="3"/>
        <v>0.96296296296296269</v>
      </c>
      <c r="M24" s="258" t="str">
        <f t="shared" si="8"/>
        <v>C</v>
      </c>
      <c r="P24" s="263"/>
      <c r="Q24" s="257"/>
    </row>
    <row r="25" spans="2:17" ht="15" outlineLevel="1" thickBot="1">
      <c r="B25" s="255" t="s">
        <v>44</v>
      </c>
      <c r="C25" s="256">
        <f>'Юнит 05-11.01'!AE9</f>
        <v>-190.88284999999999</v>
      </c>
      <c r="D25" s="257">
        <f t="shared" si="4"/>
        <v>-1.8837704158242357E-2</v>
      </c>
      <c r="E25" s="257">
        <f t="shared" si="2"/>
        <v>0.9366990351505049</v>
      </c>
      <c r="F25" s="258" t="str">
        <f t="shared" si="7"/>
        <v>B</v>
      </c>
      <c r="G25" s="258" t="str">
        <f t="shared" si="5"/>
        <v>B</v>
      </c>
      <c r="I25" s="255" t="s">
        <v>59</v>
      </c>
      <c r="J25" s="256">
        <f>'Юнит 05-11.01'!R24</f>
        <v>0</v>
      </c>
      <c r="K25" s="257">
        <f t="shared" si="6"/>
        <v>0</v>
      </c>
      <c r="L25" s="257">
        <f t="shared" si="3"/>
        <v>0.96296296296296269</v>
      </c>
      <c r="M25" s="258" t="str">
        <f t="shared" si="8"/>
        <v>C</v>
      </c>
      <c r="P25" s="263"/>
      <c r="Q25" s="257"/>
    </row>
    <row r="26" spans="2:17" outlineLevel="1">
      <c r="C26" s="264">
        <f>SUM(C4:C25)</f>
        <v>10133.02090300001</v>
      </c>
      <c r="D26" s="265">
        <f>SUM(D4:D25)</f>
        <v>0.99999999999999978</v>
      </c>
      <c r="J26" s="264">
        <f>SUM(J4:J25)</f>
        <v>54</v>
      </c>
      <c r="K26" s="265">
        <f>SUM(K4:K25)</f>
        <v>0.99999999999999967</v>
      </c>
    </row>
    <row r="27" spans="2:17" ht="15" thickBot="1"/>
    <row r="28" spans="2:17" ht="15" thickBot="1">
      <c r="B28" s="305" t="s">
        <v>339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1" t="s">
        <v>28</v>
      </c>
      <c r="D29" s="252" t="s">
        <v>330</v>
      </c>
      <c r="E29" s="253" t="s">
        <v>331</v>
      </c>
      <c r="F29" s="252" t="s">
        <v>332</v>
      </c>
      <c r="G29" s="252" t="s">
        <v>333</v>
      </c>
      <c r="J29" s="251" t="s">
        <v>334</v>
      </c>
      <c r="K29" s="252" t="s">
        <v>335</v>
      </c>
      <c r="L29" s="253" t="s">
        <v>331</v>
      </c>
      <c r="M29" s="254" t="s">
        <v>333</v>
      </c>
    </row>
    <row r="30" spans="2:17" ht="26.5" thickBot="1">
      <c r="B30" s="255" t="s">
        <v>75</v>
      </c>
      <c r="C30" s="256">
        <f>'Юнит 05-11.01'!AE42</f>
        <v>1422.8500000000001</v>
      </c>
      <c r="D30" s="257">
        <f>C30/C$50</f>
        <v>0.53163258770943445</v>
      </c>
      <c r="E30" s="257">
        <f>D30</f>
        <v>0.53163258770943445</v>
      </c>
      <c r="F30" s="258" t="str">
        <f t="shared" ref="F30:F36" si="9">IF(AND(E30&lt;=0),"C",IF(E30&lt;=0.8,"A",IF(E30&lt;=0.95,"B","C")))</f>
        <v>A</v>
      </c>
      <c r="G30" s="258" t="str">
        <f>VLOOKUP(B$30:B$50,I$30:M$50,5,0)</f>
        <v>A</v>
      </c>
      <c r="I30" s="255" t="s">
        <v>75</v>
      </c>
      <c r="J30" s="256">
        <f>'Юнит 05-11.01'!R42</f>
        <v>1</v>
      </c>
      <c r="K30" s="257">
        <f>J30/J$50</f>
        <v>0.5</v>
      </c>
      <c r="L30" s="257">
        <f>K30</f>
        <v>0.5</v>
      </c>
      <c r="M30" s="258" t="str">
        <f t="shared" ref="M30:M36" si="10">_xlfn.IFS(L30&lt;80%,"A",L30&lt;=95%,"B",L30&gt;95%,"C")</f>
        <v>A</v>
      </c>
    </row>
    <row r="31" spans="2:17" ht="26.5" thickBot="1">
      <c r="B31" s="255" t="s">
        <v>78</v>
      </c>
      <c r="C31" s="256">
        <f>'Юнит 05-11.01'!AE45</f>
        <v>1481.2884480000002</v>
      </c>
      <c r="D31" s="257">
        <f t="shared" ref="D31:D49" si="11">C31/C$50</f>
        <v>0.55346748480467511</v>
      </c>
      <c r="E31" s="257">
        <f>D31+E30</f>
        <v>1.0851000725141096</v>
      </c>
      <c r="F31" s="258" t="str">
        <f t="shared" si="9"/>
        <v>C</v>
      </c>
      <c r="G31" s="258" t="str">
        <f t="shared" ref="G31:G49" si="12">VLOOKUP(B$30:B$50,I$30:M$50,5,0)</f>
        <v>C</v>
      </c>
      <c r="I31" s="255" t="s">
        <v>78</v>
      </c>
      <c r="J31" s="256">
        <f>'Юнит 05-11.01'!R45</f>
        <v>1</v>
      </c>
      <c r="K31" s="257">
        <f t="shared" ref="K31:K49" si="13">J31/J$50</f>
        <v>0.5</v>
      </c>
      <c r="L31" s="257">
        <f>K31+L30</f>
        <v>1</v>
      </c>
      <c r="M31" s="258" t="str">
        <f t="shared" si="10"/>
        <v>C</v>
      </c>
    </row>
    <row r="32" spans="2:17" ht="26.5" thickBot="1">
      <c r="B32" s="255" t="s">
        <v>61</v>
      </c>
      <c r="C32" s="256">
        <f>'Юнит 05-11.01'!AE28</f>
        <v>0</v>
      </c>
      <c r="D32" s="257">
        <f t="shared" si="11"/>
        <v>0</v>
      </c>
      <c r="E32" s="257">
        <f t="shared" ref="E32:E49" si="14">D32+E31</f>
        <v>1.0851000725141096</v>
      </c>
      <c r="F32" s="258" t="str">
        <f t="shared" si="9"/>
        <v>C</v>
      </c>
      <c r="G32" s="258" t="str">
        <f t="shared" si="12"/>
        <v>C</v>
      </c>
      <c r="I32" s="255" t="s">
        <v>61</v>
      </c>
      <c r="J32" s="256">
        <f>'Юнит 05-11.01'!R28</f>
        <v>0</v>
      </c>
      <c r="K32" s="257">
        <f t="shared" si="13"/>
        <v>0</v>
      </c>
      <c r="L32" s="257">
        <f t="shared" ref="L32:L49" si="15">K32+L31</f>
        <v>1</v>
      </c>
      <c r="M32" s="258" t="str">
        <f t="shared" si="10"/>
        <v>C</v>
      </c>
    </row>
    <row r="33" spans="2:13" ht="26.5" thickBot="1">
      <c r="B33" s="255" t="s">
        <v>62</v>
      </c>
      <c r="C33" s="256">
        <f>'Юнит 05-11.01'!AE29</f>
        <v>0</v>
      </c>
      <c r="D33" s="257">
        <f t="shared" si="11"/>
        <v>0</v>
      </c>
      <c r="E33" s="257">
        <f t="shared" si="14"/>
        <v>1.0851000725141096</v>
      </c>
      <c r="F33" s="258" t="str">
        <f t="shared" si="9"/>
        <v>C</v>
      </c>
      <c r="G33" s="258" t="str">
        <f t="shared" si="12"/>
        <v>C</v>
      </c>
      <c r="I33" s="255" t="s">
        <v>62</v>
      </c>
      <c r="J33" s="256">
        <f>'Юнит 05-11.01'!R29</f>
        <v>0</v>
      </c>
      <c r="K33" s="257">
        <f t="shared" si="13"/>
        <v>0</v>
      </c>
      <c r="L33" s="257">
        <f t="shared" si="15"/>
        <v>1</v>
      </c>
      <c r="M33" s="258" t="str">
        <f t="shared" si="10"/>
        <v>C</v>
      </c>
    </row>
    <row r="34" spans="2:13" ht="26.5" thickBot="1">
      <c r="B34" s="255" t="s">
        <v>63</v>
      </c>
      <c r="C34" s="256">
        <f>'Юнит 05-11.01'!AE30</f>
        <v>0</v>
      </c>
      <c r="D34" s="257">
        <f t="shared" si="11"/>
        <v>0</v>
      </c>
      <c r="E34" s="257">
        <f t="shared" si="14"/>
        <v>1.0851000725141096</v>
      </c>
      <c r="F34" s="258" t="str">
        <f t="shared" si="9"/>
        <v>C</v>
      </c>
      <c r="G34" s="258" t="str">
        <f t="shared" si="12"/>
        <v>C</v>
      </c>
      <c r="I34" s="255" t="s">
        <v>63</v>
      </c>
      <c r="J34" s="256">
        <f>'Юнит 05-11.01'!R30</f>
        <v>0</v>
      </c>
      <c r="K34" s="257">
        <f t="shared" si="13"/>
        <v>0</v>
      </c>
      <c r="L34" s="257">
        <f t="shared" si="15"/>
        <v>1</v>
      </c>
      <c r="M34" s="258" t="str">
        <f t="shared" si="10"/>
        <v>C</v>
      </c>
    </row>
    <row r="35" spans="2:13" ht="15" thickBot="1">
      <c r="B35" s="255" t="s">
        <v>64</v>
      </c>
      <c r="C35" s="256">
        <f>'Юнит 05-11.01'!AE31</f>
        <v>0</v>
      </c>
      <c r="D35" s="257">
        <f t="shared" si="11"/>
        <v>0</v>
      </c>
      <c r="E35" s="257">
        <f t="shared" si="14"/>
        <v>1.0851000725141096</v>
      </c>
      <c r="F35" s="258" t="str">
        <f t="shared" si="9"/>
        <v>C</v>
      </c>
      <c r="G35" s="258" t="str">
        <f t="shared" si="12"/>
        <v>C</v>
      </c>
      <c r="I35" s="255" t="s">
        <v>64</v>
      </c>
      <c r="J35" s="256">
        <f>'Юнит 05-11.01'!R31</f>
        <v>0</v>
      </c>
      <c r="K35" s="257">
        <f t="shared" si="13"/>
        <v>0</v>
      </c>
      <c r="L35" s="257">
        <f t="shared" si="15"/>
        <v>1</v>
      </c>
      <c r="M35" s="258" t="str">
        <f t="shared" si="10"/>
        <v>C</v>
      </c>
    </row>
    <row r="36" spans="2:13" ht="15" thickBot="1">
      <c r="B36" s="255" t="s">
        <v>65</v>
      </c>
      <c r="C36" s="256">
        <f>'Юнит 05-11.01'!AE32</f>
        <v>0</v>
      </c>
      <c r="D36" s="257">
        <f t="shared" si="11"/>
        <v>0</v>
      </c>
      <c r="E36" s="257">
        <f t="shared" si="14"/>
        <v>1.0851000725141096</v>
      </c>
      <c r="F36" s="258" t="str">
        <f t="shared" si="9"/>
        <v>C</v>
      </c>
      <c r="G36" s="258" t="str">
        <f t="shared" si="12"/>
        <v>C</v>
      </c>
      <c r="I36" s="255" t="s">
        <v>65</v>
      </c>
      <c r="J36" s="256">
        <f>'Юнит 05-11.01'!R32</f>
        <v>0</v>
      </c>
      <c r="K36" s="257">
        <f t="shared" si="13"/>
        <v>0</v>
      </c>
      <c r="L36" s="257">
        <f t="shared" si="15"/>
        <v>1</v>
      </c>
      <c r="M36" s="258" t="str">
        <f t="shared" si="10"/>
        <v>C</v>
      </c>
    </row>
    <row r="37" spans="2:13" ht="15" thickBot="1">
      <c r="B37" s="255" t="s">
        <v>66</v>
      </c>
      <c r="C37" s="256">
        <f>'Юнит 05-11.01'!AE33</f>
        <v>0</v>
      </c>
      <c r="D37" s="257">
        <f t="shared" si="11"/>
        <v>0</v>
      </c>
      <c r="E37" s="257">
        <f t="shared" si="14"/>
        <v>1.0851000725141096</v>
      </c>
      <c r="F37" s="258" t="str">
        <f>IF(AND(E37&lt;=0),"C",IF(E37&lt;=0.8,"A",IF(E37&lt;=0.95,"B","C")))</f>
        <v>C</v>
      </c>
      <c r="G37" s="258" t="str">
        <f t="shared" si="12"/>
        <v>C</v>
      </c>
      <c r="I37" s="255" t="s">
        <v>66</v>
      </c>
      <c r="J37" s="256">
        <f>'Юнит 05-11.01'!R33</f>
        <v>0</v>
      </c>
      <c r="K37" s="257">
        <f t="shared" si="13"/>
        <v>0</v>
      </c>
      <c r="L37" s="257">
        <f t="shared" si="15"/>
        <v>1</v>
      </c>
      <c r="M37" s="258" t="str">
        <f>_xlfn.IFS(L37&lt;80%,"A",L37&lt;=95%,"B",L37&gt;95%,"C")</f>
        <v>C</v>
      </c>
    </row>
    <row r="38" spans="2:13" ht="15" thickBot="1">
      <c r="B38" s="255" t="s">
        <v>67</v>
      </c>
      <c r="C38" s="256">
        <f>'Юнит 05-11.01'!AE34</f>
        <v>0</v>
      </c>
      <c r="D38" s="257">
        <f t="shared" si="11"/>
        <v>0</v>
      </c>
      <c r="E38" s="257">
        <f t="shared" si="14"/>
        <v>1.0851000725141096</v>
      </c>
      <c r="F38" s="258" t="str">
        <f t="shared" ref="F38:F49" si="16">IF(AND(E38&lt;=0),"C",IF(E38&lt;=0.8,"A",IF(E38&lt;=0.95,"B","C")))</f>
        <v>C</v>
      </c>
      <c r="G38" s="258" t="str">
        <f t="shared" si="12"/>
        <v>C</v>
      </c>
      <c r="I38" s="255" t="s">
        <v>67</v>
      </c>
      <c r="J38" s="256">
        <f>'Юнит 05-11.01'!R34</f>
        <v>0</v>
      </c>
      <c r="K38" s="257">
        <f t="shared" si="13"/>
        <v>0</v>
      </c>
      <c r="L38" s="257">
        <f t="shared" si="15"/>
        <v>1</v>
      </c>
      <c r="M38" s="258" t="str">
        <f t="shared" ref="M38:M49" si="17">_xlfn.IFS(L38&lt;80%,"A",L38&lt;=95%,"B",L38&gt;95%,"C")</f>
        <v>C</v>
      </c>
    </row>
    <row r="39" spans="2:13" ht="15" thickBot="1">
      <c r="B39" s="255" t="s">
        <v>68</v>
      </c>
      <c r="C39" s="256">
        <f>'Юнит 05-11.01'!AE35</f>
        <v>0</v>
      </c>
      <c r="D39" s="257">
        <f t="shared" si="11"/>
        <v>0</v>
      </c>
      <c r="E39" s="257">
        <f t="shared" si="14"/>
        <v>1.0851000725141096</v>
      </c>
      <c r="F39" s="258" t="str">
        <f t="shared" si="16"/>
        <v>C</v>
      </c>
      <c r="G39" s="258" t="str">
        <f t="shared" si="12"/>
        <v>C</v>
      </c>
      <c r="I39" s="255" t="s">
        <v>68</v>
      </c>
      <c r="J39" s="256">
        <f>'Юнит 05-11.01'!R35</f>
        <v>0</v>
      </c>
      <c r="K39" s="257">
        <f t="shared" si="13"/>
        <v>0</v>
      </c>
      <c r="L39" s="257">
        <f t="shared" si="15"/>
        <v>1</v>
      </c>
      <c r="M39" s="258" t="str">
        <f t="shared" si="17"/>
        <v>C</v>
      </c>
    </row>
    <row r="40" spans="2:13" ht="15" thickBot="1">
      <c r="B40" s="255" t="s">
        <v>69</v>
      </c>
      <c r="C40" s="256">
        <f>'Юнит 05-11.01'!AE36</f>
        <v>0</v>
      </c>
      <c r="D40" s="257">
        <f t="shared" si="11"/>
        <v>0</v>
      </c>
      <c r="E40" s="257">
        <f t="shared" si="14"/>
        <v>1.0851000725141096</v>
      </c>
      <c r="F40" s="258" t="str">
        <f t="shared" si="16"/>
        <v>C</v>
      </c>
      <c r="G40" s="258" t="str">
        <f t="shared" si="12"/>
        <v>C</v>
      </c>
      <c r="I40" s="255" t="s">
        <v>69</v>
      </c>
      <c r="J40" s="256">
        <f>'Юнит 05-11.01'!R36</f>
        <v>0</v>
      </c>
      <c r="K40" s="257">
        <f t="shared" si="13"/>
        <v>0</v>
      </c>
      <c r="L40" s="257">
        <f t="shared" si="15"/>
        <v>1</v>
      </c>
      <c r="M40" s="258" t="str">
        <f t="shared" si="17"/>
        <v>C</v>
      </c>
    </row>
    <row r="41" spans="2:13" ht="15" thickBot="1">
      <c r="B41" s="255" t="s">
        <v>71</v>
      </c>
      <c r="C41" s="256">
        <f>'Юнит 05-11.01'!AE38</f>
        <v>0</v>
      </c>
      <c r="D41" s="257">
        <f t="shared" si="11"/>
        <v>0</v>
      </c>
      <c r="E41" s="257">
        <f t="shared" si="14"/>
        <v>1.0851000725141096</v>
      </c>
      <c r="F41" s="258" t="str">
        <f t="shared" si="16"/>
        <v>C</v>
      </c>
      <c r="G41" s="258" t="str">
        <f t="shared" si="12"/>
        <v>C</v>
      </c>
      <c r="I41" s="255" t="s">
        <v>70</v>
      </c>
      <c r="J41" s="256">
        <f>'Юнит 05-11.01'!R37</f>
        <v>0</v>
      </c>
      <c r="K41" s="257">
        <f t="shared" si="13"/>
        <v>0</v>
      </c>
      <c r="L41" s="257">
        <f t="shared" si="15"/>
        <v>1</v>
      </c>
      <c r="M41" s="258" t="str">
        <f t="shared" si="17"/>
        <v>C</v>
      </c>
    </row>
    <row r="42" spans="2:13" ht="26.5" thickBot="1">
      <c r="B42" s="255" t="s">
        <v>72</v>
      </c>
      <c r="C42" s="256">
        <f>'Юнит 05-11.01'!AE39</f>
        <v>0</v>
      </c>
      <c r="D42" s="257">
        <f t="shared" si="11"/>
        <v>0</v>
      </c>
      <c r="E42" s="257">
        <f t="shared" si="14"/>
        <v>1.0851000725141096</v>
      </c>
      <c r="F42" s="258" t="str">
        <f t="shared" si="16"/>
        <v>C</v>
      </c>
      <c r="G42" s="258" t="str">
        <f t="shared" si="12"/>
        <v>C</v>
      </c>
      <c r="I42" s="255" t="s">
        <v>71</v>
      </c>
      <c r="J42" s="256">
        <f>'Юнит 05-11.01'!R38</f>
        <v>0</v>
      </c>
      <c r="K42" s="257">
        <f t="shared" si="13"/>
        <v>0</v>
      </c>
      <c r="L42" s="257">
        <f t="shared" si="15"/>
        <v>1</v>
      </c>
      <c r="M42" s="258" t="str">
        <f t="shared" si="17"/>
        <v>C</v>
      </c>
    </row>
    <row r="43" spans="2:13" ht="26.5" thickBot="1">
      <c r="B43" s="255" t="s">
        <v>73</v>
      </c>
      <c r="C43" s="256">
        <f>'Юнит 05-11.01'!AE40</f>
        <v>0</v>
      </c>
      <c r="D43" s="257">
        <f t="shared" si="11"/>
        <v>0</v>
      </c>
      <c r="E43" s="257">
        <f t="shared" si="14"/>
        <v>1.0851000725141096</v>
      </c>
      <c r="F43" s="258" t="str">
        <f t="shared" si="16"/>
        <v>C</v>
      </c>
      <c r="G43" s="258" t="str">
        <f t="shared" si="12"/>
        <v>C</v>
      </c>
      <c r="I43" s="255" t="s">
        <v>72</v>
      </c>
      <c r="J43" s="256">
        <f>'Юнит 05-11.01'!R39</f>
        <v>0</v>
      </c>
      <c r="K43" s="257">
        <f t="shared" si="13"/>
        <v>0</v>
      </c>
      <c r="L43" s="257">
        <f t="shared" si="15"/>
        <v>1</v>
      </c>
      <c r="M43" s="258" t="str">
        <f t="shared" si="17"/>
        <v>C</v>
      </c>
    </row>
    <row r="44" spans="2:13" ht="26.5" thickBot="1">
      <c r="B44" s="255" t="s">
        <v>74</v>
      </c>
      <c r="C44" s="256">
        <f>'Юнит 05-11.01'!AE41</f>
        <v>0</v>
      </c>
      <c r="D44" s="257">
        <f t="shared" si="11"/>
        <v>0</v>
      </c>
      <c r="E44" s="257">
        <f t="shared" si="14"/>
        <v>1.0851000725141096</v>
      </c>
      <c r="F44" s="258" t="str">
        <f t="shared" si="16"/>
        <v>C</v>
      </c>
      <c r="G44" s="258" t="str">
        <f t="shared" si="12"/>
        <v>C</v>
      </c>
      <c r="I44" s="255" t="s">
        <v>73</v>
      </c>
      <c r="J44" s="256">
        <f>'Юнит 05-11.01'!R40</f>
        <v>0</v>
      </c>
      <c r="K44" s="257">
        <f t="shared" si="13"/>
        <v>0</v>
      </c>
      <c r="L44" s="257">
        <f t="shared" si="15"/>
        <v>1</v>
      </c>
      <c r="M44" s="258" t="str">
        <f t="shared" si="17"/>
        <v>C</v>
      </c>
    </row>
    <row r="45" spans="2:13" ht="26.5" thickBot="1">
      <c r="B45" s="255" t="s">
        <v>76</v>
      </c>
      <c r="C45" s="256">
        <f>'Юнит 05-11.01'!AE43</f>
        <v>0</v>
      </c>
      <c r="D45" s="257">
        <f t="shared" si="11"/>
        <v>0</v>
      </c>
      <c r="E45" s="257">
        <f t="shared" si="14"/>
        <v>1.0851000725141096</v>
      </c>
      <c r="F45" s="258" t="str">
        <f t="shared" si="16"/>
        <v>C</v>
      </c>
      <c r="G45" s="258" t="str">
        <f t="shared" si="12"/>
        <v>C</v>
      </c>
      <c r="I45" s="255" t="s">
        <v>74</v>
      </c>
      <c r="J45" s="256">
        <f>'Юнит 05-11.01'!R41</f>
        <v>0</v>
      </c>
      <c r="K45" s="257">
        <f t="shared" si="13"/>
        <v>0</v>
      </c>
      <c r="L45" s="257">
        <f t="shared" si="15"/>
        <v>1</v>
      </c>
      <c r="M45" s="258" t="str">
        <f t="shared" si="17"/>
        <v>C</v>
      </c>
    </row>
    <row r="46" spans="2:13" ht="26.5" thickBot="1">
      <c r="B46" s="255" t="s">
        <v>77</v>
      </c>
      <c r="C46" s="256">
        <f>'Юнит 05-11.01'!AE44</f>
        <v>0</v>
      </c>
      <c r="D46" s="257">
        <f t="shared" si="11"/>
        <v>0</v>
      </c>
      <c r="E46" s="257">
        <f t="shared" si="14"/>
        <v>1.0851000725141096</v>
      </c>
      <c r="F46" s="258" t="str">
        <f t="shared" si="16"/>
        <v>C</v>
      </c>
      <c r="G46" s="258" t="str">
        <f t="shared" si="12"/>
        <v>C</v>
      </c>
      <c r="I46" s="255" t="s">
        <v>76</v>
      </c>
      <c r="J46" s="256">
        <f>'Юнит 05-11.01'!R43</f>
        <v>0</v>
      </c>
      <c r="K46" s="257">
        <f t="shared" si="13"/>
        <v>0</v>
      </c>
      <c r="L46" s="257">
        <f t="shared" si="15"/>
        <v>1</v>
      </c>
      <c r="M46" s="258" t="str">
        <f t="shared" si="17"/>
        <v>C</v>
      </c>
    </row>
    <row r="47" spans="2:13" ht="26.5" thickBot="1">
      <c r="B47" s="255" t="s">
        <v>80</v>
      </c>
      <c r="C47" s="256">
        <f>'Юнит 05-11.01'!AE47</f>
        <v>0</v>
      </c>
      <c r="D47" s="257">
        <f t="shared" si="11"/>
        <v>0</v>
      </c>
      <c r="E47" s="257">
        <f t="shared" si="14"/>
        <v>1.0851000725141096</v>
      </c>
      <c r="F47" s="258" t="str">
        <f t="shared" si="16"/>
        <v>C</v>
      </c>
      <c r="G47" s="258" t="str">
        <f t="shared" si="12"/>
        <v>C</v>
      </c>
      <c r="I47" s="255" t="s">
        <v>77</v>
      </c>
      <c r="J47" s="256">
        <f>'Юнит 05-11.01'!R44</f>
        <v>0</v>
      </c>
      <c r="K47" s="257">
        <f t="shared" si="13"/>
        <v>0</v>
      </c>
      <c r="L47" s="257">
        <f t="shared" si="15"/>
        <v>1</v>
      </c>
      <c r="M47" s="258" t="str">
        <f t="shared" si="17"/>
        <v>C</v>
      </c>
    </row>
    <row r="48" spans="2:13" ht="15" thickBot="1">
      <c r="B48" s="255" t="s">
        <v>70</v>
      </c>
      <c r="C48" s="256">
        <f>'Юнит 05-11.01'!AE37</f>
        <v>-113.88</v>
      </c>
      <c r="D48" s="257">
        <f t="shared" si="11"/>
        <v>-4.2550036257054773E-2</v>
      </c>
      <c r="E48" s="257">
        <f t="shared" si="14"/>
        <v>1.0425500362570548</v>
      </c>
      <c r="F48" s="258" t="str">
        <f t="shared" si="16"/>
        <v>C</v>
      </c>
      <c r="G48" s="258" t="str">
        <f t="shared" si="12"/>
        <v>C</v>
      </c>
      <c r="I48" s="255" t="s">
        <v>79</v>
      </c>
      <c r="J48" s="256">
        <f>'Юнит 05-11.01'!R46</f>
        <v>0</v>
      </c>
      <c r="K48" s="257">
        <f t="shared" si="13"/>
        <v>0</v>
      </c>
      <c r="L48" s="257">
        <f t="shared" si="15"/>
        <v>1</v>
      </c>
      <c r="M48" s="258" t="str">
        <f t="shared" si="17"/>
        <v>C</v>
      </c>
    </row>
    <row r="49" spans="2:13" ht="26.5" thickBot="1">
      <c r="B49" s="255" t="s">
        <v>79</v>
      </c>
      <c r="C49" s="256">
        <f>'Юнит 05-11.01'!AE46</f>
        <v>-113.88</v>
      </c>
      <c r="D49" s="257">
        <f t="shared" si="11"/>
        <v>-4.2550036257054773E-2</v>
      </c>
      <c r="E49" s="257">
        <f t="shared" si="14"/>
        <v>1</v>
      </c>
      <c r="F49" s="258" t="str">
        <f t="shared" si="16"/>
        <v>C</v>
      </c>
      <c r="G49" s="258" t="str">
        <f t="shared" si="12"/>
        <v>C</v>
      </c>
      <c r="I49" s="255" t="s">
        <v>80</v>
      </c>
      <c r="J49" s="256">
        <f>'Юнит 05-11.01'!R47</f>
        <v>0</v>
      </c>
      <c r="K49" s="257">
        <f t="shared" si="13"/>
        <v>0</v>
      </c>
      <c r="L49" s="257">
        <f t="shared" si="15"/>
        <v>1</v>
      </c>
      <c r="M49" s="258" t="str">
        <f t="shared" si="17"/>
        <v>C</v>
      </c>
    </row>
    <row r="50" spans="2:13">
      <c r="C50" s="264">
        <f>SUM(C30:C49)</f>
        <v>2676.3784480000004</v>
      </c>
      <c r="D50" s="265">
        <f>SUM(D30:D49)</f>
        <v>1</v>
      </c>
      <c r="J50" s="264">
        <f>SUM(J30:J49)</f>
        <v>2</v>
      </c>
      <c r="K50" s="265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09" priority="4" operator="equal">
      <formula>"C"</formula>
    </cfRule>
    <cfRule type="cellIs" dxfId="108" priority="5" operator="equal">
      <formula>"B"</formula>
    </cfRule>
    <cfRule type="cellIs" dxfId="107" priority="6" operator="equal">
      <formula>"A"</formula>
    </cfRule>
  </conditionalFormatting>
  <conditionalFormatting sqref="M30:M49 D30:D49 K30:K49 F30:G49">
    <cfRule type="cellIs" dxfId="106" priority="1" operator="equal">
      <formula>"C"</formula>
    </cfRule>
    <cfRule type="cellIs" dxfId="105" priority="2" operator="equal">
      <formula>"B"</formula>
    </cfRule>
    <cfRule type="cellIs" dxfId="104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02" t="s">
        <v>329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2:17" ht="28.5" customHeight="1" outlineLevel="1" thickBot="1">
      <c r="C3" s="251" t="s">
        <v>28</v>
      </c>
      <c r="D3" s="252" t="s">
        <v>330</v>
      </c>
      <c r="E3" s="253" t="s">
        <v>331</v>
      </c>
      <c r="F3" s="252" t="s">
        <v>332</v>
      </c>
      <c r="G3" s="252" t="s">
        <v>333</v>
      </c>
      <c r="J3" s="251" t="s">
        <v>334</v>
      </c>
      <c r="K3" s="252" t="s">
        <v>335</v>
      </c>
      <c r="L3" s="253" t="s">
        <v>331</v>
      </c>
      <c r="M3" s="254" t="s">
        <v>333</v>
      </c>
    </row>
    <row r="4" spans="2:17" ht="28.5" customHeight="1" outlineLevel="1" thickBot="1">
      <c r="B4" s="255" t="s">
        <v>41</v>
      </c>
      <c r="C4" s="256">
        <f>'Юнит 01-04.01'!AE6</f>
        <v>2714.1158299999993</v>
      </c>
      <c r="D4" s="257">
        <f>C4/C$26</f>
        <v>0.52947686173780506</v>
      </c>
      <c r="E4" s="257">
        <f>D4</f>
        <v>0.52947686173780506</v>
      </c>
      <c r="F4" s="258" t="str">
        <f t="shared" ref="F4:F12" si="0">IF(AND(E4&lt;=0),"C",IF(E4&lt;=0.8,"A",IF(E4&lt;=0.95,"B","C")))</f>
        <v>A</v>
      </c>
      <c r="G4" s="258" t="str">
        <f>VLOOKUP(B$4:B$25,I$4:M$25,5,0)</f>
        <v>B</v>
      </c>
      <c r="I4" s="255" t="s">
        <v>38</v>
      </c>
      <c r="J4" s="256">
        <f>'Юнит 01-04.01'!R3</f>
        <v>14</v>
      </c>
      <c r="K4" s="257">
        <f>J4/J$26</f>
        <v>0.5</v>
      </c>
      <c r="L4" s="257">
        <f>K4</f>
        <v>0.5</v>
      </c>
      <c r="M4" s="258" t="str">
        <f t="shared" ref="M4:M12" si="1">_xlfn.IFS(L4&lt;80%,"A",L4&lt;=95%,"B",L4&gt;95%,"C")</f>
        <v>A</v>
      </c>
    </row>
    <row r="5" spans="2:17" ht="28.5" customHeight="1" outlineLevel="1" thickBot="1">
      <c r="B5" s="255" t="s">
        <v>55</v>
      </c>
      <c r="C5" s="256">
        <f>'Юнит 01-04.01'!AE20</f>
        <v>1644.69</v>
      </c>
      <c r="D5" s="257">
        <f>C5/C$26</f>
        <v>0.32085045527756673</v>
      </c>
      <c r="E5" s="257">
        <f>D5+E4</f>
        <v>0.85032731701537179</v>
      </c>
      <c r="F5" s="258" t="str">
        <f t="shared" si="0"/>
        <v>B</v>
      </c>
      <c r="G5" s="258" t="str">
        <f>VLOOKUP(B$4:B$25,I$4:M$25,5,0)</f>
        <v>C</v>
      </c>
      <c r="I5" s="255" t="s">
        <v>41</v>
      </c>
      <c r="J5" s="256">
        <f>'Юнит 01-04.01'!R6</f>
        <v>10</v>
      </c>
      <c r="K5" s="257">
        <f>J5/J$26</f>
        <v>0.35714285714285715</v>
      </c>
      <c r="L5" s="257">
        <f>K5+L4</f>
        <v>0.85714285714285721</v>
      </c>
      <c r="M5" s="258" t="str">
        <f t="shared" si="1"/>
        <v>B</v>
      </c>
    </row>
    <row r="6" spans="2:17" ht="28.5" customHeight="1" outlineLevel="1" thickBot="1">
      <c r="B6" s="255" t="s">
        <v>42</v>
      </c>
      <c r="C6" s="256">
        <f>'Юнит 01-04.01'!AE7</f>
        <v>576.14</v>
      </c>
      <c r="D6" s="257">
        <f>C6/C$26</f>
        <v>0.11239490803958029</v>
      </c>
      <c r="E6" s="257">
        <f t="shared" ref="E6:E25" si="2">D6+E5</f>
        <v>0.96272222505495209</v>
      </c>
      <c r="F6" s="258" t="str">
        <f t="shared" si="0"/>
        <v>C</v>
      </c>
      <c r="G6" s="258" t="str">
        <f>VLOOKUP(B$4:B$25,I$4:M$25,5,0)</f>
        <v>C</v>
      </c>
      <c r="I6" s="255" t="s">
        <v>39</v>
      </c>
      <c r="J6" s="256">
        <f>'Юнит 01-04.01'!R4</f>
        <v>1</v>
      </c>
      <c r="K6" s="257">
        <f>J6/J$26</f>
        <v>3.5714285714285712E-2</v>
      </c>
      <c r="L6" s="257">
        <f t="shared" ref="L6:L25" si="3">K6+L5</f>
        <v>0.8928571428571429</v>
      </c>
      <c r="M6" s="258" t="str">
        <f t="shared" si="1"/>
        <v>B</v>
      </c>
    </row>
    <row r="7" spans="2:17" ht="28.5" customHeight="1" outlineLevel="1" thickBot="1">
      <c r="B7" s="255" t="s">
        <v>40</v>
      </c>
      <c r="C7" s="256">
        <f>'Юнит 01-04.01'!AE5</f>
        <v>458.39000000000004</v>
      </c>
      <c r="D7" s="257">
        <f>C7/C$26</f>
        <v>8.9423928031838115E-2</v>
      </c>
      <c r="E7" s="257">
        <f t="shared" si="2"/>
        <v>1.0521461530867902</v>
      </c>
      <c r="F7" s="258" t="str">
        <f t="shared" si="0"/>
        <v>C</v>
      </c>
      <c r="G7" s="258" t="str">
        <f>VLOOKUP(B$4:B$25,I$4:M$25,5,0)</f>
        <v>B</v>
      </c>
      <c r="I7" s="255" t="s">
        <v>40</v>
      </c>
      <c r="J7" s="256">
        <f>'Юнит 01-04.01'!R5</f>
        <v>1</v>
      </c>
      <c r="K7" s="257">
        <f>J7/J$26</f>
        <v>3.5714285714285712E-2</v>
      </c>
      <c r="L7" s="257">
        <f t="shared" si="3"/>
        <v>0.9285714285714286</v>
      </c>
      <c r="M7" s="258" t="str">
        <f t="shared" si="1"/>
        <v>B</v>
      </c>
    </row>
    <row r="8" spans="2:17" ht="28.5" customHeight="1" outlineLevel="1" thickBot="1">
      <c r="B8" s="255" t="s">
        <v>39</v>
      </c>
      <c r="C8" s="256">
        <f>'Юнит 01-04.01'!AE4</f>
        <v>448.21000000000009</v>
      </c>
      <c r="D8" s="257">
        <f>C8/C$26</f>
        <v>8.7437986830319517E-2</v>
      </c>
      <c r="E8" s="257">
        <f t="shared" si="2"/>
        <v>1.1395841399171096</v>
      </c>
      <c r="F8" s="258" t="str">
        <f t="shared" si="0"/>
        <v>C</v>
      </c>
      <c r="G8" s="258" t="str">
        <f>VLOOKUP(B$4:B$25,I$4:M$25,5,0)</f>
        <v>B</v>
      </c>
      <c r="I8" s="255" t="s">
        <v>42</v>
      </c>
      <c r="J8" s="256">
        <f>'Юнит 01-04.01'!R7</f>
        <v>1</v>
      </c>
      <c r="K8" s="257">
        <f>J8/J$26</f>
        <v>3.5714285714285712E-2</v>
      </c>
      <c r="L8" s="257">
        <f t="shared" si="3"/>
        <v>0.9642857142857143</v>
      </c>
      <c r="M8" s="258" t="str">
        <f t="shared" si="1"/>
        <v>C</v>
      </c>
    </row>
    <row r="9" spans="2:17" ht="28.5" customHeight="1" outlineLevel="1" thickBot="1">
      <c r="B9" s="255" t="s">
        <v>43</v>
      </c>
      <c r="C9" s="256">
        <f>'Юнит 01-04.01'!AE8</f>
        <v>0</v>
      </c>
      <c r="D9" s="257">
        <f t="shared" ref="D9:D25" si="4">C9/C$26</f>
        <v>0</v>
      </c>
      <c r="E9" s="257">
        <f t="shared" si="2"/>
        <v>1.1395841399171096</v>
      </c>
      <c r="F9" s="258" t="str">
        <f t="shared" si="0"/>
        <v>C</v>
      </c>
      <c r="G9" s="258" t="str">
        <f t="shared" ref="G9:G25" si="5">VLOOKUP(B$4:B$25,I$4:M$25,5,0)</f>
        <v>C</v>
      </c>
      <c r="I9" s="255" t="s">
        <v>55</v>
      </c>
      <c r="J9" s="256">
        <f>'Юнит 01-04.01'!R20</f>
        <v>1</v>
      </c>
      <c r="K9" s="257">
        <f t="shared" ref="K9:K25" si="6">J9/J$26</f>
        <v>3.5714285714285712E-2</v>
      </c>
      <c r="L9" s="257">
        <f t="shared" si="3"/>
        <v>1</v>
      </c>
      <c r="M9" s="258" t="str">
        <f t="shared" si="1"/>
        <v>C</v>
      </c>
    </row>
    <row r="10" spans="2:17" ht="28.5" customHeight="1" outlineLevel="1" thickBot="1">
      <c r="B10" s="255" t="s">
        <v>45</v>
      </c>
      <c r="C10" s="256">
        <f>'Юнит 01-04.01'!AE10</f>
        <v>0</v>
      </c>
      <c r="D10" s="257">
        <f t="shared" si="4"/>
        <v>0</v>
      </c>
      <c r="E10" s="257">
        <f t="shared" si="2"/>
        <v>1.1395841399171096</v>
      </c>
      <c r="F10" s="258" t="str">
        <f t="shared" si="0"/>
        <v>C</v>
      </c>
      <c r="G10" s="258" t="str">
        <f t="shared" si="5"/>
        <v>C</v>
      </c>
      <c r="I10" s="255" t="s">
        <v>43</v>
      </c>
      <c r="J10" s="256">
        <f>'Юнит 01-04.01'!R8</f>
        <v>0</v>
      </c>
      <c r="K10" s="257">
        <f t="shared" si="6"/>
        <v>0</v>
      </c>
      <c r="L10" s="257">
        <f t="shared" si="3"/>
        <v>1</v>
      </c>
      <c r="M10" s="258" t="str">
        <f t="shared" si="1"/>
        <v>C</v>
      </c>
    </row>
    <row r="11" spans="2:17" ht="28.5" customHeight="1" outlineLevel="1" thickBot="1">
      <c r="B11" s="255" t="s">
        <v>46</v>
      </c>
      <c r="C11" s="256">
        <f>'Юнит 01-04.01'!AE11</f>
        <v>0</v>
      </c>
      <c r="D11" s="257">
        <f t="shared" si="4"/>
        <v>0</v>
      </c>
      <c r="E11" s="257">
        <f>D11+E8</f>
        <v>1.1395841399171096</v>
      </c>
      <c r="F11" s="258" t="str">
        <f t="shared" si="0"/>
        <v>C</v>
      </c>
      <c r="G11" s="258" t="str">
        <f t="shared" si="5"/>
        <v>C</v>
      </c>
      <c r="I11" s="255" t="s">
        <v>44</v>
      </c>
      <c r="J11" s="256">
        <f>'Юнит 01-04.01'!R9</f>
        <v>0</v>
      </c>
      <c r="K11" s="257">
        <f t="shared" si="6"/>
        <v>0</v>
      </c>
      <c r="L11" s="257">
        <f>K11+L8</f>
        <v>0.9642857142857143</v>
      </c>
      <c r="M11" s="258" t="str">
        <f t="shared" si="1"/>
        <v>C</v>
      </c>
    </row>
    <row r="12" spans="2:17" ht="28.5" customHeight="1" outlineLevel="1" thickBot="1">
      <c r="B12" s="255" t="s">
        <v>47</v>
      </c>
      <c r="C12" s="256">
        <f>'Юнит 01-04.01'!AE12</f>
        <v>0</v>
      </c>
      <c r="D12" s="257">
        <f t="shared" si="4"/>
        <v>0</v>
      </c>
      <c r="E12" s="257">
        <f t="shared" si="2"/>
        <v>1.1395841399171096</v>
      </c>
      <c r="F12" s="258" t="str">
        <f t="shared" si="0"/>
        <v>C</v>
      </c>
      <c r="G12" s="258" t="str">
        <f t="shared" si="5"/>
        <v>C</v>
      </c>
      <c r="I12" s="255" t="s">
        <v>45</v>
      </c>
      <c r="J12" s="256">
        <f>'Юнит 01-04.01'!R10</f>
        <v>0</v>
      </c>
      <c r="K12" s="257">
        <f t="shared" si="6"/>
        <v>0</v>
      </c>
      <c r="L12" s="257">
        <f t="shared" si="3"/>
        <v>0.9642857142857143</v>
      </c>
      <c r="M12" s="258" t="str">
        <f t="shared" si="1"/>
        <v>C</v>
      </c>
    </row>
    <row r="13" spans="2:17" ht="15" outlineLevel="1" thickBot="1">
      <c r="B13" s="255" t="s">
        <v>49</v>
      </c>
      <c r="C13" s="256">
        <f>'Юнит 01-04.01'!AE14</f>
        <v>0</v>
      </c>
      <c r="D13" s="257">
        <f t="shared" si="4"/>
        <v>0</v>
      </c>
      <c r="E13" s="257">
        <f t="shared" si="2"/>
        <v>1.1395841399171096</v>
      </c>
      <c r="F13" s="258" t="str">
        <f>IF(AND(E13&lt;=0),"C",IF(E13&lt;=0.8,"A",IF(E13&lt;=0.95,"B","C")))</f>
        <v>C</v>
      </c>
      <c r="G13" s="258" t="str">
        <f t="shared" si="5"/>
        <v>C</v>
      </c>
      <c r="I13" s="255" t="s">
        <v>46</v>
      </c>
      <c r="J13" s="256">
        <f>'Юнит 01-04.01'!R11</f>
        <v>0</v>
      </c>
      <c r="K13" s="257">
        <f t="shared" si="6"/>
        <v>0</v>
      </c>
      <c r="L13" s="257">
        <f t="shared" si="3"/>
        <v>0.9642857142857143</v>
      </c>
      <c r="M13" s="258" t="str">
        <f>_xlfn.IFS(L13&lt;80%,"A",L13&lt;=95%,"B",L13&gt;95%,"C")</f>
        <v>C</v>
      </c>
      <c r="P13" s="259" t="s">
        <v>336</v>
      </c>
      <c r="Q13" s="260">
        <v>0.8</v>
      </c>
    </row>
    <row r="14" spans="2:17" ht="15" outlineLevel="1" thickBot="1">
      <c r="B14" s="255" t="s">
        <v>51</v>
      </c>
      <c r="C14" s="256">
        <f>'Юнит 01-04.01'!AE16</f>
        <v>0</v>
      </c>
      <c r="D14" s="257">
        <f t="shared" si="4"/>
        <v>0</v>
      </c>
      <c r="E14" s="257">
        <f t="shared" si="2"/>
        <v>1.1395841399171096</v>
      </c>
      <c r="F14" s="258" t="str">
        <f t="shared" ref="F14:F25" si="7">IF(AND(E14&lt;=0),"C",IF(E14&lt;=0.8,"A",IF(E14&lt;=0.95,"B","C")))</f>
        <v>C</v>
      </c>
      <c r="G14" s="258" t="str">
        <f t="shared" si="5"/>
        <v>C</v>
      </c>
      <c r="I14" s="255" t="s">
        <v>47</v>
      </c>
      <c r="J14" s="256">
        <f>'Юнит 01-04.01'!R12</f>
        <v>0</v>
      </c>
      <c r="K14" s="257">
        <f t="shared" si="6"/>
        <v>0</v>
      </c>
      <c r="L14" s="257">
        <f t="shared" si="3"/>
        <v>0.9642857142857143</v>
      </c>
      <c r="M14" s="258" t="str">
        <f t="shared" ref="M14:M25" si="8">_xlfn.IFS(L14&lt;80%,"A",L14&lt;=95%,"B",L14&gt;95%,"C")</f>
        <v>C</v>
      </c>
      <c r="P14" s="261" t="s">
        <v>337</v>
      </c>
      <c r="Q14" s="260">
        <v>0.15</v>
      </c>
    </row>
    <row r="15" spans="2:17" ht="15" outlineLevel="1" thickBot="1">
      <c r="B15" s="255" t="s">
        <v>52</v>
      </c>
      <c r="C15" s="256">
        <f>'Юнит 01-04.01'!AE17</f>
        <v>0</v>
      </c>
      <c r="D15" s="257">
        <f t="shared" si="4"/>
        <v>0</v>
      </c>
      <c r="E15" s="257">
        <f t="shared" si="2"/>
        <v>1.1395841399171096</v>
      </c>
      <c r="F15" s="258" t="str">
        <f t="shared" si="7"/>
        <v>C</v>
      </c>
      <c r="G15" s="258" t="str">
        <f t="shared" si="5"/>
        <v>C</v>
      </c>
      <c r="I15" s="255" t="s">
        <v>48</v>
      </c>
      <c r="J15" s="256">
        <f>'Юнит 01-04.01'!R13</f>
        <v>0</v>
      </c>
      <c r="K15" s="257">
        <f t="shared" si="6"/>
        <v>0</v>
      </c>
      <c r="L15" s="257">
        <f t="shared" si="3"/>
        <v>0.9642857142857143</v>
      </c>
      <c r="M15" s="258" t="str">
        <f t="shared" si="8"/>
        <v>C</v>
      </c>
      <c r="P15" s="262" t="s">
        <v>338</v>
      </c>
      <c r="Q15" s="260">
        <v>0.05</v>
      </c>
    </row>
    <row r="16" spans="2:17" ht="15" outlineLevel="1" thickBot="1">
      <c r="B16" s="255" t="s">
        <v>53</v>
      </c>
      <c r="C16" s="256">
        <f>'Юнит 01-04.01'!AE18</f>
        <v>0</v>
      </c>
      <c r="D16" s="257">
        <f t="shared" si="4"/>
        <v>0</v>
      </c>
      <c r="E16" s="257">
        <f t="shared" si="2"/>
        <v>1.1395841399171096</v>
      </c>
      <c r="F16" s="258" t="str">
        <f t="shared" si="7"/>
        <v>C</v>
      </c>
      <c r="G16" s="258" t="str">
        <f t="shared" si="5"/>
        <v>C</v>
      </c>
      <c r="I16" s="255" t="s">
        <v>49</v>
      </c>
      <c r="J16" s="256">
        <f>'Юнит 01-04.01'!R14</f>
        <v>0</v>
      </c>
      <c r="K16" s="257">
        <f t="shared" si="6"/>
        <v>0</v>
      </c>
      <c r="L16" s="257">
        <f t="shared" si="3"/>
        <v>0.9642857142857143</v>
      </c>
      <c r="M16" s="258" t="str">
        <f t="shared" si="8"/>
        <v>C</v>
      </c>
      <c r="P16" s="263"/>
      <c r="Q16" s="257"/>
    </row>
    <row r="17" spans="2:17" ht="26.5" outlineLevel="1" thickBot="1">
      <c r="B17" s="255" t="s">
        <v>54</v>
      </c>
      <c r="C17" s="256">
        <f>'Юнит 01-04.01'!AE19</f>
        <v>0</v>
      </c>
      <c r="D17" s="257">
        <f t="shared" si="4"/>
        <v>0</v>
      </c>
      <c r="E17" s="257">
        <f t="shared" si="2"/>
        <v>1.1395841399171096</v>
      </c>
      <c r="F17" s="258" t="str">
        <f t="shared" si="7"/>
        <v>C</v>
      </c>
      <c r="G17" s="258" t="str">
        <f t="shared" si="5"/>
        <v>C</v>
      </c>
      <c r="I17" s="255" t="s">
        <v>50</v>
      </c>
      <c r="J17" s="256">
        <f>'Юнит 01-04.01'!R15</f>
        <v>0</v>
      </c>
      <c r="K17" s="257">
        <f t="shared" si="6"/>
        <v>0</v>
      </c>
      <c r="L17" s="257">
        <f t="shared" si="3"/>
        <v>0.9642857142857143</v>
      </c>
      <c r="M17" s="258" t="str">
        <f t="shared" si="8"/>
        <v>C</v>
      </c>
      <c r="P17" s="263"/>
      <c r="Q17" s="257"/>
    </row>
    <row r="18" spans="2:17" ht="15" outlineLevel="1" thickBot="1">
      <c r="B18" s="255" t="s">
        <v>56</v>
      </c>
      <c r="C18" s="256">
        <f>'Юнит 01-04.01'!AE21</f>
        <v>0</v>
      </c>
      <c r="D18" s="257">
        <f t="shared" si="4"/>
        <v>0</v>
      </c>
      <c r="E18" s="257">
        <f t="shared" si="2"/>
        <v>1.1395841399171096</v>
      </c>
      <c r="F18" s="258" t="str">
        <f t="shared" si="7"/>
        <v>C</v>
      </c>
      <c r="G18" s="258" t="str">
        <f t="shared" si="5"/>
        <v>C</v>
      </c>
      <c r="I18" s="255" t="s">
        <v>51</v>
      </c>
      <c r="J18" s="256">
        <f>'Юнит 01-04.01'!R16</f>
        <v>0</v>
      </c>
      <c r="K18" s="257">
        <f t="shared" si="6"/>
        <v>0</v>
      </c>
      <c r="L18" s="257">
        <f t="shared" si="3"/>
        <v>0.9642857142857143</v>
      </c>
      <c r="M18" s="258" t="str">
        <f t="shared" si="8"/>
        <v>C</v>
      </c>
      <c r="P18" s="263"/>
      <c r="Q18" s="257"/>
    </row>
    <row r="19" spans="2:17" ht="15" outlineLevel="1" thickBot="1">
      <c r="B19" s="255" t="s">
        <v>57</v>
      </c>
      <c r="C19" s="256">
        <f>'Юнит 01-04.01'!AE22</f>
        <v>0</v>
      </c>
      <c r="D19" s="257">
        <f t="shared" si="4"/>
        <v>0</v>
      </c>
      <c r="E19" s="257">
        <f t="shared" si="2"/>
        <v>1.1395841399171096</v>
      </c>
      <c r="F19" s="258" t="str">
        <f t="shared" si="7"/>
        <v>C</v>
      </c>
      <c r="G19" s="258" t="str">
        <f t="shared" si="5"/>
        <v>C</v>
      </c>
      <c r="I19" s="255" t="s">
        <v>52</v>
      </c>
      <c r="J19" s="256">
        <f>'Юнит 01-04.01'!R17</f>
        <v>0</v>
      </c>
      <c r="K19" s="257">
        <f t="shared" si="6"/>
        <v>0</v>
      </c>
      <c r="L19" s="257">
        <f t="shared" si="3"/>
        <v>0.9642857142857143</v>
      </c>
      <c r="M19" s="258" t="str">
        <f t="shared" si="8"/>
        <v>C</v>
      </c>
      <c r="P19" s="263"/>
      <c r="Q19" s="257"/>
    </row>
    <row r="20" spans="2:17" ht="15" outlineLevel="1" thickBot="1">
      <c r="B20" s="255" t="s">
        <v>58</v>
      </c>
      <c r="C20" s="256">
        <f>'Юнит 01-04.01'!AE23</f>
        <v>0</v>
      </c>
      <c r="D20" s="257">
        <f t="shared" si="4"/>
        <v>0</v>
      </c>
      <c r="E20" s="257">
        <f t="shared" si="2"/>
        <v>1.1395841399171096</v>
      </c>
      <c r="F20" s="258" t="str">
        <f t="shared" si="7"/>
        <v>C</v>
      </c>
      <c r="G20" s="258" t="str">
        <f t="shared" si="5"/>
        <v>C</v>
      </c>
      <c r="I20" s="255" t="s">
        <v>53</v>
      </c>
      <c r="J20" s="256">
        <f>'Юнит 01-04.01'!R18</f>
        <v>0</v>
      </c>
      <c r="K20" s="257">
        <f t="shared" si="6"/>
        <v>0</v>
      </c>
      <c r="L20" s="257">
        <f t="shared" si="3"/>
        <v>0.9642857142857143</v>
      </c>
      <c r="M20" s="258" t="str">
        <f t="shared" si="8"/>
        <v>C</v>
      </c>
      <c r="P20" s="263"/>
      <c r="Q20" s="257"/>
    </row>
    <row r="21" spans="2:17" ht="15" outlineLevel="1" thickBot="1">
      <c r="B21" s="255" t="s">
        <v>59</v>
      </c>
      <c r="C21" s="256">
        <f>'Юнит 01-04.01'!AE24</f>
        <v>0</v>
      </c>
      <c r="D21" s="257">
        <f t="shared" si="4"/>
        <v>0</v>
      </c>
      <c r="E21" s="257">
        <f t="shared" si="2"/>
        <v>1.1395841399171096</v>
      </c>
      <c r="F21" s="258" t="str">
        <f t="shared" si="7"/>
        <v>C</v>
      </c>
      <c r="G21" s="258" t="str">
        <f t="shared" si="5"/>
        <v>C</v>
      </c>
      <c r="I21" s="255" t="s">
        <v>54</v>
      </c>
      <c r="J21" s="256">
        <f>'Юнит 01-04.01'!R19</f>
        <v>0</v>
      </c>
      <c r="K21" s="257">
        <f t="shared" si="6"/>
        <v>0</v>
      </c>
      <c r="L21" s="257">
        <f t="shared" si="3"/>
        <v>0.9642857142857143</v>
      </c>
      <c r="M21" s="258" t="str">
        <f t="shared" si="8"/>
        <v>C</v>
      </c>
      <c r="P21" s="263"/>
      <c r="Q21" s="257"/>
    </row>
    <row r="22" spans="2:17" ht="15" outlineLevel="1" thickBot="1">
      <c r="B22" s="255" t="s">
        <v>48</v>
      </c>
      <c r="C22" s="256">
        <f>'Юнит 01-04.01'!AE13</f>
        <v>-93.54</v>
      </c>
      <c r="D22" s="257">
        <f t="shared" si="4"/>
        <v>-1.824802946857073E-2</v>
      </c>
      <c r="E22" s="257">
        <f t="shared" si="2"/>
        <v>1.1213361104485389</v>
      </c>
      <c r="F22" s="258" t="str">
        <f t="shared" si="7"/>
        <v>C</v>
      </c>
      <c r="G22" s="258" t="str">
        <f t="shared" si="5"/>
        <v>C</v>
      </c>
      <c r="I22" s="255" t="s">
        <v>56</v>
      </c>
      <c r="J22" s="256">
        <f>'Юнит 01-04.01'!R21</f>
        <v>0</v>
      </c>
      <c r="K22" s="257">
        <f t="shared" si="6"/>
        <v>0</v>
      </c>
      <c r="L22" s="257">
        <f t="shared" si="3"/>
        <v>0.9642857142857143</v>
      </c>
      <c r="M22" s="258" t="str">
        <f t="shared" si="8"/>
        <v>C</v>
      </c>
      <c r="P22" s="263"/>
      <c r="Q22" s="257"/>
    </row>
    <row r="23" spans="2:17" ht="26.5" outlineLevel="1" thickBot="1">
      <c r="B23" s="255" t="s">
        <v>50</v>
      </c>
      <c r="C23" s="256">
        <f>'Юнит 01-04.01'!AE15</f>
        <v>-295.55</v>
      </c>
      <c r="D23" s="257">
        <f t="shared" si="4"/>
        <v>-5.7656672112850964E-2</v>
      </c>
      <c r="E23" s="257">
        <f t="shared" si="2"/>
        <v>1.063679438335688</v>
      </c>
      <c r="F23" s="258" t="str">
        <f t="shared" si="7"/>
        <v>C</v>
      </c>
      <c r="G23" s="258" t="str">
        <f t="shared" si="5"/>
        <v>C</v>
      </c>
      <c r="I23" s="255" t="s">
        <v>57</v>
      </c>
      <c r="J23" s="256">
        <f>'Юнит 01-04.01'!R22</f>
        <v>0</v>
      </c>
      <c r="K23" s="257">
        <f t="shared" si="6"/>
        <v>0</v>
      </c>
      <c r="L23" s="257">
        <f t="shared" si="3"/>
        <v>0.9642857142857143</v>
      </c>
      <c r="M23" s="258" t="str">
        <f t="shared" si="8"/>
        <v>C</v>
      </c>
      <c r="P23" s="263"/>
      <c r="Q23" s="257"/>
    </row>
    <row r="24" spans="2:17" ht="15" outlineLevel="1" thickBot="1">
      <c r="B24" s="255" t="s">
        <v>44</v>
      </c>
      <c r="C24" s="256">
        <f>'Юнит 01-04.01'!AE9</f>
        <v>-509.46505400000001</v>
      </c>
      <c r="D24" s="257">
        <f t="shared" si="4"/>
        <v>-9.9387784034626656E-2</v>
      </c>
      <c r="E24" s="257">
        <f t="shared" si="2"/>
        <v>0.96429165430106134</v>
      </c>
      <c r="F24" s="258" t="str">
        <f t="shared" si="7"/>
        <v>C</v>
      </c>
      <c r="G24" s="258" t="str">
        <f t="shared" si="5"/>
        <v>C</v>
      </c>
      <c r="I24" s="255" t="s">
        <v>58</v>
      </c>
      <c r="J24" s="256">
        <f>'Юнит 01-04.01'!R23</f>
        <v>0</v>
      </c>
      <c r="K24" s="257">
        <f t="shared" si="6"/>
        <v>0</v>
      </c>
      <c r="L24" s="257">
        <f t="shared" si="3"/>
        <v>0.9642857142857143</v>
      </c>
      <c r="M24" s="258" t="str">
        <f t="shared" si="8"/>
        <v>C</v>
      </c>
      <c r="P24" s="263"/>
      <c r="Q24" s="257"/>
    </row>
    <row r="25" spans="2:17" ht="26.5" outlineLevel="1" thickBot="1">
      <c r="B25" s="255" t="s">
        <v>38</v>
      </c>
      <c r="C25" s="256">
        <f>'Юнит 01-04.01'!AE3</f>
        <v>183.04215599999938</v>
      </c>
      <c r="D25" s="257">
        <f t="shared" si="4"/>
        <v>3.5708345698938521E-2</v>
      </c>
      <c r="E25" s="257">
        <f t="shared" si="2"/>
        <v>0.99999999999999989</v>
      </c>
      <c r="F25" s="258" t="str">
        <f t="shared" si="7"/>
        <v>C</v>
      </c>
      <c r="G25" s="258" t="str">
        <f t="shared" si="5"/>
        <v>A</v>
      </c>
      <c r="I25" s="255" t="s">
        <v>59</v>
      </c>
      <c r="J25" s="256">
        <f>'Юнит 01-04.01'!R24</f>
        <v>0</v>
      </c>
      <c r="K25" s="257">
        <f t="shared" si="6"/>
        <v>0</v>
      </c>
      <c r="L25" s="257">
        <f t="shared" si="3"/>
        <v>0.9642857142857143</v>
      </c>
      <c r="M25" s="258" t="str">
        <f t="shared" si="8"/>
        <v>C</v>
      </c>
      <c r="P25" s="263"/>
      <c r="Q25" s="257"/>
    </row>
    <row r="26" spans="2:17" outlineLevel="1">
      <c r="C26" s="264">
        <f>SUM(C4:C25)</f>
        <v>5126.0329319999992</v>
      </c>
      <c r="D26" s="265">
        <f>SUM(D4:D25)</f>
        <v>0.99999999999999989</v>
      </c>
      <c r="J26" s="264">
        <f>SUM(J4:J25)</f>
        <v>28</v>
      </c>
      <c r="K26" s="265">
        <f>SUM(K4:K25)</f>
        <v>1</v>
      </c>
    </row>
    <row r="27" spans="2:17" ht="15" thickBot="1"/>
    <row r="28" spans="2:17" ht="15" thickBot="1">
      <c r="B28" s="305" t="s">
        <v>339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7"/>
    </row>
    <row r="29" spans="2:17" ht="23.5" thickBot="1">
      <c r="C29" s="251" t="s">
        <v>28</v>
      </c>
      <c r="D29" s="252" t="s">
        <v>330</v>
      </c>
      <c r="E29" s="253" t="s">
        <v>331</v>
      </c>
      <c r="F29" s="252" t="s">
        <v>332</v>
      </c>
      <c r="G29" s="252" t="s">
        <v>333</v>
      </c>
      <c r="J29" s="251" t="s">
        <v>334</v>
      </c>
      <c r="K29" s="252" t="s">
        <v>335</v>
      </c>
      <c r="L29" s="253" t="s">
        <v>331</v>
      </c>
      <c r="M29" s="254" t="s">
        <v>333</v>
      </c>
    </row>
    <row r="30" spans="2:17" ht="15" thickBot="1">
      <c r="B30" s="255" t="s">
        <v>67</v>
      </c>
      <c r="C30" s="256">
        <f>'Юнит 01-04.01'!AE34</f>
        <v>1595.12</v>
      </c>
      <c r="D30" s="257">
        <f>C30/C$50</f>
        <v>-1.7269283727561939</v>
      </c>
      <c r="E30" s="257">
        <f>D30</f>
        <v>-1.7269283727561939</v>
      </c>
      <c r="F30" s="258" t="str">
        <f t="shared" ref="F30:F36" si="9">IF(AND(E30&lt;=0),"C",IF(E30&lt;=0.8,"A",IF(E30&lt;=0.95,"B","C")))</f>
        <v>C</v>
      </c>
      <c r="G30" s="258" t="str">
        <f>VLOOKUP(B$30:B$50,I$30:M$50,5,0)</f>
        <v>C</v>
      </c>
      <c r="I30" s="255" t="s">
        <v>67</v>
      </c>
      <c r="J30" s="256">
        <f>'Юнит 01-04.01'!R34</f>
        <v>1</v>
      </c>
      <c r="K30" s="257">
        <f>J30/J$50</f>
        <v>1</v>
      </c>
      <c r="L30" s="257">
        <f>K30</f>
        <v>1</v>
      </c>
      <c r="M30" s="258" t="str">
        <f t="shared" ref="M30:M36" si="10">_xlfn.IFS(L30&lt;80%,"A",L30&lt;=95%,"B",L30&gt;95%,"C")</f>
        <v>C</v>
      </c>
    </row>
    <row r="31" spans="2:17" ht="26.5" thickBot="1">
      <c r="B31" s="255" t="s">
        <v>61</v>
      </c>
      <c r="C31" s="256">
        <f>'Юнит 01-04.01'!AE28</f>
        <v>0</v>
      </c>
      <c r="D31" s="257">
        <f t="shared" ref="D31:D49" si="11">C31/C$50</f>
        <v>0</v>
      </c>
      <c r="E31" s="257">
        <f>D31+E30</f>
        <v>-1.7269283727561939</v>
      </c>
      <c r="F31" s="258" t="str">
        <f t="shared" si="9"/>
        <v>C</v>
      </c>
      <c r="G31" s="258" t="str">
        <f t="shared" ref="G31:G49" si="12">VLOOKUP(B$30:B$50,I$30:M$50,5,0)</f>
        <v>C</v>
      </c>
      <c r="I31" s="255" t="s">
        <v>61</v>
      </c>
      <c r="J31" s="256">
        <f>'Юнит 01-04.01'!R28</f>
        <v>0</v>
      </c>
      <c r="K31" s="257">
        <f t="shared" ref="K31:K49" si="13">J31/J$50</f>
        <v>0</v>
      </c>
      <c r="L31" s="257">
        <f>K31+L30</f>
        <v>1</v>
      </c>
      <c r="M31" s="258" t="str">
        <f t="shared" si="10"/>
        <v>C</v>
      </c>
    </row>
    <row r="32" spans="2:17" ht="26.5" thickBot="1">
      <c r="B32" s="255" t="s">
        <v>62</v>
      </c>
      <c r="C32" s="256">
        <f>'Юнит 01-04.01'!AE29</f>
        <v>0</v>
      </c>
      <c r="D32" s="257">
        <f t="shared" si="11"/>
        <v>0</v>
      </c>
      <c r="E32" s="257">
        <f t="shared" ref="E32:E49" si="14">D32+E31</f>
        <v>-1.7269283727561939</v>
      </c>
      <c r="F32" s="258" t="str">
        <f t="shared" si="9"/>
        <v>C</v>
      </c>
      <c r="G32" s="258" t="str">
        <f t="shared" si="12"/>
        <v>C</v>
      </c>
      <c r="I32" s="255" t="s">
        <v>62</v>
      </c>
      <c r="J32" s="256">
        <f>'Юнит 01-04.01'!R29</f>
        <v>0</v>
      </c>
      <c r="K32" s="257">
        <f t="shared" si="13"/>
        <v>0</v>
      </c>
      <c r="L32" s="257">
        <f t="shared" ref="L32:L49" si="15">K32+L31</f>
        <v>1</v>
      </c>
      <c r="M32" s="258" t="str">
        <f t="shared" si="10"/>
        <v>C</v>
      </c>
    </row>
    <row r="33" spans="2:13" ht="26.5" thickBot="1">
      <c r="B33" s="255" t="s">
        <v>63</v>
      </c>
      <c r="C33" s="256">
        <f>'Юнит 01-04.01'!AE30</f>
        <v>0</v>
      </c>
      <c r="D33" s="257">
        <f t="shared" si="11"/>
        <v>0</v>
      </c>
      <c r="E33" s="257">
        <f t="shared" si="14"/>
        <v>-1.7269283727561939</v>
      </c>
      <c r="F33" s="258" t="str">
        <f t="shared" si="9"/>
        <v>C</v>
      </c>
      <c r="G33" s="258" t="str">
        <f t="shared" si="12"/>
        <v>C</v>
      </c>
      <c r="I33" s="255" t="s">
        <v>63</v>
      </c>
      <c r="J33" s="256">
        <f>'Юнит 01-04.01'!R30</f>
        <v>0</v>
      </c>
      <c r="K33" s="257">
        <f t="shared" si="13"/>
        <v>0</v>
      </c>
      <c r="L33" s="257">
        <f t="shared" si="15"/>
        <v>1</v>
      </c>
      <c r="M33" s="258" t="str">
        <f t="shared" si="10"/>
        <v>C</v>
      </c>
    </row>
    <row r="34" spans="2:13" ht="15" thickBot="1">
      <c r="B34" s="255" t="s">
        <v>64</v>
      </c>
      <c r="C34" s="256">
        <f>'Юнит 01-04.01'!AE31</f>
        <v>0</v>
      </c>
      <c r="D34" s="257">
        <f t="shared" si="11"/>
        <v>0</v>
      </c>
      <c r="E34" s="257">
        <f t="shared" si="14"/>
        <v>-1.7269283727561939</v>
      </c>
      <c r="F34" s="258" t="str">
        <f t="shared" si="9"/>
        <v>C</v>
      </c>
      <c r="G34" s="258" t="str">
        <f t="shared" si="12"/>
        <v>C</v>
      </c>
      <c r="I34" s="255" t="s">
        <v>64</v>
      </c>
      <c r="J34" s="256">
        <f>'Юнит 01-04.01'!R31</f>
        <v>0</v>
      </c>
      <c r="K34" s="257">
        <f t="shared" si="13"/>
        <v>0</v>
      </c>
      <c r="L34" s="257">
        <f t="shared" si="15"/>
        <v>1</v>
      </c>
      <c r="M34" s="258" t="str">
        <f t="shared" si="10"/>
        <v>C</v>
      </c>
    </row>
    <row r="35" spans="2:13" ht="15" thickBot="1">
      <c r="B35" s="255" t="s">
        <v>65</v>
      </c>
      <c r="C35" s="256">
        <f>'Юнит 01-04.01'!AE32</f>
        <v>0</v>
      </c>
      <c r="D35" s="257">
        <f t="shared" si="11"/>
        <v>0</v>
      </c>
      <c r="E35" s="257">
        <f t="shared" si="14"/>
        <v>-1.7269283727561939</v>
      </c>
      <c r="F35" s="258" t="str">
        <f t="shared" si="9"/>
        <v>C</v>
      </c>
      <c r="G35" s="258" t="str">
        <f t="shared" si="12"/>
        <v>C</v>
      </c>
      <c r="I35" s="255" t="s">
        <v>65</v>
      </c>
      <c r="J35" s="256">
        <f>'Юнит 01-04.01'!R32</f>
        <v>0</v>
      </c>
      <c r="K35" s="257">
        <f t="shared" si="13"/>
        <v>0</v>
      </c>
      <c r="L35" s="257">
        <f t="shared" si="15"/>
        <v>1</v>
      </c>
      <c r="M35" s="258" t="str">
        <f t="shared" si="10"/>
        <v>C</v>
      </c>
    </row>
    <row r="36" spans="2:13" ht="15" thickBot="1">
      <c r="B36" s="255" t="s">
        <v>66</v>
      </c>
      <c r="C36" s="256">
        <f>'Юнит 01-04.01'!AE33</f>
        <v>0</v>
      </c>
      <c r="D36" s="257">
        <f t="shared" si="11"/>
        <v>0</v>
      </c>
      <c r="E36" s="257">
        <f t="shared" si="14"/>
        <v>-1.7269283727561939</v>
      </c>
      <c r="F36" s="258" t="str">
        <f t="shared" si="9"/>
        <v>C</v>
      </c>
      <c r="G36" s="258" t="str">
        <f t="shared" si="12"/>
        <v>C</v>
      </c>
      <c r="I36" s="255" t="s">
        <v>66</v>
      </c>
      <c r="J36" s="256">
        <f>'Юнит 01-04.01'!R33</f>
        <v>0</v>
      </c>
      <c r="K36" s="257">
        <f t="shared" si="13"/>
        <v>0</v>
      </c>
      <c r="L36" s="257">
        <f t="shared" si="15"/>
        <v>1</v>
      </c>
      <c r="M36" s="258" t="str">
        <f t="shared" si="10"/>
        <v>C</v>
      </c>
    </row>
    <row r="37" spans="2:13" ht="15" thickBot="1">
      <c r="B37" s="255" t="s">
        <v>68</v>
      </c>
      <c r="C37" s="256">
        <f>'Юнит 01-04.01'!AE35</f>
        <v>0</v>
      </c>
      <c r="D37" s="257">
        <f t="shared" si="11"/>
        <v>0</v>
      </c>
      <c r="E37" s="257">
        <f t="shared" si="14"/>
        <v>-1.7269283727561939</v>
      </c>
      <c r="F37" s="258" t="str">
        <f>IF(AND(E37&lt;=0),"C",IF(E37&lt;=0.8,"A",IF(E37&lt;=0.95,"B","C")))</f>
        <v>C</v>
      </c>
      <c r="G37" s="258" t="str">
        <f t="shared" si="12"/>
        <v>C</v>
      </c>
      <c r="I37" s="255" t="s">
        <v>68</v>
      </c>
      <c r="J37" s="256">
        <f>'Юнит 01-04.01'!R35</f>
        <v>0</v>
      </c>
      <c r="K37" s="257">
        <f t="shared" si="13"/>
        <v>0</v>
      </c>
      <c r="L37" s="257">
        <f t="shared" si="15"/>
        <v>1</v>
      </c>
      <c r="M37" s="258" t="str">
        <f>_xlfn.IFS(L37&lt;80%,"A",L37&lt;=95%,"B",L37&gt;95%,"C")</f>
        <v>C</v>
      </c>
    </row>
    <row r="38" spans="2:13" ht="15" thickBot="1">
      <c r="B38" s="255" t="s">
        <v>69</v>
      </c>
      <c r="C38" s="256">
        <f>'Юнит 01-04.01'!AE36</f>
        <v>0</v>
      </c>
      <c r="D38" s="257">
        <f t="shared" si="11"/>
        <v>0</v>
      </c>
      <c r="E38" s="257">
        <f t="shared" si="14"/>
        <v>-1.7269283727561939</v>
      </c>
      <c r="F38" s="258" t="str">
        <f t="shared" ref="F38:F49" si="16">IF(AND(E38&lt;=0),"C",IF(E38&lt;=0.8,"A",IF(E38&lt;=0.95,"B","C")))</f>
        <v>C</v>
      </c>
      <c r="G38" s="258" t="str">
        <f t="shared" si="12"/>
        <v>C</v>
      </c>
      <c r="I38" s="255" t="s">
        <v>69</v>
      </c>
      <c r="J38" s="256">
        <f>'Юнит 01-04.01'!R36</f>
        <v>0</v>
      </c>
      <c r="K38" s="257">
        <f t="shared" si="13"/>
        <v>0</v>
      </c>
      <c r="L38" s="257">
        <f t="shared" si="15"/>
        <v>1</v>
      </c>
      <c r="M38" s="258" t="str">
        <f t="shared" ref="M38:M49" si="17">_xlfn.IFS(L38&lt;80%,"A",L38&lt;=95%,"B",L38&gt;95%,"C")</f>
        <v>C</v>
      </c>
    </row>
    <row r="39" spans="2:13" ht="15" thickBot="1">
      <c r="B39" s="255" t="s">
        <v>70</v>
      </c>
      <c r="C39" s="256">
        <f>'Юнит 01-04.01'!AE37</f>
        <v>0</v>
      </c>
      <c r="D39" s="257">
        <f t="shared" si="11"/>
        <v>0</v>
      </c>
      <c r="E39" s="257">
        <f t="shared" si="14"/>
        <v>-1.7269283727561939</v>
      </c>
      <c r="F39" s="258" t="str">
        <f t="shared" si="16"/>
        <v>C</v>
      </c>
      <c r="G39" s="258" t="str">
        <f t="shared" si="12"/>
        <v>C</v>
      </c>
      <c r="I39" s="255" t="s">
        <v>70</v>
      </c>
      <c r="J39" s="256">
        <f>'Юнит 01-04.01'!R37</f>
        <v>0</v>
      </c>
      <c r="K39" s="257">
        <f t="shared" si="13"/>
        <v>0</v>
      </c>
      <c r="L39" s="257">
        <f t="shared" si="15"/>
        <v>1</v>
      </c>
      <c r="M39" s="258" t="str">
        <f t="shared" si="17"/>
        <v>C</v>
      </c>
    </row>
    <row r="40" spans="2:13" ht="15" thickBot="1">
      <c r="B40" s="255" t="s">
        <v>71</v>
      </c>
      <c r="C40" s="256">
        <f>'Юнит 01-04.01'!AE38</f>
        <v>0</v>
      </c>
      <c r="D40" s="257">
        <f t="shared" si="11"/>
        <v>0</v>
      </c>
      <c r="E40" s="257">
        <f t="shared" si="14"/>
        <v>-1.7269283727561939</v>
      </c>
      <c r="F40" s="258" t="str">
        <f t="shared" si="16"/>
        <v>C</v>
      </c>
      <c r="G40" s="258" t="str">
        <f t="shared" si="12"/>
        <v>C</v>
      </c>
      <c r="I40" s="255" t="s">
        <v>71</v>
      </c>
      <c r="J40" s="256">
        <f>'Юнит 01-04.01'!R38</f>
        <v>0</v>
      </c>
      <c r="K40" s="257">
        <f t="shared" si="13"/>
        <v>0</v>
      </c>
      <c r="L40" s="257">
        <f t="shared" si="15"/>
        <v>1</v>
      </c>
      <c r="M40" s="258" t="str">
        <f t="shared" si="17"/>
        <v>C</v>
      </c>
    </row>
    <row r="41" spans="2:13" ht="26.5" thickBot="1">
      <c r="B41" s="255" t="s">
        <v>72</v>
      </c>
      <c r="C41" s="256">
        <f>'Юнит 01-04.01'!AE39</f>
        <v>0</v>
      </c>
      <c r="D41" s="257">
        <f t="shared" si="11"/>
        <v>0</v>
      </c>
      <c r="E41" s="257">
        <f t="shared" si="14"/>
        <v>-1.7269283727561939</v>
      </c>
      <c r="F41" s="258" t="str">
        <f t="shared" si="16"/>
        <v>C</v>
      </c>
      <c r="G41" s="258" t="str">
        <f t="shared" si="12"/>
        <v>C</v>
      </c>
      <c r="I41" s="255" t="s">
        <v>72</v>
      </c>
      <c r="J41" s="256">
        <f>'Юнит 01-04.01'!R39</f>
        <v>0</v>
      </c>
      <c r="K41" s="257">
        <f t="shared" si="13"/>
        <v>0</v>
      </c>
      <c r="L41" s="257">
        <f t="shared" si="15"/>
        <v>1</v>
      </c>
      <c r="M41" s="258" t="str">
        <f t="shared" si="17"/>
        <v>C</v>
      </c>
    </row>
    <row r="42" spans="2:13" ht="15" thickBot="1">
      <c r="B42" s="255" t="s">
        <v>73</v>
      </c>
      <c r="C42" s="256">
        <f>'Юнит 01-04.01'!AE40</f>
        <v>0</v>
      </c>
      <c r="D42" s="257">
        <f t="shared" si="11"/>
        <v>0</v>
      </c>
      <c r="E42" s="257">
        <f t="shared" si="14"/>
        <v>-1.7269283727561939</v>
      </c>
      <c r="F42" s="258" t="str">
        <f t="shared" si="16"/>
        <v>C</v>
      </c>
      <c r="G42" s="258" t="str">
        <f t="shared" si="12"/>
        <v>C</v>
      </c>
      <c r="I42" s="255" t="s">
        <v>73</v>
      </c>
      <c r="J42" s="256">
        <f>'Юнит 01-04.01'!R40</f>
        <v>0</v>
      </c>
      <c r="K42" s="257">
        <f t="shared" si="13"/>
        <v>0</v>
      </c>
      <c r="L42" s="257">
        <f t="shared" si="15"/>
        <v>1</v>
      </c>
      <c r="M42" s="258" t="str">
        <f t="shared" si="17"/>
        <v>C</v>
      </c>
    </row>
    <row r="43" spans="2:13" ht="26.5" thickBot="1">
      <c r="B43" s="255" t="s">
        <v>74</v>
      </c>
      <c r="C43" s="256">
        <f>'Юнит 01-04.01'!AE41</f>
        <v>0</v>
      </c>
      <c r="D43" s="257">
        <f t="shared" si="11"/>
        <v>0</v>
      </c>
      <c r="E43" s="257">
        <f t="shared" si="14"/>
        <v>-1.7269283727561939</v>
      </c>
      <c r="F43" s="258" t="str">
        <f t="shared" si="16"/>
        <v>C</v>
      </c>
      <c r="G43" s="258" t="str">
        <f t="shared" si="12"/>
        <v>C</v>
      </c>
      <c r="I43" s="255" t="s">
        <v>74</v>
      </c>
      <c r="J43" s="256">
        <f>'Юнит 01-04.01'!R41</f>
        <v>0</v>
      </c>
      <c r="K43" s="257">
        <f t="shared" si="13"/>
        <v>0</v>
      </c>
      <c r="L43" s="257">
        <f t="shared" si="15"/>
        <v>1</v>
      </c>
      <c r="M43" s="258" t="str">
        <f t="shared" si="17"/>
        <v>C</v>
      </c>
    </row>
    <row r="44" spans="2:13" ht="26.5" thickBot="1">
      <c r="B44" s="255" t="s">
        <v>76</v>
      </c>
      <c r="C44" s="256">
        <f>'Юнит 01-04.01'!AE43</f>
        <v>0</v>
      </c>
      <c r="D44" s="257">
        <f t="shared" si="11"/>
        <v>0</v>
      </c>
      <c r="E44" s="257">
        <f t="shared" si="14"/>
        <v>-1.7269283727561939</v>
      </c>
      <c r="F44" s="258" t="str">
        <f t="shared" si="16"/>
        <v>C</v>
      </c>
      <c r="G44" s="258" t="str">
        <f t="shared" si="12"/>
        <v>C</v>
      </c>
      <c r="I44" s="255" t="s">
        <v>75</v>
      </c>
      <c r="J44" s="256">
        <f>'Юнит 01-04.01'!R42</f>
        <v>0</v>
      </c>
      <c r="K44" s="257">
        <f t="shared" si="13"/>
        <v>0</v>
      </c>
      <c r="L44" s="257">
        <f t="shared" si="15"/>
        <v>1</v>
      </c>
      <c r="M44" s="258" t="str">
        <f t="shared" si="17"/>
        <v>C</v>
      </c>
    </row>
    <row r="45" spans="2:13" ht="26.5" thickBot="1">
      <c r="B45" s="255" t="s">
        <v>80</v>
      </c>
      <c r="C45" s="256">
        <f>'Юнит 01-04.01'!AE47</f>
        <v>0</v>
      </c>
      <c r="D45" s="257">
        <f t="shared" si="11"/>
        <v>0</v>
      </c>
      <c r="E45" s="257">
        <f t="shared" si="14"/>
        <v>-1.7269283727561939</v>
      </c>
      <c r="F45" s="258" t="str">
        <f t="shared" si="16"/>
        <v>C</v>
      </c>
      <c r="G45" s="258" t="str">
        <f t="shared" si="12"/>
        <v>C</v>
      </c>
      <c r="I45" s="255" t="s">
        <v>76</v>
      </c>
      <c r="J45" s="256">
        <f>'Юнит 01-04.01'!R43</f>
        <v>0</v>
      </c>
      <c r="K45" s="257">
        <f t="shared" si="13"/>
        <v>0</v>
      </c>
      <c r="L45" s="257">
        <f t="shared" si="15"/>
        <v>1</v>
      </c>
      <c r="M45" s="258" t="str">
        <f t="shared" si="17"/>
        <v>C</v>
      </c>
    </row>
    <row r="46" spans="2:13" ht="26.5" thickBot="1">
      <c r="B46" s="255" t="s">
        <v>79</v>
      </c>
      <c r="C46" s="256">
        <f>'Юнит 01-04.01'!AE46</f>
        <v>-124.262242</v>
      </c>
      <c r="D46" s="257">
        <f t="shared" si="11"/>
        <v>0.13453031205934124</v>
      </c>
      <c r="E46" s="257">
        <f t="shared" si="14"/>
        <v>-1.5923980606968526</v>
      </c>
      <c r="F46" s="258" t="str">
        <f t="shared" si="16"/>
        <v>C</v>
      </c>
      <c r="G46" s="258" t="str">
        <f t="shared" si="12"/>
        <v>C</v>
      </c>
      <c r="I46" s="255" t="s">
        <v>77</v>
      </c>
      <c r="J46" s="256">
        <f>'Юнит 01-04.01'!R44</f>
        <v>0</v>
      </c>
      <c r="K46" s="257">
        <f t="shared" si="13"/>
        <v>0</v>
      </c>
      <c r="L46" s="257">
        <f t="shared" si="15"/>
        <v>1</v>
      </c>
      <c r="M46" s="258" t="str">
        <f t="shared" si="17"/>
        <v>C</v>
      </c>
    </row>
    <row r="47" spans="2:13" ht="26.5" thickBot="1">
      <c r="B47" s="255" t="s">
        <v>77</v>
      </c>
      <c r="C47" s="256">
        <f>'Юнит 01-04.01'!AE44</f>
        <v>-149.55251699999999</v>
      </c>
      <c r="D47" s="257">
        <f t="shared" si="11"/>
        <v>0.16191037967325533</v>
      </c>
      <c r="E47" s="257">
        <f t="shared" si="14"/>
        <v>-1.4304876810235974</v>
      </c>
      <c r="F47" s="258" t="str">
        <f t="shared" si="16"/>
        <v>C</v>
      </c>
      <c r="G47" s="258" t="str">
        <f t="shared" si="12"/>
        <v>C</v>
      </c>
      <c r="I47" s="255" t="s">
        <v>78</v>
      </c>
      <c r="J47" s="256">
        <f>'Юнит 01-04.01'!R45</f>
        <v>0</v>
      </c>
      <c r="K47" s="257">
        <f t="shared" si="13"/>
        <v>0</v>
      </c>
      <c r="L47" s="257">
        <f t="shared" si="15"/>
        <v>1</v>
      </c>
      <c r="M47" s="258" t="str">
        <f t="shared" si="17"/>
        <v>C</v>
      </c>
    </row>
    <row r="48" spans="2:13" ht="26.5" thickBot="1">
      <c r="B48" s="255" t="s">
        <v>75</v>
      </c>
      <c r="C48" s="256">
        <f>'Юнит 01-04.01'!AE42</f>
        <v>-976.81</v>
      </c>
      <c r="D48" s="257">
        <f t="shared" si="11"/>
        <v>1.0575260192286335</v>
      </c>
      <c r="E48" s="257">
        <f t="shared" si="14"/>
        <v>-0.37296166179496382</v>
      </c>
      <c r="F48" s="258" t="str">
        <f t="shared" si="16"/>
        <v>C</v>
      </c>
      <c r="G48" s="258" t="str">
        <f t="shared" si="12"/>
        <v>C</v>
      </c>
      <c r="I48" s="255" t="s">
        <v>79</v>
      </c>
      <c r="J48" s="256">
        <f>'Юнит 01-04.01'!R46</f>
        <v>0</v>
      </c>
      <c r="K48" s="257">
        <f t="shared" si="13"/>
        <v>0</v>
      </c>
      <c r="L48" s="257">
        <f t="shared" si="15"/>
        <v>1</v>
      </c>
      <c r="M48" s="258" t="str">
        <f t="shared" si="17"/>
        <v>C</v>
      </c>
    </row>
    <row r="49" spans="2:13" ht="26.5" thickBot="1">
      <c r="B49" s="255" t="s">
        <v>78</v>
      </c>
      <c r="C49" s="256">
        <f>'Юнит 01-04.01'!AE45</f>
        <v>-1268.1699140000001</v>
      </c>
      <c r="D49" s="257">
        <f t="shared" si="11"/>
        <v>1.3729616617949638</v>
      </c>
      <c r="E49" s="257">
        <f t="shared" si="14"/>
        <v>1</v>
      </c>
      <c r="F49" s="258" t="str">
        <f t="shared" si="16"/>
        <v>C</v>
      </c>
      <c r="G49" s="258" t="str">
        <f t="shared" si="12"/>
        <v>C</v>
      </c>
      <c r="I49" s="255" t="s">
        <v>80</v>
      </c>
      <c r="J49" s="256">
        <f>'Юнит 01-04.01'!R47</f>
        <v>0</v>
      </c>
      <c r="K49" s="257">
        <f t="shared" si="13"/>
        <v>0</v>
      </c>
      <c r="L49" s="257">
        <f t="shared" si="15"/>
        <v>1</v>
      </c>
      <c r="M49" s="258" t="str">
        <f t="shared" si="17"/>
        <v>C</v>
      </c>
    </row>
    <row r="50" spans="2:13">
      <c r="C50" s="264">
        <f>SUM(C30:C49)</f>
        <v>-923.67467300000021</v>
      </c>
      <c r="D50" s="265">
        <f>SUM(D30:D49)</f>
        <v>1</v>
      </c>
      <c r="J50" s="264">
        <f>SUM(J30:J49)</f>
        <v>1</v>
      </c>
      <c r="K50" s="265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03" priority="4" operator="equal">
      <formula>"C"</formula>
    </cfRule>
    <cfRule type="cellIs" dxfId="102" priority="5" operator="equal">
      <formula>"B"</formula>
    </cfRule>
    <cfRule type="cellIs" dxfId="101" priority="6" operator="equal">
      <formula>"A"</formula>
    </cfRule>
  </conditionalFormatting>
  <conditionalFormatting sqref="M30:M49 D30:D49 K30:K49 F30:G49">
    <cfRule type="cellIs" dxfId="100" priority="1" operator="equal">
      <formula>"C"</formula>
    </cfRule>
    <cfRule type="cellIs" dxfId="99" priority="2" operator="equal">
      <formula>"B"</formula>
    </cfRule>
    <cfRule type="cellIs" dxfId="98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V1" zoomScale="70" zoomScaleNormal="70" workbookViewId="0">
      <selection activeCell="AI7" sqref="AI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343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755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 t="shared" ref="N3:N16" si="1">K3/7</f>
        <v>0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/>
      <c r="AB3" s="42"/>
      <c r="AC3" s="42"/>
      <c r="AD3" s="46">
        <f>U3*1%</f>
        <v>545.2800000000002</v>
      </c>
      <c r="AE3" s="47">
        <f t="shared" ref="AE3:AE24" si="8">U3-W3-X3-Z3-AA3-AB3-AC3-AD3</f>
        <v>19663.430000000004</v>
      </c>
      <c r="AF3" s="46"/>
      <c r="AG3" s="48">
        <f t="shared" ref="AG3:AG24" si="9">IF(R3=0,0,U3/R3)</f>
        <v>1704.0000000000005</v>
      </c>
      <c r="AH3" s="49">
        <f t="shared" ref="AH3:AH24" si="10">H3</f>
        <v>142.97999999999999</v>
      </c>
      <c r="AI3" s="49">
        <f t="shared" ref="AI3:AI24" si="11">IF(R3=0,0,X3/R3)</f>
        <v>732.72000000000014</v>
      </c>
      <c r="AJ3" s="49">
        <f t="shared" ref="AJ3:AJ24" si="12">IF(P3=0,Z3/1,Z3/P3)</f>
        <v>179.91114285714303</v>
      </c>
      <c r="AK3" s="49">
        <f t="shared" ref="AK3:AK24" si="13">IF(P3=0,0,AA3/P3)</f>
        <v>0</v>
      </c>
      <c r="AL3" s="49">
        <f>_xlfn.IFS(R3=0,AE3,R3&lt;0,AE3/-R3,R3&gt;0,AE3/R3)</f>
        <v>614.48218750000012</v>
      </c>
      <c r="AM3" s="50">
        <f t="shared" ref="AM3:AM24" si="14">IF(AG3=0,0,AL3/AG3)</f>
        <v>0.36061161238262907</v>
      </c>
      <c r="AN3" s="51">
        <f t="shared" ref="AN3:AN24" si="15">IF(AH3=0,0,AL3/AH3)</f>
        <v>4.2976793082948674</v>
      </c>
      <c r="AP3" s="53">
        <f t="shared" ref="AP3:AP24" si="16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/>
      <c r="AB4" s="42"/>
      <c r="AC4" s="42"/>
      <c r="AD4" s="46">
        <f>U4*1%</f>
        <v>0</v>
      </c>
      <c r="AE4" s="47">
        <f t="shared" si="8"/>
        <v>0</v>
      </c>
      <c r="AF4" s="46"/>
      <c r="AG4" s="48">
        <f t="shared" si="9"/>
        <v>0</v>
      </c>
      <c r="AH4" s="49">
        <f t="shared" si="10"/>
        <v>123.09</v>
      </c>
      <c r="AI4" s="49">
        <f t="shared" si="11"/>
        <v>0</v>
      </c>
      <c r="AJ4" s="49">
        <f t="shared" si="12"/>
        <v>0</v>
      </c>
      <c r="AK4" s="49">
        <f t="shared" si="13"/>
        <v>0</v>
      </c>
      <c r="AL4" s="49">
        <f t="array" ref="AL4">_xlfn.IFS(R4=0,AE4,R4&lt;0,AE4/-R4,R4&gt;0,AE4/R4)</f>
        <v>0</v>
      </c>
      <c r="AM4" s="50">
        <f t="shared" si="14"/>
        <v>0</v>
      </c>
      <c r="AN4" s="51">
        <f t="shared" si="15"/>
        <v>0</v>
      </c>
      <c r="AP4" s="53">
        <f t="shared" si="16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/>
      <c r="AB5" s="55"/>
      <c r="AC5" s="42"/>
      <c r="AD5" s="46">
        <f>U5*1%</f>
        <v>12.06</v>
      </c>
      <c r="AE5" s="47">
        <f t="shared" si="8"/>
        <v>360.57000000000005</v>
      </c>
      <c r="AF5" s="46"/>
      <c r="AG5" s="48">
        <f t="shared" si="9"/>
        <v>1206</v>
      </c>
      <c r="AH5" s="49">
        <f t="shared" si="10"/>
        <v>123.09</v>
      </c>
      <c r="AI5" s="49">
        <f t="shared" si="11"/>
        <v>518.58000000000004</v>
      </c>
      <c r="AJ5" s="49">
        <f t="shared" si="12"/>
        <v>191.7</v>
      </c>
      <c r="AK5" s="49">
        <f t="shared" si="13"/>
        <v>0</v>
      </c>
      <c r="AL5" s="49">
        <f t="array" ref="AL5">_xlfn.IFS(R5=0,AE5,R5&lt;0,AE5/-R5,R5&gt;0,AE5/R5)</f>
        <v>360.57000000000005</v>
      </c>
      <c r="AM5" s="50">
        <f t="shared" si="14"/>
        <v>0.29898009950248761</v>
      </c>
      <c r="AN5" s="51">
        <f t="shared" si="15"/>
        <v>2.9293200097489644</v>
      </c>
      <c r="AP5" s="53">
        <f t="shared" si="16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/>
      <c r="AB6" s="55"/>
      <c r="AC6" s="42"/>
      <c r="AD6" s="46">
        <f>U6*1%</f>
        <v>158.76000000000005</v>
      </c>
      <c r="AE6" s="47">
        <f t="shared" si="8"/>
        <v>5706.0800000000036</v>
      </c>
      <c r="AF6" s="46"/>
      <c r="AG6" s="48">
        <f t="shared" si="9"/>
        <v>1443.2727272727277</v>
      </c>
      <c r="AH6" s="49">
        <f t="shared" si="10"/>
        <v>123.09</v>
      </c>
      <c r="AI6" s="49">
        <f t="shared" si="11"/>
        <v>620.60727272727274</v>
      </c>
      <c r="AJ6" s="49">
        <f t="shared" si="12"/>
        <v>152.54083333333332</v>
      </c>
      <c r="AK6" s="49">
        <f t="shared" si="13"/>
        <v>0</v>
      </c>
      <c r="AL6" s="49">
        <f t="array" ref="AL6">_xlfn.IFS(R6=0,AE6,R6&lt;0,AE6/-R6,R6&gt;0,AE6/R6)</f>
        <v>518.73454545454581</v>
      </c>
      <c r="AM6" s="50">
        <f t="shared" si="14"/>
        <v>0.35941546989166051</v>
      </c>
      <c r="AN6" s="51">
        <f t="shared" si="15"/>
        <v>4.2142704155865287</v>
      </c>
      <c r="AP6" s="53">
        <f t="shared" si="16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/>
      <c r="AB7" s="55"/>
      <c r="AC7" s="42"/>
      <c r="AD7" s="46">
        <f>U7*1%</f>
        <v>16.87</v>
      </c>
      <c r="AE7" s="47">
        <f t="shared" si="8"/>
        <v>596.69999999999993</v>
      </c>
      <c r="AF7" s="46"/>
      <c r="AG7" s="48">
        <f t="shared" si="9"/>
        <v>1687</v>
      </c>
      <c r="AH7" s="49">
        <f t="shared" si="10"/>
        <v>117.24</v>
      </c>
      <c r="AI7" s="49">
        <f t="shared" si="11"/>
        <v>725.41</v>
      </c>
      <c r="AJ7" s="49">
        <f t="shared" si="12"/>
        <v>230.78000000000003</v>
      </c>
      <c r="AK7" s="49">
        <f t="shared" si="13"/>
        <v>0</v>
      </c>
      <c r="AL7" s="49">
        <f t="array" ref="AL7">_xlfn.IFS(R7=0,AE7,R7&lt;0,AE7/-R7,R7&gt;0,AE7/R7)</f>
        <v>596.69999999999993</v>
      </c>
      <c r="AM7" s="50">
        <f t="shared" si="14"/>
        <v>0.35370480142264371</v>
      </c>
      <c r="AN7" s="51">
        <f t="shared" si="15"/>
        <v>5.0895598771750254</v>
      </c>
      <c r="AP7" s="53">
        <f t="shared" si="16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"/>
        <v>0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/>
      <c r="AB8" s="55"/>
      <c r="AC8" s="42"/>
      <c r="AD8" s="46">
        <f>U8*1%</f>
        <v>0</v>
      </c>
      <c r="AE8" s="47">
        <f t="shared" si="8"/>
        <v>0</v>
      </c>
      <c r="AF8" s="46"/>
      <c r="AG8" s="48">
        <f t="shared" si="9"/>
        <v>0</v>
      </c>
      <c r="AH8" s="49">
        <f t="shared" si="10"/>
        <v>123</v>
      </c>
      <c r="AI8" s="49">
        <f t="shared" si="11"/>
        <v>0</v>
      </c>
      <c r="AJ8" s="49">
        <f t="shared" si="12"/>
        <v>0</v>
      </c>
      <c r="AK8" s="49">
        <f t="shared" si="13"/>
        <v>0</v>
      </c>
      <c r="AL8" s="49">
        <f t="array" ref="AL8">_xlfn.IFS(R8=0,AE8,R8&lt;0,AE8/-R8,R8&gt;0,AE8/R8)</f>
        <v>0</v>
      </c>
      <c r="AM8" s="50">
        <f t="shared" si="14"/>
        <v>0</v>
      </c>
      <c r="AN8" s="51">
        <f t="shared" si="15"/>
        <v>0</v>
      </c>
      <c r="AP8" s="53">
        <f t="shared" si="16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"/>
        <v>0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/>
      <c r="AB9" s="55"/>
      <c r="AC9" s="42"/>
      <c r="AD9" s="46">
        <f>U9*1%</f>
        <v>18.150000000000002</v>
      </c>
      <c r="AE9" s="47">
        <f t="shared" si="8"/>
        <v>597.76</v>
      </c>
      <c r="AF9" s="46"/>
      <c r="AG9" s="48">
        <f t="shared" si="9"/>
        <v>1815</v>
      </c>
      <c r="AH9" s="49">
        <f t="shared" si="10"/>
        <v>123</v>
      </c>
      <c r="AI9" s="49">
        <f t="shared" si="11"/>
        <v>780.45</v>
      </c>
      <c r="AJ9" s="49">
        <f t="shared" si="12"/>
        <v>295.64</v>
      </c>
      <c r="AK9" s="49">
        <f t="shared" si="13"/>
        <v>0</v>
      </c>
      <c r="AL9" s="49">
        <f t="array" ref="AL9">_xlfn.IFS(R9=0,AE9,R9&lt;0,AE9/-R9,R9&gt;0,AE9/R9)</f>
        <v>597.76</v>
      </c>
      <c r="AM9" s="50">
        <f t="shared" si="14"/>
        <v>0.32934435261707989</v>
      </c>
      <c r="AN9" s="51">
        <f t="shared" si="15"/>
        <v>4.8598373983739833</v>
      </c>
      <c r="AP9" s="53">
        <f t="shared" si="16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"/>
        <v>0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/>
      <c r="AB10" s="55"/>
      <c r="AC10" s="42"/>
      <c r="AD10" s="46">
        <f>U10*1%</f>
        <v>0</v>
      </c>
      <c r="AE10" s="47">
        <f t="shared" si="8"/>
        <v>-93.54</v>
      </c>
      <c r="AF10" s="46"/>
      <c r="AG10" s="48">
        <f t="shared" si="9"/>
        <v>0</v>
      </c>
      <c r="AH10" s="49">
        <f t="shared" si="10"/>
        <v>169.89</v>
      </c>
      <c r="AI10" s="49">
        <f t="shared" si="11"/>
        <v>0</v>
      </c>
      <c r="AJ10" s="49">
        <f t="shared" si="12"/>
        <v>93.54</v>
      </c>
      <c r="AK10" s="49">
        <f t="shared" si="13"/>
        <v>0</v>
      </c>
      <c r="AL10" s="49">
        <f t="array" ref="AL10">_xlfn.IFS(R10=0,AE10,R10&lt;0,AE10/-R10,R10&gt;0,AE10/R10)</f>
        <v>-93.54</v>
      </c>
      <c r="AM10" s="50">
        <f t="shared" si="14"/>
        <v>0</v>
      </c>
      <c r="AN10" s="51">
        <f t="shared" si="15"/>
        <v>-0.55059155924421688</v>
      </c>
      <c r="AP10" s="53">
        <f t="shared" si="16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/>
      <c r="AB11" s="55"/>
      <c r="AC11" s="42"/>
      <c r="AD11" s="46">
        <f>U11*1%</f>
        <v>0</v>
      </c>
      <c r="AE11" s="47">
        <f t="shared" si="8"/>
        <v>0</v>
      </c>
      <c r="AF11" s="46"/>
      <c r="AG11" s="48">
        <f t="shared" si="9"/>
        <v>0</v>
      </c>
      <c r="AH11" s="49">
        <f t="shared" si="10"/>
        <v>169.89</v>
      </c>
      <c r="AI11" s="49">
        <f t="shared" si="11"/>
        <v>0</v>
      </c>
      <c r="AJ11" s="49">
        <f t="shared" si="12"/>
        <v>0</v>
      </c>
      <c r="AK11" s="49">
        <f t="shared" si="13"/>
        <v>0</v>
      </c>
      <c r="AL11" s="49">
        <f t="array" ref="AL11">_xlfn.IFS(R11=0,AE11,R11&lt;0,AE11/-R11,R11&gt;0,AE11/R11)</f>
        <v>0</v>
      </c>
      <c r="AM11" s="50">
        <f t="shared" si="14"/>
        <v>0</v>
      </c>
      <c r="AN11" s="51">
        <f t="shared" si="15"/>
        <v>0</v>
      </c>
      <c r="AP11" s="53">
        <f t="shared" si="16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/>
      <c r="AB12" s="55"/>
      <c r="AC12" s="42"/>
      <c r="AD12" s="46">
        <f>U12*1%</f>
        <v>21.8</v>
      </c>
      <c r="AE12" s="47">
        <f t="shared" si="8"/>
        <v>698.36000000000013</v>
      </c>
      <c r="AF12" s="46"/>
      <c r="AG12" s="48">
        <f t="shared" si="9"/>
        <v>1090</v>
      </c>
      <c r="AH12" s="49">
        <f t="shared" si="10"/>
        <v>169.89</v>
      </c>
      <c r="AI12" s="49">
        <f t="shared" si="11"/>
        <v>468.7</v>
      </c>
      <c r="AJ12" s="49">
        <f t="shared" si="12"/>
        <v>91.33</v>
      </c>
      <c r="AK12" s="49">
        <f t="shared" si="13"/>
        <v>0</v>
      </c>
      <c r="AL12" s="49">
        <f t="array" ref="AL12">_xlfn.IFS(R12=0,AE12,R12&lt;0,AE12/-R12,R12&gt;0,AE12/R12)</f>
        <v>349.18000000000006</v>
      </c>
      <c r="AM12" s="50">
        <f t="shared" si="14"/>
        <v>0.32034862385321106</v>
      </c>
      <c r="AN12" s="51">
        <f t="shared" si="15"/>
        <v>2.0553299193595862</v>
      </c>
      <c r="AP12" s="53">
        <f t="shared" si="16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"/>
        <v>0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/>
      <c r="AB13" s="55"/>
      <c r="AC13" s="42"/>
      <c r="AD13" s="46">
        <f>U13*1%</f>
        <v>13.870000000000001</v>
      </c>
      <c r="AE13" s="47">
        <f t="shared" si="8"/>
        <v>497.35000000000014</v>
      </c>
      <c r="AF13" s="46"/>
      <c r="AG13" s="48">
        <f t="shared" si="9"/>
        <v>1387</v>
      </c>
      <c r="AH13" s="49">
        <f t="shared" si="10"/>
        <v>169.89</v>
      </c>
      <c r="AI13" s="49">
        <f t="shared" si="11"/>
        <v>596.41</v>
      </c>
      <c r="AJ13" s="49">
        <f t="shared" si="12"/>
        <v>109.48</v>
      </c>
      <c r="AK13" s="49">
        <f t="shared" si="13"/>
        <v>0</v>
      </c>
      <c r="AL13" s="49">
        <f t="array" ref="AL13">_xlfn.IFS(R13=0,AE13,R13&lt;0,AE13/-R13,R13&gt;0,AE13/R13)</f>
        <v>497.35000000000014</v>
      </c>
      <c r="AM13" s="50">
        <f t="shared" si="14"/>
        <v>0.35857966834895466</v>
      </c>
      <c r="AN13" s="51">
        <f t="shared" si="15"/>
        <v>2.9274824886691397</v>
      </c>
      <c r="AP13" s="53">
        <f t="shared" si="16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/>
      <c r="AB14" s="55"/>
      <c r="AC14" s="42"/>
      <c r="AD14" s="46">
        <f>U14*1%</f>
        <v>14.290000000000001</v>
      </c>
      <c r="AE14" s="47">
        <f t="shared" si="8"/>
        <v>531.56000000000017</v>
      </c>
      <c r="AF14" s="46"/>
      <c r="AG14" s="48">
        <f t="shared" si="9"/>
        <v>1429</v>
      </c>
      <c r="AH14" s="49">
        <f t="shared" si="10"/>
        <v>169.89</v>
      </c>
      <c r="AI14" s="49">
        <f t="shared" si="11"/>
        <v>614.47</v>
      </c>
      <c r="AJ14" s="49">
        <f t="shared" si="12"/>
        <v>98.79</v>
      </c>
      <c r="AK14" s="49">
        <f t="shared" si="13"/>
        <v>0</v>
      </c>
      <c r="AL14" s="49">
        <f t="array" ref="AL14">_xlfn.IFS(R14=0,AE14,R14&lt;0,AE14/-R14,R14&gt;0,AE14/R14)</f>
        <v>531.56000000000017</v>
      </c>
      <c r="AM14" s="50">
        <f t="shared" si="14"/>
        <v>0.37198040587823666</v>
      </c>
      <c r="AN14" s="51">
        <f t="shared" si="15"/>
        <v>3.128848078168228</v>
      </c>
      <c r="AP14" s="53">
        <f t="shared" si="16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"/>
        <v>0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/>
      <c r="AB15" s="55"/>
      <c r="AC15" s="42"/>
      <c r="AD15" s="46">
        <f>U15*1%</f>
        <v>26.7</v>
      </c>
      <c r="AE15" s="47">
        <f t="shared" si="8"/>
        <v>759.00000000000034</v>
      </c>
      <c r="AF15" s="46"/>
      <c r="AG15" s="48">
        <f t="shared" si="9"/>
        <v>1335</v>
      </c>
      <c r="AH15" s="49">
        <f t="shared" si="10"/>
        <v>169.89</v>
      </c>
      <c r="AI15" s="49">
        <f t="shared" si="11"/>
        <v>574.04999999999995</v>
      </c>
      <c r="AJ15" s="49">
        <f t="shared" si="12"/>
        <v>198.20999999999998</v>
      </c>
      <c r="AK15" s="49">
        <f t="shared" si="13"/>
        <v>0</v>
      </c>
      <c r="AL15" s="49">
        <f t="array" ref="AL15">_xlfn.IFS(R15=0,AE15,R15&lt;0,AE15/-R15,R15&gt;0,AE15/R15)</f>
        <v>379.50000000000017</v>
      </c>
      <c r="AM15" s="50">
        <f t="shared" si="14"/>
        <v>0.28426966292134842</v>
      </c>
      <c r="AN15" s="51">
        <f t="shared" si="15"/>
        <v>2.2337983401024202</v>
      </c>
      <c r="AP15" s="53">
        <f t="shared" si="16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"/>
        <v>0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/>
      <c r="AB16" s="55"/>
      <c r="AC16" s="42"/>
      <c r="AD16" s="46">
        <f>U16*1%</f>
        <v>25.830000000000002</v>
      </c>
      <c r="AE16" s="47">
        <f t="shared" si="8"/>
        <v>882.82000000000016</v>
      </c>
      <c r="AF16" s="46"/>
      <c r="AG16" s="48">
        <f t="shared" si="9"/>
        <v>1291.5</v>
      </c>
      <c r="AH16" s="49">
        <f t="shared" si="10"/>
        <v>169.89</v>
      </c>
      <c r="AI16" s="49">
        <f t="shared" si="11"/>
        <v>555.34500000000003</v>
      </c>
      <c r="AJ16" s="49">
        <f t="shared" si="12"/>
        <v>111.94</v>
      </c>
      <c r="AK16" s="49">
        <f t="shared" si="13"/>
        <v>0</v>
      </c>
      <c r="AL16" s="49">
        <f t="array" ref="AL16">_xlfn.IFS(R16=0,AE16,R16&lt;0,AE16/-R16,R16&gt;0,AE16/R16)</f>
        <v>441.41000000000008</v>
      </c>
      <c r="AM16" s="50">
        <f t="shared" si="14"/>
        <v>0.34178087495160669</v>
      </c>
      <c r="AN16" s="51">
        <f t="shared" si="15"/>
        <v>2.5982106068632653</v>
      </c>
      <c r="AP16" s="53">
        <f t="shared" si="16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ref="N17:N24" si="17"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/>
      <c r="AB17" s="55"/>
      <c r="AC17" s="42"/>
      <c r="AD17" s="46">
        <f>U17*1%</f>
        <v>0</v>
      </c>
      <c r="AE17" s="47">
        <f t="shared" si="8"/>
        <v>0</v>
      </c>
      <c r="AF17" s="46"/>
      <c r="AG17" s="48">
        <f t="shared" si="9"/>
        <v>0</v>
      </c>
      <c r="AH17" s="49">
        <f t="shared" si="10"/>
        <v>1002.82</v>
      </c>
      <c r="AI17" s="49">
        <f t="shared" si="11"/>
        <v>0</v>
      </c>
      <c r="AJ17" s="49">
        <f t="shared" si="12"/>
        <v>0</v>
      </c>
      <c r="AK17" s="49">
        <f t="shared" si="13"/>
        <v>0</v>
      </c>
      <c r="AL17" s="49">
        <f t="array" ref="AL17">_xlfn.IFS(R17=0,AE17,R17&lt;0,AE17/-R17,R17&gt;0,AE17/R17)</f>
        <v>0</v>
      </c>
      <c r="AM17" s="50">
        <f t="shared" si="14"/>
        <v>0</v>
      </c>
      <c r="AN17" s="51">
        <f t="shared" si="15"/>
        <v>0</v>
      </c>
      <c r="AP17" s="53">
        <f t="shared" si="16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7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/>
      <c r="AB18" s="55"/>
      <c r="AC18" s="42"/>
      <c r="AD18" s="46">
        <f>U18*1%</f>
        <v>0</v>
      </c>
      <c r="AE18" s="47">
        <f t="shared" si="8"/>
        <v>0</v>
      </c>
      <c r="AF18" s="46"/>
      <c r="AG18" s="48">
        <f t="shared" si="9"/>
        <v>0</v>
      </c>
      <c r="AH18" s="49">
        <f t="shared" si="10"/>
        <v>909.22</v>
      </c>
      <c r="AI18" s="49">
        <f t="shared" si="11"/>
        <v>0</v>
      </c>
      <c r="AJ18" s="49">
        <f t="shared" si="12"/>
        <v>0</v>
      </c>
      <c r="AK18" s="49">
        <f t="shared" si="13"/>
        <v>0</v>
      </c>
      <c r="AL18" s="49">
        <f t="array" ref="AL18">_xlfn.IFS(R18=0,AE18,R18&lt;0,AE18/-R18,R18&gt;0,AE18/R18)</f>
        <v>0</v>
      </c>
      <c r="AM18" s="50">
        <f t="shared" si="14"/>
        <v>0</v>
      </c>
      <c r="AN18" s="51">
        <f t="shared" si="15"/>
        <v>0</v>
      </c>
      <c r="AP18" s="53">
        <f t="shared" si="16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7"/>
        <v>0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/>
      <c r="AB19" s="55"/>
      <c r="AC19" s="42"/>
      <c r="AD19" s="46">
        <f>U19*1%</f>
        <v>0</v>
      </c>
      <c r="AE19" s="47">
        <f t="shared" si="8"/>
        <v>0</v>
      </c>
      <c r="AF19" s="46"/>
      <c r="AG19" s="48">
        <f t="shared" si="9"/>
        <v>0</v>
      </c>
      <c r="AH19" s="49">
        <f t="shared" si="10"/>
        <v>909.22</v>
      </c>
      <c r="AI19" s="49">
        <f t="shared" si="11"/>
        <v>0</v>
      </c>
      <c r="AJ19" s="49">
        <f t="shared" si="12"/>
        <v>0</v>
      </c>
      <c r="AK19" s="49">
        <f t="shared" si="13"/>
        <v>0</v>
      </c>
      <c r="AL19" s="49">
        <f t="array" ref="AL19">_xlfn.IFS(R19=0,AE19,R19&lt;0,AE19/-R19,R19&gt;0,AE19/R19)</f>
        <v>0</v>
      </c>
      <c r="AM19" s="50">
        <f t="shared" si="14"/>
        <v>0</v>
      </c>
      <c r="AN19" s="51">
        <f t="shared" si="15"/>
        <v>0</v>
      </c>
      <c r="AP19" s="53">
        <f t="shared" si="16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7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/>
      <c r="AB20" s="55"/>
      <c r="AC20" s="42"/>
      <c r="AD20" s="46">
        <f>U20*1%</f>
        <v>0</v>
      </c>
      <c r="AE20" s="47">
        <f t="shared" si="8"/>
        <v>0</v>
      </c>
      <c r="AF20" s="46"/>
      <c r="AG20" s="48">
        <f t="shared" si="9"/>
        <v>0</v>
      </c>
      <c r="AH20" s="49">
        <f t="shared" si="10"/>
        <v>932.62</v>
      </c>
      <c r="AI20" s="49">
        <f t="shared" si="11"/>
        <v>0</v>
      </c>
      <c r="AJ20" s="49">
        <f t="shared" si="12"/>
        <v>0</v>
      </c>
      <c r="AK20" s="49">
        <f t="shared" si="13"/>
        <v>0</v>
      </c>
      <c r="AL20" s="49">
        <f t="array" ref="AL20">_xlfn.IFS(R20=0,AE20,R20&lt;0,AE20/-R20,R20&gt;0,AE20/R20)</f>
        <v>0</v>
      </c>
      <c r="AM20" s="50">
        <f t="shared" si="14"/>
        <v>0</v>
      </c>
      <c r="AN20" s="51">
        <f t="shared" si="15"/>
        <v>0</v>
      </c>
      <c r="AP20" s="53">
        <f t="shared" si="16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7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/>
      <c r="AB21" s="55"/>
      <c r="AC21" s="42"/>
      <c r="AD21" s="46">
        <f>U21*1%</f>
        <v>0</v>
      </c>
      <c r="AE21" s="47">
        <f t="shared" si="8"/>
        <v>0</v>
      </c>
      <c r="AF21" s="46"/>
      <c r="AG21" s="48">
        <f t="shared" si="9"/>
        <v>0</v>
      </c>
      <c r="AH21" s="49">
        <f t="shared" si="10"/>
        <v>1014.52</v>
      </c>
      <c r="AI21" s="49">
        <f t="shared" si="11"/>
        <v>0</v>
      </c>
      <c r="AJ21" s="49">
        <f t="shared" si="12"/>
        <v>0</v>
      </c>
      <c r="AK21" s="49">
        <f t="shared" si="13"/>
        <v>0</v>
      </c>
      <c r="AL21" s="49">
        <f t="array" ref="AL21">_xlfn.IFS(R21=0,AE21,R21&lt;0,AE21/-R21,R21&gt;0,AE21/R21)</f>
        <v>0</v>
      </c>
      <c r="AM21" s="50">
        <f t="shared" si="14"/>
        <v>0</v>
      </c>
      <c r="AN21" s="51">
        <f t="shared" si="15"/>
        <v>0</v>
      </c>
      <c r="AP21" s="53">
        <f t="shared" si="16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7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/>
      <c r="AB22" s="55"/>
      <c r="AC22" s="42"/>
      <c r="AD22" s="46">
        <f>U22*1%</f>
        <v>0</v>
      </c>
      <c r="AE22" s="47">
        <f t="shared" si="8"/>
        <v>0</v>
      </c>
      <c r="AF22" s="46"/>
      <c r="AG22" s="48">
        <f t="shared" si="9"/>
        <v>0</v>
      </c>
      <c r="AH22" s="49">
        <f t="shared" si="10"/>
        <v>1014.52</v>
      </c>
      <c r="AI22" s="49">
        <f t="shared" si="11"/>
        <v>0</v>
      </c>
      <c r="AJ22" s="49">
        <f t="shared" si="12"/>
        <v>0</v>
      </c>
      <c r="AK22" s="49">
        <f t="shared" si="13"/>
        <v>0</v>
      </c>
      <c r="AL22" s="49">
        <f t="array" ref="AL22">_xlfn.IFS(R22=0,AE22,R22&lt;0,AE22/-R22,R22&gt;0,AE22/R22)</f>
        <v>0</v>
      </c>
      <c r="AM22" s="50">
        <f t="shared" si="14"/>
        <v>0</v>
      </c>
      <c r="AN22" s="51">
        <f t="shared" si="15"/>
        <v>0</v>
      </c>
      <c r="AP22" s="53">
        <f t="shared" si="16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7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/>
      <c r="AB23" s="55"/>
      <c r="AC23" s="42"/>
      <c r="AD23" s="46">
        <f>U23*1%</f>
        <v>0</v>
      </c>
      <c r="AE23" s="47">
        <f t="shared" si="8"/>
        <v>0</v>
      </c>
      <c r="AF23" s="46"/>
      <c r="AG23" s="48">
        <f t="shared" si="9"/>
        <v>0</v>
      </c>
      <c r="AH23" s="49">
        <f t="shared" si="10"/>
        <v>1014.52</v>
      </c>
      <c r="AI23" s="49">
        <f t="shared" si="11"/>
        <v>0</v>
      </c>
      <c r="AJ23" s="49">
        <f t="shared" si="12"/>
        <v>0</v>
      </c>
      <c r="AK23" s="49">
        <f t="shared" si="13"/>
        <v>0</v>
      </c>
      <c r="AL23" s="49">
        <f t="array" ref="AL23">_xlfn.IFS(R23=0,AE23,R23&lt;0,AE23/-R23,R23&gt;0,AE23/R23)</f>
        <v>0</v>
      </c>
      <c r="AM23" s="50">
        <f t="shared" si="14"/>
        <v>0</v>
      </c>
      <c r="AN23" s="51">
        <f t="shared" si="15"/>
        <v>0</v>
      </c>
      <c r="AP23" s="53">
        <f t="shared" si="16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7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/>
      <c r="AB24" s="55"/>
      <c r="AC24" s="42"/>
      <c r="AD24" s="46">
        <f>U24*1%</f>
        <v>0</v>
      </c>
      <c r="AE24" s="47">
        <f t="shared" si="8"/>
        <v>0</v>
      </c>
      <c r="AF24" s="46"/>
      <c r="AG24" s="48">
        <f t="shared" si="9"/>
        <v>0</v>
      </c>
      <c r="AH24" s="49">
        <f t="shared" si="10"/>
        <v>991.12</v>
      </c>
      <c r="AI24" s="49">
        <f t="shared" si="11"/>
        <v>0</v>
      </c>
      <c r="AJ24" s="49">
        <f t="shared" si="12"/>
        <v>0</v>
      </c>
      <c r="AK24" s="49">
        <f t="shared" si="13"/>
        <v>0</v>
      </c>
      <c r="AL24" s="49">
        <f t="array" ref="AL24">_xlfn.IFS(R24=0,AE24,R24&lt;0,AE24/-R24,R24&gt;0,AE24/R24)</f>
        <v>0</v>
      </c>
      <c r="AM24" s="50">
        <f t="shared" si="14"/>
        <v>0</v>
      </c>
      <c r="AN24" s="51">
        <f t="shared" si="15"/>
        <v>0</v>
      </c>
      <c r="AP24" s="53">
        <f t="shared" si="16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 t="e">
        <f t="shared" si="18"/>
        <v>#DIV/0!</v>
      </c>
      <c r="AL25" s="58">
        <f t="shared" si="18"/>
        <v>435.79152117768609</v>
      </c>
      <c r="AM25" s="59">
        <f t="shared" si="18"/>
        <v>0.33790155717698578</v>
      </c>
      <c r="AN25" s="59">
        <f t="shared" si="18"/>
        <v>3.0712495348270719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64">
        <f>IFERROR(P26*AA51/P51,0)</f>
        <v>24016.688333333332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30200.090000000007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/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/>
      <c r="AB28" s="55"/>
      <c r="AC28" s="42"/>
      <c r="AD28" s="46">
        <f>U28*1%</f>
        <v>0</v>
      </c>
      <c r="AE28" s="47">
        <f t="shared" ref="AE28:AE47" si="28">U28-W28-X28-Z28-AA28-AB28-AC28-AD28</f>
        <v>0</v>
      </c>
      <c r="AF28" s="46"/>
      <c r="AG28" s="48">
        <f t="shared" ref="AG28:AG47" si="29">IF(R28=0,0,U28/R28)</f>
        <v>0</v>
      </c>
      <c r="AH28" s="49">
        <f t="shared" ref="AH28:AH47" si="30">H28</f>
        <v>672</v>
      </c>
      <c r="AI28" s="49">
        <f t="shared" ref="AI28:AI47" si="31">IF(R28=0,0,X28/R28)</f>
        <v>0</v>
      </c>
      <c r="AJ28" s="49">
        <f t="shared" ref="AJ28:AJ47" si="32">IF(P28=0,Z28/1,Z28/P28)</f>
        <v>0</v>
      </c>
      <c r="AK28" s="49">
        <f t="shared" ref="AK28:AK47" si="33">IF(P28=0,0,AA28/P28)</f>
        <v>0</v>
      </c>
      <c r="AL28" s="49">
        <f t="array" ref="AL28">_xlfn.IFS(R28=0,AE28,R28&lt;0,AE28/-R28,R28&gt;0,AE28/R28)</f>
        <v>0</v>
      </c>
      <c r="AM28" s="50">
        <f t="shared" ref="AM28:AM47" si="34">IF(AG28=0,0,AL28/AG28)</f>
        <v>0</v>
      </c>
      <c r="AN28" s="51">
        <f t="shared" ref="AN28:AN47" si="35">IF(AH28=0,0,AL28/AH28)</f>
        <v>0</v>
      </c>
      <c r="AP28" s="53">
        <f t="shared" ref="AP28:AP47" si="36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/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/>
      <c r="AB29" s="55"/>
      <c r="AC29" s="42"/>
      <c r="AD29" s="46">
        <f>U29*1%</f>
        <v>0</v>
      </c>
      <c r="AE29" s="47">
        <f t="shared" si="28"/>
        <v>0</v>
      </c>
      <c r="AF29" s="46"/>
      <c r="AG29" s="48">
        <f t="shared" si="29"/>
        <v>0</v>
      </c>
      <c r="AH29" s="49">
        <f t="shared" si="30"/>
        <v>627</v>
      </c>
      <c r="AI29" s="49">
        <f t="shared" si="31"/>
        <v>0</v>
      </c>
      <c r="AJ29" s="49">
        <f t="shared" si="32"/>
        <v>0</v>
      </c>
      <c r="AK29" s="49">
        <f t="shared" si="33"/>
        <v>0</v>
      </c>
      <c r="AL29" s="49">
        <f t="array" ref="AL29">_xlfn.IFS(R29=0,AE29,R29&lt;0,AE29/-R29,R29&gt;0,AE29/R29)</f>
        <v>0</v>
      </c>
      <c r="AM29" s="50">
        <f t="shared" si="34"/>
        <v>0</v>
      </c>
      <c r="AN29" s="51">
        <f t="shared" si="35"/>
        <v>0</v>
      </c>
      <c r="AP29" s="53">
        <f t="shared" si="36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/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/>
      <c r="AB30" s="55"/>
      <c r="AC30" s="42"/>
      <c r="AD30" s="46">
        <f>U30*1%</f>
        <v>0</v>
      </c>
      <c r="AE30" s="47">
        <f t="shared" si="28"/>
        <v>0</v>
      </c>
      <c r="AF30" s="46"/>
      <c r="AG30" s="48">
        <f t="shared" si="29"/>
        <v>0</v>
      </c>
      <c r="AH30" s="49">
        <f t="shared" si="30"/>
        <v>627</v>
      </c>
      <c r="AI30" s="49">
        <f t="shared" si="31"/>
        <v>0</v>
      </c>
      <c r="AJ30" s="49">
        <f t="shared" si="32"/>
        <v>0</v>
      </c>
      <c r="AK30" s="49">
        <f t="shared" si="33"/>
        <v>0</v>
      </c>
      <c r="AL30" s="49">
        <f t="array" ref="AL30">_xlfn.IFS(R30=0,AE30,R30&lt;0,AE30/-R30,R30&gt;0,AE30/R30)</f>
        <v>0</v>
      </c>
      <c r="AM30" s="50">
        <f t="shared" si="34"/>
        <v>0</v>
      </c>
      <c r="AN30" s="51">
        <f t="shared" si="35"/>
        <v>0</v>
      </c>
      <c r="AP30" s="53">
        <f t="shared" si="36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/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/>
      <c r="AB31" s="55"/>
      <c r="AC31" s="42"/>
      <c r="AD31" s="46">
        <f>U31*1%</f>
        <v>0</v>
      </c>
      <c r="AE31" s="47">
        <f t="shared" si="28"/>
        <v>0</v>
      </c>
      <c r="AF31" s="46"/>
      <c r="AG31" s="48">
        <f t="shared" si="29"/>
        <v>0</v>
      </c>
      <c r="AH31" s="49">
        <f t="shared" si="30"/>
        <v>567</v>
      </c>
      <c r="AI31" s="49">
        <f t="shared" si="31"/>
        <v>0</v>
      </c>
      <c r="AJ31" s="49">
        <f t="shared" si="32"/>
        <v>0</v>
      </c>
      <c r="AK31" s="49">
        <f t="shared" si="33"/>
        <v>0</v>
      </c>
      <c r="AL31" s="49">
        <f t="array" ref="AL31">_xlfn.IFS(R31=0,AE31,R31&lt;0,AE31/-R31,R31&gt;0,AE31/R31)</f>
        <v>0</v>
      </c>
      <c r="AM31" s="50">
        <f t="shared" si="34"/>
        <v>0</v>
      </c>
      <c r="AN31" s="51">
        <f t="shared" si="35"/>
        <v>0</v>
      </c>
      <c r="AP31" s="53">
        <f t="shared" si="36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/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/>
      <c r="AB32" s="55"/>
      <c r="AC32" s="42"/>
      <c r="AD32" s="46">
        <f>U32*1%</f>
        <v>0</v>
      </c>
      <c r="AE32" s="47">
        <f t="shared" si="28"/>
        <v>0</v>
      </c>
      <c r="AF32" s="46"/>
      <c r="AG32" s="48">
        <f t="shared" si="29"/>
        <v>0</v>
      </c>
      <c r="AH32" s="49">
        <f t="shared" si="30"/>
        <v>567</v>
      </c>
      <c r="AI32" s="49">
        <f t="shared" si="31"/>
        <v>0</v>
      </c>
      <c r="AJ32" s="49">
        <f t="shared" si="32"/>
        <v>0</v>
      </c>
      <c r="AK32" s="49">
        <f t="shared" si="33"/>
        <v>0</v>
      </c>
      <c r="AL32" s="49">
        <f t="array" ref="AL32">_xlfn.IFS(R32=0,AE32,R32&lt;0,AE32/-R32,R32&gt;0,AE32/R32)</f>
        <v>0</v>
      </c>
      <c r="AM32" s="50">
        <f t="shared" si="34"/>
        <v>0</v>
      </c>
      <c r="AN32" s="51">
        <f t="shared" si="35"/>
        <v>0</v>
      </c>
      <c r="AP32" s="53">
        <f t="shared" si="36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/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/>
      <c r="AB33" s="55"/>
      <c r="AC33" s="42"/>
      <c r="AD33" s="46">
        <f>U33*1%</f>
        <v>0</v>
      </c>
      <c r="AE33" s="47">
        <f t="shared" si="28"/>
        <v>0</v>
      </c>
      <c r="AF33" s="46"/>
      <c r="AG33" s="48">
        <f t="shared" si="29"/>
        <v>0</v>
      </c>
      <c r="AH33" s="49">
        <f t="shared" si="30"/>
        <v>657</v>
      </c>
      <c r="AI33" s="49">
        <f t="shared" si="31"/>
        <v>0</v>
      </c>
      <c r="AJ33" s="49">
        <f t="shared" si="32"/>
        <v>0</v>
      </c>
      <c r="AK33" s="49">
        <f t="shared" si="33"/>
        <v>0</v>
      </c>
      <c r="AL33" s="49">
        <f t="array" ref="AL33">_xlfn.IFS(R33=0,AE33,R33&lt;0,AE33/-R33,R33&gt;0,AE33/R33)</f>
        <v>0</v>
      </c>
      <c r="AM33" s="50">
        <f t="shared" si="34"/>
        <v>0</v>
      </c>
      <c r="AN33" s="51">
        <f t="shared" si="35"/>
        <v>0</v>
      </c>
      <c r="AP33" s="53">
        <f t="shared" si="36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/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/>
      <c r="AB34" s="55"/>
      <c r="AC34" s="42"/>
      <c r="AD34" s="46">
        <f>U34*1%</f>
        <v>0</v>
      </c>
      <c r="AE34" s="47">
        <f t="shared" si="28"/>
        <v>0</v>
      </c>
      <c r="AF34" s="46"/>
      <c r="AG34" s="48">
        <f t="shared" si="29"/>
        <v>0</v>
      </c>
      <c r="AH34" s="49">
        <f t="shared" si="30"/>
        <v>597</v>
      </c>
      <c r="AI34" s="49">
        <f t="shared" si="31"/>
        <v>0</v>
      </c>
      <c r="AJ34" s="49">
        <f t="shared" si="32"/>
        <v>0</v>
      </c>
      <c r="AK34" s="49">
        <f t="shared" si="33"/>
        <v>0</v>
      </c>
      <c r="AL34" s="49">
        <f t="array" ref="AL34">_xlfn.IFS(R34=0,AE34,R34&lt;0,AE34/-R34,R34&gt;0,AE34/R34)</f>
        <v>0</v>
      </c>
      <c r="AM34" s="50">
        <f t="shared" si="34"/>
        <v>0</v>
      </c>
      <c r="AN34" s="51">
        <f t="shared" si="35"/>
        <v>0</v>
      </c>
      <c r="AP34" s="53">
        <f t="shared" si="36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/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/>
      <c r="AB35" s="55"/>
      <c r="AC35" s="42"/>
      <c r="AD35" s="46">
        <f>U35*1%</f>
        <v>0</v>
      </c>
      <c r="AE35" s="47">
        <f t="shared" si="28"/>
        <v>0</v>
      </c>
      <c r="AF35" s="46"/>
      <c r="AG35" s="48">
        <f t="shared" si="29"/>
        <v>0</v>
      </c>
      <c r="AH35" s="49">
        <f t="shared" si="30"/>
        <v>552</v>
      </c>
      <c r="AI35" s="49">
        <f t="shared" si="31"/>
        <v>0</v>
      </c>
      <c r="AJ35" s="49">
        <f t="shared" si="32"/>
        <v>0</v>
      </c>
      <c r="AK35" s="49">
        <f t="shared" si="33"/>
        <v>0</v>
      </c>
      <c r="AL35" s="49">
        <f t="array" ref="AL35">_xlfn.IFS(R35=0,AE35,R35&lt;0,AE35/-R35,R35&gt;0,AE35/R35)</f>
        <v>0</v>
      </c>
      <c r="AM35" s="50">
        <f t="shared" si="34"/>
        <v>0</v>
      </c>
      <c r="AN35" s="51">
        <f t="shared" si="35"/>
        <v>0</v>
      </c>
      <c r="AP35" s="53">
        <f t="shared" si="36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/>
      <c r="L36" s="36"/>
      <c r="M36" s="36"/>
      <c r="N36" s="37">
        <f t="shared" si="21"/>
        <v>0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/>
      <c r="AB36" s="55"/>
      <c r="AC36" s="42"/>
      <c r="AD36" s="46">
        <f>U36*1%</f>
        <v>0</v>
      </c>
      <c r="AE36" s="47">
        <f t="shared" si="28"/>
        <v>0</v>
      </c>
      <c r="AF36" s="46"/>
      <c r="AG36" s="48">
        <f t="shared" si="29"/>
        <v>0</v>
      </c>
      <c r="AH36" s="49">
        <f t="shared" si="30"/>
        <v>552</v>
      </c>
      <c r="AI36" s="49">
        <f t="shared" si="31"/>
        <v>0</v>
      </c>
      <c r="AJ36" s="49">
        <f t="shared" si="32"/>
        <v>0</v>
      </c>
      <c r="AK36" s="49">
        <f t="shared" si="33"/>
        <v>0</v>
      </c>
      <c r="AL36" s="49">
        <f t="array" ref="AL36">_xlfn.IFS(R36=0,AE36,R36&lt;0,AE36/-R36,R36&gt;0,AE36/R36)</f>
        <v>0</v>
      </c>
      <c r="AM36" s="50">
        <f t="shared" si="34"/>
        <v>0</v>
      </c>
      <c r="AN36" s="51">
        <f t="shared" si="35"/>
        <v>0</v>
      </c>
      <c r="AP36" s="53">
        <f t="shared" si="36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/>
      <c r="L37" s="36"/>
      <c r="M37" s="36"/>
      <c r="N37" s="37">
        <f t="shared" si="21"/>
        <v>0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/>
      <c r="AB37" s="55"/>
      <c r="AC37" s="42"/>
      <c r="AD37" s="46">
        <f>U37*1%</f>
        <v>0</v>
      </c>
      <c r="AE37" s="47">
        <f t="shared" si="28"/>
        <v>-113.88</v>
      </c>
      <c r="AF37" s="46"/>
      <c r="AG37" s="48">
        <f t="shared" si="29"/>
        <v>0</v>
      </c>
      <c r="AH37" s="49">
        <f t="shared" si="30"/>
        <v>687</v>
      </c>
      <c r="AI37" s="49">
        <f t="shared" si="31"/>
        <v>0</v>
      </c>
      <c r="AJ37" s="49">
        <f t="shared" si="32"/>
        <v>113.88</v>
      </c>
      <c r="AK37" s="49">
        <f t="shared" si="33"/>
        <v>0</v>
      </c>
      <c r="AL37" s="49">
        <f t="array" ref="AL37">_xlfn.IFS(R37=0,AE37,R37&lt;0,AE37/-R37,R37&gt;0,AE37/R37)</f>
        <v>-113.88</v>
      </c>
      <c r="AM37" s="50">
        <f t="shared" si="34"/>
        <v>0</v>
      </c>
      <c r="AN37" s="51">
        <f t="shared" si="35"/>
        <v>-0.16576419213973798</v>
      </c>
      <c r="AP37" s="53">
        <f t="shared" si="36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/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/>
      <c r="AB38" s="55"/>
      <c r="AC38" s="42"/>
      <c r="AD38" s="46">
        <f>U38*1%</f>
        <v>0</v>
      </c>
      <c r="AE38" s="47">
        <f t="shared" si="28"/>
        <v>0</v>
      </c>
      <c r="AF38" s="46"/>
      <c r="AG38" s="48">
        <f t="shared" si="29"/>
        <v>0</v>
      </c>
      <c r="AH38" s="49">
        <f t="shared" si="30"/>
        <v>687</v>
      </c>
      <c r="AI38" s="49">
        <f t="shared" si="31"/>
        <v>0</v>
      </c>
      <c r="AJ38" s="49">
        <f t="shared" si="32"/>
        <v>0</v>
      </c>
      <c r="AK38" s="49">
        <f t="shared" si="33"/>
        <v>0</v>
      </c>
      <c r="AL38" s="49">
        <f t="array" ref="AL38">_xlfn.IFS(R38=0,AE38,R38&lt;0,AE38/-R38,R38&gt;0,AE38/R38)</f>
        <v>0</v>
      </c>
      <c r="AM38" s="50">
        <f t="shared" si="34"/>
        <v>0</v>
      </c>
      <c r="AN38" s="51">
        <f t="shared" si="35"/>
        <v>0</v>
      </c>
      <c r="AP38" s="53">
        <f t="shared" si="36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/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/>
      <c r="AB39" s="55"/>
      <c r="AC39" s="42"/>
      <c r="AD39" s="46">
        <f>U39*1%</f>
        <v>0</v>
      </c>
      <c r="AE39" s="47">
        <f t="shared" si="28"/>
        <v>0</v>
      </c>
      <c r="AF39" s="46"/>
      <c r="AG39" s="48">
        <f t="shared" si="29"/>
        <v>0</v>
      </c>
      <c r="AH39" s="49">
        <f t="shared" si="30"/>
        <v>597</v>
      </c>
      <c r="AI39" s="49">
        <f t="shared" si="31"/>
        <v>0</v>
      </c>
      <c r="AJ39" s="49">
        <f t="shared" si="32"/>
        <v>0</v>
      </c>
      <c r="AK39" s="49">
        <f t="shared" si="33"/>
        <v>0</v>
      </c>
      <c r="AL39" s="49">
        <f t="array" ref="AL39">_xlfn.IFS(R39=0,AE39,R39&lt;0,AE39/-R39,R39&gt;0,AE39/R39)</f>
        <v>0</v>
      </c>
      <c r="AM39" s="50">
        <f t="shared" si="34"/>
        <v>0</v>
      </c>
      <c r="AN39" s="51">
        <f t="shared" si="35"/>
        <v>0</v>
      </c>
      <c r="AP39" s="53">
        <f t="shared" si="36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/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/>
      <c r="AB40" s="55"/>
      <c r="AC40" s="42"/>
      <c r="AD40" s="46">
        <f>U40*1%</f>
        <v>0</v>
      </c>
      <c r="AE40" s="47">
        <f t="shared" si="28"/>
        <v>0</v>
      </c>
      <c r="AF40" s="46"/>
      <c r="AG40" s="48">
        <f t="shared" si="29"/>
        <v>0</v>
      </c>
      <c r="AH40" s="49">
        <f t="shared" si="30"/>
        <v>597</v>
      </c>
      <c r="AI40" s="49">
        <f t="shared" si="31"/>
        <v>0</v>
      </c>
      <c r="AJ40" s="49">
        <f t="shared" si="32"/>
        <v>0</v>
      </c>
      <c r="AK40" s="49">
        <f t="shared" si="33"/>
        <v>0</v>
      </c>
      <c r="AL40" s="49">
        <f t="array" ref="AL40">_xlfn.IFS(R40=0,AE40,R40&lt;0,AE40/-R40,R40&gt;0,AE40/R40)</f>
        <v>0</v>
      </c>
      <c r="AM40" s="50">
        <f t="shared" si="34"/>
        <v>0</v>
      </c>
      <c r="AN40" s="51">
        <f t="shared" si="35"/>
        <v>0</v>
      </c>
      <c r="AP40" s="53">
        <f t="shared" si="36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/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/>
      <c r="AB41" s="55"/>
      <c r="AC41" s="42"/>
      <c r="AD41" s="46">
        <f>U41*1%</f>
        <v>0</v>
      </c>
      <c r="AE41" s="47">
        <f t="shared" si="28"/>
        <v>0</v>
      </c>
      <c r="AF41" s="46"/>
      <c r="AG41" s="48">
        <f t="shared" si="29"/>
        <v>0</v>
      </c>
      <c r="AH41" s="49">
        <f t="shared" si="30"/>
        <v>597</v>
      </c>
      <c r="AI41" s="49">
        <f t="shared" si="31"/>
        <v>0</v>
      </c>
      <c r="AJ41" s="49">
        <f t="shared" si="32"/>
        <v>0</v>
      </c>
      <c r="AK41" s="49">
        <f t="shared" si="33"/>
        <v>0</v>
      </c>
      <c r="AL41" s="49">
        <f t="array" ref="AL41">_xlfn.IFS(R41=0,AE41,R41&lt;0,AE41/-R41,R41&gt;0,AE41/R41)</f>
        <v>0</v>
      </c>
      <c r="AM41" s="50">
        <f t="shared" si="34"/>
        <v>0</v>
      </c>
      <c r="AN41" s="51">
        <f t="shared" si="35"/>
        <v>0</v>
      </c>
      <c r="AP41" s="53">
        <f t="shared" si="36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/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/>
      <c r="AB42" s="55"/>
      <c r="AC42" s="42"/>
      <c r="AD42" s="46">
        <f>U42*1%</f>
        <v>40.24</v>
      </c>
      <c r="AE42" s="47">
        <f t="shared" si="28"/>
        <v>1422.8500000000001</v>
      </c>
      <c r="AF42" s="46"/>
      <c r="AG42" s="48">
        <f t="shared" si="29"/>
        <v>4024</v>
      </c>
      <c r="AH42" s="49">
        <f t="shared" si="30"/>
        <v>642</v>
      </c>
      <c r="AI42" s="49">
        <f t="shared" si="31"/>
        <v>1730.32</v>
      </c>
      <c r="AJ42" s="49">
        <f t="shared" si="32"/>
        <v>188.59</v>
      </c>
      <c r="AK42" s="49">
        <f t="shared" si="33"/>
        <v>0</v>
      </c>
      <c r="AL42" s="49">
        <f t="array" ref="AL42">_xlfn.IFS(R42=0,AE42,R42&lt;0,AE42/-R42,R42&gt;0,AE42/R42)</f>
        <v>1422.8500000000001</v>
      </c>
      <c r="AM42" s="50">
        <f t="shared" si="34"/>
        <v>0.35359095427435389</v>
      </c>
      <c r="AN42" s="51">
        <f t="shared" si="35"/>
        <v>2.2162772585669783</v>
      </c>
      <c r="AP42" s="53">
        <f t="shared" si="36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/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/>
      <c r="AB43" s="55"/>
      <c r="AC43" s="42"/>
      <c r="AD43" s="46">
        <f>U43*1%</f>
        <v>0</v>
      </c>
      <c r="AE43" s="47">
        <f t="shared" si="28"/>
        <v>0</v>
      </c>
      <c r="AF43" s="46"/>
      <c r="AG43" s="48">
        <f t="shared" si="29"/>
        <v>0</v>
      </c>
      <c r="AH43" s="49">
        <f t="shared" si="30"/>
        <v>642</v>
      </c>
      <c r="AI43" s="49">
        <f t="shared" si="31"/>
        <v>0</v>
      </c>
      <c r="AJ43" s="49">
        <f t="shared" si="32"/>
        <v>0</v>
      </c>
      <c r="AK43" s="49">
        <f t="shared" si="33"/>
        <v>0</v>
      </c>
      <c r="AL43" s="49">
        <f t="array" ref="AL43">_xlfn.IFS(R43=0,AE43,R43&lt;0,AE43/-R43,R43&gt;0,AE43/R43)</f>
        <v>0</v>
      </c>
      <c r="AM43" s="50">
        <f t="shared" si="34"/>
        <v>0</v>
      </c>
      <c r="AN43" s="51">
        <f t="shared" si="35"/>
        <v>0</v>
      </c>
      <c r="AP43" s="53">
        <f t="shared" si="36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/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/>
      <c r="AB44" s="55"/>
      <c r="AC44" s="42"/>
      <c r="AD44" s="46">
        <f>U44*1%</f>
        <v>0</v>
      </c>
      <c r="AE44" s="47">
        <f t="shared" si="28"/>
        <v>0</v>
      </c>
      <c r="AF44" s="46"/>
      <c r="AG44" s="48">
        <f t="shared" si="29"/>
        <v>0</v>
      </c>
      <c r="AH44" s="49">
        <f t="shared" si="30"/>
        <v>687</v>
      </c>
      <c r="AI44" s="49">
        <f t="shared" si="31"/>
        <v>0</v>
      </c>
      <c r="AJ44" s="49">
        <f t="shared" si="32"/>
        <v>0</v>
      </c>
      <c r="AK44" s="49">
        <f t="shared" si="33"/>
        <v>0</v>
      </c>
      <c r="AL44" s="49">
        <f t="array" ref="AL44">_xlfn.IFS(R44=0,AE44,R44&lt;0,AE44/-R44,R44&gt;0,AE44/R44)</f>
        <v>0</v>
      </c>
      <c r="AM44" s="50">
        <f t="shared" si="34"/>
        <v>0</v>
      </c>
      <c r="AN44" s="51">
        <f t="shared" si="35"/>
        <v>0</v>
      </c>
      <c r="AP44" s="53">
        <f t="shared" si="36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/>
      <c r="L45" s="36"/>
      <c r="M45" s="36"/>
      <c r="N45" s="37">
        <f t="shared" si="21"/>
        <v>0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/>
      <c r="AB45" s="55"/>
      <c r="AC45" s="42"/>
      <c r="AD45" s="46">
        <f>U45*1%</f>
        <v>65</v>
      </c>
      <c r="AE45" s="47">
        <f t="shared" si="28"/>
        <v>2462.0500000000002</v>
      </c>
      <c r="AF45" s="46"/>
      <c r="AG45" s="48">
        <f t="shared" si="29"/>
        <v>6500</v>
      </c>
      <c r="AH45" s="49">
        <f t="shared" si="30"/>
        <v>687</v>
      </c>
      <c r="AI45" s="49">
        <f t="shared" si="31"/>
        <v>2795</v>
      </c>
      <c r="AJ45" s="49">
        <f t="shared" si="32"/>
        <v>490.95</v>
      </c>
      <c r="AK45" s="49">
        <f t="shared" si="33"/>
        <v>0</v>
      </c>
      <c r="AL45" s="49">
        <f t="array" ref="AL45">_xlfn.IFS(R45=0,AE45,R45&lt;0,AE45/-R45,R45&gt;0,AE45/R45)</f>
        <v>2462.0500000000002</v>
      </c>
      <c r="AM45" s="50">
        <f t="shared" si="34"/>
        <v>0.37877692307692312</v>
      </c>
      <c r="AN45" s="51">
        <f t="shared" si="35"/>
        <v>3.5837700145560412</v>
      </c>
      <c r="AP45" s="53">
        <f t="shared" si="36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/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/>
      <c r="AB46" s="55"/>
      <c r="AC46" s="42"/>
      <c r="AD46" s="46">
        <f>U46*1%</f>
        <v>0</v>
      </c>
      <c r="AE46" s="47">
        <f t="shared" si="28"/>
        <v>-113.88</v>
      </c>
      <c r="AF46" s="46"/>
      <c r="AG46" s="48">
        <f t="shared" si="29"/>
        <v>0</v>
      </c>
      <c r="AH46" s="49">
        <f t="shared" si="30"/>
        <v>552</v>
      </c>
      <c r="AI46" s="49">
        <f t="shared" si="31"/>
        <v>0</v>
      </c>
      <c r="AJ46" s="49">
        <f t="shared" si="32"/>
        <v>113.88</v>
      </c>
      <c r="AK46" s="49">
        <f t="shared" si="33"/>
        <v>0</v>
      </c>
      <c r="AL46" s="49">
        <f t="array" ref="AL46">_xlfn.IFS(R46=0,AE46,R46&lt;0,AE46/-R46,R46&gt;0,AE46/R46)</f>
        <v>-113.88</v>
      </c>
      <c r="AM46" s="50">
        <f t="shared" si="34"/>
        <v>0</v>
      </c>
      <c r="AN46" s="51">
        <f t="shared" si="35"/>
        <v>-0.20630434782608695</v>
      </c>
      <c r="AP46" s="53">
        <f t="shared" si="36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/>
      <c r="AB47" s="55"/>
      <c r="AC47" s="42"/>
      <c r="AD47" s="46">
        <f>U47*1%</f>
        <v>0</v>
      </c>
      <c r="AE47" s="47">
        <f t="shared" si="28"/>
        <v>0</v>
      </c>
      <c r="AF47" s="46"/>
      <c r="AG47" s="48">
        <f t="shared" si="29"/>
        <v>0</v>
      </c>
      <c r="AH47" s="49">
        <f t="shared" si="30"/>
        <v>552</v>
      </c>
      <c r="AI47" s="49">
        <f t="shared" si="31"/>
        <v>0</v>
      </c>
      <c r="AJ47" s="49">
        <f t="shared" si="32"/>
        <v>0</v>
      </c>
      <c r="AK47" s="49">
        <f t="shared" si="33"/>
        <v>0</v>
      </c>
      <c r="AL47" s="49">
        <f t="array" ref="AL47">_xlfn.IFS(R47=0,AE47,R47&lt;0,AE47/-R47,R47&gt;0,AE47/R47)</f>
        <v>0</v>
      </c>
      <c r="AM47" s="50">
        <f t="shared" si="34"/>
        <v>0</v>
      </c>
      <c r="AN47" s="51">
        <f t="shared" si="35"/>
        <v>0</v>
      </c>
      <c r="AP47" s="53">
        <f t="shared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7">AVERAGEIF(AG28:AG47,"&lt;&gt;0",AG28:AG47)</f>
        <v>5262</v>
      </c>
      <c r="AH48" s="86">
        <f t="shared" si="37"/>
        <v>617.25</v>
      </c>
      <c r="AI48" s="86">
        <f t="shared" si="37"/>
        <v>2262.66</v>
      </c>
      <c r="AJ48" s="86">
        <f t="shared" si="37"/>
        <v>226.82500000000002</v>
      </c>
      <c r="AK48" s="86" t="e">
        <f t="shared" si="37"/>
        <v>#DIV/0!</v>
      </c>
      <c r="AL48" s="86">
        <f t="shared" si="37"/>
        <v>914.28500000000008</v>
      </c>
      <c r="AM48" s="87">
        <f t="shared" si="37"/>
        <v>0.36618393867563848</v>
      </c>
      <c r="AN48" s="87">
        <f t="shared" si="37"/>
        <v>1.3569946832892985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si="38">SUM(P28:P47)</f>
        <v>2</v>
      </c>
      <c r="Q49" s="90">
        <f t="shared" si="38"/>
        <v>0</v>
      </c>
      <c r="R49" s="96">
        <f t="shared" si="38"/>
        <v>2</v>
      </c>
      <c r="S49" s="90">
        <f t="shared" si="38"/>
        <v>10524</v>
      </c>
      <c r="T49" s="90">
        <f t="shared" si="38"/>
        <v>0</v>
      </c>
      <c r="U49" s="96">
        <f t="shared" si="38"/>
        <v>10524</v>
      </c>
      <c r="V49" s="97">
        <f t="shared" si="38"/>
        <v>1</v>
      </c>
      <c r="W49" s="90">
        <f t="shared" si="38"/>
        <v>1329</v>
      </c>
      <c r="X49" s="90">
        <f t="shared" si="38"/>
        <v>4525.32</v>
      </c>
      <c r="Y49" s="98">
        <f>IF(U49=0,0,X49/U49)</f>
        <v>0.43</v>
      </c>
      <c r="Z49" s="90">
        <f>SUM(Z28:Z47)</f>
        <v>907.30000000000007</v>
      </c>
      <c r="AA49" s="90">
        <f>IFERROR(P49*AA51/P51,0)</f>
        <v>828.16166666666663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3657.1400000000003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si="39">P26+P49</f>
        <v>60</v>
      </c>
      <c r="Q51" s="118">
        <f t="shared" si="39"/>
        <v>4</v>
      </c>
      <c r="R51" s="121">
        <f>R26-R49</f>
        <v>52</v>
      </c>
      <c r="S51" s="118">
        <f t="shared" si="39"/>
        <v>102684.00000000001</v>
      </c>
      <c r="T51" s="118">
        <f t="shared" si="39"/>
        <v>-6799</v>
      </c>
      <c r="U51" s="121">
        <f t="shared" si="39"/>
        <v>95885.000000000015</v>
      </c>
      <c r="V51" s="122">
        <f t="shared" si="39"/>
        <v>9.1110794374762474</v>
      </c>
      <c r="W51" s="118">
        <f t="shared" si="39"/>
        <v>8980.7999999999993</v>
      </c>
      <c r="X51" s="118">
        <f t="shared" si="39"/>
        <v>41230.55000000001</v>
      </c>
      <c r="Y51" s="123">
        <f>X51/U51</f>
        <v>0.43000000000000005</v>
      </c>
      <c r="Z51" s="118">
        <f>Z26+Z49</f>
        <v>10857.570000000005</v>
      </c>
      <c r="AA51" s="124">
        <v>24844.85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33857.23000000001</v>
      </c>
      <c r="AF51" s="127"/>
      <c r="AG51" s="128"/>
      <c r="AH51" s="129"/>
      <c r="AI51" s="129"/>
      <c r="AJ51" s="129"/>
      <c r="AK51" s="129">
        <f>AA52/P51</f>
        <v>414.08083333333332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24844.85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7" priority="28" operator="greaterThan">
      <formula>120</formula>
    </cfRule>
  </conditionalFormatting>
  <conditionalFormatting sqref="N50">
    <cfRule type="cellIs" dxfId="96" priority="27" operator="between">
      <formula>0.000001</formula>
      <formula>25</formula>
    </cfRule>
  </conditionalFormatting>
  <conditionalFormatting sqref="V1 V52:V55 V57:V1048576">
    <cfRule type="cellIs" dxfId="9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{3C403C02-511E-4097-88FF-896C889F71FD}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94" priority="23" operator="greaterThan">
      <formula>120</formula>
    </cfRule>
  </conditionalFormatting>
  <conditionalFormatting sqref="Q50">
    <cfRule type="cellIs" dxfId="93" priority="22" operator="greaterThan">
      <formula>120</formula>
    </cfRule>
  </conditionalFormatting>
  <conditionalFormatting sqref="R50">
    <cfRule type="cellIs" dxfId="92" priority="21" operator="greaterThan">
      <formula>120</formula>
    </cfRule>
  </conditionalFormatting>
  <conditionalFormatting sqref="S50">
    <cfRule type="cellIs" dxfId="91" priority="20" operator="greaterThan">
      <formula>120</formula>
    </cfRule>
  </conditionalFormatting>
  <conditionalFormatting sqref="T50">
    <cfRule type="cellIs" dxfId="90" priority="19" operator="greaterThan">
      <formula>120</formula>
    </cfRule>
  </conditionalFormatting>
  <conditionalFormatting sqref="U50">
    <cfRule type="cellIs" dxfId="89" priority="18" operator="greaterThan">
      <formula>120</formula>
    </cfRule>
  </conditionalFormatting>
  <conditionalFormatting sqref="V50">
    <cfRule type="cellIs" dxfId="88" priority="17" operator="greaterThan">
      <formula>120</formula>
    </cfRule>
  </conditionalFormatting>
  <conditionalFormatting sqref="W50">
    <cfRule type="cellIs" dxfId="87" priority="16" operator="greaterThan">
      <formula>120</formula>
    </cfRule>
  </conditionalFormatting>
  <conditionalFormatting sqref="X50">
    <cfRule type="cellIs" dxfId="86" priority="15" operator="greaterThan">
      <formula>120</formula>
    </cfRule>
  </conditionalFormatting>
  <conditionalFormatting sqref="Z50">
    <cfRule type="cellIs" dxfId="8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8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3C403C02-511E-4097-88FF-896C889F7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tabSelected="1" zoomScale="70" zoomScaleNormal="70" workbookViewId="0">
      <pane xSplit="2" ySplit="2" topLeftCell="C45" activePane="bottomRight" state="frozen"/>
      <selection pane="topRight" activeCell="C1" sqref="C1"/>
      <selection pane="bottomLeft" activeCell="A3" sqref="A3"/>
      <selection pane="bottomRight" activeCell="AG56" sqref="AG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343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755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230</v>
      </c>
      <c r="L3" s="36"/>
      <c r="M3" s="36"/>
      <c r="N3" s="37">
        <f t="shared" ref="N3:N16" si="1">K3/7</f>
        <v>32.857142857142854</v>
      </c>
      <c r="O3" s="38">
        <f t="shared" ref="O3:O24" ca="1" si="2">R3/7</f>
        <v>18.142857142857142</v>
      </c>
      <c r="P3" s="32">
        <f ca="1">'Юнит 01-04.01'!P3+'Юнит 05-11.01'!P3+'Юнит 12-18.01'!P3+'Юнит 19-25.01'!P3+'Юнит 26-31.01'!P3</f>
        <v>131</v>
      </c>
      <c r="Q3" s="32">
        <f ca="1">'Юнит 01-04.01'!Q3+'Юнит 05-11.01'!Q3+'Юнит 12-18.01'!Q3+'Юнит 19-25.01'!Q3+'Юнит 26-31.01'!Q3</f>
        <v>4</v>
      </c>
      <c r="R3" s="40">
        <f ca="1">P3-Q3</f>
        <v>127</v>
      </c>
      <c r="S3" s="32">
        <f ca="1">'Юнит 01-04.01'!S3+'Юнит 05-11.01'!S3+'Юнит 12-18.01'!S3+'Юнит 19-25.01'!S3+'Юнит 26-31.01'!S3</f>
        <v>215922.00000000006</v>
      </c>
      <c r="T3" s="32">
        <f ca="1">'Юнит 01-04.01'!T3+'Юнит 05-11.01'!T3+'Юнит 12-18.01'!T3+'Юнит 19-25.01'!T3+'Юнит 26-31.01'!T3</f>
        <v>-6782</v>
      </c>
      <c r="U3" s="40">
        <f t="shared" ref="U3:U24" ca="1" si="3">S3+T3</f>
        <v>209140.00000000006</v>
      </c>
      <c r="V3" s="43">
        <f t="shared" ref="V3:V24" ca="1" si="4">U3/$U$49</f>
        <v>2.1281748616085969</v>
      </c>
      <c r="W3" s="44">
        <f t="shared" ref="W3:W24" ca="1" si="5">R3*H3</f>
        <v>18158.46</v>
      </c>
      <c r="X3" s="32">
        <f ca="1">'Юнит 01-04.01'!X3+'Юнит 05-11.01'!X3+'Юнит 12-18.01'!X3+'Юнит 19-25.01'!X3+'Юнит 26-31.01'!X3</f>
        <v>89930.2</v>
      </c>
      <c r="Y3" s="45">
        <f t="shared" ref="Y3:Y24" ca="1" si="6">IF(U3=0,0,X3/U3)</f>
        <v>0.42999999999999988</v>
      </c>
      <c r="Z3" s="32">
        <f ca="1">'Юнит 01-04.01'!Z3+'Юнит 05-11.01'!Z3+'Юнит 12-18.01'!Z3+'Юнит 19-25.01'!Z3+'Юнит 26-31.01'!Z3</f>
        <v>23614.87000000001</v>
      </c>
      <c r="AA3" s="32">
        <f>'Юнит 01-04.01'!AA3+'Юнит 05-11.01'!AA3+'Юнит 12-18.01'!AA3+'Юнит 19-25.01'!AA3+'Юнит 26-31.01'!AA3</f>
        <v>51591.193865000001</v>
      </c>
      <c r="AB3" s="42"/>
      <c r="AC3" s="42"/>
      <c r="AD3" s="46">
        <f ca="1">U3*1%</f>
        <v>2091.4000000000005</v>
      </c>
      <c r="AE3" s="47">
        <f ca="1">U3-W3-X3-Z3-AA3-AB3-AC3-AD3</f>
        <v>23753.876135000057</v>
      </c>
      <c r="AF3" s="46"/>
      <c r="AG3" s="48">
        <f t="shared" ref="AG3:AG24" ca="1" si="7">IF(R3=0,0,U3/R3)</f>
        <v>1646.7716535433076</v>
      </c>
      <c r="AH3" s="49">
        <f t="shared" ref="AH3:AH24" si="8">H3</f>
        <v>142.97999999999999</v>
      </c>
      <c r="AI3" s="49">
        <f t="shared" ref="AI3:AI24" ca="1" si="9">IF(R3=0,0,X3/R3)</f>
        <v>708.11181102362207</v>
      </c>
      <c r="AJ3" s="49">
        <f t="shared" ref="AJ3:AJ24" ca="1" si="10">IF(P3=0,Z3/1,Z3/P3)</f>
        <v>180.26618320610694</v>
      </c>
      <c r="AK3" s="49">
        <f t="shared" ref="AK3:AK24" ca="1" si="11">IF(P3=0,0,AA3/P3)</f>
        <v>393.8259073664122</v>
      </c>
      <c r="AL3" s="49">
        <f ca="1">_xlfn.IFS(R3=0,AE3,R3&lt;0,AE3/-R3,R3&gt;0,AE3/R3)</f>
        <v>187.03839476377996</v>
      </c>
      <c r="AM3" s="50">
        <f t="shared" ref="AM3:AM24" ca="1" si="12">IF(AG3=0,0,AL3/AG3)</f>
        <v>0.11357882822511259</v>
      </c>
      <c r="AN3" s="51">
        <f t="shared" ref="AN3:AN24" ca="1" si="13">IF(AH3=0,0,AL3/AH3)</f>
        <v>1.3081437597131065</v>
      </c>
      <c r="AP3" s="53">
        <f t="shared" ref="AP3:AP24" ca="1" si="14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10</v>
      </c>
      <c r="L4" s="36"/>
      <c r="M4" s="36"/>
      <c r="N4" s="37">
        <f t="shared" si="1"/>
        <v>1.4285714285714286</v>
      </c>
      <c r="O4" s="38">
        <f t="shared" ca="1" si="2"/>
        <v>1.1428571428571428</v>
      </c>
      <c r="P4" s="32">
        <f ca="1">'Юнит 01-04.01'!P4+'Юнит 05-11.01'!P4+'Юнит 12-18.01'!P4+'Юнит 19-25.01'!P4+'Юнит 26-31.01'!P4</f>
        <v>8</v>
      </c>
      <c r="Q4" s="32">
        <f ca="1">'Юнит 01-04.01'!Q4+'Юнит 05-11.01'!Q4+'Юнит 12-18.01'!Q4+'Юнит 19-25.01'!Q4+'Юнит 26-31.01'!Q4</f>
        <v>0</v>
      </c>
      <c r="R4" s="40">
        <f t="shared" ref="R4:R24" ca="1" si="15">P4-Q4</f>
        <v>8</v>
      </c>
      <c r="S4" s="32">
        <f ca="1">'Юнит 01-04.01'!S4+'Юнит 05-11.01'!S4+'Юнит 12-18.01'!S4+'Юнит 19-25.01'!S4+'Юнит 26-31.01'!S4</f>
        <v>12633</v>
      </c>
      <c r="T4" s="32">
        <f ca="1">'Юнит 01-04.01'!T4+'Юнит 05-11.01'!T4+'Юнит 12-18.01'!T4+'Юнит 19-25.01'!T4+'Юнит 26-31.01'!T4</f>
        <v>0</v>
      </c>
      <c r="U4" s="40">
        <f t="shared" ca="1" si="3"/>
        <v>12633</v>
      </c>
      <c r="V4" s="43">
        <f t="shared" ca="1" si="4"/>
        <v>0.12855136763269293</v>
      </c>
      <c r="W4" s="44">
        <f t="shared" ca="1" si="5"/>
        <v>984.72</v>
      </c>
      <c r="X4" s="32">
        <f ca="1">'Юнит 01-04.01'!X4+'Юнит 05-11.01'!X4+'Юнит 12-18.01'!X4+'Юнит 19-25.01'!X4+'Юнит 26-31.01'!X4</f>
        <v>5432.1900000000005</v>
      </c>
      <c r="Y4" s="45">
        <f t="shared" ca="1" si="6"/>
        <v>0.43000000000000005</v>
      </c>
      <c r="Z4" s="32">
        <f ca="1">'Юнит 01-04.01'!Z4+'Юнит 05-11.01'!Z4+'Юнит 12-18.01'!Z4+'Юнит 19-25.01'!Z4+'Юнит 26-31.01'!Z4</f>
        <v>1269.3600000000001</v>
      </c>
      <c r="AA4" s="32">
        <f>'Юнит 01-04.01'!AA4+'Юнит 05-11.01'!AA4+'Юнит 12-18.01'!AA4+'Юнит 19-25.01'!AA4+'Юнит 26-31.01'!AA4</f>
        <v>4690.7473239999999</v>
      </c>
      <c r="AB4" s="42"/>
      <c r="AC4" s="42"/>
      <c r="AD4" s="46">
        <f ca="1">U4*1%</f>
        <v>126.33</v>
      </c>
      <c r="AE4" s="47">
        <f t="shared" ref="AE4:AE24" ca="1" si="16">U4-W4-X4-Z4-AA4-AB4-AC4-AD4</f>
        <v>129.65267599999964</v>
      </c>
      <c r="AF4" s="46"/>
      <c r="AG4" s="48">
        <f t="shared" ca="1" si="7"/>
        <v>1579.125</v>
      </c>
      <c r="AH4" s="49">
        <f t="shared" si="8"/>
        <v>123.09</v>
      </c>
      <c r="AI4" s="49">
        <f t="shared" ca="1" si="9"/>
        <v>679.02375000000006</v>
      </c>
      <c r="AJ4" s="49">
        <f t="shared" ca="1" si="10"/>
        <v>158.67000000000002</v>
      </c>
      <c r="AK4" s="49">
        <f t="shared" ca="1" si="11"/>
        <v>586.34341549999999</v>
      </c>
      <c r="AL4" s="49">
        <f t="array" aca="1" ref="AL4" ca="1">_xlfn.IFS(R4=0,AE4,R4&lt;0,AE4/-R4,R4&gt;0,AE4/R4)</f>
        <v>16.206584499999956</v>
      </c>
      <c r="AM4" s="50">
        <f t="shared" ca="1" si="12"/>
        <v>1.0263015594078972E-2</v>
      </c>
      <c r="AN4" s="51">
        <f t="shared" ca="1" si="13"/>
        <v>0.13166450970834312</v>
      </c>
      <c r="AP4" s="53">
        <f t="shared" ca="1" si="14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3</v>
      </c>
      <c r="L5" s="36"/>
      <c r="M5" s="36"/>
      <c r="N5" s="37">
        <f t="shared" si="1"/>
        <v>0.42857142857142855</v>
      </c>
      <c r="O5" s="38">
        <f t="shared" ca="1" si="2"/>
        <v>0.5714285714285714</v>
      </c>
      <c r="P5" s="32">
        <f ca="1">'Юнит 01-04.01'!P5+'Юнит 05-11.01'!P5+'Юнит 12-18.01'!P5+'Юнит 19-25.01'!P5+'Юнит 26-31.01'!P5</f>
        <v>4</v>
      </c>
      <c r="Q5" s="32">
        <f ca="1">'Юнит 01-04.01'!Q5+'Юнит 05-11.01'!Q5+'Юнит 12-18.01'!Q5+'Юнит 19-25.01'!Q5+'Юнит 26-31.01'!Q5</f>
        <v>0</v>
      </c>
      <c r="R5" s="40">
        <f t="shared" ca="1" si="15"/>
        <v>4</v>
      </c>
      <c r="S5" s="32">
        <f ca="1">'Юнит 01-04.01'!S5+'Юнит 05-11.01'!S5+'Юнит 12-18.01'!S5+'Юнит 19-25.01'!S5+'Юнит 26-31.01'!S5</f>
        <v>4824</v>
      </c>
      <c r="T5" s="32">
        <f ca="1">'Юнит 01-04.01'!T5+'Юнит 05-11.01'!T5+'Юнит 12-18.01'!T5+'Юнит 19-25.01'!T5+'Юнит 26-31.01'!T5</f>
        <v>0</v>
      </c>
      <c r="U5" s="40">
        <f t="shared" ca="1" si="3"/>
        <v>4824</v>
      </c>
      <c r="V5" s="43">
        <f t="shared" ca="1" si="4"/>
        <v>4.9088244871377404E-2</v>
      </c>
      <c r="W5" s="44">
        <f t="shared" ca="1" si="5"/>
        <v>492.36</v>
      </c>
      <c r="X5" s="32">
        <f ca="1">'Юнит 01-04.01'!X5+'Юнит 05-11.01'!X5+'Юнит 12-18.01'!X5+'Юнит 19-25.01'!X5+'Юнит 26-31.01'!X5</f>
        <v>2074.3200000000002</v>
      </c>
      <c r="Y5" s="45">
        <f t="shared" ca="1" si="6"/>
        <v>0.43000000000000005</v>
      </c>
      <c r="Z5" s="32">
        <f ca="1"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ca="1">U5*1%</f>
        <v>48.24</v>
      </c>
      <c r="AE5" s="47">
        <f t="shared" ca="1" si="16"/>
        <v>1700.41</v>
      </c>
      <c r="AF5" s="46"/>
      <c r="AG5" s="48">
        <f t="shared" ca="1" si="7"/>
        <v>1206</v>
      </c>
      <c r="AH5" s="49">
        <f t="shared" si="8"/>
        <v>123.09</v>
      </c>
      <c r="AI5" s="49">
        <f t="shared" ca="1" si="9"/>
        <v>518.58000000000004</v>
      </c>
      <c r="AJ5" s="49">
        <f t="shared" ca="1" si="10"/>
        <v>127.16749999999999</v>
      </c>
      <c r="AK5" s="49">
        <f t="shared" ca="1" si="11"/>
        <v>0</v>
      </c>
      <c r="AL5" s="49">
        <f t="array" aca="1" ref="AL5" ca="1">_xlfn.IFS(R5=0,AE5,R5&lt;0,AE5/-R5,R5&gt;0,AE5/R5)</f>
        <v>425.10250000000002</v>
      </c>
      <c r="AM5" s="50">
        <f t="shared" ca="1" si="12"/>
        <v>0.35248963515754561</v>
      </c>
      <c r="AN5" s="51">
        <f t="shared" ca="1" si="13"/>
        <v>3.4535908684702252</v>
      </c>
      <c r="AP5" s="53">
        <f t="shared" ca="1" si="14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26</v>
      </c>
      <c r="L6" s="36"/>
      <c r="M6" s="36"/>
      <c r="N6" s="37">
        <f t="shared" si="1"/>
        <v>3.7142857142857144</v>
      </c>
      <c r="O6" s="38">
        <f t="shared" ca="1" si="2"/>
        <v>4.2857142857142856</v>
      </c>
      <c r="P6" s="32">
        <f ca="1">'Юнит 01-04.01'!P6+'Юнит 05-11.01'!P6+'Юнит 12-18.01'!P6+'Юнит 19-25.01'!P6+'Юнит 26-31.01'!P6</f>
        <v>31</v>
      </c>
      <c r="Q6" s="32">
        <f ca="1">'Юнит 01-04.01'!Q6+'Юнит 05-11.01'!Q6+'Юнит 12-18.01'!Q6+'Юнит 19-25.01'!Q6+'Юнит 26-31.01'!Q6</f>
        <v>1</v>
      </c>
      <c r="R6" s="40">
        <f t="shared" ca="1" si="15"/>
        <v>30</v>
      </c>
      <c r="S6" s="32">
        <f ca="1">'Юнит 01-04.01'!S6+'Юнит 05-11.01'!S6+'Юнит 12-18.01'!S6+'Юнит 19-25.01'!S6+'Юнит 26-31.01'!S6</f>
        <v>47318</v>
      </c>
      <c r="T6" s="32">
        <f ca="1">'Юнит 01-04.01'!T6+'Юнит 05-11.01'!T6+'Юнит 12-18.01'!T6+'Юнит 19-25.01'!T6+'Юнит 26-31.01'!T6</f>
        <v>-1687</v>
      </c>
      <c r="U6" s="40">
        <f t="shared" ca="1" si="3"/>
        <v>45631</v>
      </c>
      <c r="V6" s="43">
        <f t="shared" ca="1" si="4"/>
        <v>0.46433368609573428</v>
      </c>
      <c r="W6" s="44">
        <f t="shared" ca="1" si="5"/>
        <v>3692.7000000000003</v>
      </c>
      <c r="X6" s="32">
        <f ca="1">'Юнит 01-04.01'!X6+'Юнит 05-11.01'!X6+'Юнит 12-18.01'!X6+'Юнит 19-25.01'!X6+'Юнит 26-31.01'!X6</f>
        <v>19621.330000000002</v>
      </c>
      <c r="Y6" s="45">
        <f t="shared" ca="1" si="6"/>
        <v>0.43000000000000005</v>
      </c>
      <c r="Z6" s="32">
        <f ca="1">'Юнит 01-04.01'!Z6+'Юнит 05-11.01'!Z6+'Юнит 12-18.01'!Z6+'Юнит 19-25.01'!Z6+'Юнит 26-31.01'!Z6</f>
        <v>4860.29</v>
      </c>
      <c r="AA6" s="32">
        <f>'Юнит 01-04.01'!AA6+'Юнит 05-11.01'!AA6+'Юнит 12-18.01'!AA6+'Юнит 19-25.01'!AA6+'Юнит 26-31.01'!AA6</f>
        <v>10728.216912</v>
      </c>
      <c r="AB6" s="55"/>
      <c r="AC6" s="42"/>
      <c r="AD6" s="46">
        <f ca="1">U6*1%</f>
        <v>456.31</v>
      </c>
      <c r="AE6" s="47">
        <f t="shared" ca="1" si="16"/>
        <v>6272.153088</v>
      </c>
      <c r="AF6" s="46"/>
      <c r="AG6" s="48">
        <f t="shared" ca="1" si="7"/>
        <v>1521.0333333333333</v>
      </c>
      <c r="AH6" s="49">
        <f t="shared" si="8"/>
        <v>123.09</v>
      </c>
      <c r="AI6" s="49">
        <f t="shared" ca="1" si="9"/>
        <v>654.04433333333338</v>
      </c>
      <c r="AJ6" s="49">
        <f t="shared" ca="1" si="10"/>
        <v>156.78354838709677</v>
      </c>
      <c r="AK6" s="49">
        <f t="shared" ca="1" si="11"/>
        <v>346.07151329032257</v>
      </c>
      <c r="AL6" s="49">
        <f t="array" aca="1" ref="AL6" ca="1">_xlfn.IFS(R6=0,AE6,R6&lt;0,AE6/-R6,R6&gt;0,AE6/R6)</f>
        <v>209.07176960000001</v>
      </c>
      <c r="AM6" s="50">
        <f t="shared" ca="1" si="12"/>
        <v>0.13745377239157591</v>
      </c>
      <c r="AN6" s="51">
        <f t="shared" ca="1" si="13"/>
        <v>1.6985276594361849</v>
      </c>
      <c r="AP6" s="53">
        <f t="shared" ca="1" si="14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15</v>
      </c>
      <c r="L7" s="36"/>
      <c r="M7" s="36"/>
      <c r="N7" s="37">
        <f t="shared" si="1"/>
        <v>2.1428571428571428</v>
      </c>
      <c r="O7" s="38">
        <f t="shared" ca="1" si="2"/>
        <v>1.1428571428571428</v>
      </c>
      <c r="P7" s="32">
        <f ca="1">'Юнит 01-04.01'!P7+'Юнит 05-11.01'!P7+'Юнит 12-18.01'!P7+'Юнит 19-25.01'!P7+'Юнит 26-31.01'!P7</f>
        <v>8</v>
      </c>
      <c r="Q7" s="32">
        <f ca="1">'Юнит 01-04.01'!Q7+'Юнит 05-11.01'!Q7+'Юнит 12-18.01'!Q7+'Юнит 19-25.01'!Q7+'Юнит 26-31.01'!Q7</f>
        <v>0</v>
      </c>
      <c r="R7" s="40">
        <f t="shared" ca="1" si="15"/>
        <v>8</v>
      </c>
      <c r="S7" s="32">
        <f ca="1">'Юнит 01-04.01'!S7+'Юнит 05-11.01'!S7+'Юнит 12-18.01'!S7+'Юнит 19-25.01'!S7+'Юнит 26-31.01'!S7</f>
        <v>13188</v>
      </c>
      <c r="T7" s="32">
        <f ca="1">'Юнит 01-04.01'!T7+'Юнит 05-11.01'!T7+'Юнит 12-18.01'!T7+'Юнит 19-25.01'!T7+'Юнит 26-31.01'!T7</f>
        <v>0</v>
      </c>
      <c r="U7" s="40">
        <f t="shared" ca="1" si="3"/>
        <v>13188</v>
      </c>
      <c r="V7" s="43">
        <f t="shared" ca="1" si="4"/>
        <v>0.13419895799413872</v>
      </c>
      <c r="W7" s="44">
        <f t="shared" ca="1" si="5"/>
        <v>937.92</v>
      </c>
      <c r="X7" s="32">
        <f ca="1">'Юнит 01-04.01'!X7+'Юнит 05-11.01'!X7+'Юнит 12-18.01'!X7+'Юнит 19-25.01'!X7+'Юнит 26-31.01'!X7</f>
        <v>5670.84</v>
      </c>
      <c r="Y7" s="45">
        <f t="shared" ca="1" si="6"/>
        <v>0.43</v>
      </c>
      <c r="Z7" s="32">
        <f ca="1">'Юнит 01-04.01'!Z7+'Юнит 05-11.01'!Z7+'Юнит 12-18.01'!Z7+'Юнит 19-25.01'!Z7+'Юнит 26-31.01'!Z7</f>
        <v>1477.34</v>
      </c>
      <c r="AA7" s="32">
        <f>'Юнит 01-04.01'!AA7+'Юнит 05-11.01'!AA7+'Юнит 12-18.01'!AA7+'Юнит 19-25.01'!AA7+'Юнит 26-31.01'!AA7</f>
        <v>1767.0972550000001</v>
      </c>
      <c r="AB7" s="55"/>
      <c r="AC7" s="42"/>
      <c r="AD7" s="46">
        <f ca="1">U7*1%</f>
        <v>131.88</v>
      </c>
      <c r="AE7" s="47">
        <f t="shared" ca="1" si="16"/>
        <v>3202.9227449999994</v>
      </c>
      <c r="AF7" s="46"/>
      <c r="AG7" s="48">
        <f t="shared" ca="1" si="7"/>
        <v>1648.5</v>
      </c>
      <c r="AH7" s="49">
        <f t="shared" si="8"/>
        <v>117.24</v>
      </c>
      <c r="AI7" s="49">
        <f t="shared" ca="1" si="9"/>
        <v>708.85500000000002</v>
      </c>
      <c r="AJ7" s="49">
        <f t="shared" ca="1" si="10"/>
        <v>184.66749999999999</v>
      </c>
      <c r="AK7" s="49">
        <f t="shared" ca="1" si="11"/>
        <v>220.88715687500002</v>
      </c>
      <c r="AL7" s="49">
        <f t="array" aca="1" ref="AL7" ca="1">_xlfn.IFS(R7=0,AE7,R7&lt;0,AE7/-R7,R7&gt;0,AE7/R7)</f>
        <v>400.36534312499992</v>
      </c>
      <c r="AM7" s="50">
        <f t="shared" ca="1" si="12"/>
        <v>0.24286645018198358</v>
      </c>
      <c r="AN7" s="51">
        <f t="shared" ca="1" si="13"/>
        <v>3.4149210433725687</v>
      </c>
      <c r="AP7" s="53">
        <f t="shared" ca="1" si="14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3</v>
      </c>
      <c r="L8" s="36"/>
      <c r="M8" s="36"/>
      <c r="N8" s="37">
        <f t="shared" si="1"/>
        <v>0.42857142857142855</v>
      </c>
      <c r="O8" s="38">
        <f t="shared" ca="1" si="2"/>
        <v>0.14285714285714285</v>
      </c>
      <c r="P8" s="32">
        <f ca="1">'Юнит 01-04.01'!P8+'Юнит 05-11.01'!P8+'Юнит 12-18.01'!P8+'Юнит 19-25.01'!P8+'Юнит 26-31.01'!P8</f>
        <v>1</v>
      </c>
      <c r="Q8" s="32">
        <f ca="1">'Юнит 01-04.01'!Q8+'Юнит 05-11.01'!Q8+'Юнит 12-18.01'!Q8+'Юнит 19-25.01'!Q8+'Юнит 26-31.01'!Q8</f>
        <v>0</v>
      </c>
      <c r="R8" s="40">
        <f t="shared" ca="1" si="15"/>
        <v>1</v>
      </c>
      <c r="S8" s="32">
        <f ca="1">'Юнит 01-04.01'!S8+'Юнит 05-11.01'!S8+'Юнит 12-18.01'!S8+'Юнит 19-25.01'!S8+'Юнит 26-31.01'!S8</f>
        <v>1539</v>
      </c>
      <c r="T8" s="32">
        <f ca="1">'Юнит 01-04.01'!T8+'Юнит 05-11.01'!T8+'Юнит 12-18.01'!T8+'Юнит 19-25.01'!T8+'Юнит 26-31.01'!T8</f>
        <v>0</v>
      </c>
      <c r="U8" s="40">
        <f t="shared" ca="1" si="3"/>
        <v>1539</v>
      </c>
      <c r="V8" s="43">
        <f t="shared" ca="1" si="4"/>
        <v>1.5660615434711821E-2</v>
      </c>
      <c r="W8" s="44">
        <f t="shared" ca="1" si="5"/>
        <v>123</v>
      </c>
      <c r="X8" s="32">
        <f ca="1">'Юнит 01-04.01'!X8+'Юнит 05-11.01'!X8+'Юнит 12-18.01'!X8+'Юнит 19-25.01'!X8+'Юнит 26-31.01'!X8</f>
        <v>661.77</v>
      </c>
      <c r="Y8" s="45">
        <f t="shared" ca="1" si="6"/>
        <v>0.43</v>
      </c>
      <c r="Z8" s="32">
        <f ca="1">'Юнит 01-04.01'!Z8+'Юнит 05-11.01'!Z8+'Юнит 12-18.01'!Z8+'Юнит 19-25.01'!Z8+'Юнит 26-31.01'!Z8</f>
        <v>132.13999999999999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ca="1">U8*1%</f>
        <v>15.39</v>
      </c>
      <c r="AE8" s="47">
        <f t="shared" ca="1" si="16"/>
        <v>606.70000000000005</v>
      </c>
      <c r="AF8" s="46"/>
      <c r="AG8" s="48">
        <f t="shared" ca="1" si="7"/>
        <v>1539</v>
      </c>
      <c r="AH8" s="49">
        <f t="shared" si="8"/>
        <v>123</v>
      </c>
      <c r="AI8" s="49">
        <f t="shared" ca="1" si="9"/>
        <v>661.77</v>
      </c>
      <c r="AJ8" s="49">
        <f t="shared" ca="1" si="10"/>
        <v>132.13999999999999</v>
      </c>
      <c r="AK8" s="49">
        <f t="shared" ca="1" si="11"/>
        <v>0</v>
      </c>
      <c r="AL8" s="49">
        <f t="array" aca="1" ref="AL8" ca="1">_xlfn.IFS(R8=0,AE8,R8&lt;0,AE8/-R8,R8&gt;0,AE8/R8)</f>
        <v>606.70000000000005</v>
      </c>
      <c r="AM8" s="50">
        <f t="shared" ca="1" si="12"/>
        <v>0.39421702404158548</v>
      </c>
      <c r="AN8" s="51">
        <f t="shared" ca="1" si="13"/>
        <v>4.9325203252032521</v>
      </c>
      <c r="AP8" s="53">
        <f t="shared" ca="1" si="14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14</v>
      </c>
      <c r="L9" s="36"/>
      <c r="M9" s="36"/>
      <c r="N9" s="37">
        <f t="shared" si="1"/>
        <v>2</v>
      </c>
      <c r="O9" s="38">
        <f t="shared" ca="1" si="2"/>
        <v>0.8571428571428571</v>
      </c>
      <c r="P9" s="32">
        <f ca="1">'Юнит 01-04.01'!P9+'Юнит 05-11.01'!P9+'Юнит 12-18.01'!P9+'Юнит 19-25.01'!P9+'Юнит 26-31.01'!P9</f>
        <v>6</v>
      </c>
      <c r="Q9" s="32">
        <f ca="1">'Юнит 01-04.01'!Q9+'Юнит 05-11.01'!Q9+'Юнит 12-18.01'!Q9+'Юнит 19-25.01'!Q9+'Юнит 26-31.01'!Q9</f>
        <v>0</v>
      </c>
      <c r="R9" s="40">
        <f t="shared" ca="1" si="15"/>
        <v>6</v>
      </c>
      <c r="S9" s="32">
        <f ca="1">'Юнит 01-04.01'!S9+'Юнит 05-11.01'!S9+'Юнит 12-18.01'!S9+'Юнит 19-25.01'!S9+'Юнит 26-31.01'!S9</f>
        <v>10890</v>
      </c>
      <c r="T9" s="32">
        <f ca="1">'Юнит 01-04.01'!T9+'Юнит 05-11.01'!T9+'Юнит 12-18.01'!T9+'Юнит 19-25.01'!T9+'Юнит 26-31.01'!T9</f>
        <v>0</v>
      </c>
      <c r="U9" s="40">
        <f t="shared" ca="1" si="3"/>
        <v>10890</v>
      </c>
      <c r="V9" s="43">
        <f t="shared" ca="1" si="4"/>
        <v>0.11081488114620645</v>
      </c>
      <c r="W9" s="44">
        <f t="shared" ca="1" si="5"/>
        <v>738</v>
      </c>
      <c r="X9" s="32">
        <f ca="1">'Юнит 01-04.01'!X9+'Юнит 05-11.01'!X9+'Юнит 12-18.01'!X9+'Юнит 19-25.01'!X9+'Юнит 26-31.01'!X9</f>
        <v>4682.7</v>
      </c>
      <c r="Y9" s="45">
        <f t="shared" ca="1" si="6"/>
        <v>0.43</v>
      </c>
      <c r="Z9" s="32">
        <f ca="1">'Юнит 01-04.01'!Z9+'Юнит 05-11.01'!Z9+'Юнит 12-18.01'!Z9+'Юнит 19-25.01'!Z9+'Юнит 26-31.01'!Z9</f>
        <v>1257</v>
      </c>
      <c r="AA9" s="32">
        <f>'Юнит 01-04.01'!AA9+'Юнит 05-11.01'!AA9+'Юнит 12-18.01'!AA9+'Юнит 19-25.01'!AA9+'Юнит 26-31.01'!AA9</f>
        <v>5160.05548</v>
      </c>
      <c r="AB9" s="55"/>
      <c r="AC9" s="42"/>
      <c r="AD9" s="46">
        <f ca="1">U9*1%</f>
        <v>108.9</v>
      </c>
      <c r="AE9" s="47">
        <f t="shared" ca="1" si="16"/>
        <v>-1056.6554799999999</v>
      </c>
      <c r="AF9" s="46"/>
      <c r="AG9" s="48">
        <f t="shared" ca="1" si="7"/>
        <v>1815</v>
      </c>
      <c r="AH9" s="49">
        <f t="shared" si="8"/>
        <v>123</v>
      </c>
      <c r="AI9" s="49">
        <f t="shared" ca="1" si="9"/>
        <v>780.44999999999993</v>
      </c>
      <c r="AJ9" s="49">
        <f t="shared" ca="1" si="10"/>
        <v>209.5</v>
      </c>
      <c r="AK9" s="49">
        <f t="shared" ca="1" si="11"/>
        <v>860.00924666666663</v>
      </c>
      <c r="AL9" s="49">
        <f t="array" aca="1" ref="AL9" ca="1">_xlfn.IFS(R9=0,AE9,R9&lt;0,AE9/-R9,R9&gt;0,AE9/R9)</f>
        <v>-176.10924666666665</v>
      </c>
      <c r="AM9" s="50">
        <f t="shared" ca="1" si="12"/>
        <v>-9.7029887970615236E-2</v>
      </c>
      <c r="AN9" s="51">
        <f t="shared" ca="1" si="13"/>
        <v>-1.4317824932249321</v>
      </c>
      <c r="AP9" s="53">
        <f t="shared" ca="1" si="14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5</v>
      </c>
      <c r="L10" s="36"/>
      <c r="M10" s="36"/>
      <c r="N10" s="37">
        <f t="shared" si="1"/>
        <v>0.7142857142857143</v>
      </c>
      <c r="O10" s="38">
        <f t="shared" ca="1" si="2"/>
        <v>0</v>
      </c>
      <c r="P10" s="32">
        <f ca="1">'Юнит 01-04.01'!P10+'Юнит 05-11.01'!P10+'Юнит 12-18.01'!P10+'Юнит 19-25.01'!P10+'Юнит 26-31.01'!P10</f>
        <v>0</v>
      </c>
      <c r="Q10" s="32">
        <f ca="1">'Юнит 01-04.01'!Q10+'Юнит 05-11.01'!Q10+'Юнит 12-18.01'!Q10+'Юнит 19-25.01'!Q10+'Юнит 26-31.01'!Q10</f>
        <v>0</v>
      </c>
      <c r="R10" s="40">
        <f t="shared" ca="1" si="15"/>
        <v>0</v>
      </c>
      <c r="S10" s="32">
        <f ca="1">'Юнит 01-04.01'!S10+'Юнит 05-11.01'!S10+'Юнит 12-18.01'!S10+'Юнит 19-25.01'!S10+'Юнит 26-31.01'!S10</f>
        <v>0</v>
      </c>
      <c r="T10" s="32">
        <f ca="1">'Юнит 01-04.01'!T10+'Юнит 05-11.01'!T10+'Юнит 12-18.01'!T10+'Юнит 19-25.01'!T10+'Юнит 26-31.01'!T10</f>
        <v>0</v>
      </c>
      <c r="U10" s="40">
        <f t="shared" ca="1" si="3"/>
        <v>0</v>
      </c>
      <c r="V10" s="43">
        <f t="shared" ca="1" si="4"/>
        <v>0</v>
      </c>
      <c r="W10" s="44">
        <f t="shared" ca="1" si="5"/>
        <v>0</v>
      </c>
      <c r="X10" s="32">
        <f ca="1">'Юнит 01-04.01'!X10+'Юнит 05-11.01'!X10+'Юнит 12-18.01'!X10+'Юнит 19-25.01'!X10+'Юнит 26-31.01'!X10</f>
        <v>0</v>
      </c>
      <c r="Y10" s="45">
        <f t="shared" ca="1" si="6"/>
        <v>0</v>
      </c>
      <c r="Z10" s="32">
        <f ca="1">'Юнит 01-04.01'!Z10+'Юнит 05-11.01'!Z10+'Юнит 12-18.01'!Z10+'Юнит 19-25.01'!Z10+'Юнит 26-31.01'!Z10</f>
        <v>280.62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ca="1">U10*1%</f>
        <v>0</v>
      </c>
      <c r="AE10" s="47">
        <f t="shared" ca="1" si="16"/>
        <v>-280.62</v>
      </c>
      <c r="AF10" s="46"/>
      <c r="AG10" s="48">
        <f t="shared" ca="1" si="7"/>
        <v>0</v>
      </c>
      <c r="AH10" s="49">
        <f t="shared" si="8"/>
        <v>169.89</v>
      </c>
      <c r="AI10" s="49">
        <f t="shared" ca="1" si="9"/>
        <v>0</v>
      </c>
      <c r="AJ10" s="49">
        <f t="shared" ca="1" si="10"/>
        <v>280.62</v>
      </c>
      <c r="AK10" s="49">
        <f t="shared" ca="1" si="11"/>
        <v>0</v>
      </c>
      <c r="AL10" s="49">
        <f t="array" aca="1" ref="AL10" ca="1">_xlfn.IFS(R10=0,AE10,R10&lt;0,AE10/-R10,R10&gt;0,AE10/R10)</f>
        <v>-280.62</v>
      </c>
      <c r="AM10" s="50">
        <f t="shared" ca="1" si="12"/>
        <v>0</v>
      </c>
      <c r="AN10" s="51">
        <f t="shared" ca="1" si="13"/>
        <v>-1.6517746777326507</v>
      </c>
      <c r="AP10" s="53">
        <f t="shared" ca="1" si="14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1</v>
      </c>
      <c r="L11" s="36"/>
      <c r="M11" s="36"/>
      <c r="N11" s="37">
        <f t="shared" si="1"/>
        <v>0.14285714285714285</v>
      </c>
      <c r="O11" s="38">
        <f t="shared" ca="1" si="2"/>
        <v>0</v>
      </c>
      <c r="P11" s="32">
        <f ca="1">'Юнит 01-04.01'!P11+'Юнит 05-11.01'!P11+'Юнит 12-18.01'!P11+'Юнит 19-25.01'!P11+'Юнит 26-31.01'!P11</f>
        <v>0</v>
      </c>
      <c r="Q11" s="32">
        <f ca="1">'Юнит 01-04.01'!Q11+'Юнит 05-11.01'!Q11+'Юнит 12-18.01'!Q11+'Юнит 19-25.01'!Q11+'Юнит 26-31.01'!Q11</f>
        <v>0</v>
      </c>
      <c r="R11" s="40">
        <f t="shared" ca="1" si="15"/>
        <v>0</v>
      </c>
      <c r="S11" s="32">
        <f ca="1">'Юнит 01-04.01'!S11+'Юнит 05-11.01'!S11+'Юнит 12-18.01'!S11+'Юнит 19-25.01'!S11+'Юнит 26-31.01'!S11</f>
        <v>0</v>
      </c>
      <c r="T11" s="32">
        <f ca="1">'Юнит 01-04.01'!T11+'Юнит 05-11.01'!T11+'Юнит 12-18.01'!T11+'Юнит 19-25.01'!T11+'Юнит 26-31.01'!T11</f>
        <v>0</v>
      </c>
      <c r="U11" s="40">
        <f t="shared" ca="1" si="3"/>
        <v>0</v>
      </c>
      <c r="V11" s="43">
        <f t="shared" ca="1" si="4"/>
        <v>0</v>
      </c>
      <c r="W11" s="44">
        <f t="shared" ca="1" si="5"/>
        <v>0</v>
      </c>
      <c r="X11" s="32">
        <f ca="1">'Юнит 01-04.01'!X11+'Юнит 05-11.01'!X11+'Юнит 12-18.01'!X11+'Юнит 19-25.01'!X11+'Юнит 26-31.01'!X11</f>
        <v>0</v>
      </c>
      <c r="Y11" s="45">
        <f t="shared" ca="1" si="6"/>
        <v>0</v>
      </c>
      <c r="Z11" s="32">
        <f ca="1"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ca="1">U11*1%</f>
        <v>0</v>
      </c>
      <c r="AE11" s="47">
        <f t="shared" ca="1" si="16"/>
        <v>-93.54</v>
      </c>
      <c r="AF11" s="46"/>
      <c r="AG11" s="48">
        <f t="shared" ca="1" si="7"/>
        <v>0</v>
      </c>
      <c r="AH11" s="49">
        <f t="shared" si="8"/>
        <v>169.89</v>
      </c>
      <c r="AI11" s="49">
        <f t="shared" ca="1" si="9"/>
        <v>0</v>
      </c>
      <c r="AJ11" s="49">
        <f t="shared" ca="1" si="10"/>
        <v>93.54</v>
      </c>
      <c r="AK11" s="49">
        <f t="shared" ca="1" si="11"/>
        <v>0</v>
      </c>
      <c r="AL11" s="49">
        <f t="array" aca="1" ref="AL11" ca="1">_xlfn.IFS(R11=0,AE11,R11&lt;0,AE11/-R11,R11&gt;0,AE11/R11)</f>
        <v>-93.54</v>
      </c>
      <c r="AM11" s="50">
        <f t="shared" ca="1" si="12"/>
        <v>0</v>
      </c>
      <c r="AN11" s="51">
        <f t="shared" ca="1" si="13"/>
        <v>-0.55059155924421688</v>
      </c>
      <c r="AP11" s="53">
        <f t="shared" ca="1" si="14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3</v>
      </c>
      <c r="L12" s="36"/>
      <c r="M12" s="36"/>
      <c r="N12" s="37">
        <f t="shared" si="1"/>
        <v>0.42857142857142855</v>
      </c>
      <c r="O12" s="38">
        <f t="shared" ca="1" si="2"/>
        <v>0.42857142857142855</v>
      </c>
      <c r="P12" s="32">
        <f ca="1">'Юнит 01-04.01'!P12+'Юнит 05-11.01'!P12+'Юнит 12-18.01'!P12+'Юнит 19-25.01'!P12+'Юнит 26-31.01'!P12</f>
        <v>3</v>
      </c>
      <c r="Q12" s="32">
        <f ca="1">'Юнит 01-04.01'!Q12+'Юнит 05-11.01'!Q12+'Юнит 12-18.01'!Q12+'Юнит 19-25.01'!Q12+'Юнит 26-31.01'!Q12</f>
        <v>0</v>
      </c>
      <c r="R12" s="40">
        <f t="shared" ca="1" si="15"/>
        <v>3</v>
      </c>
      <c r="S12" s="32">
        <f ca="1">'Юнит 01-04.01'!S12+'Юнит 05-11.01'!S12+'Юнит 12-18.01'!S12+'Юнит 19-25.01'!S12+'Юнит 26-31.01'!S12</f>
        <v>3282</v>
      </c>
      <c r="T12" s="32">
        <f ca="1">'Юнит 01-04.01'!T12+'Юнит 05-11.01'!T12+'Юнит 12-18.01'!T12+'Юнит 19-25.01'!T12+'Юнит 26-31.01'!T12</f>
        <v>0</v>
      </c>
      <c r="U12" s="40">
        <f t="shared" ca="1" si="3"/>
        <v>3282</v>
      </c>
      <c r="V12" s="43">
        <f t="shared" ca="1" si="4"/>
        <v>3.3397101921198304E-2</v>
      </c>
      <c r="W12" s="44">
        <f t="shared" ca="1" si="5"/>
        <v>509.66999999999996</v>
      </c>
      <c r="X12" s="32">
        <f ca="1">'Юнит 01-04.01'!X12+'Юнит 05-11.01'!X12+'Юнит 12-18.01'!X12+'Юнит 19-25.01'!X12+'Юнит 26-31.01'!X12</f>
        <v>1411.26</v>
      </c>
      <c r="Y12" s="45">
        <f t="shared" ca="1" si="6"/>
        <v>0.43</v>
      </c>
      <c r="Z12" s="32">
        <f ca="1">'Юнит 01-04.01'!Z12+'Юнит 05-11.01'!Z12+'Юнит 12-18.01'!Z12+'Юнит 19-25.01'!Z12+'Юнит 26-31.01'!Z12</f>
        <v>307.87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ca="1">U12*1%</f>
        <v>32.82</v>
      </c>
      <c r="AE12" s="47">
        <f t="shared" ca="1" si="16"/>
        <v>1020.3799999999998</v>
      </c>
      <c r="AF12" s="46"/>
      <c r="AG12" s="48">
        <f t="shared" ca="1" si="7"/>
        <v>1094</v>
      </c>
      <c r="AH12" s="49">
        <f t="shared" si="8"/>
        <v>169.89</v>
      </c>
      <c r="AI12" s="49">
        <f t="shared" ca="1" si="9"/>
        <v>470.42</v>
      </c>
      <c r="AJ12" s="49">
        <f t="shared" ca="1" si="10"/>
        <v>102.62333333333333</v>
      </c>
      <c r="AK12" s="49">
        <f t="shared" ca="1" si="11"/>
        <v>0</v>
      </c>
      <c r="AL12" s="49">
        <f t="array" aca="1" ref="AL12" ca="1">_xlfn.IFS(R12=0,AE12,R12&lt;0,AE12/-R12,R12&gt;0,AE12/R12)</f>
        <v>340.12666666666661</v>
      </c>
      <c r="AM12" s="50">
        <f t="shared" ca="1" si="12"/>
        <v>0.31090188909201699</v>
      </c>
      <c r="AN12" s="51">
        <f t="shared" ca="1" si="13"/>
        <v>2.0020405360331193</v>
      </c>
      <c r="AP12" s="53">
        <f t="shared" ca="1" si="14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7</v>
      </c>
      <c r="L13" s="36"/>
      <c r="M13" s="36"/>
      <c r="N13" s="37">
        <f t="shared" si="1"/>
        <v>1</v>
      </c>
      <c r="O13" s="38">
        <f t="shared" ca="1" si="2"/>
        <v>0.5714285714285714</v>
      </c>
      <c r="P13" s="32">
        <f ca="1">'Юнит 01-04.01'!P13+'Юнит 05-11.01'!P13+'Юнит 12-18.01'!P13+'Юнит 19-25.01'!P13+'Юнит 26-31.01'!P13</f>
        <v>4</v>
      </c>
      <c r="Q13" s="32">
        <f ca="1">'Юнит 01-04.01'!Q13+'Юнит 05-11.01'!Q13+'Юнит 12-18.01'!Q13+'Юнит 19-25.01'!Q13+'Юнит 26-31.01'!Q13</f>
        <v>0</v>
      </c>
      <c r="R13" s="40">
        <f t="shared" ca="1" si="15"/>
        <v>4</v>
      </c>
      <c r="S13" s="32">
        <f ca="1">'Юнит 01-04.01'!S13+'Юнит 05-11.01'!S13+'Юнит 12-18.01'!S13+'Юнит 19-25.01'!S13+'Юнит 26-31.01'!S13</f>
        <v>5520</v>
      </c>
      <c r="T13" s="32">
        <f ca="1">'Юнит 01-04.01'!T13+'Юнит 05-11.01'!T13+'Юнит 12-18.01'!T13+'Юнит 19-25.01'!T13+'Юнит 26-31.01'!T13</f>
        <v>0</v>
      </c>
      <c r="U13" s="40">
        <f t="shared" ca="1" si="3"/>
        <v>5520</v>
      </c>
      <c r="V13" s="43">
        <f t="shared" ca="1" si="4"/>
        <v>5.6170628459785085E-2</v>
      </c>
      <c r="W13" s="44">
        <f t="shared" ca="1" si="5"/>
        <v>679.56</v>
      </c>
      <c r="X13" s="32">
        <f ca="1">'Юнит 01-04.01'!X13+'Юнит 05-11.01'!X13+'Юнит 12-18.01'!X13+'Юнит 19-25.01'!X13+'Юнит 26-31.01'!X13</f>
        <v>2373.6</v>
      </c>
      <c r="Y13" s="45">
        <f t="shared" ca="1" si="6"/>
        <v>0.43</v>
      </c>
      <c r="Z13" s="32">
        <f ca="1">'Юнит 01-04.01'!Z13+'Юнит 05-11.01'!Z13+'Юнит 12-18.01'!Z13+'Юнит 19-25.01'!Z13+'Юнит 26-31.01'!Z13</f>
        <v>885.37999999999988</v>
      </c>
      <c r="AA13" s="32">
        <f>'Юнит 01-04.01'!AA13+'Юнит 05-11.01'!AA13+'Юнит 12-18.01'!AA13+'Юнит 19-25.01'!AA13+'Юнит 26-31.01'!AA13</f>
        <v>795.8</v>
      </c>
      <c r="AB13" s="55"/>
      <c r="AC13" s="42"/>
      <c r="AD13" s="46">
        <f ca="1">U13*1%</f>
        <v>55.2</v>
      </c>
      <c r="AE13" s="47">
        <f t="shared" ca="1" si="16"/>
        <v>730.46000000000072</v>
      </c>
      <c r="AF13" s="46"/>
      <c r="AG13" s="48">
        <f t="shared" ca="1" si="7"/>
        <v>1380</v>
      </c>
      <c r="AH13" s="49">
        <f t="shared" si="8"/>
        <v>169.89</v>
      </c>
      <c r="AI13" s="49">
        <f t="shared" ca="1" si="9"/>
        <v>593.4</v>
      </c>
      <c r="AJ13" s="49">
        <f t="shared" ca="1" si="10"/>
        <v>221.34499999999997</v>
      </c>
      <c r="AK13" s="49">
        <f t="shared" ca="1" si="11"/>
        <v>198.95</v>
      </c>
      <c r="AL13" s="49">
        <f t="array" aca="1" ref="AL13" ca="1">_xlfn.IFS(R13=0,AE13,R13&lt;0,AE13/-R13,R13&gt;0,AE13/R13)</f>
        <v>182.61500000000018</v>
      </c>
      <c r="AM13" s="50">
        <f t="shared" ca="1" si="12"/>
        <v>0.13232971014492767</v>
      </c>
      <c r="AN13" s="51">
        <f t="shared" ca="1" si="13"/>
        <v>1.0749014067926317</v>
      </c>
      <c r="AP13" s="53">
        <f t="shared" ca="1" si="14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3</v>
      </c>
      <c r="L14" s="36"/>
      <c r="M14" s="36"/>
      <c r="N14" s="37">
        <f t="shared" si="1"/>
        <v>0.42857142857142855</v>
      </c>
      <c r="O14" s="38">
        <f t="shared" ca="1" si="2"/>
        <v>0.2857142857142857</v>
      </c>
      <c r="P14" s="32">
        <f ca="1">'Юнит 01-04.01'!P14+'Юнит 05-11.01'!P14+'Юнит 12-18.01'!P14+'Юнит 19-25.01'!P14+'Юнит 26-31.01'!P14</f>
        <v>2</v>
      </c>
      <c r="Q14" s="32">
        <f ca="1">'Юнит 01-04.01'!Q14+'Юнит 05-11.01'!Q14+'Юнит 12-18.01'!Q14+'Юнит 19-25.01'!Q14+'Юнит 26-31.01'!Q14</f>
        <v>0</v>
      </c>
      <c r="R14" s="40">
        <f t="shared" ca="1" si="15"/>
        <v>2</v>
      </c>
      <c r="S14" s="32">
        <f ca="1">'Юнит 01-04.01'!S14+'Юнит 05-11.01'!S14+'Юнит 12-18.01'!S14+'Юнит 19-25.01'!S14+'Юнит 26-31.01'!S14</f>
        <v>2858</v>
      </c>
      <c r="T14" s="32">
        <f ca="1">'Юнит 01-04.01'!T14+'Юнит 05-11.01'!T14+'Юнит 12-18.01'!T14+'Юнит 19-25.01'!T14+'Юнит 26-31.01'!T14</f>
        <v>0</v>
      </c>
      <c r="U14" s="40">
        <f t="shared" ca="1" si="3"/>
        <v>2858</v>
      </c>
      <c r="V14" s="43">
        <f t="shared" ca="1" si="4"/>
        <v>2.9082546401823509E-2</v>
      </c>
      <c r="W14" s="44">
        <f t="shared" ca="1" si="5"/>
        <v>339.78</v>
      </c>
      <c r="X14" s="32">
        <f ca="1">'Юнит 01-04.01'!X14+'Юнит 05-11.01'!X14+'Юнит 12-18.01'!X14+'Юнит 19-25.01'!X14+'Юнит 26-31.01'!X14</f>
        <v>1228.94</v>
      </c>
      <c r="Y14" s="45">
        <f t="shared" ca="1" si="6"/>
        <v>0.43</v>
      </c>
      <c r="Z14" s="32">
        <f ca="1">'Юнит 01-04.01'!Z14+'Юнит 05-11.01'!Z14+'Юнит 12-18.01'!Z14+'Юнит 19-25.01'!Z14+'Юнит 26-31.01'!Z14</f>
        <v>238.25</v>
      </c>
      <c r="AA14" s="32">
        <f>'Юнит 01-04.01'!AA14+'Юнит 05-11.01'!AA14+'Юнит 12-18.01'!AA14+'Юнит 19-25.01'!AA14+'Юнит 26-31.01'!AA14</f>
        <v>250.7</v>
      </c>
      <c r="AB14" s="55"/>
      <c r="AC14" s="42"/>
      <c r="AD14" s="46">
        <f ca="1">U14*1%</f>
        <v>28.580000000000002</v>
      </c>
      <c r="AE14" s="47">
        <f t="shared" ca="1" si="16"/>
        <v>771.75000000000011</v>
      </c>
      <c r="AF14" s="46"/>
      <c r="AG14" s="48">
        <f t="shared" ca="1" si="7"/>
        <v>1429</v>
      </c>
      <c r="AH14" s="49">
        <f t="shared" si="8"/>
        <v>169.89</v>
      </c>
      <c r="AI14" s="49">
        <f t="shared" ca="1" si="9"/>
        <v>614.47</v>
      </c>
      <c r="AJ14" s="49">
        <f t="shared" ca="1" si="10"/>
        <v>119.125</v>
      </c>
      <c r="AK14" s="49">
        <f t="shared" ca="1" si="11"/>
        <v>125.35</v>
      </c>
      <c r="AL14" s="49">
        <f t="array" aca="1" ref="AL14" ca="1">_xlfn.IFS(R14=0,AE14,R14&lt;0,AE14/-R14,R14&gt;0,AE14/R14)</f>
        <v>385.87500000000006</v>
      </c>
      <c r="AM14" s="50">
        <f t="shared" ca="1" si="12"/>
        <v>0.27003149055283421</v>
      </c>
      <c r="AN14" s="51">
        <f t="shared" ca="1" si="13"/>
        <v>2.2713226205191601</v>
      </c>
      <c r="AP14" s="53">
        <f t="shared" ca="1" si="14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4</v>
      </c>
      <c r="L15" s="36"/>
      <c r="M15" s="36"/>
      <c r="N15" s="37">
        <f t="shared" si="1"/>
        <v>0.5714285714285714</v>
      </c>
      <c r="O15" s="38">
        <f t="shared" ca="1" si="2"/>
        <v>0.2857142857142857</v>
      </c>
      <c r="P15" s="32">
        <f ca="1">'Юнит 01-04.01'!P15+'Юнит 05-11.01'!P15+'Юнит 12-18.01'!P15+'Юнит 19-25.01'!P15+'Юнит 26-31.01'!P15</f>
        <v>2</v>
      </c>
      <c r="Q15" s="32">
        <f ca="1">'Юнит 01-04.01'!Q15+'Юнит 05-11.01'!Q15+'Юнит 12-18.01'!Q15+'Юнит 19-25.01'!Q15+'Юнит 26-31.01'!Q15</f>
        <v>0</v>
      </c>
      <c r="R15" s="40">
        <f t="shared" ca="1" si="15"/>
        <v>2</v>
      </c>
      <c r="S15" s="32">
        <f ca="1">'Юнит 01-04.01'!S15+'Юнит 05-11.01'!S15+'Юнит 12-18.01'!S15+'Юнит 19-25.01'!S15+'Юнит 26-31.01'!S15</f>
        <v>2670</v>
      </c>
      <c r="T15" s="32">
        <f ca="1">'Юнит 01-04.01'!T15+'Юнит 05-11.01'!T15+'Юнит 12-18.01'!T15+'Юнит 19-25.01'!T15+'Юнит 26-31.01'!T15</f>
        <v>0</v>
      </c>
      <c r="U15" s="40">
        <f t="shared" ca="1" si="3"/>
        <v>2670</v>
      </c>
      <c r="V15" s="43">
        <f t="shared" ca="1" si="4"/>
        <v>2.7169488765874307E-2</v>
      </c>
      <c r="W15" s="44">
        <f t="shared" ca="1" si="5"/>
        <v>339.78</v>
      </c>
      <c r="X15" s="32">
        <f ca="1">'Юнит 01-04.01'!X15+'Юнит 05-11.01'!X15+'Юнит 12-18.01'!X15+'Юнит 19-25.01'!X15+'Юнит 26-31.01'!X15</f>
        <v>1148.0999999999999</v>
      </c>
      <c r="Y15" s="45">
        <f t="shared" ca="1" si="6"/>
        <v>0.43</v>
      </c>
      <c r="Z15" s="32">
        <f ca="1">'Юнит 01-04.01'!Z15+'Юнит 05-11.01'!Z15+'Юнит 12-18.01'!Z15+'Юнит 19-25.01'!Z15+'Юнит 26-31.01'!Z15</f>
        <v>489.96</v>
      </c>
      <c r="AA15" s="32">
        <f>'Юнит 01-04.01'!AA15+'Юнит 05-11.01'!AA15+'Юнит 12-18.01'!AA15+'Юнит 19-25.01'!AA15+'Юнит 26-31.01'!AA15</f>
        <v>921.6099999999999</v>
      </c>
      <c r="AB15" s="55"/>
      <c r="AC15" s="42"/>
      <c r="AD15" s="46">
        <f ca="1">U15*1%</f>
        <v>26.7</v>
      </c>
      <c r="AE15" s="47">
        <f t="shared" ca="1" si="16"/>
        <v>-256.14999999999958</v>
      </c>
      <c r="AF15" s="46"/>
      <c r="AG15" s="48">
        <f t="shared" ca="1" si="7"/>
        <v>1335</v>
      </c>
      <c r="AH15" s="49">
        <f t="shared" si="8"/>
        <v>169.89</v>
      </c>
      <c r="AI15" s="49">
        <f t="shared" ca="1" si="9"/>
        <v>574.04999999999995</v>
      </c>
      <c r="AJ15" s="49">
        <f t="shared" ca="1" si="10"/>
        <v>244.98</v>
      </c>
      <c r="AK15" s="49">
        <f t="shared" ca="1" si="11"/>
        <v>460.80499999999995</v>
      </c>
      <c r="AL15" s="49">
        <f t="array" aca="1" ref="AL15" ca="1">_xlfn.IFS(R15=0,AE15,R15&lt;0,AE15/-R15,R15&gt;0,AE15/R15)</f>
        <v>-128.07499999999979</v>
      </c>
      <c r="AM15" s="50">
        <f t="shared" ca="1" si="12"/>
        <v>-9.5936329588014818E-2</v>
      </c>
      <c r="AN15" s="51">
        <f t="shared" ca="1" si="13"/>
        <v>-0.75387015127435286</v>
      </c>
      <c r="AP15" s="53">
        <f t="shared" ca="1" si="14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5</v>
      </c>
      <c r="L16" s="36"/>
      <c r="M16" s="36"/>
      <c r="N16" s="37">
        <f t="shared" si="1"/>
        <v>0.7142857142857143</v>
      </c>
      <c r="O16" s="38">
        <f t="shared" ca="1" si="2"/>
        <v>0.5714285714285714</v>
      </c>
      <c r="P16" s="32">
        <f ca="1">'Юнит 01-04.01'!P16+'Юнит 05-11.01'!P16+'Юнит 12-18.01'!P16+'Юнит 19-25.01'!P16+'Юнит 26-31.01'!P16</f>
        <v>4</v>
      </c>
      <c r="Q16" s="32">
        <f ca="1">'Юнит 01-04.01'!Q16+'Юнит 05-11.01'!Q16+'Юнит 12-18.01'!Q16+'Юнит 19-25.01'!Q16+'Юнит 26-31.01'!Q16</f>
        <v>0</v>
      </c>
      <c r="R16" s="40">
        <f t="shared" ca="1" si="15"/>
        <v>4</v>
      </c>
      <c r="S16" s="32">
        <f ca="1">'Юнит 01-04.01'!S16+'Юнит 05-11.01'!S16+'Юнит 12-18.01'!S16+'Юнит 19-25.01'!S16+'Юнит 26-31.01'!S16</f>
        <v>5179</v>
      </c>
      <c r="T16" s="32">
        <f ca="1">'Юнит 01-04.01'!T16+'Юнит 05-11.01'!T16+'Юнит 12-18.01'!T16+'Юнит 19-25.01'!T16+'Юнит 26-31.01'!T16</f>
        <v>0</v>
      </c>
      <c r="U16" s="40">
        <f t="shared" ca="1" si="3"/>
        <v>5179</v>
      </c>
      <c r="V16" s="43">
        <f t="shared" ca="1" si="4"/>
        <v>5.2700667535004887E-2</v>
      </c>
      <c r="W16" s="44">
        <f t="shared" ca="1" si="5"/>
        <v>679.56</v>
      </c>
      <c r="X16" s="32">
        <f ca="1">'Юнит 01-04.01'!X16+'Юнит 05-11.01'!X16+'Юнит 12-18.01'!X16+'Юнит 19-25.01'!X16+'Юнит 26-31.01'!X16</f>
        <v>2226.9700000000003</v>
      </c>
      <c r="Y16" s="45">
        <f t="shared" ca="1" si="6"/>
        <v>0.43000000000000005</v>
      </c>
      <c r="Z16" s="32">
        <f ca="1"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ca="1">U16*1%</f>
        <v>51.79</v>
      </c>
      <c r="AE16" s="47">
        <f t="shared" ca="1" si="16"/>
        <v>1117.4800000000002</v>
      </c>
      <c r="AF16" s="46"/>
      <c r="AG16" s="48">
        <f t="shared" ca="1" si="7"/>
        <v>1294.75</v>
      </c>
      <c r="AH16" s="49">
        <f t="shared" si="8"/>
        <v>169.89</v>
      </c>
      <c r="AI16" s="49">
        <f t="shared" ca="1" si="9"/>
        <v>556.74250000000006</v>
      </c>
      <c r="AJ16" s="49">
        <f t="shared" ca="1" si="10"/>
        <v>118.9975</v>
      </c>
      <c r="AK16" s="49">
        <f t="shared" ca="1" si="11"/>
        <v>156.80250000000001</v>
      </c>
      <c r="AL16" s="49">
        <f t="array" aca="1" ref="AL16" ca="1">_xlfn.IFS(R16=0,AE16,R16&lt;0,AE16/-R16,R16&gt;0,AE16/R16)</f>
        <v>279.37000000000006</v>
      </c>
      <c r="AM16" s="50">
        <f t="shared" ca="1" si="12"/>
        <v>0.21577138443715008</v>
      </c>
      <c r="AN16" s="51">
        <f t="shared" ca="1" si="13"/>
        <v>1.644416975690153</v>
      </c>
      <c r="AP16" s="53">
        <f t="shared" ca="1" si="14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ref="N17:N24" si="17">K17/7</f>
        <v>0</v>
      </c>
      <c r="O17" s="38">
        <f t="shared" ca="1" si="2"/>
        <v>0</v>
      </c>
      <c r="P17" s="32">
        <f ca="1">'Юнит 01-04.01'!P17+'Юнит 05-11.01'!P17+'Юнит 12-18.01'!P17+'Юнит 19-25.01'!P17+'Юнит 26-31.01'!P17</f>
        <v>0</v>
      </c>
      <c r="Q17" s="32">
        <f ca="1">'Юнит 01-04.01'!Q17+'Юнит 05-11.01'!Q17+'Юнит 12-18.01'!Q17+'Юнит 19-25.01'!Q17+'Юнит 26-31.01'!Q17</f>
        <v>0</v>
      </c>
      <c r="R17" s="40">
        <f t="shared" ca="1" si="15"/>
        <v>0</v>
      </c>
      <c r="S17" s="32">
        <f ca="1">'Юнит 01-04.01'!S17+'Юнит 05-11.01'!S17+'Юнит 12-18.01'!S17+'Юнит 19-25.01'!S17+'Юнит 26-31.01'!S17</f>
        <v>0</v>
      </c>
      <c r="T17" s="32">
        <f ca="1">'Юнит 01-04.01'!T17+'Юнит 05-11.01'!T17+'Юнит 12-18.01'!T17+'Юнит 19-25.01'!T17+'Юнит 26-31.01'!T17</f>
        <v>0</v>
      </c>
      <c r="U17" s="40">
        <f t="shared" ca="1" si="3"/>
        <v>0</v>
      </c>
      <c r="V17" s="43">
        <f t="shared" ca="1" si="4"/>
        <v>0</v>
      </c>
      <c r="W17" s="44">
        <f t="shared" ca="1" si="5"/>
        <v>0</v>
      </c>
      <c r="X17" s="32">
        <f ca="1">'Юнит 01-04.01'!X17+'Юнит 05-11.01'!X17+'Юнит 12-18.01'!X17+'Юнит 19-25.01'!X17+'Юнит 26-31.01'!X17</f>
        <v>0</v>
      </c>
      <c r="Y17" s="45">
        <f t="shared" ca="1" si="6"/>
        <v>0</v>
      </c>
      <c r="Z17" s="32">
        <f ca="1"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ca="1">U17*1%</f>
        <v>0</v>
      </c>
      <c r="AE17" s="47">
        <f t="shared" ca="1" si="16"/>
        <v>0</v>
      </c>
      <c r="AF17" s="46"/>
      <c r="AG17" s="48">
        <f t="shared" ca="1" si="7"/>
        <v>0</v>
      </c>
      <c r="AH17" s="49">
        <f t="shared" si="8"/>
        <v>1002.82</v>
      </c>
      <c r="AI17" s="49">
        <f t="shared" ca="1" si="9"/>
        <v>0</v>
      </c>
      <c r="AJ17" s="49">
        <f t="shared" ca="1" si="10"/>
        <v>0</v>
      </c>
      <c r="AK17" s="49">
        <f t="shared" ca="1" si="11"/>
        <v>0</v>
      </c>
      <c r="AL17" s="49">
        <f t="array" aca="1" ref="AL17" ca="1">_xlfn.IFS(R17=0,AE17,R17&lt;0,AE17/-R17,R17&gt;0,AE17/R17)</f>
        <v>0</v>
      </c>
      <c r="AM17" s="50">
        <f t="shared" ca="1" si="12"/>
        <v>0</v>
      </c>
      <c r="AN17" s="51">
        <f t="shared" ca="1" si="13"/>
        <v>0</v>
      </c>
      <c r="AP17" s="53">
        <f t="shared" ca="1" si="14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7"/>
        <v>0.14285714285714285</v>
      </c>
      <c r="O18" s="38">
        <f t="shared" ca="1" si="2"/>
        <v>0</v>
      </c>
      <c r="P18" s="32">
        <f ca="1">'Юнит 01-04.01'!P18+'Юнит 05-11.01'!P18+'Юнит 12-18.01'!P18+'Юнит 19-25.01'!P18+'Юнит 26-31.01'!P18</f>
        <v>0</v>
      </c>
      <c r="Q18" s="32">
        <f ca="1">'Юнит 01-04.01'!Q18+'Юнит 05-11.01'!Q18+'Юнит 12-18.01'!Q18+'Юнит 19-25.01'!Q18+'Юнит 26-31.01'!Q18</f>
        <v>0</v>
      </c>
      <c r="R18" s="40">
        <f t="shared" ca="1" si="15"/>
        <v>0</v>
      </c>
      <c r="S18" s="32">
        <f ca="1">'Юнит 01-04.01'!S18+'Юнит 05-11.01'!S18+'Юнит 12-18.01'!S18+'Юнит 19-25.01'!S18+'Юнит 26-31.01'!S18</f>
        <v>0</v>
      </c>
      <c r="T18" s="32">
        <f ca="1">'Юнит 01-04.01'!T18+'Юнит 05-11.01'!T18+'Юнит 12-18.01'!T18+'Юнит 19-25.01'!T18+'Юнит 26-31.01'!T18</f>
        <v>0</v>
      </c>
      <c r="U18" s="40">
        <f t="shared" ca="1" si="3"/>
        <v>0</v>
      </c>
      <c r="V18" s="43">
        <f t="shared" ca="1" si="4"/>
        <v>0</v>
      </c>
      <c r="W18" s="44">
        <f t="shared" ca="1" si="5"/>
        <v>0</v>
      </c>
      <c r="X18" s="32">
        <f ca="1">'Юнит 01-04.01'!X18+'Юнит 05-11.01'!X18+'Юнит 12-18.01'!X18+'Юнит 19-25.01'!X18+'Юнит 26-31.01'!X18</f>
        <v>0</v>
      </c>
      <c r="Y18" s="45">
        <f t="shared" ca="1" si="6"/>
        <v>0</v>
      </c>
      <c r="Z18" s="32">
        <f ca="1">'Юнит 01-04.01'!Z18+'Юнит 05-11.01'!Z18+'Юнит 12-18.01'!Z18+'Юнит 19-25.01'!Z18+'Юнит 26-31.01'!Z18</f>
        <v>0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ca="1">U18*1%</f>
        <v>0</v>
      </c>
      <c r="AE18" s="47">
        <f t="shared" ca="1" si="16"/>
        <v>0</v>
      </c>
      <c r="AF18" s="46"/>
      <c r="AG18" s="48">
        <f t="shared" ca="1" si="7"/>
        <v>0</v>
      </c>
      <c r="AH18" s="49">
        <f t="shared" si="8"/>
        <v>909.22</v>
      </c>
      <c r="AI18" s="49">
        <f t="shared" ca="1" si="9"/>
        <v>0</v>
      </c>
      <c r="AJ18" s="49">
        <f t="shared" ca="1" si="10"/>
        <v>0</v>
      </c>
      <c r="AK18" s="49">
        <f t="shared" ca="1" si="11"/>
        <v>0</v>
      </c>
      <c r="AL18" s="49">
        <f t="array" aca="1" ref="AL18" ca="1">_xlfn.IFS(R18=0,AE18,R18&lt;0,AE18/-R18,R18&gt;0,AE18/R18)</f>
        <v>0</v>
      </c>
      <c r="AM18" s="50">
        <f t="shared" ca="1" si="12"/>
        <v>0</v>
      </c>
      <c r="AN18" s="51">
        <f t="shared" ca="1" si="13"/>
        <v>0</v>
      </c>
      <c r="AP18" s="53">
        <f t="shared" ca="1" si="14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7"/>
        <v>0.2857142857142857</v>
      </c>
      <c r="O19" s="38">
        <f t="shared" ca="1" si="2"/>
        <v>0.14285714285714285</v>
      </c>
      <c r="P19" s="32">
        <f ca="1">'Юнит 01-04.01'!P19+'Юнит 05-11.01'!P19+'Юнит 12-18.01'!P19+'Юнит 19-25.01'!P19+'Юнит 26-31.01'!P19</f>
        <v>1</v>
      </c>
      <c r="Q19" s="32">
        <f ca="1">'Юнит 01-04.01'!Q19+'Юнит 05-11.01'!Q19+'Юнит 12-18.01'!Q19+'Юнит 19-25.01'!Q19+'Юнит 26-31.01'!Q19</f>
        <v>0</v>
      </c>
      <c r="R19" s="40">
        <f t="shared" ca="1" si="15"/>
        <v>1</v>
      </c>
      <c r="S19" s="32">
        <f ca="1">'Юнит 01-04.01'!S19+'Юнит 05-11.01'!S19+'Юнит 12-18.01'!S19+'Юнит 19-25.01'!S19+'Юнит 26-31.01'!S19</f>
        <v>3663</v>
      </c>
      <c r="T19" s="32">
        <f ca="1">'Юнит 01-04.01'!T19+'Юнит 05-11.01'!T19+'Юнит 12-18.01'!T19+'Юнит 19-25.01'!T19+'Юнит 26-31.01'!T19</f>
        <v>0</v>
      </c>
      <c r="U19" s="40">
        <f t="shared" ca="1" si="3"/>
        <v>3663</v>
      </c>
      <c r="V19" s="43">
        <f t="shared" ca="1" si="4"/>
        <v>3.7274096385542167E-2</v>
      </c>
      <c r="W19" s="44">
        <f t="shared" ca="1" si="5"/>
        <v>909.22</v>
      </c>
      <c r="X19" s="32">
        <f ca="1">'Юнит 01-04.01'!X19+'Юнит 05-11.01'!X19+'Юнит 12-18.01'!X19+'Юнит 19-25.01'!X19+'Юнит 26-31.01'!X19</f>
        <v>1575.09</v>
      </c>
      <c r="Y19" s="45">
        <f t="shared" ca="1" si="6"/>
        <v>0.43</v>
      </c>
      <c r="Z19" s="32">
        <f ca="1"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ca="1">U19*1%</f>
        <v>36.630000000000003</v>
      </c>
      <c r="AE19" s="47">
        <f t="shared" ca="1" si="16"/>
        <v>914.64999999999986</v>
      </c>
      <c r="AF19" s="46"/>
      <c r="AG19" s="48">
        <f t="shared" ca="1" si="7"/>
        <v>3663</v>
      </c>
      <c r="AH19" s="49">
        <f t="shared" si="8"/>
        <v>909.22</v>
      </c>
      <c r="AI19" s="49">
        <f t="shared" ca="1" si="9"/>
        <v>1575.09</v>
      </c>
      <c r="AJ19" s="49">
        <f t="shared" ca="1" si="10"/>
        <v>227.41</v>
      </c>
      <c r="AK19" s="49">
        <f t="shared" ca="1" si="11"/>
        <v>0</v>
      </c>
      <c r="AL19" s="49">
        <f t="array" aca="1" ref="AL19" ca="1">_xlfn.IFS(R19=0,AE19,R19&lt;0,AE19/-R19,R19&gt;0,AE19/R19)</f>
        <v>914.64999999999986</v>
      </c>
      <c r="AM19" s="50">
        <f t="shared" ca="1" si="12"/>
        <v>0.24969969969969966</v>
      </c>
      <c r="AN19" s="51">
        <f t="shared" ca="1" si="13"/>
        <v>1.0059721519544222</v>
      </c>
      <c r="AP19" s="53">
        <f t="shared" ca="1" si="14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7"/>
        <v>0.14285714285714285</v>
      </c>
      <c r="O20" s="38">
        <f t="shared" ca="1" si="2"/>
        <v>0.14285714285714285</v>
      </c>
      <c r="P20" s="32">
        <f ca="1">'Юнит 01-04.01'!P20+'Юнит 05-11.01'!P20+'Юнит 12-18.01'!P20+'Юнит 19-25.01'!P20+'Юнит 26-31.01'!P20</f>
        <v>1</v>
      </c>
      <c r="Q20" s="32">
        <f ca="1">'Юнит 01-04.01'!Q20+'Юнит 05-11.01'!Q20+'Юнит 12-18.01'!Q20+'Юнит 19-25.01'!Q20+'Юнит 26-31.01'!Q20</f>
        <v>0</v>
      </c>
      <c r="R20" s="40">
        <f t="shared" ca="1" si="15"/>
        <v>1</v>
      </c>
      <c r="S20" s="32">
        <f ca="1">'Юнит 01-04.01'!S20+'Юнит 05-11.01'!S20+'Юнит 12-18.01'!S20+'Юнит 19-25.01'!S20+'Юнит 26-31.01'!S20</f>
        <v>5000</v>
      </c>
      <c r="T20" s="32">
        <f ca="1">'Юнит 01-04.01'!T20+'Юнит 05-11.01'!T20+'Юнит 12-18.01'!T20+'Юнит 19-25.01'!T20+'Юнит 26-31.01'!T20</f>
        <v>0</v>
      </c>
      <c r="U20" s="40">
        <f t="shared" ca="1" si="3"/>
        <v>5000</v>
      </c>
      <c r="V20" s="43">
        <f t="shared" ca="1" si="4"/>
        <v>5.0879192445457508E-2</v>
      </c>
      <c r="W20" s="44">
        <f t="shared" ca="1" si="5"/>
        <v>932.62</v>
      </c>
      <c r="X20" s="32">
        <f ca="1">'Юнит 01-04.01'!X20+'Юнит 05-11.01'!X20+'Юнит 12-18.01'!X20+'Юнит 19-25.01'!X20+'Юнит 26-31.01'!X20</f>
        <v>2150</v>
      </c>
      <c r="Y20" s="45">
        <f t="shared" ca="1" si="6"/>
        <v>0.43</v>
      </c>
      <c r="Z20" s="32">
        <f ca="1"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ca="1">U20*1%</f>
        <v>50</v>
      </c>
      <c r="AE20" s="47">
        <f t="shared" ca="1" si="16"/>
        <v>1644.69</v>
      </c>
      <c r="AF20" s="46"/>
      <c r="AG20" s="48">
        <f t="shared" ca="1" si="7"/>
        <v>5000</v>
      </c>
      <c r="AH20" s="49">
        <f t="shared" si="8"/>
        <v>932.62</v>
      </c>
      <c r="AI20" s="49">
        <f t="shared" ca="1" si="9"/>
        <v>2150</v>
      </c>
      <c r="AJ20" s="49">
        <f t="shared" ca="1" si="10"/>
        <v>222.69</v>
      </c>
      <c r="AK20" s="49">
        <f t="shared" ca="1" si="11"/>
        <v>0</v>
      </c>
      <c r="AL20" s="49">
        <f t="array" aca="1" ref="AL20" ca="1">_xlfn.IFS(R20=0,AE20,R20&lt;0,AE20/-R20,R20&gt;0,AE20/R20)</f>
        <v>1644.69</v>
      </c>
      <c r="AM20" s="50">
        <f t="shared" ca="1" si="12"/>
        <v>0.32893800000000001</v>
      </c>
      <c r="AN20" s="51">
        <f t="shared" ca="1" si="13"/>
        <v>1.7635156869893418</v>
      </c>
      <c r="AP20" s="53">
        <f t="shared" ca="1" si="14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7"/>
        <v>0</v>
      </c>
      <c r="O21" s="38">
        <f t="shared" ca="1" si="2"/>
        <v>0</v>
      </c>
      <c r="P21" s="32">
        <f ca="1">'Юнит 01-04.01'!P21+'Юнит 05-11.01'!P21+'Юнит 12-18.01'!P21+'Юнит 19-25.01'!P21+'Юнит 26-31.01'!P21</f>
        <v>0</v>
      </c>
      <c r="Q21" s="32">
        <f ca="1">'Юнит 01-04.01'!Q21+'Юнит 05-11.01'!Q21+'Юнит 12-18.01'!Q21+'Юнит 19-25.01'!Q21+'Юнит 26-31.01'!Q21</f>
        <v>0</v>
      </c>
      <c r="R21" s="40">
        <f t="shared" ca="1" si="15"/>
        <v>0</v>
      </c>
      <c r="S21" s="32">
        <f ca="1">'Юнит 01-04.01'!S21+'Юнит 05-11.01'!S21+'Юнит 12-18.01'!S21+'Юнит 19-25.01'!S21+'Юнит 26-31.01'!S21</f>
        <v>0</v>
      </c>
      <c r="T21" s="32">
        <f ca="1">'Юнит 01-04.01'!T21+'Юнит 05-11.01'!T21+'Юнит 12-18.01'!T21+'Юнит 19-25.01'!T21+'Юнит 26-31.01'!T21</f>
        <v>0</v>
      </c>
      <c r="U21" s="40">
        <f t="shared" ca="1" si="3"/>
        <v>0</v>
      </c>
      <c r="V21" s="43">
        <f t="shared" ca="1" si="4"/>
        <v>0</v>
      </c>
      <c r="W21" s="44">
        <f t="shared" ca="1" si="5"/>
        <v>0</v>
      </c>
      <c r="X21" s="32">
        <f ca="1">'Юнит 01-04.01'!X21+'Юнит 05-11.01'!X21+'Юнит 12-18.01'!X21+'Юнит 19-25.01'!X21+'Юнит 26-31.01'!X21</f>
        <v>0</v>
      </c>
      <c r="Y21" s="45">
        <f t="shared" ca="1" si="6"/>
        <v>0</v>
      </c>
      <c r="Z21" s="32">
        <f ca="1"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ca="1">U21*1%</f>
        <v>0</v>
      </c>
      <c r="AE21" s="47">
        <f t="shared" ca="1" si="16"/>
        <v>0</v>
      </c>
      <c r="AF21" s="46"/>
      <c r="AG21" s="48">
        <f t="shared" ca="1" si="7"/>
        <v>0</v>
      </c>
      <c r="AH21" s="49">
        <f t="shared" si="8"/>
        <v>1014.52</v>
      </c>
      <c r="AI21" s="49">
        <f t="shared" ca="1" si="9"/>
        <v>0</v>
      </c>
      <c r="AJ21" s="49">
        <f t="shared" ca="1" si="10"/>
        <v>0</v>
      </c>
      <c r="AK21" s="49">
        <f t="shared" ca="1" si="11"/>
        <v>0</v>
      </c>
      <c r="AL21" s="49">
        <f t="array" aca="1" ref="AL21" ca="1">_xlfn.IFS(R21=0,AE21,R21&lt;0,AE21/-R21,R21&gt;0,AE21/R21)</f>
        <v>0</v>
      </c>
      <c r="AM21" s="50">
        <f t="shared" ca="1" si="12"/>
        <v>0</v>
      </c>
      <c r="AN21" s="51">
        <f t="shared" ca="1" si="13"/>
        <v>0</v>
      </c>
      <c r="AP21" s="53">
        <f t="shared" ca="1" si="14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7"/>
        <v>0</v>
      </c>
      <c r="O22" s="38">
        <f t="shared" ca="1" si="2"/>
        <v>0</v>
      </c>
      <c r="P22" s="32">
        <f ca="1">'Юнит 01-04.01'!P22+'Юнит 05-11.01'!P22+'Юнит 12-18.01'!P22+'Юнит 19-25.01'!P22+'Юнит 26-31.01'!P22</f>
        <v>0</v>
      </c>
      <c r="Q22" s="32">
        <f ca="1">'Юнит 01-04.01'!Q22+'Юнит 05-11.01'!Q22+'Юнит 12-18.01'!Q22+'Юнит 19-25.01'!Q22+'Юнит 26-31.01'!Q22</f>
        <v>0</v>
      </c>
      <c r="R22" s="40">
        <f t="shared" ca="1" si="15"/>
        <v>0</v>
      </c>
      <c r="S22" s="32">
        <f ca="1">'Юнит 01-04.01'!S22+'Юнит 05-11.01'!S22+'Юнит 12-18.01'!S22+'Юнит 19-25.01'!S22+'Юнит 26-31.01'!S22</f>
        <v>0</v>
      </c>
      <c r="T22" s="32">
        <f ca="1">'Юнит 01-04.01'!T22+'Юнит 05-11.01'!T22+'Юнит 12-18.01'!T22+'Юнит 19-25.01'!T22+'Юнит 26-31.01'!T22</f>
        <v>0</v>
      </c>
      <c r="U22" s="40">
        <f t="shared" ca="1" si="3"/>
        <v>0</v>
      </c>
      <c r="V22" s="43">
        <f t="shared" ca="1" si="4"/>
        <v>0</v>
      </c>
      <c r="W22" s="44">
        <f t="shared" ca="1" si="5"/>
        <v>0</v>
      </c>
      <c r="X22" s="32">
        <f ca="1">'Юнит 01-04.01'!X22+'Юнит 05-11.01'!X22+'Юнит 12-18.01'!X22+'Юнит 19-25.01'!X22+'Юнит 26-31.01'!X22</f>
        <v>0</v>
      </c>
      <c r="Y22" s="45">
        <f t="shared" ca="1" si="6"/>
        <v>0</v>
      </c>
      <c r="Z22" s="32">
        <f ca="1"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ca="1">U22*1%</f>
        <v>0</v>
      </c>
      <c r="AE22" s="47">
        <f t="shared" ca="1" si="16"/>
        <v>0</v>
      </c>
      <c r="AF22" s="46"/>
      <c r="AG22" s="48">
        <f t="shared" ca="1" si="7"/>
        <v>0</v>
      </c>
      <c r="AH22" s="49">
        <f t="shared" si="8"/>
        <v>1014.52</v>
      </c>
      <c r="AI22" s="49">
        <f t="shared" ca="1" si="9"/>
        <v>0</v>
      </c>
      <c r="AJ22" s="49">
        <f t="shared" ca="1" si="10"/>
        <v>0</v>
      </c>
      <c r="AK22" s="49">
        <f t="shared" ca="1" si="11"/>
        <v>0</v>
      </c>
      <c r="AL22" s="49">
        <f t="array" aca="1" ref="AL22" ca="1">_xlfn.IFS(R22=0,AE22,R22&lt;0,AE22/-R22,R22&gt;0,AE22/R22)</f>
        <v>0</v>
      </c>
      <c r="AM22" s="50">
        <f t="shared" ca="1" si="12"/>
        <v>0</v>
      </c>
      <c r="AN22" s="51">
        <f t="shared" ca="1" si="13"/>
        <v>0</v>
      </c>
      <c r="AP22" s="53">
        <f t="shared" ca="1" si="14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7"/>
        <v>0</v>
      </c>
      <c r="O23" s="38">
        <f t="shared" ca="1" si="2"/>
        <v>0</v>
      </c>
      <c r="P23" s="32">
        <f ca="1">'Юнит 01-04.01'!P23+'Юнит 05-11.01'!P23+'Юнит 12-18.01'!P23+'Юнит 19-25.01'!P23+'Юнит 26-31.01'!P23</f>
        <v>0</v>
      </c>
      <c r="Q23" s="32">
        <f ca="1">'Юнит 01-04.01'!Q23+'Юнит 05-11.01'!Q23+'Юнит 12-18.01'!Q23+'Юнит 19-25.01'!Q23+'Юнит 26-31.01'!Q23</f>
        <v>0</v>
      </c>
      <c r="R23" s="40">
        <f t="shared" ca="1" si="15"/>
        <v>0</v>
      </c>
      <c r="S23" s="32">
        <f ca="1">'Юнит 01-04.01'!S23+'Юнит 05-11.01'!S23+'Юнит 12-18.01'!S23+'Юнит 19-25.01'!S23+'Юнит 26-31.01'!S23</f>
        <v>0</v>
      </c>
      <c r="T23" s="32">
        <f ca="1">'Юнит 01-04.01'!T23+'Юнит 05-11.01'!T23+'Юнит 12-18.01'!T23+'Юнит 19-25.01'!T23+'Юнит 26-31.01'!T23</f>
        <v>0</v>
      </c>
      <c r="U23" s="40">
        <f t="shared" ca="1" si="3"/>
        <v>0</v>
      </c>
      <c r="V23" s="43">
        <f t="shared" ca="1" si="4"/>
        <v>0</v>
      </c>
      <c r="W23" s="44">
        <f t="shared" ca="1" si="5"/>
        <v>0</v>
      </c>
      <c r="X23" s="32">
        <f ca="1">'Юнит 01-04.01'!X23+'Юнит 05-11.01'!X23+'Юнит 12-18.01'!X23+'Юнит 19-25.01'!X23+'Юнит 26-31.01'!X23</f>
        <v>0</v>
      </c>
      <c r="Y23" s="45">
        <f t="shared" ca="1" si="6"/>
        <v>0</v>
      </c>
      <c r="Z23" s="32">
        <f ca="1"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ca="1">U23*1%</f>
        <v>0</v>
      </c>
      <c r="AE23" s="47">
        <f t="shared" ca="1" si="16"/>
        <v>0</v>
      </c>
      <c r="AF23" s="46"/>
      <c r="AG23" s="48">
        <f t="shared" ca="1" si="7"/>
        <v>0</v>
      </c>
      <c r="AH23" s="49">
        <f t="shared" si="8"/>
        <v>1014.52</v>
      </c>
      <c r="AI23" s="49">
        <f t="shared" ca="1" si="9"/>
        <v>0</v>
      </c>
      <c r="AJ23" s="49">
        <f t="shared" ca="1" si="10"/>
        <v>0</v>
      </c>
      <c r="AK23" s="49">
        <f t="shared" ca="1" si="11"/>
        <v>0</v>
      </c>
      <c r="AL23" s="49">
        <f t="array" aca="1" ref="AL23" ca="1">_xlfn.IFS(R23=0,AE23,R23&lt;0,AE23/-R23,R23&gt;0,AE23/R23)</f>
        <v>0</v>
      </c>
      <c r="AM23" s="50">
        <f t="shared" ca="1" si="12"/>
        <v>0</v>
      </c>
      <c r="AN23" s="51">
        <f t="shared" ca="1" si="13"/>
        <v>0</v>
      </c>
      <c r="AP23" s="53">
        <f t="shared" ca="1" si="14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7"/>
        <v>0</v>
      </c>
      <c r="O24" s="38">
        <f t="shared" ca="1" si="2"/>
        <v>0</v>
      </c>
      <c r="P24" s="32">
        <f ca="1">'Юнит 01-04.01'!P24+'Юнит 05-11.01'!P24+'Юнит 12-18.01'!P24+'Юнит 19-25.01'!P24+'Юнит 26-31.01'!P24</f>
        <v>0</v>
      </c>
      <c r="Q24" s="32">
        <f ca="1">'Юнит 01-04.01'!Q24+'Юнит 05-11.01'!Q24+'Юнит 12-18.01'!Q24+'Юнит 19-25.01'!Q24+'Юнит 26-31.01'!Q24</f>
        <v>0</v>
      </c>
      <c r="R24" s="40">
        <f t="shared" ca="1" si="15"/>
        <v>0</v>
      </c>
      <c r="S24" s="32">
        <f ca="1">'Юнит 01-04.01'!S24+'Юнит 05-11.01'!S24+'Юнит 12-18.01'!S24+'Юнит 19-25.01'!S24+'Юнит 26-31.01'!S24</f>
        <v>0</v>
      </c>
      <c r="T24" s="32">
        <f ca="1">'Юнит 01-04.01'!T24+'Юнит 05-11.01'!T24+'Юнит 12-18.01'!T24+'Юнит 19-25.01'!T24+'Юнит 26-31.01'!T24</f>
        <v>0</v>
      </c>
      <c r="U24" s="40">
        <f t="shared" ca="1" si="3"/>
        <v>0</v>
      </c>
      <c r="V24" s="43">
        <f t="shared" ca="1" si="4"/>
        <v>0</v>
      </c>
      <c r="W24" s="44">
        <f t="shared" ca="1" si="5"/>
        <v>0</v>
      </c>
      <c r="X24" s="32">
        <f ca="1">'Юнит 01-04.01'!X24+'Юнит 05-11.01'!X24+'Юнит 12-18.01'!X24+'Юнит 19-25.01'!X24+'Юнит 26-31.01'!X24</f>
        <v>0</v>
      </c>
      <c r="Y24" s="45">
        <f t="shared" ca="1" si="6"/>
        <v>0</v>
      </c>
      <c r="Z24" s="32">
        <f ca="1"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ca="1">U24*1%</f>
        <v>0</v>
      </c>
      <c r="AE24" s="47">
        <f t="shared" ca="1" si="16"/>
        <v>0</v>
      </c>
      <c r="AF24" s="46"/>
      <c r="AG24" s="48">
        <f t="shared" ca="1" si="7"/>
        <v>0</v>
      </c>
      <c r="AH24" s="49">
        <f t="shared" si="8"/>
        <v>991.12</v>
      </c>
      <c r="AI24" s="49">
        <f t="shared" ca="1" si="9"/>
        <v>0</v>
      </c>
      <c r="AJ24" s="49">
        <f t="shared" ca="1" si="10"/>
        <v>0</v>
      </c>
      <c r="AK24" s="49">
        <f t="shared" ca="1" si="11"/>
        <v>0</v>
      </c>
      <c r="AL24" s="49">
        <f t="array" aca="1" ref="AL24" ca="1">_xlfn.IFS(R24=0,AE24,R24&lt;0,AE24/-R24,R24&gt;0,AE24/R24)</f>
        <v>0</v>
      </c>
      <c r="AM24" s="50">
        <f t="shared" ca="1" si="12"/>
        <v>0</v>
      </c>
      <c r="AN24" s="51">
        <f t="shared" ca="1" si="13"/>
        <v>0</v>
      </c>
      <c r="AP24" s="53">
        <f t="shared" ca="1" si="14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ca="1" si="18">AVERAGEIF(AG3:AG24,"&lt;&gt;0",AG3:AG24)</f>
        <v>1867.9414276340456</v>
      </c>
      <c r="AH25" s="58">
        <f t="shared" si="18"/>
        <v>447.87636363636369</v>
      </c>
      <c r="AI25" s="58">
        <f t="shared" ca="1" si="18"/>
        <v>803.21481388263965</v>
      </c>
      <c r="AJ25" s="58">
        <f t="shared" ca="1" si="18"/>
        <v>173.78284780790855</v>
      </c>
      <c r="AK25" s="58">
        <f t="shared" ca="1" si="18"/>
        <v>372.11608218871123</v>
      </c>
      <c r="AL25" s="58">
        <f t="shared" ca="1" si="18"/>
        <v>307.09168824929873</v>
      </c>
      <c r="AM25" s="59">
        <f t="shared" ca="1" si="18"/>
        <v>0.18325533442570577</v>
      </c>
      <c r="AN25" s="59">
        <f t="shared" ca="1" si="18"/>
        <v>1.2695949164003975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333</v>
      </c>
      <c r="L26" s="67"/>
      <c r="M26" s="67"/>
      <c r="N26" s="68"/>
      <c r="O26" s="69"/>
      <c r="P26" s="64">
        <f ca="1">SUM(P3:P24)</f>
        <v>206</v>
      </c>
      <c r="Q26" s="64">
        <f ca="1">SUM(Q3:Q24)</f>
        <v>5</v>
      </c>
      <c r="R26" s="64">
        <f t="shared" ref="R26:AD26" ca="1" si="19">SUM(R3:R24)</f>
        <v>201</v>
      </c>
      <c r="S26" s="64">
        <f ca="1">SUM(S3:S24)</f>
        <v>334486.00000000006</v>
      </c>
      <c r="T26" s="64">
        <f ca="1">SUM(T3:T24)</f>
        <v>-8469</v>
      </c>
      <c r="U26" s="64">
        <f t="shared" ca="1" si="19"/>
        <v>326017.00000000006</v>
      </c>
      <c r="V26" s="71">
        <f t="shared" ca="1" si="19"/>
        <v>3.3174963366981443</v>
      </c>
      <c r="W26" s="64">
        <f t="shared" ca="1" si="19"/>
        <v>29517.35</v>
      </c>
      <c r="X26" s="64">
        <f ca="1">SUM(X3:X24)</f>
        <v>140187.31</v>
      </c>
      <c r="Y26" s="72">
        <f ca="1">IF(U26=0,0,X26/U26)</f>
        <v>0.42999999999999994</v>
      </c>
      <c r="Z26" s="64">
        <f ca="1">SUM(Z3:Z24)</f>
        <v>36341.380000000019</v>
      </c>
      <c r="AA26" s="64">
        <f>SUM(AA3:AA24)</f>
        <v>76532.630836000011</v>
      </c>
      <c r="AB26" s="64">
        <f t="shared" si="19"/>
        <v>0</v>
      </c>
      <c r="AC26" s="64">
        <f t="shared" si="19"/>
        <v>0</v>
      </c>
      <c r="AD26" s="73">
        <f t="shared" ca="1" si="19"/>
        <v>3260.17</v>
      </c>
      <c r="AE26" s="74">
        <f ca="1">SUM(AE3:AE24)</f>
        <v>40178.159164000048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>
        <f>'Юнит 01-04.01'!AA27+'Юнит 05-11.01'!AA27+'Юнит 12-18.01'!AA27+'Юнит 19-25.01'!AA27+'Юнит 26-31.01'!AA27</f>
        <v>76532.630836000011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:N47" si="21">K28/7</f>
        <v>0.2857142857142857</v>
      </c>
      <c r="O28" s="38">
        <f t="shared" ref="O28:O47" ca="1" si="22">R28/7</f>
        <v>0</v>
      </c>
      <c r="P28" s="32">
        <f ca="1">'Юнит 01-04.01'!P28+'Юнит 05-11.01'!P28+'Юнит 12-18.01'!P28+'Юнит 19-25.01'!P28+'Юнит 26-31.01'!P28</f>
        <v>0</v>
      </c>
      <c r="Q28" s="32">
        <f ca="1">'Юнит 01-04.01'!Q28+'Юнит 05-11.01'!Q28+'Юнит 12-18.01'!Q28+'Юнит 19-25.01'!Q28+'Юнит 26-31.01'!Q28</f>
        <v>0</v>
      </c>
      <c r="R28" s="40">
        <f ca="1">P28-Q28</f>
        <v>0</v>
      </c>
      <c r="S28" s="32">
        <f ca="1">'Юнит 01-04.01'!S28+'Юнит 05-11.01'!S28+'Юнит 12-18.01'!S28+'Юнит 19-25.01'!S28+'Юнит 26-31.01'!S28</f>
        <v>0</v>
      </c>
      <c r="T28" s="32">
        <f ca="1">'Юнит 01-04.01'!T28+'Юнит 05-11.01'!T28+'Юнит 12-18.01'!T28+'Юнит 19-25.01'!T28+'Юнит 26-31.01'!T28</f>
        <v>0</v>
      </c>
      <c r="U28" s="40">
        <f t="shared" ref="U28:U47" ca="1" si="23">S28+T28</f>
        <v>0</v>
      </c>
      <c r="V28" s="43">
        <f t="shared" ref="V28:V47" ca="1" si="24">U28/$U$49</f>
        <v>0</v>
      </c>
      <c r="W28" s="44">
        <f t="shared" ref="W28:W47" ca="1" si="25">R28*H28</f>
        <v>0</v>
      </c>
      <c r="X28" s="32">
        <f ca="1">'Юнит 01-04.01'!X28+'Юнит 05-11.01'!X28+'Юнит 12-18.01'!X28+'Юнит 19-25.01'!X28+'Юнит 26-31.01'!X28</f>
        <v>0</v>
      </c>
      <c r="Y28" s="45">
        <f t="shared" ref="Y28:Y47" ca="1" si="26">IF(U28=0,0,X28/U28)</f>
        <v>0</v>
      </c>
      <c r="Z28" s="32">
        <f ca="1">'Юнит 01-04.01'!Z28+'Юнит 05-11.01'!Z28+'Юнит 12-18.01'!Z28+'Юнит 19-25.01'!Z28+'Юнит 26-31.01'!Z28</f>
        <v>0</v>
      </c>
      <c r="AA28" s="32">
        <f>'Юнит 01-04.01'!AA28+'Юнит 05-11.01'!AA28+'Юнит 12-18.01'!AA28+'Юнит 19-25.01'!AA28+'Юнит 26-31.01'!AA28</f>
        <v>537.70695000000001</v>
      </c>
      <c r="AB28" s="55"/>
      <c r="AC28" s="42"/>
      <c r="AD28" s="46">
        <f ca="1">U28*1%</f>
        <v>0</v>
      </c>
      <c r="AE28" s="47">
        <f t="shared" ref="AE28:AE47" ca="1" si="27">U28-W28-X28-Z28-AA28-AB28-AC28-AD28</f>
        <v>-537.70695000000001</v>
      </c>
      <c r="AF28" s="46"/>
      <c r="AG28" s="48">
        <f t="shared" ref="AG28:AG47" ca="1" si="28">IF(R28=0,0,U28/R28)</f>
        <v>0</v>
      </c>
      <c r="AH28" s="49">
        <f t="shared" ref="AH28:AH47" si="29">H28</f>
        <v>672</v>
      </c>
      <c r="AI28" s="49">
        <f t="shared" ref="AI28:AI47" ca="1" si="30">IF(R28=0,0,X28/R28)</f>
        <v>0</v>
      </c>
      <c r="AJ28" s="49">
        <f t="shared" ref="AJ28:AJ47" ca="1" si="31">IF(P28=0,Z28/1,Z28/P28)</f>
        <v>0</v>
      </c>
      <c r="AK28" s="49">
        <f t="shared" ref="AK28:AK47" ca="1" si="32">IF(P28=0,0,AA28/P28)</f>
        <v>0</v>
      </c>
      <c r="AL28" s="49">
        <f t="array" aca="1" ref="AL28" ca="1">_xlfn.IFS(R28=0,AE28,R28&lt;0,AE28/-R28,R28&gt;0,AE28/R28)</f>
        <v>-537.70695000000001</v>
      </c>
      <c r="AM28" s="50">
        <f t="shared" ref="AM28:AM47" ca="1" si="33">IF(AG28=0,0,AL28/AG28)</f>
        <v>0</v>
      </c>
      <c r="AN28" s="51">
        <f t="shared" ref="AN28:AN47" ca="1" si="34">IF(AH28=0,0,AL28/AH28)</f>
        <v>-0.80015915178571428</v>
      </c>
      <c r="AP28" s="53">
        <f t="shared" ref="AP28:AP47" ca="1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f>'Юнит 01-04.01'!K29+'Юнит 05-11.01'!K29+'Юнит 12-18.01'!K29+'Юнит 19-25.01'!K29+'Юнит 26-31.01'!K29</f>
        <v>1</v>
      </c>
      <c r="L29" s="36"/>
      <c r="M29" s="36"/>
      <c r="N29" s="37">
        <f t="shared" si="21"/>
        <v>0.14285714285714285</v>
      </c>
      <c r="O29" s="38">
        <f t="shared" ca="1" si="22"/>
        <v>0</v>
      </c>
      <c r="P29" s="32">
        <f ca="1">'Юнит 01-04.01'!P29+'Юнит 05-11.01'!P29+'Юнит 12-18.01'!P29+'Юнит 19-25.01'!P29+'Юнит 26-31.01'!P29</f>
        <v>0</v>
      </c>
      <c r="Q29" s="32">
        <f ca="1">'Юнит 01-04.01'!Q29+'Юнит 05-11.01'!Q29+'Юнит 12-18.01'!Q29+'Юнит 19-25.01'!Q29+'Юнит 26-31.01'!Q29</f>
        <v>0</v>
      </c>
      <c r="R29" s="40">
        <f t="shared" ref="R29:R47" ca="1" si="36">P29-Q29</f>
        <v>0</v>
      </c>
      <c r="S29" s="32">
        <f ca="1">'Юнит 01-04.01'!S29+'Юнит 05-11.01'!S29+'Юнит 12-18.01'!S29+'Юнит 19-25.01'!S29+'Юнит 26-31.01'!S29</f>
        <v>0</v>
      </c>
      <c r="T29" s="32">
        <f ca="1">'Юнит 01-04.01'!T29+'Юнит 05-11.01'!T29+'Юнит 12-18.01'!T29+'Юнит 19-25.01'!T29+'Юнит 26-31.01'!T29</f>
        <v>0</v>
      </c>
      <c r="U29" s="40">
        <f t="shared" ca="1" si="23"/>
        <v>0</v>
      </c>
      <c r="V29" s="43">
        <f t="shared" ca="1" si="24"/>
        <v>0</v>
      </c>
      <c r="W29" s="44">
        <f t="shared" ca="1" si="25"/>
        <v>0</v>
      </c>
      <c r="X29" s="32">
        <f ca="1">'Юнит 01-04.01'!X29+'Юнит 05-11.01'!X29+'Юнит 12-18.01'!X29+'Юнит 19-25.01'!X29+'Юнит 26-31.01'!X29</f>
        <v>0</v>
      </c>
      <c r="Y29" s="45">
        <f t="shared" ca="1" si="26"/>
        <v>0</v>
      </c>
      <c r="Z29" s="32">
        <f ca="1">'Юнит 01-04.01'!Z29+'Юнит 05-11.01'!Z29+'Юнит 12-18.01'!Z29+'Юнит 19-25.01'!Z29+'Юнит 26-31.01'!Z29</f>
        <v>0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ca="1">U29*1%</f>
        <v>0</v>
      </c>
      <c r="AE29" s="47">
        <f t="shared" ca="1" si="27"/>
        <v>0</v>
      </c>
      <c r="AF29" s="46"/>
      <c r="AG29" s="48">
        <f t="shared" ca="1" si="28"/>
        <v>0</v>
      </c>
      <c r="AH29" s="49">
        <f t="shared" si="29"/>
        <v>627</v>
      </c>
      <c r="AI29" s="49">
        <f t="shared" ca="1" si="30"/>
        <v>0</v>
      </c>
      <c r="AJ29" s="49">
        <f t="shared" ca="1" si="31"/>
        <v>0</v>
      </c>
      <c r="AK29" s="49">
        <f t="shared" ca="1" si="32"/>
        <v>0</v>
      </c>
      <c r="AL29" s="49">
        <f t="array" aca="1" ref="AL29" ca="1">_xlfn.IFS(R29=0,AE29,R29&lt;0,AE29/-R29,R29&gt;0,AE29/R29)</f>
        <v>0</v>
      </c>
      <c r="AM29" s="50">
        <f t="shared" ca="1" si="33"/>
        <v>0</v>
      </c>
      <c r="AN29" s="51">
        <f t="shared" ca="1" si="34"/>
        <v>0</v>
      </c>
      <c r="AP29" s="53">
        <f t="shared" ca="1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21"/>
        <v>0.14285714285714285</v>
      </c>
      <c r="O30" s="38">
        <f t="shared" ca="1" si="22"/>
        <v>0</v>
      </c>
      <c r="P30" s="32">
        <f ca="1">'Юнит 01-04.01'!P30+'Юнит 05-11.01'!P30+'Юнит 12-18.01'!P30+'Юнит 19-25.01'!P30+'Юнит 26-31.01'!P30</f>
        <v>0</v>
      </c>
      <c r="Q30" s="32">
        <f ca="1">'Юнит 01-04.01'!Q30+'Юнит 05-11.01'!Q30+'Юнит 12-18.01'!Q30+'Юнит 19-25.01'!Q30+'Юнит 26-31.01'!Q30</f>
        <v>0</v>
      </c>
      <c r="R30" s="40">
        <f t="shared" ca="1" si="36"/>
        <v>0</v>
      </c>
      <c r="S30" s="32">
        <f ca="1">'Юнит 01-04.01'!S30+'Юнит 05-11.01'!S30+'Юнит 12-18.01'!S30+'Юнит 19-25.01'!S30+'Юнит 26-31.01'!S30</f>
        <v>0</v>
      </c>
      <c r="T30" s="32">
        <f ca="1">'Юнит 01-04.01'!T30+'Юнит 05-11.01'!T30+'Юнит 12-18.01'!T30+'Юнит 19-25.01'!T30+'Юнит 26-31.01'!T30</f>
        <v>0</v>
      </c>
      <c r="U30" s="40">
        <f t="shared" ca="1" si="23"/>
        <v>0</v>
      </c>
      <c r="V30" s="43">
        <f t="shared" ca="1" si="24"/>
        <v>0</v>
      </c>
      <c r="W30" s="44">
        <f t="shared" ca="1" si="25"/>
        <v>0</v>
      </c>
      <c r="X30" s="32">
        <f ca="1">'Юнит 01-04.01'!X30+'Юнит 05-11.01'!X30+'Юнит 12-18.01'!X30+'Юнит 19-25.01'!X30+'Юнит 26-31.01'!X30</f>
        <v>0</v>
      </c>
      <c r="Y30" s="45">
        <f t="shared" ca="1" si="26"/>
        <v>0</v>
      </c>
      <c r="Z30" s="32">
        <f ca="1">'Юнит 01-04.01'!Z30+'Юнит 05-11.01'!Z30+'Юнит 12-18.01'!Z30+'Юнит 19-25.01'!Z30+'Юнит 26-31.01'!Z30</f>
        <v>0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ca="1">U30*1%</f>
        <v>0</v>
      </c>
      <c r="AE30" s="47">
        <f t="shared" ca="1" si="27"/>
        <v>0</v>
      </c>
      <c r="AF30" s="46"/>
      <c r="AG30" s="48">
        <f t="shared" ca="1" si="28"/>
        <v>0</v>
      </c>
      <c r="AH30" s="49">
        <f t="shared" si="29"/>
        <v>627</v>
      </c>
      <c r="AI30" s="49">
        <f t="shared" ca="1" si="30"/>
        <v>0</v>
      </c>
      <c r="AJ30" s="49">
        <f t="shared" ca="1" si="31"/>
        <v>0</v>
      </c>
      <c r="AK30" s="49">
        <f t="shared" ca="1" si="32"/>
        <v>0</v>
      </c>
      <c r="AL30" s="49">
        <f t="array" aca="1" ref="AL30" ca="1">_xlfn.IFS(R30=0,AE30,R30&lt;0,AE30/-R30,R30&gt;0,AE30/R30)</f>
        <v>0</v>
      </c>
      <c r="AM30" s="50">
        <f t="shared" ca="1" si="33"/>
        <v>0</v>
      </c>
      <c r="AN30" s="51">
        <f t="shared" ca="1" si="34"/>
        <v>0</v>
      </c>
      <c r="AP30" s="53">
        <f t="shared" ca="1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21"/>
        <v>0.14285714285714285</v>
      </c>
      <c r="O31" s="38">
        <f t="shared" ca="1" si="22"/>
        <v>0.14285714285714285</v>
      </c>
      <c r="P31" s="32">
        <f ca="1">'Юнит 01-04.01'!P31+'Юнит 05-11.01'!P31+'Юнит 12-18.01'!P31+'Юнит 19-25.01'!P31+'Юнит 26-31.01'!P31</f>
        <v>1</v>
      </c>
      <c r="Q31" s="32">
        <f ca="1">'Юнит 01-04.01'!Q31+'Юнит 05-11.01'!Q31+'Юнит 12-18.01'!Q31+'Юнит 19-25.01'!Q31+'Юнит 26-31.01'!Q31</f>
        <v>0</v>
      </c>
      <c r="R31" s="40">
        <f t="shared" ca="1" si="36"/>
        <v>1</v>
      </c>
      <c r="S31" s="32">
        <f ca="1">'Юнит 01-04.01'!S31+'Юнит 05-11.01'!S31+'Юнит 12-18.01'!S31+'Юнит 19-25.01'!S31+'Юнит 26-31.01'!S31</f>
        <v>3649</v>
      </c>
      <c r="T31" s="32">
        <f ca="1">'Юнит 01-04.01'!T31+'Юнит 05-11.01'!T31+'Юнит 12-18.01'!T31+'Юнит 19-25.01'!T31+'Юнит 26-31.01'!T31</f>
        <v>0</v>
      </c>
      <c r="U31" s="40">
        <f t="shared" ca="1" si="23"/>
        <v>3649</v>
      </c>
      <c r="V31" s="43">
        <f t="shared" ca="1" si="24"/>
        <v>3.7131634646694889E-2</v>
      </c>
      <c r="W31" s="44">
        <f t="shared" ca="1" si="25"/>
        <v>567</v>
      </c>
      <c r="X31" s="32">
        <f ca="1">'Юнит 01-04.01'!X31+'Юнит 05-11.01'!X31+'Юнит 12-18.01'!X31+'Юнит 19-25.01'!X31+'Юнит 26-31.01'!X31</f>
        <v>1569.07</v>
      </c>
      <c r="Y31" s="45">
        <f ca="1">IF(U31=0,0,X31/U31)</f>
        <v>0.43</v>
      </c>
      <c r="Z31" s="32">
        <f ca="1"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ca="1">U31*1%</f>
        <v>36.49</v>
      </c>
      <c r="AE31" s="47">
        <f t="shared" ca="1" si="27"/>
        <v>1234.21</v>
      </c>
      <c r="AF31" s="46"/>
      <c r="AG31" s="48">
        <f t="shared" ca="1" si="28"/>
        <v>3649</v>
      </c>
      <c r="AH31" s="49">
        <f t="shared" si="29"/>
        <v>567</v>
      </c>
      <c r="AI31" s="49">
        <f t="shared" ca="1" si="30"/>
        <v>1569.07</v>
      </c>
      <c r="AJ31" s="49">
        <f t="shared" ca="1" si="31"/>
        <v>242.23</v>
      </c>
      <c r="AK31" s="49">
        <f t="shared" ca="1" si="32"/>
        <v>0</v>
      </c>
      <c r="AL31" s="49">
        <f t="array" aca="1" ref="AL31" ca="1">_xlfn.IFS(R31=0,AE31,R31&lt;0,AE31/-R31,R31&gt;0,AE31/R31)</f>
        <v>1234.21</v>
      </c>
      <c r="AM31" s="50">
        <f t="shared" ca="1" si="33"/>
        <v>0.33823239243628395</v>
      </c>
      <c r="AN31" s="51">
        <f t="shared" ca="1" si="34"/>
        <v>2.17673721340388</v>
      </c>
      <c r="AP31" s="53">
        <f t="shared" ca="1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21"/>
        <v>0</v>
      </c>
      <c r="O32" s="38">
        <f t="shared" ca="1" si="22"/>
        <v>0</v>
      </c>
      <c r="P32" s="32">
        <f ca="1">'Юнит 01-04.01'!P32+'Юнит 05-11.01'!P32+'Юнит 12-18.01'!P32+'Юнит 19-25.01'!P32+'Юнит 26-31.01'!P32</f>
        <v>0</v>
      </c>
      <c r="Q32" s="32">
        <f ca="1">'Юнит 01-04.01'!Q32+'Юнит 05-11.01'!Q32+'Юнит 12-18.01'!Q32+'Юнит 19-25.01'!Q32+'Юнит 26-31.01'!Q32</f>
        <v>0</v>
      </c>
      <c r="R32" s="40">
        <f t="shared" ca="1" si="36"/>
        <v>0</v>
      </c>
      <c r="S32" s="32">
        <f ca="1">'Юнит 01-04.01'!S32+'Юнит 05-11.01'!S32+'Юнит 12-18.01'!S32+'Юнит 19-25.01'!S32+'Юнит 26-31.01'!S32</f>
        <v>0</v>
      </c>
      <c r="T32" s="32">
        <f ca="1">'Юнит 01-04.01'!T32+'Юнит 05-11.01'!T32+'Юнит 12-18.01'!T32+'Юнит 19-25.01'!T32+'Юнит 26-31.01'!T32</f>
        <v>0</v>
      </c>
      <c r="U32" s="40">
        <f t="shared" ca="1" si="23"/>
        <v>0</v>
      </c>
      <c r="V32" s="43">
        <f t="shared" ca="1" si="24"/>
        <v>0</v>
      </c>
      <c r="W32" s="44">
        <f t="shared" ca="1" si="25"/>
        <v>0</v>
      </c>
      <c r="X32" s="32">
        <f ca="1">'Юнит 01-04.01'!X32+'Юнит 05-11.01'!X32+'Юнит 12-18.01'!X32+'Юнит 19-25.01'!X32+'Юнит 26-31.01'!X32</f>
        <v>0</v>
      </c>
      <c r="Y32" s="45">
        <f t="shared" ca="1" si="26"/>
        <v>0</v>
      </c>
      <c r="Z32" s="32">
        <f ca="1"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ca="1">U32*1%</f>
        <v>0</v>
      </c>
      <c r="AE32" s="47">
        <f t="shared" ca="1" si="27"/>
        <v>0</v>
      </c>
      <c r="AF32" s="46"/>
      <c r="AG32" s="48">
        <f t="shared" ca="1" si="28"/>
        <v>0</v>
      </c>
      <c r="AH32" s="49">
        <f t="shared" si="29"/>
        <v>567</v>
      </c>
      <c r="AI32" s="49">
        <f t="shared" ca="1" si="30"/>
        <v>0</v>
      </c>
      <c r="AJ32" s="49">
        <f t="shared" ca="1" si="31"/>
        <v>0</v>
      </c>
      <c r="AK32" s="49">
        <f t="shared" ca="1" si="32"/>
        <v>0</v>
      </c>
      <c r="AL32" s="49">
        <f t="array" aca="1" ref="AL32" ca="1">_xlfn.IFS(R32=0,AE32,R32&lt;0,AE32/-R32,R32&gt;0,AE32/R32)</f>
        <v>0</v>
      </c>
      <c r="AM32" s="50">
        <f t="shared" ca="1" si="33"/>
        <v>0</v>
      </c>
      <c r="AN32" s="51">
        <f t="shared" ca="1" si="34"/>
        <v>0</v>
      </c>
      <c r="AP32" s="53">
        <f t="shared" ca="1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01-04.01'!K33+'Юнит 05-11.01'!K33+'Юнит 12-18.01'!K33+'Юнит 19-25.01'!K33+'Юнит 26-31.01'!K33</f>
        <v>1</v>
      </c>
      <c r="L33" s="36"/>
      <c r="M33" s="36"/>
      <c r="N33" s="37">
        <f t="shared" si="21"/>
        <v>0.14285714285714285</v>
      </c>
      <c r="O33" s="38">
        <f t="shared" ca="1" si="22"/>
        <v>0.14285714285714285</v>
      </c>
      <c r="P33" s="32">
        <f ca="1">'Юнит 01-04.01'!P33+'Юнит 05-11.01'!P33+'Юнит 12-18.01'!P33+'Юнит 19-25.01'!P33+'Юнит 26-31.01'!P33</f>
        <v>1</v>
      </c>
      <c r="Q33" s="32">
        <f ca="1">'Юнит 01-04.01'!Q33+'Юнит 05-11.01'!Q33+'Юнит 12-18.01'!Q33+'Юнит 19-25.01'!Q33+'Юнит 26-31.01'!Q33</f>
        <v>0</v>
      </c>
      <c r="R33" s="40">
        <f t="shared" ca="1" si="36"/>
        <v>1</v>
      </c>
      <c r="S33" s="32">
        <f ca="1">'Юнит 01-04.01'!S33+'Юнит 05-11.01'!S33+'Юнит 12-18.01'!S33+'Юнит 19-25.01'!S33+'Юнит 26-31.01'!S33</f>
        <v>3080</v>
      </c>
      <c r="T33" s="32">
        <f ca="1">'Юнит 01-04.01'!T33+'Юнит 05-11.01'!T33+'Юнит 12-18.01'!T33+'Юнит 19-25.01'!T33+'Юнит 26-31.01'!T33</f>
        <v>0</v>
      </c>
      <c r="U33" s="40">
        <f t="shared" ca="1" si="23"/>
        <v>3080</v>
      </c>
      <c r="V33" s="43">
        <f t="shared" ca="1" si="24"/>
        <v>3.1341582546401826E-2</v>
      </c>
      <c r="W33" s="44">
        <f t="shared" ca="1" si="25"/>
        <v>657</v>
      </c>
      <c r="X33" s="32">
        <f ca="1">'Юнит 01-04.01'!X33+'Юнит 05-11.01'!X33+'Юнит 12-18.01'!X33+'Юнит 19-25.01'!X33+'Юнит 26-31.01'!X33</f>
        <v>1324.4</v>
      </c>
      <c r="Y33" s="45">
        <f t="shared" ca="1" si="26"/>
        <v>0.43000000000000005</v>
      </c>
      <c r="Z33" s="32">
        <f ca="1"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ca="1">U33*1%</f>
        <v>30.8</v>
      </c>
      <c r="AE33" s="47">
        <f t="shared" ca="1" si="27"/>
        <v>848.43999999999994</v>
      </c>
      <c r="AF33" s="46"/>
      <c r="AG33" s="48">
        <f t="shared" ca="1" si="28"/>
        <v>3080</v>
      </c>
      <c r="AH33" s="49">
        <f t="shared" si="29"/>
        <v>657</v>
      </c>
      <c r="AI33" s="49">
        <f t="shared" ca="1" si="30"/>
        <v>1324.4</v>
      </c>
      <c r="AJ33" s="49">
        <f t="shared" ca="1" si="31"/>
        <v>219.36</v>
      </c>
      <c r="AK33" s="49">
        <f t="shared" ca="1" si="32"/>
        <v>0</v>
      </c>
      <c r="AL33" s="49">
        <f t="array" aca="1" ref="AL33" ca="1">_xlfn.IFS(R33=0,AE33,R33&lt;0,AE33/-R33,R33&gt;0,AE33/R33)</f>
        <v>848.43999999999994</v>
      </c>
      <c r="AM33" s="50">
        <f t="shared" ca="1" si="33"/>
        <v>0.27546753246753247</v>
      </c>
      <c r="AN33" s="51">
        <f t="shared" ca="1" si="34"/>
        <v>1.2913850837138507</v>
      </c>
      <c r="AP33" s="53">
        <f t="shared" ca="1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f>'Юнит 01-04.01'!K34+'Юнит 05-11.01'!K34+'Юнит 12-18.01'!K34+'Юнит 19-25.01'!K34+'Юнит 26-31.01'!K34</f>
        <v>1</v>
      </c>
      <c r="L34" s="36"/>
      <c r="M34" s="36"/>
      <c r="N34" s="37">
        <f t="shared" si="21"/>
        <v>0.14285714285714285</v>
      </c>
      <c r="O34" s="38">
        <f t="shared" ca="1" si="22"/>
        <v>0.14285714285714285</v>
      </c>
      <c r="P34" s="32">
        <f ca="1">'Юнит 01-04.01'!P34+'Юнит 05-11.01'!P34+'Юнит 12-18.01'!P34+'Юнит 19-25.01'!P34+'Юнит 26-31.01'!P34</f>
        <v>1</v>
      </c>
      <c r="Q34" s="32">
        <f ca="1">'Юнит 01-04.01'!Q34+'Юнит 05-11.01'!Q34+'Юнит 12-18.01'!Q34+'Юнит 19-25.01'!Q34+'Юнит 26-31.01'!Q34</f>
        <v>0</v>
      </c>
      <c r="R34" s="40">
        <f t="shared" ca="1" si="36"/>
        <v>1</v>
      </c>
      <c r="S34" s="32">
        <f ca="1">'Юнит 01-04.01'!S34+'Юнит 05-11.01'!S34+'Юнит 12-18.01'!S34+'Юнит 19-25.01'!S34+'Юнит 26-31.01'!S34</f>
        <v>4247</v>
      </c>
      <c r="T34" s="32">
        <f ca="1">'Юнит 01-04.01'!T34+'Юнит 05-11.01'!T34+'Юнит 12-18.01'!T34+'Юнит 19-25.01'!T34+'Юнит 26-31.01'!T34</f>
        <v>0</v>
      </c>
      <c r="U34" s="40">
        <f t="shared" ca="1" si="23"/>
        <v>4247</v>
      </c>
      <c r="V34" s="43">
        <f t="shared" ca="1" si="24"/>
        <v>4.3216786063171607E-2</v>
      </c>
      <c r="W34" s="44">
        <f t="shared" ca="1" si="25"/>
        <v>597</v>
      </c>
      <c r="X34" s="32">
        <f ca="1">'Юнит 01-04.01'!X34+'Юнит 05-11.01'!X34+'Юнит 12-18.01'!X34+'Юнит 19-25.01'!X34+'Юнит 26-31.01'!X34</f>
        <v>1826.21</v>
      </c>
      <c r="Y34" s="45">
        <f t="shared" ca="1" si="26"/>
        <v>0.43</v>
      </c>
      <c r="Z34" s="32">
        <f ca="1"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ca="1">U34*1%</f>
        <v>42.47</v>
      </c>
      <c r="AE34" s="47">
        <f t="shared" ca="1" si="27"/>
        <v>1595.12</v>
      </c>
      <c r="AF34" s="46"/>
      <c r="AG34" s="48">
        <f t="shared" ca="1" si="28"/>
        <v>4247</v>
      </c>
      <c r="AH34" s="49">
        <f t="shared" si="29"/>
        <v>597</v>
      </c>
      <c r="AI34" s="49">
        <f t="shared" ca="1" si="30"/>
        <v>1826.21</v>
      </c>
      <c r="AJ34" s="49">
        <f t="shared" ca="1" si="31"/>
        <v>186.2</v>
      </c>
      <c r="AK34" s="49">
        <f t="shared" ca="1" si="32"/>
        <v>0</v>
      </c>
      <c r="AL34" s="49">
        <f t="array" aca="1" ref="AL34" ca="1">_xlfn.IFS(R34=0,AE34,R34&lt;0,AE34/-R34,R34&gt;0,AE34/R34)</f>
        <v>1595.12</v>
      </c>
      <c r="AM34" s="50">
        <f t="shared" ca="1" si="33"/>
        <v>0.37558747351071342</v>
      </c>
      <c r="AN34" s="51">
        <f t="shared" ca="1" si="34"/>
        <v>2.6718927973199329</v>
      </c>
      <c r="AP34" s="53">
        <f t="shared" ca="1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f>'Юнит 01-04.01'!K35+'Юнит 05-11.01'!K35+'Юнит 12-18.01'!K35+'Юнит 19-25.01'!K35+'Юнит 26-31.01'!K35</f>
        <v>3</v>
      </c>
      <c r="L35" s="36"/>
      <c r="M35" s="36"/>
      <c r="N35" s="37">
        <f t="shared" si="21"/>
        <v>0.42857142857142855</v>
      </c>
      <c r="O35" s="38">
        <f t="shared" ca="1" si="22"/>
        <v>0</v>
      </c>
      <c r="P35" s="32">
        <f ca="1">'Юнит 01-04.01'!P35+'Юнит 05-11.01'!P35+'Юнит 12-18.01'!P35+'Юнит 19-25.01'!P35+'Юнит 26-31.01'!P35</f>
        <v>0</v>
      </c>
      <c r="Q35" s="32">
        <f ca="1">'Юнит 01-04.01'!Q35+'Юнит 05-11.01'!Q35+'Юнит 12-18.01'!Q35+'Юнит 19-25.01'!Q35+'Юнит 26-31.01'!Q35</f>
        <v>0</v>
      </c>
      <c r="R35" s="40">
        <f t="shared" ca="1" si="36"/>
        <v>0</v>
      </c>
      <c r="S35" s="32">
        <f ca="1">'Юнит 01-04.01'!S35+'Юнит 05-11.01'!S35+'Юнит 12-18.01'!S35+'Юнит 19-25.01'!S35+'Юнит 26-31.01'!S35</f>
        <v>0</v>
      </c>
      <c r="T35" s="32">
        <f ca="1">'Юнит 01-04.01'!T35+'Юнит 05-11.01'!T35+'Юнит 12-18.01'!T35+'Юнит 19-25.01'!T35+'Юнит 26-31.01'!T35</f>
        <v>0</v>
      </c>
      <c r="U35" s="40">
        <f t="shared" ca="1" si="23"/>
        <v>0</v>
      </c>
      <c r="V35" s="43">
        <f t="shared" ca="1" si="24"/>
        <v>0</v>
      </c>
      <c r="W35" s="44">
        <f t="shared" ca="1" si="25"/>
        <v>0</v>
      </c>
      <c r="X35" s="32">
        <f ca="1">'Юнит 01-04.01'!X35+'Юнит 05-11.01'!X35+'Юнит 12-18.01'!X35+'Юнит 19-25.01'!X35+'Юнит 26-31.01'!X35</f>
        <v>0</v>
      </c>
      <c r="Y35" s="45">
        <f t="shared" ca="1" si="26"/>
        <v>0</v>
      </c>
      <c r="Z35" s="32">
        <f ca="1">'Юнит 01-04.01'!Z35+'Юнит 05-11.01'!Z35+'Юнит 12-18.01'!Z35+'Юнит 19-25.01'!Z35+'Юнит 26-31.01'!Z35</f>
        <v>0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ca="1">U35*1%</f>
        <v>0</v>
      </c>
      <c r="AE35" s="47">
        <f t="shared" ca="1" si="27"/>
        <v>0</v>
      </c>
      <c r="AF35" s="46"/>
      <c r="AG35" s="48">
        <f t="shared" ca="1" si="28"/>
        <v>0</v>
      </c>
      <c r="AH35" s="49">
        <f t="shared" si="29"/>
        <v>552</v>
      </c>
      <c r="AI35" s="49">
        <f t="shared" ca="1" si="30"/>
        <v>0</v>
      </c>
      <c r="AJ35" s="49">
        <f t="shared" ca="1" si="31"/>
        <v>0</v>
      </c>
      <c r="AK35" s="49">
        <f t="shared" ca="1" si="32"/>
        <v>0</v>
      </c>
      <c r="AL35" s="49">
        <f t="array" aca="1" ref="AL35" ca="1">_xlfn.IFS(R35=0,AE35,R35&lt;0,AE35/-R35,R35&gt;0,AE35/R35)</f>
        <v>0</v>
      </c>
      <c r="AM35" s="50">
        <f t="shared" ca="1" si="33"/>
        <v>0</v>
      </c>
      <c r="AN35" s="51">
        <f t="shared" ca="1" si="34"/>
        <v>0</v>
      </c>
      <c r="AP35" s="53">
        <f t="shared" ca="1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21"/>
        <v>0.5714285714285714</v>
      </c>
      <c r="O36" s="38">
        <f t="shared" ca="1" si="22"/>
        <v>0</v>
      </c>
      <c r="P36" s="32">
        <f ca="1">'Юнит 01-04.01'!P36+'Юнит 05-11.01'!P36+'Юнит 12-18.01'!P36+'Юнит 19-25.01'!P36+'Юнит 26-31.01'!P36</f>
        <v>0</v>
      </c>
      <c r="Q36" s="32">
        <f ca="1">'Юнит 01-04.01'!Q36+'Юнит 05-11.01'!Q36+'Юнит 12-18.01'!Q36+'Юнит 19-25.01'!Q36+'Юнит 26-31.01'!Q36</f>
        <v>0</v>
      </c>
      <c r="R36" s="40">
        <f t="shared" ca="1" si="36"/>
        <v>0</v>
      </c>
      <c r="S36" s="32">
        <f ca="1">'Юнит 01-04.01'!S36+'Юнит 05-11.01'!S36+'Юнит 12-18.01'!S36+'Юнит 19-25.01'!S36+'Юнит 26-31.01'!S36</f>
        <v>0</v>
      </c>
      <c r="T36" s="32">
        <f ca="1">'Юнит 01-04.01'!T36+'Юнит 05-11.01'!T36+'Юнит 12-18.01'!T36+'Юнит 19-25.01'!T36+'Юнит 26-31.01'!T36</f>
        <v>0</v>
      </c>
      <c r="U36" s="40">
        <f t="shared" ca="1" si="23"/>
        <v>0</v>
      </c>
      <c r="V36" s="43">
        <f t="shared" ca="1" si="24"/>
        <v>0</v>
      </c>
      <c r="W36" s="44">
        <f t="shared" ca="1" si="25"/>
        <v>0</v>
      </c>
      <c r="X36" s="32">
        <f ca="1">'Юнит 01-04.01'!X36+'Юнит 05-11.01'!X36+'Юнит 12-18.01'!X36+'Юнит 19-25.01'!X36+'Юнит 26-31.01'!X36</f>
        <v>0</v>
      </c>
      <c r="Y36" s="45">
        <f t="shared" ca="1" si="26"/>
        <v>0</v>
      </c>
      <c r="Z36" s="32">
        <f ca="1"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ca="1">U36*1%</f>
        <v>0</v>
      </c>
      <c r="AE36" s="47">
        <f t="shared" ca="1" si="27"/>
        <v>-113.88</v>
      </c>
      <c r="AF36" s="46"/>
      <c r="AG36" s="48">
        <f t="shared" ca="1" si="28"/>
        <v>0</v>
      </c>
      <c r="AH36" s="49">
        <f t="shared" si="29"/>
        <v>552</v>
      </c>
      <c r="AI36" s="49">
        <f t="shared" ca="1" si="30"/>
        <v>0</v>
      </c>
      <c r="AJ36" s="49">
        <f t="shared" ca="1" si="31"/>
        <v>113.88</v>
      </c>
      <c r="AK36" s="49">
        <f t="shared" ca="1" si="32"/>
        <v>0</v>
      </c>
      <c r="AL36" s="49">
        <f t="array" aca="1" ref="AL36" ca="1">_xlfn.IFS(R36=0,AE36,R36&lt;0,AE36/-R36,R36&gt;0,AE36/R36)</f>
        <v>-113.88</v>
      </c>
      <c r="AM36" s="50">
        <f t="shared" ca="1" si="33"/>
        <v>0</v>
      </c>
      <c r="AN36" s="51">
        <f t="shared" ca="1" si="34"/>
        <v>-0.20630434782608695</v>
      </c>
      <c r="AP36" s="53">
        <f t="shared" ca="1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f>'Юнит 01-04.01'!K37+'Юнит 05-11.01'!K37+'Юнит 12-18.01'!K37+'Юнит 19-25.01'!K37+'Юнит 26-31.01'!K37</f>
        <v>7</v>
      </c>
      <c r="L37" s="36"/>
      <c r="M37" s="36"/>
      <c r="N37" s="37">
        <f t="shared" si="21"/>
        <v>1</v>
      </c>
      <c r="O37" s="38">
        <f t="shared" ca="1" si="22"/>
        <v>0.2857142857142857</v>
      </c>
      <c r="P37" s="32">
        <f ca="1">'Юнит 01-04.01'!P37+'Юнит 05-11.01'!P37+'Юнит 12-18.01'!P37+'Юнит 19-25.01'!P37+'Юнит 26-31.01'!P37</f>
        <v>3</v>
      </c>
      <c r="Q37" s="32">
        <f ca="1">'Юнит 01-04.01'!Q37+'Юнит 05-11.01'!Q37+'Юнит 12-18.01'!Q37+'Юнит 19-25.01'!Q37+'Юнит 26-31.01'!Q37</f>
        <v>1</v>
      </c>
      <c r="R37" s="40">
        <f t="shared" ca="1" si="36"/>
        <v>2</v>
      </c>
      <c r="S37" s="32">
        <f ca="1">'Юнит 01-04.01'!S37+'Юнит 05-11.01'!S37+'Юнит 12-18.01'!S37+'Юнит 19-25.01'!S37+'Юнит 26-31.01'!S37</f>
        <v>13518</v>
      </c>
      <c r="T37" s="32">
        <f ca="1">'Юнит 01-04.01'!T37+'Юнит 05-11.01'!T37+'Юнит 12-18.01'!T37+'Юнит 19-25.01'!T37+'Юнит 26-31.01'!T37</f>
        <v>-4506</v>
      </c>
      <c r="U37" s="40">
        <f t="shared" ca="1" si="23"/>
        <v>9012</v>
      </c>
      <c r="V37" s="43">
        <f t="shared" ca="1" si="24"/>
        <v>9.1704656463692608E-2</v>
      </c>
      <c r="W37" s="44">
        <f t="shared" ca="1" si="25"/>
        <v>1374</v>
      </c>
      <c r="X37" s="32">
        <f ca="1">'Юнит 01-04.01'!X37+'Юнит 05-11.01'!X37+'Юнит 12-18.01'!X37+'Юнит 19-25.01'!X37+'Юнит 26-31.01'!X37</f>
        <v>3875.16</v>
      </c>
      <c r="Y37" s="45">
        <f t="shared" ca="1" si="26"/>
        <v>0.43</v>
      </c>
      <c r="Z37" s="32">
        <f ca="1">'Юнит 01-04.01'!Z37+'Юнит 05-11.01'!Z37+'Юнит 12-18.01'!Z37+'Юнит 19-25.01'!Z37+'Юнит 26-31.01'!Z37</f>
        <v>1098.46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ca="1">U37*1%</f>
        <v>90.12</v>
      </c>
      <c r="AE37" s="47">
        <f t="shared" ca="1" si="27"/>
        <v>2574.2600000000002</v>
      </c>
      <c r="AF37" s="46"/>
      <c r="AG37" s="48">
        <f t="shared" ca="1" si="28"/>
        <v>4506</v>
      </c>
      <c r="AH37" s="49">
        <f t="shared" si="29"/>
        <v>687</v>
      </c>
      <c r="AI37" s="49">
        <f t="shared" ca="1" si="30"/>
        <v>1937.58</v>
      </c>
      <c r="AJ37" s="49">
        <f t="shared" ca="1" si="31"/>
        <v>366.15333333333336</v>
      </c>
      <c r="AK37" s="49">
        <f t="shared" ca="1" si="32"/>
        <v>0</v>
      </c>
      <c r="AL37" s="49">
        <f t="array" aca="1" ref="AL37" ca="1">_xlfn.IFS(R37=0,AE37,R37&lt;0,AE37/-R37,R37&gt;0,AE37/R37)</f>
        <v>1287.1300000000001</v>
      </c>
      <c r="AM37" s="50">
        <f t="shared" ca="1" si="33"/>
        <v>0.28564802485574792</v>
      </c>
      <c r="AN37" s="51">
        <f t="shared" ca="1" si="34"/>
        <v>1.8735516739446871</v>
      </c>
      <c r="AP37" s="53">
        <f t="shared" ca="1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f>'Юнит 01-04.01'!K38+'Юнит 05-11.01'!K38+'Юнит 12-18.01'!K38+'Юнит 19-25.01'!K38+'Юнит 26-31.01'!K38</f>
        <v>5</v>
      </c>
      <c r="L38" s="36"/>
      <c r="M38" s="36"/>
      <c r="N38" s="37">
        <f t="shared" si="21"/>
        <v>0.7142857142857143</v>
      </c>
      <c r="O38" s="38">
        <f t="shared" ca="1" si="22"/>
        <v>0</v>
      </c>
      <c r="P38" s="32">
        <f ca="1">'Юнит 01-04.01'!P38+'Юнит 05-11.01'!P38+'Юнит 12-18.01'!P38+'Юнит 19-25.01'!P38+'Юнит 26-31.01'!P38</f>
        <v>1</v>
      </c>
      <c r="Q38" s="32">
        <f ca="1">'Юнит 01-04.01'!Q38+'Юнит 05-11.01'!Q38+'Юнит 12-18.01'!Q38+'Юнит 19-25.01'!Q38+'Юнит 26-31.01'!Q38</f>
        <v>1</v>
      </c>
      <c r="R38" s="40">
        <f t="shared" ca="1" si="36"/>
        <v>0</v>
      </c>
      <c r="S38" s="32">
        <f ca="1">'Юнит 01-04.01'!S38+'Юнит 05-11.01'!S38+'Юнит 12-18.01'!S38+'Юнит 19-25.01'!S38+'Юнит 26-31.01'!S38</f>
        <v>3546</v>
      </c>
      <c r="T38" s="32">
        <f ca="1">'Юнит 01-04.01'!T38+'Юнит 05-11.01'!T38+'Юнит 12-18.01'!T38+'Юнит 19-25.01'!T38+'Юнит 26-31.01'!T38</f>
        <v>-3546</v>
      </c>
      <c r="U38" s="40">
        <f t="shared" ca="1" si="23"/>
        <v>0</v>
      </c>
      <c r="V38" s="43">
        <f t="shared" ca="1" si="24"/>
        <v>0</v>
      </c>
      <c r="W38" s="44">
        <f t="shared" ca="1" si="25"/>
        <v>0</v>
      </c>
      <c r="X38" s="32">
        <f ca="1">'Юнит 01-04.01'!X38+'Юнит 05-11.01'!X38+'Юнит 12-18.01'!X38+'Юнит 19-25.01'!X38+'Юнит 26-31.01'!X38</f>
        <v>0</v>
      </c>
      <c r="Y38" s="45">
        <f t="shared" ca="1" si="26"/>
        <v>0</v>
      </c>
      <c r="Z38" s="32">
        <f ca="1">'Юнит 01-04.01'!Z38+'Юнит 05-11.01'!Z38+'Юнит 12-18.01'!Z38+'Юнит 19-25.01'!Z38+'Юнит 26-31.01'!Z38</f>
        <v>318.39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ca="1">U38*1%</f>
        <v>0</v>
      </c>
      <c r="AE38" s="47">
        <f t="shared" ca="1" si="27"/>
        <v>-318.39</v>
      </c>
      <c r="AF38" s="46"/>
      <c r="AG38" s="48">
        <f t="shared" ca="1" si="28"/>
        <v>0</v>
      </c>
      <c r="AH38" s="49">
        <f t="shared" si="29"/>
        <v>687</v>
      </c>
      <c r="AI38" s="49">
        <f t="shared" ca="1" si="30"/>
        <v>0</v>
      </c>
      <c r="AJ38" s="49">
        <f t="shared" ca="1" si="31"/>
        <v>318.39</v>
      </c>
      <c r="AK38" s="49">
        <f t="shared" ca="1" si="32"/>
        <v>0</v>
      </c>
      <c r="AL38" s="49">
        <f t="array" aca="1" ref="AL38" ca="1">_xlfn.IFS(R38=0,AE38,R38&lt;0,AE38/-R38,R38&gt;0,AE38/R38)</f>
        <v>-318.39</v>
      </c>
      <c r="AM38" s="50">
        <f t="shared" ca="1" si="33"/>
        <v>0</v>
      </c>
      <c r="AN38" s="51">
        <f t="shared" ca="1" si="34"/>
        <v>-0.4634497816593886</v>
      </c>
      <c r="AP38" s="53">
        <f t="shared" ca="1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f>'Юнит 01-04.01'!K39+'Юнит 05-11.01'!K39+'Юнит 12-18.01'!K39+'Юнит 19-25.01'!K39+'Юнит 26-31.01'!K39</f>
        <v>1</v>
      </c>
      <c r="L39" s="36"/>
      <c r="M39" s="36"/>
      <c r="N39" s="37">
        <f t="shared" si="21"/>
        <v>0.14285714285714285</v>
      </c>
      <c r="O39" s="38">
        <f t="shared" ca="1" si="22"/>
        <v>0</v>
      </c>
      <c r="P39" s="32">
        <f ca="1">'Юнит 01-04.01'!P39+'Юнит 05-11.01'!P39+'Юнит 12-18.01'!P39+'Юнит 19-25.01'!P39+'Юнит 26-31.01'!P39</f>
        <v>0</v>
      </c>
      <c r="Q39" s="32">
        <f ca="1">'Юнит 01-04.01'!Q39+'Юнит 05-11.01'!Q39+'Юнит 12-18.01'!Q39+'Юнит 19-25.01'!Q39+'Юнит 26-31.01'!Q39</f>
        <v>0</v>
      </c>
      <c r="R39" s="40">
        <f t="shared" ca="1" si="36"/>
        <v>0</v>
      </c>
      <c r="S39" s="32">
        <f ca="1">'Юнит 01-04.01'!S39+'Юнит 05-11.01'!S39+'Юнит 12-18.01'!S39+'Юнит 19-25.01'!S39+'Юнит 26-31.01'!S39</f>
        <v>0</v>
      </c>
      <c r="T39" s="32">
        <f ca="1">'Юнит 01-04.01'!T39+'Юнит 05-11.01'!T39+'Юнит 12-18.01'!T39+'Юнит 19-25.01'!T39+'Юнит 26-31.01'!T39</f>
        <v>0</v>
      </c>
      <c r="U39" s="40">
        <f t="shared" ca="1" si="23"/>
        <v>0</v>
      </c>
      <c r="V39" s="43">
        <f t="shared" ca="1" si="24"/>
        <v>0</v>
      </c>
      <c r="W39" s="44">
        <f t="shared" ca="1" si="25"/>
        <v>0</v>
      </c>
      <c r="X39" s="32">
        <f ca="1">'Юнит 01-04.01'!X39+'Юнит 05-11.01'!X39+'Юнит 12-18.01'!X39+'Юнит 19-25.01'!X39+'Юнит 26-31.01'!X39</f>
        <v>0</v>
      </c>
      <c r="Y39" s="45">
        <f t="shared" ca="1" si="26"/>
        <v>0</v>
      </c>
      <c r="Z39" s="32">
        <f ca="1"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ca="1">U39*1%</f>
        <v>0</v>
      </c>
      <c r="AE39" s="47">
        <f t="shared" ca="1" si="27"/>
        <v>0</v>
      </c>
      <c r="AF39" s="46"/>
      <c r="AG39" s="48">
        <f t="shared" ca="1" si="28"/>
        <v>0</v>
      </c>
      <c r="AH39" s="49">
        <f t="shared" si="29"/>
        <v>597</v>
      </c>
      <c r="AI39" s="49">
        <f t="shared" ca="1" si="30"/>
        <v>0</v>
      </c>
      <c r="AJ39" s="49">
        <f t="shared" ca="1" si="31"/>
        <v>0</v>
      </c>
      <c r="AK39" s="49">
        <f t="shared" ca="1" si="32"/>
        <v>0</v>
      </c>
      <c r="AL39" s="49">
        <f t="array" aca="1" ref="AL39" ca="1">_xlfn.IFS(R39=0,AE39,R39&lt;0,AE39/-R39,R39&gt;0,AE39/R39)</f>
        <v>0</v>
      </c>
      <c r="AM39" s="50">
        <f t="shared" ca="1" si="33"/>
        <v>0</v>
      </c>
      <c r="AN39" s="51">
        <f t="shared" ca="1" si="34"/>
        <v>0</v>
      </c>
      <c r="AP39" s="53">
        <f t="shared" ca="1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f>'Юнит 01-04.01'!K40+'Юнит 05-11.01'!K40+'Юнит 12-18.01'!K40+'Юнит 19-25.01'!K40+'Юнит 26-31.01'!K40</f>
        <v>0</v>
      </c>
      <c r="L40" s="36"/>
      <c r="M40" s="36"/>
      <c r="N40" s="37">
        <f t="shared" si="21"/>
        <v>0</v>
      </c>
      <c r="O40" s="38">
        <f t="shared" ca="1" si="22"/>
        <v>0</v>
      </c>
      <c r="P40" s="32">
        <f ca="1">'Юнит 01-04.01'!P40+'Юнит 05-11.01'!P40+'Юнит 12-18.01'!P40+'Юнит 19-25.01'!P40+'Юнит 26-31.01'!P40</f>
        <v>0</v>
      </c>
      <c r="Q40" s="32">
        <f ca="1">'Юнит 01-04.01'!Q40+'Юнит 05-11.01'!Q40+'Юнит 12-18.01'!Q40+'Юнит 19-25.01'!Q40+'Юнит 26-31.01'!Q40</f>
        <v>0</v>
      </c>
      <c r="R40" s="40">
        <f t="shared" ca="1" si="36"/>
        <v>0</v>
      </c>
      <c r="S40" s="32">
        <f ca="1">'Юнит 01-04.01'!S40+'Юнит 05-11.01'!S40+'Юнит 12-18.01'!S40+'Юнит 19-25.01'!S40+'Юнит 26-31.01'!S40</f>
        <v>0</v>
      </c>
      <c r="T40" s="32">
        <f ca="1">'Юнит 01-04.01'!T40+'Юнит 05-11.01'!T40+'Юнит 12-18.01'!T40+'Юнит 19-25.01'!T40+'Юнит 26-31.01'!T40</f>
        <v>0</v>
      </c>
      <c r="U40" s="40">
        <f t="shared" ca="1" si="23"/>
        <v>0</v>
      </c>
      <c r="V40" s="43">
        <f t="shared" ca="1" si="24"/>
        <v>0</v>
      </c>
      <c r="W40" s="44">
        <f t="shared" ca="1" si="25"/>
        <v>0</v>
      </c>
      <c r="X40" s="32">
        <f ca="1">'Юнит 01-04.01'!X40+'Юнит 05-11.01'!X40+'Юнит 12-18.01'!X40+'Юнит 19-25.01'!X40+'Юнит 26-31.01'!X40</f>
        <v>0</v>
      </c>
      <c r="Y40" s="45">
        <f t="shared" ca="1" si="26"/>
        <v>0</v>
      </c>
      <c r="Z40" s="32">
        <f ca="1"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ca="1">U40*1%</f>
        <v>0</v>
      </c>
      <c r="AE40" s="47">
        <f t="shared" ca="1" si="27"/>
        <v>0</v>
      </c>
      <c r="AF40" s="46"/>
      <c r="AG40" s="48">
        <f t="shared" ca="1" si="28"/>
        <v>0</v>
      </c>
      <c r="AH40" s="49">
        <f t="shared" si="29"/>
        <v>597</v>
      </c>
      <c r="AI40" s="49">
        <f t="shared" ca="1" si="30"/>
        <v>0</v>
      </c>
      <c r="AJ40" s="49">
        <f t="shared" ca="1" si="31"/>
        <v>0</v>
      </c>
      <c r="AK40" s="49">
        <f t="shared" ca="1" si="32"/>
        <v>0</v>
      </c>
      <c r="AL40" s="49">
        <f t="array" aca="1" ref="AL40" ca="1">_xlfn.IFS(R40=0,AE40,R40&lt;0,AE40/-R40,R40&gt;0,AE40/R40)</f>
        <v>0</v>
      </c>
      <c r="AM40" s="50">
        <f t="shared" ca="1" si="33"/>
        <v>0</v>
      </c>
      <c r="AN40" s="51">
        <f t="shared" ca="1" si="34"/>
        <v>0</v>
      </c>
      <c r="AP40" s="53">
        <f t="shared" ca="1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21"/>
        <v>0</v>
      </c>
      <c r="O41" s="38">
        <f t="shared" ca="1" si="22"/>
        <v>0</v>
      </c>
      <c r="P41" s="32">
        <f ca="1">'Юнит 01-04.01'!P41+'Юнит 05-11.01'!P41+'Юнит 12-18.01'!P41+'Юнит 19-25.01'!P41+'Юнит 26-31.01'!P41</f>
        <v>0</v>
      </c>
      <c r="Q41" s="32">
        <f ca="1">'Юнит 01-04.01'!Q41+'Юнит 05-11.01'!Q41+'Юнит 12-18.01'!Q41+'Юнит 19-25.01'!Q41+'Юнит 26-31.01'!Q41</f>
        <v>0</v>
      </c>
      <c r="R41" s="40">
        <f t="shared" ca="1" si="36"/>
        <v>0</v>
      </c>
      <c r="S41" s="32">
        <f ca="1">'Юнит 01-04.01'!S41+'Юнит 05-11.01'!S41+'Юнит 12-18.01'!S41+'Юнит 19-25.01'!S41+'Юнит 26-31.01'!S41</f>
        <v>0</v>
      </c>
      <c r="T41" s="32">
        <f ca="1">'Юнит 01-04.01'!T41+'Юнит 05-11.01'!T41+'Юнит 12-18.01'!T41+'Юнит 19-25.01'!T41+'Юнит 26-31.01'!T41</f>
        <v>0</v>
      </c>
      <c r="U41" s="40">
        <f t="shared" ca="1" si="23"/>
        <v>0</v>
      </c>
      <c r="V41" s="43">
        <f t="shared" ca="1" si="24"/>
        <v>0</v>
      </c>
      <c r="W41" s="44">
        <f t="shared" ca="1" si="25"/>
        <v>0</v>
      </c>
      <c r="X41" s="32">
        <f ca="1">'Юнит 01-04.01'!X41+'Юнит 05-11.01'!X41+'Юнит 12-18.01'!X41+'Юнит 19-25.01'!X41+'Юнит 26-31.01'!X41</f>
        <v>0</v>
      </c>
      <c r="Y41" s="45">
        <f t="shared" ca="1" si="26"/>
        <v>0</v>
      </c>
      <c r="Z41" s="32">
        <f ca="1"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ca="1">U41*1%</f>
        <v>0</v>
      </c>
      <c r="AE41" s="47">
        <f t="shared" ca="1" si="27"/>
        <v>0</v>
      </c>
      <c r="AF41" s="46"/>
      <c r="AG41" s="48">
        <f t="shared" ca="1" si="28"/>
        <v>0</v>
      </c>
      <c r="AH41" s="49">
        <f t="shared" si="29"/>
        <v>597</v>
      </c>
      <c r="AI41" s="49">
        <f t="shared" ca="1" si="30"/>
        <v>0</v>
      </c>
      <c r="AJ41" s="49">
        <f t="shared" ca="1" si="31"/>
        <v>0</v>
      </c>
      <c r="AK41" s="49">
        <f t="shared" ca="1" si="32"/>
        <v>0</v>
      </c>
      <c r="AL41" s="49">
        <f t="array" aca="1" ref="AL41" ca="1">_xlfn.IFS(R41=0,AE41,R41&lt;0,AE41/-R41,R41&gt;0,AE41/R41)</f>
        <v>0</v>
      </c>
      <c r="AM41" s="50">
        <f t="shared" ca="1" si="33"/>
        <v>0</v>
      </c>
      <c r="AN41" s="51">
        <f t="shared" ca="1" si="34"/>
        <v>0</v>
      </c>
      <c r="AP41" s="53">
        <f t="shared" ca="1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f>'Юнит 01-04.01'!K42+'Юнит 05-11.01'!K42+'Юнит 12-18.01'!K42+'Юнит 19-25.01'!K42+'Юнит 26-31.01'!K42</f>
        <v>0</v>
      </c>
      <c r="L42" s="36"/>
      <c r="M42" s="36"/>
      <c r="N42" s="37">
        <f t="shared" si="21"/>
        <v>0</v>
      </c>
      <c r="O42" s="38">
        <f t="shared" ca="1" si="22"/>
        <v>0.14285714285714285</v>
      </c>
      <c r="P42" s="32">
        <f ca="1">'Юнит 01-04.01'!P42+'Юнит 05-11.01'!P42+'Юнит 12-18.01'!P42+'Юнит 19-25.01'!P42+'Юнит 26-31.01'!P42</f>
        <v>1</v>
      </c>
      <c r="Q42" s="32">
        <f ca="1">'Юнит 01-04.01'!Q42+'Юнит 05-11.01'!Q42+'Юнит 12-18.01'!Q42+'Юнит 19-25.01'!Q42+'Юнит 26-31.01'!Q42</f>
        <v>0</v>
      </c>
      <c r="R42" s="40">
        <f t="shared" ca="1" si="36"/>
        <v>1</v>
      </c>
      <c r="S42" s="32">
        <f ca="1">'Юнит 01-04.01'!S42+'Юнит 05-11.01'!S42+'Юнит 12-18.01'!S42+'Юнит 19-25.01'!S42+'Юнит 26-31.01'!S42</f>
        <v>4024</v>
      </c>
      <c r="T42" s="32">
        <f ca="1">'Юнит 01-04.01'!T42+'Юнит 05-11.01'!T42+'Юнит 12-18.01'!T42+'Юнит 19-25.01'!T42+'Юнит 26-31.01'!T42</f>
        <v>0</v>
      </c>
      <c r="U42" s="40">
        <f t="shared" ca="1" si="23"/>
        <v>4024</v>
      </c>
      <c r="V42" s="43">
        <f t="shared" ca="1" si="24"/>
        <v>4.0947574080104202E-2</v>
      </c>
      <c r="W42" s="44">
        <f t="shared" ca="1" si="25"/>
        <v>642</v>
      </c>
      <c r="X42" s="32">
        <f ca="1">'Юнит 01-04.01'!X42+'Юнит 05-11.01'!X42+'Юнит 12-18.01'!X42+'Юнит 19-25.01'!X42+'Юнит 26-31.01'!X42</f>
        <v>1730.32</v>
      </c>
      <c r="Y42" s="45">
        <f t="shared" ca="1" si="26"/>
        <v>0.43</v>
      </c>
      <c r="Z42" s="32">
        <f ca="1"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ca="1">U42*1%</f>
        <v>40.24</v>
      </c>
      <c r="AE42" s="47">
        <f t="shared" ca="1" si="27"/>
        <v>446.04000000000019</v>
      </c>
      <c r="AF42" s="46"/>
      <c r="AG42" s="48">
        <f t="shared" ca="1" si="28"/>
        <v>4024</v>
      </c>
      <c r="AH42" s="49">
        <f t="shared" si="29"/>
        <v>642</v>
      </c>
      <c r="AI42" s="49">
        <f t="shared" ca="1" si="30"/>
        <v>1730.32</v>
      </c>
      <c r="AJ42" s="49">
        <f t="shared" ca="1" si="31"/>
        <v>188.59</v>
      </c>
      <c r="AK42" s="49">
        <f t="shared" ca="1" si="32"/>
        <v>976.81</v>
      </c>
      <c r="AL42" s="49">
        <f t="array" aca="1" ref="AL42" ca="1">_xlfn.IFS(R42=0,AE42,R42&lt;0,AE42/-R42,R42&gt;0,AE42/R42)</f>
        <v>446.04000000000019</v>
      </c>
      <c r="AM42" s="50">
        <f t="shared" ca="1" si="33"/>
        <v>0.11084493041749507</v>
      </c>
      <c r="AN42" s="51">
        <f t="shared" ca="1" si="34"/>
        <v>0.69476635514018725</v>
      </c>
      <c r="AP42" s="53">
        <f t="shared" ca="1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21"/>
        <v>0.42857142857142855</v>
      </c>
      <c r="O43" s="38">
        <f t="shared" ca="1" si="22"/>
        <v>0</v>
      </c>
      <c r="P43" s="32">
        <f ca="1">'Юнит 01-04.01'!P43+'Юнит 05-11.01'!P43+'Юнит 12-18.01'!P43+'Юнит 19-25.01'!P43+'Юнит 26-31.01'!P43</f>
        <v>0</v>
      </c>
      <c r="Q43" s="32">
        <f ca="1">'Юнит 01-04.01'!Q43+'Юнит 05-11.01'!Q43+'Юнит 12-18.01'!Q43+'Юнит 19-25.01'!Q43+'Юнит 26-31.01'!Q43</f>
        <v>0</v>
      </c>
      <c r="R43" s="40">
        <f t="shared" ca="1" si="36"/>
        <v>0</v>
      </c>
      <c r="S43" s="32">
        <f ca="1">'Юнит 01-04.01'!S43+'Юнит 05-11.01'!S43+'Юнит 12-18.01'!S43+'Юнит 19-25.01'!S43+'Юнит 26-31.01'!S43</f>
        <v>0</v>
      </c>
      <c r="T43" s="32">
        <f ca="1">'Юнит 01-04.01'!T43+'Юнит 05-11.01'!T43+'Юнит 12-18.01'!T43+'Юнит 19-25.01'!T43+'Юнит 26-31.01'!T43</f>
        <v>0</v>
      </c>
      <c r="U43" s="40">
        <f t="shared" ca="1" si="23"/>
        <v>0</v>
      </c>
      <c r="V43" s="43">
        <f t="shared" ca="1" si="24"/>
        <v>0</v>
      </c>
      <c r="W43" s="44">
        <f t="shared" ca="1" si="25"/>
        <v>0</v>
      </c>
      <c r="X43" s="32">
        <f ca="1">'Юнит 01-04.01'!X43+'Юнит 05-11.01'!X43+'Юнит 12-18.01'!X43+'Юнит 19-25.01'!X43+'Юнит 26-31.01'!X43</f>
        <v>0</v>
      </c>
      <c r="Y43" s="45">
        <f t="shared" ca="1" si="26"/>
        <v>0</v>
      </c>
      <c r="Z43" s="32">
        <f ca="1">'Юнит 01-04.01'!Z43+'Юнит 05-11.01'!Z43+'Юнит 12-18.01'!Z43+'Юнит 19-25.01'!Z43+'Юнит 26-31.01'!Z43</f>
        <v>0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ca="1">U43*1%</f>
        <v>0</v>
      </c>
      <c r="AE43" s="47">
        <f t="shared" ca="1" si="27"/>
        <v>0</v>
      </c>
      <c r="AF43" s="46"/>
      <c r="AG43" s="48">
        <f t="shared" ca="1" si="28"/>
        <v>0</v>
      </c>
      <c r="AH43" s="49">
        <f t="shared" si="29"/>
        <v>642</v>
      </c>
      <c r="AI43" s="49">
        <f t="shared" ca="1" si="30"/>
        <v>0</v>
      </c>
      <c r="AJ43" s="49">
        <f t="shared" ca="1" si="31"/>
        <v>0</v>
      </c>
      <c r="AK43" s="49">
        <f t="shared" ca="1" si="32"/>
        <v>0</v>
      </c>
      <c r="AL43" s="49">
        <f t="array" aca="1" ref="AL43" ca="1">_xlfn.IFS(R43=0,AE43,R43&lt;0,AE43/-R43,R43&gt;0,AE43/R43)</f>
        <v>0</v>
      </c>
      <c r="AM43" s="50">
        <f t="shared" ca="1" si="33"/>
        <v>0</v>
      </c>
      <c r="AN43" s="51">
        <f t="shared" ca="1" si="34"/>
        <v>0</v>
      </c>
      <c r="AP43" s="53">
        <f t="shared" ca="1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f>'Юнит 01-04.01'!K44+'Юнит 05-11.01'!K44+'Юнит 12-18.01'!K44+'Юнит 19-25.01'!K44+'Юнит 26-31.01'!K44</f>
        <v>32</v>
      </c>
      <c r="L44" s="36"/>
      <c r="M44" s="36"/>
      <c r="N44" s="37">
        <f t="shared" si="21"/>
        <v>4.5714285714285712</v>
      </c>
      <c r="O44" s="38">
        <f t="shared" ca="1" si="22"/>
        <v>0.8571428571428571</v>
      </c>
      <c r="P44" s="32">
        <f ca="1">'Юнит 01-04.01'!P44+'Юнит 05-11.01'!P44+'Юнит 12-18.01'!P44+'Юнит 19-25.01'!P44+'Юнит 26-31.01'!P44</f>
        <v>6</v>
      </c>
      <c r="Q44" s="32">
        <f ca="1">'Юнит 01-04.01'!Q44+'Юнит 05-11.01'!Q44+'Юнит 12-18.01'!Q44+'Юнит 19-25.01'!Q44+'Юнит 26-31.01'!Q44</f>
        <v>0</v>
      </c>
      <c r="R44" s="40">
        <f t="shared" ca="1" si="36"/>
        <v>6</v>
      </c>
      <c r="S44" s="32">
        <f ca="1">'Юнит 01-04.01'!S44+'Юнит 05-11.01'!S44+'Юнит 12-18.01'!S44+'Юнит 19-25.01'!S44+'Юнит 26-31.01'!S44</f>
        <v>25068</v>
      </c>
      <c r="T44" s="32">
        <f ca="1">'Юнит 01-04.01'!T44+'Юнит 05-11.01'!T44+'Юнит 12-18.01'!T44+'Юнит 19-25.01'!T44+'Юнит 26-31.01'!T44</f>
        <v>0</v>
      </c>
      <c r="U44" s="40">
        <f t="shared" ca="1" si="23"/>
        <v>25068</v>
      </c>
      <c r="V44" s="43">
        <f t="shared" ca="1" si="24"/>
        <v>0.25508791924454577</v>
      </c>
      <c r="W44" s="44">
        <f t="shared" ca="1" si="25"/>
        <v>4122</v>
      </c>
      <c r="X44" s="32">
        <f ca="1">'Юнит 01-04.01'!X44+'Юнит 05-11.01'!X44+'Юнит 12-18.01'!X44+'Юнит 19-25.01'!X44+'Юнит 26-31.01'!X44</f>
        <v>10779.24</v>
      </c>
      <c r="Y44" s="45">
        <f t="shared" ca="1" si="26"/>
        <v>0.43</v>
      </c>
      <c r="Z44" s="32">
        <f ca="1">'Юнит 01-04.01'!Z44+'Юнит 05-11.01'!Z44+'Юнит 12-18.01'!Z44+'Юнит 19-25.01'!Z44+'Юнит 26-31.01'!Z44</f>
        <v>2048.3000000000002</v>
      </c>
      <c r="AA44" s="32">
        <f>'Юнит 01-04.01'!AA44+'Юнит 05-11.01'!AA44+'Юнит 12-18.01'!AA44+'Юнит 19-25.01'!AA44+'Юнит 26-31.01'!AA44</f>
        <v>10967.558585000001</v>
      </c>
      <c r="AB44" s="55"/>
      <c r="AC44" s="42"/>
      <c r="AD44" s="46">
        <f ca="1">U44*1%</f>
        <v>250.68</v>
      </c>
      <c r="AE44" s="47">
        <f t="shared" ca="1" si="27"/>
        <v>-3099.7785850000005</v>
      </c>
      <c r="AF44" s="46"/>
      <c r="AG44" s="48">
        <f t="shared" ca="1" si="28"/>
        <v>4178</v>
      </c>
      <c r="AH44" s="49">
        <f t="shared" si="29"/>
        <v>687</v>
      </c>
      <c r="AI44" s="49">
        <f t="shared" ca="1" si="30"/>
        <v>1796.54</v>
      </c>
      <c r="AJ44" s="49">
        <f t="shared" ca="1" si="31"/>
        <v>341.38333333333338</v>
      </c>
      <c r="AK44" s="49">
        <f t="shared" ca="1" si="32"/>
        <v>1827.9264308333334</v>
      </c>
      <c r="AL44" s="49">
        <f t="array" aca="1" ref="AL44" ca="1">_xlfn.IFS(R44=0,AE44,R44&lt;0,AE44/-R44,R44&gt;0,AE44/R44)</f>
        <v>-516.62976416666675</v>
      </c>
      <c r="AM44" s="50">
        <f t="shared" ca="1" si="33"/>
        <v>-0.12365480233764163</v>
      </c>
      <c r="AN44" s="51">
        <f t="shared" ca="1" si="34"/>
        <v>-0.75200839034449307</v>
      </c>
      <c r="AP44" s="53">
        <f t="shared" ca="1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f>'Юнит 01-04.01'!K45+'Юнит 05-11.01'!K45+'Юнит 12-18.01'!K45+'Юнит 19-25.01'!K45+'Юнит 26-31.01'!K45</f>
        <v>41</v>
      </c>
      <c r="L45" s="36"/>
      <c r="M45" s="36"/>
      <c r="N45" s="37">
        <f t="shared" si="21"/>
        <v>5.8571428571428568</v>
      </c>
      <c r="O45" s="38">
        <f t="shared" ca="1" si="22"/>
        <v>1.4285714285714286</v>
      </c>
      <c r="P45" s="32">
        <f ca="1">'Юнит 01-04.01'!P45+'Юнит 05-11.01'!P45+'Юнит 12-18.01'!P45+'Юнит 19-25.01'!P45+'Юнит 26-31.01'!P45</f>
        <v>12</v>
      </c>
      <c r="Q45" s="32">
        <f ca="1">'Юнит 01-04.01'!Q45+'Юнит 05-11.01'!Q45+'Юнит 12-18.01'!Q45+'Юнит 19-25.01'!Q45+'Юнит 26-31.01'!Q45</f>
        <v>2</v>
      </c>
      <c r="R45" s="40">
        <f t="shared" ca="1" si="36"/>
        <v>10</v>
      </c>
      <c r="S45" s="32">
        <f ca="1">'Юнит 01-04.01'!S45+'Юнит 05-11.01'!S45+'Юнит 12-18.01'!S45+'Юнит 19-25.01'!S45+'Юнит 26-31.01'!S45</f>
        <v>59071.999999999993</v>
      </c>
      <c r="T45" s="32">
        <f ca="1">'Юнит 01-04.01'!T45+'Юнит 05-11.01'!T45+'Юнит 12-18.01'!T45+'Юнит 19-25.01'!T45+'Юнит 26-31.01'!T45</f>
        <v>-9880</v>
      </c>
      <c r="U45" s="40">
        <f t="shared" ca="1" si="23"/>
        <v>49191.999999999993</v>
      </c>
      <c r="V45" s="43">
        <f t="shared" ca="1" si="24"/>
        <v>0.50056984695538909</v>
      </c>
      <c r="W45" s="44">
        <f t="shared" ca="1" si="25"/>
        <v>6870</v>
      </c>
      <c r="X45" s="32">
        <f ca="1">'Юнит 01-04.01'!X45+'Юнит 05-11.01'!X45+'Юнит 12-18.01'!X45+'Юнит 19-25.01'!X45+'Юнит 26-31.01'!X45</f>
        <v>21152.560000000001</v>
      </c>
      <c r="Y45" s="45">
        <f t="shared" ca="1" si="26"/>
        <v>0.4300000000000001</v>
      </c>
      <c r="Z45" s="32">
        <f ca="1">'Юнит 01-04.01'!Z45+'Юнит 05-11.01'!Z45+'Юнит 12-18.01'!Z45+'Юнит 19-25.01'!Z45+'Юнит 26-31.01'!Z45</f>
        <v>4484.0700000000015</v>
      </c>
      <c r="AA45" s="32">
        <f>'Юнит 01-04.01'!AA45+'Юнит 05-11.01'!AA45+'Юнит 12-18.01'!AA45+'Юнит 19-25.01'!AA45+'Юнит 26-31.01'!AA45</f>
        <v>10913.720748</v>
      </c>
      <c r="AB45" s="55"/>
      <c r="AC45" s="42"/>
      <c r="AD45" s="46">
        <f ca="1">U45*1%</f>
        <v>491.91999999999996</v>
      </c>
      <c r="AE45" s="47">
        <f t="shared" ca="1" si="27"/>
        <v>5279.7292519999883</v>
      </c>
      <c r="AF45" s="46"/>
      <c r="AG45" s="48">
        <f t="shared" ca="1" si="28"/>
        <v>4919.1999999999989</v>
      </c>
      <c r="AH45" s="49">
        <f t="shared" si="29"/>
        <v>687</v>
      </c>
      <c r="AI45" s="49">
        <f t="shared" ca="1" si="30"/>
        <v>2115.2560000000003</v>
      </c>
      <c r="AJ45" s="49">
        <f t="shared" ca="1" si="31"/>
        <v>373.67250000000013</v>
      </c>
      <c r="AK45" s="49">
        <f t="shared" ca="1" si="32"/>
        <v>909.47672899999998</v>
      </c>
      <c r="AL45" s="49">
        <f t="array" aca="1" ref="AL45" ca="1">_xlfn.IFS(R45=0,AE45,R45&lt;0,AE45/-R45,R45&gt;0,AE45/R45)</f>
        <v>527.97292519999883</v>
      </c>
      <c r="AM45" s="50">
        <f t="shared" ca="1" si="33"/>
        <v>0.10732902203610321</v>
      </c>
      <c r="AN45" s="51">
        <f t="shared" ca="1" si="34"/>
        <v>0.76851954177583526</v>
      </c>
      <c r="AP45" s="53">
        <f t="shared" ca="1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f>'Юнит 01-04.01'!K46+'Юнит 05-11.01'!K46+'Юнит 12-18.01'!K46+'Юнит 19-25.01'!K46+'Юнит 26-31.01'!K46</f>
        <v>2</v>
      </c>
      <c r="L46" s="36"/>
      <c r="M46" s="36"/>
      <c r="N46" s="37">
        <f t="shared" si="21"/>
        <v>0.2857142857142857</v>
      </c>
      <c r="O46" s="38">
        <f t="shared" ca="1" si="22"/>
        <v>0</v>
      </c>
      <c r="P46" s="32">
        <f ca="1">'Юнит 01-04.01'!P46+'Юнит 05-11.01'!P46+'Юнит 12-18.01'!P46+'Юнит 19-25.01'!P46+'Юнит 26-31.01'!P46</f>
        <v>0</v>
      </c>
      <c r="Q46" s="32">
        <f ca="1">'Юнит 01-04.01'!Q46+'Юнит 05-11.01'!Q46+'Юнит 12-18.01'!Q46+'Юнит 19-25.01'!Q46+'Юнит 26-31.01'!Q46</f>
        <v>0</v>
      </c>
      <c r="R46" s="40">
        <f t="shared" ca="1" si="36"/>
        <v>0</v>
      </c>
      <c r="S46" s="32">
        <f ca="1">'Юнит 01-04.01'!S46+'Юнит 05-11.01'!S46+'Юнит 12-18.01'!S46+'Юнит 19-25.01'!S46+'Юнит 26-31.01'!S46</f>
        <v>0</v>
      </c>
      <c r="T46" s="32">
        <f ca="1">'Юнит 01-04.01'!T46+'Юнит 05-11.01'!T46+'Юнит 12-18.01'!T46+'Юнит 19-25.01'!T46+'Юнит 26-31.01'!T46</f>
        <v>0</v>
      </c>
      <c r="U46" s="40">
        <f t="shared" ca="1" si="23"/>
        <v>0</v>
      </c>
      <c r="V46" s="43">
        <f t="shared" ca="1" si="24"/>
        <v>0</v>
      </c>
      <c r="W46" s="44">
        <f t="shared" ca="1" si="25"/>
        <v>0</v>
      </c>
      <c r="X46" s="32">
        <f ca="1">'Юнит 01-04.01'!X46+'Юнит 05-11.01'!X46+'Юнит 12-18.01'!X46+'Юнит 19-25.01'!X46+'Юнит 26-31.01'!X46</f>
        <v>0</v>
      </c>
      <c r="Y46" s="45">
        <f t="shared" ca="1" si="26"/>
        <v>0</v>
      </c>
      <c r="Z46" s="32">
        <f ca="1">'Юнит 01-04.01'!Z46+'Юнит 05-11.01'!Z46+'Юнит 12-18.01'!Z46+'Юнит 19-25.01'!Z46+'Юнит 26-31.01'!Z46</f>
        <v>113.88</v>
      </c>
      <c r="AA46" s="32">
        <f>'Юнит 01-04.01'!AA46+'Юнит 05-11.01'!AA46+'Юнит 12-18.01'!AA46+'Юнит 19-25.01'!AA46+'Юнит 26-31.01'!AA46</f>
        <v>934.832672</v>
      </c>
      <c r="AB46" s="55"/>
      <c r="AC46" s="42"/>
      <c r="AD46" s="46">
        <f ca="1">U46*1%</f>
        <v>0</v>
      </c>
      <c r="AE46" s="47">
        <f t="shared" ca="1" si="27"/>
        <v>-1048.7126720000001</v>
      </c>
      <c r="AF46" s="46"/>
      <c r="AG46" s="48">
        <f t="shared" ca="1" si="28"/>
        <v>0</v>
      </c>
      <c r="AH46" s="49">
        <f t="shared" si="29"/>
        <v>552</v>
      </c>
      <c r="AI46" s="49">
        <f t="shared" ca="1" si="30"/>
        <v>0</v>
      </c>
      <c r="AJ46" s="49">
        <f t="shared" ca="1" si="31"/>
        <v>113.88</v>
      </c>
      <c r="AK46" s="49">
        <f t="shared" ca="1" si="32"/>
        <v>0</v>
      </c>
      <c r="AL46" s="49">
        <f t="array" aca="1" ref="AL46" ca="1">_xlfn.IFS(R46=0,AE46,R46&lt;0,AE46/-R46,R46&gt;0,AE46/R46)</f>
        <v>-1048.7126720000001</v>
      </c>
      <c r="AM46" s="50">
        <f t="shared" ca="1" si="33"/>
        <v>0</v>
      </c>
      <c r="AN46" s="51">
        <f t="shared" ca="1" si="34"/>
        <v>-1.8998417971014494</v>
      </c>
      <c r="AP46" s="53">
        <f t="shared" ca="1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0</v>
      </c>
      <c r="L47" s="36"/>
      <c r="M47" s="36"/>
      <c r="N47" s="37">
        <f t="shared" si="21"/>
        <v>0</v>
      </c>
      <c r="O47" s="38">
        <f t="shared" ca="1" si="22"/>
        <v>0</v>
      </c>
      <c r="P47" s="32">
        <f ca="1">'Юнит 01-04.01'!P47+'Юнит 05-11.01'!P47+'Юнит 12-18.01'!P47+'Юнит 19-25.01'!P47+'Юнит 26-31.01'!P47</f>
        <v>0</v>
      </c>
      <c r="Q47" s="32">
        <f ca="1">'Юнит 01-04.01'!Q47+'Юнит 05-11.01'!Q47+'Юнит 12-18.01'!Q47+'Юнит 19-25.01'!Q47+'Юнит 26-31.01'!Q47</f>
        <v>0</v>
      </c>
      <c r="R47" s="40">
        <f t="shared" ca="1" si="36"/>
        <v>0</v>
      </c>
      <c r="S47" s="32">
        <f ca="1">'Юнит 01-04.01'!S47+'Юнит 05-11.01'!S47+'Юнит 12-18.01'!S47+'Юнит 19-25.01'!S47+'Юнит 26-31.01'!S47</f>
        <v>0</v>
      </c>
      <c r="T47" s="32">
        <f ca="1">'Юнит 01-04.01'!T47+'Юнит 05-11.01'!T47+'Юнит 12-18.01'!T47+'Юнит 19-25.01'!T47+'Юнит 26-31.01'!T47</f>
        <v>0</v>
      </c>
      <c r="U47" s="40">
        <f t="shared" ca="1" si="23"/>
        <v>0</v>
      </c>
      <c r="V47" s="43">
        <f t="shared" ca="1" si="24"/>
        <v>0</v>
      </c>
      <c r="W47" s="44">
        <f t="shared" ca="1" si="25"/>
        <v>0</v>
      </c>
      <c r="X47" s="32">
        <f ca="1">'Юнит 01-04.01'!X47+'Юнит 05-11.01'!X47+'Юнит 12-18.01'!X47+'Юнит 19-25.01'!X47+'Юнит 26-31.01'!X47</f>
        <v>0</v>
      </c>
      <c r="Y47" s="45">
        <f t="shared" ca="1" si="26"/>
        <v>0</v>
      </c>
      <c r="Z47" s="32">
        <f ca="1"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ca="1">U47*1%</f>
        <v>0</v>
      </c>
      <c r="AE47" s="47">
        <f t="shared" ca="1" si="27"/>
        <v>0</v>
      </c>
      <c r="AF47" s="46"/>
      <c r="AG47" s="48">
        <f t="shared" ca="1" si="28"/>
        <v>0</v>
      </c>
      <c r="AH47" s="49">
        <f t="shared" si="29"/>
        <v>552</v>
      </c>
      <c r="AI47" s="49">
        <f t="shared" ca="1" si="30"/>
        <v>0</v>
      </c>
      <c r="AJ47" s="49">
        <f t="shared" ca="1" si="31"/>
        <v>0</v>
      </c>
      <c r="AK47" s="49">
        <f t="shared" ca="1" si="32"/>
        <v>0</v>
      </c>
      <c r="AL47" s="49">
        <f t="array" aca="1" ref="AL47" ca="1">_xlfn.IFS(R47=0,AE47,R47&lt;0,AE47/-R47,R47&gt;0,AE47/R47)</f>
        <v>0</v>
      </c>
      <c r="AM47" s="50">
        <f t="shared" ca="1" si="33"/>
        <v>0</v>
      </c>
      <c r="AN47" s="51">
        <f t="shared" ca="1" si="34"/>
        <v>0</v>
      </c>
      <c r="AP47" s="53">
        <f t="shared" ca="1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ca="1" si="37">AVERAGEIF(AG28:AG47,"&lt;&gt;0",AG28:AG47)</f>
        <v>4086.1714285714284</v>
      </c>
      <c r="AH48" s="86">
        <f t="shared" si="37"/>
        <v>617.25</v>
      </c>
      <c r="AI48" s="86">
        <f t="shared" ca="1" si="37"/>
        <v>1757.0537142857142</v>
      </c>
      <c r="AJ48" s="86">
        <f t="shared" ca="1" si="37"/>
        <v>246.37391666666667</v>
      </c>
      <c r="AK48" s="86">
        <f t="shared" ca="1" si="37"/>
        <v>1238.0710532777778</v>
      </c>
      <c r="AL48" s="86">
        <f t="shared" ca="1" si="37"/>
        <v>309.41759445757566</v>
      </c>
      <c r="AM48" s="87">
        <f t="shared" ca="1" si="37"/>
        <v>0.19563636762660488</v>
      </c>
      <c r="AN48" s="87">
        <f t="shared" ca="1" si="37"/>
        <v>0.48682629059829469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105</v>
      </c>
      <c r="L49" s="93"/>
      <c r="M49" s="93"/>
      <c r="N49" s="94"/>
      <c r="O49" s="95"/>
      <c r="P49" s="90">
        <f ca="1">SUM(P28:P47)</f>
        <v>26</v>
      </c>
      <c r="Q49" s="90">
        <f ca="1">SUM(Q28:Q47)</f>
        <v>4</v>
      </c>
      <c r="R49" s="96">
        <f t="shared" ref="R49:W49" ca="1" si="38">SUM(R28:R47)</f>
        <v>22</v>
      </c>
      <c r="S49" s="90">
        <f ca="1">SUM(S28:S47)</f>
        <v>116204</v>
      </c>
      <c r="T49" s="90">
        <f ca="1">SUM(T28:T47)</f>
        <v>-17932</v>
      </c>
      <c r="U49" s="96">
        <f t="shared" ca="1" si="38"/>
        <v>98272</v>
      </c>
      <c r="V49" s="97">
        <f t="shared" ca="1" si="38"/>
        <v>1</v>
      </c>
      <c r="W49" s="90">
        <f t="shared" ca="1" si="38"/>
        <v>14829</v>
      </c>
      <c r="X49" s="90">
        <f ca="1">SUM(X28:X47)</f>
        <v>42256.960000000006</v>
      </c>
      <c r="Y49" s="98">
        <f ca="1">IF(U49=0,0,X49/U49)</f>
        <v>0.43000000000000005</v>
      </c>
      <c r="Z49" s="90">
        <f t="shared" ref="Z49:AE49" ca="1" si="39">SUM(Z28:Z47)</f>
        <v>9013.36</v>
      </c>
      <c r="AA49" s="90">
        <f t="shared" si="39"/>
        <v>24330.628955</v>
      </c>
      <c r="AB49" s="90">
        <f t="shared" si="39"/>
        <v>0</v>
      </c>
      <c r="AC49" s="90">
        <f t="shared" si="39"/>
        <v>0</v>
      </c>
      <c r="AD49" s="96">
        <f t="shared" ca="1" si="39"/>
        <v>982.72</v>
      </c>
      <c r="AE49" s="90">
        <f t="shared" ca="1" si="39"/>
        <v>6859.3310449999881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2">
        <f>'Юнит 01-04.01'!AA50+'Юнит 05-11.01'!AA50+'Юнит 12-18.01'!AA50+'Юнит 19-25.01'!AA50+'Юнит 26-31.01'!AA50</f>
        <v>24330.628955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438</v>
      </c>
      <c r="L51" s="119"/>
      <c r="M51" s="119"/>
      <c r="N51" s="119"/>
      <c r="O51" s="119"/>
      <c r="P51" s="118">
        <f t="shared" ref="P51:U51" ca="1" si="40">P26+P49</f>
        <v>232</v>
      </c>
      <c r="Q51" s="118">
        <f t="shared" ca="1" si="40"/>
        <v>9</v>
      </c>
      <c r="R51" s="121">
        <f t="shared" ca="1" si="40"/>
        <v>223</v>
      </c>
      <c r="S51" s="118">
        <f t="shared" ca="1" si="40"/>
        <v>450690.00000000006</v>
      </c>
      <c r="T51" s="118">
        <f t="shared" ca="1" si="40"/>
        <v>-26401</v>
      </c>
      <c r="U51" s="121">
        <f t="shared" ca="1" si="40"/>
        <v>424289.00000000006</v>
      </c>
      <c r="V51" s="122">
        <f t="shared" ref="V51:W51" ca="1" si="41">V26+V49</f>
        <v>4.3174963366981443</v>
      </c>
      <c r="W51" s="118">
        <f t="shared" ca="1" si="41"/>
        <v>44346.35</v>
      </c>
      <c r="X51" s="118">
        <f ca="1">X26+X49</f>
        <v>182444.27000000002</v>
      </c>
      <c r="Y51" s="123">
        <f ca="1">X51/U51</f>
        <v>0.43</v>
      </c>
      <c r="Z51" s="118">
        <f ca="1">Z26+Z49</f>
        <v>45354.74000000002</v>
      </c>
      <c r="AA51" s="266">
        <f>'Юнит 01-04.01'!AA51+'Юнит 05-11.01'!AA51+'Юнит 12-18.01'!AA51+'Юнит 19-25.01'!AA51+'Юнит 26-31.01'!AA51</f>
        <v>101129.82</v>
      </c>
      <c r="AB51" s="125"/>
      <c r="AC51" s="125">
        <f>SUM(AC3:AC47)</f>
        <v>0</v>
      </c>
      <c r="AD51" s="118">
        <f ca="1">AD26+AD49</f>
        <v>4242.8900000000003</v>
      </c>
      <c r="AE51" s="268">
        <f ca="1">AE26+AE49</f>
        <v>47037.49020900004</v>
      </c>
      <c r="AF51" s="127"/>
      <c r="AG51" s="128"/>
      <c r="AH51" s="129"/>
      <c r="AI51" s="129"/>
      <c r="AJ51" s="129"/>
      <c r="AK51" s="129">
        <f ca="1">AA52/P51</f>
        <v>434.75543013362079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100863.25979100002</v>
      </c>
      <c r="AB52" s="141"/>
      <c r="AC52" s="142"/>
      <c r="AE52" s="269">
        <f ca="1">Сводная!Z13+Сводная!S13+Сводная!T13+Сводная!U13-Сводная!V13-Сводная!X13-(AA52-AA51)</f>
        <v>47037.490209000025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67">
        <f>AA27+AA50</f>
        <v>100863.25979100002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3" priority="35" operator="greaterThan">
      <formula>120</formula>
    </cfRule>
  </conditionalFormatting>
  <conditionalFormatting sqref="N50">
    <cfRule type="cellIs" dxfId="82" priority="34" operator="between">
      <formula>0.000001</formula>
      <formula>25</formula>
    </cfRule>
  </conditionalFormatting>
  <conditionalFormatting sqref="V1 V52:V55 V57:V1048576">
    <cfRule type="cellIs" dxfId="81" priority="36" operator="greaterThan">
      <formula>0.23</formula>
    </cfRule>
  </conditionalFormatting>
  <conditionalFormatting sqref="AM5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80" priority="23" operator="greaterThan">
      <formula>120</formula>
    </cfRule>
  </conditionalFormatting>
  <conditionalFormatting sqref="R50">
    <cfRule type="cellIs" dxfId="79" priority="28" operator="greaterThan">
      <formula>120</formula>
    </cfRule>
  </conditionalFormatting>
  <conditionalFormatting sqref="U50">
    <cfRule type="cellIs" dxfId="78" priority="25" operator="greaterThan">
      <formula>120</formula>
    </cfRule>
  </conditionalFormatting>
  <conditionalFormatting sqref="V50">
    <cfRule type="cellIs" dxfId="77" priority="24" operator="greaterThan">
      <formula>120</formula>
    </cfRule>
  </conditionalFormatting>
  <conditionalFormatting sqref="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76" priority="12" operator="greaterThan">
      <formula>120</formula>
    </cfRule>
  </conditionalFormatting>
  <conditionalFormatting sqref="AP8:AP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V28:V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{F90B4254-079E-48AC-A6A8-09D88225CC26}</x14:id>
        </ext>
      </extLst>
    </cfRule>
  </conditionalFormatting>
  <conditionalFormatting sqref="P50">
    <cfRule type="cellIs" dxfId="75" priority="7" operator="greaterThan">
      <formula>120</formula>
    </cfRule>
  </conditionalFormatting>
  <conditionalFormatting sqref="Q50">
    <cfRule type="cellIs" dxfId="74" priority="6" operator="greaterThan">
      <formula>120</formula>
    </cfRule>
  </conditionalFormatting>
  <conditionalFormatting sqref="S50">
    <cfRule type="cellIs" dxfId="73" priority="5" operator="greaterThan">
      <formula>120</formula>
    </cfRule>
  </conditionalFormatting>
  <conditionalFormatting sqref="T50">
    <cfRule type="cellIs" dxfId="72" priority="4" operator="greaterThan">
      <formula>120</formula>
    </cfRule>
  </conditionalFormatting>
  <conditionalFormatting sqref="X50">
    <cfRule type="cellIs" dxfId="71" priority="3" operator="greaterThan">
      <formula>120</formula>
    </cfRule>
  </conditionalFormatting>
  <conditionalFormatting sqref="Z50">
    <cfRule type="cellIs" dxfId="70" priority="2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F90B4254-079E-48AC-A6A8-09D88225C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T1" zoomScale="70" zoomScaleNormal="70" workbookViewId="0">
      <selection activeCell="AH16" sqref="AH1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342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755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 t="shared" ref="N3:N16" si="1">K3/7</f>
        <v>0</v>
      </c>
      <c r="O3" s="38">
        <f t="shared" ref="O3:O24" ca="1" si="2">R3/7</f>
        <v>0</v>
      </c>
      <c r="P3" s="39">
        <f ca="1">SUMIFS('Отчет 26-31.01'!H:H,'Отчет 26-31.01'!D:D,"Выручка",'Отчет 26-31.01'!E:E,B3)</f>
        <v>0</v>
      </c>
      <c r="Q3" s="39">
        <f ca="1">SUMIFS('Отчет 26-31.01'!H:H,'Отчет 26-31.01'!D:D,"Возврат выручки",'Отчет 26-31.01'!E:E,B3)</f>
        <v>0</v>
      </c>
      <c r="R3" s="40">
        <f t="shared" ref="R3:R24" ca="1" si="3">P3-Q3</f>
        <v>0</v>
      </c>
      <c r="S3" s="41">
        <f ca="1">SUMIFS('Отчет 26-31.01'!P:P,'Отчет 26-31.01'!C:C,"Продажи",'Отчет 26-31.01'!E:E,B3)</f>
        <v>0</v>
      </c>
      <c r="T3" s="42">
        <f ca="1">SUMIFS('Отчет 26-31.01'!P:P,'Отчет 26-31.01'!C:C,"Возвраты",'Отчет 26-31.01'!E:E,B3)</f>
        <v>0</v>
      </c>
      <c r="U3" s="40">
        <f t="shared" ref="U3:U24" ca="1" si="4">S3+T3</f>
        <v>0</v>
      </c>
      <c r="V3" s="43" t="e">
        <f t="shared" ref="V3:V24" ca="1" si="5">U3/$U$49</f>
        <v>#DIV/0!</v>
      </c>
      <c r="W3" s="44">
        <f t="shared" ref="W3:W24" ca="1" si="6">R3*H3</f>
        <v>0</v>
      </c>
      <c r="X3" s="42">
        <f ca="1">-SUMIFS('Отчет 26-31.01'!P:P,'Отчет 26-31.01'!C:C,"Вознаграждение Ozon",'Отчет 26-31.01'!E:E,B3)</f>
        <v>0</v>
      </c>
      <c r="Y3" s="45">
        <f t="shared" ref="Y3:Y24" ca="1" si="7">IF(U3=0,0,X3/U3)</f>
        <v>0</v>
      </c>
      <c r="Z3" s="42">
        <f ca="1">-SUMIFS('Отчет 26-31.01'!P:P,'Отчет 26-31.01'!C:C,"Услуги доставки",'Отчет 26-31.01'!E:E,B3)</f>
        <v>0</v>
      </c>
      <c r="AA3" s="32"/>
      <c r="AB3" s="42"/>
      <c r="AC3" s="42"/>
      <c r="AD3" s="46">
        <f ca="1">U3*1%</f>
        <v>0</v>
      </c>
      <c r="AE3" s="47">
        <f t="shared" ref="AE3:AE24" ca="1" si="8">U3-W3-X3-Z3-AA3-AB3-AC3-AD3</f>
        <v>0</v>
      </c>
      <c r="AF3" s="46"/>
      <c r="AG3" s="48">
        <f t="shared" ref="AG3:AG24" ca="1" si="9">IF(R3=0,0,U3/R3)</f>
        <v>0</v>
      </c>
      <c r="AH3" s="49">
        <f t="shared" ref="AH3:AH24" si="10">H3</f>
        <v>142.97999999999999</v>
      </c>
      <c r="AI3" s="49">
        <f t="shared" ref="AI3:AI24" ca="1" si="11">IF(R3=0,0,X3/R3)</f>
        <v>0</v>
      </c>
      <c r="AJ3" s="49">
        <f t="shared" ref="AJ3:AJ24" ca="1" si="12">IF(P3=0,Z3/1,Z3/P3)</f>
        <v>0</v>
      </c>
      <c r="AK3" s="49">
        <f t="shared" ref="AK3:AK24" ca="1" si="13">IF(P3=0,0,AA3/P3)</f>
        <v>0</v>
      </c>
      <c r="AL3" s="49">
        <f ca="1">_xlfn.IFS(R3=0,AE3,R3&lt;0,AE3/-R3,R3&gt;0,AE3/R3)</f>
        <v>0</v>
      </c>
      <c r="AM3" s="50">
        <f t="shared" ref="AM3:AM24" ca="1" si="14">IF(AG3=0,0,AL3/AG3)</f>
        <v>0</v>
      </c>
      <c r="AN3" s="51">
        <f t="shared" ref="AN3:AN24" ca="1" si="15">IF(AH3=0,0,AL3/AH3)</f>
        <v>0</v>
      </c>
      <c r="AP3" s="53">
        <f t="shared" ref="AP3:AP24" ca="1" si="16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ca="1" si="2"/>
        <v>0</v>
      </c>
      <c r="P4" s="39">
        <f ca="1">SUMIFS('Отчет 26-31.01'!H:H,'Отчет 26-31.01'!D:D,"Выручка",'Отчет 26-31.01'!E:E,B4)</f>
        <v>0</v>
      </c>
      <c r="Q4" s="39">
        <f ca="1">SUMIFS('Отчет 26-31.01'!H:H,'Отчет 26-31.01'!D:D,"Возврат выручки",'Отчет 26-31.01'!E:E,B4)</f>
        <v>0</v>
      </c>
      <c r="R4" s="40">
        <f t="shared" ca="1" si="3"/>
        <v>0</v>
      </c>
      <c r="S4" s="41">
        <f ca="1">SUMIFS('Отчет 26-31.01'!P:P,'Отчет 26-31.01'!C:C,"Продажи",'Отчет 26-31.01'!E:E,B4)</f>
        <v>0</v>
      </c>
      <c r="T4" s="42">
        <f ca="1">SUMIFS('Отчет 26-31.01'!P:P,'Отчет 26-31.01'!C:C,"Возвраты",'Отчет 26-31.01'!E:E,B4)</f>
        <v>0</v>
      </c>
      <c r="U4" s="40">
        <f t="shared" ca="1" si="4"/>
        <v>0</v>
      </c>
      <c r="V4" s="43" t="e">
        <f t="shared" ca="1" si="5"/>
        <v>#DIV/0!</v>
      </c>
      <c r="W4" s="44">
        <f t="shared" ca="1" si="6"/>
        <v>0</v>
      </c>
      <c r="X4" s="42">
        <f ca="1">-SUMIFS('Отчет 26-31.01'!P:P,'Отчет 26-31.01'!C:C,"Вознаграждение Ozon",'Отчет 26-31.01'!E:E,B4)</f>
        <v>0</v>
      </c>
      <c r="Y4" s="45">
        <f t="shared" ca="1" si="7"/>
        <v>0</v>
      </c>
      <c r="Z4" s="42">
        <f ca="1">-SUMIFS('Отчет 26-31.01'!P:P,'Отчет 26-31.01'!C:C,"Услуги доставки",'Отчет 26-31.01'!E:E,B4)</f>
        <v>0</v>
      </c>
      <c r="AA4" s="32"/>
      <c r="AB4" s="42"/>
      <c r="AC4" s="42"/>
      <c r="AD4" s="46">
        <f ca="1">U4*1%</f>
        <v>0</v>
      </c>
      <c r="AE4" s="47">
        <f t="shared" ca="1" si="8"/>
        <v>0</v>
      </c>
      <c r="AF4" s="46"/>
      <c r="AG4" s="48">
        <f t="shared" ca="1" si="9"/>
        <v>0</v>
      </c>
      <c r="AH4" s="49">
        <f t="shared" si="10"/>
        <v>123.09</v>
      </c>
      <c r="AI4" s="49">
        <f t="shared" ca="1" si="11"/>
        <v>0</v>
      </c>
      <c r="AJ4" s="49">
        <f t="shared" ca="1" si="12"/>
        <v>0</v>
      </c>
      <c r="AK4" s="49">
        <f t="shared" ca="1" si="13"/>
        <v>0</v>
      </c>
      <c r="AL4" s="49">
        <f t="array" aca="1" ref="AL4" ca="1">_xlfn.IFS(R4=0,AE4,R4&lt;0,AE4/-R4,R4&gt;0,AE4/R4)</f>
        <v>0</v>
      </c>
      <c r="AM4" s="50">
        <f t="shared" ca="1" si="14"/>
        <v>0</v>
      </c>
      <c r="AN4" s="51">
        <f t="shared" ca="1" si="15"/>
        <v>0</v>
      </c>
      <c r="AP4" s="53">
        <f t="shared" ca="1" si="16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ca="1" si="2"/>
        <v>0</v>
      </c>
      <c r="P5" s="39">
        <f ca="1">SUMIFS('Отчет 26-31.01'!H:H,'Отчет 26-31.01'!D:D,"Выручка",'Отчет 26-31.01'!E:E,B5)</f>
        <v>0</v>
      </c>
      <c r="Q5" s="39">
        <f ca="1">SUMIFS('Отчет 26-31.01'!H:H,'Отчет 26-31.01'!D:D,"Возврат выручки",'Отчет 26-31.01'!E:E,B5)</f>
        <v>0</v>
      </c>
      <c r="R5" s="40">
        <f t="shared" ca="1" si="3"/>
        <v>0</v>
      </c>
      <c r="S5" s="41">
        <f ca="1">SUMIFS('Отчет 26-31.01'!P:P,'Отчет 26-31.01'!C:C,"Продажи",'Отчет 26-31.01'!E:E,B5)</f>
        <v>0</v>
      </c>
      <c r="T5" s="42">
        <f ca="1">SUMIFS('Отчет 26-31.01'!P:P,'Отчет 26-31.01'!C:C,"Возвраты",'Отчет 26-31.01'!E:E,B5)</f>
        <v>0</v>
      </c>
      <c r="U5" s="40">
        <f t="shared" ca="1" si="4"/>
        <v>0</v>
      </c>
      <c r="V5" s="43" t="e">
        <f t="shared" ca="1" si="5"/>
        <v>#DIV/0!</v>
      </c>
      <c r="W5" s="44">
        <f t="shared" ca="1" si="6"/>
        <v>0</v>
      </c>
      <c r="X5" s="42">
        <f ca="1">-SUMIFS('Отчет 26-31.01'!P:P,'Отчет 26-31.01'!C:C,"Вознаграждение Ozon",'Отчет 26-31.01'!E:E,B5)</f>
        <v>0</v>
      </c>
      <c r="Y5" s="45">
        <f t="shared" ca="1" si="7"/>
        <v>0</v>
      </c>
      <c r="Z5" s="42">
        <f ca="1">-SUMIFS('Отчет 26-31.01'!P:P,'Отчет 26-31.01'!C:C,"Услуги доставки",'Отчет 26-31.01'!E:E,B5)</f>
        <v>0</v>
      </c>
      <c r="AA5" s="32"/>
      <c r="AB5" s="55"/>
      <c r="AC5" s="42"/>
      <c r="AD5" s="46">
        <f ca="1">U5*1%</f>
        <v>0</v>
      </c>
      <c r="AE5" s="47">
        <f t="shared" ca="1" si="8"/>
        <v>0</v>
      </c>
      <c r="AF5" s="46"/>
      <c r="AG5" s="48">
        <f t="shared" ca="1" si="9"/>
        <v>0</v>
      </c>
      <c r="AH5" s="49">
        <f t="shared" si="10"/>
        <v>123.09</v>
      </c>
      <c r="AI5" s="49">
        <f t="shared" ca="1" si="11"/>
        <v>0</v>
      </c>
      <c r="AJ5" s="49">
        <f t="shared" ca="1" si="12"/>
        <v>0</v>
      </c>
      <c r="AK5" s="49">
        <f t="shared" ca="1" si="13"/>
        <v>0</v>
      </c>
      <c r="AL5" s="49">
        <f t="array" aca="1" ref="AL5" ca="1">_xlfn.IFS(R5=0,AE5,R5&lt;0,AE5/-R5,R5&gt;0,AE5/R5)</f>
        <v>0</v>
      </c>
      <c r="AM5" s="50">
        <f t="shared" ca="1" si="14"/>
        <v>0</v>
      </c>
      <c r="AN5" s="51">
        <f t="shared" ca="1" si="15"/>
        <v>0</v>
      </c>
      <c r="AP5" s="53">
        <f t="shared" ca="1" si="16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ca="1" si="2"/>
        <v>0</v>
      </c>
      <c r="P6" s="39">
        <f ca="1">SUMIFS('Отчет 26-31.01'!H:H,'Отчет 26-31.01'!D:D,"Выручка",'Отчет 26-31.01'!E:E,B6)</f>
        <v>0</v>
      </c>
      <c r="Q6" s="39">
        <f ca="1">SUMIFS('Отчет 26-31.01'!H:H,'Отчет 26-31.01'!D:D,"Возврат выручки",'Отчет 26-31.01'!E:E,B6)</f>
        <v>0</v>
      </c>
      <c r="R6" s="40">
        <f t="shared" ca="1" si="3"/>
        <v>0</v>
      </c>
      <c r="S6" s="41">
        <f ca="1">SUMIFS('Отчет 26-31.01'!P:P,'Отчет 26-31.01'!C:C,"Продажи",'Отчет 26-31.01'!E:E,B6)</f>
        <v>0</v>
      </c>
      <c r="T6" s="42">
        <f ca="1">SUMIFS('Отчет 26-31.01'!P:P,'Отчет 26-31.01'!C:C,"Возвраты",'Отчет 26-31.01'!E:E,B6)</f>
        <v>0</v>
      </c>
      <c r="U6" s="40">
        <f t="shared" ca="1" si="4"/>
        <v>0</v>
      </c>
      <c r="V6" s="43" t="e">
        <f t="shared" ca="1" si="5"/>
        <v>#DIV/0!</v>
      </c>
      <c r="W6" s="44">
        <f t="shared" ca="1" si="6"/>
        <v>0</v>
      </c>
      <c r="X6" s="42">
        <f ca="1">-SUMIFS('Отчет 26-31.01'!P:P,'Отчет 26-31.01'!C:C,"Вознаграждение Ozon",'Отчет 26-31.01'!E:E,B6)</f>
        <v>0</v>
      </c>
      <c r="Y6" s="45">
        <f t="shared" ca="1" si="7"/>
        <v>0</v>
      </c>
      <c r="Z6" s="42">
        <f ca="1">-SUMIFS('Отчет 26-31.01'!P:P,'Отчет 26-31.01'!C:C,"Услуги доставки",'Отчет 26-31.01'!E:E,B6)</f>
        <v>0</v>
      </c>
      <c r="AA6" s="32"/>
      <c r="AB6" s="55"/>
      <c r="AC6" s="42"/>
      <c r="AD6" s="46">
        <f ca="1">U6*1%</f>
        <v>0</v>
      </c>
      <c r="AE6" s="47">
        <f t="shared" ca="1" si="8"/>
        <v>0</v>
      </c>
      <c r="AF6" s="46"/>
      <c r="AG6" s="48">
        <f t="shared" ca="1" si="9"/>
        <v>0</v>
      </c>
      <c r="AH6" s="49">
        <f t="shared" si="10"/>
        <v>123.09</v>
      </c>
      <c r="AI6" s="49">
        <f t="shared" ca="1" si="11"/>
        <v>0</v>
      </c>
      <c r="AJ6" s="49">
        <f t="shared" ca="1" si="12"/>
        <v>0</v>
      </c>
      <c r="AK6" s="49">
        <f t="shared" ca="1" si="13"/>
        <v>0</v>
      </c>
      <c r="AL6" s="49">
        <f t="array" aca="1" ref="AL6" ca="1">_xlfn.IFS(R6=0,AE6,R6&lt;0,AE6/-R6,R6&gt;0,AE6/R6)</f>
        <v>0</v>
      </c>
      <c r="AM6" s="50">
        <f t="shared" ca="1" si="14"/>
        <v>0</v>
      </c>
      <c r="AN6" s="51">
        <f t="shared" ca="1" si="15"/>
        <v>0</v>
      </c>
      <c r="AP6" s="53">
        <f t="shared" ca="1" si="16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ca="1" si="2"/>
        <v>0</v>
      </c>
      <c r="P7" s="39">
        <f ca="1">SUMIFS('Отчет 26-31.01'!H:H,'Отчет 26-31.01'!D:D,"Выручка",'Отчет 26-31.01'!E:E,B7)</f>
        <v>0</v>
      </c>
      <c r="Q7" s="39">
        <f ca="1">SUMIFS('Отчет 26-31.01'!H:H,'Отчет 26-31.01'!D:D,"Возврат выручки",'Отчет 26-31.01'!E:E,B7)</f>
        <v>0</v>
      </c>
      <c r="R7" s="40">
        <f t="shared" ca="1" si="3"/>
        <v>0</v>
      </c>
      <c r="S7" s="41">
        <f ca="1">SUMIFS('Отчет 26-31.01'!P:P,'Отчет 26-31.01'!C:C,"Продажи",'Отчет 26-31.01'!E:E,B7)</f>
        <v>0</v>
      </c>
      <c r="T7" s="42">
        <f ca="1">SUMIFS('Отчет 26-31.01'!P:P,'Отчет 26-31.01'!C:C,"Возвраты",'Отчет 26-31.01'!E:E,B7)</f>
        <v>0</v>
      </c>
      <c r="U7" s="40">
        <f t="shared" ca="1" si="4"/>
        <v>0</v>
      </c>
      <c r="V7" s="43" t="e">
        <f t="shared" ca="1" si="5"/>
        <v>#DIV/0!</v>
      </c>
      <c r="W7" s="44">
        <f t="shared" ca="1" si="6"/>
        <v>0</v>
      </c>
      <c r="X7" s="42">
        <f ca="1">-SUMIFS('Отчет 26-31.01'!P:P,'Отчет 26-31.01'!C:C,"Вознаграждение Ozon",'Отчет 26-31.01'!E:E,B7)</f>
        <v>0</v>
      </c>
      <c r="Y7" s="45">
        <f t="shared" ca="1" si="7"/>
        <v>0</v>
      </c>
      <c r="Z7" s="42">
        <f ca="1">-SUMIFS('Отчет 26-31.01'!P:P,'Отчет 26-31.01'!C:C,"Услуги доставки",'Отчет 26-31.01'!E:E,B7)</f>
        <v>0</v>
      </c>
      <c r="AA7" s="32"/>
      <c r="AB7" s="55"/>
      <c r="AC7" s="42"/>
      <c r="AD7" s="46">
        <f ca="1">U7*1%</f>
        <v>0</v>
      </c>
      <c r="AE7" s="47">
        <f t="shared" ca="1" si="8"/>
        <v>0</v>
      </c>
      <c r="AF7" s="46"/>
      <c r="AG7" s="48">
        <f t="shared" ca="1" si="9"/>
        <v>0</v>
      </c>
      <c r="AH7" s="49">
        <f t="shared" si="10"/>
        <v>117.24</v>
      </c>
      <c r="AI7" s="49">
        <f t="shared" ca="1" si="11"/>
        <v>0</v>
      </c>
      <c r="AJ7" s="49">
        <f t="shared" ca="1" si="12"/>
        <v>0</v>
      </c>
      <c r="AK7" s="49">
        <f t="shared" ca="1" si="13"/>
        <v>0</v>
      </c>
      <c r="AL7" s="49">
        <f t="array" aca="1" ref="AL7" ca="1">_xlfn.IFS(R7=0,AE7,R7&lt;0,AE7/-R7,R7&gt;0,AE7/R7)</f>
        <v>0</v>
      </c>
      <c r="AM7" s="50">
        <f t="shared" ca="1" si="14"/>
        <v>0</v>
      </c>
      <c r="AN7" s="51">
        <f t="shared" ca="1" si="15"/>
        <v>0</v>
      </c>
      <c r="AP7" s="53">
        <f t="shared" ca="1" si="16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"/>
        <v>0</v>
      </c>
      <c r="O8" s="38">
        <f t="shared" ca="1" si="2"/>
        <v>0</v>
      </c>
      <c r="P8" s="39">
        <f ca="1">SUMIFS('Отчет 26-31.01'!H:H,'Отчет 26-31.01'!D:D,"Выручка",'Отчет 26-31.01'!E:E,B8)</f>
        <v>0</v>
      </c>
      <c r="Q8" s="39">
        <f ca="1">SUMIFS('Отчет 26-31.01'!H:H,'Отчет 26-31.01'!D:D,"Возврат выручки",'Отчет 26-31.01'!E:E,B8)</f>
        <v>0</v>
      </c>
      <c r="R8" s="40">
        <f t="shared" ca="1" si="3"/>
        <v>0</v>
      </c>
      <c r="S8" s="41">
        <f ca="1">SUMIFS('Отчет 26-31.01'!P:P,'Отчет 26-31.01'!C:C,"Продажи",'Отчет 26-31.01'!E:E,B8)</f>
        <v>0</v>
      </c>
      <c r="T8" s="42">
        <f ca="1">SUMIFS('Отчет 26-31.01'!P:P,'Отчет 26-31.01'!C:C,"Возвраты",'Отчет 26-31.01'!E:E,B8)</f>
        <v>0</v>
      </c>
      <c r="U8" s="40">
        <f t="shared" ca="1" si="4"/>
        <v>0</v>
      </c>
      <c r="V8" s="43" t="e">
        <f t="shared" ca="1" si="5"/>
        <v>#DIV/0!</v>
      </c>
      <c r="W8" s="44">
        <f t="shared" ca="1" si="6"/>
        <v>0</v>
      </c>
      <c r="X8" s="42">
        <f ca="1">-SUMIFS('Отчет 26-31.01'!P:P,'Отчет 26-31.01'!C:C,"Вознаграждение Ozon",'Отчет 26-31.01'!E:E,B8)</f>
        <v>0</v>
      </c>
      <c r="Y8" s="45">
        <f t="shared" ca="1" si="7"/>
        <v>0</v>
      </c>
      <c r="Z8" s="42">
        <f ca="1">-SUMIFS('Отчет 26-31.01'!P:P,'Отчет 26-31.01'!C:C,"Услуги доставки",'Отчет 26-31.01'!E:E,B8)</f>
        <v>0</v>
      </c>
      <c r="AA8" s="32"/>
      <c r="AB8" s="55"/>
      <c r="AC8" s="42"/>
      <c r="AD8" s="46">
        <f ca="1">U8*1%</f>
        <v>0</v>
      </c>
      <c r="AE8" s="47">
        <f t="shared" ca="1" si="8"/>
        <v>0</v>
      </c>
      <c r="AF8" s="46"/>
      <c r="AG8" s="48">
        <f t="shared" ca="1" si="9"/>
        <v>0</v>
      </c>
      <c r="AH8" s="49">
        <f t="shared" si="10"/>
        <v>123</v>
      </c>
      <c r="AI8" s="49">
        <f t="shared" ca="1" si="11"/>
        <v>0</v>
      </c>
      <c r="AJ8" s="49">
        <f t="shared" ca="1" si="12"/>
        <v>0</v>
      </c>
      <c r="AK8" s="49">
        <f t="shared" ca="1" si="13"/>
        <v>0</v>
      </c>
      <c r="AL8" s="49">
        <f t="array" aca="1" ref="AL8" ca="1">_xlfn.IFS(R8=0,AE8,R8&lt;0,AE8/-R8,R8&gt;0,AE8/R8)</f>
        <v>0</v>
      </c>
      <c r="AM8" s="50">
        <f t="shared" ca="1" si="14"/>
        <v>0</v>
      </c>
      <c r="AN8" s="51">
        <f t="shared" ca="1" si="15"/>
        <v>0</v>
      </c>
      <c r="AP8" s="53">
        <f t="shared" ca="1" si="16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"/>
        <v>0</v>
      </c>
      <c r="O9" s="38">
        <f t="shared" ca="1" si="2"/>
        <v>0</v>
      </c>
      <c r="P9" s="39">
        <f ca="1">SUMIFS('Отчет 26-31.01'!H:H,'Отчет 26-31.01'!D:D,"Выручка",'Отчет 26-31.01'!E:E,B9)</f>
        <v>0</v>
      </c>
      <c r="Q9" s="39">
        <f ca="1">SUMIFS('Отчет 26-31.01'!H:H,'Отчет 26-31.01'!D:D,"Возврат выручки",'Отчет 26-31.01'!E:E,B9)</f>
        <v>0</v>
      </c>
      <c r="R9" s="40">
        <f t="shared" ca="1" si="3"/>
        <v>0</v>
      </c>
      <c r="S9" s="41">
        <f ca="1">SUMIFS('Отчет 26-31.01'!P:P,'Отчет 26-31.01'!C:C,"Продажи",'Отчет 26-31.01'!E:E,B9)</f>
        <v>0</v>
      </c>
      <c r="T9" s="42">
        <f ca="1">SUMIFS('Отчет 26-31.01'!P:P,'Отчет 26-31.01'!C:C,"Возвраты",'Отчет 26-31.01'!E:E,B9)</f>
        <v>0</v>
      </c>
      <c r="U9" s="40">
        <f t="shared" ca="1" si="4"/>
        <v>0</v>
      </c>
      <c r="V9" s="43" t="e">
        <f t="shared" ca="1" si="5"/>
        <v>#DIV/0!</v>
      </c>
      <c r="W9" s="44">
        <f t="shared" ca="1" si="6"/>
        <v>0</v>
      </c>
      <c r="X9" s="42">
        <f ca="1">-SUMIFS('Отчет 26-31.01'!P:P,'Отчет 26-31.01'!C:C,"Вознаграждение Ozon",'Отчет 26-31.01'!E:E,B9)</f>
        <v>0</v>
      </c>
      <c r="Y9" s="45">
        <f t="shared" ca="1" si="7"/>
        <v>0</v>
      </c>
      <c r="Z9" s="42">
        <f ca="1">-SUMIFS('Отчет 26-31.01'!P:P,'Отчет 26-31.01'!C:C,"Услуги доставки",'Отчет 26-31.01'!E:E,B9)</f>
        <v>0</v>
      </c>
      <c r="AA9" s="32"/>
      <c r="AB9" s="55"/>
      <c r="AC9" s="42"/>
      <c r="AD9" s="46">
        <f ca="1">U9*1%</f>
        <v>0</v>
      </c>
      <c r="AE9" s="47">
        <f t="shared" ca="1" si="8"/>
        <v>0</v>
      </c>
      <c r="AF9" s="46"/>
      <c r="AG9" s="48">
        <f t="shared" ca="1" si="9"/>
        <v>0</v>
      </c>
      <c r="AH9" s="49">
        <f t="shared" si="10"/>
        <v>123</v>
      </c>
      <c r="AI9" s="49">
        <f t="shared" ca="1" si="11"/>
        <v>0</v>
      </c>
      <c r="AJ9" s="49">
        <f t="shared" ca="1" si="12"/>
        <v>0</v>
      </c>
      <c r="AK9" s="49">
        <f t="shared" ca="1" si="13"/>
        <v>0</v>
      </c>
      <c r="AL9" s="49">
        <f t="array" aca="1" ref="AL9" ca="1">_xlfn.IFS(R9=0,AE9,R9&lt;0,AE9/-R9,R9&gt;0,AE9/R9)</f>
        <v>0</v>
      </c>
      <c r="AM9" s="50">
        <f t="shared" ca="1" si="14"/>
        <v>0</v>
      </c>
      <c r="AN9" s="51">
        <f t="shared" ca="1" si="15"/>
        <v>0</v>
      </c>
      <c r="AP9" s="53">
        <f t="shared" ca="1" si="16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"/>
        <v>0</v>
      </c>
      <c r="O10" s="38">
        <f t="shared" ca="1" si="2"/>
        <v>0</v>
      </c>
      <c r="P10" s="39">
        <f ca="1">SUMIFS('Отчет 26-31.01'!H:H,'Отчет 26-31.01'!D:D,"Выручка",'Отчет 26-31.01'!E:E,B10)</f>
        <v>0</v>
      </c>
      <c r="Q10" s="39">
        <f ca="1">SUMIFS('Отчет 26-31.01'!H:H,'Отчет 26-31.01'!D:D,"Возврат выручки",'Отчет 26-31.01'!E:E,B10)</f>
        <v>0</v>
      </c>
      <c r="R10" s="40">
        <f t="shared" ca="1" si="3"/>
        <v>0</v>
      </c>
      <c r="S10" s="41">
        <f ca="1">SUMIFS('Отчет 26-31.01'!P:P,'Отчет 26-31.01'!C:C,"Продажи",'Отчет 26-31.01'!E:E,B10)</f>
        <v>0</v>
      </c>
      <c r="T10" s="42">
        <f ca="1">SUMIFS('Отчет 26-31.01'!P:P,'Отчет 26-31.01'!C:C,"Возвраты",'Отчет 26-31.01'!E:E,B10)</f>
        <v>0</v>
      </c>
      <c r="U10" s="40">
        <f t="shared" ca="1" si="4"/>
        <v>0</v>
      </c>
      <c r="V10" s="43" t="e">
        <f t="shared" ca="1" si="5"/>
        <v>#DIV/0!</v>
      </c>
      <c r="W10" s="44">
        <f t="shared" ca="1" si="6"/>
        <v>0</v>
      </c>
      <c r="X10" s="42">
        <f ca="1">-SUMIFS('Отчет 26-31.01'!P:P,'Отчет 26-31.01'!C:C,"Вознаграждение Ozon",'Отчет 26-31.01'!E:E,B10)</f>
        <v>0</v>
      </c>
      <c r="Y10" s="45">
        <f t="shared" ca="1" si="7"/>
        <v>0</v>
      </c>
      <c r="Z10" s="42">
        <f ca="1">-SUMIFS('Отчет 26-31.01'!P:P,'Отчет 26-31.01'!C:C,"Услуги доставки",'Отчет 26-31.01'!E:E,B10)</f>
        <v>0</v>
      </c>
      <c r="AA10" s="32"/>
      <c r="AB10" s="55"/>
      <c r="AC10" s="42"/>
      <c r="AD10" s="46">
        <f ca="1">U10*1%</f>
        <v>0</v>
      </c>
      <c r="AE10" s="47">
        <f t="shared" ca="1" si="8"/>
        <v>0</v>
      </c>
      <c r="AF10" s="46"/>
      <c r="AG10" s="48">
        <f t="shared" ca="1" si="9"/>
        <v>0</v>
      </c>
      <c r="AH10" s="49">
        <f t="shared" si="10"/>
        <v>169.89</v>
      </c>
      <c r="AI10" s="49">
        <f t="shared" ca="1" si="11"/>
        <v>0</v>
      </c>
      <c r="AJ10" s="49">
        <f t="shared" ca="1" si="12"/>
        <v>0</v>
      </c>
      <c r="AK10" s="49">
        <f t="shared" ca="1" si="13"/>
        <v>0</v>
      </c>
      <c r="AL10" s="49">
        <f t="array" aca="1" ref="AL10" ca="1">_xlfn.IFS(R10=0,AE10,R10&lt;0,AE10/-R10,R10&gt;0,AE10/R10)</f>
        <v>0</v>
      </c>
      <c r="AM10" s="50">
        <f t="shared" ca="1" si="14"/>
        <v>0</v>
      </c>
      <c r="AN10" s="51">
        <f t="shared" ca="1" si="15"/>
        <v>0</v>
      </c>
      <c r="AP10" s="53">
        <f t="shared" ca="1" si="16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"/>
        <v>0</v>
      </c>
      <c r="O11" s="38">
        <f t="shared" ca="1" si="2"/>
        <v>0</v>
      </c>
      <c r="P11" s="39">
        <f ca="1">SUMIFS('Отчет 26-31.01'!H:H,'Отчет 26-31.01'!D:D,"Выручка",'Отчет 26-31.01'!E:E,B11)</f>
        <v>0</v>
      </c>
      <c r="Q11" s="39">
        <f ca="1">SUMIFS('Отчет 26-31.01'!H:H,'Отчет 26-31.01'!D:D,"Возврат выручки",'Отчет 26-31.01'!E:E,B11)</f>
        <v>0</v>
      </c>
      <c r="R11" s="40">
        <f t="shared" ca="1" si="3"/>
        <v>0</v>
      </c>
      <c r="S11" s="41">
        <f ca="1">SUMIFS('Отчет 26-31.01'!P:P,'Отчет 26-31.01'!C:C,"Продажи",'Отчет 26-31.01'!E:E,B11)</f>
        <v>0</v>
      </c>
      <c r="T11" s="42">
        <f ca="1">SUMIFS('Отчет 26-31.01'!P:P,'Отчет 26-31.01'!C:C,"Возвраты",'Отчет 26-31.01'!E:E,B11)</f>
        <v>0</v>
      </c>
      <c r="U11" s="40">
        <f t="shared" ca="1" si="4"/>
        <v>0</v>
      </c>
      <c r="V11" s="43" t="e">
        <f t="shared" ca="1" si="5"/>
        <v>#DIV/0!</v>
      </c>
      <c r="W11" s="44">
        <f t="shared" ca="1" si="6"/>
        <v>0</v>
      </c>
      <c r="X11" s="42">
        <f ca="1">-SUMIFS('Отчет 26-31.01'!P:P,'Отчет 26-31.01'!C:C,"Вознаграждение Ozon",'Отчет 26-31.01'!E:E,B11)</f>
        <v>0</v>
      </c>
      <c r="Y11" s="45">
        <f t="shared" ca="1" si="7"/>
        <v>0</v>
      </c>
      <c r="Z11" s="42">
        <f ca="1">-SUMIFS('Отчет 26-31.01'!P:P,'Отчет 26-31.01'!C:C,"Услуги доставки",'Отчет 26-31.01'!E:E,B11)</f>
        <v>0</v>
      </c>
      <c r="AA11" s="32"/>
      <c r="AB11" s="55"/>
      <c r="AC11" s="42"/>
      <c r="AD11" s="46">
        <f ca="1">U11*1%</f>
        <v>0</v>
      </c>
      <c r="AE11" s="47">
        <f t="shared" ca="1" si="8"/>
        <v>0</v>
      </c>
      <c r="AF11" s="46"/>
      <c r="AG11" s="48">
        <f t="shared" ca="1" si="9"/>
        <v>0</v>
      </c>
      <c r="AH11" s="49">
        <f t="shared" si="10"/>
        <v>169.89</v>
      </c>
      <c r="AI11" s="49">
        <f t="shared" ca="1" si="11"/>
        <v>0</v>
      </c>
      <c r="AJ11" s="49">
        <f t="shared" ca="1" si="12"/>
        <v>0</v>
      </c>
      <c r="AK11" s="49">
        <f t="shared" ca="1" si="13"/>
        <v>0</v>
      </c>
      <c r="AL11" s="49">
        <f t="array" aca="1" ref="AL11" ca="1">_xlfn.IFS(R11=0,AE11,R11&lt;0,AE11/-R11,R11&gt;0,AE11/R11)</f>
        <v>0</v>
      </c>
      <c r="AM11" s="50">
        <f t="shared" ca="1" si="14"/>
        <v>0</v>
      </c>
      <c r="AN11" s="51">
        <f t="shared" ca="1" si="15"/>
        <v>0</v>
      </c>
      <c r="AP11" s="53">
        <f t="shared" ca="1" si="16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"/>
        <v>0</v>
      </c>
      <c r="O12" s="38">
        <f t="shared" ca="1" si="2"/>
        <v>0</v>
      </c>
      <c r="P12" s="39">
        <f ca="1">SUMIFS('Отчет 26-31.01'!H:H,'Отчет 26-31.01'!D:D,"Выручка",'Отчет 26-31.01'!E:E,B12)</f>
        <v>0</v>
      </c>
      <c r="Q12" s="39">
        <f ca="1">SUMIFS('Отчет 26-31.01'!H:H,'Отчет 26-31.01'!D:D,"Возврат выручки",'Отчет 26-31.01'!E:E,B12)</f>
        <v>0</v>
      </c>
      <c r="R12" s="40">
        <f t="shared" ca="1" si="3"/>
        <v>0</v>
      </c>
      <c r="S12" s="41">
        <f ca="1">SUMIFS('Отчет 26-31.01'!P:P,'Отчет 26-31.01'!C:C,"Продажи",'Отчет 26-31.01'!E:E,B12)</f>
        <v>0</v>
      </c>
      <c r="T12" s="42">
        <f ca="1">SUMIFS('Отчет 26-31.01'!P:P,'Отчет 26-31.01'!C:C,"Возвраты",'Отчет 26-31.01'!E:E,B12)</f>
        <v>0</v>
      </c>
      <c r="U12" s="40">
        <f t="shared" ca="1" si="4"/>
        <v>0</v>
      </c>
      <c r="V12" s="43" t="e">
        <f t="shared" ca="1" si="5"/>
        <v>#DIV/0!</v>
      </c>
      <c r="W12" s="44">
        <f t="shared" ca="1" si="6"/>
        <v>0</v>
      </c>
      <c r="X12" s="42">
        <f ca="1">-SUMIFS('Отчет 26-31.01'!P:P,'Отчет 26-31.01'!C:C,"Вознаграждение Ozon",'Отчет 26-31.01'!E:E,B12)</f>
        <v>0</v>
      </c>
      <c r="Y12" s="45">
        <f t="shared" ca="1" si="7"/>
        <v>0</v>
      </c>
      <c r="Z12" s="42">
        <f ca="1">-SUMIFS('Отчет 26-31.01'!P:P,'Отчет 26-31.01'!C:C,"Услуги доставки",'Отчет 26-31.01'!E:E,B12)</f>
        <v>0</v>
      </c>
      <c r="AA12" s="32"/>
      <c r="AB12" s="55"/>
      <c r="AC12" s="42"/>
      <c r="AD12" s="46">
        <f ca="1">U12*1%</f>
        <v>0</v>
      </c>
      <c r="AE12" s="47">
        <f t="shared" ca="1" si="8"/>
        <v>0</v>
      </c>
      <c r="AF12" s="46"/>
      <c r="AG12" s="48">
        <f t="shared" ca="1" si="9"/>
        <v>0</v>
      </c>
      <c r="AH12" s="49">
        <f t="shared" si="10"/>
        <v>169.89</v>
      </c>
      <c r="AI12" s="49">
        <f t="shared" ca="1" si="11"/>
        <v>0</v>
      </c>
      <c r="AJ12" s="49">
        <f t="shared" ca="1" si="12"/>
        <v>0</v>
      </c>
      <c r="AK12" s="49">
        <f t="shared" ca="1" si="13"/>
        <v>0</v>
      </c>
      <c r="AL12" s="49">
        <f t="array" aca="1" ref="AL12" ca="1">_xlfn.IFS(R12=0,AE12,R12&lt;0,AE12/-R12,R12&gt;0,AE12/R12)</f>
        <v>0</v>
      </c>
      <c r="AM12" s="50">
        <f t="shared" ca="1" si="14"/>
        <v>0</v>
      </c>
      <c r="AN12" s="51">
        <f t="shared" ca="1" si="15"/>
        <v>0</v>
      </c>
      <c r="AP12" s="53">
        <f t="shared" ca="1" si="16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"/>
        <v>0</v>
      </c>
      <c r="O13" s="38">
        <f t="shared" ca="1" si="2"/>
        <v>0</v>
      </c>
      <c r="P13" s="39">
        <f ca="1">SUMIFS('Отчет 26-31.01'!H:H,'Отчет 26-31.01'!D:D,"Выручка",'Отчет 26-31.01'!E:E,B13)</f>
        <v>0</v>
      </c>
      <c r="Q13" s="39">
        <f ca="1">SUMIFS('Отчет 26-31.01'!H:H,'Отчет 26-31.01'!D:D,"Возврат выручки",'Отчет 26-31.01'!E:E,B13)</f>
        <v>0</v>
      </c>
      <c r="R13" s="40">
        <f t="shared" ca="1" si="3"/>
        <v>0</v>
      </c>
      <c r="S13" s="41">
        <f ca="1">SUMIFS('Отчет 26-31.01'!P:P,'Отчет 26-31.01'!C:C,"Продажи",'Отчет 26-31.01'!E:E,B13)</f>
        <v>0</v>
      </c>
      <c r="T13" s="42">
        <f ca="1">SUMIFS('Отчет 26-31.01'!P:P,'Отчет 26-31.01'!C:C,"Возвраты",'Отчет 26-31.01'!E:E,B13)</f>
        <v>0</v>
      </c>
      <c r="U13" s="40">
        <f t="shared" ca="1" si="4"/>
        <v>0</v>
      </c>
      <c r="V13" s="43" t="e">
        <f t="shared" ca="1" si="5"/>
        <v>#DIV/0!</v>
      </c>
      <c r="W13" s="44">
        <f t="shared" ca="1" si="6"/>
        <v>0</v>
      </c>
      <c r="X13" s="42">
        <f ca="1">-SUMIFS('Отчет 26-31.01'!P:P,'Отчет 26-31.01'!C:C,"Вознаграждение Ozon",'Отчет 26-31.01'!E:E,B13)</f>
        <v>0</v>
      </c>
      <c r="Y13" s="45">
        <f t="shared" ca="1" si="7"/>
        <v>0</v>
      </c>
      <c r="Z13" s="42">
        <f ca="1">-SUMIFS('Отчет 26-31.01'!P:P,'Отчет 26-31.01'!C:C,"Услуги доставки",'Отчет 26-31.01'!E:E,B13)</f>
        <v>0</v>
      </c>
      <c r="AA13" s="32"/>
      <c r="AB13" s="55"/>
      <c r="AC13" s="42"/>
      <c r="AD13" s="46">
        <f ca="1">U13*1%</f>
        <v>0</v>
      </c>
      <c r="AE13" s="47">
        <f t="shared" ca="1" si="8"/>
        <v>0</v>
      </c>
      <c r="AF13" s="46"/>
      <c r="AG13" s="48">
        <f t="shared" ca="1" si="9"/>
        <v>0</v>
      </c>
      <c r="AH13" s="49">
        <f t="shared" si="10"/>
        <v>169.89</v>
      </c>
      <c r="AI13" s="49">
        <f t="shared" ca="1" si="11"/>
        <v>0</v>
      </c>
      <c r="AJ13" s="49">
        <f t="shared" ca="1" si="12"/>
        <v>0</v>
      </c>
      <c r="AK13" s="49">
        <f t="shared" ca="1" si="13"/>
        <v>0</v>
      </c>
      <c r="AL13" s="49">
        <f t="array" aca="1" ref="AL13" ca="1">_xlfn.IFS(R13=0,AE13,R13&lt;0,AE13/-R13,R13&gt;0,AE13/R13)</f>
        <v>0</v>
      </c>
      <c r="AM13" s="50">
        <f t="shared" ca="1" si="14"/>
        <v>0</v>
      </c>
      <c r="AN13" s="51">
        <f t="shared" ca="1" si="15"/>
        <v>0</v>
      </c>
      <c r="AP13" s="53">
        <f t="shared" ca="1" si="16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"/>
        <v>0</v>
      </c>
      <c r="O14" s="38">
        <f t="shared" ca="1" si="2"/>
        <v>0</v>
      </c>
      <c r="P14" s="39">
        <f ca="1">SUMIFS('Отчет 26-31.01'!H:H,'Отчет 26-31.01'!D:D,"Выручка",'Отчет 26-31.01'!E:E,B14)</f>
        <v>0</v>
      </c>
      <c r="Q14" s="39">
        <f ca="1">SUMIFS('Отчет 26-31.01'!H:H,'Отчет 26-31.01'!D:D,"Возврат выручки",'Отчет 26-31.01'!E:E,B14)</f>
        <v>0</v>
      </c>
      <c r="R14" s="40">
        <f t="shared" ca="1" si="3"/>
        <v>0</v>
      </c>
      <c r="S14" s="41">
        <f ca="1">SUMIFS('Отчет 26-31.01'!P:P,'Отчет 26-31.01'!C:C,"Продажи",'Отчет 26-31.01'!E:E,B14)</f>
        <v>0</v>
      </c>
      <c r="T14" s="42">
        <f ca="1">SUMIFS('Отчет 26-31.01'!P:P,'Отчет 26-31.01'!C:C,"Возвраты",'Отчет 26-31.01'!E:E,B14)</f>
        <v>0</v>
      </c>
      <c r="U14" s="40">
        <f t="shared" ca="1" si="4"/>
        <v>0</v>
      </c>
      <c r="V14" s="43" t="e">
        <f t="shared" ca="1" si="5"/>
        <v>#DIV/0!</v>
      </c>
      <c r="W14" s="44">
        <f t="shared" ca="1" si="6"/>
        <v>0</v>
      </c>
      <c r="X14" s="42">
        <f ca="1">-SUMIFS('Отчет 26-31.01'!P:P,'Отчет 26-31.01'!C:C,"Вознаграждение Ozon",'Отчет 26-31.01'!E:E,B14)</f>
        <v>0</v>
      </c>
      <c r="Y14" s="45">
        <f t="shared" ca="1" si="7"/>
        <v>0</v>
      </c>
      <c r="Z14" s="42">
        <f ca="1">-SUMIFS('Отчет 26-31.01'!P:P,'Отчет 26-31.01'!C:C,"Услуги доставки",'Отчет 26-31.01'!E:E,B14)</f>
        <v>0</v>
      </c>
      <c r="AA14" s="32"/>
      <c r="AB14" s="55"/>
      <c r="AC14" s="42"/>
      <c r="AD14" s="46">
        <f ca="1">U14*1%</f>
        <v>0</v>
      </c>
      <c r="AE14" s="47">
        <f t="shared" ca="1" si="8"/>
        <v>0</v>
      </c>
      <c r="AF14" s="46"/>
      <c r="AG14" s="48">
        <f t="shared" ca="1" si="9"/>
        <v>0</v>
      </c>
      <c r="AH14" s="49">
        <f t="shared" si="10"/>
        <v>169.89</v>
      </c>
      <c r="AI14" s="49">
        <f t="shared" ca="1" si="11"/>
        <v>0</v>
      </c>
      <c r="AJ14" s="49">
        <f t="shared" ca="1" si="12"/>
        <v>0</v>
      </c>
      <c r="AK14" s="49">
        <f t="shared" ca="1" si="13"/>
        <v>0</v>
      </c>
      <c r="AL14" s="49">
        <f t="array" aca="1" ref="AL14" ca="1">_xlfn.IFS(R14=0,AE14,R14&lt;0,AE14/-R14,R14&gt;0,AE14/R14)</f>
        <v>0</v>
      </c>
      <c r="AM14" s="50">
        <f t="shared" ca="1" si="14"/>
        <v>0</v>
      </c>
      <c r="AN14" s="51">
        <f t="shared" ca="1" si="15"/>
        <v>0</v>
      </c>
      <c r="AP14" s="53">
        <f t="shared" ca="1" si="16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"/>
        <v>0</v>
      </c>
      <c r="O15" s="38">
        <f t="shared" ca="1" si="2"/>
        <v>0</v>
      </c>
      <c r="P15" s="39">
        <f ca="1">SUMIFS('Отчет 26-31.01'!H:H,'Отчет 26-31.01'!D:D,"Выручка",'Отчет 26-31.01'!E:E,B15)</f>
        <v>0</v>
      </c>
      <c r="Q15" s="39">
        <f ca="1">SUMIFS('Отчет 26-31.01'!H:H,'Отчет 26-31.01'!D:D,"Возврат выручки",'Отчет 26-31.01'!E:E,B15)</f>
        <v>0</v>
      </c>
      <c r="R15" s="40">
        <f t="shared" ca="1" si="3"/>
        <v>0</v>
      </c>
      <c r="S15" s="41">
        <f ca="1">SUMIFS('Отчет 26-31.01'!P:P,'Отчет 26-31.01'!C:C,"Продажи",'Отчет 26-31.01'!E:E,B15)</f>
        <v>0</v>
      </c>
      <c r="T15" s="42">
        <f ca="1">SUMIFS('Отчет 26-31.01'!P:P,'Отчет 26-31.01'!C:C,"Возвраты",'Отчет 26-31.01'!E:E,B15)</f>
        <v>0</v>
      </c>
      <c r="U15" s="40">
        <f t="shared" ca="1" si="4"/>
        <v>0</v>
      </c>
      <c r="V15" s="43" t="e">
        <f t="shared" ca="1" si="5"/>
        <v>#DIV/0!</v>
      </c>
      <c r="W15" s="44">
        <f t="shared" ca="1" si="6"/>
        <v>0</v>
      </c>
      <c r="X15" s="42">
        <f ca="1">-SUMIFS('Отчет 26-31.01'!P:P,'Отчет 26-31.01'!C:C,"Вознаграждение Ozon",'Отчет 26-31.01'!E:E,B15)</f>
        <v>0</v>
      </c>
      <c r="Y15" s="45">
        <f t="shared" ca="1" si="7"/>
        <v>0</v>
      </c>
      <c r="Z15" s="42">
        <f ca="1">-SUMIFS('Отчет 26-31.01'!P:P,'Отчет 26-31.01'!C:C,"Услуги доставки",'Отчет 26-31.01'!E:E,B15)</f>
        <v>0</v>
      </c>
      <c r="AA15" s="32"/>
      <c r="AB15" s="55"/>
      <c r="AC15" s="42"/>
      <c r="AD15" s="46">
        <f ca="1">U15*1%</f>
        <v>0</v>
      </c>
      <c r="AE15" s="47">
        <f t="shared" ca="1" si="8"/>
        <v>0</v>
      </c>
      <c r="AF15" s="46"/>
      <c r="AG15" s="48">
        <f t="shared" ca="1" si="9"/>
        <v>0</v>
      </c>
      <c r="AH15" s="49">
        <f t="shared" si="10"/>
        <v>169.89</v>
      </c>
      <c r="AI15" s="49">
        <f t="shared" ca="1" si="11"/>
        <v>0</v>
      </c>
      <c r="AJ15" s="49">
        <f t="shared" ca="1" si="12"/>
        <v>0</v>
      </c>
      <c r="AK15" s="49">
        <f t="shared" ca="1" si="13"/>
        <v>0</v>
      </c>
      <c r="AL15" s="49">
        <f t="array" aca="1" ref="AL15" ca="1">_xlfn.IFS(R15=0,AE15,R15&lt;0,AE15/-R15,R15&gt;0,AE15/R15)</f>
        <v>0</v>
      </c>
      <c r="AM15" s="50">
        <f t="shared" ca="1" si="14"/>
        <v>0</v>
      </c>
      <c r="AN15" s="51">
        <f t="shared" ca="1" si="15"/>
        <v>0</v>
      </c>
      <c r="AP15" s="53">
        <f t="shared" ca="1" si="16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"/>
        <v>0</v>
      </c>
      <c r="O16" s="38">
        <f t="shared" ca="1" si="2"/>
        <v>0</v>
      </c>
      <c r="P16" s="39">
        <f ca="1">SUMIFS('Отчет 26-31.01'!H:H,'Отчет 26-31.01'!D:D,"Выручка",'Отчет 26-31.01'!E:E,B16)</f>
        <v>0</v>
      </c>
      <c r="Q16" s="39">
        <f ca="1">SUMIFS('Отчет 26-31.01'!H:H,'Отчет 26-31.01'!D:D,"Возврат выручки",'Отчет 26-31.01'!E:E,B16)</f>
        <v>0</v>
      </c>
      <c r="R16" s="40">
        <f t="shared" ca="1" si="3"/>
        <v>0</v>
      </c>
      <c r="S16" s="41">
        <f ca="1">SUMIFS('Отчет 26-31.01'!P:P,'Отчет 26-31.01'!C:C,"Продажи",'Отчет 26-31.01'!E:E,B16)</f>
        <v>0</v>
      </c>
      <c r="T16" s="42">
        <f ca="1">SUMIFS('Отчет 26-31.01'!P:P,'Отчет 26-31.01'!C:C,"Возвраты",'Отчет 26-31.01'!E:E,B16)</f>
        <v>0</v>
      </c>
      <c r="U16" s="40">
        <f t="shared" ca="1" si="4"/>
        <v>0</v>
      </c>
      <c r="V16" s="43" t="e">
        <f t="shared" ca="1" si="5"/>
        <v>#DIV/0!</v>
      </c>
      <c r="W16" s="44">
        <f t="shared" ca="1" si="6"/>
        <v>0</v>
      </c>
      <c r="X16" s="42">
        <f ca="1">-SUMIFS('Отчет 26-31.01'!P:P,'Отчет 26-31.01'!C:C,"Вознаграждение Ozon",'Отчет 26-31.01'!E:E,B16)</f>
        <v>0</v>
      </c>
      <c r="Y16" s="45">
        <f t="shared" ca="1" si="7"/>
        <v>0</v>
      </c>
      <c r="Z16" s="42">
        <f ca="1">-SUMIFS('Отчет 26-31.01'!P:P,'Отчет 26-31.01'!C:C,"Услуги доставки",'Отчет 26-31.01'!E:E,B16)</f>
        <v>0</v>
      </c>
      <c r="AA16" s="32"/>
      <c r="AB16" s="55"/>
      <c r="AC16" s="42"/>
      <c r="AD16" s="46">
        <f ca="1">U16*1%</f>
        <v>0</v>
      </c>
      <c r="AE16" s="47">
        <f t="shared" ca="1" si="8"/>
        <v>0</v>
      </c>
      <c r="AF16" s="46"/>
      <c r="AG16" s="48">
        <f t="shared" ca="1" si="9"/>
        <v>0</v>
      </c>
      <c r="AH16" s="49">
        <f t="shared" si="10"/>
        <v>169.89</v>
      </c>
      <c r="AI16" s="49">
        <f t="shared" ca="1" si="11"/>
        <v>0</v>
      </c>
      <c r="AJ16" s="49">
        <f t="shared" ca="1" si="12"/>
        <v>0</v>
      </c>
      <c r="AK16" s="49">
        <f t="shared" ca="1" si="13"/>
        <v>0</v>
      </c>
      <c r="AL16" s="49">
        <f t="array" aca="1" ref="AL16" ca="1">_xlfn.IFS(R16=0,AE16,R16&lt;0,AE16/-R16,R16&gt;0,AE16/R16)</f>
        <v>0</v>
      </c>
      <c r="AM16" s="50">
        <f t="shared" ca="1" si="14"/>
        <v>0</v>
      </c>
      <c r="AN16" s="51">
        <f t="shared" ca="1" si="15"/>
        <v>0</v>
      </c>
      <c r="AP16" s="53">
        <f t="shared" ca="1" si="16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ref="N17:N24" si="17">K17/7</f>
        <v>0</v>
      </c>
      <c r="O17" s="38">
        <f t="shared" ca="1" si="2"/>
        <v>0</v>
      </c>
      <c r="P17" s="39">
        <f ca="1">SUMIFS('Отчет 26-31.01'!H:H,'Отчет 26-31.01'!D:D,"Выручка",'Отчет 26-31.01'!E:E,B17)</f>
        <v>0</v>
      </c>
      <c r="Q17" s="39">
        <f ca="1">SUMIFS('Отчет 26-31.01'!H:H,'Отчет 26-31.01'!D:D,"Возврат выручки",'Отчет 26-31.01'!E:E,B17)</f>
        <v>0</v>
      </c>
      <c r="R17" s="40">
        <f t="shared" ca="1" si="3"/>
        <v>0</v>
      </c>
      <c r="S17" s="41">
        <f ca="1">SUMIFS('Отчет 26-31.01'!P:P,'Отчет 26-31.01'!C:C,"Продажи",'Отчет 26-31.01'!E:E,B17)</f>
        <v>0</v>
      </c>
      <c r="T17" s="42">
        <f ca="1">SUMIFS('Отчет 26-31.01'!P:P,'Отчет 26-31.01'!C:C,"Возвраты",'Отчет 26-31.01'!E:E,B17)</f>
        <v>0</v>
      </c>
      <c r="U17" s="40">
        <f t="shared" ca="1" si="4"/>
        <v>0</v>
      </c>
      <c r="V17" s="43" t="e">
        <f t="shared" ca="1" si="5"/>
        <v>#DIV/0!</v>
      </c>
      <c r="W17" s="44">
        <f t="shared" ca="1" si="6"/>
        <v>0</v>
      </c>
      <c r="X17" s="42">
        <f ca="1">-SUMIFS('Отчет 26-31.01'!P:P,'Отчет 26-31.01'!C:C,"Вознаграждение Ozon",'Отчет 26-31.01'!E:E,B17)</f>
        <v>0</v>
      </c>
      <c r="Y17" s="45">
        <f t="shared" ca="1" si="7"/>
        <v>0</v>
      </c>
      <c r="Z17" s="42">
        <f ca="1">-SUMIFS('Отчет 26-31.01'!P:P,'Отчет 26-31.01'!C:C,"Услуги доставки",'Отчет 26-31.01'!E:E,B17)</f>
        <v>0</v>
      </c>
      <c r="AA17" s="32"/>
      <c r="AB17" s="55"/>
      <c r="AC17" s="42"/>
      <c r="AD17" s="46">
        <f ca="1">U17*1%</f>
        <v>0</v>
      </c>
      <c r="AE17" s="47">
        <f t="shared" ca="1" si="8"/>
        <v>0</v>
      </c>
      <c r="AF17" s="46"/>
      <c r="AG17" s="48">
        <f t="shared" ca="1" si="9"/>
        <v>0</v>
      </c>
      <c r="AH17" s="49">
        <f t="shared" si="10"/>
        <v>1002.82</v>
      </c>
      <c r="AI17" s="49">
        <f t="shared" ca="1" si="11"/>
        <v>0</v>
      </c>
      <c r="AJ17" s="49">
        <f t="shared" ca="1" si="12"/>
        <v>0</v>
      </c>
      <c r="AK17" s="49">
        <f t="shared" ca="1" si="13"/>
        <v>0</v>
      </c>
      <c r="AL17" s="49">
        <f t="array" aca="1" ref="AL17" ca="1">_xlfn.IFS(R17=0,AE17,R17&lt;0,AE17/-R17,R17&gt;0,AE17/R17)</f>
        <v>0</v>
      </c>
      <c r="AM17" s="50">
        <f t="shared" ca="1" si="14"/>
        <v>0</v>
      </c>
      <c r="AN17" s="51">
        <f t="shared" ca="1" si="15"/>
        <v>0</v>
      </c>
      <c r="AP17" s="53">
        <f t="shared" ca="1" si="16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7"/>
        <v>0</v>
      </c>
      <c r="O18" s="38">
        <f t="shared" ca="1" si="2"/>
        <v>0</v>
      </c>
      <c r="P18" s="39">
        <f ca="1">SUMIFS('Отчет 26-31.01'!H:H,'Отчет 26-31.01'!D:D,"Выручка",'Отчет 26-31.01'!E:E,B18)</f>
        <v>0</v>
      </c>
      <c r="Q18" s="39">
        <f ca="1">SUMIFS('Отчет 26-31.01'!H:H,'Отчет 26-31.01'!D:D,"Возврат выручки",'Отчет 26-31.01'!E:E,B18)</f>
        <v>0</v>
      </c>
      <c r="R18" s="40">
        <f t="shared" ca="1" si="3"/>
        <v>0</v>
      </c>
      <c r="S18" s="41">
        <f ca="1">SUMIFS('Отчет 26-31.01'!P:P,'Отчет 26-31.01'!C:C,"Продажи",'Отчет 26-31.01'!E:E,B18)</f>
        <v>0</v>
      </c>
      <c r="T18" s="42">
        <f ca="1">SUMIFS('Отчет 26-31.01'!P:P,'Отчет 26-31.01'!C:C,"Возвраты",'Отчет 26-31.01'!E:E,B18)</f>
        <v>0</v>
      </c>
      <c r="U18" s="40">
        <f t="shared" ca="1" si="4"/>
        <v>0</v>
      </c>
      <c r="V18" s="43" t="e">
        <f t="shared" ca="1" si="5"/>
        <v>#DIV/0!</v>
      </c>
      <c r="W18" s="44">
        <f t="shared" ca="1" si="6"/>
        <v>0</v>
      </c>
      <c r="X18" s="42">
        <f ca="1">-SUMIFS('Отчет 26-31.01'!P:P,'Отчет 26-31.01'!C:C,"Вознаграждение Ozon",'Отчет 26-31.01'!E:E,B18)</f>
        <v>0</v>
      </c>
      <c r="Y18" s="45">
        <f t="shared" ca="1" si="7"/>
        <v>0</v>
      </c>
      <c r="Z18" s="42">
        <f ca="1">-SUMIFS('Отчет 26-31.01'!P:P,'Отчет 26-31.01'!C:C,"Услуги доставки",'Отчет 26-31.01'!E:E,B18)</f>
        <v>0</v>
      </c>
      <c r="AA18" s="32"/>
      <c r="AB18" s="55"/>
      <c r="AC18" s="42"/>
      <c r="AD18" s="46">
        <f ca="1">U18*1%</f>
        <v>0</v>
      </c>
      <c r="AE18" s="47">
        <f t="shared" ca="1" si="8"/>
        <v>0</v>
      </c>
      <c r="AF18" s="46"/>
      <c r="AG18" s="48">
        <f t="shared" ca="1" si="9"/>
        <v>0</v>
      </c>
      <c r="AH18" s="49">
        <f t="shared" si="10"/>
        <v>909.22</v>
      </c>
      <c r="AI18" s="49">
        <f t="shared" ca="1" si="11"/>
        <v>0</v>
      </c>
      <c r="AJ18" s="49">
        <f t="shared" ca="1" si="12"/>
        <v>0</v>
      </c>
      <c r="AK18" s="49">
        <f t="shared" ca="1" si="13"/>
        <v>0</v>
      </c>
      <c r="AL18" s="49">
        <f t="array" aca="1" ref="AL18" ca="1">_xlfn.IFS(R18=0,AE18,R18&lt;0,AE18/-R18,R18&gt;0,AE18/R18)</f>
        <v>0</v>
      </c>
      <c r="AM18" s="50">
        <f t="shared" ca="1" si="14"/>
        <v>0</v>
      </c>
      <c r="AN18" s="51">
        <f t="shared" ca="1" si="15"/>
        <v>0</v>
      </c>
      <c r="AP18" s="53">
        <f t="shared" ca="1" si="16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7"/>
        <v>0</v>
      </c>
      <c r="O19" s="38">
        <f t="shared" ca="1" si="2"/>
        <v>0</v>
      </c>
      <c r="P19" s="39">
        <f ca="1">SUMIFS('Отчет 26-31.01'!H:H,'Отчет 26-31.01'!D:D,"Выручка",'Отчет 26-31.01'!E:E,B19)</f>
        <v>0</v>
      </c>
      <c r="Q19" s="39">
        <f ca="1">SUMIFS('Отчет 26-31.01'!H:H,'Отчет 26-31.01'!D:D,"Возврат выручки",'Отчет 26-31.01'!E:E,B19)</f>
        <v>0</v>
      </c>
      <c r="R19" s="40">
        <f t="shared" ca="1" si="3"/>
        <v>0</v>
      </c>
      <c r="S19" s="41">
        <f ca="1">SUMIFS('Отчет 26-31.01'!P:P,'Отчет 26-31.01'!C:C,"Продажи",'Отчет 26-31.01'!E:E,B19)</f>
        <v>0</v>
      </c>
      <c r="T19" s="42">
        <f ca="1">SUMIFS('Отчет 26-31.01'!P:P,'Отчет 26-31.01'!C:C,"Возвраты",'Отчет 26-31.01'!E:E,B19)</f>
        <v>0</v>
      </c>
      <c r="U19" s="40">
        <f t="shared" ca="1" si="4"/>
        <v>0</v>
      </c>
      <c r="V19" s="43" t="e">
        <f t="shared" ca="1" si="5"/>
        <v>#DIV/0!</v>
      </c>
      <c r="W19" s="44">
        <f t="shared" ca="1" si="6"/>
        <v>0</v>
      </c>
      <c r="X19" s="42">
        <f ca="1">-SUMIFS('Отчет 26-31.01'!P:P,'Отчет 26-31.01'!C:C,"Вознаграждение Ozon",'Отчет 26-31.01'!E:E,B19)</f>
        <v>0</v>
      </c>
      <c r="Y19" s="45">
        <f t="shared" ca="1" si="7"/>
        <v>0</v>
      </c>
      <c r="Z19" s="42">
        <f ca="1">-SUMIFS('Отчет 26-31.01'!P:P,'Отчет 26-31.01'!C:C,"Услуги доставки",'Отчет 26-31.01'!E:E,B19)</f>
        <v>0</v>
      </c>
      <c r="AA19" s="32"/>
      <c r="AB19" s="55"/>
      <c r="AC19" s="42"/>
      <c r="AD19" s="46">
        <f ca="1">U19*1%</f>
        <v>0</v>
      </c>
      <c r="AE19" s="47">
        <f t="shared" ca="1" si="8"/>
        <v>0</v>
      </c>
      <c r="AF19" s="46"/>
      <c r="AG19" s="48">
        <f t="shared" ca="1" si="9"/>
        <v>0</v>
      </c>
      <c r="AH19" s="49">
        <f t="shared" si="10"/>
        <v>909.22</v>
      </c>
      <c r="AI19" s="49">
        <f t="shared" ca="1" si="11"/>
        <v>0</v>
      </c>
      <c r="AJ19" s="49">
        <f t="shared" ca="1" si="12"/>
        <v>0</v>
      </c>
      <c r="AK19" s="49">
        <f t="shared" ca="1" si="13"/>
        <v>0</v>
      </c>
      <c r="AL19" s="49">
        <f t="array" aca="1" ref="AL19" ca="1">_xlfn.IFS(R19=0,AE19,R19&lt;0,AE19/-R19,R19&gt;0,AE19/R19)</f>
        <v>0</v>
      </c>
      <c r="AM19" s="50">
        <f t="shared" ca="1" si="14"/>
        <v>0</v>
      </c>
      <c r="AN19" s="51">
        <f t="shared" ca="1" si="15"/>
        <v>0</v>
      </c>
      <c r="AP19" s="53">
        <f t="shared" ca="1" si="16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7"/>
        <v>0</v>
      </c>
      <c r="O20" s="38">
        <f t="shared" ca="1" si="2"/>
        <v>0</v>
      </c>
      <c r="P20" s="39">
        <f ca="1">SUMIFS('Отчет 26-31.01'!H:H,'Отчет 26-31.01'!D:D,"Выручка",'Отчет 26-31.01'!E:E,B20)</f>
        <v>0</v>
      </c>
      <c r="Q20" s="39">
        <f ca="1">SUMIFS('Отчет 26-31.01'!H:H,'Отчет 26-31.01'!D:D,"Возврат выручки",'Отчет 26-31.01'!E:E,B20)</f>
        <v>0</v>
      </c>
      <c r="R20" s="40">
        <f t="shared" ca="1" si="3"/>
        <v>0</v>
      </c>
      <c r="S20" s="41">
        <f ca="1">SUMIFS('Отчет 26-31.01'!P:P,'Отчет 26-31.01'!C:C,"Продажи",'Отчет 26-31.01'!E:E,B20)</f>
        <v>0</v>
      </c>
      <c r="T20" s="42">
        <f ca="1">SUMIFS('Отчет 26-31.01'!P:P,'Отчет 26-31.01'!C:C,"Возвраты",'Отчет 26-31.01'!E:E,B20)</f>
        <v>0</v>
      </c>
      <c r="U20" s="40">
        <f t="shared" ca="1" si="4"/>
        <v>0</v>
      </c>
      <c r="V20" s="43" t="e">
        <f t="shared" ca="1" si="5"/>
        <v>#DIV/0!</v>
      </c>
      <c r="W20" s="44">
        <f t="shared" ca="1" si="6"/>
        <v>0</v>
      </c>
      <c r="X20" s="42">
        <f ca="1">-SUMIFS('Отчет 26-31.01'!P:P,'Отчет 26-31.01'!C:C,"Вознаграждение Ozon",'Отчет 26-31.01'!E:E,B20)</f>
        <v>0</v>
      </c>
      <c r="Y20" s="45">
        <f t="shared" ca="1" si="7"/>
        <v>0</v>
      </c>
      <c r="Z20" s="42">
        <f ca="1">-SUMIFS('Отчет 26-31.01'!P:P,'Отчет 26-31.01'!C:C,"Услуги доставки",'Отчет 26-31.01'!E:E,B20)</f>
        <v>0</v>
      </c>
      <c r="AA20" s="32"/>
      <c r="AB20" s="55"/>
      <c r="AC20" s="42"/>
      <c r="AD20" s="46">
        <f ca="1">U20*1%</f>
        <v>0</v>
      </c>
      <c r="AE20" s="47">
        <f t="shared" ca="1" si="8"/>
        <v>0</v>
      </c>
      <c r="AF20" s="46"/>
      <c r="AG20" s="48">
        <f t="shared" ca="1" si="9"/>
        <v>0</v>
      </c>
      <c r="AH20" s="49">
        <f t="shared" si="10"/>
        <v>932.62</v>
      </c>
      <c r="AI20" s="49">
        <f t="shared" ca="1" si="11"/>
        <v>0</v>
      </c>
      <c r="AJ20" s="49">
        <f t="shared" ca="1" si="12"/>
        <v>0</v>
      </c>
      <c r="AK20" s="49">
        <f t="shared" ca="1" si="13"/>
        <v>0</v>
      </c>
      <c r="AL20" s="49">
        <f t="array" aca="1" ref="AL20" ca="1">_xlfn.IFS(R20=0,AE20,R20&lt;0,AE20/-R20,R20&gt;0,AE20/R20)</f>
        <v>0</v>
      </c>
      <c r="AM20" s="50">
        <f t="shared" ca="1" si="14"/>
        <v>0</v>
      </c>
      <c r="AN20" s="51">
        <f t="shared" ca="1" si="15"/>
        <v>0</v>
      </c>
      <c r="AP20" s="53">
        <f t="shared" ca="1" si="16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7"/>
        <v>0</v>
      </c>
      <c r="O21" s="38">
        <f t="shared" ca="1" si="2"/>
        <v>0</v>
      </c>
      <c r="P21" s="39">
        <f ca="1">SUMIFS('Отчет 26-31.01'!H:H,'Отчет 26-31.01'!D:D,"Выручка",'Отчет 26-31.01'!E:E,B21)</f>
        <v>0</v>
      </c>
      <c r="Q21" s="39">
        <f ca="1">SUMIFS('Отчет 26-31.01'!H:H,'Отчет 26-31.01'!D:D,"Возврат выручки",'Отчет 26-31.01'!E:E,B21)</f>
        <v>0</v>
      </c>
      <c r="R21" s="40">
        <f t="shared" ca="1" si="3"/>
        <v>0</v>
      </c>
      <c r="S21" s="41">
        <f ca="1">SUMIFS('Отчет 26-31.01'!P:P,'Отчет 26-31.01'!C:C,"Продажи",'Отчет 26-31.01'!E:E,B21)</f>
        <v>0</v>
      </c>
      <c r="T21" s="42">
        <f ca="1">SUMIFS('Отчет 26-31.01'!P:P,'Отчет 26-31.01'!C:C,"Возвраты",'Отчет 26-31.01'!E:E,B21)</f>
        <v>0</v>
      </c>
      <c r="U21" s="40">
        <f t="shared" ca="1" si="4"/>
        <v>0</v>
      </c>
      <c r="V21" s="43" t="e">
        <f t="shared" ca="1" si="5"/>
        <v>#DIV/0!</v>
      </c>
      <c r="W21" s="44">
        <f t="shared" ca="1" si="6"/>
        <v>0</v>
      </c>
      <c r="X21" s="42">
        <f ca="1">-SUMIFS('Отчет 26-31.01'!P:P,'Отчет 26-31.01'!C:C,"Вознаграждение Ozon",'Отчет 26-31.01'!E:E,B21)</f>
        <v>0</v>
      </c>
      <c r="Y21" s="45">
        <f t="shared" ca="1" si="7"/>
        <v>0</v>
      </c>
      <c r="Z21" s="42">
        <f ca="1">-SUMIFS('Отчет 26-31.01'!P:P,'Отчет 26-31.01'!C:C,"Услуги доставки",'Отчет 26-31.01'!E:E,B21)</f>
        <v>0</v>
      </c>
      <c r="AA21" s="32"/>
      <c r="AB21" s="55"/>
      <c r="AC21" s="42"/>
      <c r="AD21" s="46">
        <f ca="1">U21*1%</f>
        <v>0</v>
      </c>
      <c r="AE21" s="47">
        <f t="shared" ca="1" si="8"/>
        <v>0</v>
      </c>
      <c r="AF21" s="46"/>
      <c r="AG21" s="48">
        <f t="shared" ca="1" si="9"/>
        <v>0</v>
      </c>
      <c r="AH21" s="49">
        <f t="shared" si="10"/>
        <v>1014.52</v>
      </c>
      <c r="AI21" s="49">
        <f t="shared" ca="1" si="11"/>
        <v>0</v>
      </c>
      <c r="AJ21" s="49">
        <f t="shared" ca="1" si="12"/>
        <v>0</v>
      </c>
      <c r="AK21" s="49">
        <f t="shared" ca="1" si="13"/>
        <v>0</v>
      </c>
      <c r="AL21" s="49">
        <f t="array" aca="1" ref="AL21" ca="1">_xlfn.IFS(R21=0,AE21,R21&lt;0,AE21/-R21,R21&gt;0,AE21/R21)</f>
        <v>0</v>
      </c>
      <c r="AM21" s="50">
        <f t="shared" ca="1" si="14"/>
        <v>0</v>
      </c>
      <c r="AN21" s="51">
        <f t="shared" ca="1" si="15"/>
        <v>0</v>
      </c>
      <c r="AP21" s="53">
        <f t="shared" ca="1" si="16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7"/>
        <v>0</v>
      </c>
      <c r="O22" s="38">
        <f t="shared" ca="1" si="2"/>
        <v>0</v>
      </c>
      <c r="P22" s="39">
        <f ca="1">SUMIFS('Отчет 26-31.01'!H:H,'Отчет 26-31.01'!D:D,"Выручка",'Отчет 26-31.01'!E:E,B22)</f>
        <v>0</v>
      </c>
      <c r="Q22" s="39">
        <f ca="1">SUMIFS('Отчет 26-31.01'!H:H,'Отчет 26-31.01'!D:D,"Возврат выручки",'Отчет 26-31.01'!E:E,B22)</f>
        <v>0</v>
      </c>
      <c r="R22" s="40">
        <f t="shared" ca="1" si="3"/>
        <v>0</v>
      </c>
      <c r="S22" s="41">
        <f ca="1">SUMIFS('Отчет 26-31.01'!P:P,'Отчет 26-31.01'!C:C,"Продажи",'Отчет 26-31.01'!E:E,B22)</f>
        <v>0</v>
      </c>
      <c r="T22" s="42">
        <f ca="1">SUMIFS('Отчет 26-31.01'!P:P,'Отчет 26-31.01'!C:C,"Возвраты",'Отчет 26-31.01'!E:E,B22)</f>
        <v>0</v>
      </c>
      <c r="U22" s="40">
        <f t="shared" ca="1" si="4"/>
        <v>0</v>
      </c>
      <c r="V22" s="43" t="e">
        <f t="shared" ca="1" si="5"/>
        <v>#DIV/0!</v>
      </c>
      <c r="W22" s="44">
        <f t="shared" ca="1" si="6"/>
        <v>0</v>
      </c>
      <c r="X22" s="42">
        <f ca="1">-SUMIFS('Отчет 26-31.01'!P:P,'Отчет 26-31.01'!C:C,"Вознаграждение Ozon",'Отчет 26-31.01'!E:E,B22)</f>
        <v>0</v>
      </c>
      <c r="Y22" s="45">
        <f t="shared" ca="1" si="7"/>
        <v>0</v>
      </c>
      <c r="Z22" s="42">
        <f ca="1">-SUMIFS('Отчет 26-31.01'!P:P,'Отчет 26-31.01'!C:C,"Услуги доставки",'Отчет 26-31.01'!E:E,B22)</f>
        <v>0</v>
      </c>
      <c r="AA22" s="32"/>
      <c r="AB22" s="55"/>
      <c r="AC22" s="42"/>
      <c r="AD22" s="46">
        <f ca="1">U22*1%</f>
        <v>0</v>
      </c>
      <c r="AE22" s="47">
        <f t="shared" ca="1" si="8"/>
        <v>0</v>
      </c>
      <c r="AF22" s="46"/>
      <c r="AG22" s="48">
        <f t="shared" ca="1" si="9"/>
        <v>0</v>
      </c>
      <c r="AH22" s="49">
        <f t="shared" si="10"/>
        <v>1014.52</v>
      </c>
      <c r="AI22" s="49">
        <f t="shared" ca="1" si="11"/>
        <v>0</v>
      </c>
      <c r="AJ22" s="49">
        <f t="shared" ca="1" si="12"/>
        <v>0</v>
      </c>
      <c r="AK22" s="49">
        <f t="shared" ca="1" si="13"/>
        <v>0</v>
      </c>
      <c r="AL22" s="49">
        <f t="array" aca="1" ref="AL22" ca="1">_xlfn.IFS(R22=0,AE22,R22&lt;0,AE22/-R22,R22&gt;0,AE22/R22)</f>
        <v>0</v>
      </c>
      <c r="AM22" s="50">
        <f t="shared" ca="1" si="14"/>
        <v>0</v>
      </c>
      <c r="AN22" s="51">
        <f t="shared" ca="1" si="15"/>
        <v>0</v>
      </c>
      <c r="AP22" s="53">
        <f t="shared" ca="1" si="16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7"/>
        <v>0</v>
      </c>
      <c r="O23" s="38">
        <f t="shared" ca="1" si="2"/>
        <v>0</v>
      </c>
      <c r="P23" s="39">
        <f ca="1">SUMIFS('Отчет 26-31.01'!H:H,'Отчет 26-31.01'!D:D,"Выручка",'Отчет 26-31.01'!E:E,B23)</f>
        <v>0</v>
      </c>
      <c r="Q23" s="39">
        <f ca="1">SUMIFS('Отчет 26-31.01'!H:H,'Отчет 26-31.01'!D:D,"Возврат выручки",'Отчет 26-31.01'!E:E,B23)</f>
        <v>0</v>
      </c>
      <c r="R23" s="40">
        <f t="shared" ca="1" si="3"/>
        <v>0</v>
      </c>
      <c r="S23" s="41">
        <f ca="1">SUMIFS('Отчет 26-31.01'!P:P,'Отчет 26-31.01'!C:C,"Продажи",'Отчет 26-31.01'!E:E,B23)</f>
        <v>0</v>
      </c>
      <c r="T23" s="42">
        <f ca="1">SUMIFS('Отчет 26-31.01'!P:P,'Отчет 26-31.01'!C:C,"Возвраты",'Отчет 26-31.01'!E:E,B23)</f>
        <v>0</v>
      </c>
      <c r="U23" s="40">
        <f t="shared" ca="1" si="4"/>
        <v>0</v>
      </c>
      <c r="V23" s="43" t="e">
        <f t="shared" ca="1" si="5"/>
        <v>#DIV/0!</v>
      </c>
      <c r="W23" s="44">
        <f t="shared" ca="1" si="6"/>
        <v>0</v>
      </c>
      <c r="X23" s="42">
        <f ca="1">-SUMIFS('Отчет 26-31.01'!P:P,'Отчет 26-31.01'!C:C,"Вознаграждение Ozon",'Отчет 26-31.01'!E:E,B23)</f>
        <v>0</v>
      </c>
      <c r="Y23" s="45">
        <f t="shared" ca="1" si="7"/>
        <v>0</v>
      </c>
      <c r="Z23" s="42">
        <f ca="1">-SUMIFS('Отчет 26-31.01'!P:P,'Отчет 26-31.01'!C:C,"Услуги доставки",'Отчет 26-31.01'!E:E,B23)</f>
        <v>0</v>
      </c>
      <c r="AA23" s="32"/>
      <c r="AB23" s="55"/>
      <c r="AC23" s="42"/>
      <c r="AD23" s="46">
        <f ca="1">U23*1%</f>
        <v>0</v>
      </c>
      <c r="AE23" s="47">
        <f t="shared" ca="1" si="8"/>
        <v>0</v>
      </c>
      <c r="AF23" s="46"/>
      <c r="AG23" s="48">
        <f t="shared" ca="1" si="9"/>
        <v>0</v>
      </c>
      <c r="AH23" s="49">
        <f t="shared" si="10"/>
        <v>1014.52</v>
      </c>
      <c r="AI23" s="49">
        <f t="shared" ca="1" si="11"/>
        <v>0</v>
      </c>
      <c r="AJ23" s="49">
        <f t="shared" ca="1" si="12"/>
        <v>0</v>
      </c>
      <c r="AK23" s="49">
        <f t="shared" ca="1" si="13"/>
        <v>0</v>
      </c>
      <c r="AL23" s="49">
        <f t="array" aca="1" ref="AL23" ca="1">_xlfn.IFS(R23=0,AE23,R23&lt;0,AE23/-R23,R23&gt;0,AE23/R23)</f>
        <v>0</v>
      </c>
      <c r="AM23" s="50">
        <f t="shared" ca="1" si="14"/>
        <v>0</v>
      </c>
      <c r="AN23" s="51">
        <f t="shared" ca="1" si="15"/>
        <v>0</v>
      </c>
      <c r="AP23" s="53">
        <f t="shared" ca="1" si="16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7"/>
        <v>0</v>
      </c>
      <c r="O24" s="38">
        <f t="shared" ca="1" si="2"/>
        <v>0</v>
      </c>
      <c r="P24" s="39">
        <f ca="1">SUMIFS('Отчет 26-31.01'!H:H,'Отчет 26-31.01'!D:D,"Выручка",'Отчет 26-31.01'!E:E,B24)</f>
        <v>0</v>
      </c>
      <c r="Q24" s="39">
        <f ca="1">SUMIFS('Отчет 26-31.01'!H:H,'Отчет 26-31.01'!D:D,"Возврат выручки",'Отчет 26-31.01'!E:E,B24)</f>
        <v>0</v>
      </c>
      <c r="R24" s="40">
        <f t="shared" ca="1" si="3"/>
        <v>0</v>
      </c>
      <c r="S24" s="41">
        <f ca="1">SUMIFS('Отчет 26-31.01'!P:P,'Отчет 26-31.01'!C:C,"Продажи",'Отчет 26-31.01'!E:E,B24)</f>
        <v>0</v>
      </c>
      <c r="T24" s="42">
        <f ca="1">SUMIFS('Отчет 26-31.01'!P:P,'Отчет 26-31.01'!C:C,"Возвраты",'Отчет 26-31.01'!E:E,B24)</f>
        <v>0</v>
      </c>
      <c r="U24" s="40">
        <f t="shared" ca="1" si="4"/>
        <v>0</v>
      </c>
      <c r="V24" s="43" t="e">
        <f t="shared" ca="1" si="5"/>
        <v>#DIV/0!</v>
      </c>
      <c r="W24" s="44">
        <f t="shared" ca="1" si="6"/>
        <v>0</v>
      </c>
      <c r="X24" s="42">
        <f ca="1">-SUMIFS('Отчет 26-31.01'!P:P,'Отчет 26-31.01'!C:C,"Вознаграждение Ozon",'Отчет 26-31.01'!E:E,B24)</f>
        <v>0</v>
      </c>
      <c r="Y24" s="45">
        <f t="shared" ca="1" si="7"/>
        <v>0</v>
      </c>
      <c r="Z24" s="42">
        <f ca="1">-SUMIFS('Отчет 26-31.01'!P:P,'Отчет 26-31.01'!C:C,"Услуги доставки",'Отчет 26-31.01'!E:E,B24)</f>
        <v>0</v>
      </c>
      <c r="AA24" s="32"/>
      <c r="AB24" s="55"/>
      <c r="AC24" s="42"/>
      <c r="AD24" s="46">
        <f ca="1">U24*1%</f>
        <v>0</v>
      </c>
      <c r="AE24" s="47">
        <f t="shared" ca="1" si="8"/>
        <v>0</v>
      </c>
      <c r="AF24" s="46"/>
      <c r="AG24" s="48">
        <f t="shared" ca="1" si="9"/>
        <v>0</v>
      </c>
      <c r="AH24" s="49">
        <f t="shared" si="10"/>
        <v>991.12</v>
      </c>
      <c r="AI24" s="49">
        <f t="shared" ca="1" si="11"/>
        <v>0</v>
      </c>
      <c r="AJ24" s="49">
        <f t="shared" ca="1" si="12"/>
        <v>0</v>
      </c>
      <c r="AK24" s="49">
        <f t="shared" ca="1" si="13"/>
        <v>0</v>
      </c>
      <c r="AL24" s="49">
        <f t="array" aca="1" ref="AL24" ca="1">_xlfn.IFS(R24=0,AE24,R24&lt;0,AE24/-R24,R24&gt;0,AE24/R24)</f>
        <v>0</v>
      </c>
      <c r="AM24" s="50">
        <f t="shared" ca="1" si="14"/>
        <v>0</v>
      </c>
      <c r="AN24" s="51">
        <f t="shared" ca="1" si="15"/>
        <v>0</v>
      </c>
      <c r="AP24" s="53">
        <f t="shared" ca="1" si="16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AE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si="19"/>
        <v>0</v>
      </c>
      <c r="AC26" s="64">
        <f t="shared" si="19"/>
        <v>0</v>
      </c>
      <c r="AD26" s="73">
        <f t="shared" ca="1" si="19"/>
        <v>0</v>
      </c>
      <c r="AE26" s="74">
        <f t="shared" ca="1" si="19"/>
        <v>0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/>
      <c r="L28" s="36"/>
      <c r="M28" s="36"/>
      <c r="N28" s="37">
        <f t="shared" ref="N28:N47" si="21">K28/7</f>
        <v>0</v>
      </c>
      <c r="O28" s="38">
        <f t="shared" ref="O28:O47" ca="1" si="22">R28/7</f>
        <v>0</v>
      </c>
      <c r="P28" s="39">
        <f ca="1">SUMIFS('Отчет 26-31.01'!H:H,'Отчет 26-31.01'!D:D,"Выручка",'Отчет 26-31.01'!E:E,B28)</f>
        <v>0</v>
      </c>
      <c r="Q28" s="39">
        <f ca="1">SUMIFS('Отчет 26-31.01'!H:H,'Отчет 26-31.01'!D:D,"Возврат выручки",'Отчет 26-31.01'!E:E,B28)</f>
        <v>0</v>
      </c>
      <c r="R28" s="40">
        <f t="shared" ref="R28:R47" ca="1" si="23">P28-Q28</f>
        <v>0</v>
      </c>
      <c r="S28" s="41">
        <f ca="1">SUMIFS('Отчет 26-31.01'!P:P,'Отчет 26-31.01'!C:C,"Продажи",'Отчет 26-31.01'!E:E,B28)</f>
        <v>0</v>
      </c>
      <c r="T28" s="42">
        <f ca="1">SUMIFS('Отчет 26-31.01'!P:P,'Отчет 26-31.01'!C:C,"Возвраты",'Отчет 26-31.01'!E:E,B28)</f>
        <v>0</v>
      </c>
      <c r="U28" s="40">
        <f t="shared" ref="U28:U47" ca="1" si="24">S28+T28</f>
        <v>0</v>
      </c>
      <c r="V28" s="43" t="e">
        <f t="shared" ref="V28:V47" ca="1" si="25">U28/$U$49</f>
        <v>#DIV/0!</v>
      </c>
      <c r="W28" s="44">
        <f t="shared" ref="W28:W47" ca="1" si="26">R28*H28</f>
        <v>0</v>
      </c>
      <c r="X28" s="42">
        <f ca="1">-SUMIFS('Отчет 26-31.01'!P:P,'Отчет 26-31.01'!C:C,"Вознаграждение Ozon",'Отчет 26-31.01'!E:E,B28)</f>
        <v>0</v>
      </c>
      <c r="Y28" s="45">
        <f t="shared" ref="Y28:Y47" ca="1" si="27">IF(U28=0,0,X28/U28)</f>
        <v>0</v>
      </c>
      <c r="Z28" s="42">
        <f ca="1">-SUMIFS('Отчет 26-31.01'!P:P,'Отчет 26-31.01'!C:C,"Услуги доставки",'Отчет 26-31.01'!E:E,B28)</f>
        <v>0</v>
      </c>
      <c r="AA28" s="32"/>
      <c r="AB28" s="55"/>
      <c r="AC28" s="42"/>
      <c r="AD28" s="46">
        <f ca="1">U28*1%</f>
        <v>0</v>
      </c>
      <c r="AE28" s="47">
        <f t="shared" ref="AE28:AE47" ca="1" si="28">U28-W28-X28-Z28-AA28-AB28-AC28-AD28</f>
        <v>0</v>
      </c>
      <c r="AF28" s="46"/>
      <c r="AG28" s="48">
        <f t="shared" ref="AG28:AG47" ca="1" si="29">IF(R28=0,0,U28/R28)</f>
        <v>0</v>
      </c>
      <c r="AH28" s="49">
        <f t="shared" ref="AH28:AH47" si="30">H28</f>
        <v>672</v>
      </c>
      <c r="AI28" s="49">
        <f t="shared" ref="AI28:AI47" ca="1" si="31">IF(R28=0,0,X28/R28)</f>
        <v>0</v>
      </c>
      <c r="AJ28" s="49">
        <f t="shared" ref="AJ28:AJ47" ca="1" si="32">IF(P28=0,Z28/1,Z28/P28)</f>
        <v>0</v>
      </c>
      <c r="AK28" s="49">
        <f t="shared" ref="AK28:AK47" ca="1" si="33">IF(P28=0,0,AA28/P28)</f>
        <v>0</v>
      </c>
      <c r="AL28" s="49">
        <f t="array" aca="1" ref="AL28" ca="1">_xlfn.IFS(R28=0,AE28,R28&lt;0,AE28/-R28,R28&gt;0,AE28/R28)</f>
        <v>0</v>
      </c>
      <c r="AM28" s="50">
        <f t="shared" ref="AM28:AM47" ca="1" si="34">IF(AG28=0,0,AL28/AG28)</f>
        <v>0</v>
      </c>
      <c r="AN28" s="51">
        <f t="shared" ref="AN28:AN47" ca="1" si="35">IF(AH28=0,0,AL28/AH28)</f>
        <v>0</v>
      </c>
      <c r="AP28" s="53">
        <f t="shared" ref="AP28:AP47" ca="1" si="36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/>
      <c r="L29" s="36"/>
      <c r="M29" s="36"/>
      <c r="N29" s="37">
        <f t="shared" si="21"/>
        <v>0</v>
      </c>
      <c r="O29" s="38">
        <f t="shared" ca="1" si="22"/>
        <v>0</v>
      </c>
      <c r="P29" s="39">
        <f ca="1">SUMIFS('Отчет 26-31.01'!H:H,'Отчет 26-31.01'!D:D,"Выручка",'Отчет 26-31.01'!E:E,B29)</f>
        <v>0</v>
      </c>
      <c r="Q29" s="39">
        <f ca="1">SUMIFS('Отчет 26-31.01'!H:H,'Отчет 26-31.01'!D:D,"Возврат выручки",'Отчет 26-31.01'!E:E,B29)</f>
        <v>0</v>
      </c>
      <c r="R29" s="40">
        <f t="shared" ca="1" si="23"/>
        <v>0</v>
      </c>
      <c r="S29" s="41">
        <f ca="1">SUMIFS('Отчет 26-31.01'!P:P,'Отчет 26-31.01'!C:C,"Продажи",'Отчет 26-31.01'!E:E,B29)</f>
        <v>0</v>
      </c>
      <c r="T29" s="42">
        <f ca="1">SUMIFS('Отчет 26-31.01'!P:P,'Отчет 26-31.01'!C:C,"Возвраты",'Отчет 26-31.01'!E:E,B29)</f>
        <v>0</v>
      </c>
      <c r="U29" s="40">
        <f t="shared" ca="1" si="24"/>
        <v>0</v>
      </c>
      <c r="V29" s="43" t="e">
        <f t="shared" ca="1" si="25"/>
        <v>#DIV/0!</v>
      </c>
      <c r="W29" s="44">
        <f t="shared" ca="1" si="26"/>
        <v>0</v>
      </c>
      <c r="X29" s="42">
        <f ca="1">-SUMIFS('Отчет 26-31.01'!P:P,'Отчет 26-31.01'!C:C,"Вознаграждение Ozon",'Отчет 26-31.01'!E:E,B29)</f>
        <v>0</v>
      </c>
      <c r="Y29" s="45">
        <f t="shared" ca="1" si="27"/>
        <v>0</v>
      </c>
      <c r="Z29" s="42">
        <f ca="1">-SUMIFS('Отчет 26-31.01'!P:P,'Отчет 26-31.01'!C:C,"Услуги доставки",'Отчет 26-31.01'!E:E,B29)</f>
        <v>0</v>
      </c>
      <c r="AA29" s="32"/>
      <c r="AB29" s="55"/>
      <c r="AC29" s="42"/>
      <c r="AD29" s="46">
        <f ca="1">U29*1%</f>
        <v>0</v>
      </c>
      <c r="AE29" s="47">
        <f t="shared" ca="1" si="28"/>
        <v>0</v>
      </c>
      <c r="AF29" s="46"/>
      <c r="AG29" s="48">
        <f t="shared" ca="1" si="29"/>
        <v>0</v>
      </c>
      <c r="AH29" s="49">
        <f t="shared" si="30"/>
        <v>627</v>
      </c>
      <c r="AI29" s="49">
        <f t="shared" ca="1" si="31"/>
        <v>0</v>
      </c>
      <c r="AJ29" s="49">
        <f t="shared" ca="1" si="32"/>
        <v>0</v>
      </c>
      <c r="AK29" s="49">
        <f t="shared" ca="1" si="33"/>
        <v>0</v>
      </c>
      <c r="AL29" s="49">
        <f t="array" aca="1" ref="AL29" ca="1">_xlfn.IFS(R29=0,AE29,R29&lt;0,AE29/-R29,R29&gt;0,AE29/R29)</f>
        <v>0</v>
      </c>
      <c r="AM29" s="50">
        <f t="shared" ca="1" si="34"/>
        <v>0</v>
      </c>
      <c r="AN29" s="51">
        <f t="shared" ca="1" si="35"/>
        <v>0</v>
      </c>
      <c r="AP29" s="53">
        <f t="shared" ca="1" si="36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/>
      <c r="L30" s="36"/>
      <c r="M30" s="36"/>
      <c r="N30" s="37">
        <f t="shared" si="21"/>
        <v>0</v>
      </c>
      <c r="O30" s="38">
        <f t="shared" ca="1" si="22"/>
        <v>0</v>
      </c>
      <c r="P30" s="39">
        <f ca="1">SUMIFS('Отчет 26-31.01'!H:H,'Отчет 26-31.01'!D:D,"Выручка",'Отчет 26-31.01'!E:E,B30)</f>
        <v>0</v>
      </c>
      <c r="Q30" s="39">
        <f ca="1">SUMIFS('Отчет 26-31.01'!H:H,'Отчет 26-31.01'!D:D,"Возврат выручки",'Отчет 26-31.01'!E:E,B30)</f>
        <v>0</v>
      </c>
      <c r="R30" s="40">
        <f t="shared" ca="1" si="23"/>
        <v>0</v>
      </c>
      <c r="S30" s="41">
        <f ca="1">SUMIFS('Отчет 26-31.01'!P:P,'Отчет 26-31.01'!C:C,"Продажи",'Отчет 26-31.01'!E:E,B30)</f>
        <v>0</v>
      </c>
      <c r="T30" s="42">
        <f ca="1">SUMIFS('Отчет 26-31.01'!P:P,'Отчет 26-31.01'!C:C,"Возвраты",'Отчет 26-31.01'!E:E,B30)</f>
        <v>0</v>
      </c>
      <c r="U30" s="40">
        <f t="shared" ca="1" si="24"/>
        <v>0</v>
      </c>
      <c r="V30" s="43" t="e">
        <f t="shared" ca="1" si="25"/>
        <v>#DIV/0!</v>
      </c>
      <c r="W30" s="44">
        <f t="shared" ca="1" si="26"/>
        <v>0</v>
      </c>
      <c r="X30" s="42">
        <f ca="1">-SUMIFS('Отчет 26-31.01'!P:P,'Отчет 26-31.01'!C:C,"Вознаграждение Ozon",'Отчет 26-31.01'!E:E,B30)</f>
        <v>0</v>
      </c>
      <c r="Y30" s="45">
        <f t="shared" ca="1" si="27"/>
        <v>0</v>
      </c>
      <c r="Z30" s="42">
        <f ca="1">-SUMIFS('Отчет 26-31.01'!P:P,'Отчет 26-31.01'!C:C,"Услуги доставки",'Отчет 26-31.01'!E:E,B30)</f>
        <v>0</v>
      </c>
      <c r="AA30" s="32"/>
      <c r="AB30" s="55"/>
      <c r="AC30" s="42"/>
      <c r="AD30" s="46">
        <f ca="1">U30*1%</f>
        <v>0</v>
      </c>
      <c r="AE30" s="47">
        <f t="shared" ca="1" si="28"/>
        <v>0</v>
      </c>
      <c r="AF30" s="46"/>
      <c r="AG30" s="48">
        <f t="shared" ca="1" si="29"/>
        <v>0</v>
      </c>
      <c r="AH30" s="49">
        <f t="shared" si="30"/>
        <v>627</v>
      </c>
      <c r="AI30" s="49">
        <f t="shared" ca="1" si="31"/>
        <v>0</v>
      </c>
      <c r="AJ30" s="49">
        <f t="shared" ca="1" si="32"/>
        <v>0</v>
      </c>
      <c r="AK30" s="49">
        <f t="shared" ca="1" si="33"/>
        <v>0</v>
      </c>
      <c r="AL30" s="49">
        <f t="array" aca="1" ref="AL30" ca="1">_xlfn.IFS(R30=0,AE30,R30&lt;0,AE30/-R30,R30&gt;0,AE30/R30)</f>
        <v>0</v>
      </c>
      <c r="AM30" s="50">
        <f t="shared" ca="1" si="34"/>
        <v>0</v>
      </c>
      <c r="AN30" s="51">
        <f t="shared" ca="1" si="35"/>
        <v>0</v>
      </c>
      <c r="AP30" s="53">
        <f t="shared" ca="1" si="36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/>
      <c r="L31" s="36"/>
      <c r="M31" s="36"/>
      <c r="N31" s="37">
        <f t="shared" si="21"/>
        <v>0</v>
      </c>
      <c r="O31" s="38">
        <f t="shared" ca="1" si="22"/>
        <v>0</v>
      </c>
      <c r="P31" s="39">
        <f ca="1">SUMIFS('Отчет 26-31.01'!H:H,'Отчет 26-31.01'!D:D,"Выручка",'Отчет 26-31.01'!E:E,B31)</f>
        <v>0</v>
      </c>
      <c r="Q31" s="39">
        <f ca="1">SUMIFS('Отчет 26-31.01'!H:H,'Отчет 26-31.01'!D:D,"Возврат выручки",'Отчет 26-31.01'!E:E,B31)</f>
        <v>0</v>
      </c>
      <c r="R31" s="40">
        <f t="shared" ca="1" si="23"/>
        <v>0</v>
      </c>
      <c r="S31" s="41">
        <f ca="1">SUMIFS('Отчет 26-31.01'!P:P,'Отчет 26-31.01'!C:C,"Продажи",'Отчет 26-31.01'!E:E,B31)</f>
        <v>0</v>
      </c>
      <c r="T31" s="42">
        <f ca="1">SUMIFS('Отчет 26-31.01'!P:P,'Отчет 26-31.01'!C:C,"Возвраты",'Отчет 26-31.01'!E:E,B31)</f>
        <v>0</v>
      </c>
      <c r="U31" s="40">
        <f t="shared" ca="1" si="24"/>
        <v>0</v>
      </c>
      <c r="V31" s="43" t="e">
        <f t="shared" ca="1" si="25"/>
        <v>#DIV/0!</v>
      </c>
      <c r="W31" s="44">
        <f t="shared" ca="1" si="26"/>
        <v>0</v>
      </c>
      <c r="X31" s="42">
        <f ca="1">-SUMIFS('Отчет 26-31.01'!P:P,'Отчет 26-31.01'!C:C,"Вознаграждение Ozon",'Отчет 26-31.01'!E:E,B31)</f>
        <v>0</v>
      </c>
      <c r="Y31" s="45">
        <f t="shared" ca="1" si="27"/>
        <v>0</v>
      </c>
      <c r="Z31" s="42">
        <f ca="1">-SUMIFS('Отчет 26-31.01'!P:P,'Отчет 26-31.01'!C:C,"Услуги доставки",'Отчет 26-31.01'!E:E,B31)</f>
        <v>0</v>
      </c>
      <c r="AA31" s="32"/>
      <c r="AB31" s="55"/>
      <c r="AC31" s="42"/>
      <c r="AD31" s="46">
        <f ca="1">U31*1%</f>
        <v>0</v>
      </c>
      <c r="AE31" s="47">
        <f t="shared" ca="1" si="28"/>
        <v>0</v>
      </c>
      <c r="AF31" s="46"/>
      <c r="AG31" s="48">
        <f t="shared" ca="1" si="29"/>
        <v>0</v>
      </c>
      <c r="AH31" s="49">
        <f t="shared" si="30"/>
        <v>567</v>
      </c>
      <c r="AI31" s="49">
        <f t="shared" ca="1" si="31"/>
        <v>0</v>
      </c>
      <c r="AJ31" s="49">
        <f t="shared" ca="1" si="32"/>
        <v>0</v>
      </c>
      <c r="AK31" s="49">
        <f t="shared" ca="1" si="33"/>
        <v>0</v>
      </c>
      <c r="AL31" s="49">
        <f t="array" aca="1" ref="AL31" ca="1">_xlfn.IFS(R31=0,AE31,R31&lt;0,AE31/-R31,R31&gt;0,AE31/R31)</f>
        <v>0</v>
      </c>
      <c r="AM31" s="50">
        <f t="shared" ca="1" si="34"/>
        <v>0</v>
      </c>
      <c r="AN31" s="51">
        <f t="shared" ca="1" si="35"/>
        <v>0</v>
      </c>
      <c r="AP31" s="53">
        <f t="shared" ca="1" si="36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/>
      <c r="L32" s="36"/>
      <c r="M32" s="36"/>
      <c r="N32" s="37">
        <f t="shared" si="21"/>
        <v>0</v>
      </c>
      <c r="O32" s="38">
        <f t="shared" ca="1" si="22"/>
        <v>0</v>
      </c>
      <c r="P32" s="39">
        <f ca="1">SUMIFS('Отчет 26-31.01'!H:H,'Отчет 26-31.01'!D:D,"Выручка",'Отчет 26-31.01'!E:E,B32)</f>
        <v>0</v>
      </c>
      <c r="Q32" s="39">
        <f ca="1">SUMIFS('Отчет 26-31.01'!H:H,'Отчет 26-31.01'!D:D,"Возврат выручки",'Отчет 26-31.01'!E:E,B32)</f>
        <v>0</v>
      </c>
      <c r="R32" s="40">
        <f t="shared" ca="1" si="23"/>
        <v>0</v>
      </c>
      <c r="S32" s="41">
        <f ca="1">SUMIFS('Отчет 26-31.01'!P:P,'Отчет 26-31.01'!C:C,"Продажи",'Отчет 26-31.01'!E:E,B32)</f>
        <v>0</v>
      </c>
      <c r="T32" s="42">
        <f ca="1">SUMIFS('Отчет 26-31.01'!P:P,'Отчет 26-31.01'!C:C,"Возвраты",'Отчет 26-31.01'!E:E,B32)</f>
        <v>0</v>
      </c>
      <c r="U32" s="40">
        <f t="shared" ca="1" si="24"/>
        <v>0</v>
      </c>
      <c r="V32" s="43" t="e">
        <f t="shared" ca="1" si="25"/>
        <v>#DIV/0!</v>
      </c>
      <c r="W32" s="44">
        <f t="shared" ca="1" si="26"/>
        <v>0</v>
      </c>
      <c r="X32" s="42">
        <f ca="1">-SUMIFS('Отчет 26-31.01'!P:P,'Отчет 26-31.01'!C:C,"Вознаграждение Ozon",'Отчет 26-31.01'!E:E,B32)</f>
        <v>0</v>
      </c>
      <c r="Y32" s="45">
        <f t="shared" ca="1" si="27"/>
        <v>0</v>
      </c>
      <c r="Z32" s="42">
        <f ca="1">-SUMIFS('Отчет 26-31.01'!P:P,'Отчет 26-31.01'!C:C,"Услуги доставки",'Отчет 26-31.01'!E:E,B32)</f>
        <v>0</v>
      </c>
      <c r="AA32" s="32"/>
      <c r="AB32" s="55"/>
      <c r="AC32" s="42"/>
      <c r="AD32" s="46">
        <f ca="1">U32*1%</f>
        <v>0</v>
      </c>
      <c r="AE32" s="47">
        <f t="shared" ca="1" si="28"/>
        <v>0</v>
      </c>
      <c r="AF32" s="46"/>
      <c r="AG32" s="48">
        <f t="shared" ca="1" si="29"/>
        <v>0</v>
      </c>
      <c r="AH32" s="49">
        <f t="shared" si="30"/>
        <v>567</v>
      </c>
      <c r="AI32" s="49">
        <f t="shared" ca="1" si="31"/>
        <v>0</v>
      </c>
      <c r="AJ32" s="49">
        <f t="shared" ca="1" si="32"/>
        <v>0</v>
      </c>
      <c r="AK32" s="49">
        <f t="shared" ca="1" si="33"/>
        <v>0</v>
      </c>
      <c r="AL32" s="49">
        <f t="array" aca="1" ref="AL32" ca="1">_xlfn.IFS(R32=0,AE32,R32&lt;0,AE32/-R32,R32&gt;0,AE32/R32)</f>
        <v>0</v>
      </c>
      <c r="AM32" s="50">
        <f t="shared" ca="1" si="34"/>
        <v>0</v>
      </c>
      <c r="AN32" s="51">
        <f t="shared" ca="1" si="35"/>
        <v>0</v>
      </c>
      <c r="AP32" s="53">
        <f t="shared" ca="1" si="36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/>
      <c r="L33" s="36"/>
      <c r="M33" s="36"/>
      <c r="N33" s="37">
        <f t="shared" si="21"/>
        <v>0</v>
      </c>
      <c r="O33" s="38">
        <f t="shared" ca="1" si="22"/>
        <v>0</v>
      </c>
      <c r="P33" s="39">
        <f ca="1">SUMIFS('Отчет 26-31.01'!H:H,'Отчет 26-31.01'!D:D,"Выручка",'Отчет 26-31.01'!E:E,B33)</f>
        <v>0</v>
      </c>
      <c r="Q33" s="39">
        <f ca="1">SUMIFS('Отчет 26-31.01'!H:H,'Отчет 26-31.01'!D:D,"Возврат выручки",'Отчет 26-31.01'!E:E,B33)</f>
        <v>0</v>
      </c>
      <c r="R33" s="40">
        <f t="shared" ca="1" si="23"/>
        <v>0</v>
      </c>
      <c r="S33" s="41">
        <f ca="1">SUMIFS('Отчет 26-31.01'!P:P,'Отчет 26-31.01'!C:C,"Продажи",'Отчет 26-31.01'!E:E,B33)</f>
        <v>0</v>
      </c>
      <c r="T33" s="42">
        <f ca="1">SUMIFS('Отчет 26-31.01'!P:P,'Отчет 26-31.01'!C:C,"Возвраты",'Отчет 26-31.01'!E:E,B33)</f>
        <v>0</v>
      </c>
      <c r="U33" s="40">
        <f t="shared" ca="1" si="24"/>
        <v>0</v>
      </c>
      <c r="V33" s="43" t="e">
        <f t="shared" ca="1" si="25"/>
        <v>#DIV/0!</v>
      </c>
      <c r="W33" s="44">
        <f t="shared" ca="1" si="26"/>
        <v>0</v>
      </c>
      <c r="X33" s="42">
        <f ca="1">-SUMIFS('Отчет 26-31.01'!P:P,'Отчет 26-31.01'!C:C,"Вознаграждение Ozon",'Отчет 26-31.01'!E:E,B33)</f>
        <v>0</v>
      </c>
      <c r="Y33" s="45">
        <f t="shared" ca="1" si="27"/>
        <v>0</v>
      </c>
      <c r="Z33" s="42">
        <f ca="1">-SUMIFS('Отчет 26-31.01'!P:P,'Отчет 26-31.01'!C:C,"Услуги доставки",'Отчет 26-31.01'!E:E,B33)</f>
        <v>0</v>
      </c>
      <c r="AA33" s="32"/>
      <c r="AB33" s="55"/>
      <c r="AC33" s="42"/>
      <c r="AD33" s="46">
        <f ca="1">U33*1%</f>
        <v>0</v>
      </c>
      <c r="AE33" s="47">
        <f t="shared" ca="1" si="28"/>
        <v>0</v>
      </c>
      <c r="AF33" s="46"/>
      <c r="AG33" s="48">
        <f t="shared" ca="1" si="29"/>
        <v>0</v>
      </c>
      <c r="AH33" s="49">
        <f t="shared" si="30"/>
        <v>657</v>
      </c>
      <c r="AI33" s="49">
        <f t="shared" ca="1" si="31"/>
        <v>0</v>
      </c>
      <c r="AJ33" s="49">
        <f t="shared" ca="1" si="32"/>
        <v>0</v>
      </c>
      <c r="AK33" s="49">
        <f t="shared" ca="1" si="33"/>
        <v>0</v>
      </c>
      <c r="AL33" s="49">
        <f t="array" aca="1" ref="AL33" ca="1">_xlfn.IFS(R33=0,AE33,R33&lt;0,AE33/-R33,R33&gt;0,AE33/R33)</f>
        <v>0</v>
      </c>
      <c r="AM33" s="50">
        <f t="shared" ca="1" si="34"/>
        <v>0</v>
      </c>
      <c r="AN33" s="51">
        <f t="shared" ca="1" si="35"/>
        <v>0</v>
      </c>
      <c r="AP33" s="53">
        <f t="shared" ca="1" si="36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/>
      <c r="L34" s="36"/>
      <c r="M34" s="36"/>
      <c r="N34" s="37">
        <f t="shared" si="21"/>
        <v>0</v>
      </c>
      <c r="O34" s="38">
        <f t="shared" ca="1" si="22"/>
        <v>0</v>
      </c>
      <c r="P34" s="39">
        <f ca="1">SUMIFS('Отчет 26-31.01'!H:H,'Отчет 26-31.01'!D:D,"Выручка",'Отчет 26-31.01'!E:E,B34)</f>
        <v>0</v>
      </c>
      <c r="Q34" s="39">
        <f ca="1">SUMIFS('Отчет 26-31.01'!H:H,'Отчет 26-31.01'!D:D,"Возврат выручки",'Отчет 26-31.01'!E:E,B34)</f>
        <v>0</v>
      </c>
      <c r="R34" s="40">
        <f t="shared" ca="1" si="23"/>
        <v>0</v>
      </c>
      <c r="S34" s="41">
        <f ca="1">SUMIFS('Отчет 26-31.01'!P:P,'Отчет 26-31.01'!C:C,"Продажи",'Отчет 26-31.01'!E:E,B34)</f>
        <v>0</v>
      </c>
      <c r="T34" s="42">
        <f ca="1">SUMIFS('Отчет 26-31.01'!P:P,'Отчет 26-31.01'!C:C,"Возвраты",'Отчет 26-31.01'!E:E,B34)</f>
        <v>0</v>
      </c>
      <c r="U34" s="40">
        <f t="shared" ca="1" si="24"/>
        <v>0</v>
      </c>
      <c r="V34" s="43" t="e">
        <f t="shared" ca="1" si="25"/>
        <v>#DIV/0!</v>
      </c>
      <c r="W34" s="44">
        <f t="shared" ca="1" si="26"/>
        <v>0</v>
      </c>
      <c r="X34" s="42">
        <f ca="1">-SUMIFS('Отчет 26-31.01'!P:P,'Отчет 26-31.01'!C:C,"Вознаграждение Ozon",'Отчет 26-31.01'!E:E,B34)</f>
        <v>0</v>
      </c>
      <c r="Y34" s="45">
        <f t="shared" ca="1" si="27"/>
        <v>0</v>
      </c>
      <c r="Z34" s="42">
        <f ca="1">-SUMIFS('Отчет 26-31.01'!P:P,'Отчет 26-31.01'!C:C,"Услуги доставки",'Отчет 26-31.01'!E:E,B34)</f>
        <v>0</v>
      </c>
      <c r="AA34" s="32"/>
      <c r="AB34" s="55"/>
      <c r="AC34" s="42"/>
      <c r="AD34" s="46">
        <f ca="1">U34*1%</f>
        <v>0</v>
      </c>
      <c r="AE34" s="47">
        <f t="shared" ca="1" si="28"/>
        <v>0</v>
      </c>
      <c r="AF34" s="46"/>
      <c r="AG34" s="48">
        <f t="shared" ca="1" si="29"/>
        <v>0</v>
      </c>
      <c r="AH34" s="49">
        <f t="shared" si="30"/>
        <v>597</v>
      </c>
      <c r="AI34" s="49">
        <f t="shared" ca="1" si="31"/>
        <v>0</v>
      </c>
      <c r="AJ34" s="49">
        <f t="shared" ca="1" si="32"/>
        <v>0</v>
      </c>
      <c r="AK34" s="49">
        <f t="shared" ca="1" si="33"/>
        <v>0</v>
      </c>
      <c r="AL34" s="49">
        <f t="array" aca="1" ref="AL34" ca="1">_xlfn.IFS(R34=0,AE34,R34&lt;0,AE34/-R34,R34&gt;0,AE34/R34)</f>
        <v>0</v>
      </c>
      <c r="AM34" s="50">
        <f t="shared" ca="1" si="34"/>
        <v>0</v>
      </c>
      <c r="AN34" s="51">
        <f t="shared" ca="1" si="35"/>
        <v>0</v>
      </c>
      <c r="AP34" s="53">
        <f t="shared" ca="1" si="36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/>
      <c r="L35" s="36"/>
      <c r="M35" s="36"/>
      <c r="N35" s="37">
        <f t="shared" si="21"/>
        <v>0</v>
      </c>
      <c r="O35" s="38">
        <f t="shared" ca="1" si="22"/>
        <v>0</v>
      </c>
      <c r="P35" s="39">
        <f ca="1">SUMIFS('Отчет 26-31.01'!H:H,'Отчет 26-31.01'!D:D,"Выручка",'Отчет 26-31.01'!E:E,B35)</f>
        <v>0</v>
      </c>
      <c r="Q35" s="39">
        <f ca="1">SUMIFS('Отчет 26-31.01'!H:H,'Отчет 26-31.01'!D:D,"Возврат выручки",'Отчет 26-31.01'!E:E,B35)</f>
        <v>0</v>
      </c>
      <c r="R35" s="40">
        <f t="shared" ca="1" si="23"/>
        <v>0</v>
      </c>
      <c r="S35" s="41">
        <f ca="1">SUMIFS('Отчет 26-31.01'!P:P,'Отчет 26-31.01'!C:C,"Продажи",'Отчет 26-31.01'!E:E,B35)</f>
        <v>0</v>
      </c>
      <c r="T35" s="42">
        <f ca="1">SUMIFS('Отчет 26-31.01'!P:P,'Отчет 26-31.01'!C:C,"Возвраты",'Отчет 26-31.01'!E:E,B35)</f>
        <v>0</v>
      </c>
      <c r="U35" s="40">
        <f t="shared" ca="1" si="24"/>
        <v>0</v>
      </c>
      <c r="V35" s="43" t="e">
        <f t="shared" ca="1" si="25"/>
        <v>#DIV/0!</v>
      </c>
      <c r="W35" s="44">
        <f t="shared" ca="1" si="26"/>
        <v>0</v>
      </c>
      <c r="X35" s="42">
        <f ca="1">-SUMIFS('Отчет 26-31.01'!P:P,'Отчет 26-31.01'!C:C,"Вознаграждение Ozon",'Отчет 26-31.01'!E:E,B35)</f>
        <v>0</v>
      </c>
      <c r="Y35" s="45">
        <f t="shared" ca="1" si="27"/>
        <v>0</v>
      </c>
      <c r="Z35" s="42">
        <f ca="1">-SUMIFS('Отчет 26-31.01'!P:P,'Отчет 26-31.01'!C:C,"Услуги доставки",'Отчет 26-31.01'!E:E,B35)</f>
        <v>0</v>
      </c>
      <c r="AA35" s="32"/>
      <c r="AB35" s="55"/>
      <c r="AC35" s="42"/>
      <c r="AD35" s="46">
        <f ca="1">U35*1%</f>
        <v>0</v>
      </c>
      <c r="AE35" s="47">
        <f t="shared" ca="1" si="28"/>
        <v>0</v>
      </c>
      <c r="AF35" s="46"/>
      <c r="AG35" s="48">
        <f t="shared" ca="1" si="29"/>
        <v>0</v>
      </c>
      <c r="AH35" s="49">
        <f t="shared" si="30"/>
        <v>552</v>
      </c>
      <c r="AI35" s="49">
        <f t="shared" ca="1" si="31"/>
        <v>0</v>
      </c>
      <c r="AJ35" s="49">
        <f t="shared" ca="1" si="32"/>
        <v>0</v>
      </c>
      <c r="AK35" s="49">
        <f t="shared" ca="1" si="33"/>
        <v>0</v>
      </c>
      <c r="AL35" s="49">
        <f t="array" aca="1" ref="AL35" ca="1">_xlfn.IFS(R35=0,AE35,R35&lt;0,AE35/-R35,R35&gt;0,AE35/R35)</f>
        <v>0</v>
      </c>
      <c r="AM35" s="50">
        <f t="shared" ca="1" si="34"/>
        <v>0</v>
      </c>
      <c r="AN35" s="51">
        <f t="shared" ca="1" si="35"/>
        <v>0</v>
      </c>
      <c r="AP35" s="53">
        <f t="shared" ca="1" si="36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/>
      <c r="L36" s="36"/>
      <c r="M36" s="36"/>
      <c r="N36" s="37">
        <f t="shared" si="21"/>
        <v>0</v>
      </c>
      <c r="O36" s="38">
        <f t="shared" ca="1" si="22"/>
        <v>0</v>
      </c>
      <c r="P36" s="39">
        <f ca="1">SUMIFS('Отчет 26-31.01'!H:H,'Отчет 26-31.01'!D:D,"Выручка",'Отчет 26-31.01'!E:E,B36)</f>
        <v>0</v>
      </c>
      <c r="Q36" s="39">
        <f ca="1">SUMIFS('Отчет 26-31.01'!H:H,'Отчет 26-31.01'!D:D,"Возврат выручки",'Отчет 26-31.01'!E:E,B36)</f>
        <v>0</v>
      </c>
      <c r="R36" s="40">
        <f t="shared" ca="1" si="23"/>
        <v>0</v>
      </c>
      <c r="S36" s="41">
        <f ca="1">SUMIFS('Отчет 26-31.01'!P:P,'Отчет 26-31.01'!C:C,"Продажи",'Отчет 26-31.01'!E:E,B36)</f>
        <v>0</v>
      </c>
      <c r="T36" s="42">
        <f ca="1">SUMIFS('Отчет 26-31.01'!P:P,'Отчет 26-31.01'!C:C,"Возвраты",'Отчет 26-31.01'!E:E,B36)</f>
        <v>0</v>
      </c>
      <c r="U36" s="40">
        <f t="shared" ca="1" si="24"/>
        <v>0</v>
      </c>
      <c r="V36" s="43" t="e">
        <f t="shared" ca="1" si="25"/>
        <v>#DIV/0!</v>
      </c>
      <c r="W36" s="44">
        <f t="shared" ca="1" si="26"/>
        <v>0</v>
      </c>
      <c r="X36" s="42">
        <f ca="1">-SUMIFS('Отчет 26-31.01'!P:P,'Отчет 26-31.01'!C:C,"Вознаграждение Ozon",'Отчет 26-31.01'!E:E,B36)</f>
        <v>0</v>
      </c>
      <c r="Y36" s="45">
        <f t="shared" ca="1" si="27"/>
        <v>0</v>
      </c>
      <c r="Z36" s="42">
        <f ca="1">-SUMIFS('Отчет 26-31.01'!P:P,'Отчет 26-31.01'!C:C,"Услуги доставки",'Отчет 26-31.01'!E:E,B36)</f>
        <v>0</v>
      </c>
      <c r="AA36" s="32"/>
      <c r="AB36" s="55"/>
      <c r="AC36" s="42"/>
      <c r="AD36" s="46">
        <f ca="1">U36*1%</f>
        <v>0</v>
      </c>
      <c r="AE36" s="47">
        <f t="shared" ca="1" si="28"/>
        <v>0</v>
      </c>
      <c r="AF36" s="46"/>
      <c r="AG36" s="48">
        <f t="shared" ca="1" si="29"/>
        <v>0</v>
      </c>
      <c r="AH36" s="49">
        <f t="shared" si="30"/>
        <v>552</v>
      </c>
      <c r="AI36" s="49">
        <f t="shared" ca="1" si="31"/>
        <v>0</v>
      </c>
      <c r="AJ36" s="49">
        <f t="shared" ca="1" si="32"/>
        <v>0</v>
      </c>
      <c r="AK36" s="49">
        <f t="shared" ca="1" si="33"/>
        <v>0</v>
      </c>
      <c r="AL36" s="49">
        <f t="array" aca="1" ref="AL36" ca="1">_xlfn.IFS(R36=0,AE36,R36&lt;0,AE36/-R36,R36&gt;0,AE36/R36)</f>
        <v>0</v>
      </c>
      <c r="AM36" s="50">
        <f t="shared" ca="1" si="34"/>
        <v>0</v>
      </c>
      <c r="AN36" s="51">
        <f t="shared" ca="1" si="35"/>
        <v>0</v>
      </c>
      <c r="AP36" s="53">
        <f t="shared" ca="1" si="36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/>
      <c r="L37" s="36"/>
      <c r="M37" s="36"/>
      <c r="N37" s="37">
        <f t="shared" si="21"/>
        <v>0</v>
      </c>
      <c r="O37" s="38">
        <f t="shared" ca="1" si="22"/>
        <v>0</v>
      </c>
      <c r="P37" s="39">
        <f ca="1">SUMIFS('Отчет 26-31.01'!H:H,'Отчет 26-31.01'!D:D,"Выручка",'Отчет 26-31.01'!E:E,B37)</f>
        <v>0</v>
      </c>
      <c r="Q37" s="39">
        <f ca="1">SUMIFS('Отчет 26-31.01'!H:H,'Отчет 26-31.01'!D:D,"Возврат выручки",'Отчет 26-31.01'!E:E,B37)</f>
        <v>0</v>
      </c>
      <c r="R37" s="40">
        <f t="shared" ca="1" si="23"/>
        <v>0</v>
      </c>
      <c r="S37" s="41">
        <f ca="1">SUMIFS('Отчет 26-31.01'!P:P,'Отчет 26-31.01'!C:C,"Продажи",'Отчет 26-31.01'!E:E,B37)</f>
        <v>0</v>
      </c>
      <c r="T37" s="42">
        <f ca="1">SUMIFS('Отчет 26-31.01'!P:P,'Отчет 26-31.01'!C:C,"Возвраты",'Отчет 26-31.01'!E:E,B37)</f>
        <v>0</v>
      </c>
      <c r="U37" s="40">
        <f t="shared" ca="1" si="24"/>
        <v>0</v>
      </c>
      <c r="V37" s="43" t="e">
        <f t="shared" ca="1" si="25"/>
        <v>#DIV/0!</v>
      </c>
      <c r="W37" s="44">
        <f t="shared" ca="1" si="26"/>
        <v>0</v>
      </c>
      <c r="X37" s="42">
        <f ca="1">-SUMIFS('Отчет 26-31.01'!P:P,'Отчет 26-31.01'!C:C,"Вознаграждение Ozon",'Отчет 26-31.01'!E:E,B37)</f>
        <v>0</v>
      </c>
      <c r="Y37" s="45">
        <f t="shared" ca="1" si="27"/>
        <v>0</v>
      </c>
      <c r="Z37" s="42">
        <f ca="1">-SUMIFS('Отчет 26-31.01'!P:P,'Отчет 26-31.01'!C:C,"Услуги доставки",'Отчет 26-31.01'!E:E,B37)</f>
        <v>0</v>
      </c>
      <c r="AA37" s="32"/>
      <c r="AB37" s="55"/>
      <c r="AC37" s="42"/>
      <c r="AD37" s="46">
        <f ca="1">U37*1%</f>
        <v>0</v>
      </c>
      <c r="AE37" s="47">
        <f t="shared" ca="1" si="28"/>
        <v>0</v>
      </c>
      <c r="AF37" s="46"/>
      <c r="AG37" s="48">
        <f t="shared" ca="1" si="29"/>
        <v>0</v>
      </c>
      <c r="AH37" s="49">
        <f t="shared" si="30"/>
        <v>687</v>
      </c>
      <c r="AI37" s="49">
        <f t="shared" ca="1" si="31"/>
        <v>0</v>
      </c>
      <c r="AJ37" s="49">
        <f t="shared" ca="1" si="32"/>
        <v>0</v>
      </c>
      <c r="AK37" s="49">
        <f t="shared" ca="1" si="33"/>
        <v>0</v>
      </c>
      <c r="AL37" s="49">
        <f t="array" aca="1" ref="AL37" ca="1">_xlfn.IFS(R37=0,AE37,R37&lt;0,AE37/-R37,R37&gt;0,AE37/R37)</f>
        <v>0</v>
      </c>
      <c r="AM37" s="50">
        <f t="shared" ca="1" si="34"/>
        <v>0</v>
      </c>
      <c r="AN37" s="51">
        <f t="shared" ca="1" si="35"/>
        <v>0</v>
      </c>
      <c r="AP37" s="53">
        <f t="shared" ca="1" si="36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/>
      <c r="L38" s="36"/>
      <c r="M38" s="36"/>
      <c r="N38" s="37">
        <f t="shared" si="21"/>
        <v>0</v>
      </c>
      <c r="O38" s="38">
        <f t="shared" ca="1" si="22"/>
        <v>0</v>
      </c>
      <c r="P38" s="39">
        <f ca="1">SUMIFS('Отчет 26-31.01'!H:H,'Отчет 26-31.01'!D:D,"Выручка",'Отчет 26-31.01'!E:E,B38)</f>
        <v>0</v>
      </c>
      <c r="Q38" s="39">
        <f ca="1">SUMIFS('Отчет 26-31.01'!H:H,'Отчет 26-31.01'!D:D,"Возврат выручки",'Отчет 26-31.01'!E:E,B38)</f>
        <v>0</v>
      </c>
      <c r="R38" s="40">
        <f t="shared" ca="1" si="23"/>
        <v>0</v>
      </c>
      <c r="S38" s="41">
        <f ca="1">SUMIFS('Отчет 26-31.01'!P:P,'Отчет 26-31.01'!C:C,"Продажи",'Отчет 26-31.01'!E:E,B38)</f>
        <v>0</v>
      </c>
      <c r="T38" s="42">
        <f ca="1">SUMIFS('Отчет 26-31.01'!P:P,'Отчет 26-31.01'!C:C,"Возвраты",'Отчет 26-31.01'!E:E,B38)</f>
        <v>0</v>
      </c>
      <c r="U38" s="40">
        <f t="shared" ca="1" si="24"/>
        <v>0</v>
      </c>
      <c r="V38" s="43" t="e">
        <f t="shared" ca="1" si="25"/>
        <v>#DIV/0!</v>
      </c>
      <c r="W38" s="44">
        <f t="shared" ca="1" si="26"/>
        <v>0</v>
      </c>
      <c r="X38" s="42">
        <f ca="1">-SUMIFS('Отчет 26-31.01'!P:P,'Отчет 26-31.01'!C:C,"Вознаграждение Ozon",'Отчет 26-31.01'!E:E,B38)</f>
        <v>0</v>
      </c>
      <c r="Y38" s="45">
        <f t="shared" ca="1" si="27"/>
        <v>0</v>
      </c>
      <c r="Z38" s="42">
        <f ca="1">-SUMIFS('Отчет 26-31.01'!P:P,'Отчет 26-31.01'!C:C,"Услуги доставки",'Отчет 26-31.01'!E:E,B38)</f>
        <v>0</v>
      </c>
      <c r="AA38" s="32"/>
      <c r="AB38" s="55"/>
      <c r="AC38" s="42"/>
      <c r="AD38" s="46">
        <f ca="1">U38*1%</f>
        <v>0</v>
      </c>
      <c r="AE38" s="47">
        <f t="shared" ca="1" si="28"/>
        <v>0</v>
      </c>
      <c r="AF38" s="46"/>
      <c r="AG38" s="48">
        <f t="shared" ca="1" si="29"/>
        <v>0</v>
      </c>
      <c r="AH38" s="49">
        <f t="shared" si="30"/>
        <v>687</v>
      </c>
      <c r="AI38" s="49">
        <f t="shared" ca="1" si="31"/>
        <v>0</v>
      </c>
      <c r="AJ38" s="49">
        <f t="shared" ca="1" si="32"/>
        <v>0</v>
      </c>
      <c r="AK38" s="49">
        <f t="shared" ca="1" si="33"/>
        <v>0</v>
      </c>
      <c r="AL38" s="49">
        <f t="array" aca="1" ref="AL38" ca="1">_xlfn.IFS(R38=0,AE38,R38&lt;0,AE38/-R38,R38&gt;0,AE38/R38)</f>
        <v>0</v>
      </c>
      <c r="AM38" s="50">
        <f t="shared" ca="1" si="34"/>
        <v>0</v>
      </c>
      <c r="AN38" s="51">
        <f t="shared" ca="1" si="35"/>
        <v>0</v>
      </c>
      <c r="AP38" s="53">
        <f t="shared" ca="1" si="36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/>
      <c r="L39" s="36"/>
      <c r="M39" s="36"/>
      <c r="N39" s="37">
        <f t="shared" si="21"/>
        <v>0</v>
      </c>
      <c r="O39" s="38">
        <f t="shared" ca="1" si="22"/>
        <v>0</v>
      </c>
      <c r="P39" s="39">
        <f ca="1">SUMIFS('Отчет 26-31.01'!H:H,'Отчет 26-31.01'!D:D,"Выручка",'Отчет 26-31.01'!E:E,B39)</f>
        <v>0</v>
      </c>
      <c r="Q39" s="39">
        <f ca="1">SUMIFS('Отчет 26-31.01'!H:H,'Отчет 26-31.01'!D:D,"Возврат выручки",'Отчет 26-31.01'!E:E,B39)</f>
        <v>0</v>
      </c>
      <c r="R39" s="40">
        <f t="shared" ca="1" si="23"/>
        <v>0</v>
      </c>
      <c r="S39" s="41">
        <f ca="1">SUMIFS('Отчет 26-31.01'!P:P,'Отчет 26-31.01'!C:C,"Продажи",'Отчет 26-31.01'!E:E,B39)</f>
        <v>0</v>
      </c>
      <c r="T39" s="42">
        <f ca="1">SUMIFS('Отчет 26-31.01'!P:P,'Отчет 26-31.01'!C:C,"Возвраты",'Отчет 26-31.01'!E:E,B39)</f>
        <v>0</v>
      </c>
      <c r="U39" s="40">
        <f t="shared" ca="1" si="24"/>
        <v>0</v>
      </c>
      <c r="V39" s="43" t="e">
        <f t="shared" ca="1" si="25"/>
        <v>#DIV/0!</v>
      </c>
      <c r="W39" s="44">
        <f t="shared" ca="1" si="26"/>
        <v>0</v>
      </c>
      <c r="X39" s="42">
        <f ca="1">-SUMIFS('Отчет 26-31.01'!P:P,'Отчет 26-31.01'!C:C,"Вознаграждение Ozon",'Отчет 26-31.01'!E:E,B39)</f>
        <v>0</v>
      </c>
      <c r="Y39" s="45">
        <f t="shared" ca="1" si="27"/>
        <v>0</v>
      </c>
      <c r="Z39" s="42">
        <f ca="1">-SUMIFS('Отчет 26-31.01'!P:P,'Отчет 26-31.01'!C:C,"Услуги доставки",'Отчет 26-31.01'!E:E,B39)</f>
        <v>0</v>
      </c>
      <c r="AA39" s="32"/>
      <c r="AB39" s="55"/>
      <c r="AC39" s="42"/>
      <c r="AD39" s="46">
        <f ca="1">U39*1%</f>
        <v>0</v>
      </c>
      <c r="AE39" s="47">
        <f t="shared" ca="1" si="28"/>
        <v>0</v>
      </c>
      <c r="AF39" s="46"/>
      <c r="AG39" s="48">
        <f t="shared" ca="1" si="29"/>
        <v>0</v>
      </c>
      <c r="AH39" s="49">
        <f t="shared" si="30"/>
        <v>597</v>
      </c>
      <c r="AI39" s="49">
        <f t="shared" ca="1" si="31"/>
        <v>0</v>
      </c>
      <c r="AJ39" s="49">
        <f t="shared" ca="1" si="32"/>
        <v>0</v>
      </c>
      <c r="AK39" s="49">
        <f t="shared" ca="1" si="33"/>
        <v>0</v>
      </c>
      <c r="AL39" s="49">
        <f t="array" aca="1" ref="AL39" ca="1">_xlfn.IFS(R39=0,AE39,R39&lt;0,AE39/-R39,R39&gt;0,AE39/R39)</f>
        <v>0</v>
      </c>
      <c r="AM39" s="50">
        <f t="shared" ca="1" si="34"/>
        <v>0</v>
      </c>
      <c r="AN39" s="51">
        <f t="shared" ca="1" si="35"/>
        <v>0</v>
      </c>
      <c r="AP39" s="53">
        <f t="shared" ca="1" si="36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/>
      <c r="L40" s="36"/>
      <c r="M40" s="36"/>
      <c r="N40" s="37">
        <f t="shared" si="21"/>
        <v>0</v>
      </c>
      <c r="O40" s="38">
        <f t="shared" ca="1" si="22"/>
        <v>0</v>
      </c>
      <c r="P40" s="39">
        <f ca="1">SUMIFS('Отчет 26-31.01'!H:H,'Отчет 26-31.01'!D:D,"Выручка",'Отчет 26-31.01'!E:E,B40)</f>
        <v>0</v>
      </c>
      <c r="Q40" s="39">
        <f ca="1">SUMIFS('Отчет 26-31.01'!H:H,'Отчет 26-31.01'!D:D,"Возврат выручки",'Отчет 26-31.01'!E:E,B40)</f>
        <v>0</v>
      </c>
      <c r="R40" s="40">
        <f t="shared" ca="1" si="23"/>
        <v>0</v>
      </c>
      <c r="S40" s="41">
        <f ca="1">SUMIFS('Отчет 26-31.01'!P:P,'Отчет 26-31.01'!C:C,"Продажи",'Отчет 26-31.01'!E:E,B40)</f>
        <v>0</v>
      </c>
      <c r="T40" s="42">
        <f ca="1">SUMIFS('Отчет 26-31.01'!P:P,'Отчет 26-31.01'!C:C,"Возвраты",'Отчет 26-31.01'!E:E,B40)</f>
        <v>0</v>
      </c>
      <c r="U40" s="40">
        <f t="shared" ca="1" si="24"/>
        <v>0</v>
      </c>
      <c r="V40" s="43" t="e">
        <f t="shared" ca="1" si="25"/>
        <v>#DIV/0!</v>
      </c>
      <c r="W40" s="44">
        <f t="shared" ca="1" si="26"/>
        <v>0</v>
      </c>
      <c r="X40" s="42">
        <f ca="1">-SUMIFS('Отчет 26-31.01'!P:P,'Отчет 26-31.01'!C:C,"Вознаграждение Ozon",'Отчет 26-31.01'!E:E,B40)</f>
        <v>0</v>
      </c>
      <c r="Y40" s="45">
        <f t="shared" ca="1" si="27"/>
        <v>0</v>
      </c>
      <c r="Z40" s="42">
        <f ca="1">-SUMIFS('Отчет 26-31.01'!P:P,'Отчет 26-31.01'!C:C,"Услуги доставки",'Отчет 26-31.01'!E:E,B40)</f>
        <v>0</v>
      </c>
      <c r="AA40" s="32"/>
      <c r="AB40" s="55"/>
      <c r="AC40" s="42"/>
      <c r="AD40" s="46">
        <f ca="1">U40*1%</f>
        <v>0</v>
      </c>
      <c r="AE40" s="47">
        <f t="shared" ca="1" si="28"/>
        <v>0</v>
      </c>
      <c r="AF40" s="46"/>
      <c r="AG40" s="48">
        <f t="shared" ca="1" si="29"/>
        <v>0</v>
      </c>
      <c r="AH40" s="49">
        <f t="shared" si="30"/>
        <v>597</v>
      </c>
      <c r="AI40" s="49">
        <f t="shared" ca="1" si="31"/>
        <v>0</v>
      </c>
      <c r="AJ40" s="49">
        <f t="shared" ca="1" si="32"/>
        <v>0</v>
      </c>
      <c r="AK40" s="49">
        <f t="shared" ca="1" si="33"/>
        <v>0</v>
      </c>
      <c r="AL40" s="49">
        <f t="array" aca="1" ref="AL40" ca="1">_xlfn.IFS(R40=0,AE40,R40&lt;0,AE40/-R40,R40&gt;0,AE40/R40)</f>
        <v>0</v>
      </c>
      <c r="AM40" s="50">
        <f t="shared" ca="1" si="34"/>
        <v>0</v>
      </c>
      <c r="AN40" s="51">
        <f t="shared" ca="1" si="35"/>
        <v>0</v>
      </c>
      <c r="AP40" s="53">
        <f t="shared" ca="1" si="36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/>
      <c r="L41" s="36"/>
      <c r="M41" s="36"/>
      <c r="N41" s="37">
        <f t="shared" si="21"/>
        <v>0</v>
      </c>
      <c r="O41" s="38">
        <f t="shared" ca="1" si="22"/>
        <v>0</v>
      </c>
      <c r="P41" s="39">
        <f ca="1">SUMIFS('Отчет 26-31.01'!H:H,'Отчет 26-31.01'!D:D,"Выручка",'Отчет 26-31.01'!E:E,B41)</f>
        <v>0</v>
      </c>
      <c r="Q41" s="39">
        <f ca="1">SUMIFS('Отчет 26-31.01'!H:H,'Отчет 26-31.01'!D:D,"Возврат выручки",'Отчет 26-31.01'!E:E,B41)</f>
        <v>0</v>
      </c>
      <c r="R41" s="40">
        <f t="shared" ca="1" si="23"/>
        <v>0</v>
      </c>
      <c r="S41" s="41">
        <f ca="1">SUMIFS('Отчет 26-31.01'!P:P,'Отчет 26-31.01'!C:C,"Продажи",'Отчет 26-31.01'!E:E,B41)</f>
        <v>0</v>
      </c>
      <c r="T41" s="42">
        <f ca="1">SUMIFS('Отчет 26-31.01'!P:P,'Отчет 26-31.01'!C:C,"Возвраты",'Отчет 26-31.01'!E:E,B41)</f>
        <v>0</v>
      </c>
      <c r="U41" s="40">
        <f t="shared" ca="1" si="24"/>
        <v>0</v>
      </c>
      <c r="V41" s="43" t="e">
        <f t="shared" ca="1" si="25"/>
        <v>#DIV/0!</v>
      </c>
      <c r="W41" s="44">
        <f t="shared" ca="1" si="26"/>
        <v>0</v>
      </c>
      <c r="X41" s="42">
        <f ca="1">-SUMIFS('Отчет 26-31.01'!P:P,'Отчет 26-31.01'!C:C,"Вознаграждение Ozon",'Отчет 26-31.01'!E:E,B41)</f>
        <v>0</v>
      </c>
      <c r="Y41" s="45">
        <f t="shared" ca="1" si="27"/>
        <v>0</v>
      </c>
      <c r="Z41" s="42">
        <f ca="1">-SUMIFS('Отчет 26-31.01'!P:P,'Отчет 26-31.01'!C:C,"Услуги доставки",'Отчет 26-31.01'!E:E,B41)</f>
        <v>0</v>
      </c>
      <c r="AA41" s="32"/>
      <c r="AB41" s="55"/>
      <c r="AC41" s="42"/>
      <c r="AD41" s="46">
        <f ca="1">U41*1%</f>
        <v>0</v>
      </c>
      <c r="AE41" s="47">
        <f t="shared" ca="1" si="28"/>
        <v>0</v>
      </c>
      <c r="AF41" s="46"/>
      <c r="AG41" s="48">
        <f t="shared" ca="1" si="29"/>
        <v>0</v>
      </c>
      <c r="AH41" s="49">
        <f t="shared" si="30"/>
        <v>597</v>
      </c>
      <c r="AI41" s="49">
        <f t="shared" ca="1" si="31"/>
        <v>0</v>
      </c>
      <c r="AJ41" s="49">
        <f t="shared" ca="1" si="32"/>
        <v>0</v>
      </c>
      <c r="AK41" s="49">
        <f t="shared" ca="1" si="33"/>
        <v>0</v>
      </c>
      <c r="AL41" s="49">
        <f t="array" aca="1" ref="AL41" ca="1">_xlfn.IFS(R41=0,AE41,R41&lt;0,AE41/-R41,R41&gt;0,AE41/R41)</f>
        <v>0</v>
      </c>
      <c r="AM41" s="50">
        <f t="shared" ca="1" si="34"/>
        <v>0</v>
      </c>
      <c r="AN41" s="51">
        <f t="shared" ca="1" si="35"/>
        <v>0</v>
      </c>
      <c r="AP41" s="53">
        <f t="shared" ca="1" si="36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/>
      <c r="L42" s="36"/>
      <c r="M42" s="36"/>
      <c r="N42" s="37">
        <f t="shared" si="21"/>
        <v>0</v>
      </c>
      <c r="O42" s="38">
        <f t="shared" ca="1" si="22"/>
        <v>0</v>
      </c>
      <c r="P42" s="39">
        <f ca="1">SUMIFS('Отчет 26-31.01'!H:H,'Отчет 26-31.01'!D:D,"Выручка",'Отчет 26-31.01'!E:E,B42)</f>
        <v>0</v>
      </c>
      <c r="Q42" s="39">
        <f ca="1">SUMIFS('Отчет 26-31.01'!H:H,'Отчет 26-31.01'!D:D,"Возврат выручки",'Отчет 26-31.01'!E:E,B42)</f>
        <v>0</v>
      </c>
      <c r="R42" s="40">
        <f t="shared" ca="1" si="23"/>
        <v>0</v>
      </c>
      <c r="S42" s="41">
        <f ca="1">SUMIFS('Отчет 26-31.01'!P:P,'Отчет 26-31.01'!C:C,"Продажи",'Отчет 26-31.01'!E:E,B42)</f>
        <v>0</v>
      </c>
      <c r="T42" s="42">
        <f ca="1">SUMIFS('Отчет 26-31.01'!P:P,'Отчет 26-31.01'!C:C,"Возвраты",'Отчет 26-31.01'!E:E,B42)</f>
        <v>0</v>
      </c>
      <c r="U42" s="40">
        <f t="shared" ca="1" si="24"/>
        <v>0</v>
      </c>
      <c r="V42" s="43" t="e">
        <f t="shared" ca="1" si="25"/>
        <v>#DIV/0!</v>
      </c>
      <c r="W42" s="44">
        <f t="shared" ca="1" si="26"/>
        <v>0</v>
      </c>
      <c r="X42" s="42">
        <f ca="1">-SUMIFS('Отчет 26-31.01'!P:P,'Отчет 26-31.01'!C:C,"Вознаграждение Ozon",'Отчет 26-31.01'!E:E,B42)</f>
        <v>0</v>
      </c>
      <c r="Y42" s="45">
        <f t="shared" ca="1" si="27"/>
        <v>0</v>
      </c>
      <c r="Z42" s="42">
        <f ca="1">-SUMIFS('Отчет 26-31.01'!P:P,'Отчет 26-31.01'!C:C,"Услуги доставки",'Отчет 26-31.01'!E:E,B42)</f>
        <v>0</v>
      </c>
      <c r="AA42" s="32"/>
      <c r="AB42" s="55"/>
      <c r="AC42" s="42"/>
      <c r="AD42" s="46">
        <f ca="1">U42*1%</f>
        <v>0</v>
      </c>
      <c r="AE42" s="47">
        <f t="shared" ca="1" si="28"/>
        <v>0</v>
      </c>
      <c r="AF42" s="46"/>
      <c r="AG42" s="48">
        <f t="shared" ca="1" si="29"/>
        <v>0</v>
      </c>
      <c r="AH42" s="49">
        <f t="shared" si="30"/>
        <v>642</v>
      </c>
      <c r="AI42" s="49">
        <f t="shared" ca="1" si="31"/>
        <v>0</v>
      </c>
      <c r="AJ42" s="49">
        <f t="shared" ca="1" si="32"/>
        <v>0</v>
      </c>
      <c r="AK42" s="49">
        <f t="shared" ca="1" si="33"/>
        <v>0</v>
      </c>
      <c r="AL42" s="49">
        <f t="array" aca="1" ref="AL42" ca="1">_xlfn.IFS(R42=0,AE42,R42&lt;0,AE42/-R42,R42&gt;0,AE42/R42)</f>
        <v>0</v>
      </c>
      <c r="AM42" s="50">
        <f t="shared" ca="1" si="34"/>
        <v>0</v>
      </c>
      <c r="AN42" s="51">
        <f t="shared" ca="1" si="35"/>
        <v>0</v>
      </c>
      <c r="AP42" s="53">
        <f t="shared" ca="1" si="36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/>
      <c r="L43" s="36"/>
      <c r="M43" s="36"/>
      <c r="N43" s="37">
        <f t="shared" si="21"/>
        <v>0</v>
      </c>
      <c r="O43" s="38">
        <f t="shared" ca="1" si="22"/>
        <v>0</v>
      </c>
      <c r="P43" s="39">
        <f ca="1">SUMIFS('Отчет 26-31.01'!H:H,'Отчет 26-31.01'!D:D,"Выручка",'Отчет 26-31.01'!E:E,B43)</f>
        <v>0</v>
      </c>
      <c r="Q43" s="39">
        <f ca="1">SUMIFS('Отчет 26-31.01'!H:H,'Отчет 26-31.01'!D:D,"Возврат выручки",'Отчет 26-31.01'!E:E,B43)</f>
        <v>0</v>
      </c>
      <c r="R43" s="40">
        <f t="shared" ca="1" si="23"/>
        <v>0</v>
      </c>
      <c r="S43" s="41">
        <f ca="1">SUMIFS('Отчет 26-31.01'!P:P,'Отчет 26-31.01'!C:C,"Продажи",'Отчет 26-31.01'!E:E,B43)</f>
        <v>0</v>
      </c>
      <c r="T43" s="42">
        <f ca="1">SUMIFS('Отчет 26-31.01'!P:P,'Отчет 26-31.01'!C:C,"Возвраты",'Отчет 26-31.01'!E:E,B43)</f>
        <v>0</v>
      </c>
      <c r="U43" s="40">
        <f t="shared" ca="1" si="24"/>
        <v>0</v>
      </c>
      <c r="V43" s="43" t="e">
        <f t="shared" ca="1" si="25"/>
        <v>#DIV/0!</v>
      </c>
      <c r="W43" s="44">
        <f t="shared" ca="1" si="26"/>
        <v>0</v>
      </c>
      <c r="X43" s="42">
        <f ca="1">-SUMIFS('Отчет 26-31.01'!P:P,'Отчет 26-31.01'!C:C,"Вознаграждение Ozon",'Отчет 26-31.01'!E:E,B43)</f>
        <v>0</v>
      </c>
      <c r="Y43" s="45">
        <f t="shared" ca="1" si="27"/>
        <v>0</v>
      </c>
      <c r="Z43" s="42">
        <f ca="1">-SUMIFS('Отчет 26-31.01'!P:P,'Отчет 26-31.01'!C:C,"Услуги доставки",'Отчет 26-31.01'!E:E,B43)</f>
        <v>0</v>
      </c>
      <c r="AA43" s="32"/>
      <c r="AB43" s="55"/>
      <c r="AC43" s="42"/>
      <c r="AD43" s="46">
        <f ca="1">U43*1%</f>
        <v>0</v>
      </c>
      <c r="AE43" s="47">
        <f t="shared" ca="1" si="28"/>
        <v>0</v>
      </c>
      <c r="AF43" s="46"/>
      <c r="AG43" s="48">
        <f t="shared" ca="1" si="29"/>
        <v>0</v>
      </c>
      <c r="AH43" s="49">
        <f t="shared" si="30"/>
        <v>642</v>
      </c>
      <c r="AI43" s="49">
        <f t="shared" ca="1" si="31"/>
        <v>0</v>
      </c>
      <c r="AJ43" s="49">
        <f t="shared" ca="1" si="32"/>
        <v>0</v>
      </c>
      <c r="AK43" s="49">
        <f t="shared" ca="1" si="33"/>
        <v>0</v>
      </c>
      <c r="AL43" s="49">
        <f t="array" aca="1" ref="AL43" ca="1">_xlfn.IFS(R43=0,AE43,R43&lt;0,AE43/-R43,R43&gt;0,AE43/R43)</f>
        <v>0</v>
      </c>
      <c r="AM43" s="50">
        <f t="shared" ca="1" si="34"/>
        <v>0</v>
      </c>
      <c r="AN43" s="51">
        <f t="shared" ca="1" si="35"/>
        <v>0</v>
      </c>
      <c r="AP43" s="53">
        <f t="shared" ca="1" si="36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/>
      <c r="L44" s="36"/>
      <c r="M44" s="36"/>
      <c r="N44" s="37">
        <f t="shared" si="21"/>
        <v>0</v>
      </c>
      <c r="O44" s="38">
        <f t="shared" ca="1" si="22"/>
        <v>0</v>
      </c>
      <c r="P44" s="39">
        <f ca="1">SUMIFS('Отчет 26-31.01'!H:H,'Отчет 26-31.01'!D:D,"Выручка",'Отчет 26-31.01'!E:E,B44)</f>
        <v>0</v>
      </c>
      <c r="Q44" s="39">
        <f ca="1">SUMIFS('Отчет 26-31.01'!H:H,'Отчет 26-31.01'!D:D,"Возврат выручки",'Отчет 26-31.01'!E:E,B44)</f>
        <v>0</v>
      </c>
      <c r="R44" s="40">
        <f t="shared" ca="1" si="23"/>
        <v>0</v>
      </c>
      <c r="S44" s="41">
        <f ca="1">SUMIFS('Отчет 26-31.01'!P:P,'Отчет 26-31.01'!C:C,"Продажи",'Отчет 26-31.01'!E:E,B44)</f>
        <v>0</v>
      </c>
      <c r="T44" s="42">
        <f ca="1">SUMIFS('Отчет 26-31.01'!P:P,'Отчет 26-31.01'!C:C,"Возвраты",'Отчет 26-31.01'!E:E,B44)</f>
        <v>0</v>
      </c>
      <c r="U44" s="40">
        <f t="shared" ca="1" si="24"/>
        <v>0</v>
      </c>
      <c r="V44" s="43" t="e">
        <f t="shared" ca="1" si="25"/>
        <v>#DIV/0!</v>
      </c>
      <c r="W44" s="44">
        <f t="shared" ca="1" si="26"/>
        <v>0</v>
      </c>
      <c r="X44" s="42">
        <f ca="1">-SUMIFS('Отчет 26-31.01'!P:P,'Отчет 26-31.01'!C:C,"Вознаграждение Ozon",'Отчет 26-31.01'!E:E,B44)</f>
        <v>0</v>
      </c>
      <c r="Y44" s="45">
        <f t="shared" ca="1" si="27"/>
        <v>0</v>
      </c>
      <c r="Z44" s="42">
        <f ca="1">-SUMIFS('Отчет 26-31.01'!P:P,'Отчет 26-31.01'!C:C,"Услуги доставки",'Отчет 26-31.01'!E:E,B44)</f>
        <v>0</v>
      </c>
      <c r="AA44" s="32"/>
      <c r="AB44" s="55"/>
      <c r="AC44" s="42"/>
      <c r="AD44" s="46">
        <f ca="1">U44*1%</f>
        <v>0</v>
      </c>
      <c r="AE44" s="47">
        <f t="shared" ca="1" si="28"/>
        <v>0</v>
      </c>
      <c r="AF44" s="46"/>
      <c r="AG44" s="48">
        <f t="shared" ca="1" si="29"/>
        <v>0</v>
      </c>
      <c r="AH44" s="49">
        <f t="shared" si="30"/>
        <v>687</v>
      </c>
      <c r="AI44" s="49">
        <f t="shared" ca="1" si="31"/>
        <v>0</v>
      </c>
      <c r="AJ44" s="49">
        <f t="shared" ca="1" si="32"/>
        <v>0</v>
      </c>
      <c r="AK44" s="49">
        <f t="shared" ca="1" si="33"/>
        <v>0</v>
      </c>
      <c r="AL44" s="49">
        <f t="array" aca="1" ref="AL44" ca="1">_xlfn.IFS(R44=0,AE44,R44&lt;0,AE44/-R44,R44&gt;0,AE44/R44)</f>
        <v>0</v>
      </c>
      <c r="AM44" s="50">
        <f t="shared" ca="1" si="34"/>
        <v>0</v>
      </c>
      <c r="AN44" s="51">
        <f t="shared" ca="1" si="35"/>
        <v>0</v>
      </c>
      <c r="AP44" s="53">
        <f t="shared" ca="1" si="36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/>
      <c r="L45" s="36"/>
      <c r="M45" s="36"/>
      <c r="N45" s="37">
        <f t="shared" si="21"/>
        <v>0</v>
      </c>
      <c r="O45" s="38">
        <f t="shared" ca="1" si="22"/>
        <v>0</v>
      </c>
      <c r="P45" s="39">
        <f ca="1">SUMIFS('Отчет 26-31.01'!H:H,'Отчет 26-31.01'!D:D,"Выручка",'Отчет 26-31.01'!E:E,B45)</f>
        <v>0</v>
      </c>
      <c r="Q45" s="39">
        <f ca="1">SUMIFS('Отчет 26-31.01'!H:H,'Отчет 26-31.01'!D:D,"Возврат выручки",'Отчет 26-31.01'!E:E,B45)</f>
        <v>0</v>
      </c>
      <c r="R45" s="40">
        <f t="shared" ca="1" si="23"/>
        <v>0</v>
      </c>
      <c r="S45" s="41">
        <f ca="1">SUMIFS('Отчет 26-31.01'!P:P,'Отчет 26-31.01'!C:C,"Продажи",'Отчет 26-31.01'!E:E,B45)</f>
        <v>0</v>
      </c>
      <c r="T45" s="42">
        <f ca="1">SUMIFS('Отчет 26-31.01'!P:P,'Отчет 26-31.01'!C:C,"Возвраты",'Отчет 26-31.01'!E:E,B45)</f>
        <v>0</v>
      </c>
      <c r="U45" s="40">
        <f t="shared" ca="1" si="24"/>
        <v>0</v>
      </c>
      <c r="V45" s="43" t="e">
        <f t="shared" ca="1" si="25"/>
        <v>#DIV/0!</v>
      </c>
      <c r="W45" s="44">
        <f t="shared" ca="1" si="26"/>
        <v>0</v>
      </c>
      <c r="X45" s="42">
        <f ca="1">-SUMIFS('Отчет 26-31.01'!P:P,'Отчет 26-31.01'!C:C,"Вознаграждение Ozon",'Отчет 26-31.01'!E:E,B45)</f>
        <v>0</v>
      </c>
      <c r="Y45" s="45">
        <f t="shared" ca="1" si="27"/>
        <v>0</v>
      </c>
      <c r="Z45" s="42">
        <f ca="1">-SUMIFS('Отчет 26-31.01'!P:P,'Отчет 26-31.01'!C:C,"Услуги доставки",'Отчет 26-31.01'!E:E,B45)</f>
        <v>0</v>
      </c>
      <c r="AA45" s="32"/>
      <c r="AB45" s="55"/>
      <c r="AC45" s="42"/>
      <c r="AD45" s="46">
        <f ca="1">U45*1%</f>
        <v>0</v>
      </c>
      <c r="AE45" s="47">
        <f t="shared" ca="1" si="28"/>
        <v>0</v>
      </c>
      <c r="AF45" s="46"/>
      <c r="AG45" s="48">
        <f t="shared" ca="1" si="29"/>
        <v>0</v>
      </c>
      <c r="AH45" s="49">
        <f t="shared" si="30"/>
        <v>687</v>
      </c>
      <c r="AI45" s="49">
        <f t="shared" ca="1" si="31"/>
        <v>0</v>
      </c>
      <c r="AJ45" s="49">
        <f t="shared" ca="1" si="32"/>
        <v>0</v>
      </c>
      <c r="AK45" s="49">
        <f t="shared" ca="1" si="33"/>
        <v>0</v>
      </c>
      <c r="AL45" s="49">
        <f t="array" aca="1" ref="AL45" ca="1">_xlfn.IFS(R45=0,AE45,R45&lt;0,AE45/-R45,R45&gt;0,AE45/R45)</f>
        <v>0</v>
      </c>
      <c r="AM45" s="50">
        <f t="shared" ca="1" si="34"/>
        <v>0</v>
      </c>
      <c r="AN45" s="51">
        <f t="shared" ca="1" si="35"/>
        <v>0</v>
      </c>
      <c r="AP45" s="53">
        <f t="shared" ca="1" si="36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/>
      <c r="L46" s="36"/>
      <c r="M46" s="36"/>
      <c r="N46" s="37">
        <f t="shared" si="21"/>
        <v>0</v>
      </c>
      <c r="O46" s="38">
        <f t="shared" ca="1" si="22"/>
        <v>0</v>
      </c>
      <c r="P46" s="39">
        <f ca="1">SUMIFS('Отчет 26-31.01'!H:H,'Отчет 26-31.01'!D:D,"Выручка",'Отчет 26-31.01'!E:E,B46)</f>
        <v>0</v>
      </c>
      <c r="Q46" s="39">
        <f ca="1">SUMIFS('Отчет 26-31.01'!H:H,'Отчет 26-31.01'!D:D,"Возврат выручки",'Отчет 26-31.01'!E:E,B46)</f>
        <v>0</v>
      </c>
      <c r="R46" s="40">
        <f t="shared" ca="1" si="23"/>
        <v>0</v>
      </c>
      <c r="S46" s="41">
        <f ca="1">SUMIFS('Отчет 26-31.01'!P:P,'Отчет 26-31.01'!C:C,"Продажи",'Отчет 26-31.01'!E:E,B46)</f>
        <v>0</v>
      </c>
      <c r="T46" s="42">
        <f ca="1">SUMIFS('Отчет 26-31.01'!P:P,'Отчет 26-31.01'!C:C,"Возвраты",'Отчет 26-31.01'!E:E,B46)</f>
        <v>0</v>
      </c>
      <c r="U46" s="40">
        <f t="shared" ca="1" si="24"/>
        <v>0</v>
      </c>
      <c r="V46" s="43" t="e">
        <f t="shared" ca="1" si="25"/>
        <v>#DIV/0!</v>
      </c>
      <c r="W46" s="44">
        <f t="shared" ca="1" si="26"/>
        <v>0</v>
      </c>
      <c r="X46" s="42">
        <f ca="1">-SUMIFS('Отчет 26-31.01'!P:P,'Отчет 26-31.01'!C:C,"Вознаграждение Ozon",'Отчет 26-31.01'!E:E,B46)</f>
        <v>0</v>
      </c>
      <c r="Y46" s="45">
        <f t="shared" ca="1" si="27"/>
        <v>0</v>
      </c>
      <c r="Z46" s="42">
        <f ca="1">-SUMIFS('Отчет 26-31.01'!P:P,'Отчет 26-31.01'!C:C,"Услуги доставки",'Отчет 26-31.01'!E:E,B46)</f>
        <v>0</v>
      </c>
      <c r="AA46" s="32"/>
      <c r="AB46" s="55"/>
      <c r="AC46" s="42"/>
      <c r="AD46" s="46">
        <f ca="1">U46*1%</f>
        <v>0</v>
      </c>
      <c r="AE46" s="47">
        <f t="shared" ca="1" si="28"/>
        <v>0</v>
      </c>
      <c r="AF46" s="46"/>
      <c r="AG46" s="48">
        <f t="shared" ca="1" si="29"/>
        <v>0</v>
      </c>
      <c r="AH46" s="49">
        <f t="shared" si="30"/>
        <v>552</v>
      </c>
      <c r="AI46" s="49">
        <f t="shared" ca="1" si="31"/>
        <v>0</v>
      </c>
      <c r="AJ46" s="49">
        <f t="shared" ca="1" si="32"/>
        <v>0</v>
      </c>
      <c r="AK46" s="49">
        <f t="shared" ca="1" si="33"/>
        <v>0</v>
      </c>
      <c r="AL46" s="49">
        <f t="array" aca="1" ref="AL46" ca="1">_xlfn.IFS(R46=0,AE46,R46&lt;0,AE46/-R46,R46&gt;0,AE46/R46)</f>
        <v>0</v>
      </c>
      <c r="AM46" s="50">
        <f t="shared" ca="1" si="34"/>
        <v>0</v>
      </c>
      <c r="AN46" s="51">
        <f t="shared" ca="1" si="35"/>
        <v>0</v>
      </c>
      <c r="AP46" s="53">
        <f t="shared" ca="1" si="36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1"/>
        <v>0</v>
      </c>
      <c r="O47" s="38">
        <f t="shared" ca="1" si="22"/>
        <v>0</v>
      </c>
      <c r="P47" s="39">
        <f ca="1">SUMIFS('Отчет 26-31.01'!H:H,'Отчет 26-31.01'!D:D,"Выручка",'Отчет 26-31.01'!E:E,B47)</f>
        <v>0</v>
      </c>
      <c r="Q47" s="39">
        <f ca="1">SUMIFS('Отчет 26-31.01'!H:H,'Отчет 26-31.01'!D:D,"Возврат выручки",'Отчет 26-31.01'!E:E,B47)</f>
        <v>0</v>
      </c>
      <c r="R47" s="40">
        <f t="shared" ca="1" si="23"/>
        <v>0</v>
      </c>
      <c r="S47" s="41">
        <f ca="1">SUMIFS('Отчет 26-31.01'!P:P,'Отчет 26-31.01'!C:C,"Продажи",'Отчет 26-31.01'!E:E,B47)</f>
        <v>0</v>
      </c>
      <c r="T47" s="42">
        <f ca="1">SUMIFS('Отчет 26-31.01'!P:P,'Отчет 26-31.01'!C:C,"Возвраты",'Отчет 26-31.01'!E:E,B47)</f>
        <v>0</v>
      </c>
      <c r="U47" s="40">
        <f t="shared" ca="1" si="24"/>
        <v>0</v>
      </c>
      <c r="V47" s="43" t="e">
        <f t="shared" ca="1" si="25"/>
        <v>#DIV/0!</v>
      </c>
      <c r="W47" s="44">
        <f t="shared" ca="1" si="26"/>
        <v>0</v>
      </c>
      <c r="X47" s="42">
        <f ca="1">-SUMIFS('Отчет 26-31.01'!P:P,'Отчет 26-31.01'!C:C,"Вознаграждение Ozon",'Отчет 26-31.01'!E:E,B47)</f>
        <v>0</v>
      </c>
      <c r="Y47" s="45">
        <f t="shared" ca="1" si="27"/>
        <v>0</v>
      </c>
      <c r="Z47" s="42">
        <f ca="1">-SUMIFS('Отчет 26-31.01'!P:P,'Отчет 26-31.01'!C:C,"Услуги доставки",'Отчет 26-31.01'!E:E,B47)</f>
        <v>0</v>
      </c>
      <c r="AA47" s="32"/>
      <c r="AB47" s="55"/>
      <c r="AC47" s="42"/>
      <c r="AD47" s="46">
        <f ca="1">U47*1%</f>
        <v>0</v>
      </c>
      <c r="AE47" s="47">
        <f t="shared" ca="1" si="28"/>
        <v>0</v>
      </c>
      <c r="AF47" s="46"/>
      <c r="AG47" s="48">
        <f t="shared" ca="1" si="29"/>
        <v>0</v>
      </c>
      <c r="AH47" s="49">
        <f t="shared" si="30"/>
        <v>552</v>
      </c>
      <c r="AI47" s="49">
        <f t="shared" ca="1" si="31"/>
        <v>0</v>
      </c>
      <c r="AJ47" s="49">
        <f t="shared" ca="1" si="32"/>
        <v>0</v>
      </c>
      <c r="AK47" s="49">
        <f t="shared" ca="1" si="33"/>
        <v>0</v>
      </c>
      <c r="AL47" s="49">
        <f t="array" aca="1" ref="AL47" ca="1">_xlfn.IFS(R47=0,AE47,R47&lt;0,AE47/-R47,R47&gt;0,AE47/R47)</f>
        <v>0</v>
      </c>
      <c r="AM47" s="50">
        <f t="shared" ca="1" si="34"/>
        <v>0</v>
      </c>
      <c r="AN47" s="51">
        <f t="shared" ca="1" si="35"/>
        <v>0</v>
      </c>
      <c r="AP47" s="53">
        <f t="shared" ca="1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7">AVERAGEIF(AG28:AG47,"&lt;&gt;0",AG28:AG47)</f>
        <v>#DIV/0!</v>
      </c>
      <c r="AH48" s="86">
        <f t="shared" si="37"/>
        <v>617.25</v>
      </c>
      <c r="AI48" s="86" t="e">
        <f t="shared" ca="1" si="37"/>
        <v>#DIV/0!</v>
      </c>
      <c r="AJ48" s="86" t="e">
        <f t="shared" ca="1" si="37"/>
        <v>#DIV/0!</v>
      </c>
      <c r="AK48" s="86" t="e">
        <f t="shared" ca="1" si="37"/>
        <v>#DIV/0!</v>
      </c>
      <c r="AL48" s="86" t="e">
        <f t="shared" ca="1" si="37"/>
        <v>#DIV/0!</v>
      </c>
      <c r="AM48" s="87" t="e">
        <f t="shared" ca="1" si="37"/>
        <v>#DIV/0!</v>
      </c>
      <c r="AN48" s="87" t="e">
        <f t="shared" ca="1" si="37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38">SUM(P28:P47)</f>
        <v>0</v>
      </c>
      <c r="Q49" s="90">
        <f t="shared" ca="1" si="38"/>
        <v>0</v>
      </c>
      <c r="R49" s="96">
        <f t="shared" ca="1" si="38"/>
        <v>0</v>
      </c>
      <c r="S49" s="90">
        <f t="shared" ca="1" si="38"/>
        <v>0</v>
      </c>
      <c r="T49" s="90">
        <f t="shared" ca="1" si="38"/>
        <v>0</v>
      </c>
      <c r="U49" s="96">
        <f t="shared" ca="1" si="38"/>
        <v>0</v>
      </c>
      <c r="V49" s="97" t="e">
        <f t="shared" ca="1" si="38"/>
        <v>#DIV/0!</v>
      </c>
      <c r="W49" s="90">
        <f t="shared" ca="1" si="38"/>
        <v>0</v>
      </c>
      <c r="X49" s="90">
        <f t="shared" ca="1" si="38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>
        <f ca="1">SUM(AD28:AD47)</f>
        <v>0</v>
      </c>
      <c r="AE49" s="90">
        <f ca="1">SUM(AE28:AE47)</f>
        <v>0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39">P26+P49</f>
        <v>0</v>
      </c>
      <c r="Q51" s="118">
        <f t="shared" ca="1" si="39"/>
        <v>0</v>
      </c>
      <c r="R51" s="121">
        <f t="shared" ca="1" si="39"/>
        <v>0</v>
      </c>
      <c r="S51" s="118">
        <f t="shared" ca="1" si="39"/>
        <v>0</v>
      </c>
      <c r="T51" s="118">
        <f t="shared" ca="1" si="39"/>
        <v>0</v>
      </c>
      <c r="U51" s="121">
        <f t="shared" ca="1" si="39"/>
        <v>0</v>
      </c>
      <c r="V51" s="122" t="e">
        <f t="shared" ca="1" si="39"/>
        <v>#DIV/0!</v>
      </c>
      <c r="W51" s="118">
        <f t="shared" ca="1" si="39"/>
        <v>0</v>
      </c>
      <c r="X51" s="118">
        <f t="shared" ca="1" si="39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>
        <f ca="1">AD26+AD49</f>
        <v>0</v>
      </c>
      <c r="AE51" s="126">
        <f ca="1">AE26+AE49</f>
        <v>0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X15" sqref="X1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755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>U3*1%</f>
        <v>603.44000000000028</v>
      </c>
      <c r="AE3" s="47">
        <f t="shared" ref="AE3:AE24" si="8">U3-W3-X3-Z3-AA3-AB3-AC3-AD3</f>
        <v>5864.4518090000402</v>
      </c>
      <c r="AF3" s="46"/>
      <c r="AG3" s="48">
        <f t="shared" ref="AG3:AG24" si="9">IF(R3=0,0,U3/R3)</f>
        <v>1588.0000000000007</v>
      </c>
      <c r="AH3" s="49">
        <f t="shared" ref="AH3:AH24" si="10">H3</f>
        <v>142.97999999999999</v>
      </c>
      <c r="AI3" s="49">
        <f t="shared" ref="AI3:AI24" si="11">IF(R3=0,0,X3/R3)</f>
        <v>682.83999999999969</v>
      </c>
      <c r="AJ3" s="49">
        <f t="shared" ref="AJ3:AJ24" si="12">IF(P3=0,Z3/1,Z3/P3)</f>
        <v>203.81641025641036</v>
      </c>
      <c r="AK3" s="49">
        <f t="shared" ref="AK3:AK24" si="13">IF(P3=0,0,AA3/P3)</f>
        <v>372.9771331025641</v>
      </c>
      <c r="AL3" s="49">
        <f>_xlfn.IFS(R3=0,AE3,R3&lt;0,AE3/-R3,R3&gt;0,AE3/R3)</f>
        <v>154.32767918421158</v>
      </c>
      <c r="AM3" s="50">
        <f t="shared" ref="AM3:AM24" si="14">IF(AG3=0,0,AL3/AG3)</f>
        <v>9.7183677068143265E-2</v>
      </c>
      <c r="AN3" s="51">
        <f t="shared" ref="AN3:AN24" si="15">IF(AH3=0,0,AL3/AH3)</f>
        <v>1.0793654999595159</v>
      </c>
      <c r="AP3" s="53">
        <f t="shared" ref="AP3:AP24" si="16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>U4*1%</f>
        <v>81.7</v>
      </c>
      <c r="AE4" s="47">
        <f t="shared" si="8"/>
        <v>591.94117299999994</v>
      </c>
      <c r="AF4" s="46"/>
      <c r="AG4" s="48">
        <f t="shared" si="9"/>
        <v>1634</v>
      </c>
      <c r="AH4" s="49">
        <f t="shared" si="10"/>
        <v>123.09</v>
      </c>
      <c r="AI4" s="49">
        <f t="shared" si="11"/>
        <v>702.62</v>
      </c>
      <c r="AJ4" s="49">
        <f t="shared" si="12"/>
        <v>141.68400000000003</v>
      </c>
      <c r="AK4" s="49">
        <f t="shared" si="13"/>
        <v>531.87776540000004</v>
      </c>
      <c r="AL4" s="49">
        <f t="array" ref="AL4">_xlfn.IFS(R4=0,AE4,R4&lt;0,AE4/-R4,R4&gt;0,AE4/R4)</f>
        <v>118.38823459999999</v>
      </c>
      <c r="AM4" s="50">
        <f t="shared" si="14"/>
        <v>7.2453019951040379E-2</v>
      </c>
      <c r="AN4" s="51">
        <f t="shared" si="15"/>
        <v>0.9618022146396944</v>
      </c>
      <c r="AP4" s="53">
        <f t="shared" si="16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>U5*1%</f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>U6*1%</f>
        <v>33.74</v>
      </c>
      <c r="AE6" s="47">
        <f t="shared" si="8"/>
        <v>-1308.5084009999994</v>
      </c>
      <c r="AF6" s="46"/>
      <c r="AG6" s="48">
        <f t="shared" si="9"/>
        <v>1687</v>
      </c>
      <c r="AH6" s="49">
        <f t="shared" si="10"/>
        <v>123.09</v>
      </c>
      <c r="AI6" s="49">
        <f t="shared" si="11"/>
        <v>725.41</v>
      </c>
      <c r="AJ6" s="49">
        <f t="shared" si="12"/>
        <v>304.87499999999994</v>
      </c>
      <c r="AK6" s="49">
        <f t="shared" si="13"/>
        <v>1171.0092004999999</v>
      </c>
      <c r="AL6" s="49">
        <f t="array" ref="AL6">_xlfn.IFS(R6=0,AE6,R6&lt;0,AE6/-R6,R6&gt;0,AE6/R6)</f>
        <v>-654.25420049999968</v>
      </c>
      <c r="AM6" s="50">
        <f t="shared" si="14"/>
        <v>-0.38782110284528731</v>
      </c>
      <c r="AN6" s="51">
        <f t="shared" si="15"/>
        <v>-5.3152506336826688</v>
      </c>
      <c r="AP6" s="53">
        <f t="shared" si="16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>U7*1%</f>
        <v>100.87</v>
      </c>
      <c r="AE7" s="47">
        <f t="shared" si="8"/>
        <v>2637.9799999999996</v>
      </c>
      <c r="AF7" s="46"/>
      <c r="AG7" s="48">
        <f t="shared" si="9"/>
        <v>1681.1666666666667</v>
      </c>
      <c r="AH7" s="49">
        <f t="shared" si="10"/>
        <v>117.24</v>
      </c>
      <c r="AI7" s="49">
        <f t="shared" si="11"/>
        <v>722.90166666666664</v>
      </c>
      <c r="AJ7" s="49">
        <f t="shared" si="12"/>
        <v>191.35</v>
      </c>
      <c r="AK7" s="49">
        <f t="shared" si="13"/>
        <v>193.20000000000002</v>
      </c>
      <c r="AL7" s="49">
        <f t="array" ref="AL7">_xlfn.IFS(R7=0,AE7,R7&lt;0,AE7/-R7,R7&gt;0,AE7/R7)</f>
        <v>439.66333333333324</v>
      </c>
      <c r="AM7" s="50">
        <f t="shared" si="14"/>
        <v>0.26152275205710313</v>
      </c>
      <c r="AN7" s="51">
        <f t="shared" si="15"/>
        <v>3.7501137268281584</v>
      </c>
      <c r="AP7" s="53">
        <f t="shared" si="16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>U8*1%</f>
        <v>15.39</v>
      </c>
      <c r="AE8" s="47">
        <f t="shared" si="8"/>
        <v>606.70000000000005</v>
      </c>
      <c r="AF8" s="46"/>
      <c r="AG8" s="48">
        <f t="shared" si="9"/>
        <v>1539</v>
      </c>
      <c r="AH8" s="49">
        <f t="shared" si="10"/>
        <v>123</v>
      </c>
      <c r="AI8" s="49">
        <f t="shared" si="11"/>
        <v>661.77</v>
      </c>
      <c r="AJ8" s="49">
        <f t="shared" si="12"/>
        <v>132.13999999999999</v>
      </c>
      <c r="AK8" s="49">
        <f t="shared" si="13"/>
        <v>0</v>
      </c>
      <c r="AL8" s="49">
        <f t="array" ref="AL8">_xlfn.IFS(R8=0,AE8,R8&lt;0,AE8/-R8,R8&gt;0,AE8/R8)</f>
        <v>606.70000000000005</v>
      </c>
      <c r="AM8" s="50">
        <f t="shared" si="14"/>
        <v>0.39421702404158548</v>
      </c>
      <c r="AN8" s="51">
        <f t="shared" si="15"/>
        <v>4.9325203252032521</v>
      </c>
      <c r="AP8" s="53">
        <f t="shared" si="16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>U9*1%</f>
        <v>90.75</v>
      </c>
      <c r="AE9" s="47">
        <f t="shared" si="8"/>
        <v>72.942610000000514</v>
      </c>
      <c r="AF9" s="46"/>
      <c r="AG9" s="48">
        <f t="shared" si="9"/>
        <v>1815</v>
      </c>
      <c r="AH9" s="49">
        <f t="shared" si="10"/>
        <v>123</v>
      </c>
      <c r="AI9" s="49">
        <f t="shared" si="11"/>
        <v>780.45</v>
      </c>
      <c r="AJ9" s="49">
        <f t="shared" si="12"/>
        <v>192.27199999999999</v>
      </c>
      <c r="AK9" s="49">
        <f t="shared" si="13"/>
        <v>686.53947799999992</v>
      </c>
      <c r="AL9" s="49">
        <f t="array" ref="AL9">_xlfn.IFS(R9=0,AE9,R9&lt;0,AE9/-R9,R9&gt;0,AE9/R9)</f>
        <v>14.588522000000102</v>
      </c>
      <c r="AM9" s="50">
        <f t="shared" si="14"/>
        <v>8.0377531680441341E-3</v>
      </c>
      <c r="AN9" s="51">
        <f t="shared" si="15"/>
        <v>0.11860586991870002</v>
      </c>
      <c r="AP9" s="53">
        <f t="shared" si="16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>U10*1%</f>
        <v>0</v>
      </c>
      <c r="AE10" s="47">
        <f t="shared" si="8"/>
        <v>-93.54</v>
      </c>
      <c r="AF10" s="46"/>
      <c r="AG10" s="48">
        <f t="shared" si="9"/>
        <v>0</v>
      </c>
      <c r="AH10" s="49">
        <f t="shared" si="10"/>
        <v>169.89</v>
      </c>
      <c r="AI10" s="49">
        <f t="shared" si="11"/>
        <v>0</v>
      </c>
      <c r="AJ10" s="49">
        <f t="shared" si="12"/>
        <v>93.54</v>
      </c>
      <c r="AK10" s="49">
        <f t="shared" si="13"/>
        <v>0</v>
      </c>
      <c r="AL10" s="49">
        <f t="array" ref="AL10">_xlfn.IFS(R10=0,AE10,R10&lt;0,AE10/-R10,R10&gt;0,AE10/R10)</f>
        <v>-93.54</v>
      </c>
      <c r="AM10" s="50">
        <f t="shared" si="14"/>
        <v>0</v>
      </c>
      <c r="AN10" s="51">
        <f t="shared" si="15"/>
        <v>-0.55059155924421688</v>
      </c>
      <c r="AP10" s="53">
        <f t="shared" si="16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>U11*1%</f>
        <v>0</v>
      </c>
      <c r="AE11" s="47">
        <f t="shared" si="8"/>
        <v>-93.54</v>
      </c>
      <c r="AF11" s="46"/>
      <c r="AG11" s="48">
        <f t="shared" si="9"/>
        <v>0</v>
      </c>
      <c r="AH11" s="49">
        <f t="shared" si="10"/>
        <v>169.89</v>
      </c>
      <c r="AI11" s="49">
        <f t="shared" si="11"/>
        <v>0</v>
      </c>
      <c r="AJ11" s="49">
        <f t="shared" si="12"/>
        <v>93.54</v>
      </c>
      <c r="AK11" s="49">
        <f t="shared" si="13"/>
        <v>0</v>
      </c>
      <c r="AL11" s="49">
        <f t="array" ref="AL11">_xlfn.IFS(R11=0,AE11,R11&lt;0,AE11/-R11,R11&gt;0,AE11/R11)</f>
        <v>-93.54</v>
      </c>
      <c r="AM11" s="50">
        <f t="shared" si="14"/>
        <v>0</v>
      </c>
      <c r="AN11" s="51">
        <f t="shared" si="15"/>
        <v>-0.55059155924421688</v>
      </c>
      <c r="AP11" s="53">
        <f t="shared" si="16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>U12*1%</f>
        <v>11.02</v>
      </c>
      <c r="AE12" s="47">
        <f t="shared" si="8"/>
        <v>322.02000000000004</v>
      </c>
      <c r="AF12" s="46"/>
      <c r="AG12" s="48">
        <f t="shared" si="9"/>
        <v>1102</v>
      </c>
      <c r="AH12" s="49">
        <f t="shared" si="10"/>
        <v>169.89</v>
      </c>
      <c r="AI12" s="49">
        <f t="shared" si="11"/>
        <v>473.86</v>
      </c>
      <c r="AJ12" s="49">
        <f t="shared" si="12"/>
        <v>125.21</v>
      </c>
      <c r="AK12" s="49">
        <f t="shared" si="13"/>
        <v>0</v>
      </c>
      <c r="AL12" s="49">
        <f t="array" ref="AL12">_xlfn.IFS(R12=0,AE12,R12&lt;0,AE12/-R12,R12&gt;0,AE12/R12)</f>
        <v>322.02000000000004</v>
      </c>
      <c r="AM12" s="50">
        <f t="shared" si="14"/>
        <v>0.29221415607985485</v>
      </c>
      <c r="AN12" s="51">
        <f t="shared" si="15"/>
        <v>1.8954617693801876</v>
      </c>
      <c r="AP12" s="53">
        <f t="shared" si="16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>U13*1%</f>
        <v>41.33</v>
      </c>
      <c r="AE13" s="47">
        <f t="shared" si="8"/>
        <v>420.19</v>
      </c>
      <c r="AF13" s="46"/>
      <c r="AG13" s="48">
        <f t="shared" si="9"/>
        <v>1377.6666666666667</v>
      </c>
      <c r="AH13" s="49">
        <f t="shared" si="10"/>
        <v>169.89</v>
      </c>
      <c r="AI13" s="49">
        <f t="shared" si="11"/>
        <v>592.39666666666665</v>
      </c>
      <c r="AJ13" s="49">
        <f t="shared" si="12"/>
        <v>196.27333333333331</v>
      </c>
      <c r="AK13" s="49">
        <f t="shared" si="13"/>
        <v>265.26666666666665</v>
      </c>
      <c r="AL13" s="49">
        <f t="array" ref="AL13">_xlfn.IFS(R13=0,AE13,R13&lt;0,AE13/-R13,R13&gt;0,AE13/R13)</f>
        <v>140.06333333333333</v>
      </c>
      <c r="AM13" s="50">
        <f t="shared" si="14"/>
        <v>0.10166706992499394</v>
      </c>
      <c r="AN13" s="51">
        <f t="shared" si="15"/>
        <v>0.82443541899660566</v>
      </c>
      <c r="AP13" s="53">
        <f t="shared" si="16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>U14*1%</f>
        <v>14.290000000000001</v>
      </c>
      <c r="AE14" s="47">
        <f t="shared" si="8"/>
        <v>490.89000000000004</v>
      </c>
      <c r="AF14" s="46"/>
      <c r="AG14" s="48">
        <f t="shared" si="9"/>
        <v>1429</v>
      </c>
      <c r="AH14" s="49">
        <f t="shared" si="10"/>
        <v>169.89</v>
      </c>
      <c r="AI14" s="49">
        <f t="shared" si="11"/>
        <v>614.47</v>
      </c>
      <c r="AJ14" s="49">
        <f t="shared" si="12"/>
        <v>139.46</v>
      </c>
      <c r="AK14" s="49">
        <f t="shared" si="13"/>
        <v>0</v>
      </c>
      <c r="AL14" s="49">
        <f t="array" ref="AL14">_xlfn.IFS(R14=0,AE14,R14&lt;0,AE14/-R14,R14&gt;0,AE14/R14)</f>
        <v>490.89000000000004</v>
      </c>
      <c r="AM14" s="50">
        <f t="shared" si="14"/>
        <v>0.34351994401679498</v>
      </c>
      <c r="AN14" s="51">
        <f t="shared" si="15"/>
        <v>2.8894578845135093</v>
      </c>
      <c r="AP14" s="53">
        <f t="shared" si="16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>U15*1%</f>
        <v>0</v>
      </c>
      <c r="AE15" s="47">
        <f t="shared" si="8"/>
        <v>-93.54</v>
      </c>
      <c r="AF15" s="46"/>
      <c r="AG15" s="48">
        <f t="shared" si="9"/>
        <v>0</v>
      </c>
      <c r="AH15" s="49">
        <f t="shared" si="10"/>
        <v>169.89</v>
      </c>
      <c r="AI15" s="49">
        <f t="shared" si="11"/>
        <v>0</v>
      </c>
      <c r="AJ15" s="49">
        <f t="shared" si="12"/>
        <v>93.54</v>
      </c>
      <c r="AK15" s="49">
        <f t="shared" si="13"/>
        <v>0</v>
      </c>
      <c r="AL15" s="49">
        <f t="array" ref="AL15">_xlfn.IFS(R15=0,AE15,R15&lt;0,AE15/-R15,R15&gt;0,AE15/R15)</f>
        <v>-93.54</v>
      </c>
      <c r="AM15" s="50">
        <f t="shared" si="14"/>
        <v>0</v>
      </c>
      <c r="AN15" s="51">
        <f t="shared" si="15"/>
        <v>-0.55059155924421688</v>
      </c>
      <c r="AP15" s="53">
        <f t="shared" si="16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>U16*1%</f>
        <v>0</v>
      </c>
      <c r="AE16" s="47">
        <f t="shared" si="8"/>
        <v>-328.67</v>
      </c>
      <c r="AF16" s="46"/>
      <c r="AG16" s="48">
        <f t="shared" si="9"/>
        <v>0</v>
      </c>
      <c r="AH16" s="49">
        <f t="shared" si="10"/>
        <v>169.89</v>
      </c>
      <c r="AI16" s="49">
        <f t="shared" si="11"/>
        <v>0</v>
      </c>
      <c r="AJ16" s="49">
        <f t="shared" si="12"/>
        <v>0</v>
      </c>
      <c r="AK16" s="49">
        <f t="shared" si="13"/>
        <v>0</v>
      </c>
      <c r="AL16" s="49">
        <f t="array" ref="AL16">_xlfn.IFS(R16=0,AE16,R16&lt;0,AE16/-R16,R16&gt;0,AE16/R16)</f>
        <v>-328.67</v>
      </c>
      <c r="AM16" s="50">
        <f t="shared" si="14"/>
        <v>0</v>
      </c>
      <c r="AN16" s="51">
        <f t="shared" si="15"/>
        <v>-1.9346047442462773</v>
      </c>
      <c r="AP16" s="53">
        <f t="shared" si="16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7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>U17*1%</f>
        <v>0</v>
      </c>
      <c r="AE17" s="47">
        <f t="shared" si="8"/>
        <v>0</v>
      </c>
      <c r="AF17" s="46"/>
      <c r="AG17" s="48">
        <f t="shared" si="9"/>
        <v>0</v>
      </c>
      <c r="AH17" s="49">
        <f t="shared" si="10"/>
        <v>1002.82</v>
      </c>
      <c r="AI17" s="49">
        <f t="shared" si="11"/>
        <v>0</v>
      </c>
      <c r="AJ17" s="49">
        <f t="shared" si="12"/>
        <v>0</v>
      </c>
      <c r="AK17" s="49">
        <f t="shared" si="13"/>
        <v>0</v>
      </c>
      <c r="AL17" s="49">
        <f t="array" ref="AL17">_xlfn.IFS(R17=0,AE17,R17&lt;0,AE17/-R17,R17&gt;0,AE17/R17)</f>
        <v>0</v>
      </c>
      <c r="AM17" s="50">
        <f t="shared" si="14"/>
        <v>0</v>
      </c>
      <c r="AN17" s="51">
        <f t="shared" si="15"/>
        <v>0</v>
      </c>
      <c r="AP17" s="53">
        <f t="shared" si="16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7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>U18*1%</f>
        <v>0</v>
      </c>
      <c r="AE18" s="47">
        <f t="shared" si="8"/>
        <v>0</v>
      </c>
      <c r="AF18" s="46"/>
      <c r="AG18" s="48">
        <f t="shared" si="9"/>
        <v>0</v>
      </c>
      <c r="AH18" s="49">
        <f t="shared" si="10"/>
        <v>909.22</v>
      </c>
      <c r="AI18" s="49">
        <f t="shared" si="11"/>
        <v>0</v>
      </c>
      <c r="AJ18" s="49">
        <f t="shared" si="12"/>
        <v>0</v>
      </c>
      <c r="AK18" s="49">
        <f t="shared" si="13"/>
        <v>0</v>
      </c>
      <c r="AL18" s="49">
        <f t="array" ref="AL18">_xlfn.IFS(R18=0,AE18,R18&lt;0,AE18/-R18,R18&gt;0,AE18/R18)</f>
        <v>0</v>
      </c>
      <c r="AM18" s="50">
        <f t="shared" si="14"/>
        <v>0</v>
      </c>
      <c r="AN18" s="51">
        <f t="shared" si="15"/>
        <v>0</v>
      </c>
      <c r="AP18" s="53">
        <f t="shared" si="16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7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>U19*1%</f>
        <v>36.630000000000003</v>
      </c>
      <c r="AE19" s="47">
        <f t="shared" si="8"/>
        <v>914.64999999999986</v>
      </c>
      <c r="AF19" s="46"/>
      <c r="AG19" s="48">
        <f t="shared" si="9"/>
        <v>3663</v>
      </c>
      <c r="AH19" s="49">
        <f t="shared" si="10"/>
        <v>909.22</v>
      </c>
      <c r="AI19" s="49">
        <f t="shared" si="11"/>
        <v>1575.09</v>
      </c>
      <c r="AJ19" s="49">
        <f t="shared" si="12"/>
        <v>227.41</v>
      </c>
      <c r="AK19" s="49">
        <f t="shared" si="13"/>
        <v>0</v>
      </c>
      <c r="AL19" s="49">
        <f t="array" ref="AL19">_xlfn.IFS(R19=0,AE19,R19&lt;0,AE19/-R19,R19&gt;0,AE19/R19)</f>
        <v>914.64999999999986</v>
      </c>
      <c r="AM19" s="50">
        <f t="shared" si="14"/>
        <v>0.24969969969969966</v>
      </c>
      <c r="AN19" s="51">
        <f t="shared" si="15"/>
        <v>1.0059721519544222</v>
      </c>
      <c r="AP19" s="53">
        <f t="shared" si="16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7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>U20*1%</f>
        <v>0</v>
      </c>
      <c r="AE20" s="47">
        <f t="shared" si="8"/>
        <v>0</v>
      </c>
      <c r="AF20" s="46"/>
      <c r="AG20" s="48">
        <f t="shared" si="9"/>
        <v>0</v>
      </c>
      <c r="AH20" s="49">
        <f t="shared" si="10"/>
        <v>932.62</v>
      </c>
      <c r="AI20" s="49">
        <f t="shared" si="11"/>
        <v>0</v>
      </c>
      <c r="AJ20" s="49">
        <f t="shared" si="12"/>
        <v>0</v>
      </c>
      <c r="AK20" s="49">
        <f t="shared" si="13"/>
        <v>0</v>
      </c>
      <c r="AL20" s="49">
        <f t="array" ref="AL20">_xlfn.IFS(R20=0,AE20,R20&lt;0,AE20/-R20,R20&gt;0,AE20/R20)</f>
        <v>0</v>
      </c>
      <c r="AM20" s="50">
        <f t="shared" si="14"/>
        <v>0</v>
      </c>
      <c r="AN20" s="51">
        <f t="shared" si="15"/>
        <v>0</v>
      </c>
      <c r="AP20" s="53">
        <f t="shared" si="16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7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>U21*1%</f>
        <v>0</v>
      </c>
      <c r="AE21" s="47">
        <f t="shared" si="8"/>
        <v>0</v>
      </c>
      <c r="AF21" s="46"/>
      <c r="AG21" s="48">
        <f t="shared" si="9"/>
        <v>0</v>
      </c>
      <c r="AH21" s="49">
        <f t="shared" si="10"/>
        <v>1014.52</v>
      </c>
      <c r="AI21" s="49">
        <f t="shared" si="11"/>
        <v>0</v>
      </c>
      <c r="AJ21" s="49">
        <f t="shared" si="12"/>
        <v>0</v>
      </c>
      <c r="AK21" s="49">
        <f t="shared" si="13"/>
        <v>0</v>
      </c>
      <c r="AL21" s="49">
        <f t="array" ref="AL21">_xlfn.IFS(R21=0,AE21,R21&lt;0,AE21/-R21,R21&gt;0,AE21/R21)</f>
        <v>0</v>
      </c>
      <c r="AM21" s="50">
        <f t="shared" si="14"/>
        <v>0</v>
      </c>
      <c r="AN21" s="51">
        <f t="shared" si="15"/>
        <v>0</v>
      </c>
      <c r="AP21" s="53">
        <f t="shared" si="16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7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>U22*1%</f>
        <v>0</v>
      </c>
      <c r="AE22" s="47">
        <f t="shared" si="8"/>
        <v>0</v>
      </c>
      <c r="AF22" s="46"/>
      <c r="AG22" s="48">
        <f t="shared" si="9"/>
        <v>0</v>
      </c>
      <c r="AH22" s="49">
        <f t="shared" si="10"/>
        <v>1014.52</v>
      </c>
      <c r="AI22" s="49">
        <f t="shared" si="11"/>
        <v>0</v>
      </c>
      <c r="AJ22" s="49">
        <f t="shared" si="12"/>
        <v>0</v>
      </c>
      <c r="AK22" s="49">
        <f t="shared" si="13"/>
        <v>0</v>
      </c>
      <c r="AL22" s="49">
        <f t="array" ref="AL22">_xlfn.IFS(R22=0,AE22,R22&lt;0,AE22/-R22,R22&gt;0,AE22/R22)</f>
        <v>0</v>
      </c>
      <c r="AM22" s="50">
        <f t="shared" si="14"/>
        <v>0</v>
      </c>
      <c r="AN22" s="51">
        <f t="shared" si="15"/>
        <v>0</v>
      </c>
      <c r="AP22" s="53">
        <f t="shared" si="16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7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>U23*1%</f>
        <v>0</v>
      </c>
      <c r="AE23" s="47">
        <f t="shared" si="8"/>
        <v>0</v>
      </c>
      <c r="AF23" s="46"/>
      <c r="AG23" s="48">
        <f t="shared" si="9"/>
        <v>0</v>
      </c>
      <c r="AH23" s="49">
        <f t="shared" si="10"/>
        <v>1014.52</v>
      </c>
      <c r="AI23" s="49">
        <f t="shared" si="11"/>
        <v>0</v>
      </c>
      <c r="AJ23" s="49">
        <f t="shared" si="12"/>
        <v>0</v>
      </c>
      <c r="AK23" s="49">
        <f t="shared" si="13"/>
        <v>0</v>
      </c>
      <c r="AL23" s="49">
        <f t="array" ref="AL23">_xlfn.IFS(R23=0,AE23,R23&lt;0,AE23/-R23,R23&gt;0,AE23/R23)</f>
        <v>0</v>
      </c>
      <c r="AM23" s="50">
        <f t="shared" si="14"/>
        <v>0</v>
      </c>
      <c r="AN23" s="51">
        <f t="shared" si="15"/>
        <v>0</v>
      </c>
      <c r="AP23" s="53">
        <f t="shared" si="16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7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>U24*1%</f>
        <v>0</v>
      </c>
      <c r="AE24" s="47">
        <f t="shared" si="8"/>
        <v>0</v>
      </c>
      <c r="AF24" s="46"/>
      <c r="AG24" s="48">
        <f t="shared" si="9"/>
        <v>0</v>
      </c>
      <c r="AH24" s="49">
        <f t="shared" si="10"/>
        <v>991.12</v>
      </c>
      <c r="AI24" s="49">
        <f t="shared" si="11"/>
        <v>0</v>
      </c>
      <c r="AJ24" s="49">
        <f t="shared" si="12"/>
        <v>0</v>
      </c>
      <c r="AK24" s="49">
        <f t="shared" si="13"/>
        <v>0</v>
      </c>
      <c r="AL24" s="49">
        <f t="array" ref="AL24">_xlfn.IFS(R24=0,AE24,R24&lt;0,AE24/-R24,R24&gt;0,AE24/R24)</f>
        <v>0</v>
      </c>
      <c r="AM24" s="50">
        <f t="shared" si="14"/>
        <v>0</v>
      </c>
      <c r="AN24" s="51">
        <f t="shared" si="15"/>
        <v>0</v>
      </c>
      <c r="AP24" s="53">
        <f t="shared" si="16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1751.5833333333335</v>
      </c>
      <c r="AH25" s="58">
        <f t="shared" si="18"/>
        <v>447.87636363636369</v>
      </c>
      <c r="AI25" s="58">
        <f t="shared" si="18"/>
        <v>753.18083333333323</v>
      </c>
      <c r="AJ25" s="58">
        <f t="shared" si="18"/>
        <v>164.2392879684418</v>
      </c>
      <c r="AK25" s="58">
        <f t="shared" si="18"/>
        <v>536.81170727820506</v>
      </c>
      <c r="AL25" s="58">
        <f t="shared" si="18"/>
        <v>138.41049299649134</v>
      </c>
      <c r="AM25" s="59">
        <f t="shared" si="18"/>
        <v>0.14326939931619725</v>
      </c>
      <c r="AN25" s="59">
        <f t="shared" si="18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19">SUM(Q3:Q24)</f>
        <v>1</v>
      </c>
      <c r="R26" s="64">
        <f t="shared" si="19"/>
        <v>63</v>
      </c>
      <c r="S26" s="70">
        <f>SUM(S3:S24)</f>
        <v>104586.00000000003</v>
      </c>
      <c r="T26" s="64">
        <f t="shared" si="19"/>
        <v>-1670</v>
      </c>
      <c r="U26" s="64">
        <f t="shared" si="19"/>
        <v>102916.00000000003</v>
      </c>
      <c r="V26" s="71">
        <f t="shared" si="19"/>
        <v>1.6471567356476373</v>
      </c>
      <c r="W26" s="64">
        <f t="shared" si="19"/>
        <v>9494.9799999999977</v>
      </c>
      <c r="X26" s="64">
        <f t="shared" si="19"/>
        <v>44253.879999999983</v>
      </c>
      <c r="Y26" s="72">
        <f>IF(U26=0,0,X26/U26)</f>
        <v>0.42999999999999972</v>
      </c>
      <c r="Z26" s="64">
        <f t="shared" si="19"/>
        <v>12870.130000000006</v>
      </c>
      <c r="AA26" s="64">
        <f>IFERROR(P26*AA51/P51,0)</f>
        <v>31721.256585365853</v>
      </c>
      <c r="AB26" s="64">
        <f t="shared" si="19"/>
        <v>0</v>
      </c>
      <c r="AC26" s="64">
        <f t="shared" si="19"/>
        <v>0</v>
      </c>
      <c r="AD26" s="73">
        <f t="shared" si="19"/>
        <v>1029.1600000000003</v>
      </c>
      <c r="AE26" s="74">
        <f t="shared" si="19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25263.882808999999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3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7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>U28*1%</f>
        <v>0</v>
      </c>
      <c r="AE28" s="47">
        <f t="shared" ref="AE28:AE47" si="28">U28-W28-X28-Z28-AA28-AB28-AC28-AD28</f>
        <v>-537.70695000000001</v>
      </c>
      <c r="AF28" s="46"/>
      <c r="AG28" s="48">
        <f t="shared" ref="AG28:AG47" si="29">IF(R28=0,0,U28/R28)</f>
        <v>0</v>
      </c>
      <c r="AH28" s="49">
        <f t="shared" ref="AH28:AH47" si="30">H28</f>
        <v>672</v>
      </c>
      <c r="AI28" s="49">
        <f t="shared" ref="AI28:AI47" si="31">IF(R28=0,0,X28/R28)</f>
        <v>0</v>
      </c>
      <c r="AJ28" s="49">
        <f t="shared" ref="AJ28:AJ47" si="32">IF(P28=0,Z28/1,Z28/P28)</f>
        <v>0</v>
      </c>
      <c r="AK28" s="49">
        <f t="shared" ref="AK28:AK47" si="33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4">IF(AG28=0,0,AL28/AG28)</f>
        <v>0</v>
      </c>
      <c r="AN28" s="51">
        <f t="shared" ref="AN28:AN47" si="35">IF(AH28=0,0,AL28/AH28)</f>
        <v>-0.80015915178571428</v>
      </c>
      <c r="AP28" s="53">
        <f t="shared" ref="AP28:AP47" si="36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1</v>
      </c>
      <c r="L29" s="36"/>
      <c r="M29" s="36"/>
      <c r="N29" s="37">
        <f t="shared" si="21"/>
        <v>0.14285714285714285</v>
      </c>
      <c r="O29" s="38">
        <f t="shared" si="22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3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19-25.01'!P:P,'Отчет 19-25.01'!C:C,"Вознаграждение Ozon",'Отчет 19-25.01'!E:E,B29)</f>
        <v>0</v>
      </c>
      <c r="Y29" s="45">
        <f t="shared" si="27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>U29*1%</f>
        <v>0</v>
      </c>
      <c r="AE29" s="47">
        <f t="shared" si="28"/>
        <v>0</v>
      </c>
      <c r="AF29" s="46"/>
      <c r="AG29" s="48">
        <f t="shared" si="29"/>
        <v>0</v>
      </c>
      <c r="AH29" s="49">
        <f t="shared" si="30"/>
        <v>627</v>
      </c>
      <c r="AI29" s="49">
        <f t="shared" si="31"/>
        <v>0</v>
      </c>
      <c r="AJ29" s="49">
        <f t="shared" si="32"/>
        <v>0</v>
      </c>
      <c r="AK29" s="49">
        <f t="shared" si="33"/>
        <v>0</v>
      </c>
      <c r="AL29" s="49">
        <f t="array" ref="AL29">_xlfn.IFS(R29=0,AE29,R29&lt;0,AE29/-R29,R29&gt;0,AE29/R29)</f>
        <v>0</v>
      </c>
      <c r="AM29" s="50">
        <f t="shared" si="34"/>
        <v>0</v>
      </c>
      <c r="AN29" s="51">
        <f t="shared" si="35"/>
        <v>0</v>
      </c>
      <c r="AP29" s="53">
        <f t="shared" si="36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3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19-25.01'!P:P,'Отчет 19-25.01'!C:C,"Вознаграждение Ozon",'Отчет 19-25.01'!E:E,B30)</f>
        <v>0</v>
      </c>
      <c r="Y30" s="45">
        <f t="shared" si="27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>U30*1%</f>
        <v>0</v>
      </c>
      <c r="AE30" s="47">
        <f t="shared" si="28"/>
        <v>0</v>
      </c>
      <c r="AF30" s="46"/>
      <c r="AG30" s="48">
        <f t="shared" si="29"/>
        <v>0</v>
      </c>
      <c r="AH30" s="49">
        <f t="shared" si="30"/>
        <v>627</v>
      </c>
      <c r="AI30" s="49">
        <f t="shared" si="31"/>
        <v>0</v>
      </c>
      <c r="AJ30" s="49">
        <f t="shared" si="32"/>
        <v>0</v>
      </c>
      <c r="AK30" s="49">
        <f t="shared" si="33"/>
        <v>0</v>
      </c>
      <c r="AL30" s="49">
        <f t="array" ref="AL30">_xlfn.IFS(R30=0,AE30,R30&lt;0,AE30/-R30,R30&gt;0,AE30/R30)</f>
        <v>0</v>
      </c>
      <c r="AM30" s="50">
        <f t="shared" si="34"/>
        <v>0</v>
      </c>
      <c r="AN30" s="51">
        <f t="shared" si="35"/>
        <v>0</v>
      </c>
      <c r="AP30" s="53">
        <f t="shared" si="36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3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4"/>
        <v>3649</v>
      </c>
      <c r="V31" s="43">
        <f t="shared" si="25"/>
        <v>5.8401754133256517E-2</v>
      </c>
      <c r="W31" s="44">
        <f t="shared" si="26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7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>U31*1%</f>
        <v>36.49</v>
      </c>
      <c r="AE31" s="47">
        <f t="shared" si="28"/>
        <v>1234.21</v>
      </c>
      <c r="AF31" s="46"/>
      <c r="AG31" s="48">
        <f t="shared" si="29"/>
        <v>3649</v>
      </c>
      <c r="AH31" s="49">
        <f t="shared" si="30"/>
        <v>567</v>
      </c>
      <c r="AI31" s="49">
        <f t="shared" si="31"/>
        <v>1569.07</v>
      </c>
      <c r="AJ31" s="49">
        <f t="shared" si="32"/>
        <v>242.23</v>
      </c>
      <c r="AK31" s="49">
        <f t="shared" si="33"/>
        <v>0</v>
      </c>
      <c r="AL31" s="49">
        <f t="array" ref="AL31">_xlfn.IFS(R31=0,AE31,R31&lt;0,AE31/-R31,R31&gt;0,AE31/R31)</f>
        <v>1234.21</v>
      </c>
      <c r="AM31" s="50">
        <f t="shared" si="34"/>
        <v>0.33823239243628395</v>
      </c>
      <c r="AN31" s="51">
        <f t="shared" si="35"/>
        <v>2.17673721340388</v>
      </c>
      <c r="AP31" s="53">
        <f t="shared" si="36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3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19-25.01'!P:P,'Отчет 19-25.01'!C:C,"Вознаграждение Ozon",'Отчет 19-25.01'!E:E,B32)</f>
        <v>0</v>
      </c>
      <c r="Y32" s="45">
        <f t="shared" si="27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>U32*1%</f>
        <v>0</v>
      </c>
      <c r="AE32" s="47">
        <f t="shared" si="28"/>
        <v>0</v>
      </c>
      <c r="AF32" s="46"/>
      <c r="AG32" s="48">
        <f t="shared" si="29"/>
        <v>0</v>
      </c>
      <c r="AH32" s="49">
        <f t="shared" si="30"/>
        <v>567</v>
      </c>
      <c r="AI32" s="49">
        <f t="shared" si="31"/>
        <v>0</v>
      </c>
      <c r="AJ32" s="49">
        <f t="shared" si="32"/>
        <v>0</v>
      </c>
      <c r="AK32" s="49">
        <f t="shared" si="33"/>
        <v>0</v>
      </c>
      <c r="AL32" s="49">
        <f t="array" ref="AL32">_xlfn.IFS(R32=0,AE32,R32&lt;0,AE32/-R32,R32&gt;0,AE32/R32)</f>
        <v>0</v>
      </c>
      <c r="AM32" s="50">
        <f t="shared" si="34"/>
        <v>0</v>
      </c>
      <c r="AN32" s="51">
        <f t="shared" si="35"/>
        <v>0</v>
      </c>
      <c r="AP32" s="53">
        <f t="shared" si="36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1</v>
      </c>
      <c r="L33" s="36"/>
      <c r="M33" s="36"/>
      <c r="N33" s="37">
        <f t="shared" si="21"/>
        <v>0.14285714285714285</v>
      </c>
      <c r="O33" s="38">
        <f t="shared" si="22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3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4"/>
        <v>3080</v>
      </c>
      <c r="V33" s="43">
        <f t="shared" si="25"/>
        <v>4.92949856756454E-2</v>
      </c>
      <c r="W33" s="44">
        <f t="shared" si="26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7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>U33*1%</f>
        <v>30.8</v>
      </c>
      <c r="AE33" s="47">
        <f t="shared" si="28"/>
        <v>848.43999999999994</v>
      </c>
      <c r="AF33" s="46"/>
      <c r="AG33" s="48">
        <f t="shared" si="29"/>
        <v>3080</v>
      </c>
      <c r="AH33" s="49">
        <f t="shared" si="30"/>
        <v>657</v>
      </c>
      <c r="AI33" s="49">
        <f t="shared" si="31"/>
        <v>1324.4</v>
      </c>
      <c r="AJ33" s="49">
        <f t="shared" si="32"/>
        <v>219.36</v>
      </c>
      <c r="AK33" s="49">
        <f t="shared" si="33"/>
        <v>0</v>
      </c>
      <c r="AL33" s="49">
        <f t="array" ref="AL33">_xlfn.IFS(R33=0,AE33,R33&lt;0,AE33/-R33,R33&gt;0,AE33/R33)</f>
        <v>848.43999999999994</v>
      </c>
      <c r="AM33" s="50">
        <f t="shared" si="34"/>
        <v>0.27546753246753247</v>
      </c>
      <c r="AN33" s="51">
        <f t="shared" si="35"/>
        <v>1.2913850837138507</v>
      </c>
      <c r="AP33" s="53">
        <f t="shared" si="36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3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19-25.01'!P:P,'Отчет 19-25.01'!C:C,"Вознаграждение Ozon",'Отчет 19-25.01'!E:E,B34)</f>
        <v>0</v>
      </c>
      <c r="Y34" s="45">
        <f t="shared" si="27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>U34*1%</f>
        <v>0</v>
      </c>
      <c r="AE34" s="47">
        <f t="shared" si="28"/>
        <v>0</v>
      </c>
      <c r="AF34" s="46"/>
      <c r="AG34" s="48">
        <f t="shared" si="29"/>
        <v>0</v>
      </c>
      <c r="AH34" s="49">
        <f t="shared" si="30"/>
        <v>597</v>
      </c>
      <c r="AI34" s="49">
        <f t="shared" si="31"/>
        <v>0</v>
      </c>
      <c r="AJ34" s="49">
        <f t="shared" si="32"/>
        <v>0</v>
      </c>
      <c r="AK34" s="49">
        <f t="shared" si="33"/>
        <v>0</v>
      </c>
      <c r="AL34" s="49">
        <f t="array" ref="AL34">_xlfn.IFS(R34=0,AE34,R34&lt;0,AE34/-R34,R34&gt;0,AE34/R34)</f>
        <v>0</v>
      </c>
      <c r="AM34" s="50">
        <f t="shared" si="34"/>
        <v>0</v>
      </c>
      <c r="AN34" s="51">
        <f t="shared" si="35"/>
        <v>0</v>
      </c>
      <c r="AP34" s="53">
        <f t="shared" si="36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3</v>
      </c>
      <c r="L35" s="36"/>
      <c r="M35" s="36"/>
      <c r="N35" s="37">
        <f t="shared" si="21"/>
        <v>0.42857142857142855</v>
      </c>
      <c r="O35" s="38">
        <f t="shared" si="22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3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19-25.01'!P:P,'Отчет 19-25.01'!C:C,"Вознаграждение Ozon",'Отчет 19-25.01'!E:E,B35)</f>
        <v>0</v>
      </c>
      <c r="Y35" s="45">
        <f t="shared" si="27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>U35*1%</f>
        <v>0</v>
      </c>
      <c r="AE35" s="47">
        <f t="shared" si="28"/>
        <v>0</v>
      </c>
      <c r="AF35" s="46"/>
      <c r="AG35" s="48">
        <f t="shared" si="29"/>
        <v>0</v>
      </c>
      <c r="AH35" s="49">
        <f t="shared" si="30"/>
        <v>552</v>
      </c>
      <c r="AI35" s="49">
        <f t="shared" si="31"/>
        <v>0</v>
      </c>
      <c r="AJ35" s="49">
        <f t="shared" si="32"/>
        <v>0</v>
      </c>
      <c r="AK35" s="49">
        <f t="shared" si="33"/>
        <v>0</v>
      </c>
      <c r="AL35" s="49">
        <f t="array" ref="AL35">_xlfn.IFS(R35=0,AE35,R35&lt;0,AE35/-R35,R35&gt;0,AE35/R35)</f>
        <v>0</v>
      </c>
      <c r="AM35" s="50">
        <f t="shared" si="34"/>
        <v>0</v>
      </c>
      <c r="AN35" s="51">
        <f t="shared" si="35"/>
        <v>0</v>
      </c>
      <c r="AP35" s="53">
        <f t="shared" si="36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2</v>
      </c>
      <c r="L36" s="36"/>
      <c r="M36" s="36"/>
      <c r="N36" s="37">
        <f t="shared" si="21"/>
        <v>0.2857142857142857</v>
      </c>
      <c r="O36" s="38">
        <f t="shared" si="22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3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4"/>
        <v>0</v>
      </c>
      <c r="V36" s="43">
        <f t="shared" si="25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7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>U36*1%</f>
        <v>0</v>
      </c>
      <c r="AE36" s="47">
        <f t="shared" si="28"/>
        <v>-113.88</v>
      </c>
      <c r="AF36" s="46"/>
      <c r="AG36" s="48">
        <f t="shared" si="29"/>
        <v>0</v>
      </c>
      <c r="AH36" s="49">
        <f t="shared" si="30"/>
        <v>552</v>
      </c>
      <c r="AI36" s="49">
        <f t="shared" si="31"/>
        <v>0</v>
      </c>
      <c r="AJ36" s="49">
        <f t="shared" si="32"/>
        <v>113.88</v>
      </c>
      <c r="AK36" s="49">
        <f t="shared" si="33"/>
        <v>0</v>
      </c>
      <c r="AL36" s="49">
        <f t="array" ref="AL36">_xlfn.IFS(R36=0,AE36,R36&lt;0,AE36/-R36,R36&gt;0,AE36/R36)</f>
        <v>-113.88</v>
      </c>
      <c r="AM36" s="50">
        <f t="shared" si="34"/>
        <v>0</v>
      </c>
      <c r="AN36" s="51">
        <f t="shared" si="35"/>
        <v>-0.20630434782608695</v>
      </c>
      <c r="AP36" s="53">
        <f t="shared" si="36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4</v>
      </c>
      <c r="L37" s="36"/>
      <c r="M37" s="36"/>
      <c r="N37" s="37">
        <f t="shared" si="21"/>
        <v>0.5714285714285714</v>
      </c>
      <c r="O37" s="38">
        <f t="shared" si="22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3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4"/>
        <v>9012</v>
      </c>
      <c r="V37" s="43">
        <f t="shared" si="25"/>
        <v>0.14423584769770012</v>
      </c>
      <c r="W37" s="44">
        <f t="shared" si="26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7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>U37*1%</f>
        <v>90.12</v>
      </c>
      <c r="AE37" s="47">
        <f t="shared" si="28"/>
        <v>2688.1400000000003</v>
      </c>
      <c r="AF37" s="46"/>
      <c r="AG37" s="48">
        <f t="shared" si="29"/>
        <v>4506</v>
      </c>
      <c r="AH37" s="49">
        <f t="shared" si="30"/>
        <v>687</v>
      </c>
      <c r="AI37" s="49">
        <f t="shared" si="31"/>
        <v>1937.58</v>
      </c>
      <c r="AJ37" s="49">
        <f t="shared" si="32"/>
        <v>328.19333333333333</v>
      </c>
      <c r="AK37" s="49">
        <f t="shared" si="33"/>
        <v>0</v>
      </c>
      <c r="AL37" s="49">
        <f t="array" ref="AL37">_xlfn.IFS(R37=0,AE37,R37&lt;0,AE37/-R37,R37&gt;0,AE37/R37)</f>
        <v>1344.0700000000002</v>
      </c>
      <c r="AM37" s="50">
        <f t="shared" si="34"/>
        <v>0.29828450954283181</v>
      </c>
      <c r="AN37" s="51">
        <f t="shared" si="35"/>
        <v>1.9564337700145562</v>
      </c>
      <c r="AP37" s="53">
        <f t="shared" si="36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4</v>
      </c>
      <c r="L38" s="36"/>
      <c r="M38" s="36"/>
      <c r="N38" s="37">
        <f t="shared" si="21"/>
        <v>0.5714285714285714</v>
      </c>
      <c r="O38" s="38">
        <f t="shared" si="22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3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4"/>
        <v>-3546</v>
      </c>
      <c r="V38" s="43">
        <f t="shared" si="25"/>
        <v>-5.6753252988908633E-2</v>
      </c>
      <c r="W38" s="44">
        <f t="shared" si="26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7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>U38*1%</f>
        <v>-35.46</v>
      </c>
      <c r="AE38" s="47">
        <f t="shared" si="28"/>
        <v>-1412.6399999999999</v>
      </c>
      <c r="AF38" s="46"/>
      <c r="AG38" s="48">
        <f t="shared" si="29"/>
        <v>3546</v>
      </c>
      <c r="AH38" s="49">
        <f t="shared" si="30"/>
        <v>687</v>
      </c>
      <c r="AI38" s="49">
        <f t="shared" si="31"/>
        <v>1524.78</v>
      </c>
      <c r="AJ38" s="49">
        <f t="shared" si="32"/>
        <v>113.88</v>
      </c>
      <c r="AK38" s="49">
        <f t="shared" si="33"/>
        <v>0</v>
      </c>
      <c r="AL38" s="49">
        <f t="array" ref="AL38">_xlfn.IFS(R38=0,AE38,R38&lt;0,AE38/-R38,R38&gt;0,AE38/R38)</f>
        <v>-1412.6399999999999</v>
      </c>
      <c r="AM38" s="50">
        <f t="shared" si="34"/>
        <v>-0.39837563451776647</v>
      </c>
      <c r="AN38" s="51">
        <f t="shared" si="35"/>
        <v>-2.0562445414847161</v>
      </c>
      <c r="AP38" s="53">
        <f t="shared" si="36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1</v>
      </c>
      <c r="L39" s="36"/>
      <c r="M39" s="36"/>
      <c r="N39" s="37">
        <f t="shared" si="21"/>
        <v>0.14285714285714285</v>
      </c>
      <c r="O39" s="38">
        <f t="shared" si="22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3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19-25.01'!P:P,'Отчет 19-25.01'!C:C,"Вознаграждение Ozon",'Отчет 19-25.01'!E:E,B39)</f>
        <v>0</v>
      </c>
      <c r="Y39" s="45">
        <f t="shared" si="27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>U39*1%</f>
        <v>0</v>
      </c>
      <c r="AE39" s="47">
        <f t="shared" si="28"/>
        <v>0</v>
      </c>
      <c r="AF39" s="46"/>
      <c r="AG39" s="48">
        <f t="shared" si="29"/>
        <v>0</v>
      </c>
      <c r="AH39" s="49">
        <f t="shared" si="30"/>
        <v>597</v>
      </c>
      <c r="AI39" s="49">
        <f t="shared" si="31"/>
        <v>0</v>
      </c>
      <c r="AJ39" s="49">
        <f t="shared" si="32"/>
        <v>0</v>
      </c>
      <c r="AK39" s="49">
        <f t="shared" si="33"/>
        <v>0</v>
      </c>
      <c r="AL39" s="49">
        <f t="array" ref="AL39">_xlfn.IFS(R39=0,AE39,R39&lt;0,AE39/-R39,R39&gt;0,AE39/R39)</f>
        <v>0</v>
      </c>
      <c r="AM39" s="50">
        <f t="shared" si="34"/>
        <v>0</v>
      </c>
      <c r="AN39" s="51">
        <f t="shared" si="35"/>
        <v>0</v>
      </c>
      <c r="AP39" s="53">
        <f t="shared" si="36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3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19-25.01'!P:P,'Отчет 19-25.01'!C:C,"Вознаграждение Ozon",'Отчет 19-25.01'!E:E,B40)</f>
        <v>0</v>
      </c>
      <c r="Y40" s="45">
        <f t="shared" si="27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>U40*1%</f>
        <v>0</v>
      </c>
      <c r="AE40" s="47">
        <f t="shared" si="28"/>
        <v>0</v>
      </c>
      <c r="AF40" s="46"/>
      <c r="AG40" s="48">
        <f t="shared" si="29"/>
        <v>0</v>
      </c>
      <c r="AH40" s="49">
        <f t="shared" si="30"/>
        <v>597</v>
      </c>
      <c r="AI40" s="49">
        <f t="shared" si="31"/>
        <v>0</v>
      </c>
      <c r="AJ40" s="49">
        <f t="shared" si="32"/>
        <v>0</v>
      </c>
      <c r="AK40" s="49">
        <f t="shared" si="33"/>
        <v>0</v>
      </c>
      <c r="AL40" s="49">
        <f t="array" ref="AL40">_xlfn.IFS(R40=0,AE40,R40&lt;0,AE40/-R40,R40&gt;0,AE40/R40)</f>
        <v>0</v>
      </c>
      <c r="AM40" s="50">
        <f t="shared" si="34"/>
        <v>0</v>
      </c>
      <c r="AN40" s="51">
        <f t="shared" si="35"/>
        <v>0</v>
      </c>
      <c r="AP40" s="53">
        <f t="shared" si="36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3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19-25.01'!P:P,'Отчет 19-25.01'!C:C,"Вознаграждение Ozon",'Отчет 19-25.01'!E:E,B41)</f>
        <v>0</v>
      </c>
      <c r="Y41" s="45">
        <f t="shared" si="27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>U41*1%</f>
        <v>0</v>
      </c>
      <c r="AE41" s="47">
        <f t="shared" si="28"/>
        <v>0</v>
      </c>
      <c r="AF41" s="46"/>
      <c r="AG41" s="48">
        <f t="shared" si="29"/>
        <v>0</v>
      </c>
      <c r="AH41" s="49">
        <f t="shared" si="30"/>
        <v>597</v>
      </c>
      <c r="AI41" s="49">
        <f t="shared" si="31"/>
        <v>0</v>
      </c>
      <c r="AJ41" s="49">
        <f t="shared" si="32"/>
        <v>0</v>
      </c>
      <c r="AK41" s="49">
        <f t="shared" si="33"/>
        <v>0</v>
      </c>
      <c r="AL41" s="49">
        <f t="array" ref="AL41">_xlfn.IFS(R41=0,AE41,R41&lt;0,AE41/-R41,R41&gt;0,AE41/R41)</f>
        <v>0</v>
      </c>
      <c r="AM41" s="50">
        <f t="shared" si="34"/>
        <v>0</v>
      </c>
      <c r="AN41" s="51">
        <f t="shared" si="35"/>
        <v>0</v>
      </c>
      <c r="AP41" s="53">
        <f t="shared" si="36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3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19-25.01'!P:P,'Отчет 19-25.01'!C:C,"Вознаграждение Ozon",'Отчет 19-25.01'!E:E,B42)</f>
        <v>0</v>
      </c>
      <c r="Y42" s="45">
        <f t="shared" si="27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>U42*1%</f>
        <v>0</v>
      </c>
      <c r="AE42" s="47">
        <f t="shared" si="28"/>
        <v>0</v>
      </c>
      <c r="AF42" s="46"/>
      <c r="AG42" s="48">
        <f t="shared" si="29"/>
        <v>0</v>
      </c>
      <c r="AH42" s="49">
        <f t="shared" si="30"/>
        <v>642</v>
      </c>
      <c r="AI42" s="49">
        <f t="shared" si="31"/>
        <v>0</v>
      </c>
      <c r="AJ42" s="49">
        <f t="shared" si="32"/>
        <v>0</v>
      </c>
      <c r="AK42" s="49">
        <f t="shared" si="33"/>
        <v>0</v>
      </c>
      <c r="AL42" s="49">
        <f t="array" ref="AL42">_xlfn.IFS(R42=0,AE42,R42&lt;0,AE42/-R42,R42&gt;0,AE42/R42)</f>
        <v>0</v>
      </c>
      <c r="AM42" s="50">
        <f t="shared" si="34"/>
        <v>0</v>
      </c>
      <c r="AN42" s="51">
        <f t="shared" si="35"/>
        <v>0</v>
      </c>
      <c r="AP42" s="53">
        <f t="shared" si="36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3</v>
      </c>
      <c r="L43" s="36"/>
      <c r="M43" s="36"/>
      <c r="N43" s="37">
        <f t="shared" si="21"/>
        <v>0.42857142857142855</v>
      </c>
      <c r="O43" s="38">
        <f t="shared" si="22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3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19-25.01'!P:P,'Отчет 19-25.01'!C:C,"Вознаграждение Ozon",'Отчет 19-25.01'!E:E,B43)</f>
        <v>0</v>
      </c>
      <c r="Y43" s="45">
        <f t="shared" si="27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>U43*1%</f>
        <v>0</v>
      </c>
      <c r="AE43" s="47">
        <f t="shared" si="28"/>
        <v>0</v>
      </c>
      <c r="AF43" s="46"/>
      <c r="AG43" s="48">
        <f t="shared" si="29"/>
        <v>0</v>
      </c>
      <c r="AH43" s="49">
        <f t="shared" si="30"/>
        <v>642</v>
      </c>
      <c r="AI43" s="49">
        <f t="shared" si="31"/>
        <v>0</v>
      </c>
      <c r="AJ43" s="49">
        <f t="shared" si="32"/>
        <v>0</v>
      </c>
      <c r="AK43" s="49">
        <f t="shared" si="33"/>
        <v>0</v>
      </c>
      <c r="AL43" s="49">
        <f t="array" ref="AL43">_xlfn.IFS(R43=0,AE43,R43&lt;0,AE43/-R43,R43&gt;0,AE43/R43)</f>
        <v>0</v>
      </c>
      <c r="AM43" s="50">
        <f t="shared" si="34"/>
        <v>0</v>
      </c>
      <c r="AN43" s="51">
        <f t="shared" si="35"/>
        <v>0</v>
      </c>
      <c r="AP43" s="53">
        <f t="shared" si="36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20</v>
      </c>
      <c r="L44" s="36"/>
      <c r="M44" s="36"/>
      <c r="N44" s="37">
        <f t="shared" si="21"/>
        <v>2.8571428571428572</v>
      </c>
      <c r="O44" s="38">
        <f t="shared" si="22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3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4"/>
        <v>12533.999999999998</v>
      </c>
      <c r="V44" s="43">
        <f t="shared" si="25"/>
        <v>0.2006049839151102</v>
      </c>
      <c r="W44" s="44">
        <f t="shared" si="26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7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>U44*1%</f>
        <v>125.33999999999999</v>
      </c>
      <c r="AE44" s="47">
        <f t="shared" si="28"/>
        <v>-4316.5011970000023</v>
      </c>
      <c r="AF44" s="46"/>
      <c r="AG44" s="48">
        <f t="shared" si="29"/>
        <v>4177.9999999999991</v>
      </c>
      <c r="AH44" s="49">
        <f t="shared" si="30"/>
        <v>687</v>
      </c>
      <c r="AI44" s="49">
        <f t="shared" si="31"/>
        <v>1796.54</v>
      </c>
      <c r="AJ44" s="49">
        <f t="shared" si="32"/>
        <v>452.14333333333343</v>
      </c>
      <c r="AK44" s="49">
        <f t="shared" si="33"/>
        <v>2639.3703989999999</v>
      </c>
      <c r="AL44" s="49">
        <f t="array" ref="AL44">_xlfn.IFS(R44=0,AE44,R44&lt;0,AE44/-R44,R44&gt;0,AE44/R44)</f>
        <v>-1438.8337323333342</v>
      </c>
      <c r="AM44" s="50">
        <f t="shared" si="34"/>
        <v>-0.34438337298547977</v>
      </c>
      <c r="AN44" s="51">
        <f t="shared" si="35"/>
        <v>-2.0943722450266873</v>
      </c>
      <c r="AP44" s="53">
        <f t="shared" si="36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21</v>
      </c>
      <c r="L45" s="36"/>
      <c r="M45" s="36"/>
      <c r="N45" s="37">
        <f t="shared" si="21"/>
        <v>3</v>
      </c>
      <c r="O45" s="38">
        <f t="shared" si="22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3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4"/>
        <v>37751.999999999993</v>
      </c>
      <c r="V45" s="43">
        <f t="shared" si="25"/>
        <v>0.60421568156719641</v>
      </c>
      <c r="W45" s="44">
        <f t="shared" si="26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7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>U45*1%</f>
        <v>377.51999999999992</v>
      </c>
      <c r="AE45" s="47">
        <f t="shared" si="28"/>
        <v>6439.7034269999904</v>
      </c>
      <c r="AF45" s="46"/>
      <c r="AG45" s="48">
        <f t="shared" si="29"/>
        <v>4718.9999999999991</v>
      </c>
      <c r="AH45" s="49">
        <f t="shared" si="30"/>
        <v>687</v>
      </c>
      <c r="AI45" s="49">
        <f t="shared" si="31"/>
        <v>2029.17</v>
      </c>
      <c r="AJ45" s="49">
        <f t="shared" si="32"/>
        <v>336.0510000000001</v>
      </c>
      <c r="AK45" s="49">
        <f t="shared" si="33"/>
        <v>584.49065730000007</v>
      </c>
      <c r="AL45" s="49">
        <f t="array" ref="AL45">_xlfn.IFS(R45=0,AE45,R45&lt;0,AE45/-R45,R45&gt;0,AE45/R45)</f>
        <v>804.9629283749988</v>
      </c>
      <c r="AM45" s="50">
        <f t="shared" si="34"/>
        <v>0.17057913294659863</v>
      </c>
      <c r="AN45" s="51">
        <f t="shared" si="35"/>
        <v>1.1717073193231424</v>
      </c>
      <c r="AP45" s="53">
        <f t="shared" si="36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2</v>
      </c>
      <c r="L46" s="36"/>
      <c r="M46" s="36"/>
      <c r="N46" s="37">
        <f t="shared" si="21"/>
        <v>0.2857142857142857</v>
      </c>
      <c r="O46" s="38">
        <f t="shared" si="22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3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19-25.01'!P:P,'Отчет 19-25.01'!C:C,"Вознаграждение Ozon",'Отчет 19-25.01'!E:E,B46)</f>
        <v>0</v>
      </c>
      <c r="Y46" s="45">
        <f t="shared" si="27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>U46*1%</f>
        <v>0</v>
      </c>
      <c r="AE46" s="47">
        <f t="shared" si="28"/>
        <v>-810.57042999999999</v>
      </c>
      <c r="AF46" s="46"/>
      <c r="AG46" s="48">
        <f t="shared" si="29"/>
        <v>0</v>
      </c>
      <c r="AH46" s="49">
        <f t="shared" si="30"/>
        <v>552</v>
      </c>
      <c r="AI46" s="49">
        <f t="shared" si="31"/>
        <v>0</v>
      </c>
      <c r="AJ46" s="49">
        <f t="shared" si="32"/>
        <v>0</v>
      </c>
      <c r="AK46" s="49">
        <f t="shared" si="33"/>
        <v>0</v>
      </c>
      <c r="AL46" s="49">
        <f t="array" ref="AL46">_xlfn.IFS(R46=0,AE46,R46&lt;0,AE46/-R46,R46&gt;0,AE46/R46)</f>
        <v>-810.57042999999999</v>
      </c>
      <c r="AM46" s="50">
        <f t="shared" si="34"/>
        <v>0</v>
      </c>
      <c r="AN46" s="51">
        <f t="shared" si="35"/>
        <v>-1.4684246920289854</v>
      </c>
      <c r="AP46" s="53">
        <f t="shared" si="36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3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19-25.01'!P:P,'Отчет 19-25.01'!C:C,"Вознаграждение Ozon",'Отчет 19-25.01'!E:E,B47)</f>
        <v>0</v>
      </c>
      <c r="Y47" s="45">
        <f t="shared" si="27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>U47*1%</f>
        <v>0</v>
      </c>
      <c r="AE47" s="47">
        <f t="shared" si="28"/>
        <v>0</v>
      </c>
      <c r="AF47" s="46"/>
      <c r="AG47" s="48">
        <f t="shared" si="29"/>
        <v>0</v>
      </c>
      <c r="AH47" s="49">
        <f t="shared" si="30"/>
        <v>552</v>
      </c>
      <c r="AI47" s="49">
        <f t="shared" si="31"/>
        <v>0</v>
      </c>
      <c r="AJ47" s="49">
        <f t="shared" si="32"/>
        <v>0</v>
      </c>
      <c r="AK47" s="49">
        <f t="shared" si="33"/>
        <v>0</v>
      </c>
      <c r="AL47" s="49">
        <f t="array" ref="AL47">_xlfn.IFS(R47=0,AE47,R47&lt;0,AE47/-R47,R47&gt;0,AE47/R47)</f>
        <v>0</v>
      </c>
      <c r="AM47" s="50">
        <f t="shared" si="34"/>
        <v>0</v>
      </c>
      <c r="AN47" s="51">
        <f t="shared" si="35"/>
        <v>0</v>
      </c>
      <c r="AP47" s="53">
        <f t="shared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7">AVERAGEIF(AG28:AG47,"&lt;&gt;0",AG28:AG47)</f>
        <v>3946.3333333333335</v>
      </c>
      <c r="AH48" s="86">
        <f t="shared" si="37"/>
        <v>617.25</v>
      </c>
      <c r="AI48" s="86">
        <f t="shared" si="37"/>
        <v>1696.9233333333334</v>
      </c>
      <c r="AJ48" s="86">
        <f t="shared" si="37"/>
        <v>257.96252380952387</v>
      </c>
      <c r="AK48" s="86">
        <f t="shared" si="37"/>
        <v>1611.9305281500001</v>
      </c>
      <c r="AL48" s="86">
        <f t="shared" si="37"/>
        <v>-9.1053537731483711</v>
      </c>
      <c r="AM48" s="87">
        <f t="shared" si="37"/>
        <v>5.6634093315000099E-2</v>
      </c>
      <c r="AN48" s="87">
        <f t="shared" si="37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38">SUM(P28:P47)</f>
        <v>18</v>
      </c>
      <c r="Q49" s="90">
        <f t="shared" si="38"/>
        <v>4</v>
      </c>
      <c r="R49" s="96">
        <f t="shared" si="38"/>
        <v>14</v>
      </c>
      <c r="S49" s="90">
        <f t="shared" si="38"/>
        <v>80413</v>
      </c>
      <c r="T49" s="90">
        <f t="shared" si="38"/>
        <v>-17932</v>
      </c>
      <c r="U49" s="96">
        <f t="shared" si="38"/>
        <v>62480.999999999993</v>
      </c>
      <c r="V49" s="97">
        <f t="shared" si="38"/>
        <v>1</v>
      </c>
      <c r="W49" s="90">
        <f t="shared" si="38"/>
        <v>9468</v>
      </c>
      <c r="X49" s="90">
        <f t="shared" si="38"/>
        <v>26866.83</v>
      </c>
      <c r="Y49" s="98">
        <f>IF(U49=0,0,X49/U49)</f>
        <v>0.4300000000000001</v>
      </c>
      <c r="Z49" s="90">
        <f>SUM(Z28:Z47)</f>
        <v>6390.8700000000008</v>
      </c>
      <c r="AA49" s="90">
        <f>IFERROR(P49*AA51/P51,0)</f>
        <v>8921.6034146341462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39">P26+P49</f>
        <v>82</v>
      </c>
      <c r="Q51" s="118">
        <f t="shared" si="39"/>
        <v>5</v>
      </c>
      <c r="R51" s="121">
        <f t="shared" si="39"/>
        <v>77</v>
      </c>
      <c r="S51" s="118">
        <f t="shared" si="39"/>
        <v>184999.00000000003</v>
      </c>
      <c r="T51" s="118">
        <f t="shared" si="39"/>
        <v>-19602</v>
      </c>
      <c r="U51" s="121">
        <f t="shared" si="39"/>
        <v>165397.00000000003</v>
      </c>
      <c r="V51" s="122">
        <f t="shared" si="39"/>
        <v>2.6471567356476373</v>
      </c>
      <c r="W51" s="118">
        <f t="shared" si="39"/>
        <v>18962.979999999996</v>
      </c>
      <c r="X51" s="118">
        <f t="shared" si="39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495.64463414634145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40642.86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67">
        <f>AA27+AA50</f>
        <v>40375.177959000001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F12" sqref="AF1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755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>U3*1%</f>
        <v>716.77000000000021</v>
      </c>
      <c r="AE3" s="47">
        <f t="shared" ref="AE3:AE24" si="4">U3-W3-X3-Z3-AA3-AB3-AC3-AD3</f>
        <v>11137.395480000014</v>
      </c>
      <c r="AF3" s="46"/>
      <c r="AG3" s="48">
        <f t="shared" ref="AG3:AG24" si="5">IF(R3=0,0,U3/R3)</f>
        <v>1666.9069767441863</v>
      </c>
      <c r="AH3" s="49">
        <f t="shared" ref="AH3:AH24" si="6">H3</f>
        <v>142.97999999999999</v>
      </c>
      <c r="AI3" s="49">
        <f t="shared" ref="AI3:AI24" si="7">IF(R3=0,0,X3/R3)</f>
        <v>716.7700000000001</v>
      </c>
      <c r="AJ3" s="49">
        <f t="shared" ref="AJ3:AJ24" si="8">IF(P3=0,Z3/1,Z3/P3)</f>
        <v>173.0172093023256</v>
      </c>
      <c r="AK3" s="49">
        <f t="shared" ref="AK3:AK24" si="9">IF(P3=0,0,AA3/P3)</f>
        <v>358.46150046511627</v>
      </c>
      <c r="AL3" s="49">
        <f>_xlfn.IFS(R3=0,AE3,R3&lt;0,AE3/-R3,R3&gt;0,AE3/R3)</f>
        <v>259.00919720930267</v>
      </c>
      <c r="AM3" s="50">
        <f t="shared" ref="AM3:AM24" si="10">IF(AG3=0,0,AL3/AG3)</f>
        <v>0.1553831142486434</v>
      </c>
      <c r="AN3" s="51">
        <f t="shared" ref="AN3:AN24" si="11">IF(AH3=0,0,AL3/AH3)</f>
        <v>1.8115064848881151</v>
      </c>
      <c r="AP3" s="53">
        <f t="shared" ref="AP3:AP24" si="12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3">S4+T4</f>
        <v>3268</v>
      </c>
      <c r="V4" s="43">
        <f t="shared" ref="V4:V24" si="14">U4/$U$49</f>
        <v>0.15547098001902951</v>
      </c>
      <c r="W4" s="44">
        <f t="shared" ref="W4:W24" si="15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6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>U4*1%</f>
        <v>32.68</v>
      </c>
      <c r="AE4" s="47">
        <f t="shared" si="4"/>
        <v>-910.4984969999997</v>
      </c>
      <c r="AF4" s="46"/>
      <c r="AG4" s="48">
        <f t="shared" si="5"/>
        <v>1634</v>
      </c>
      <c r="AH4" s="49">
        <f t="shared" si="6"/>
        <v>123.09</v>
      </c>
      <c r="AI4" s="49">
        <f t="shared" si="7"/>
        <v>702.62</v>
      </c>
      <c r="AJ4" s="49">
        <f t="shared" si="8"/>
        <v>231.51999999999998</v>
      </c>
      <c r="AK4" s="49">
        <f t="shared" si="9"/>
        <v>1015.6792485</v>
      </c>
      <c r="AL4" s="49">
        <f t="array" ref="AL4">_xlfn.IFS(R4=0,AE4,R4&lt;0,AE4/-R4,R4&gt;0,AE4/R4)</f>
        <v>-455.24924849999985</v>
      </c>
      <c r="AM4" s="50">
        <f t="shared" si="10"/>
        <v>-0.2786103111995103</v>
      </c>
      <c r="AN4" s="51">
        <f t="shared" si="11"/>
        <v>-3.6985071776748706</v>
      </c>
      <c r="AP4" s="53">
        <f t="shared" si="12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3"/>
        <v>2412</v>
      </c>
      <c r="V5" s="43">
        <f t="shared" si="14"/>
        <v>0.11474785918173168</v>
      </c>
      <c r="W5" s="44">
        <f t="shared" si="15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6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>U5*1%</f>
        <v>24.12</v>
      </c>
      <c r="AE5" s="47">
        <f t="shared" si="4"/>
        <v>881.45</v>
      </c>
      <c r="AF5" s="46"/>
      <c r="AG5" s="48">
        <f t="shared" si="5"/>
        <v>1206</v>
      </c>
      <c r="AH5" s="49">
        <f t="shared" si="6"/>
        <v>123.09</v>
      </c>
      <c r="AI5" s="49">
        <f t="shared" si="7"/>
        <v>518.58000000000004</v>
      </c>
      <c r="AJ5" s="49">
        <f t="shared" si="8"/>
        <v>111.545</v>
      </c>
      <c r="AK5" s="49">
        <f t="shared" si="9"/>
        <v>0</v>
      </c>
      <c r="AL5" s="49">
        <f t="array" ref="AL5">_xlfn.IFS(R5=0,AE5,R5&lt;0,AE5/-R5,R5&gt;0,AE5/R5)</f>
        <v>440.72500000000002</v>
      </c>
      <c r="AM5" s="50">
        <f t="shared" si="10"/>
        <v>0.3654436152570481</v>
      </c>
      <c r="AN5" s="51">
        <f t="shared" si="11"/>
        <v>3.5805101957916974</v>
      </c>
      <c r="AP5" s="53">
        <f t="shared" si="12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3"/>
        <v>11809</v>
      </c>
      <c r="V6" s="43">
        <f t="shared" si="14"/>
        <v>0.56179828734538539</v>
      </c>
      <c r="W6" s="44">
        <f t="shared" si="15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6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>U6*1%</f>
        <v>118.09</v>
      </c>
      <c r="AE6" s="47">
        <f t="shared" si="4"/>
        <v>3561.251341000001</v>
      </c>
      <c r="AF6" s="46"/>
      <c r="AG6" s="48">
        <f t="shared" si="5"/>
        <v>1687</v>
      </c>
      <c r="AH6" s="49">
        <f t="shared" si="6"/>
        <v>123.09</v>
      </c>
      <c r="AI6" s="49">
        <f t="shared" si="7"/>
        <v>725.41</v>
      </c>
      <c r="AJ6" s="49">
        <f t="shared" si="8"/>
        <v>178.08285714285714</v>
      </c>
      <c r="AK6" s="49">
        <f t="shared" si="9"/>
        <v>134.7969512857143</v>
      </c>
      <c r="AL6" s="49">
        <f t="array" ref="AL6">_xlfn.IFS(R6=0,AE6,R6&lt;0,AE6/-R6,R6&gt;0,AE6/R6)</f>
        <v>508.75019157142873</v>
      </c>
      <c r="AM6" s="50">
        <f t="shared" si="10"/>
        <v>0.3015709493606572</v>
      </c>
      <c r="AN6" s="51">
        <f t="shared" si="11"/>
        <v>4.1331561586759991</v>
      </c>
      <c r="AP6" s="53">
        <f t="shared" si="12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3"/>
        <v>0</v>
      </c>
      <c r="V7" s="43">
        <f t="shared" si="14"/>
        <v>0</v>
      </c>
      <c r="W7" s="44">
        <f t="shared" si="15"/>
        <v>0</v>
      </c>
      <c r="X7" s="42">
        <f>-SUMIFS('Отчет 12-18.01'!P:P,'Отчет 12-18.01'!C:C,"Вознаграждение Ozon",'Отчет 12-18.01'!E:E,B7)</f>
        <v>0</v>
      </c>
      <c r="Y7" s="45">
        <f t="shared" si="16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>U7*1%</f>
        <v>0</v>
      </c>
      <c r="AE7" s="47">
        <f t="shared" si="4"/>
        <v>0</v>
      </c>
      <c r="AF7" s="46"/>
      <c r="AG7" s="48">
        <f t="shared" si="5"/>
        <v>0</v>
      </c>
      <c r="AH7" s="49">
        <f t="shared" si="6"/>
        <v>117.24</v>
      </c>
      <c r="AI7" s="49">
        <f t="shared" si="7"/>
        <v>0</v>
      </c>
      <c r="AJ7" s="49">
        <f t="shared" si="8"/>
        <v>0</v>
      </c>
      <c r="AK7" s="49">
        <f t="shared" si="9"/>
        <v>0</v>
      </c>
      <c r="AL7" s="49">
        <f t="array" ref="AL7">_xlfn.IFS(R7=0,AE7,R7&lt;0,AE7/-R7,R7&gt;0,AE7/R7)</f>
        <v>0</v>
      </c>
      <c r="AM7" s="50">
        <f t="shared" si="10"/>
        <v>0</v>
      </c>
      <c r="AN7" s="51">
        <f t="shared" si="11"/>
        <v>0</v>
      </c>
      <c r="AP7" s="53">
        <f t="shared" si="12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3"/>
        <v>0</v>
      </c>
      <c r="V8" s="43">
        <f t="shared" si="14"/>
        <v>0</v>
      </c>
      <c r="W8" s="44">
        <f t="shared" si="15"/>
        <v>0</v>
      </c>
      <c r="X8" s="42">
        <f>-SUMIFS('Отчет 12-18.01'!P:P,'Отчет 12-18.01'!C:C,"Вознаграждение Ozon",'Отчет 12-18.01'!E:E,B8)</f>
        <v>0</v>
      </c>
      <c r="Y8" s="45">
        <f t="shared" si="16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>U8*1%</f>
        <v>0</v>
      </c>
      <c r="AE8" s="47">
        <f t="shared" si="4"/>
        <v>0</v>
      </c>
      <c r="AF8" s="46"/>
      <c r="AG8" s="48">
        <f t="shared" si="5"/>
        <v>0</v>
      </c>
      <c r="AH8" s="49">
        <f t="shared" si="6"/>
        <v>123</v>
      </c>
      <c r="AI8" s="49">
        <f t="shared" si="7"/>
        <v>0</v>
      </c>
      <c r="AJ8" s="49">
        <f t="shared" si="8"/>
        <v>0</v>
      </c>
      <c r="AK8" s="49">
        <f t="shared" si="9"/>
        <v>0</v>
      </c>
      <c r="AL8" s="49">
        <f t="array" ref="AL8">_xlfn.IFS(R8=0,AE8,R8&lt;0,AE8/-R8,R8&gt;0,AE8/R8)</f>
        <v>0</v>
      </c>
      <c r="AM8" s="50">
        <f t="shared" si="10"/>
        <v>0</v>
      </c>
      <c r="AN8" s="51">
        <f t="shared" si="11"/>
        <v>0</v>
      </c>
      <c r="AP8" s="53">
        <f t="shared" si="12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3"/>
        <v>0</v>
      </c>
      <c r="V9" s="43">
        <f t="shared" si="14"/>
        <v>0</v>
      </c>
      <c r="W9" s="44">
        <f t="shared" si="15"/>
        <v>0</v>
      </c>
      <c r="X9" s="42">
        <f>-SUMIFS('Отчет 12-18.01'!P:P,'Отчет 12-18.01'!C:C,"Вознаграждение Ozon",'Отчет 12-18.01'!E:E,B9)</f>
        <v>0</v>
      </c>
      <c r="Y9" s="45">
        <f t="shared" si="16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>U9*1%</f>
        <v>0</v>
      </c>
      <c r="AE9" s="47">
        <f t="shared" si="4"/>
        <v>-429.25018599999999</v>
      </c>
      <c r="AF9" s="46"/>
      <c r="AG9" s="48">
        <f t="shared" si="5"/>
        <v>0</v>
      </c>
      <c r="AH9" s="49">
        <f t="shared" si="6"/>
        <v>123</v>
      </c>
      <c r="AI9" s="49">
        <f t="shared" si="7"/>
        <v>0</v>
      </c>
      <c r="AJ9" s="49">
        <f t="shared" si="8"/>
        <v>0</v>
      </c>
      <c r="AK9" s="49">
        <f t="shared" si="9"/>
        <v>0</v>
      </c>
      <c r="AL9" s="49">
        <f t="array" ref="AL9">_xlfn.IFS(R9=0,AE9,R9&lt;0,AE9/-R9,R9&gt;0,AE9/R9)</f>
        <v>-429.25018599999999</v>
      </c>
      <c r="AM9" s="50">
        <f t="shared" si="10"/>
        <v>0</v>
      </c>
      <c r="AN9" s="51">
        <f t="shared" si="11"/>
        <v>-3.4898389105691057</v>
      </c>
      <c r="AP9" s="53">
        <f t="shared" si="12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3"/>
        <v>0</v>
      </c>
      <c r="V10" s="43">
        <f t="shared" si="14"/>
        <v>0</v>
      </c>
      <c r="W10" s="44">
        <f t="shared" si="15"/>
        <v>0</v>
      </c>
      <c r="X10" s="42">
        <f>-SUMIFS('Отчет 12-18.01'!P:P,'Отчет 12-18.01'!C:C,"Вознаграждение Ozon",'Отчет 12-18.01'!E:E,B10)</f>
        <v>0</v>
      </c>
      <c r="Y10" s="45">
        <f t="shared" si="16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>U10*1%</f>
        <v>0</v>
      </c>
      <c r="AE10" s="47">
        <f t="shared" si="4"/>
        <v>-93.54</v>
      </c>
      <c r="AF10" s="46"/>
      <c r="AG10" s="48">
        <f t="shared" si="5"/>
        <v>0</v>
      </c>
      <c r="AH10" s="49">
        <f t="shared" si="6"/>
        <v>169.89</v>
      </c>
      <c r="AI10" s="49">
        <f t="shared" si="7"/>
        <v>0</v>
      </c>
      <c r="AJ10" s="49">
        <f t="shared" si="8"/>
        <v>93.54</v>
      </c>
      <c r="AK10" s="49">
        <f t="shared" si="9"/>
        <v>0</v>
      </c>
      <c r="AL10" s="49">
        <f t="array" ref="AL10">_xlfn.IFS(R10=0,AE10,R10&lt;0,AE10/-R10,R10&gt;0,AE10/R10)</f>
        <v>-93.54</v>
      </c>
      <c r="AM10" s="50">
        <f t="shared" si="10"/>
        <v>0</v>
      </c>
      <c r="AN10" s="51">
        <f t="shared" si="11"/>
        <v>-0.55059155924421688</v>
      </c>
      <c r="AP10" s="53">
        <f t="shared" si="12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3"/>
        <v>0</v>
      </c>
      <c r="V11" s="43">
        <f t="shared" si="14"/>
        <v>0</v>
      </c>
      <c r="W11" s="44">
        <f t="shared" si="15"/>
        <v>0</v>
      </c>
      <c r="X11" s="42">
        <f>-SUMIFS('Отчет 12-18.01'!P:P,'Отчет 12-18.01'!C:C,"Вознаграждение Ozon",'Отчет 12-18.01'!E:E,B11)</f>
        <v>0</v>
      </c>
      <c r="Y11" s="45">
        <f t="shared" si="16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>U11*1%</f>
        <v>0</v>
      </c>
      <c r="AE11" s="47">
        <f t="shared" si="4"/>
        <v>0</v>
      </c>
      <c r="AF11" s="46"/>
      <c r="AG11" s="48">
        <f t="shared" si="5"/>
        <v>0</v>
      </c>
      <c r="AH11" s="49">
        <f t="shared" si="6"/>
        <v>169.89</v>
      </c>
      <c r="AI11" s="49">
        <f t="shared" si="7"/>
        <v>0</v>
      </c>
      <c r="AJ11" s="49">
        <f t="shared" si="8"/>
        <v>0</v>
      </c>
      <c r="AK11" s="49">
        <f t="shared" si="9"/>
        <v>0</v>
      </c>
      <c r="AL11" s="49">
        <f t="array" ref="AL11">_xlfn.IFS(R11=0,AE11,R11&lt;0,AE11/-R11,R11&gt;0,AE11/R11)</f>
        <v>0</v>
      </c>
      <c r="AM11" s="50">
        <f t="shared" si="10"/>
        <v>0</v>
      </c>
      <c r="AN11" s="51">
        <f t="shared" si="11"/>
        <v>0</v>
      </c>
      <c r="AP11" s="53">
        <f t="shared" si="12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3"/>
        <v>0</v>
      </c>
      <c r="V12" s="43">
        <f t="shared" si="14"/>
        <v>0</v>
      </c>
      <c r="W12" s="44">
        <f t="shared" si="15"/>
        <v>0</v>
      </c>
      <c r="X12" s="42">
        <f>-SUMIFS('Отчет 12-18.01'!P:P,'Отчет 12-18.01'!C:C,"Вознаграждение Ozon",'Отчет 12-18.01'!E:E,B12)</f>
        <v>0</v>
      </c>
      <c r="Y12" s="45">
        <f t="shared" si="16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>U12*1%</f>
        <v>0</v>
      </c>
      <c r="AE12" s="47">
        <f t="shared" si="4"/>
        <v>0</v>
      </c>
      <c r="AF12" s="46"/>
      <c r="AG12" s="48">
        <f t="shared" si="5"/>
        <v>0</v>
      </c>
      <c r="AH12" s="49">
        <f t="shared" si="6"/>
        <v>169.89</v>
      </c>
      <c r="AI12" s="49">
        <f t="shared" si="7"/>
        <v>0</v>
      </c>
      <c r="AJ12" s="49">
        <f t="shared" si="8"/>
        <v>0</v>
      </c>
      <c r="AK12" s="49">
        <f t="shared" si="9"/>
        <v>0</v>
      </c>
      <c r="AL12" s="49">
        <f t="array" ref="AL12">_xlfn.IFS(R12=0,AE12,R12&lt;0,AE12/-R12,R12&gt;0,AE12/R12)</f>
        <v>0</v>
      </c>
      <c r="AM12" s="50">
        <f t="shared" si="10"/>
        <v>0</v>
      </c>
      <c r="AN12" s="51">
        <f t="shared" si="11"/>
        <v>0</v>
      </c>
      <c r="AP12" s="53">
        <f t="shared" si="12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3"/>
        <v>0</v>
      </c>
      <c r="V13" s="43">
        <f t="shared" si="14"/>
        <v>0</v>
      </c>
      <c r="W13" s="44">
        <f t="shared" si="15"/>
        <v>0</v>
      </c>
      <c r="X13" s="42">
        <f>-SUMIFS('Отчет 12-18.01'!P:P,'Отчет 12-18.01'!C:C,"Вознаграждение Ozon",'Отчет 12-18.01'!E:E,B13)</f>
        <v>0</v>
      </c>
      <c r="Y13" s="45">
        <f t="shared" si="16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>U13*1%</f>
        <v>0</v>
      </c>
      <c r="AE13" s="47">
        <f t="shared" si="4"/>
        <v>-93.54</v>
      </c>
      <c r="AF13" s="46"/>
      <c r="AG13" s="48">
        <f t="shared" si="5"/>
        <v>0</v>
      </c>
      <c r="AH13" s="49">
        <f t="shared" si="6"/>
        <v>169.89</v>
      </c>
      <c r="AI13" s="49">
        <f t="shared" si="7"/>
        <v>0</v>
      </c>
      <c r="AJ13" s="49">
        <f t="shared" si="8"/>
        <v>93.54</v>
      </c>
      <c r="AK13" s="49">
        <f t="shared" si="9"/>
        <v>0</v>
      </c>
      <c r="AL13" s="49">
        <f t="array" ref="AL13">_xlfn.IFS(R13=0,AE13,R13&lt;0,AE13/-R13,R13&gt;0,AE13/R13)</f>
        <v>-93.54</v>
      </c>
      <c r="AM13" s="50">
        <f t="shared" si="10"/>
        <v>0</v>
      </c>
      <c r="AN13" s="51">
        <f t="shared" si="11"/>
        <v>-0.55059155924421688</v>
      </c>
      <c r="AP13" s="53">
        <f t="shared" si="12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3"/>
        <v>0</v>
      </c>
      <c r="V14" s="43">
        <f t="shared" si="14"/>
        <v>0</v>
      </c>
      <c r="W14" s="44">
        <f t="shared" si="15"/>
        <v>0</v>
      </c>
      <c r="X14" s="42">
        <f>-SUMIFS('Отчет 12-18.01'!P:P,'Отчет 12-18.01'!C:C,"Вознаграждение Ozon",'Отчет 12-18.01'!E:E,B14)</f>
        <v>0</v>
      </c>
      <c r="Y14" s="45">
        <f t="shared" si="16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>U14*1%</f>
        <v>0</v>
      </c>
      <c r="AE14" s="47">
        <f t="shared" si="4"/>
        <v>0</v>
      </c>
      <c r="AF14" s="46"/>
      <c r="AG14" s="48">
        <f t="shared" si="5"/>
        <v>0</v>
      </c>
      <c r="AH14" s="49">
        <f t="shared" si="6"/>
        <v>169.89</v>
      </c>
      <c r="AI14" s="49">
        <f t="shared" si="7"/>
        <v>0</v>
      </c>
      <c r="AJ14" s="49">
        <f t="shared" si="8"/>
        <v>0</v>
      </c>
      <c r="AK14" s="49">
        <f t="shared" si="9"/>
        <v>0</v>
      </c>
      <c r="AL14" s="49">
        <f t="array" ref="AL14">_xlfn.IFS(R14=0,AE14,R14&lt;0,AE14/-R14,R14&gt;0,AE14/R14)</f>
        <v>0</v>
      </c>
      <c r="AM14" s="50">
        <f t="shared" si="10"/>
        <v>0</v>
      </c>
      <c r="AN14" s="51">
        <f t="shared" si="11"/>
        <v>0</v>
      </c>
      <c r="AP14" s="53">
        <f t="shared" si="12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3"/>
        <v>0</v>
      </c>
      <c r="V15" s="43">
        <f t="shared" si="14"/>
        <v>0</v>
      </c>
      <c r="W15" s="44">
        <f t="shared" si="15"/>
        <v>0</v>
      </c>
      <c r="X15" s="42">
        <f>-SUMIFS('Отчет 12-18.01'!P:P,'Отчет 12-18.01'!C:C,"Вознаграждение Ozon",'Отчет 12-18.01'!E:E,B15)</f>
        <v>0</v>
      </c>
      <c r="Y15" s="45">
        <f t="shared" si="16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>U15*1%</f>
        <v>0</v>
      </c>
      <c r="AE15" s="47">
        <f t="shared" si="4"/>
        <v>0</v>
      </c>
      <c r="AF15" s="46"/>
      <c r="AG15" s="48">
        <f t="shared" si="5"/>
        <v>0</v>
      </c>
      <c r="AH15" s="49">
        <f t="shared" si="6"/>
        <v>169.89</v>
      </c>
      <c r="AI15" s="49">
        <f t="shared" si="7"/>
        <v>0</v>
      </c>
      <c r="AJ15" s="49">
        <f t="shared" si="8"/>
        <v>0</v>
      </c>
      <c r="AK15" s="49">
        <f t="shared" si="9"/>
        <v>0</v>
      </c>
      <c r="AL15" s="49">
        <f t="array" ref="AL15">_xlfn.IFS(R15=0,AE15,R15&lt;0,AE15/-R15,R15&gt;0,AE15/R15)</f>
        <v>0</v>
      </c>
      <c r="AM15" s="50">
        <f t="shared" si="10"/>
        <v>0</v>
      </c>
      <c r="AN15" s="51">
        <f t="shared" si="11"/>
        <v>0</v>
      </c>
      <c r="AP15" s="53">
        <f t="shared" si="12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3"/>
        <v>2596</v>
      </c>
      <c r="V16" s="43">
        <f t="shared" si="14"/>
        <v>0.12350142721217888</v>
      </c>
      <c r="W16" s="44">
        <f t="shared" si="15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6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>U16*1%</f>
        <v>25.96</v>
      </c>
      <c r="AE16" s="47">
        <f t="shared" si="4"/>
        <v>861.87000000000023</v>
      </c>
      <c r="AF16" s="46"/>
      <c r="AG16" s="48">
        <f t="shared" si="5"/>
        <v>1298</v>
      </c>
      <c r="AH16" s="49">
        <f t="shared" si="6"/>
        <v>169.89</v>
      </c>
      <c r="AI16" s="49">
        <f t="shared" si="7"/>
        <v>558.14</v>
      </c>
      <c r="AJ16" s="49">
        <f t="shared" si="8"/>
        <v>126.05499999999999</v>
      </c>
      <c r="AK16" s="49">
        <f t="shared" si="9"/>
        <v>0</v>
      </c>
      <c r="AL16" s="49">
        <f t="array" ref="AL16">_xlfn.IFS(R16=0,AE16,R16&lt;0,AE16/-R16,R16&gt;0,AE16/R16)</f>
        <v>430.93500000000012</v>
      </c>
      <c r="AM16" s="50">
        <f t="shared" si="10"/>
        <v>0.33199922958397543</v>
      </c>
      <c r="AN16" s="51">
        <f t="shared" si="11"/>
        <v>2.5365530637471312</v>
      </c>
      <c r="AP16" s="53">
        <f t="shared" si="12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3"/>
        <v>0</v>
      </c>
      <c r="V17" s="43">
        <f t="shared" si="14"/>
        <v>0</v>
      </c>
      <c r="W17" s="44">
        <f t="shared" si="15"/>
        <v>0</v>
      </c>
      <c r="X17" s="42">
        <f>-SUMIFS('Отчет 12-18.01'!P:P,'Отчет 12-18.01'!C:C,"Вознаграждение Ozon",'Отчет 12-18.01'!E:E,B17)</f>
        <v>0</v>
      </c>
      <c r="Y17" s="45">
        <f t="shared" si="16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>U17*1%</f>
        <v>0</v>
      </c>
      <c r="AE17" s="47">
        <f t="shared" si="4"/>
        <v>0</v>
      </c>
      <c r="AF17" s="46"/>
      <c r="AG17" s="48">
        <f t="shared" si="5"/>
        <v>0</v>
      </c>
      <c r="AH17" s="49">
        <f t="shared" si="6"/>
        <v>1002.82</v>
      </c>
      <c r="AI17" s="49">
        <f t="shared" si="7"/>
        <v>0</v>
      </c>
      <c r="AJ17" s="49">
        <f t="shared" si="8"/>
        <v>0</v>
      </c>
      <c r="AK17" s="49">
        <f t="shared" si="9"/>
        <v>0</v>
      </c>
      <c r="AL17" s="49">
        <f t="array" ref="AL17">_xlfn.IFS(R17=0,AE17,R17&lt;0,AE17/-R17,R17&gt;0,AE17/R17)</f>
        <v>0</v>
      </c>
      <c r="AM17" s="50">
        <f t="shared" si="10"/>
        <v>0</v>
      </c>
      <c r="AN17" s="51">
        <f t="shared" si="11"/>
        <v>0</v>
      </c>
      <c r="AP17" s="53">
        <f t="shared" si="12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3"/>
        <v>0</v>
      </c>
      <c r="V18" s="43">
        <f t="shared" si="14"/>
        <v>0</v>
      </c>
      <c r="W18" s="44">
        <f t="shared" si="15"/>
        <v>0</v>
      </c>
      <c r="X18" s="42">
        <f>-SUMIFS('Отчет 12-18.01'!P:P,'Отчет 12-18.01'!C:C,"Вознаграждение Ozon",'Отчет 12-18.01'!E:E,B18)</f>
        <v>0</v>
      </c>
      <c r="Y18" s="45">
        <f t="shared" si="16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>U18*1%</f>
        <v>0</v>
      </c>
      <c r="AE18" s="47">
        <f t="shared" si="4"/>
        <v>0</v>
      </c>
      <c r="AF18" s="46"/>
      <c r="AG18" s="48">
        <f t="shared" si="5"/>
        <v>0</v>
      </c>
      <c r="AH18" s="49">
        <f t="shared" si="6"/>
        <v>909.22</v>
      </c>
      <c r="AI18" s="49">
        <f t="shared" si="7"/>
        <v>0</v>
      </c>
      <c r="AJ18" s="49">
        <f t="shared" si="8"/>
        <v>0</v>
      </c>
      <c r="AK18" s="49">
        <f t="shared" si="9"/>
        <v>0</v>
      </c>
      <c r="AL18" s="49">
        <f t="array" ref="AL18">_xlfn.IFS(R18=0,AE18,R18&lt;0,AE18/-R18,R18&gt;0,AE18/R18)</f>
        <v>0</v>
      </c>
      <c r="AM18" s="50">
        <f t="shared" si="10"/>
        <v>0</v>
      </c>
      <c r="AN18" s="51">
        <f t="shared" si="11"/>
        <v>0</v>
      </c>
      <c r="AP18" s="53">
        <f t="shared" si="12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3"/>
        <v>0</v>
      </c>
      <c r="V19" s="43">
        <f t="shared" si="14"/>
        <v>0</v>
      </c>
      <c r="W19" s="44">
        <f t="shared" si="15"/>
        <v>0</v>
      </c>
      <c r="X19" s="42">
        <f>-SUMIFS('Отчет 12-18.01'!P:P,'Отчет 12-18.01'!C:C,"Вознаграждение Ozon",'Отчет 12-18.01'!E:E,B19)</f>
        <v>0</v>
      </c>
      <c r="Y19" s="45">
        <f t="shared" si="16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>U19*1%</f>
        <v>0</v>
      </c>
      <c r="AE19" s="47">
        <f t="shared" si="4"/>
        <v>0</v>
      </c>
      <c r="AF19" s="46"/>
      <c r="AG19" s="48">
        <f t="shared" si="5"/>
        <v>0</v>
      </c>
      <c r="AH19" s="49">
        <f t="shared" si="6"/>
        <v>909.22</v>
      </c>
      <c r="AI19" s="49">
        <f t="shared" si="7"/>
        <v>0</v>
      </c>
      <c r="AJ19" s="49">
        <f t="shared" si="8"/>
        <v>0</v>
      </c>
      <c r="AK19" s="49">
        <f t="shared" si="9"/>
        <v>0</v>
      </c>
      <c r="AL19" s="49">
        <f t="array" ref="AL19">_xlfn.IFS(R19=0,AE19,R19&lt;0,AE19/-R19,R19&gt;0,AE19/R19)</f>
        <v>0</v>
      </c>
      <c r="AM19" s="50">
        <f t="shared" si="10"/>
        <v>0</v>
      </c>
      <c r="AN19" s="51">
        <f t="shared" si="11"/>
        <v>0</v>
      </c>
      <c r="AP19" s="53">
        <f t="shared" si="12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3"/>
        <v>0</v>
      </c>
      <c r="V20" s="43">
        <f t="shared" si="14"/>
        <v>0</v>
      </c>
      <c r="W20" s="44">
        <f t="shared" si="15"/>
        <v>0</v>
      </c>
      <c r="X20" s="42">
        <f>-SUMIFS('Отчет 12-18.01'!P:P,'Отчет 12-18.01'!C:C,"Вознаграждение Ozon",'Отчет 12-18.01'!E:E,B20)</f>
        <v>0</v>
      </c>
      <c r="Y20" s="45">
        <f t="shared" si="16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>U20*1%</f>
        <v>0</v>
      </c>
      <c r="AE20" s="47">
        <f t="shared" si="4"/>
        <v>0</v>
      </c>
      <c r="AF20" s="46"/>
      <c r="AG20" s="48">
        <f t="shared" si="5"/>
        <v>0</v>
      </c>
      <c r="AH20" s="49">
        <f t="shared" si="6"/>
        <v>932.62</v>
      </c>
      <c r="AI20" s="49">
        <f t="shared" si="7"/>
        <v>0</v>
      </c>
      <c r="AJ20" s="49">
        <f t="shared" si="8"/>
        <v>0</v>
      </c>
      <c r="AK20" s="49">
        <f t="shared" si="9"/>
        <v>0</v>
      </c>
      <c r="AL20" s="49">
        <f t="array" ref="AL20">_xlfn.IFS(R20=0,AE20,R20&lt;0,AE20/-R20,R20&gt;0,AE20/R20)</f>
        <v>0</v>
      </c>
      <c r="AM20" s="50">
        <f t="shared" si="10"/>
        <v>0</v>
      </c>
      <c r="AN20" s="51">
        <f t="shared" si="11"/>
        <v>0</v>
      </c>
      <c r="AP20" s="53">
        <f t="shared" si="12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3"/>
        <v>0</v>
      </c>
      <c r="V21" s="43">
        <f t="shared" si="14"/>
        <v>0</v>
      </c>
      <c r="W21" s="44">
        <f t="shared" si="15"/>
        <v>0</v>
      </c>
      <c r="X21" s="42">
        <f>-SUMIFS('Отчет 12-18.01'!P:P,'Отчет 12-18.01'!C:C,"Вознаграждение Ozon",'Отчет 12-18.01'!E:E,B21)</f>
        <v>0</v>
      </c>
      <c r="Y21" s="45">
        <f t="shared" si="16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>U21*1%</f>
        <v>0</v>
      </c>
      <c r="AE21" s="47">
        <f t="shared" si="4"/>
        <v>0</v>
      </c>
      <c r="AF21" s="46"/>
      <c r="AG21" s="48">
        <f t="shared" si="5"/>
        <v>0</v>
      </c>
      <c r="AH21" s="49">
        <f t="shared" si="6"/>
        <v>1014.52</v>
      </c>
      <c r="AI21" s="49">
        <f t="shared" si="7"/>
        <v>0</v>
      </c>
      <c r="AJ21" s="49">
        <f t="shared" si="8"/>
        <v>0</v>
      </c>
      <c r="AK21" s="49">
        <f t="shared" si="9"/>
        <v>0</v>
      </c>
      <c r="AL21" s="49">
        <f t="array" ref="AL21">_xlfn.IFS(R21=0,AE21,R21&lt;0,AE21/-R21,R21&gt;0,AE21/R21)</f>
        <v>0</v>
      </c>
      <c r="AM21" s="50">
        <f t="shared" si="10"/>
        <v>0</v>
      </c>
      <c r="AN21" s="51">
        <f t="shared" si="11"/>
        <v>0</v>
      </c>
      <c r="AP21" s="53">
        <f t="shared" si="12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3"/>
        <v>0</v>
      </c>
      <c r="V22" s="43">
        <f t="shared" si="14"/>
        <v>0</v>
      </c>
      <c r="W22" s="44">
        <f t="shared" si="15"/>
        <v>0</v>
      </c>
      <c r="X22" s="42">
        <f>-SUMIFS('Отчет 12-18.01'!P:P,'Отчет 12-18.01'!C:C,"Вознаграждение Ozon",'Отчет 12-18.01'!E:E,B22)</f>
        <v>0</v>
      </c>
      <c r="Y22" s="45">
        <f t="shared" si="16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>U22*1%</f>
        <v>0</v>
      </c>
      <c r="AE22" s="47">
        <f t="shared" si="4"/>
        <v>0</v>
      </c>
      <c r="AF22" s="46"/>
      <c r="AG22" s="48">
        <f t="shared" si="5"/>
        <v>0</v>
      </c>
      <c r="AH22" s="49">
        <f t="shared" si="6"/>
        <v>1014.52</v>
      </c>
      <c r="AI22" s="49">
        <f t="shared" si="7"/>
        <v>0</v>
      </c>
      <c r="AJ22" s="49">
        <f t="shared" si="8"/>
        <v>0</v>
      </c>
      <c r="AK22" s="49">
        <f t="shared" si="9"/>
        <v>0</v>
      </c>
      <c r="AL22" s="49">
        <f t="array" ref="AL22">_xlfn.IFS(R22=0,AE22,R22&lt;0,AE22/-R22,R22&gt;0,AE22/R22)</f>
        <v>0</v>
      </c>
      <c r="AM22" s="50">
        <f t="shared" si="10"/>
        <v>0</v>
      </c>
      <c r="AN22" s="51">
        <f t="shared" si="11"/>
        <v>0</v>
      </c>
      <c r="AP22" s="53">
        <f t="shared" si="12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3"/>
        <v>0</v>
      </c>
      <c r="V23" s="43">
        <f t="shared" si="14"/>
        <v>0</v>
      </c>
      <c r="W23" s="44">
        <f t="shared" si="15"/>
        <v>0</v>
      </c>
      <c r="X23" s="42">
        <f>-SUMIFS('Отчет 12-18.01'!P:P,'Отчет 12-18.01'!C:C,"Вознаграждение Ozon",'Отчет 12-18.01'!E:E,B23)</f>
        <v>0</v>
      </c>
      <c r="Y23" s="45">
        <f t="shared" si="16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>U23*1%</f>
        <v>0</v>
      </c>
      <c r="AE23" s="47">
        <f t="shared" si="4"/>
        <v>0</v>
      </c>
      <c r="AF23" s="46"/>
      <c r="AG23" s="48">
        <f t="shared" si="5"/>
        <v>0</v>
      </c>
      <c r="AH23" s="49">
        <f t="shared" si="6"/>
        <v>1014.52</v>
      </c>
      <c r="AI23" s="49">
        <f t="shared" si="7"/>
        <v>0</v>
      </c>
      <c r="AJ23" s="49">
        <f t="shared" si="8"/>
        <v>0</v>
      </c>
      <c r="AK23" s="49">
        <f t="shared" si="9"/>
        <v>0</v>
      </c>
      <c r="AL23" s="49">
        <f t="array" ref="AL23">_xlfn.IFS(R23=0,AE23,R23&lt;0,AE23/-R23,R23&gt;0,AE23/R23)</f>
        <v>0</v>
      </c>
      <c r="AM23" s="50">
        <f t="shared" si="10"/>
        <v>0</v>
      </c>
      <c r="AN23" s="51">
        <f t="shared" si="11"/>
        <v>0</v>
      </c>
      <c r="AP23" s="53">
        <f t="shared" si="12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3"/>
        <v>0</v>
      </c>
      <c r="V24" s="43">
        <f t="shared" si="14"/>
        <v>0</v>
      </c>
      <c r="W24" s="44">
        <f t="shared" si="15"/>
        <v>0</v>
      </c>
      <c r="X24" s="42">
        <f>-SUMIFS('Отчет 12-18.01'!P:P,'Отчет 12-18.01'!C:C,"Вознаграждение Ozon",'Отчет 12-18.01'!E:E,B24)</f>
        <v>0</v>
      </c>
      <c r="Y24" s="45">
        <f t="shared" si="16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>U24*1%</f>
        <v>0</v>
      </c>
      <c r="AE24" s="47">
        <f t="shared" si="4"/>
        <v>0</v>
      </c>
      <c r="AF24" s="46"/>
      <c r="AG24" s="48">
        <f t="shared" si="5"/>
        <v>0</v>
      </c>
      <c r="AH24" s="49">
        <f t="shared" si="6"/>
        <v>991.12</v>
      </c>
      <c r="AI24" s="49">
        <f t="shared" si="7"/>
        <v>0</v>
      </c>
      <c r="AJ24" s="49">
        <f t="shared" si="8"/>
        <v>0</v>
      </c>
      <c r="AK24" s="49">
        <f t="shared" si="9"/>
        <v>0</v>
      </c>
      <c r="AL24" s="49">
        <f t="array" ref="AL24">_xlfn.IFS(R24=0,AE24,R24&lt;0,AE24/-R24,R24&gt;0,AE24/R24)</f>
        <v>0</v>
      </c>
      <c r="AM24" s="50">
        <f t="shared" si="10"/>
        <v>0</v>
      </c>
      <c r="AN24" s="51">
        <f t="shared" si="11"/>
        <v>0</v>
      </c>
      <c r="AP24" s="53">
        <f t="shared" si="12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7">AVERAGEIF(AG3:AG24,"&lt;&gt;0",AG3:AG24)</f>
        <v>1498.3813953488373</v>
      </c>
      <c r="AH25" s="58">
        <f t="shared" si="17"/>
        <v>447.87636363636369</v>
      </c>
      <c r="AI25" s="58">
        <f t="shared" si="17"/>
        <v>644.30399999999997</v>
      </c>
      <c r="AJ25" s="58">
        <f t="shared" si="17"/>
        <v>143.90000949216895</v>
      </c>
      <c r="AK25" s="58">
        <f t="shared" si="17"/>
        <v>502.97923341694354</v>
      </c>
      <c r="AL25" s="58">
        <f t="shared" si="17"/>
        <v>70.979994285091465</v>
      </c>
      <c r="AM25" s="59">
        <f t="shared" si="17"/>
        <v>0.17515731945016277</v>
      </c>
      <c r="AN25" s="59">
        <f t="shared" si="17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8">SUM(Q3:Q24)</f>
        <v>0</v>
      </c>
      <c r="R26" s="64">
        <f t="shared" si="18"/>
        <v>56</v>
      </c>
      <c r="S26" s="70">
        <f>SUM(S3:S24)</f>
        <v>91762.000000000015</v>
      </c>
      <c r="T26" s="64">
        <f t="shared" si="18"/>
        <v>0</v>
      </c>
      <c r="U26" s="64">
        <f t="shared" si="18"/>
        <v>91762.000000000015</v>
      </c>
      <c r="V26" s="71">
        <f t="shared" si="18"/>
        <v>4.3654614652711707</v>
      </c>
      <c r="W26" s="64">
        <f t="shared" si="18"/>
        <v>7841.91</v>
      </c>
      <c r="X26" s="64">
        <f t="shared" si="18"/>
        <v>39457.660000000011</v>
      </c>
      <c r="Y26" s="72">
        <f>IF(U26=0,0,X26/U26)</f>
        <v>0.43000000000000005</v>
      </c>
      <c r="Z26" s="64">
        <f t="shared" si="18"/>
        <v>9811.6400000000031</v>
      </c>
      <c r="AA26" s="64">
        <f>IFERROR(P26*AA51/P51,0)</f>
        <v>22526.532459016395</v>
      </c>
      <c r="AB26" s="64">
        <f t="shared" si="18"/>
        <v>0</v>
      </c>
      <c r="AC26" s="64">
        <f t="shared" si="18"/>
        <v>0</v>
      </c>
      <c r="AD26" s="73">
        <f t="shared" si="18"/>
        <v>917.62000000000023</v>
      </c>
      <c r="AE26" s="74">
        <f t="shared" si="18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18818.031862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19">C28*H28</f>
        <v>33600</v>
      </c>
      <c r="J28" s="36"/>
      <c r="K28" s="32">
        <v>1</v>
      </c>
      <c r="L28" s="36"/>
      <c r="M28" s="36"/>
      <c r="N28" s="37">
        <f t="shared" ref="N28:N47" si="20">K28/7</f>
        <v>0.14285714285714285</v>
      </c>
      <c r="O28" s="38">
        <f t="shared" ref="O28:O47" si="21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2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>U28*1%</f>
        <v>0</v>
      </c>
      <c r="AE28" s="47">
        <f t="shared" ref="AE28:AE47" si="23">U28-W28-X28-Z28-AA28-AB28-AC28-AD28</f>
        <v>0</v>
      </c>
      <c r="AF28" s="46"/>
      <c r="AG28" s="48">
        <f t="shared" ref="AG28:AG47" si="24">IF(R28=0,0,U28/R28)</f>
        <v>0</v>
      </c>
      <c r="AH28" s="49">
        <f t="shared" ref="AH28:AH47" si="25">H28</f>
        <v>672</v>
      </c>
      <c r="AI28" s="49">
        <f t="shared" ref="AI28:AI47" si="26">IF(R28=0,0,X28/R28)</f>
        <v>0</v>
      </c>
      <c r="AJ28" s="49">
        <f t="shared" ref="AJ28:AJ47" si="27">IF(P28=0,Z28/1,Z28/P28)</f>
        <v>0</v>
      </c>
      <c r="AK28" s="49">
        <f t="shared" ref="AK28:AK47" si="28">IF(P28=0,0,AA28/P28)</f>
        <v>0</v>
      </c>
      <c r="AL28" s="49">
        <f t="array" ref="AL28">_xlfn.IFS(R28=0,AE28,R28&lt;0,AE28/-R28,R28&gt;0,AE28/R28)</f>
        <v>0</v>
      </c>
      <c r="AM28" s="50">
        <f t="shared" ref="AM28:AM47" si="29">IF(AG28=0,0,AL28/AG28)</f>
        <v>0</v>
      </c>
      <c r="AN28" s="51">
        <f t="shared" ref="AN28:AN47" si="30">IF(AH28=0,0,AL28/AH28)</f>
        <v>0</v>
      </c>
      <c r="AP28" s="53">
        <f t="shared" ref="AP28:AP47" si="31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19"/>
        <v>30096</v>
      </c>
      <c r="J29" s="36"/>
      <c r="K29" s="32">
        <v>0</v>
      </c>
      <c r="L29" s="36"/>
      <c r="M29" s="36"/>
      <c r="N29" s="37">
        <f t="shared" si="20"/>
        <v>0</v>
      </c>
      <c r="O29" s="38">
        <f t="shared" si="21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2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2">S29+T29</f>
        <v>0</v>
      </c>
      <c r="V29" s="43">
        <f t="shared" ref="V29:V47" si="33">U29/$U$49</f>
        <v>0</v>
      </c>
      <c r="W29" s="44">
        <f t="shared" ref="W29:W47" si="34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5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>U29*1%</f>
        <v>0</v>
      </c>
      <c r="AE29" s="47">
        <f t="shared" si="23"/>
        <v>0</v>
      </c>
      <c r="AF29" s="46"/>
      <c r="AG29" s="48">
        <f t="shared" si="24"/>
        <v>0</v>
      </c>
      <c r="AH29" s="49">
        <f t="shared" si="25"/>
        <v>627</v>
      </c>
      <c r="AI29" s="49">
        <f t="shared" si="26"/>
        <v>0</v>
      </c>
      <c r="AJ29" s="49">
        <f t="shared" si="27"/>
        <v>0</v>
      </c>
      <c r="AK29" s="49">
        <f t="shared" si="28"/>
        <v>0</v>
      </c>
      <c r="AL29" s="49">
        <f t="array" ref="AL29">_xlfn.IFS(R29=0,AE29,R29&lt;0,AE29/-R29,R29&gt;0,AE29/R29)</f>
        <v>0</v>
      </c>
      <c r="AM29" s="50">
        <f t="shared" si="29"/>
        <v>0</v>
      </c>
      <c r="AN29" s="51">
        <f t="shared" si="30"/>
        <v>0</v>
      </c>
      <c r="AP29" s="53">
        <f t="shared" si="31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19"/>
        <v>26961</v>
      </c>
      <c r="J30" s="36"/>
      <c r="K30" s="32">
        <v>0</v>
      </c>
      <c r="L30" s="36"/>
      <c r="M30" s="36"/>
      <c r="N30" s="37">
        <f t="shared" si="20"/>
        <v>0</v>
      </c>
      <c r="O30" s="38">
        <f t="shared" si="21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2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2"/>
        <v>0</v>
      </c>
      <c r="V30" s="43">
        <f t="shared" si="33"/>
        <v>0</v>
      </c>
      <c r="W30" s="44">
        <f t="shared" si="34"/>
        <v>0</v>
      </c>
      <c r="X30" s="42">
        <f>-SUMIFS('Отчет 12-18.01'!P:P,'Отчет 12-18.01'!C:C,"Вознаграждение Ozon",'Отчет 12-18.01'!E:E,B30)</f>
        <v>0</v>
      </c>
      <c r="Y30" s="45">
        <f t="shared" si="35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>U30*1%</f>
        <v>0</v>
      </c>
      <c r="AE30" s="47">
        <f t="shared" si="23"/>
        <v>0</v>
      </c>
      <c r="AF30" s="46"/>
      <c r="AG30" s="48">
        <f t="shared" si="24"/>
        <v>0</v>
      </c>
      <c r="AH30" s="49">
        <f t="shared" si="25"/>
        <v>627</v>
      </c>
      <c r="AI30" s="49">
        <f t="shared" si="26"/>
        <v>0</v>
      </c>
      <c r="AJ30" s="49">
        <f t="shared" si="27"/>
        <v>0</v>
      </c>
      <c r="AK30" s="49">
        <f t="shared" si="28"/>
        <v>0</v>
      </c>
      <c r="AL30" s="49">
        <f t="array" ref="AL30">_xlfn.IFS(R30=0,AE30,R30&lt;0,AE30/-R30,R30&gt;0,AE30/R30)</f>
        <v>0</v>
      </c>
      <c r="AM30" s="50">
        <f t="shared" si="29"/>
        <v>0</v>
      </c>
      <c r="AN30" s="51">
        <f t="shared" si="30"/>
        <v>0</v>
      </c>
      <c r="AP30" s="53">
        <f t="shared" si="31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19"/>
        <v>10206</v>
      </c>
      <c r="J31" s="36"/>
      <c r="K31" s="32">
        <v>0</v>
      </c>
      <c r="L31" s="36"/>
      <c r="M31" s="36"/>
      <c r="N31" s="37">
        <f t="shared" si="20"/>
        <v>0</v>
      </c>
      <c r="O31" s="38">
        <f t="shared" si="21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2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2"/>
        <v>0</v>
      </c>
      <c r="V31" s="43">
        <f t="shared" si="33"/>
        <v>0</v>
      </c>
      <c r="W31" s="44">
        <f t="shared" si="34"/>
        <v>0</v>
      </c>
      <c r="X31" s="42">
        <f>-SUMIFS('Отчет 12-18.01'!P:P,'Отчет 12-18.01'!C:C,"Вознаграждение Ozon",'Отчет 12-18.01'!E:E,B31)</f>
        <v>0</v>
      </c>
      <c r="Y31" s="45">
        <f t="shared" si="35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>U31*1%</f>
        <v>0</v>
      </c>
      <c r="AE31" s="47">
        <f t="shared" si="23"/>
        <v>0</v>
      </c>
      <c r="AF31" s="46"/>
      <c r="AG31" s="48">
        <f t="shared" si="24"/>
        <v>0</v>
      </c>
      <c r="AH31" s="49">
        <f t="shared" si="25"/>
        <v>567</v>
      </c>
      <c r="AI31" s="49">
        <f t="shared" si="26"/>
        <v>0</v>
      </c>
      <c r="AJ31" s="49">
        <f t="shared" si="27"/>
        <v>0</v>
      </c>
      <c r="AK31" s="49">
        <f t="shared" si="28"/>
        <v>0</v>
      </c>
      <c r="AL31" s="49">
        <f t="array" ref="AL31">_xlfn.IFS(R31=0,AE31,R31&lt;0,AE31/-R31,R31&gt;0,AE31/R31)</f>
        <v>0</v>
      </c>
      <c r="AM31" s="50">
        <f t="shared" si="29"/>
        <v>0</v>
      </c>
      <c r="AN31" s="51">
        <f t="shared" si="30"/>
        <v>0</v>
      </c>
      <c r="AP31" s="53">
        <f t="shared" si="31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19"/>
        <v>10773</v>
      </c>
      <c r="J32" s="36"/>
      <c r="K32" s="32">
        <v>0</v>
      </c>
      <c r="L32" s="36"/>
      <c r="M32" s="36"/>
      <c r="N32" s="37">
        <f t="shared" si="20"/>
        <v>0</v>
      </c>
      <c r="O32" s="38">
        <f t="shared" si="21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2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2"/>
        <v>0</v>
      </c>
      <c r="V32" s="43">
        <f t="shared" si="33"/>
        <v>0</v>
      </c>
      <c r="W32" s="44">
        <f t="shared" si="34"/>
        <v>0</v>
      </c>
      <c r="X32" s="42">
        <f>-SUMIFS('Отчет 12-18.01'!P:P,'Отчет 12-18.01'!C:C,"Вознаграждение Ozon",'Отчет 12-18.01'!E:E,B32)</f>
        <v>0</v>
      </c>
      <c r="Y32" s="45">
        <f t="shared" si="35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>U32*1%</f>
        <v>0</v>
      </c>
      <c r="AE32" s="47">
        <f t="shared" si="23"/>
        <v>0</v>
      </c>
      <c r="AF32" s="46"/>
      <c r="AG32" s="48">
        <f t="shared" si="24"/>
        <v>0</v>
      </c>
      <c r="AH32" s="49">
        <f t="shared" si="25"/>
        <v>567</v>
      </c>
      <c r="AI32" s="49">
        <f t="shared" si="26"/>
        <v>0</v>
      </c>
      <c r="AJ32" s="49">
        <f t="shared" si="27"/>
        <v>0</v>
      </c>
      <c r="AK32" s="49">
        <f t="shared" si="28"/>
        <v>0</v>
      </c>
      <c r="AL32" s="49">
        <f t="array" ref="AL32">_xlfn.IFS(R32=0,AE32,R32&lt;0,AE32/-R32,R32&gt;0,AE32/R32)</f>
        <v>0</v>
      </c>
      <c r="AM32" s="50">
        <f t="shared" si="29"/>
        <v>0</v>
      </c>
      <c r="AN32" s="51">
        <f t="shared" si="30"/>
        <v>0</v>
      </c>
      <c r="AP32" s="53">
        <f t="shared" si="31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19"/>
        <v>9198</v>
      </c>
      <c r="J33" s="36"/>
      <c r="K33" s="32">
        <v>0</v>
      </c>
      <c r="L33" s="36"/>
      <c r="M33" s="36"/>
      <c r="N33" s="37">
        <f t="shared" si="20"/>
        <v>0</v>
      </c>
      <c r="O33" s="38">
        <f t="shared" si="21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2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2"/>
        <v>0</v>
      </c>
      <c r="V33" s="43">
        <f t="shared" si="33"/>
        <v>0</v>
      </c>
      <c r="W33" s="44">
        <f t="shared" si="34"/>
        <v>0</v>
      </c>
      <c r="X33" s="42">
        <f>-SUMIFS('Отчет 12-18.01'!P:P,'Отчет 12-18.01'!C:C,"Вознаграждение Ozon",'Отчет 12-18.01'!E:E,B33)</f>
        <v>0</v>
      </c>
      <c r="Y33" s="45">
        <f t="shared" si="35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>U33*1%</f>
        <v>0</v>
      </c>
      <c r="AE33" s="47">
        <f t="shared" si="23"/>
        <v>0</v>
      </c>
      <c r="AF33" s="46"/>
      <c r="AG33" s="48">
        <f t="shared" si="24"/>
        <v>0</v>
      </c>
      <c r="AH33" s="49">
        <f t="shared" si="25"/>
        <v>657</v>
      </c>
      <c r="AI33" s="49">
        <f t="shared" si="26"/>
        <v>0</v>
      </c>
      <c r="AJ33" s="49">
        <f t="shared" si="27"/>
        <v>0</v>
      </c>
      <c r="AK33" s="49">
        <f t="shared" si="28"/>
        <v>0</v>
      </c>
      <c r="AL33" s="49">
        <f t="array" ref="AL33">_xlfn.IFS(R33=0,AE33,R33&lt;0,AE33/-R33,R33&gt;0,AE33/R33)</f>
        <v>0</v>
      </c>
      <c r="AM33" s="50">
        <f t="shared" si="29"/>
        <v>0</v>
      </c>
      <c r="AN33" s="51">
        <f t="shared" si="30"/>
        <v>0</v>
      </c>
      <c r="AP33" s="53">
        <f t="shared" si="31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19"/>
        <v>10149</v>
      </c>
      <c r="J34" s="36"/>
      <c r="K34" s="32">
        <v>0</v>
      </c>
      <c r="L34" s="36"/>
      <c r="M34" s="36"/>
      <c r="N34" s="37">
        <f t="shared" si="20"/>
        <v>0</v>
      </c>
      <c r="O34" s="38">
        <f t="shared" si="21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2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2"/>
        <v>0</v>
      </c>
      <c r="V34" s="43">
        <f t="shared" si="33"/>
        <v>0</v>
      </c>
      <c r="W34" s="44">
        <f t="shared" si="34"/>
        <v>0</v>
      </c>
      <c r="X34" s="42">
        <f>-SUMIFS('Отчет 12-18.01'!P:P,'Отчет 12-18.01'!C:C,"Вознаграждение Ozon",'Отчет 12-18.01'!E:E,B34)</f>
        <v>0</v>
      </c>
      <c r="Y34" s="45">
        <f t="shared" si="35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>U34*1%</f>
        <v>0</v>
      </c>
      <c r="AE34" s="47">
        <f t="shared" si="23"/>
        <v>0</v>
      </c>
      <c r="AF34" s="46"/>
      <c r="AG34" s="48">
        <f t="shared" si="24"/>
        <v>0</v>
      </c>
      <c r="AH34" s="49">
        <f t="shared" si="25"/>
        <v>597</v>
      </c>
      <c r="AI34" s="49">
        <f t="shared" si="26"/>
        <v>0</v>
      </c>
      <c r="AJ34" s="49">
        <f t="shared" si="27"/>
        <v>0</v>
      </c>
      <c r="AK34" s="49">
        <f t="shared" si="28"/>
        <v>0</v>
      </c>
      <c r="AL34" s="49">
        <f t="array" ref="AL34">_xlfn.IFS(R34=0,AE34,R34&lt;0,AE34/-R34,R34&gt;0,AE34/R34)</f>
        <v>0</v>
      </c>
      <c r="AM34" s="50">
        <f t="shared" si="29"/>
        <v>0</v>
      </c>
      <c r="AN34" s="51">
        <f t="shared" si="30"/>
        <v>0</v>
      </c>
      <c r="AP34" s="53">
        <f t="shared" si="31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19"/>
        <v>9384</v>
      </c>
      <c r="J35" s="36"/>
      <c r="K35" s="32">
        <v>0</v>
      </c>
      <c r="L35" s="36"/>
      <c r="M35" s="36"/>
      <c r="N35" s="37">
        <f t="shared" si="20"/>
        <v>0</v>
      </c>
      <c r="O35" s="38">
        <f t="shared" si="21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2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2"/>
        <v>0</v>
      </c>
      <c r="V35" s="43">
        <f t="shared" si="33"/>
        <v>0</v>
      </c>
      <c r="W35" s="44">
        <f t="shared" si="34"/>
        <v>0</v>
      </c>
      <c r="X35" s="42">
        <f>-SUMIFS('Отчет 12-18.01'!P:P,'Отчет 12-18.01'!C:C,"Вознаграждение Ozon",'Отчет 12-18.01'!E:E,B35)</f>
        <v>0</v>
      </c>
      <c r="Y35" s="45">
        <f t="shared" si="35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>U35*1%</f>
        <v>0</v>
      </c>
      <c r="AE35" s="47">
        <f t="shared" si="23"/>
        <v>0</v>
      </c>
      <c r="AF35" s="46"/>
      <c r="AG35" s="48">
        <f t="shared" si="24"/>
        <v>0</v>
      </c>
      <c r="AH35" s="49">
        <f t="shared" si="25"/>
        <v>552</v>
      </c>
      <c r="AI35" s="49">
        <f t="shared" si="26"/>
        <v>0</v>
      </c>
      <c r="AJ35" s="49">
        <f t="shared" si="27"/>
        <v>0</v>
      </c>
      <c r="AK35" s="49">
        <f t="shared" si="28"/>
        <v>0</v>
      </c>
      <c r="AL35" s="49">
        <f t="array" ref="AL35">_xlfn.IFS(R35=0,AE35,R35&lt;0,AE35/-R35,R35&gt;0,AE35/R35)</f>
        <v>0</v>
      </c>
      <c r="AM35" s="50">
        <f t="shared" si="29"/>
        <v>0</v>
      </c>
      <c r="AN35" s="51">
        <f t="shared" si="30"/>
        <v>0</v>
      </c>
      <c r="AP35" s="53">
        <f t="shared" si="31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19"/>
        <v>9384</v>
      </c>
      <c r="J36" s="36"/>
      <c r="K36" s="32">
        <v>0</v>
      </c>
      <c r="L36" s="36"/>
      <c r="M36" s="36"/>
      <c r="N36" s="37">
        <f t="shared" si="20"/>
        <v>0</v>
      </c>
      <c r="O36" s="38">
        <f t="shared" si="21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2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2"/>
        <v>0</v>
      </c>
      <c r="V36" s="43">
        <f t="shared" si="33"/>
        <v>0</v>
      </c>
      <c r="W36" s="44">
        <f t="shared" si="34"/>
        <v>0</v>
      </c>
      <c r="X36" s="42">
        <f>-SUMIFS('Отчет 12-18.01'!P:P,'Отчет 12-18.01'!C:C,"Вознаграждение Ozon",'Отчет 12-18.01'!E:E,B36)</f>
        <v>0</v>
      </c>
      <c r="Y36" s="45">
        <f t="shared" si="35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>U36*1%</f>
        <v>0</v>
      </c>
      <c r="AE36" s="47">
        <f t="shared" si="23"/>
        <v>0</v>
      </c>
      <c r="AF36" s="46"/>
      <c r="AG36" s="48">
        <f t="shared" si="24"/>
        <v>0</v>
      </c>
      <c r="AH36" s="49">
        <f t="shared" si="25"/>
        <v>552</v>
      </c>
      <c r="AI36" s="49">
        <f t="shared" si="26"/>
        <v>0</v>
      </c>
      <c r="AJ36" s="49">
        <f t="shared" si="27"/>
        <v>0</v>
      </c>
      <c r="AK36" s="49">
        <f t="shared" si="28"/>
        <v>0</v>
      </c>
      <c r="AL36" s="49">
        <f t="array" ref="AL36">_xlfn.IFS(R36=0,AE36,R36&lt;0,AE36/-R36,R36&gt;0,AE36/R36)</f>
        <v>0</v>
      </c>
      <c r="AM36" s="50">
        <f t="shared" si="29"/>
        <v>0</v>
      </c>
      <c r="AN36" s="51">
        <f t="shared" si="30"/>
        <v>0</v>
      </c>
      <c r="AP36" s="53">
        <f t="shared" si="31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19"/>
        <v>8931</v>
      </c>
      <c r="J37" s="36"/>
      <c r="K37" s="32">
        <v>2</v>
      </c>
      <c r="L37" s="36"/>
      <c r="M37" s="36"/>
      <c r="N37" s="37">
        <f t="shared" si="20"/>
        <v>0.2857142857142857</v>
      </c>
      <c r="O37" s="38">
        <f t="shared" si="21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2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2"/>
        <v>0</v>
      </c>
      <c r="V37" s="43">
        <f t="shared" si="33"/>
        <v>0</v>
      </c>
      <c r="W37" s="44">
        <f t="shared" si="34"/>
        <v>0</v>
      </c>
      <c r="X37" s="42">
        <f>-SUMIFS('Отчет 12-18.01'!P:P,'Отчет 12-18.01'!C:C,"Вознаграждение Ozon",'Отчет 12-18.01'!E:E,B37)</f>
        <v>0</v>
      </c>
      <c r="Y37" s="45">
        <f t="shared" si="35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>U37*1%</f>
        <v>0</v>
      </c>
      <c r="AE37" s="47">
        <f t="shared" si="23"/>
        <v>0</v>
      </c>
      <c r="AF37" s="46"/>
      <c r="AG37" s="48">
        <f t="shared" si="24"/>
        <v>0</v>
      </c>
      <c r="AH37" s="49">
        <f t="shared" si="25"/>
        <v>687</v>
      </c>
      <c r="AI37" s="49">
        <f t="shared" si="26"/>
        <v>0</v>
      </c>
      <c r="AJ37" s="49">
        <f t="shared" si="27"/>
        <v>0</v>
      </c>
      <c r="AK37" s="49">
        <f t="shared" si="28"/>
        <v>0</v>
      </c>
      <c r="AL37" s="49">
        <f t="array" ref="AL37">_xlfn.IFS(R37=0,AE37,R37&lt;0,AE37/-R37,R37&gt;0,AE37/R37)</f>
        <v>0</v>
      </c>
      <c r="AM37" s="50">
        <f t="shared" si="29"/>
        <v>0</v>
      </c>
      <c r="AN37" s="51">
        <f t="shared" si="30"/>
        <v>0</v>
      </c>
      <c r="AP37" s="53">
        <f t="shared" si="31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19"/>
        <v>3435</v>
      </c>
      <c r="J38" s="36"/>
      <c r="K38" s="32">
        <v>1</v>
      </c>
      <c r="L38" s="36"/>
      <c r="M38" s="36"/>
      <c r="N38" s="37">
        <f t="shared" si="20"/>
        <v>0.14285714285714285</v>
      </c>
      <c r="O38" s="38">
        <f t="shared" si="21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2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2"/>
        <v>3546</v>
      </c>
      <c r="V38" s="43">
        <f t="shared" si="33"/>
        <v>0.16869647954329212</v>
      </c>
      <c r="W38" s="44">
        <f t="shared" si="34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5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>U38*1%</f>
        <v>35.46</v>
      </c>
      <c r="AE38" s="47">
        <f t="shared" si="23"/>
        <v>1094.25</v>
      </c>
      <c r="AF38" s="46"/>
      <c r="AG38" s="48">
        <f t="shared" si="24"/>
        <v>3546</v>
      </c>
      <c r="AH38" s="49">
        <f t="shared" si="25"/>
        <v>687</v>
      </c>
      <c r="AI38" s="49">
        <f t="shared" si="26"/>
        <v>1524.78</v>
      </c>
      <c r="AJ38" s="49">
        <f t="shared" si="27"/>
        <v>204.51</v>
      </c>
      <c r="AK38" s="49">
        <f t="shared" si="28"/>
        <v>0</v>
      </c>
      <c r="AL38" s="49">
        <f t="array" ref="AL38">_xlfn.IFS(R38=0,AE38,R38&lt;0,AE38/-R38,R38&gt;0,AE38/R38)</f>
        <v>1094.25</v>
      </c>
      <c r="AM38" s="50">
        <f t="shared" si="29"/>
        <v>0.30858714043993229</v>
      </c>
      <c r="AN38" s="51">
        <f t="shared" si="30"/>
        <v>1.5927947598253276</v>
      </c>
      <c r="AP38" s="53">
        <f t="shared" si="31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19"/>
        <v>9552</v>
      </c>
      <c r="J39" s="36"/>
      <c r="K39" s="32">
        <v>0</v>
      </c>
      <c r="L39" s="36"/>
      <c r="M39" s="36"/>
      <c r="N39" s="37">
        <f t="shared" si="20"/>
        <v>0</v>
      </c>
      <c r="O39" s="38">
        <f t="shared" si="21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2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2"/>
        <v>0</v>
      </c>
      <c r="V39" s="43">
        <f t="shared" si="33"/>
        <v>0</v>
      </c>
      <c r="W39" s="44">
        <f t="shared" si="34"/>
        <v>0</v>
      </c>
      <c r="X39" s="42">
        <f>-SUMIFS('Отчет 12-18.01'!P:P,'Отчет 12-18.01'!C:C,"Вознаграждение Ozon",'Отчет 12-18.01'!E:E,B39)</f>
        <v>0</v>
      </c>
      <c r="Y39" s="45">
        <f t="shared" si="35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>U39*1%</f>
        <v>0</v>
      </c>
      <c r="AE39" s="47">
        <f t="shared" si="23"/>
        <v>0</v>
      </c>
      <c r="AF39" s="46"/>
      <c r="AG39" s="48">
        <f t="shared" si="24"/>
        <v>0</v>
      </c>
      <c r="AH39" s="49">
        <f t="shared" si="25"/>
        <v>597</v>
      </c>
      <c r="AI39" s="49">
        <f t="shared" si="26"/>
        <v>0</v>
      </c>
      <c r="AJ39" s="49">
        <f t="shared" si="27"/>
        <v>0</v>
      </c>
      <c r="AK39" s="49">
        <f t="shared" si="28"/>
        <v>0</v>
      </c>
      <c r="AL39" s="49">
        <f t="array" ref="AL39">_xlfn.IFS(R39=0,AE39,R39&lt;0,AE39/-R39,R39&gt;0,AE39/R39)</f>
        <v>0</v>
      </c>
      <c r="AM39" s="50">
        <f t="shared" si="29"/>
        <v>0</v>
      </c>
      <c r="AN39" s="51">
        <f t="shared" si="30"/>
        <v>0</v>
      </c>
      <c r="AP39" s="53">
        <f t="shared" si="31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19"/>
        <v>10746</v>
      </c>
      <c r="J40" s="36"/>
      <c r="K40" s="32">
        <v>0</v>
      </c>
      <c r="L40" s="36"/>
      <c r="M40" s="36"/>
      <c r="N40" s="37">
        <f t="shared" si="20"/>
        <v>0</v>
      </c>
      <c r="O40" s="38">
        <f t="shared" si="21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2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2"/>
        <v>0</v>
      </c>
      <c r="V40" s="43">
        <f t="shared" si="33"/>
        <v>0</v>
      </c>
      <c r="W40" s="44">
        <f t="shared" si="34"/>
        <v>0</v>
      </c>
      <c r="X40" s="42">
        <f>-SUMIFS('Отчет 12-18.01'!P:P,'Отчет 12-18.01'!C:C,"Вознаграждение Ozon",'Отчет 12-18.01'!E:E,B40)</f>
        <v>0</v>
      </c>
      <c r="Y40" s="45">
        <f t="shared" si="35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>U40*1%</f>
        <v>0</v>
      </c>
      <c r="AE40" s="47">
        <f t="shared" si="23"/>
        <v>0</v>
      </c>
      <c r="AF40" s="46"/>
      <c r="AG40" s="48">
        <f t="shared" si="24"/>
        <v>0</v>
      </c>
      <c r="AH40" s="49">
        <f t="shared" si="25"/>
        <v>597</v>
      </c>
      <c r="AI40" s="49">
        <f t="shared" si="26"/>
        <v>0</v>
      </c>
      <c r="AJ40" s="49">
        <f t="shared" si="27"/>
        <v>0</v>
      </c>
      <c r="AK40" s="49">
        <f t="shared" si="28"/>
        <v>0</v>
      </c>
      <c r="AL40" s="49">
        <f t="array" ref="AL40">_xlfn.IFS(R40=0,AE40,R40&lt;0,AE40/-R40,R40&gt;0,AE40/R40)</f>
        <v>0</v>
      </c>
      <c r="AM40" s="50">
        <f t="shared" si="29"/>
        <v>0</v>
      </c>
      <c r="AN40" s="51">
        <f t="shared" si="30"/>
        <v>0</v>
      </c>
      <c r="AP40" s="53">
        <f t="shared" si="31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19"/>
        <v>10746</v>
      </c>
      <c r="J41" s="36"/>
      <c r="K41" s="32">
        <v>0</v>
      </c>
      <c r="L41" s="36"/>
      <c r="M41" s="36"/>
      <c r="N41" s="37">
        <f t="shared" si="20"/>
        <v>0</v>
      </c>
      <c r="O41" s="38">
        <f t="shared" si="21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2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2"/>
        <v>0</v>
      </c>
      <c r="V41" s="43">
        <f t="shared" si="33"/>
        <v>0</v>
      </c>
      <c r="W41" s="44">
        <f t="shared" si="34"/>
        <v>0</v>
      </c>
      <c r="X41" s="42">
        <f>-SUMIFS('Отчет 12-18.01'!P:P,'Отчет 12-18.01'!C:C,"Вознаграждение Ozon",'Отчет 12-18.01'!E:E,B41)</f>
        <v>0</v>
      </c>
      <c r="Y41" s="45">
        <f t="shared" si="35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>U41*1%</f>
        <v>0</v>
      </c>
      <c r="AE41" s="47">
        <f t="shared" si="23"/>
        <v>0</v>
      </c>
      <c r="AF41" s="46"/>
      <c r="AG41" s="48">
        <f t="shared" si="24"/>
        <v>0</v>
      </c>
      <c r="AH41" s="49">
        <f t="shared" si="25"/>
        <v>597</v>
      </c>
      <c r="AI41" s="49">
        <f t="shared" si="26"/>
        <v>0</v>
      </c>
      <c r="AJ41" s="49">
        <f t="shared" si="27"/>
        <v>0</v>
      </c>
      <c r="AK41" s="49">
        <f t="shared" si="28"/>
        <v>0</v>
      </c>
      <c r="AL41" s="49">
        <f t="array" ref="AL41">_xlfn.IFS(R41=0,AE41,R41&lt;0,AE41/-R41,R41&gt;0,AE41/R41)</f>
        <v>0</v>
      </c>
      <c r="AM41" s="50">
        <f t="shared" si="29"/>
        <v>0</v>
      </c>
      <c r="AN41" s="51">
        <f t="shared" si="30"/>
        <v>0</v>
      </c>
      <c r="AP41" s="53">
        <f t="shared" si="31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19"/>
        <v>11556</v>
      </c>
      <c r="J42" s="36"/>
      <c r="K42" s="32">
        <v>0</v>
      </c>
      <c r="L42" s="36"/>
      <c r="M42" s="36"/>
      <c r="N42" s="37">
        <f t="shared" si="20"/>
        <v>0</v>
      </c>
      <c r="O42" s="38">
        <f t="shared" si="21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2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2"/>
        <v>0</v>
      </c>
      <c r="V42" s="43">
        <f t="shared" si="33"/>
        <v>0</v>
      </c>
      <c r="W42" s="44">
        <f t="shared" si="34"/>
        <v>0</v>
      </c>
      <c r="X42" s="42">
        <f>-SUMIFS('Отчет 12-18.01'!P:P,'Отчет 12-18.01'!C:C,"Вознаграждение Ozon",'Отчет 12-18.01'!E:E,B42)</f>
        <v>0</v>
      </c>
      <c r="Y42" s="45">
        <f t="shared" si="35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>U42*1%</f>
        <v>0</v>
      </c>
      <c r="AE42" s="47">
        <f t="shared" si="23"/>
        <v>0</v>
      </c>
      <c r="AF42" s="46"/>
      <c r="AG42" s="48">
        <f t="shared" si="24"/>
        <v>0</v>
      </c>
      <c r="AH42" s="49">
        <f t="shared" si="25"/>
        <v>642</v>
      </c>
      <c r="AI42" s="49">
        <f t="shared" si="26"/>
        <v>0</v>
      </c>
      <c r="AJ42" s="49">
        <f t="shared" si="27"/>
        <v>0</v>
      </c>
      <c r="AK42" s="49">
        <f t="shared" si="28"/>
        <v>0</v>
      </c>
      <c r="AL42" s="49">
        <f t="array" ref="AL42">_xlfn.IFS(R42=0,AE42,R42&lt;0,AE42/-R42,R42&gt;0,AE42/R42)</f>
        <v>0</v>
      </c>
      <c r="AM42" s="50">
        <f t="shared" si="29"/>
        <v>0</v>
      </c>
      <c r="AN42" s="51">
        <f t="shared" si="30"/>
        <v>0</v>
      </c>
      <c r="AP42" s="53">
        <f t="shared" si="31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19"/>
        <v>12198</v>
      </c>
      <c r="J43" s="36"/>
      <c r="K43" s="32">
        <v>0</v>
      </c>
      <c r="L43" s="36"/>
      <c r="M43" s="36"/>
      <c r="N43" s="37">
        <f t="shared" si="20"/>
        <v>0</v>
      </c>
      <c r="O43" s="38">
        <f t="shared" si="21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2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2"/>
        <v>0</v>
      </c>
      <c r="V43" s="43">
        <f t="shared" si="33"/>
        <v>0</v>
      </c>
      <c r="W43" s="44">
        <f t="shared" si="34"/>
        <v>0</v>
      </c>
      <c r="X43" s="42">
        <f>-SUMIFS('Отчет 12-18.01'!P:P,'Отчет 12-18.01'!C:C,"Вознаграждение Ozon",'Отчет 12-18.01'!E:E,B43)</f>
        <v>0</v>
      </c>
      <c r="Y43" s="45">
        <f t="shared" si="35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>U43*1%</f>
        <v>0</v>
      </c>
      <c r="AE43" s="47">
        <f t="shared" si="23"/>
        <v>0</v>
      </c>
      <c r="AF43" s="46"/>
      <c r="AG43" s="48">
        <f t="shared" si="24"/>
        <v>0</v>
      </c>
      <c r="AH43" s="49">
        <f t="shared" si="25"/>
        <v>642</v>
      </c>
      <c r="AI43" s="49">
        <f t="shared" si="26"/>
        <v>0</v>
      </c>
      <c r="AJ43" s="49">
        <f t="shared" si="27"/>
        <v>0</v>
      </c>
      <c r="AK43" s="49">
        <f t="shared" si="28"/>
        <v>0</v>
      </c>
      <c r="AL43" s="49">
        <f t="array" ref="AL43">_xlfn.IFS(R43=0,AE43,R43&lt;0,AE43/-R43,R43&gt;0,AE43/R43)</f>
        <v>0</v>
      </c>
      <c r="AM43" s="50">
        <f t="shared" si="29"/>
        <v>0</v>
      </c>
      <c r="AN43" s="51">
        <f t="shared" si="30"/>
        <v>0</v>
      </c>
      <c r="AP43" s="53">
        <f t="shared" si="31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19"/>
        <v>24045</v>
      </c>
      <c r="J44" s="36"/>
      <c r="K44" s="32">
        <v>12</v>
      </c>
      <c r="L44" s="36"/>
      <c r="M44" s="36"/>
      <c r="N44" s="37">
        <f t="shared" si="20"/>
        <v>1.7142857142857142</v>
      </c>
      <c r="O44" s="38">
        <f t="shared" si="21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2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2"/>
        <v>12534</v>
      </c>
      <c r="V44" s="43">
        <f t="shared" si="33"/>
        <v>0.59628924833491914</v>
      </c>
      <c r="W44" s="44">
        <f t="shared" si="34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5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>U44*1%</f>
        <v>125.34</v>
      </c>
      <c r="AE44" s="47">
        <f t="shared" si="23"/>
        <v>1366.2751290000003</v>
      </c>
      <c r="AF44" s="46"/>
      <c r="AG44" s="48">
        <f t="shared" si="24"/>
        <v>4178</v>
      </c>
      <c r="AH44" s="49">
        <f t="shared" si="25"/>
        <v>687</v>
      </c>
      <c r="AI44" s="49">
        <f t="shared" si="26"/>
        <v>1796.54</v>
      </c>
      <c r="AJ44" s="49">
        <f t="shared" si="27"/>
        <v>230.62333333333333</v>
      </c>
      <c r="AK44" s="49">
        <f t="shared" si="28"/>
        <v>966.63162366666666</v>
      </c>
      <c r="AL44" s="49">
        <f t="array" ref="AL44">_xlfn.IFS(R44=0,AE44,R44&lt;0,AE44/-R44,R44&gt;0,AE44/R44)</f>
        <v>455.42504300000013</v>
      </c>
      <c r="AM44" s="50">
        <f t="shared" si="29"/>
        <v>0.10900551531833416</v>
      </c>
      <c r="AN44" s="51">
        <f t="shared" si="30"/>
        <v>0.6629185487627367</v>
      </c>
      <c r="AP44" s="53">
        <f t="shared" si="31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19"/>
        <v>11679</v>
      </c>
      <c r="J45" s="36"/>
      <c r="K45" s="32">
        <v>14</v>
      </c>
      <c r="L45" s="36"/>
      <c r="M45" s="36"/>
      <c r="N45" s="37">
        <f t="shared" si="20"/>
        <v>2</v>
      </c>
      <c r="O45" s="38">
        <f t="shared" si="21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2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2"/>
        <v>4940</v>
      </c>
      <c r="V45" s="43">
        <f t="shared" si="33"/>
        <v>0.23501427212178877</v>
      </c>
      <c r="W45" s="44">
        <f t="shared" si="34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5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>U45*1%</f>
        <v>49.4</v>
      </c>
      <c r="AE45" s="47">
        <f t="shared" si="23"/>
        <v>-1373.092709</v>
      </c>
      <c r="AF45" s="46"/>
      <c r="AG45" s="48">
        <f t="shared" si="24"/>
        <v>4940</v>
      </c>
      <c r="AH45" s="49">
        <f t="shared" si="25"/>
        <v>687</v>
      </c>
      <c r="AI45" s="49">
        <f t="shared" si="26"/>
        <v>2124.1999999999998</v>
      </c>
      <c r="AJ45" s="49">
        <f t="shared" si="27"/>
        <v>632.61</v>
      </c>
      <c r="AK45" s="49">
        <f t="shared" si="28"/>
        <v>2819.882709</v>
      </c>
      <c r="AL45" s="49">
        <f t="array" ref="AL45">_xlfn.IFS(R45=0,AE45,R45&lt;0,AE45/-R45,R45&gt;0,AE45/R45)</f>
        <v>-1373.092709</v>
      </c>
      <c r="AM45" s="50">
        <f t="shared" si="29"/>
        <v>-0.27795398967611334</v>
      </c>
      <c r="AN45" s="51">
        <f t="shared" si="30"/>
        <v>-1.9986793435225618</v>
      </c>
      <c r="AP45" s="53">
        <f t="shared" si="31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19"/>
        <v>25392</v>
      </c>
      <c r="J46" s="36"/>
      <c r="K46" s="32">
        <v>0</v>
      </c>
      <c r="L46" s="36"/>
      <c r="M46" s="36"/>
      <c r="N46" s="37">
        <f t="shared" si="20"/>
        <v>0</v>
      </c>
      <c r="O46" s="38">
        <f t="shared" si="21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2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2"/>
        <v>0</v>
      </c>
      <c r="V46" s="43">
        <f t="shared" si="33"/>
        <v>0</v>
      </c>
      <c r="W46" s="44">
        <f t="shared" si="34"/>
        <v>0</v>
      </c>
      <c r="X46" s="42">
        <f>-SUMIFS('Отчет 12-18.01'!P:P,'Отчет 12-18.01'!C:C,"Вознаграждение Ozon",'Отчет 12-18.01'!E:E,B46)</f>
        <v>0</v>
      </c>
      <c r="Y46" s="45">
        <f t="shared" si="35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>U46*1%</f>
        <v>0</v>
      </c>
      <c r="AE46" s="47">
        <f t="shared" si="23"/>
        <v>0</v>
      </c>
      <c r="AF46" s="46"/>
      <c r="AG46" s="48">
        <f t="shared" si="24"/>
        <v>0</v>
      </c>
      <c r="AH46" s="49">
        <f t="shared" si="25"/>
        <v>552</v>
      </c>
      <c r="AI46" s="49">
        <f t="shared" si="26"/>
        <v>0</v>
      </c>
      <c r="AJ46" s="49">
        <f t="shared" si="27"/>
        <v>0</v>
      </c>
      <c r="AK46" s="49">
        <f t="shared" si="28"/>
        <v>0</v>
      </c>
      <c r="AL46" s="49">
        <f t="array" ref="AL46">_xlfn.IFS(R46=0,AE46,R46&lt;0,AE46/-R46,R46&gt;0,AE46/R46)</f>
        <v>0</v>
      </c>
      <c r="AM46" s="50">
        <f t="shared" si="29"/>
        <v>0</v>
      </c>
      <c r="AN46" s="51">
        <f t="shared" si="30"/>
        <v>0</v>
      </c>
      <c r="AP46" s="53">
        <f t="shared" si="31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0"/>
        <v>0</v>
      </c>
      <c r="O47" s="38">
        <f t="shared" si="21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2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2"/>
        <v>0</v>
      </c>
      <c r="V47" s="43">
        <f t="shared" si="33"/>
        <v>0</v>
      </c>
      <c r="W47" s="44">
        <f t="shared" si="34"/>
        <v>0</v>
      </c>
      <c r="X47" s="42">
        <f>-SUMIFS('Отчет 12-18.01'!P:P,'Отчет 12-18.01'!C:C,"Вознаграждение Ozon",'Отчет 12-18.01'!E:E,B47)</f>
        <v>0</v>
      </c>
      <c r="Y47" s="45">
        <f t="shared" si="35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>U47*1%</f>
        <v>0</v>
      </c>
      <c r="AE47" s="47">
        <f t="shared" si="23"/>
        <v>0</v>
      </c>
      <c r="AF47" s="46"/>
      <c r="AG47" s="48">
        <f t="shared" si="24"/>
        <v>0</v>
      </c>
      <c r="AH47" s="49">
        <f t="shared" si="25"/>
        <v>552</v>
      </c>
      <c r="AI47" s="49">
        <f t="shared" si="26"/>
        <v>0</v>
      </c>
      <c r="AJ47" s="49">
        <f t="shared" si="27"/>
        <v>0</v>
      </c>
      <c r="AK47" s="49">
        <f t="shared" si="28"/>
        <v>0</v>
      </c>
      <c r="AL47" s="49">
        <f t="array" ref="AL47">_xlfn.IFS(R47=0,AE47,R47&lt;0,AE47/-R47,R47&gt;0,AE47/R47)</f>
        <v>0</v>
      </c>
      <c r="AM47" s="50">
        <f t="shared" si="29"/>
        <v>0</v>
      </c>
      <c r="AN47" s="51">
        <f t="shared" si="30"/>
        <v>0</v>
      </c>
      <c r="AP47" s="53">
        <f t="shared" si="31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6">AVERAGEIF(AG28:AG47,"&lt;&gt;0",AG28:AG47)</f>
        <v>4221.333333333333</v>
      </c>
      <c r="AH48" s="86">
        <f t="shared" si="36"/>
        <v>617.25</v>
      </c>
      <c r="AI48" s="86">
        <f t="shared" si="36"/>
        <v>1815.1733333333332</v>
      </c>
      <c r="AJ48" s="86">
        <f t="shared" si="36"/>
        <v>355.91444444444443</v>
      </c>
      <c r="AK48" s="86">
        <f t="shared" si="36"/>
        <v>1893.2571663333333</v>
      </c>
      <c r="AL48" s="86">
        <f t="shared" si="36"/>
        <v>58.86077800000006</v>
      </c>
      <c r="AM48" s="87">
        <f t="shared" si="36"/>
        <v>4.6546222027384364E-2</v>
      </c>
      <c r="AN48" s="87">
        <f t="shared" si="36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7">SUM(P28:P47)</f>
        <v>5</v>
      </c>
      <c r="Q49" s="90">
        <f t="shared" si="37"/>
        <v>0</v>
      </c>
      <c r="R49" s="96">
        <f t="shared" si="37"/>
        <v>5</v>
      </c>
      <c r="S49" s="90">
        <f t="shared" si="37"/>
        <v>21020</v>
      </c>
      <c r="T49" s="90">
        <f t="shared" si="37"/>
        <v>0</v>
      </c>
      <c r="U49" s="96">
        <f t="shared" si="37"/>
        <v>21020</v>
      </c>
      <c r="V49" s="97">
        <f t="shared" si="37"/>
        <v>1</v>
      </c>
      <c r="W49" s="90">
        <f t="shared" si="37"/>
        <v>3435</v>
      </c>
      <c r="X49" s="90">
        <f t="shared" si="37"/>
        <v>9038.5999999999985</v>
      </c>
      <c r="Y49" s="98">
        <f>IF(U49=0,0,X49/U49)</f>
        <v>0.42999999999999994</v>
      </c>
      <c r="Z49" s="90">
        <f>SUM(Z28:Z47)</f>
        <v>1528.99</v>
      </c>
      <c r="AA49" s="90">
        <f>IFERROR(P49*AA51/P51,0)</f>
        <v>2011.2975409836067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38">P26+P49</f>
        <v>61</v>
      </c>
      <c r="Q51" s="118">
        <f t="shared" si="38"/>
        <v>0</v>
      </c>
      <c r="R51" s="121">
        <f t="shared" si="38"/>
        <v>61</v>
      </c>
      <c r="S51" s="118">
        <f t="shared" si="38"/>
        <v>112782.00000000001</v>
      </c>
      <c r="T51" s="118">
        <f t="shared" si="38"/>
        <v>0</v>
      </c>
      <c r="U51" s="121">
        <f t="shared" si="38"/>
        <v>112782.00000000001</v>
      </c>
      <c r="V51" s="122">
        <f t="shared" si="38"/>
        <v>5.3654614652711707</v>
      </c>
      <c r="W51" s="118">
        <f t="shared" si="38"/>
        <v>11276.91</v>
      </c>
      <c r="X51" s="118">
        <f t="shared" si="38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402.25950819672136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24537.83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67">
        <f>AA27+AA50</f>
        <v>24537.809441999998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755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>U3*1%</f>
        <v>545.2800000000002</v>
      </c>
      <c r="AE3" s="47">
        <f t="shared" ref="AE3:AE24" si="8">U3-W3-X3-Z3-AA3-AB3-AC3-AD3</f>
        <v>6568.9866900000034</v>
      </c>
      <c r="AF3" s="46"/>
      <c r="AG3" s="48">
        <f t="shared" ref="AG3:AG24" si="9">IF(R3=0,0,U3/R3)</f>
        <v>1704.0000000000005</v>
      </c>
      <c r="AH3" s="49">
        <f t="shared" ref="AH3:AH24" si="10">H3</f>
        <v>142.97999999999999</v>
      </c>
      <c r="AI3" s="49">
        <f t="shared" ref="AI3:AI24" si="11">IF(R3=0,0,X3/R3)</f>
        <v>732.72000000000014</v>
      </c>
      <c r="AJ3" s="49">
        <f t="shared" ref="AJ3:AJ24" si="12">IF(P3=0,Z3/1,Z3/P3)</f>
        <v>179.91114285714303</v>
      </c>
      <c r="AK3" s="49">
        <f t="shared" ref="AK3:AK24" si="13">IF(P3=0,0,AA3/P3)</f>
        <v>374.12695171428567</v>
      </c>
      <c r="AL3" s="49">
        <f>_xlfn.IFS(R3=0,AE3,R3&lt;0,AE3/-R3,R3&gt;0,AE3/R3)</f>
        <v>205.28083406250011</v>
      </c>
      <c r="AM3" s="50">
        <f t="shared" ref="AM3:AM24" si="14">IF(AG3=0,0,AL3/AG3)</f>
        <v>0.12046997304137327</v>
      </c>
      <c r="AN3" s="51">
        <f t="shared" ref="AN3:AN24" si="15">IF(AH3=0,0,AL3/AH3)</f>
        <v>1.4357311096831733</v>
      </c>
      <c r="AP3" s="53">
        <f t="shared" ref="AP3:AP24" si="16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>U4*1%</f>
        <v>0</v>
      </c>
      <c r="AE4" s="47">
        <f t="shared" si="8"/>
        <v>0</v>
      </c>
      <c r="AF4" s="46"/>
      <c r="AG4" s="48">
        <f t="shared" si="9"/>
        <v>0</v>
      </c>
      <c r="AH4" s="49">
        <f t="shared" si="10"/>
        <v>123.09</v>
      </c>
      <c r="AI4" s="49">
        <f t="shared" si="11"/>
        <v>0</v>
      </c>
      <c r="AJ4" s="49">
        <f t="shared" si="12"/>
        <v>0</v>
      </c>
      <c r="AK4" s="49">
        <f t="shared" si="13"/>
        <v>0</v>
      </c>
      <c r="AL4" s="49">
        <f t="array" ref="AL4">_xlfn.IFS(R4=0,AE4,R4&lt;0,AE4/-R4,R4&gt;0,AE4/R4)</f>
        <v>0</v>
      </c>
      <c r="AM4" s="50">
        <f t="shared" si="14"/>
        <v>0</v>
      </c>
      <c r="AN4" s="51">
        <f t="shared" si="15"/>
        <v>0</v>
      </c>
      <c r="AP4" s="53">
        <f t="shared" si="16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>U5*1%</f>
        <v>12.06</v>
      </c>
      <c r="AE5" s="47">
        <f t="shared" si="8"/>
        <v>360.57000000000005</v>
      </c>
      <c r="AF5" s="46"/>
      <c r="AG5" s="48">
        <f t="shared" si="9"/>
        <v>1206</v>
      </c>
      <c r="AH5" s="49">
        <f t="shared" si="10"/>
        <v>123.09</v>
      </c>
      <c r="AI5" s="49">
        <f t="shared" si="11"/>
        <v>518.58000000000004</v>
      </c>
      <c r="AJ5" s="49">
        <f t="shared" si="12"/>
        <v>191.7</v>
      </c>
      <c r="AK5" s="49">
        <f t="shared" si="13"/>
        <v>0</v>
      </c>
      <c r="AL5" s="49">
        <f t="array" ref="AL5">_xlfn.IFS(R5=0,AE5,R5&lt;0,AE5/-R5,R5&gt;0,AE5/R5)</f>
        <v>360.57000000000005</v>
      </c>
      <c r="AM5" s="50">
        <f t="shared" si="14"/>
        <v>0.29898009950248761</v>
      </c>
      <c r="AN5" s="51">
        <f t="shared" si="15"/>
        <v>2.9293200097489644</v>
      </c>
      <c r="AP5" s="53">
        <f t="shared" si="16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>U6*1%</f>
        <v>158.76000000000005</v>
      </c>
      <c r="AE6" s="47">
        <f t="shared" si="8"/>
        <v>1305.2943180000032</v>
      </c>
      <c r="AF6" s="46"/>
      <c r="AG6" s="48">
        <f t="shared" si="9"/>
        <v>1443.2727272727277</v>
      </c>
      <c r="AH6" s="49">
        <f t="shared" si="10"/>
        <v>123.09</v>
      </c>
      <c r="AI6" s="49">
        <f t="shared" si="11"/>
        <v>620.60727272727274</v>
      </c>
      <c r="AJ6" s="49">
        <f t="shared" si="12"/>
        <v>152.54083333333332</v>
      </c>
      <c r="AK6" s="49">
        <f t="shared" si="13"/>
        <v>366.73214016666674</v>
      </c>
      <c r="AL6" s="49">
        <f t="array" ref="AL6">_xlfn.IFS(R6=0,AE6,R6&lt;0,AE6/-R6,R6&gt;0,AE6/R6)</f>
        <v>118.66311981818211</v>
      </c>
      <c r="AM6" s="50">
        <f t="shared" si="14"/>
        <v>8.2218085034013788E-2</v>
      </c>
      <c r="AN6" s="51">
        <f t="shared" si="15"/>
        <v>0.96403541975938023</v>
      </c>
      <c r="AP6" s="53">
        <f t="shared" si="16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>U7*1%</f>
        <v>16.87</v>
      </c>
      <c r="AE7" s="47">
        <f t="shared" si="8"/>
        <v>-11.197255000000037</v>
      </c>
      <c r="AF7" s="46"/>
      <c r="AG7" s="48">
        <f t="shared" si="9"/>
        <v>1687</v>
      </c>
      <c r="AH7" s="49">
        <f t="shared" si="10"/>
        <v>117.24</v>
      </c>
      <c r="AI7" s="49">
        <f t="shared" si="11"/>
        <v>725.41</v>
      </c>
      <c r="AJ7" s="49">
        <f t="shared" si="12"/>
        <v>230.78000000000003</v>
      </c>
      <c r="AK7" s="49">
        <f t="shared" si="13"/>
        <v>607.89725499999997</v>
      </c>
      <c r="AL7" s="49">
        <f t="array" ref="AL7">_xlfn.IFS(R7=0,AE7,R7&lt;0,AE7/-R7,R7&gt;0,AE7/R7)</f>
        <v>-11.197255000000037</v>
      </c>
      <c r="AM7" s="50">
        <f t="shared" si="14"/>
        <v>-6.6373770005927904E-3</v>
      </c>
      <c r="AN7" s="51">
        <f t="shared" si="15"/>
        <v>-9.5507122142613768E-2</v>
      </c>
      <c r="AP7" s="53">
        <f t="shared" si="16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>U8*1%</f>
        <v>0</v>
      </c>
      <c r="AE8" s="47">
        <f t="shared" si="8"/>
        <v>0</v>
      </c>
      <c r="AF8" s="46"/>
      <c r="AG8" s="48">
        <f t="shared" si="9"/>
        <v>0</v>
      </c>
      <c r="AH8" s="49">
        <f t="shared" si="10"/>
        <v>123</v>
      </c>
      <c r="AI8" s="49">
        <f t="shared" si="11"/>
        <v>0</v>
      </c>
      <c r="AJ8" s="49">
        <f t="shared" si="12"/>
        <v>0</v>
      </c>
      <c r="AK8" s="49">
        <f t="shared" si="13"/>
        <v>0</v>
      </c>
      <c r="AL8" s="49">
        <f t="array" ref="AL8">_xlfn.IFS(R8=0,AE8,R8&lt;0,AE8/-R8,R8&gt;0,AE8/R8)</f>
        <v>0</v>
      </c>
      <c r="AM8" s="50">
        <f t="shared" si="14"/>
        <v>0</v>
      </c>
      <c r="AN8" s="51">
        <f t="shared" si="15"/>
        <v>0</v>
      </c>
      <c r="AP8" s="53">
        <f t="shared" si="16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>U9*1%</f>
        <v>18.150000000000002</v>
      </c>
      <c r="AE9" s="47">
        <f t="shared" si="8"/>
        <v>-190.88284999999999</v>
      </c>
      <c r="AF9" s="46"/>
      <c r="AG9" s="48">
        <f t="shared" si="9"/>
        <v>1815</v>
      </c>
      <c r="AH9" s="49">
        <f t="shared" si="10"/>
        <v>123</v>
      </c>
      <c r="AI9" s="49">
        <f t="shared" si="11"/>
        <v>780.45</v>
      </c>
      <c r="AJ9" s="49">
        <f t="shared" si="12"/>
        <v>295.64</v>
      </c>
      <c r="AK9" s="49">
        <f t="shared" si="13"/>
        <v>788.64284999999995</v>
      </c>
      <c r="AL9" s="49">
        <f t="array" ref="AL9">_xlfn.IFS(R9=0,AE9,R9&lt;0,AE9/-R9,R9&gt;0,AE9/R9)</f>
        <v>-190.88284999999999</v>
      </c>
      <c r="AM9" s="50">
        <f t="shared" si="14"/>
        <v>-0.10516961432506887</v>
      </c>
      <c r="AN9" s="51">
        <f t="shared" si="15"/>
        <v>-1.5518930894308942</v>
      </c>
      <c r="AP9" s="53">
        <f t="shared" si="16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>U10*1%</f>
        <v>0</v>
      </c>
      <c r="AE10" s="47">
        <f t="shared" si="8"/>
        <v>-93.54</v>
      </c>
      <c r="AF10" s="46"/>
      <c r="AG10" s="48">
        <f t="shared" si="9"/>
        <v>0</v>
      </c>
      <c r="AH10" s="49">
        <f t="shared" si="10"/>
        <v>169.89</v>
      </c>
      <c r="AI10" s="49">
        <f t="shared" si="11"/>
        <v>0</v>
      </c>
      <c r="AJ10" s="49">
        <f t="shared" si="12"/>
        <v>93.54</v>
      </c>
      <c r="AK10" s="49">
        <f t="shared" si="13"/>
        <v>0</v>
      </c>
      <c r="AL10" s="49">
        <f t="array" ref="AL10">_xlfn.IFS(R10=0,AE10,R10&lt;0,AE10/-R10,R10&gt;0,AE10/R10)</f>
        <v>-93.54</v>
      </c>
      <c r="AM10" s="50">
        <f t="shared" si="14"/>
        <v>0</v>
      </c>
      <c r="AN10" s="51">
        <f t="shared" si="15"/>
        <v>-0.55059155924421688</v>
      </c>
      <c r="AP10" s="53">
        <f t="shared" si="16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>U11*1%</f>
        <v>0</v>
      </c>
      <c r="AE11" s="47">
        <f t="shared" si="8"/>
        <v>0</v>
      </c>
      <c r="AF11" s="46"/>
      <c r="AG11" s="48">
        <f t="shared" si="9"/>
        <v>0</v>
      </c>
      <c r="AH11" s="49">
        <f t="shared" si="10"/>
        <v>169.89</v>
      </c>
      <c r="AI11" s="49">
        <f t="shared" si="11"/>
        <v>0</v>
      </c>
      <c r="AJ11" s="49">
        <f t="shared" si="12"/>
        <v>0</v>
      </c>
      <c r="AK11" s="49">
        <f t="shared" si="13"/>
        <v>0</v>
      </c>
      <c r="AL11" s="49">
        <f t="array" ref="AL11">_xlfn.IFS(R11=0,AE11,R11&lt;0,AE11/-R11,R11&gt;0,AE11/R11)</f>
        <v>0</v>
      </c>
      <c r="AM11" s="50">
        <f t="shared" si="14"/>
        <v>0</v>
      </c>
      <c r="AN11" s="51">
        <f t="shared" si="15"/>
        <v>0</v>
      </c>
      <c r="AP11" s="53">
        <f t="shared" si="16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>U12*1%</f>
        <v>21.8</v>
      </c>
      <c r="AE12" s="47">
        <f t="shared" si="8"/>
        <v>698.36000000000013</v>
      </c>
      <c r="AF12" s="46"/>
      <c r="AG12" s="48">
        <f t="shared" si="9"/>
        <v>1090</v>
      </c>
      <c r="AH12" s="49">
        <f t="shared" si="10"/>
        <v>169.89</v>
      </c>
      <c r="AI12" s="49">
        <f t="shared" si="11"/>
        <v>468.7</v>
      </c>
      <c r="AJ12" s="49">
        <f t="shared" si="12"/>
        <v>91.33</v>
      </c>
      <c r="AK12" s="49">
        <f t="shared" si="13"/>
        <v>0</v>
      </c>
      <c r="AL12" s="49">
        <f t="array" ref="AL12">_xlfn.IFS(R12=0,AE12,R12&lt;0,AE12/-R12,R12&gt;0,AE12/R12)</f>
        <v>349.18000000000006</v>
      </c>
      <c r="AM12" s="50">
        <f t="shared" si="14"/>
        <v>0.32034862385321106</v>
      </c>
      <c r="AN12" s="51">
        <f t="shared" si="15"/>
        <v>2.0553299193595862</v>
      </c>
      <c r="AP12" s="53">
        <f t="shared" si="16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>U13*1%</f>
        <v>13.870000000000001</v>
      </c>
      <c r="AE13" s="47">
        <f t="shared" si="8"/>
        <v>497.35000000000014</v>
      </c>
      <c r="AF13" s="46"/>
      <c r="AG13" s="48">
        <f t="shared" si="9"/>
        <v>1387</v>
      </c>
      <c r="AH13" s="49">
        <f t="shared" si="10"/>
        <v>169.89</v>
      </c>
      <c r="AI13" s="49">
        <f t="shared" si="11"/>
        <v>596.41</v>
      </c>
      <c r="AJ13" s="49">
        <f t="shared" si="12"/>
        <v>109.48</v>
      </c>
      <c r="AK13" s="49">
        <f t="shared" si="13"/>
        <v>0</v>
      </c>
      <c r="AL13" s="49">
        <f t="array" ref="AL13">_xlfn.IFS(R13=0,AE13,R13&lt;0,AE13/-R13,R13&gt;0,AE13/R13)</f>
        <v>497.35000000000014</v>
      </c>
      <c r="AM13" s="50">
        <f t="shared" si="14"/>
        <v>0.35857966834895466</v>
      </c>
      <c r="AN13" s="51">
        <f t="shared" si="15"/>
        <v>2.9274824886691397</v>
      </c>
      <c r="AP13" s="53">
        <f t="shared" si="16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>U14*1%</f>
        <v>14.290000000000001</v>
      </c>
      <c r="AE14" s="47">
        <f t="shared" si="8"/>
        <v>280.86000000000013</v>
      </c>
      <c r="AF14" s="46"/>
      <c r="AG14" s="48">
        <f t="shared" si="9"/>
        <v>1429</v>
      </c>
      <c r="AH14" s="49">
        <f t="shared" si="10"/>
        <v>169.89</v>
      </c>
      <c r="AI14" s="49">
        <f t="shared" si="11"/>
        <v>614.47</v>
      </c>
      <c r="AJ14" s="49">
        <f t="shared" si="12"/>
        <v>98.79</v>
      </c>
      <c r="AK14" s="49">
        <f t="shared" si="13"/>
        <v>250.7</v>
      </c>
      <c r="AL14" s="49">
        <f t="array" ref="AL14">_xlfn.IFS(R14=0,AE14,R14&lt;0,AE14/-R14,R14&gt;0,AE14/R14)</f>
        <v>280.86000000000013</v>
      </c>
      <c r="AM14" s="50">
        <f t="shared" si="14"/>
        <v>0.19654303708887344</v>
      </c>
      <c r="AN14" s="51">
        <f t="shared" si="15"/>
        <v>1.653187356524811</v>
      </c>
      <c r="AP14" s="53">
        <f t="shared" si="16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>U15*1%</f>
        <v>26.7</v>
      </c>
      <c r="AE15" s="47">
        <f t="shared" si="8"/>
        <v>132.94000000000045</v>
      </c>
      <c r="AF15" s="46"/>
      <c r="AG15" s="48">
        <f t="shared" si="9"/>
        <v>1335</v>
      </c>
      <c r="AH15" s="49">
        <f t="shared" si="10"/>
        <v>169.89</v>
      </c>
      <c r="AI15" s="49">
        <f t="shared" si="11"/>
        <v>574.04999999999995</v>
      </c>
      <c r="AJ15" s="49">
        <f t="shared" si="12"/>
        <v>198.20999999999998</v>
      </c>
      <c r="AK15" s="49">
        <f t="shared" si="13"/>
        <v>313.02999999999997</v>
      </c>
      <c r="AL15" s="49">
        <f t="array" ref="AL15">_xlfn.IFS(R15=0,AE15,R15&lt;0,AE15/-R15,R15&gt;0,AE15/R15)</f>
        <v>66.470000000000226</v>
      </c>
      <c r="AM15" s="50">
        <f t="shared" si="14"/>
        <v>4.9790262172284813E-2</v>
      </c>
      <c r="AN15" s="51">
        <f t="shared" si="15"/>
        <v>0.39125316381187963</v>
      </c>
      <c r="AP15" s="53">
        <f t="shared" si="16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>U16*1%</f>
        <v>25.830000000000002</v>
      </c>
      <c r="AE16" s="47">
        <f t="shared" si="8"/>
        <v>584.28000000000009</v>
      </c>
      <c r="AF16" s="46"/>
      <c r="AG16" s="48">
        <f t="shared" si="9"/>
        <v>1291.5</v>
      </c>
      <c r="AH16" s="49">
        <f t="shared" si="10"/>
        <v>169.89</v>
      </c>
      <c r="AI16" s="49">
        <f t="shared" si="11"/>
        <v>555.34500000000003</v>
      </c>
      <c r="AJ16" s="49">
        <f t="shared" si="12"/>
        <v>111.94</v>
      </c>
      <c r="AK16" s="49">
        <f t="shared" si="13"/>
        <v>149.27000000000001</v>
      </c>
      <c r="AL16" s="49">
        <f t="array" ref="AL16">_xlfn.IFS(R16=0,AE16,R16&lt;0,AE16/-R16,R16&gt;0,AE16/R16)</f>
        <v>292.14000000000004</v>
      </c>
      <c r="AM16" s="50">
        <f t="shared" si="14"/>
        <v>0.22620209059233454</v>
      </c>
      <c r="AN16" s="51">
        <f t="shared" si="15"/>
        <v>1.7195832597563132</v>
      </c>
      <c r="AP16" s="53">
        <f t="shared" si="16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>U17*1%</f>
        <v>0</v>
      </c>
      <c r="AE17" s="47">
        <f t="shared" si="8"/>
        <v>0</v>
      </c>
      <c r="AF17" s="46"/>
      <c r="AG17" s="48">
        <f t="shared" si="9"/>
        <v>0</v>
      </c>
      <c r="AH17" s="49">
        <f t="shared" si="10"/>
        <v>1002.82</v>
      </c>
      <c r="AI17" s="49">
        <f t="shared" si="11"/>
        <v>0</v>
      </c>
      <c r="AJ17" s="49">
        <f t="shared" si="12"/>
        <v>0</v>
      </c>
      <c r="AK17" s="49">
        <f t="shared" si="13"/>
        <v>0</v>
      </c>
      <c r="AL17" s="49">
        <f t="array" ref="AL17">_xlfn.IFS(R17=0,AE17,R17&lt;0,AE17/-R17,R17&gt;0,AE17/R17)</f>
        <v>0</v>
      </c>
      <c r="AM17" s="50">
        <f t="shared" si="14"/>
        <v>0</v>
      </c>
      <c r="AN17" s="51">
        <f t="shared" si="15"/>
        <v>0</v>
      </c>
      <c r="AP17" s="53">
        <f t="shared" si="16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>U18*1%</f>
        <v>0</v>
      </c>
      <c r="AE18" s="47">
        <f t="shared" si="8"/>
        <v>0</v>
      </c>
      <c r="AF18" s="46"/>
      <c r="AG18" s="48">
        <f t="shared" si="9"/>
        <v>0</v>
      </c>
      <c r="AH18" s="49">
        <f t="shared" si="10"/>
        <v>909.22</v>
      </c>
      <c r="AI18" s="49">
        <f t="shared" si="11"/>
        <v>0</v>
      </c>
      <c r="AJ18" s="49">
        <f t="shared" si="12"/>
        <v>0</v>
      </c>
      <c r="AK18" s="49">
        <f t="shared" si="13"/>
        <v>0</v>
      </c>
      <c r="AL18" s="49">
        <f t="array" ref="AL18">_xlfn.IFS(R18=0,AE18,R18&lt;0,AE18/-R18,R18&gt;0,AE18/R18)</f>
        <v>0</v>
      </c>
      <c r="AM18" s="50">
        <f t="shared" si="14"/>
        <v>0</v>
      </c>
      <c r="AN18" s="51">
        <f t="shared" si="15"/>
        <v>0</v>
      </c>
      <c r="AP18" s="53">
        <f t="shared" si="16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>U19*1%</f>
        <v>0</v>
      </c>
      <c r="AE19" s="47">
        <f t="shared" si="8"/>
        <v>0</v>
      </c>
      <c r="AF19" s="46"/>
      <c r="AG19" s="48">
        <f t="shared" si="9"/>
        <v>0</v>
      </c>
      <c r="AH19" s="49">
        <f t="shared" si="10"/>
        <v>909.22</v>
      </c>
      <c r="AI19" s="49">
        <f t="shared" si="11"/>
        <v>0</v>
      </c>
      <c r="AJ19" s="49">
        <f t="shared" si="12"/>
        <v>0</v>
      </c>
      <c r="AK19" s="49">
        <f t="shared" si="13"/>
        <v>0</v>
      </c>
      <c r="AL19" s="49">
        <f t="array" ref="AL19">_xlfn.IFS(R19=0,AE19,R19&lt;0,AE19/-R19,R19&gt;0,AE19/R19)</f>
        <v>0</v>
      </c>
      <c r="AM19" s="50">
        <f t="shared" si="14"/>
        <v>0</v>
      </c>
      <c r="AN19" s="51">
        <f t="shared" si="15"/>
        <v>0</v>
      </c>
      <c r="AP19" s="53">
        <f t="shared" si="16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>U20*1%</f>
        <v>0</v>
      </c>
      <c r="AE20" s="47">
        <f t="shared" si="8"/>
        <v>0</v>
      </c>
      <c r="AF20" s="46"/>
      <c r="AG20" s="48">
        <f t="shared" si="9"/>
        <v>0</v>
      </c>
      <c r="AH20" s="49">
        <f t="shared" si="10"/>
        <v>932.62</v>
      </c>
      <c r="AI20" s="49">
        <f t="shared" si="11"/>
        <v>0</v>
      </c>
      <c r="AJ20" s="49">
        <f t="shared" si="12"/>
        <v>0</v>
      </c>
      <c r="AK20" s="49">
        <f t="shared" si="13"/>
        <v>0</v>
      </c>
      <c r="AL20" s="49">
        <f t="array" ref="AL20">_xlfn.IFS(R20=0,AE20,R20&lt;0,AE20/-R20,R20&gt;0,AE20/R20)</f>
        <v>0</v>
      </c>
      <c r="AM20" s="50">
        <f t="shared" si="14"/>
        <v>0</v>
      </c>
      <c r="AN20" s="51">
        <f t="shared" si="15"/>
        <v>0</v>
      </c>
      <c r="AP20" s="53">
        <f t="shared" si="16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>U21*1%</f>
        <v>0</v>
      </c>
      <c r="AE21" s="47">
        <f t="shared" si="8"/>
        <v>0</v>
      </c>
      <c r="AF21" s="46"/>
      <c r="AG21" s="48">
        <f t="shared" si="9"/>
        <v>0</v>
      </c>
      <c r="AH21" s="49">
        <f t="shared" si="10"/>
        <v>1014.52</v>
      </c>
      <c r="AI21" s="49">
        <f t="shared" si="11"/>
        <v>0</v>
      </c>
      <c r="AJ21" s="49">
        <f t="shared" si="12"/>
        <v>0</v>
      </c>
      <c r="AK21" s="49">
        <f t="shared" si="13"/>
        <v>0</v>
      </c>
      <c r="AL21" s="49">
        <f t="array" ref="AL21">_xlfn.IFS(R21=0,AE21,R21&lt;0,AE21/-R21,R21&gt;0,AE21/R21)</f>
        <v>0</v>
      </c>
      <c r="AM21" s="50">
        <f t="shared" si="14"/>
        <v>0</v>
      </c>
      <c r="AN21" s="51">
        <f t="shared" si="15"/>
        <v>0</v>
      </c>
      <c r="AP21" s="53">
        <f t="shared" si="16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>U22*1%</f>
        <v>0</v>
      </c>
      <c r="AE22" s="47">
        <f t="shared" si="8"/>
        <v>0</v>
      </c>
      <c r="AF22" s="46"/>
      <c r="AG22" s="48">
        <f t="shared" si="9"/>
        <v>0</v>
      </c>
      <c r="AH22" s="49">
        <f t="shared" si="10"/>
        <v>1014.52</v>
      </c>
      <c r="AI22" s="49">
        <f t="shared" si="11"/>
        <v>0</v>
      </c>
      <c r="AJ22" s="49">
        <f t="shared" si="12"/>
        <v>0</v>
      </c>
      <c r="AK22" s="49">
        <f t="shared" si="13"/>
        <v>0</v>
      </c>
      <c r="AL22" s="49">
        <f t="array" ref="AL22">_xlfn.IFS(R22=0,AE22,R22&lt;0,AE22/-R22,R22&gt;0,AE22/R22)</f>
        <v>0</v>
      </c>
      <c r="AM22" s="50">
        <f t="shared" si="14"/>
        <v>0</v>
      </c>
      <c r="AN22" s="51">
        <f t="shared" si="15"/>
        <v>0</v>
      </c>
      <c r="AP22" s="53">
        <f t="shared" si="16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>U23*1%</f>
        <v>0</v>
      </c>
      <c r="AE23" s="47">
        <f t="shared" si="8"/>
        <v>0</v>
      </c>
      <c r="AF23" s="46"/>
      <c r="AG23" s="48">
        <f t="shared" si="9"/>
        <v>0</v>
      </c>
      <c r="AH23" s="49">
        <f t="shared" si="10"/>
        <v>1014.52</v>
      </c>
      <c r="AI23" s="49">
        <f t="shared" si="11"/>
        <v>0</v>
      </c>
      <c r="AJ23" s="49">
        <f t="shared" si="12"/>
        <v>0</v>
      </c>
      <c r="AK23" s="49">
        <f t="shared" si="13"/>
        <v>0</v>
      </c>
      <c r="AL23" s="49">
        <f t="array" ref="AL23">_xlfn.IFS(R23=0,AE23,R23&lt;0,AE23/-R23,R23&gt;0,AE23/R23)</f>
        <v>0</v>
      </c>
      <c r="AM23" s="50">
        <f t="shared" si="14"/>
        <v>0</v>
      </c>
      <c r="AN23" s="51">
        <f t="shared" si="15"/>
        <v>0</v>
      </c>
      <c r="AP23" s="53">
        <f t="shared" si="16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>U24*1%</f>
        <v>0</v>
      </c>
      <c r="AE24" s="47">
        <f t="shared" si="8"/>
        <v>0</v>
      </c>
      <c r="AF24" s="46"/>
      <c r="AG24" s="48">
        <f t="shared" si="9"/>
        <v>0</v>
      </c>
      <c r="AH24" s="49">
        <f t="shared" si="10"/>
        <v>991.12</v>
      </c>
      <c r="AI24" s="49">
        <f t="shared" si="11"/>
        <v>0</v>
      </c>
      <c r="AJ24" s="49">
        <f t="shared" si="12"/>
        <v>0</v>
      </c>
      <c r="AK24" s="49">
        <f t="shared" si="13"/>
        <v>0</v>
      </c>
      <c r="AL24" s="49">
        <f t="array" ref="AL24">_xlfn.IFS(R24=0,AE24,R24&lt;0,AE24/-R24,R24&gt;0,AE24/R24)</f>
        <v>0</v>
      </c>
      <c r="AM24" s="50">
        <f t="shared" si="14"/>
        <v>0</v>
      </c>
      <c r="AN24" s="51">
        <f t="shared" si="15"/>
        <v>0</v>
      </c>
      <c r="AP24" s="53">
        <f t="shared" si="16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7">AVERAGEIF(AG3:AG24,"&lt;&gt;0",AG3:AG24)</f>
        <v>1438.7772727272727</v>
      </c>
      <c r="AH25" s="58">
        <f t="shared" si="17"/>
        <v>447.87636363636369</v>
      </c>
      <c r="AI25" s="58">
        <f t="shared" si="17"/>
        <v>618.67422727272731</v>
      </c>
      <c r="AJ25" s="58">
        <f t="shared" si="17"/>
        <v>159.44199783549786</v>
      </c>
      <c r="AK25" s="58">
        <f t="shared" si="17"/>
        <v>407.19988526870742</v>
      </c>
      <c r="AL25" s="58">
        <f t="shared" si="17"/>
        <v>170.44489535278936</v>
      </c>
      <c r="AM25" s="59">
        <f t="shared" si="17"/>
        <v>0.15413248483078715</v>
      </c>
      <c r="AN25" s="59">
        <f t="shared" si="17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8">SUM(Q3:Q24)</f>
        <v>4</v>
      </c>
      <c r="R26" s="64">
        <f t="shared" si="18"/>
        <v>54</v>
      </c>
      <c r="S26" s="70">
        <f>SUM(S3:S24)</f>
        <v>92160.000000000015</v>
      </c>
      <c r="T26" s="64">
        <f t="shared" si="18"/>
        <v>-6799</v>
      </c>
      <c r="U26" s="64">
        <f t="shared" si="18"/>
        <v>85361.000000000015</v>
      </c>
      <c r="V26" s="71">
        <f t="shared" si="18"/>
        <v>8.1110794374762474</v>
      </c>
      <c r="W26" s="64">
        <f t="shared" si="18"/>
        <v>7651.7999999999993</v>
      </c>
      <c r="X26" s="64">
        <f t="shared" si="18"/>
        <v>36705.23000000001</v>
      </c>
      <c r="Y26" s="72">
        <f>IF(U26=0,0,X26/U26)</f>
        <v>0.43000000000000005</v>
      </c>
      <c r="Z26" s="64">
        <f t="shared" si="18"/>
        <v>9950.2700000000059</v>
      </c>
      <c r="AA26" s="64">
        <f>IFERROR(P26*AA51/P51,0)</f>
        <v>20346.216333333334</v>
      </c>
      <c r="AB26" s="64">
        <f t="shared" si="18"/>
        <v>0</v>
      </c>
      <c r="AC26" s="64">
        <f t="shared" si="18"/>
        <v>0</v>
      </c>
      <c r="AD26" s="73">
        <f t="shared" si="18"/>
        <v>853.61000000000013</v>
      </c>
      <c r="AE26" s="74">
        <f t="shared" si="18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20067.069097000003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19">C28*H28</f>
        <v>0</v>
      </c>
      <c r="J28" s="36"/>
      <c r="K28" s="32">
        <v>0</v>
      </c>
      <c r="L28" s="36"/>
      <c r="M28" s="36"/>
      <c r="N28" s="37">
        <f t="shared" ref="N28:N47" si="20">K28/7</f>
        <v>0</v>
      </c>
      <c r="O28" s="38">
        <f t="shared" ref="O28:O47" si="21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2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3">S28+T28</f>
        <v>0</v>
      </c>
      <c r="V28" s="43">
        <f t="shared" ref="V28:V47" si="24">U28/$U$49</f>
        <v>0</v>
      </c>
      <c r="W28" s="44">
        <f t="shared" ref="W28:W47" si="25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6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19"/>
        <v>0</v>
      </c>
      <c r="J29" s="36"/>
      <c r="K29" s="32">
        <v>0</v>
      </c>
      <c r="L29" s="36"/>
      <c r="M29" s="36"/>
      <c r="N29" s="37">
        <f t="shared" si="20"/>
        <v>0</v>
      </c>
      <c r="O29" s="38">
        <f t="shared" si="21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2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3"/>
        <v>0</v>
      </c>
      <c r="V29" s="43">
        <f t="shared" si="24"/>
        <v>0</v>
      </c>
      <c r="W29" s="44">
        <f t="shared" si="25"/>
        <v>0</v>
      </c>
      <c r="X29" s="42">
        <f>-SUMIFS('Отчет 05-11.01'!P:P,'Отчет 05-11.01'!C:C,"Вознаграждение Ozon",'Отчет 05-11.01'!E:E,B29)</f>
        <v>0</v>
      </c>
      <c r="Y29" s="45">
        <f t="shared" si="26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>U29*1%</f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19"/>
        <v>0</v>
      </c>
      <c r="J30" s="36"/>
      <c r="K30" s="32">
        <v>0</v>
      </c>
      <c r="L30" s="36"/>
      <c r="M30" s="36"/>
      <c r="N30" s="37">
        <f t="shared" si="20"/>
        <v>0</v>
      </c>
      <c r="O30" s="38">
        <f t="shared" si="21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2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3"/>
        <v>0</v>
      </c>
      <c r="V30" s="43">
        <f t="shared" si="24"/>
        <v>0</v>
      </c>
      <c r="W30" s="44">
        <f t="shared" si="25"/>
        <v>0</v>
      </c>
      <c r="X30" s="42">
        <f>-SUMIFS('Отчет 05-11.01'!P:P,'Отчет 05-11.01'!C:C,"Вознаграждение Ozon",'Отчет 05-11.01'!E:E,B30)</f>
        <v>0</v>
      </c>
      <c r="Y30" s="45">
        <f t="shared" si="26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>U30*1%</f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19"/>
        <v>0</v>
      </c>
      <c r="J31" s="36"/>
      <c r="K31" s="32">
        <v>0</v>
      </c>
      <c r="L31" s="36"/>
      <c r="M31" s="36"/>
      <c r="N31" s="37">
        <f t="shared" si="20"/>
        <v>0</v>
      </c>
      <c r="O31" s="38">
        <f t="shared" si="21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2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3"/>
        <v>0</v>
      </c>
      <c r="V31" s="43">
        <f t="shared" si="24"/>
        <v>0</v>
      </c>
      <c r="W31" s="44">
        <f t="shared" si="25"/>
        <v>0</v>
      </c>
      <c r="X31" s="42">
        <f>-SUMIFS('Отчет 05-11.01'!P:P,'Отчет 05-11.01'!C:C,"Вознаграждение Ozon",'Отчет 05-11.01'!E:E,B31)</f>
        <v>0</v>
      </c>
      <c r="Y31" s="45">
        <f t="shared" si="26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>U31*1%</f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19"/>
        <v>0</v>
      </c>
      <c r="J32" s="36"/>
      <c r="K32" s="32">
        <v>0</v>
      </c>
      <c r="L32" s="36"/>
      <c r="M32" s="36"/>
      <c r="N32" s="37">
        <f t="shared" si="20"/>
        <v>0</v>
      </c>
      <c r="O32" s="38">
        <f t="shared" si="21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2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3"/>
        <v>0</v>
      </c>
      <c r="V32" s="43">
        <f t="shared" si="24"/>
        <v>0</v>
      </c>
      <c r="W32" s="44">
        <f t="shared" si="25"/>
        <v>0</v>
      </c>
      <c r="X32" s="42">
        <f>-SUMIFS('Отчет 05-11.01'!P:P,'Отчет 05-11.01'!C:C,"Вознаграждение Ozon",'Отчет 05-11.01'!E:E,B32)</f>
        <v>0</v>
      </c>
      <c r="Y32" s="45">
        <f t="shared" si="26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>U32*1%</f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19"/>
        <v>0</v>
      </c>
      <c r="J33" s="36"/>
      <c r="K33" s="32">
        <v>0</v>
      </c>
      <c r="L33" s="36"/>
      <c r="M33" s="36"/>
      <c r="N33" s="37">
        <f t="shared" si="20"/>
        <v>0</v>
      </c>
      <c r="O33" s="38">
        <f t="shared" si="21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2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3"/>
        <v>0</v>
      </c>
      <c r="V33" s="43">
        <f t="shared" si="24"/>
        <v>0</v>
      </c>
      <c r="W33" s="44">
        <f t="shared" si="25"/>
        <v>0</v>
      </c>
      <c r="X33" s="42">
        <f>-SUMIFS('Отчет 05-11.01'!P:P,'Отчет 05-11.01'!C:C,"Вознаграждение Ozon",'Отчет 05-11.01'!E:E,B33)</f>
        <v>0</v>
      </c>
      <c r="Y33" s="45">
        <f t="shared" si="26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>U33*1%</f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19"/>
        <v>0</v>
      </c>
      <c r="J34" s="36"/>
      <c r="K34" s="32">
        <v>0</v>
      </c>
      <c r="L34" s="36"/>
      <c r="M34" s="36"/>
      <c r="N34" s="37">
        <f t="shared" si="20"/>
        <v>0</v>
      </c>
      <c r="O34" s="38">
        <f t="shared" si="21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2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3"/>
        <v>0</v>
      </c>
      <c r="V34" s="43">
        <f t="shared" si="24"/>
        <v>0</v>
      </c>
      <c r="W34" s="44">
        <f t="shared" si="25"/>
        <v>0</v>
      </c>
      <c r="X34" s="42">
        <f>-SUMIFS('Отчет 05-11.01'!P:P,'Отчет 05-11.01'!C:C,"Вознаграждение Ozon",'Отчет 05-11.01'!E:E,B34)</f>
        <v>0</v>
      </c>
      <c r="Y34" s="45">
        <f t="shared" si="26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>U34*1%</f>
        <v>0</v>
      </c>
      <c r="AE34" s="47">
        <f t="shared" si="27"/>
        <v>0</v>
      </c>
      <c r="AF34" s="46"/>
      <c r="AG34" s="48">
        <f t="shared" si="28"/>
        <v>0</v>
      </c>
      <c r="AH34" s="49">
        <f t="shared" si="29"/>
        <v>597</v>
      </c>
      <c r="AI34" s="49">
        <f t="shared" si="30"/>
        <v>0</v>
      </c>
      <c r="AJ34" s="49">
        <f t="shared" si="31"/>
        <v>0</v>
      </c>
      <c r="AK34" s="49">
        <f t="shared" si="32"/>
        <v>0</v>
      </c>
      <c r="AL34" s="49">
        <f t="array" ref="AL34">_xlfn.IFS(R34=0,AE34,R34&lt;0,AE34/-R34,R34&gt;0,AE34/R34)</f>
        <v>0</v>
      </c>
      <c r="AM34" s="50">
        <f t="shared" si="33"/>
        <v>0</v>
      </c>
      <c r="AN34" s="51">
        <f t="shared" si="34"/>
        <v>0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19"/>
        <v>0</v>
      </c>
      <c r="J35" s="36"/>
      <c r="K35" s="32">
        <v>0</v>
      </c>
      <c r="L35" s="36"/>
      <c r="M35" s="36"/>
      <c r="N35" s="37">
        <f t="shared" si="20"/>
        <v>0</v>
      </c>
      <c r="O35" s="38">
        <f t="shared" si="21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2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3"/>
        <v>0</v>
      </c>
      <c r="V35" s="43">
        <f t="shared" si="24"/>
        <v>0</v>
      </c>
      <c r="W35" s="44">
        <f t="shared" si="25"/>
        <v>0</v>
      </c>
      <c r="X35" s="42">
        <f>-SUMIFS('Отчет 05-11.01'!P:P,'Отчет 05-11.01'!C:C,"Вознаграждение Ozon",'Отчет 05-11.01'!E:E,B35)</f>
        <v>0</v>
      </c>
      <c r="Y35" s="45">
        <f t="shared" si="26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>U35*1%</f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19"/>
        <v>0</v>
      </c>
      <c r="J36" s="36"/>
      <c r="K36" s="32">
        <v>1</v>
      </c>
      <c r="L36" s="36"/>
      <c r="M36" s="36"/>
      <c r="N36" s="37">
        <f t="shared" si="20"/>
        <v>0.14285714285714285</v>
      </c>
      <c r="O36" s="38">
        <f t="shared" si="21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2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3"/>
        <v>0</v>
      </c>
      <c r="V36" s="43">
        <f t="shared" si="24"/>
        <v>0</v>
      </c>
      <c r="W36" s="44">
        <f t="shared" si="25"/>
        <v>0</v>
      </c>
      <c r="X36" s="42">
        <f>-SUMIFS('Отчет 05-11.01'!P:P,'Отчет 05-11.01'!C:C,"Вознаграждение Ozon",'Отчет 05-11.01'!E:E,B36)</f>
        <v>0</v>
      </c>
      <c r="Y36" s="45">
        <f t="shared" si="26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>U36*1%</f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19"/>
        <v>0</v>
      </c>
      <c r="J37" s="36"/>
      <c r="K37" s="32">
        <v>1</v>
      </c>
      <c r="L37" s="36"/>
      <c r="M37" s="36"/>
      <c r="N37" s="37">
        <f t="shared" si="20"/>
        <v>0.14285714285714285</v>
      </c>
      <c r="O37" s="38">
        <f t="shared" si="21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2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3"/>
        <v>0</v>
      </c>
      <c r="V37" s="43">
        <f t="shared" si="24"/>
        <v>0</v>
      </c>
      <c r="W37" s="44">
        <f t="shared" si="25"/>
        <v>0</v>
      </c>
      <c r="X37" s="42">
        <f>-SUMIFS('Отчет 05-11.01'!P:P,'Отчет 05-11.01'!C:C,"Вознаграждение Ozon",'Отчет 05-11.01'!E:E,B37)</f>
        <v>0</v>
      </c>
      <c r="Y37" s="45">
        <f t="shared" si="26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>U37*1%</f>
        <v>0</v>
      </c>
      <c r="AE37" s="47">
        <f t="shared" si="27"/>
        <v>-113.88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113.88</v>
      </c>
      <c r="AK37" s="49">
        <f t="shared" si="32"/>
        <v>0</v>
      </c>
      <c r="AL37" s="49">
        <f t="array" ref="AL37">_xlfn.IFS(R37=0,AE37,R37&lt;0,AE37/-R37,R37&gt;0,AE37/R37)</f>
        <v>-113.88</v>
      </c>
      <c r="AM37" s="50">
        <f t="shared" si="33"/>
        <v>0</v>
      </c>
      <c r="AN37" s="51">
        <f t="shared" si="34"/>
        <v>-0.16576419213973798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19"/>
        <v>0</v>
      </c>
      <c r="J38" s="36"/>
      <c r="K38" s="32">
        <v>0</v>
      </c>
      <c r="L38" s="36"/>
      <c r="M38" s="36"/>
      <c r="N38" s="37">
        <f t="shared" si="20"/>
        <v>0</v>
      </c>
      <c r="O38" s="38">
        <f t="shared" si="21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2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3"/>
        <v>0</v>
      </c>
      <c r="V38" s="43">
        <f t="shared" si="24"/>
        <v>0</v>
      </c>
      <c r="W38" s="44">
        <f t="shared" si="25"/>
        <v>0</v>
      </c>
      <c r="X38" s="42">
        <f>-SUMIFS('Отчет 05-11.01'!P:P,'Отчет 05-11.01'!C:C,"Вознаграждение Ozon",'Отчет 05-11.01'!E:E,B38)</f>
        <v>0</v>
      </c>
      <c r="Y38" s="45">
        <f t="shared" si="26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>U38*1%</f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19"/>
        <v>0</v>
      </c>
      <c r="J39" s="36"/>
      <c r="K39" s="32">
        <v>0</v>
      </c>
      <c r="L39" s="36"/>
      <c r="M39" s="36"/>
      <c r="N39" s="37">
        <f t="shared" si="20"/>
        <v>0</v>
      </c>
      <c r="O39" s="38">
        <f t="shared" si="21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2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3"/>
        <v>0</v>
      </c>
      <c r="V39" s="43">
        <f t="shared" si="24"/>
        <v>0</v>
      </c>
      <c r="W39" s="44">
        <f t="shared" si="25"/>
        <v>0</v>
      </c>
      <c r="X39" s="42">
        <f>-SUMIFS('Отчет 05-11.01'!P:P,'Отчет 05-11.01'!C:C,"Вознаграждение Ozon",'Отчет 05-11.01'!E:E,B39)</f>
        <v>0</v>
      </c>
      <c r="Y39" s="45">
        <f t="shared" si="26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>U39*1%</f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19"/>
        <v>0</v>
      </c>
      <c r="J40" s="36"/>
      <c r="K40" s="32">
        <v>0</v>
      </c>
      <c r="L40" s="36"/>
      <c r="M40" s="36"/>
      <c r="N40" s="37">
        <f t="shared" si="20"/>
        <v>0</v>
      </c>
      <c r="O40" s="38">
        <f t="shared" si="21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2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3"/>
        <v>0</v>
      </c>
      <c r="V40" s="43">
        <f t="shared" si="24"/>
        <v>0</v>
      </c>
      <c r="W40" s="44">
        <f t="shared" si="25"/>
        <v>0</v>
      </c>
      <c r="X40" s="42">
        <f>-SUMIFS('Отчет 05-11.01'!P:P,'Отчет 05-11.01'!C:C,"Вознаграждение Ozon",'Отчет 05-11.01'!E:E,B40)</f>
        <v>0</v>
      </c>
      <c r="Y40" s="45">
        <f t="shared" si="26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>U40*1%</f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19"/>
        <v>0</v>
      </c>
      <c r="J41" s="36"/>
      <c r="K41" s="32">
        <v>0</v>
      </c>
      <c r="L41" s="36"/>
      <c r="M41" s="36"/>
      <c r="N41" s="37">
        <f t="shared" si="20"/>
        <v>0</v>
      </c>
      <c r="O41" s="38">
        <f t="shared" si="21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2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3"/>
        <v>0</v>
      </c>
      <c r="V41" s="43">
        <f t="shared" si="24"/>
        <v>0</v>
      </c>
      <c r="W41" s="44">
        <f t="shared" si="25"/>
        <v>0</v>
      </c>
      <c r="X41" s="42">
        <f>-SUMIFS('Отчет 05-11.01'!P:P,'Отчет 05-11.01'!C:C,"Вознаграждение Ozon",'Отчет 05-11.01'!E:E,B41)</f>
        <v>0</v>
      </c>
      <c r="Y41" s="45">
        <f t="shared" si="26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>U41*1%</f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19"/>
        <v>0</v>
      </c>
      <c r="J42" s="36"/>
      <c r="K42" s="32">
        <v>0</v>
      </c>
      <c r="L42" s="36"/>
      <c r="M42" s="36"/>
      <c r="N42" s="37">
        <f t="shared" si="20"/>
        <v>0</v>
      </c>
      <c r="O42" s="38">
        <f t="shared" si="21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2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3"/>
        <v>4024</v>
      </c>
      <c r="V42" s="43">
        <f t="shared" si="24"/>
        <v>0.3823641201064234</v>
      </c>
      <c r="W42" s="44">
        <f t="shared" si="25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6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>U42*1%</f>
        <v>40.24</v>
      </c>
      <c r="AE42" s="47">
        <f t="shared" si="27"/>
        <v>1422.8500000000001</v>
      </c>
      <c r="AF42" s="46"/>
      <c r="AG42" s="48">
        <f t="shared" si="28"/>
        <v>4024</v>
      </c>
      <c r="AH42" s="49">
        <f t="shared" si="29"/>
        <v>642</v>
      </c>
      <c r="AI42" s="49">
        <f t="shared" si="30"/>
        <v>1730.32</v>
      </c>
      <c r="AJ42" s="49">
        <f t="shared" si="31"/>
        <v>188.59</v>
      </c>
      <c r="AK42" s="49">
        <f t="shared" si="32"/>
        <v>0</v>
      </c>
      <c r="AL42" s="49">
        <f t="array" ref="AL42">_xlfn.IFS(R42=0,AE42,R42&lt;0,AE42/-R42,R42&gt;0,AE42/R42)</f>
        <v>1422.8500000000001</v>
      </c>
      <c r="AM42" s="50">
        <f t="shared" si="33"/>
        <v>0.35359095427435389</v>
      </c>
      <c r="AN42" s="51">
        <f t="shared" si="34"/>
        <v>2.2162772585669783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19"/>
        <v>0</v>
      </c>
      <c r="J43" s="36"/>
      <c r="K43" s="32">
        <v>0</v>
      </c>
      <c r="L43" s="36"/>
      <c r="M43" s="36"/>
      <c r="N43" s="37">
        <f t="shared" si="20"/>
        <v>0</v>
      </c>
      <c r="O43" s="38">
        <f t="shared" si="21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2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3"/>
        <v>0</v>
      </c>
      <c r="V43" s="43">
        <f t="shared" si="24"/>
        <v>0</v>
      </c>
      <c r="W43" s="44">
        <f t="shared" si="25"/>
        <v>0</v>
      </c>
      <c r="X43" s="42">
        <f>-SUMIFS('Отчет 05-11.01'!P:P,'Отчет 05-11.01'!C:C,"Вознаграждение Ozon",'Отчет 05-11.01'!E:E,B43)</f>
        <v>0</v>
      </c>
      <c r="Y43" s="45">
        <f t="shared" si="26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>U43*1%</f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19"/>
        <v>0</v>
      </c>
      <c r="J44" s="36"/>
      <c r="K44" s="32">
        <v>0</v>
      </c>
      <c r="L44" s="36"/>
      <c r="M44" s="36"/>
      <c r="N44" s="37">
        <f t="shared" si="20"/>
        <v>0</v>
      </c>
      <c r="O44" s="38">
        <f t="shared" si="21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2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3"/>
        <v>0</v>
      </c>
      <c r="V44" s="43">
        <f t="shared" si="24"/>
        <v>0</v>
      </c>
      <c r="W44" s="44">
        <f t="shared" si="25"/>
        <v>0</v>
      </c>
      <c r="X44" s="42">
        <f>-SUMIFS('Отчет 05-11.01'!P:P,'Отчет 05-11.01'!C:C,"Вознаграждение Ozon",'Отчет 05-11.01'!E:E,B44)</f>
        <v>0</v>
      </c>
      <c r="Y44" s="45">
        <f t="shared" si="26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>U44*1%</f>
        <v>0</v>
      </c>
      <c r="AE44" s="47">
        <f t="shared" si="27"/>
        <v>0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0</v>
      </c>
      <c r="AM44" s="50">
        <f t="shared" si="33"/>
        <v>0</v>
      </c>
      <c r="AN44" s="51">
        <f t="shared" si="34"/>
        <v>0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19"/>
        <v>0</v>
      </c>
      <c r="J45" s="36"/>
      <c r="K45" s="32">
        <v>2</v>
      </c>
      <c r="L45" s="36"/>
      <c r="M45" s="36"/>
      <c r="N45" s="37">
        <f t="shared" si="20"/>
        <v>0.2857142857142857</v>
      </c>
      <c r="O45" s="38">
        <f t="shared" si="21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2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3"/>
        <v>6500</v>
      </c>
      <c r="V45" s="43">
        <f t="shared" si="24"/>
        <v>0.6176358798935766</v>
      </c>
      <c r="W45" s="44">
        <f t="shared" si="25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6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>U45*1%</f>
        <v>65</v>
      </c>
      <c r="AE45" s="47">
        <f t="shared" si="27"/>
        <v>1481.2884480000002</v>
      </c>
      <c r="AF45" s="46"/>
      <c r="AG45" s="48">
        <f t="shared" si="28"/>
        <v>6500</v>
      </c>
      <c r="AH45" s="49">
        <f t="shared" si="29"/>
        <v>687</v>
      </c>
      <c r="AI45" s="49">
        <f t="shared" si="30"/>
        <v>2795</v>
      </c>
      <c r="AJ45" s="49">
        <f t="shared" si="31"/>
        <v>490.95</v>
      </c>
      <c r="AK45" s="49">
        <f t="shared" si="32"/>
        <v>980.76155200000005</v>
      </c>
      <c r="AL45" s="49">
        <f t="array" ref="AL45">_xlfn.IFS(R45=0,AE45,R45&lt;0,AE45/-R45,R45&gt;0,AE45/R45)</f>
        <v>1481.2884480000002</v>
      </c>
      <c r="AM45" s="50">
        <f t="shared" si="33"/>
        <v>0.22789053046153851</v>
      </c>
      <c r="AN45" s="51">
        <f t="shared" si="34"/>
        <v>2.1561695021834066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19"/>
        <v>0</v>
      </c>
      <c r="J46" s="36"/>
      <c r="K46" s="32">
        <v>0</v>
      </c>
      <c r="L46" s="36"/>
      <c r="M46" s="36"/>
      <c r="N46" s="37">
        <f t="shared" si="20"/>
        <v>0</v>
      </c>
      <c r="O46" s="38">
        <f t="shared" si="21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2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3"/>
        <v>0</v>
      </c>
      <c r="V46" s="43">
        <f t="shared" si="24"/>
        <v>0</v>
      </c>
      <c r="W46" s="44">
        <f t="shared" si="25"/>
        <v>0</v>
      </c>
      <c r="X46" s="42">
        <f>-SUMIFS('Отчет 05-11.01'!P:P,'Отчет 05-11.01'!C:C,"Вознаграждение Ozon",'Отчет 05-11.01'!E:E,B46)</f>
        <v>0</v>
      </c>
      <c r="Y46" s="45">
        <f t="shared" si="26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>U46*1%</f>
        <v>0</v>
      </c>
      <c r="AE46" s="47">
        <f t="shared" si="27"/>
        <v>-113.88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113.88</v>
      </c>
      <c r="AK46" s="49">
        <f t="shared" si="32"/>
        <v>0</v>
      </c>
      <c r="AL46" s="49">
        <f t="array" ref="AL46">_xlfn.IFS(R46=0,AE46,R46&lt;0,AE46/-R46,R46&gt;0,AE46/R46)</f>
        <v>-113.88</v>
      </c>
      <c r="AM46" s="50">
        <f t="shared" si="33"/>
        <v>0</v>
      </c>
      <c r="AN46" s="51">
        <f t="shared" si="34"/>
        <v>-0.20630434782608695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0"/>
        <v>0</v>
      </c>
      <c r="O47" s="38">
        <f t="shared" si="21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2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3"/>
        <v>0</v>
      </c>
      <c r="V47" s="43">
        <f t="shared" si="24"/>
        <v>0</v>
      </c>
      <c r="W47" s="44">
        <f t="shared" si="25"/>
        <v>0</v>
      </c>
      <c r="X47" s="42">
        <f>-SUMIFS('Отчет 05-11.01'!P:P,'Отчет 05-11.01'!C:C,"Вознаграждение Ozon",'Отчет 05-11.01'!E:E,B47)</f>
        <v>0</v>
      </c>
      <c r="Y47" s="45">
        <f t="shared" si="26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>U47*1%</f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6">AVERAGEIF(AG28:AG47,"&lt;&gt;0",AG28:AG47)</f>
        <v>5262</v>
      </c>
      <c r="AH48" s="86">
        <f t="shared" si="36"/>
        <v>617.25</v>
      </c>
      <c r="AI48" s="86">
        <f t="shared" si="36"/>
        <v>2262.66</v>
      </c>
      <c r="AJ48" s="86">
        <f t="shared" si="36"/>
        <v>226.82500000000002</v>
      </c>
      <c r="AK48" s="86">
        <f t="shared" si="36"/>
        <v>980.76155200000005</v>
      </c>
      <c r="AL48" s="86">
        <f t="shared" si="36"/>
        <v>669.0946120000001</v>
      </c>
      <c r="AM48" s="87">
        <f t="shared" si="36"/>
        <v>0.29074074236794623</v>
      </c>
      <c r="AN48" s="87">
        <f t="shared" si="36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7">SUM(P28:P47)</f>
        <v>2</v>
      </c>
      <c r="Q49" s="90">
        <f t="shared" si="37"/>
        <v>0</v>
      </c>
      <c r="R49" s="96">
        <f t="shared" si="37"/>
        <v>2</v>
      </c>
      <c r="S49" s="90">
        <f t="shared" si="37"/>
        <v>10524</v>
      </c>
      <c r="T49" s="90">
        <f t="shared" si="37"/>
        <v>0</v>
      </c>
      <c r="U49" s="96">
        <f t="shared" si="37"/>
        <v>10524</v>
      </c>
      <c r="V49" s="97">
        <f t="shared" si="37"/>
        <v>1</v>
      </c>
      <c r="W49" s="90">
        <f t="shared" si="37"/>
        <v>1329</v>
      </c>
      <c r="X49" s="90">
        <f t="shared" si="37"/>
        <v>4525.32</v>
      </c>
      <c r="Y49" s="98">
        <f>IF(U49=0,0,X49/U49)</f>
        <v>0.43</v>
      </c>
      <c r="Z49" s="90">
        <f>SUM(Z28:Z47)</f>
        <v>907.30000000000007</v>
      </c>
      <c r="AA49" s="90">
        <f>IFERROR(P49*AA51/P51,0)</f>
        <v>701.59366666666676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38">P26+P49</f>
        <v>60</v>
      </c>
      <c r="Q51" s="118">
        <f t="shared" si="38"/>
        <v>4</v>
      </c>
      <c r="R51" s="121">
        <f t="shared" si="38"/>
        <v>56</v>
      </c>
      <c r="S51" s="118">
        <f t="shared" si="38"/>
        <v>102684.00000000001</v>
      </c>
      <c r="T51" s="118">
        <f t="shared" si="38"/>
        <v>-6799</v>
      </c>
      <c r="U51" s="121">
        <f t="shared" si="38"/>
        <v>95885.000000000015</v>
      </c>
      <c r="V51" s="122">
        <f t="shared" si="38"/>
        <v>9.1110794374762474</v>
      </c>
      <c r="W51" s="118">
        <f t="shared" si="38"/>
        <v>8980.7999999999993</v>
      </c>
      <c r="X51" s="118">
        <f t="shared" si="38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350.79683333333338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21047.81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67">
        <f>AA27+AA50</f>
        <v>21047.830649000003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1" sqref="AA1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753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755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>U3*1%</f>
        <v>225.91</v>
      </c>
      <c r="AE3" s="47">
        <f t="shared" ref="AE3:AE24" si="6">U3-W3-X3-Z3-AA3-AB3-AC3-AD3</f>
        <v>183.04215599999938</v>
      </c>
      <c r="AF3" s="46"/>
      <c r="AG3" s="48">
        <f t="shared" ref="AG3:AG24" si="7">IF(R3=0,0,U3/R3)</f>
        <v>1613.6428571428571</v>
      </c>
      <c r="AH3" s="49">
        <f t="shared" ref="AH3:AH24" si="8">H3</f>
        <v>142.97999999999999</v>
      </c>
      <c r="AI3" s="49">
        <f t="shared" ref="AI3:AI24" si="9">IF(R3=0,0,X3/R3)</f>
        <v>693.86642857142851</v>
      </c>
      <c r="AJ3" s="49">
        <f t="shared" ref="AJ3:AJ24" si="10">IF(P3=0,Z3/1,Z3/P3)</f>
        <v>137.81428571428569</v>
      </c>
      <c r="AK3" s="49">
        <f t="shared" ref="AK3:AK24" si="11">IF(P3=0,0,AA3/P3)</f>
        <v>609.77127457142865</v>
      </c>
      <c r="AL3" s="49">
        <f>_xlfn.IFS(R3=0,AE3,R3&lt;0,AE3/-R3,R3&gt;0,AE3/R3)</f>
        <v>13.074439714285671</v>
      </c>
      <c r="AM3" s="50">
        <f t="shared" ref="AM3:AM24" si="12">IF(AG3=0,0,AL3/AG3)</f>
        <v>8.1024370767119377E-3</v>
      </c>
      <c r="AN3" s="51">
        <f t="shared" ref="AN3:AN24" si="13">IF(AH3=0,0,AL3/AH3)</f>
        <v>9.1442437503746477E-2</v>
      </c>
      <c r="AP3" s="53">
        <f t="shared" ref="AP3:AP24" si="14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5">K4/4</f>
        <v>0.25</v>
      </c>
      <c r="O4" s="38">
        <f t="shared" ref="O4:O24" si="16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>U4*1%</f>
        <v>11.950000000000001</v>
      </c>
      <c r="AE4" s="47">
        <f t="shared" si="6"/>
        <v>448.21000000000009</v>
      </c>
      <c r="AF4" s="46"/>
      <c r="AG4" s="48">
        <f t="shared" si="7"/>
        <v>1195</v>
      </c>
      <c r="AH4" s="49">
        <f t="shared" si="8"/>
        <v>123.09</v>
      </c>
      <c r="AI4" s="49">
        <f t="shared" si="9"/>
        <v>513.85</v>
      </c>
      <c r="AJ4" s="49">
        <f t="shared" si="10"/>
        <v>97.9</v>
      </c>
      <c r="AK4" s="49">
        <f t="shared" si="11"/>
        <v>0</v>
      </c>
      <c r="AL4" s="49">
        <f t="array" ref="AL4">_xlfn.IFS(R4=0,AE4,R4&lt;0,AE4/-R4,R4&gt;0,AE4/R4)</f>
        <v>448.21000000000009</v>
      </c>
      <c r="AM4" s="50">
        <f t="shared" si="12"/>
        <v>0.37507112970711304</v>
      </c>
      <c r="AN4" s="51">
        <f t="shared" si="13"/>
        <v>3.64131935981802</v>
      </c>
      <c r="AP4" s="53">
        <f t="shared" si="14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5"/>
        <v>0.5</v>
      </c>
      <c r="O5" s="38">
        <f t="shared" si="16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>U5*1%</f>
        <v>12.06</v>
      </c>
      <c r="AE5" s="47">
        <f t="shared" si="6"/>
        <v>458.39000000000004</v>
      </c>
      <c r="AF5" s="46"/>
      <c r="AG5" s="48">
        <f t="shared" si="7"/>
        <v>1206</v>
      </c>
      <c r="AH5" s="49">
        <f t="shared" si="8"/>
        <v>123.09</v>
      </c>
      <c r="AI5" s="49">
        <f t="shared" si="9"/>
        <v>518.58000000000004</v>
      </c>
      <c r="AJ5" s="49">
        <f t="shared" si="10"/>
        <v>93.88</v>
      </c>
      <c r="AK5" s="49">
        <f t="shared" si="11"/>
        <v>0</v>
      </c>
      <c r="AL5" s="49">
        <f t="array" ref="AL5">_xlfn.IFS(R5=0,AE5,R5&lt;0,AE5/-R5,R5&gt;0,AE5/R5)</f>
        <v>458.39000000000004</v>
      </c>
      <c r="AM5" s="50">
        <f t="shared" si="12"/>
        <v>0.38009121061359868</v>
      </c>
      <c r="AN5" s="51">
        <f t="shared" si="13"/>
        <v>3.7240230725485421</v>
      </c>
      <c r="AP5" s="53">
        <f t="shared" si="14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5"/>
        <v>1.5</v>
      </c>
      <c r="O6" s="38">
        <f t="shared" si="16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>U6*1%</f>
        <v>145.72</v>
      </c>
      <c r="AE6" s="47">
        <f t="shared" si="6"/>
        <v>2714.1158299999993</v>
      </c>
      <c r="AF6" s="46"/>
      <c r="AG6" s="48">
        <f t="shared" si="7"/>
        <v>1457.2</v>
      </c>
      <c r="AH6" s="49">
        <f t="shared" si="8"/>
        <v>123.09</v>
      </c>
      <c r="AI6" s="49">
        <f t="shared" si="9"/>
        <v>626.59600000000012</v>
      </c>
      <c r="AJ6" s="49">
        <f t="shared" si="10"/>
        <v>117.34700000000001</v>
      </c>
      <c r="AK6" s="49">
        <f t="shared" si="11"/>
        <v>304.18341700000002</v>
      </c>
      <c r="AL6" s="49">
        <f t="array" ref="AL6">_xlfn.IFS(R6=0,AE6,R6&lt;0,AE6/-R6,R6&gt;0,AE6/R6)</f>
        <v>271.41158299999995</v>
      </c>
      <c r="AM6" s="50">
        <f t="shared" si="12"/>
        <v>0.18625554693933566</v>
      </c>
      <c r="AN6" s="51">
        <f t="shared" si="13"/>
        <v>2.2049848322365744</v>
      </c>
      <c r="AP6" s="53">
        <f t="shared" si="14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5"/>
        <v>0</v>
      </c>
      <c r="O7" s="38">
        <f t="shared" si="16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>U7*1%</f>
        <v>14.14</v>
      </c>
      <c r="AE7" s="47">
        <f t="shared" si="6"/>
        <v>576.14</v>
      </c>
      <c r="AF7" s="46"/>
      <c r="AG7" s="48">
        <f t="shared" si="7"/>
        <v>1414</v>
      </c>
      <c r="AH7" s="49">
        <f t="shared" si="8"/>
        <v>117.24</v>
      </c>
      <c r="AI7" s="49">
        <f t="shared" si="9"/>
        <v>608.02</v>
      </c>
      <c r="AJ7" s="49">
        <f t="shared" si="10"/>
        <v>98.46</v>
      </c>
      <c r="AK7" s="49">
        <f t="shared" si="11"/>
        <v>0</v>
      </c>
      <c r="AL7" s="49">
        <f t="array" ref="AL7">_xlfn.IFS(R7=0,AE7,R7&lt;0,AE7/-R7,R7&gt;0,AE7/R7)</f>
        <v>576.14</v>
      </c>
      <c r="AM7" s="50">
        <f t="shared" si="12"/>
        <v>0.40745403111739742</v>
      </c>
      <c r="AN7" s="51">
        <f t="shared" si="13"/>
        <v>4.9141931081542136</v>
      </c>
      <c r="AP7" s="53">
        <f t="shared" si="14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5"/>
        <v>0</v>
      </c>
      <c r="O8" s="38">
        <f t="shared" si="16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>U8*1%</f>
        <v>0</v>
      </c>
      <c r="AE8" s="47">
        <f t="shared" si="6"/>
        <v>0</v>
      </c>
      <c r="AF8" s="46"/>
      <c r="AG8" s="48">
        <f t="shared" si="7"/>
        <v>0</v>
      </c>
      <c r="AH8" s="49">
        <f t="shared" si="8"/>
        <v>123</v>
      </c>
      <c r="AI8" s="49">
        <f t="shared" si="9"/>
        <v>0</v>
      </c>
      <c r="AJ8" s="49">
        <f t="shared" si="10"/>
        <v>0</v>
      </c>
      <c r="AK8" s="49">
        <f t="shared" si="11"/>
        <v>0</v>
      </c>
      <c r="AL8" s="49">
        <f t="array" ref="AL8">_xlfn.IFS(R8=0,AE8,R8&lt;0,AE8/-R8,R8&gt;0,AE8/R8)</f>
        <v>0</v>
      </c>
      <c r="AM8" s="50">
        <f t="shared" si="12"/>
        <v>0</v>
      </c>
      <c r="AN8" s="51">
        <f t="shared" si="13"/>
        <v>0</v>
      </c>
      <c r="AP8" s="53">
        <f t="shared" si="14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5"/>
        <v>0.25</v>
      </c>
      <c r="O9" s="38">
        <f t="shared" si="16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>U9*1%</f>
        <v>0</v>
      </c>
      <c r="AE9" s="47">
        <f t="shared" si="6"/>
        <v>-509.46505400000001</v>
      </c>
      <c r="AF9" s="46"/>
      <c r="AG9" s="48">
        <f t="shared" si="7"/>
        <v>0</v>
      </c>
      <c r="AH9" s="49">
        <f t="shared" si="8"/>
        <v>123</v>
      </c>
      <c r="AI9" s="49">
        <f t="shared" si="9"/>
        <v>0</v>
      </c>
      <c r="AJ9" s="49">
        <f t="shared" si="10"/>
        <v>0</v>
      </c>
      <c r="AK9" s="49">
        <f t="shared" si="11"/>
        <v>0</v>
      </c>
      <c r="AL9" s="49">
        <f t="array" ref="AL9">_xlfn.IFS(R9=0,AE9,R9&lt;0,AE9/-R9,R9&gt;0,AE9/R9)</f>
        <v>-509.46505400000001</v>
      </c>
      <c r="AM9" s="50">
        <f t="shared" si="12"/>
        <v>0</v>
      </c>
      <c r="AN9" s="51">
        <f t="shared" si="13"/>
        <v>-4.1419923089430899</v>
      </c>
      <c r="AP9" s="53">
        <f t="shared" si="14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5"/>
        <v>0.5</v>
      </c>
      <c r="O10" s="38">
        <f t="shared" si="16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>U10*1%</f>
        <v>0</v>
      </c>
      <c r="AE10" s="47">
        <f t="shared" si="6"/>
        <v>0</v>
      </c>
      <c r="AF10" s="46"/>
      <c r="AG10" s="48">
        <f t="shared" si="7"/>
        <v>0</v>
      </c>
      <c r="AH10" s="49">
        <f t="shared" si="8"/>
        <v>169.89</v>
      </c>
      <c r="AI10" s="49">
        <f t="shared" si="9"/>
        <v>0</v>
      </c>
      <c r="AJ10" s="49">
        <f t="shared" si="10"/>
        <v>0</v>
      </c>
      <c r="AK10" s="49">
        <f t="shared" si="11"/>
        <v>0</v>
      </c>
      <c r="AL10" s="49">
        <f t="array" ref="AL10">_xlfn.IFS(R10=0,AE10,R10&lt;0,AE10/-R10,R10&gt;0,AE10/R10)</f>
        <v>0</v>
      </c>
      <c r="AM10" s="50">
        <f t="shared" si="12"/>
        <v>0</v>
      </c>
      <c r="AN10" s="51">
        <f t="shared" si="13"/>
        <v>0</v>
      </c>
      <c r="AP10" s="53">
        <f t="shared" si="14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5"/>
        <v>0</v>
      </c>
      <c r="O11" s="38">
        <f t="shared" si="16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>U11*1%</f>
        <v>0</v>
      </c>
      <c r="AE11" s="47">
        <f t="shared" si="6"/>
        <v>0</v>
      </c>
      <c r="AF11" s="46"/>
      <c r="AG11" s="48">
        <f t="shared" si="7"/>
        <v>0</v>
      </c>
      <c r="AH11" s="49">
        <f t="shared" si="8"/>
        <v>169.89</v>
      </c>
      <c r="AI11" s="49">
        <f t="shared" si="9"/>
        <v>0</v>
      </c>
      <c r="AJ11" s="49">
        <f t="shared" si="10"/>
        <v>0</v>
      </c>
      <c r="AK11" s="49">
        <f t="shared" si="11"/>
        <v>0</v>
      </c>
      <c r="AL11" s="49">
        <f t="array" ref="AL11">_xlfn.IFS(R11=0,AE11,R11&lt;0,AE11/-R11,R11&gt;0,AE11/R11)</f>
        <v>0</v>
      </c>
      <c r="AM11" s="50">
        <f t="shared" si="12"/>
        <v>0</v>
      </c>
      <c r="AN11" s="51">
        <f t="shared" si="13"/>
        <v>0</v>
      </c>
      <c r="AP11" s="53">
        <f t="shared" si="14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5"/>
        <v>0.25</v>
      </c>
      <c r="O12" s="38">
        <f t="shared" si="16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>U12*1%</f>
        <v>0</v>
      </c>
      <c r="AE12" s="47">
        <f t="shared" si="6"/>
        <v>0</v>
      </c>
      <c r="AF12" s="46"/>
      <c r="AG12" s="48">
        <f t="shared" si="7"/>
        <v>0</v>
      </c>
      <c r="AH12" s="49">
        <f t="shared" si="8"/>
        <v>169.89</v>
      </c>
      <c r="AI12" s="49">
        <f t="shared" si="9"/>
        <v>0</v>
      </c>
      <c r="AJ12" s="49">
        <f t="shared" si="10"/>
        <v>0</v>
      </c>
      <c r="AK12" s="49">
        <f t="shared" si="11"/>
        <v>0</v>
      </c>
      <c r="AL12" s="49">
        <f t="array" ref="AL12">_xlfn.IFS(R12=0,AE12,R12&lt;0,AE12/-R12,R12&gt;0,AE12/R12)</f>
        <v>0</v>
      </c>
      <c r="AM12" s="50">
        <f t="shared" si="12"/>
        <v>0</v>
      </c>
      <c r="AN12" s="51">
        <f t="shared" si="13"/>
        <v>0</v>
      </c>
      <c r="AP12" s="53">
        <f t="shared" si="14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5"/>
        <v>0</v>
      </c>
      <c r="O13" s="38">
        <f t="shared" si="16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>U13*1%</f>
        <v>0</v>
      </c>
      <c r="AE13" s="47">
        <f t="shared" si="6"/>
        <v>-93.54</v>
      </c>
      <c r="AF13" s="46"/>
      <c r="AG13" s="48">
        <f t="shared" si="7"/>
        <v>0</v>
      </c>
      <c r="AH13" s="49">
        <f t="shared" si="8"/>
        <v>169.89</v>
      </c>
      <c r="AI13" s="49">
        <f t="shared" si="9"/>
        <v>0</v>
      </c>
      <c r="AJ13" s="49">
        <f t="shared" si="10"/>
        <v>93.54</v>
      </c>
      <c r="AK13" s="49">
        <f t="shared" si="11"/>
        <v>0</v>
      </c>
      <c r="AL13" s="49">
        <f t="array" ref="AL13">_xlfn.IFS(R13=0,AE13,R13&lt;0,AE13/-R13,R13&gt;0,AE13/R13)</f>
        <v>-93.54</v>
      </c>
      <c r="AM13" s="50">
        <f t="shared" si="12"/>
        <v>0</v>
      </c>
      <c r="AN13" s="51">
        <f t="shared" si="13"/>
        <v>-0.55059155924421688</v>
      </c>
      <c r="AP13" s="53">
        <f t="shared" si="14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5"/>
        <v>0</v>
      </c>
      <c r="O14" s="38">
        <f t="shared" si="16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>U14*1%</f>
        <v>0</v>
      </c>
      <c r="AE14" s="47">
        <f t="shared" si="6"/>
        <v>0</v>
      </c>
      <c r="AF14" s="46"/>
      <c r="AG14" s="48">
        <f t="shared" si="7"/>
        <v>0</v>
      </c>
      <c r="AH14" s="49">
        <f t="shared" si="8"/>
        <v>169.89</v>
      </c>
      <c r="AI14" s="49">
        <f t="shared" si="9"/>
        <v>0</v>
      </c>
      <c r="AJ14" s="49">
        <f t="shared" si="10"/>
        <v>0</v>
      </c>
      <c r="AK14" s="49">
        <f t="shared" si="11"/>
        <v>0</v>
      </c>
      <c r="AL14" s="49">
        <f t="array" ref="AL14">_xlfn.IFS(R14=0,AE14,R14&lt;0,AE14/-R14,R14&gt;0,AE14/R14)</f>
        <v>0</v>
      </c>
      <c r="AM14" s="50">
        <f t="shared" si="12"/>
        <v>0</v>
      </c>
      <c r="AN14" s="51">
        <f t="shared" si="13"/>
        <v>0</v>
      </c>
      <c r="AP14" s="53">
        <f t="shared" si="14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5"/>
        <v>0.25</v>
      </c>
      <c r="O15" s="38">
        <f t="shared" si="16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>U15*1%</f>
        <v>0</v>
      </c>
      <c r="AE15" s="47">
        <f t="shared" si="6"/>
        <v>-295.55</v>
      </c>
      <c r="AF15" s="46"/>
      <c r="AG15" s="48">
        <f t="shared" si="7"/>
        <v>0</v>
      </c>
      <c r="AH15" s="49">
        <f t="shared" si="8"/>
        <v>169.89</v>
      </c>
      <c r="AI15" s="49">
        <f t="shared" si="9"/>
        <v>0</v>
      </c>
      <c r="AJ15" s="49">
        <f t="shared" si="10"/>
        <v>0</v>
      </c>
      <c r="AK15" s="49">
        <f t="shared" si="11"/>
        <v>0</v>
      </c>
      <c r="AL15" s="49">
        <f t="array" ref="AL15">_xlfn.IFS(R15=0,AE15,R15&lt;0,AE15/-R15,R15&gt;0,AE15/R15)</f>
        <v>-295.55</v>
      </c>
      <c r="AM15" s="50">
        <f t="shared" si="12"/>
        <v>0</v>
      </c>
      <c r="AN15" s="51">
        <f t="shared" si="13"/>
        <v>-1.7396550709282479</v>
      </c>
      <c r="AP15" s="53">
        <f t="shared" si="14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5"/>
        <v>0.25</v>
      </c>
      <c r="O16" s="38">
        <f t="shared" si="16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>U16*1%</f>
        <v>0</v>
      </c>
      <c r="AE16" s="47">
        <f t="shared" si="6"/>
        <v>0</v>
      </c>
      <c r="AF16" s="46"/>
      <c r="AG16" s="48">
        <f t="shared" si="7"/>
        <v>0</v>
      </c>
      <c r="AH16" s="49">
        <f t="shared" si="8"/>
        <v>169.89</v>
      </c>
      <c r="AI16" s="49">
        <f t="shared" si="9"/>
        <v>0</v>
      </c>
      <c r="AJ16" s="49">
        <f t="shared" si="10"/>
        <v>0</v>
      </c>
      <c r="AK16" s="49">
        <f t="shared" si="11"/>
        <v>0</v>
      </c>
      <c r="AL16" s="49">
        <f t="array" ref="AL16">_xlfn.IFS(R16=0,AE16,R16&lt;0,AE16/-R16,R16&gt;0,AE16/R16)</f>
        <v>0</v>
      </c>
      <c r="AM16" s="50">
        <f t="shared" si="12"/>
        <v>0</v>
      </c>
      <c r="AN16" s="51">
        <f t="shared" si="13"/>
        <v>0</v>
      </c>
      <c r="AP16" s="53">
        <f t="shared" si="14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5"/>
        <v>0</v>
      </c>
      <c r="O17" s="38">
        <f t="shared" si="16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>U17*1%</f>
        <v>0</v>
      </c>
      <c r="AE17" s="47">
        <f t="shared" si="6"/>
        <v>0</v>
      </c>
      <c r="AF17" s="46"/>
      <c r="AG17" s="48">
        <f t="shared" si="7"/>
        <v>0</v>
      </c>
      <c r="AH17" s="49">
        <f t="shared" si="8"/>
        <v>1002.82</v>
      </c>
      <c r="AI17" s="49">
        <f t="shared" si="9"/>
        <v>0</v>
      </c>
      <c r="AJ17" s="49">
        <f t="shared" si="10"/>
        <v>0</v>
      </c>
      <c r="AK17" s="49">
        <f t="shared" si="11"/>
        <v>0</v>
      </c>
      <c r="AL17" s="49">
        <f t="array" ref="AL17">_xlfn.IFS(R17=0,AE17,R17&lt;0,AE17/-R17,R17&gt;0,AE17/R17)</f>
        <v>0</v>
      </c>
      <c r="AM17" s="50">
        <f t="shared" si="12"/>
        <v>0</v>
      </c>
      <c r="AN17" s="51">
        <f t="shared" si="13"/>
        <v>0</v>
      </c>
      <c r="AP17" s="53">
        <f t="shared" si="14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5"/>
        <v>0</v>
      </c>
      <c r="O18" s="38">
        <f t="shared" si="16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>U18*1%</f>
        <v>0</v>
      </c>
      <c r="AE18" s="47">
        <f t="shared" si="6"/>
        <v>0</v>
      </c>
      <c r="AF18" s="46"/>
      <c r="AG18" s="48">
        <f t="shared" si="7"/>
        <v>0</v>
      </c>
      <c r="AH18" s="49">
        <f t="shared" si="8"/>
        <v>909.22</v>
      </c>
      <c r="AI18" s="49">
        <f t="shared" si="9"/>
        <v>0</v>
      </c>
      <c r="AJ18" s="49">
        <f t="shared" si="10"/>
        <v>0</v>
      </c>
      <c r="AK18" s="49">
        <f t="shared" si="11"/>
        <v>0</v>
      </c>
      <c r="AL18" s="49">
        <f t="array" ref="AL18">_xlfn.IFS(R18=0,AE18,R18&lt;0,AE18/-R18,R18&gt;0,AE18/R18)</f>
        <v>0</v>
      </c>
      <c r="AM18" s="50">
        <f t="shared" si="12"/>
        <v>0</v>
      </c>
      <c r="AN18" s="51">
        <f t="shared" si="13"/>
        <v>0</v>
      </c>
      <c r="AP18" s="53">
        <f t="shared" si="14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5"/>
        <v>0</v>
      </c>
      <c r="O19" s="38">
        <f t="shared" si="16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>U19*1%</f>
        <v>0</v>
      </c>
      <c r="AE19" s="47">
        <f t="shared" si="6"/>
        <v>0</v>
      </c>
      <c r="AF19" s="46"/>
      <c r="AG19" s="48">
        <f t="shared" si="7"/>
        <v>0</v>
      </c>
      <c r="AH19" s="49">
        <f t="shared" si="8"/>
        <v>909.22</v>
      </c>
      <c r="AI19" s="49">
        <f t="shared" si="9"/>
        <v>0</v>
      </c>
      <c r="AJ19" s="49">
        <f t="shared" si="10"/>
        <v>0</v>
      </c>
      <c r="AK19" s="49">
        <f t="shared" si="11"/>
        <v>0</v>
      </c>
      <c r="AL19" s="49">
        <f t="array" ref="AL19">_xlfn.IFS(R19=0,AE19,R19&lt;0,AE19/-R19,R19&gt;0,AE19/R19)</f>
        <v>0</v>
      </c>
      <c r="AM19" s="50">
        <f t="shared" si="12"/>
        <v>0</v>
      </c>
      <c r="AN19" s="51">
        <f t="shared" si="13"/>
        <v>0</v>
      </c>
      <c r="AP19" s="53">
        <f t="shared" si="14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5"/>
        <v>0</v>
      </c>
      <c r="O20" s="38">
        <f t="shared" si="16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>U20*1%</f>
        <v>50</v>
      </c>
      <c r="AE20" s="47">
        <f t="shared" si="6"/>
        <v>1644.69</v>
      </c>
      <c r="AF20" s="46"/>
      <c r="AG20" s="48">
        <f t="shared" si="7"/>
        <v>5000</v>
      </c>
      <c r="AH20" s="49">
        <f t="shared" si="8"/>
        <v>932.62</v>
      </c>
      <c r="AI20" s="49">
        <f t="shared" si="9"/>
        <v>2150</v>
      </c>
      <c r="AJ20" s="49">
        <f t="shared" si="10"/>
        <v>222.69</v>
      </c>
      <c r="AK20" s="49">
        <f t="shared" si="11"/>
        <v>0</v>
      </c>
      <c r="AL20" s="49">
        <f t="array" ref="AL20">_xlfn.IFS(R20=0,AE20,R20&lt;0,AE20/-R20,R20&gt;0,AE20/R20)</f>
        <v>1644.69</v>
      </c>
      <c r="AM20" s="50">
        <f t="shared" si="12"/>
        <v>0.32893800000000001</v>
      </c>
      <c r="AN20" s="51">
        <f t="shared" si="13"/>
        <v>1.7635156869893418</v>
      </c>
      <c r="AP20" s="53">
        <f t="shared" si="14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5"/>
        <v>0</v>
      </c>
      <c r="O21" s="38">
        <f t="shared" si="16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>U21*1%</f>
        <v>0</v>
      </c>
      <c r="AE21" s="47">
        <f t="shared" si="6"/>
        <v>0</v>
      </c>
      <c r="AF21" s="46"/>
      <c r="AG21" s="48">
        <f t="shared" si="7"/>
        <v>0</v>
      </c>
      <c r="AH21" s="49">
        <f t="shared" si="8"/>
        <v>1014.52</v>
      </c>
      <c r="AI21" s="49">
        <f t="shared" si="9"/>
        <v>0</v>
      </c>
      <c r="AJ21" s="49">
        <f t="shared" si="10"/>
        <v>0</v>
      </c>
      <c r="AK21" s="49">
        <f t="shared" si="11"/>
        <v>0</v>
      </c>
      <c r="AL21" s="49">
        <f t="array" ref="AL21">_xlfn.IFS(R21=0,AE21,R21&lt;0,AE21/-R21,R21&gt;0,AE21/R21)</f>
        <v>0</v>
      </c>
      <c r="AM21" s="50">
        <f t="shared" si="12"/>
        <v>0</v>
      </c>
      <c r="AN21" s="51">
        <f t="shared" si="13"/>
        <v>0</v>
      </c>
      <c r="AP21" s="53">
        <f t="shared" si="14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5"/>
        <v>0</v>
      </c>
      <c r="O22" s="38">
        <f t="shared" si="16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>U22*1%</f>
        <v>0</v>
      </c>
      <c r="AE22" s="47">
        <f t="shared" si="6"/>
        <v>0</v>
      </c>
      <c r="AF22" s="46"/>
      <c r="AG22" s="48">
        <f t="shared" si="7"/>
        <v>0</v>
      </c>
      <c r="AH22" s="49">
        <f t="shared" si="8"/>
        <v>1014.52</v>
      </c>
      <c r="AI22" s="49">
        <f t="shared" si="9"/>
        <v>0</v>
      </c>
      <c r="AJ22" s="49">
        <f t="shared" si="10"/>
        <v>0</v>
      </c>
      <c r="AK22" s="49">
        <f t="shared" si="11"/>
        <v>0</v>
      </c>
      <c r="AL22" s="49">
        <f t="array" ref="AL22">_xlfn.IFS(R22=0,AE22,R22&lt;0,AE22/-R22,R22&gt;0,AE22/R22)</f>
        <v>0</v>
      </c>
      <c r="AM22" s="50">
        <f t="shared" si="12"/>
        <v>0</v>
      </c>
      <c r="AN22" s="51">
        <f t="shared" si="13"/>
        <v>0</v>
      </c>
      <c r="AP22" s="53">
        <f t="shared" si="14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5"/>
        <v>0</v>
      </c>
      <c r="O23" s="38">
        <f t="shared" si="16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>U23*1%</f>
        <v>0</v>
      </c>
      <c r="AE23" s="47">
        <f t="shared" si="6"/>
        <v>0</v>
      </c>
      <c r="AF23" s="46"/>
      <c r="AG23" s="48">
        <f t="shared" si="7"/>
        <v>0</v>
      </c>
      <c r="AH23" s="49">
        <f t="shared" si="8"/>
        <v>1014.52</v>
      </c>
      <c r="AI23" s="49">
        <f t="shared" si="9"/>
        <v>0</v>
      </c>
      <c r="AJ23" s="49">
        <f t="shared" si="10"/>
        <v>0</v>
      </c>
      <c r="AK23" s="49">
        <f t="shared" si="11"/>
        <v>0</v>
      </c>
      <c r="AL23" s="49">
        <f t="array" ref="AL23">_xlfn.IFS(R23=0,AE23,R23&lt;0,AE23/-R23,R23&gt;0,AE23/R23)</f>
        <v>0</v>
      </c>
      <c r="AM23" s="50">
        <f t="shared" si="12"/>
        <v>0</v>
      </c>
      <c r="AN23" s="51">
        <f t="shared" si="13"/>
        <v>0</v>
      </c>
      <c r="AP23" s="53">
        <f t="shared" si="14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5"/>
        <v>0</v>
      </c>
      <c r="O24" s="38">
        <f t="shared" si="16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>U24*1%</f>
        <v>0</v>
      </c>
      <c r="AE24" s="47">
        <f t="shared" si="6"/>
        <v>0</v>
      </c>
      <c r="AF24" s="46"/>
      <c r="AG24" s="48">
        <f t="shared" si="7"/>
        <v>0</v>
      </c>
      <c r="AH24" s="49">
        <f t="shared" si="8"/>
        <v>991.12</v>
      </c>
      <c r="AI24" s="49">
        <f t="shared" si="9"/>
        <v>0</v>
      </c>
      <c r="AJ24" s="49">
        <f t="shared" si="10"/>
        <v>0</v>
      </c>
      <c r="AK24" s="49">
        <f t="shared" si="11"/>
        <v>0</v>
      </c>
      <c r="AL24" s="49">
        <f t="array" ref="AL24">_xlfn.IFS(R24=0,AE24,R24&lt;0,AE24/-R24,R24&gt;0,AE24/R24)</f>
        <v>0</v>
      </c>
      <c r="AM24" s="50">
        <f t="shared" si="12"/>
        <v>0</v>
      </c>
      <c r="AN24" s="51">
        <f t="shared" si="13"/>
        <v>0</v>
      </c>
      <c r="AP24" s="53">
        <f t="shared" si="14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7">AVERAGEIF(AG3:AG24,"&lt;&gt;0",AG3:AG24)</f>
        <v>1980.9738095238092</v>
      </c>
      <c r="AH25" s="58">
        <f t="shared" si="17"/>
        <v>447.87636363636369</v>
      </c>
      <c r="AI25" s="58">
        <f t="shared" si="17"/>
        <v>851.81873809523802</v>
      </c>
      <c r="AJ25" s="58">
        <f t="shared" si="17"/>
        <v>123.09018367346938</v>
      </c>
      <c r="AK25" s="58">
        <f t="shared" si="17"/>
        <v>456.97734578571431</v>
      </c>
      <c r="AL25" s="58">
        <f t="shared" si="17"/>
        <v>279.26232985714284</v>
      </c>
      <c r="AM25" s="59">
        <f t="shared" si="17"/>
        <v>0.28098539257569283</v>
      </c>
      <c r="AN25" s="59">
        <f t="shared" si="17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8">SUM(Q3:Q24)</f>
        <v>0</v>
      </c>
      <c r="R26" s="64">
        <f t="shared" si="18"/>
        <v>28</v>
      </c>
      <c r="S26" s="70">
        <f>SUM(S3:S24)</f>
        <v>45978</v>
      </c>
      <c r="T26" s="64">
        <f t="shared" si="18"/>
        <v>0</v>
      </c>
      <c r="U26" s="64">
        <f t="shared" si="18"/>
        <v>45978</v>
      </c>
      <c r="V26" s="71">
        <f t="shared" si="18"/>
        <v>10.82599481987285</v>
      </c>
      <c r="W26" s="64">
        <f t="shared" si="18"/>
        <v>4528.66</v>
      </c>
      <c r="X26" s="64">
        <f t="shared" si="18"/>
        <v>19770.54</v>
      </c>
      <c r="Y26" s="72">
        <f>IF(U26=0,0,X26/U26)</f>
        <v>0.43</v>
      </c>
      <c r="Z26" s="64">
        <f t="shared" si="18"/>
        <v>3709.3399999999997</v>
      </c>
      <c r="AA26" s="64">
        <f>IFERROR(P26*AA51/P51,0)</f>
        <v>14387.481379310344</v>
      </c>
      <c r="AB26" s="64">
        <f t="shared" si="18"/>
        <v>0</v>
      </c>
      <c r="AC26" s="64">
        <f t="shared" si="18"/>
        <v>0</v>
      </c>
      <c r="AD26" s="73">
        <f t="shared" si="18"/>
        <v>459.78</v>
      </c>
      <c r="AE26" s="74">
        <f t="shared" si="18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12383.647068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19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0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1">S28+T28</f>
        <v>0</v>
      </c>
      <c r="V28" s="43">
        <f t="shared" ref="V28:V47" si="22">U28/$U$49</f>
        <v>0</v>
      </c>
      <c r="W28" s="44">
        <f t="shared" ref="W28:W47" si="23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4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19"/>
        <v>0</v>
      </c>
      <c r="J29" s="36"/>
      <c r="K29" s="32">
        <v>0</v>
      </c>
      <c r="L29" s="36"/>
      <c r="M29" s="36"/>
      <c r="N29" s="37">
        <f t="shared" ref="N29:N47" si="34">K29/4</f>
        <v>0</v>
      </c>
      <c r="O29" s="38">
        <f t="shared" ref="O29:O47" si="35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0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1"/>
        <v>0</v>
      </c>
      <c r="V29" s="43">
        <f t="shared" si="22"/>
        <v>0</v>
      </c>
      <c r="W29" s="44">
        <f t="shared" si="23"/>
        <v>0</v>
      </c>
      <c r="X29" s="42">
        <f>-SUMIFS('Отчет 01-04.01'!P:P,'Отчет 01-04.01'!C:C,"Вознаграждение Ozon",'Отчет 01-04.01'!E:E,B29)</f>
        <v>0</v>
      </c>
      <c r="Y29" s="45">
        <f t="shared" si="24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>U29*1%</f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19"/>
        <v>0</v>
      </c>
      <c r="J30" s="36"/>
      <c r="K30" s="32">
        <v>0</v>
      </c>
      <c r="L30" s="36"/>
      <c r="M30" s="36"/>
      <c r="N30" s="37">
        <f t="shared" si="34"/>
        <v>0</v>
      </c>
      <c r="O30" s="38">
        <f t="shared" si="35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0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1"/>
        <v>0</v>
      </c>
      <c r="V30" s="43">
        <f t="shared" si="22"/>
        <v>0</v>
      </c>
      <c r="W30" s="44">
        <f t="shared" si="23"/>
        <v>0</v>
      </c>
      <c r="X30" s="42">
        <f>-SUMIFS('Отчет 01-04.01'!P:P,'Отчет 01-04.01'!C:C,"Вознаграждение Ozon",'Отчет 01-04.01'!E:E,B30)</f>
        <v>0</v>
      </c>
      <c r="Y30" s="45">
        <f t="shared" si="24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>U30*1%</f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19"/>
        <v>0</v>
      </c>
      <c r="J31" s="36"/>
      <c r="K31" s="32">
        <v>0</v>
      </c>
      <c r="L31" s="36"/>
      <c r="M31" s="36"/>
      <c r="N31" s="37">
        <f t="shared" si="34"/>
        <v>0</v>
      </c>
      <c r="O31" s="38">
        <f t="shared" si="35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0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1"/>
        <v>0</v>
      </c>
      <c r="V31" s="43">
        <f t="shared" si="22"/>
        <v>0</v>
      </c>
      <c r="W31" s="44">
        <f t="shared" si="23"/>
        <v>0</v>
      </c>
      <c r="X31" s="42">
        <f>-SUMIFS('Отчет 01-04.01'!P:P,'Отчет 01-04.01'!C:C,"Вознаграждение Ozon",'Отчет 01-04.01'!E:E,B31)</f>
        <v>0</v>
      </c>
      <c r="Y31" s="45">
        <f t="shared" si="24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>U31*1%</f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19"/>
        <v>0</v>
      </c>
      <c r="J32" s="36"/>
      <c r="K32" s="32">
        <v>0</v>
      </c>
      <c r="L32" s="36"/>
      <c r="M32" s="36"/>
      <c r="N32" s="37">
        <f t="shared" si="34"/>
        <v>0</v>
      </c>
      <c r="O32" s="38">
        <f t="shared" si="35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0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1"/>
        <v>0</v>
      </c>
      <c r="V32" s="43">
        <f t="shared" si="22"/>
        <v>0</v>
      </c>
      <c r="W32" s="44">
        <f t="shared" si="23"/>
        <v>0</v>
      </c>
      <c r="X32" s="42">
        <f>-SUMIFS('Отчет 01-04.01'!P:P,'Отчет 01-04.01'!C:C,"Вознаграждение Ozon",'Отчет 01-04.01'!E:E,B32)</f>
        <v>0</v>
      </c>
      <c r="Y32" s="45">
        <f t="shared" si="24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>U32*1%</f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19"/>
        <v>0</v>
      </c>
      <c r="J33" s="36"/>
      <c r="K33" s="32">
        <v>0</v>
      </c>
      <c r="L33" s="36"/>
      <c r="M33" s="36"/>
      <c r="N33" s="37">
        <f t="shared" si="34"/>
        <v>0</v>
      </c>
      <c r="O33" s="38">
        <f t="shared" si="35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0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1"/>
        <v>0</v>
      </c>
      <c r="V33" s="43">
        <f t="shared" si="22"/>
        <v>0</v>
      </c>
      <c r="W33" s="44">
        <f t="shared" si="23"/>
        <v>0</v>
      </c>
      <c r="X33" s="42">
        <f>-SUMIFS('Отчет 01-04.01'!P:P,'Отчет 01-04.01'!C:C,"Вознаграждение Ozon",'Отчет 01-04.01'!E:E,B33)</f>
        <v>0</v>
      </c>
      <c r="Y33" s="45">
        <f t="shared" si="24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>U33*1%</f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19"/>
        <v>0</v>
      </c>
      <c r="J34" s="36"/>
      <c r="K34" s="32">
        <v>0</v>
      </c>
      <c r="L34" s="36"/>
      <c r="M34" s="36"/>
      <c r="N34" s="37">
        <f t="shared" si="34"/>
        <v>0</v>
      </c>
      <c r="O34" s="38">
        <f t="shared" si="35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0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1"/>
        <v>4247</v>
      </c>
      <c r="V34" s="43">
        <f t="shared" si="22"/>
        <v>1</v>
      </c>
      <c r="W34" s="44">
        <f t="shared" si="23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4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>U34*1%</f>
        <v>42.47</v>
      </c>
      <c r="AE34" s="47">
        <f t="shared" si="25"/>
        <v>1595.12</v>
      </c>
      <c r="AF34" s="46"/>
      <c r="AG34" s="48">
        <f t="shared" si="26"/>
        <v>4247</v>
      </c>
      <c r="AH34" s="49">
        <f t="shared" si="27"/>
        <v>597</v>
      </c>
      <c r="AI34" s="49">
        <f t="shared" si="28"/>
        <v>1826.21</v>
      </c>
      <c r="AJ34" s="49">
        <f t="shared" si="29"/>
        <v>186.2</v>
      </c>
      <c r="AK34" s="49">
        <f t="shared" si="30"/>
        <v>0</v>
      </c>
      <c r="AL34" s="49">
        <f t="array" ref="AL34">_xlfn.IFS(R34=0,AE34,R34&lt;0,AE34/-R34,R34&gt;0,AE34/R34)</f>
        <v>1595.12</v>
      </c>
      <c r="AM34" s="50">
        <f t="shared" si="31"/>
        <v>0.37558747351071342</v>
      </c>
      <c r="AN34" s="51">
        <f t="shared" si="32"/>
        <v>2.6718927973199329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19"/>
        <v>0</v>
      </c>
      <c r="J35" s="36"/>
      <c r="K35" s="32">
        <v>0</v>
      </c>
      <c r="L35" s="36"/>
      <c r="M35" s="36"/>
      <c r="N35" s="37">
        <f t="shared" si="34"/>
        <v>0</v>
      </c>
      <c r="O35" s="38">
        <f t="shared" si="35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0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1"/>
        <v>0</v>
      </c>
      <c r="V35" s="43">
        <f t="shared" si="22"/>
        <v>0</v>
      </c>
      <c r="W35" s="44">
        <f t="shared" si="23"/>
        <v>0</v>
      </c>
      <c r="X35" s="42">
        <f>-SUMIFS('Отчет 01-04.01'!P:P,'Отчет 01-04.01'!C:C,"Вознаграждение Ozon",'Отчет 01-04.01'!E:E,B35)</f>
        <v>0</v>
      </c>
      <c r="Y35" s="45">
        <f t="shared" si="24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>U35*1%</f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19"/>
        <v>0</v>
      </c>
      <c r="J36" s="36"/>
      <c r="K36" s="32">
        <v>1</v>
      </c>
      <c r="L36" s="36"/>
      <c r="M36" s="36"/>
      <c r="N36" s="37">
        <f t="shared" si="34"/>
        <v>0.25</v>
      </c>
      <c r="O36" s="38">
        <f t="shared" si="35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0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1"/>
        <v>0</v>
      </c>
      <c r="V36" s="43">
        <f t="shared" si="22"/>
        <v>0</v>
      </c>
      <c r="W36" s="44">
        <f t="shared" si="23"/>
        <v>0</v>
      </c>
      <c r="X36" s="42">
        <f>-SUMIFS('Отчет 01-04.01'!P:P,'Отчет 01-04.01'!C:C,"Вознаграждение Ozon",'Отчет 01-04.01'!E:E,B36)</f>
        <v>0</v>
      </c>
      <c r="Y36" s="45">
        <f t="shared" si="24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>U36*1%</f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19"/>
        <v>0</v>
      </c>
      <c r="J37" s="36"/>
      <c r="K37" s="32">
        <v>0</v>
      </c>
      <c r="L37" s="36"/>
      <c r="M37" s="36"/>
      <c r="N37" s="37">
        <f t="shared" si="34"/>
        <v>0</v>
      </c>
      <c r="O37" s="38">
        <f t="shared" si="35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0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1"/>
        <v>0</v>
      </c>
      <c r="V37" s="43">
        <f t="shared" si="22"/>
        <v>0</v>
      </c>
      <c r="W37" s="44">
        <f t="shared" si="23"/>
        <v>0</v>
      </c>
      <c r="X37" s="42">
        <f>-SUMIFS('Отчет 01-04.01'!P:P,'Отчет 01-04.01'!C:C,"Вознаграждение Ozon",'Отчет 01-04.01'!E:E,B37)</f>
        <v>0</v>
      </c>
      <c r="Y37" s="45">
        <f t="shared" si="24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>U37*1%</f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19"/>
        <v>0</v>
      </c>
      <c r="J38" s="36"/>
      <c r="K38" s="32">
        <v>0</v>
      </c>
      <c r="L38" s="36"/>
      <c r="M38" s="36"/>
      <c r="N38" s="37">
        <f t="shared" si="34"/>
        <v>0</v>
      </c>
      <c r="O38" s="38">
        <f t="shared" si="35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0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1"/>
        <v>0</v>
      </c>
      <c r="V38" s="43">
        <f t="shared" si="22"/>
        <v>0</v>
      </c>
      <c r="W38" s="44">
        <f t="shared" si="23"/>
        <v>0</v>
      </c>
      <c r="X38" s="42">
        <f>-SUMIFS('Отчет 01-04.01'!P:P,'Отчет 01-04.01'!C:C,"Вознаграждение Ozon",'Отчет 01-04.01'!E:E,B38)</f>
        <v>0</v>
      </c>
      <c r="Y38" s="45">
        <f t="shared" si="24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>U38*1%</f>
        <v>0</v>
      </c>
      <c r="AE38" s="47">
        <f t="shared" si="25"/>
        <v>0</v>
      </c>
      <c r="AF38" s="46"/>
      <c r="AG38" s="48">
        <f t="shared" si="26"/>
        <v>0</v>
      </c>
      <c r="AH38" s="49">
        <f t="shared" si="27"/>
        <v>687</v>
      </c>
      <c r="AI38" s="49">
        <f t="shared" si="28"/>
        <v>0</v>
      </c>
      <c r="AJ38" s="49">
        <f t="shared" si="29"/>
        <v>0</v>
      </c>
      <c r="AK38" s="49">
        <f t="shared" si="30"/>
        <v>0</v>
      </c>
      <c r="AL38" s="49">
        <f t="array" ref="AL38">_xlfn.IFS(R38=0,AE38,R38&lt;0,AE38/-R38,R38&gt;0,AE38/R38)</f>
        <v>0</v>
      </c>
      <c r="AM38" s="50">
        <f t="shared" si="31"/>
        <v>0</v>
      </c>
      <c r="AN38" s="51">
        <f t="shared" si="32"/>
        <v>0</v>
      </c>
      <c r="AP38" s="53">
        <f t="shared" si="33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19"/>
        <v>0</v>
      </c>
      <c r="J39" s="36"/>
      <c r="K39" s="32">
        <v>0</v>
      </c>
      <c r="L39" s="36"/>
      <c r="M39" s="36"/>
      <c r="N39" s="37">
        <f t="shared" si="34"/>
        <v>0</v>
      </c>
      <c r="O39" s="38">
        <f t="shared" si="35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0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1"/>
        <v>0</v>
      </c>
      <c r="V39" s="43">
        <f t="shared" si="22"/>
        <v>0</v>
      </c>
      <c r="W39" s="44">
        <f t="shared" si="23"/>
        <v>0</v>
      </c>
      <c r="X39" s="42">
        <f>-SUMIFS('Отчет 01-04.01'!P:P,'Отчет 01-04.01'!C:C,"Вознаграждение Ozon",'Отчет 01-04.01'!E:E,B39)</f>
        <v>0</v>
      </c>
      <c r="Y39" s="45">
        <f t="shared" si="24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>U39*1%</f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19"/>
        <v>0</v>
      </c>
      <c r="J40" s="36"/>
      <c r="K40" s="32">
        <v>0</v>
      </c>
      <c r="L40" s="36"/>
      <c r="M40" s="36"/>
      <c r="N40" s="37">
        <f t="shared" si="34"/>
        <v>0</v>
      </c>
      <c r="O40" s="38">
        <f t="shared" si="35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0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1"/>
        <v>0</v>
      </c>
      <c r="V40" s="43">
        <f t="shared" si="22"/>
        <v>0</v>
      </c>
      <c r="W40" s="44">
        <f t="shared" si="23"/>
        <v>0</v>
      </c>
      <c r="X40" s="42">
        <f>-SUMIFS('Отчет 01-04.01'!P:P,'Отчет 01-04.01'!C:C,"Вознаграждение Ozon",'Отчет 01-04.01'!E:E,B40)</f>
        <v>0</v>
      </c>
      <c r="Y40" s="45">
        <f t="shared" si="24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>U40*1%</f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19"/>
        <v>0</v>
      </c>
      <c r="J41" s="36"/>
      <c r="K41" s="32">
        <v>0</v>
      </c>
      <c r="L41" s="36"/>
      <c r="M41" s="36"/>
      <c r="N41" s="37">
        <f t="shared" si="34"/>
        <v>0</v>
      </c>
      <c r="O41" s="38">
        <f t="shared" si="35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0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1"/>
        <v>0</v>
      </c>
      <c r="V41" s="43">
        <f t="shared" si="22"/>
        <v>0</v>
      </c>
      <c r="W41" s="44">
        <f t="shared" si="23"/>
        <v>0</v>
      </c>
      <c r="X41" s="42">
        <f>-SUMIFS('Отчет 01-04.01'!P:P,'Отчет 01-04.01'!C:C,"Вознаграждение Ozon",'Отчет 01-04.01'!E:E,B41)</f>
        <v>0</v>
      </c>
      <c r="Y41" s="45">
        <f t="shared" si="24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>U41*1%</f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19"/>
        <v>0</v>
      </c>
      <c r="J42" s="36"/>
      <c r="K42" s="32">
        <v>0</v>
      </c>
      <c r="L42" s="36"/>
      <c r="M42" s="36"/>
      <c r="N42" s="37">
        <f t="shared" si="34"/>
        <v>0</v>
      </c>
      <c r="O42" s="38">
        <f t="shared" si="35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0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1"/>
        <v>0</v>
      </c>
      <c r="V42" s="43">
        <f t="shared" si="22"/>
        <v>0</v>
      </c>
      <c r="W42" s="44">
        <f t="shared" si="23"/>
        <v>0</v>
      </c>
      <c r="X42" s="42">
        <f>-SUMIFS('Отчет 01-04.01'!P:P,'Отчет 01-04.01'!C:C,"Вознаграждение Ozon",'Отчет 01-04.01'!E:E,B42)</f>
        <v>0</v>
      </c>
      <c r="Y42" s="45">
        <f t="shared" si="24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>U42*1%</f>
        <v>0</v>
      </c>
      <c r="AE42" s="47">
        <f t="shared" si="25"/>
        <v>-976.81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-976.81</v>
      </c>
      <c r="AM42" s="50">
        <f t="shared" si="31"/>
        <v>0</v>
      </c>
      <c r="AN42" s="51">
        <f t="shared" si="32"/>
        <v>-1.5215109034267913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19"/>
        <v>0</v>
      </c>
      <c r="J43" s="36"/>
      <c r="K43" s="32">
        <v>0</v>
      </c>
      <c r="L43" s="36"/>
      <c r="M43" s="36"/>
      <c r="N43" s="37">
        <f t="shared" si="34"/>
        <v>0</v>
      </c>
      <c r="O43" s="38">
        <f t="shared" si="35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0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1"/>
        <v>0</v>
      </c>
      <c r="V43" s="43">
        <f t="shared" si="22"/>
        <v>0</v>
      </c>
      <c r="W43" s="44">
        <f t="shared" si="23"/>
        <v>0</v>
      </c>
      <c r="X43" s="42">
        <f>-SUMIFS('Отчет 01-04.01'!P:P,'Отчет 01-04.01'!C:C,"Вознаграждение Ozon",'Отчет 01-04.01'!E:E,B43)</f>
        <v>0</v>
      </c>
      <c r="Y43" s="45">
        <f t="shared" si="24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>U43*1%</f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19"/>
        <v>0</v>
      </c>
      <c r="J44" s="36"/>
      <c r="K44" s="32">
        <v>0</v>
      </c>
      <c r="L44" s="36"/>
      <c r="M44" s="36"/>
      <c r="N44" s="37">
        <f t="shared" si="34"/>
        <v>0</v>
      </c>
      <c r="O44" s="38">
        <f t="shared" si="35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0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1"/>
        <v>0</v>
      </c>
      <c r="V44" s="43">
        <f t="shared" si="22"/>
        <v>0</v>
      </c>
      <c r="W44" s="44">
        <f t="shared" si="23"/>
        <v>0</v>
      </c>
      <c r="X44" s="42">
        <f>-SUMIFS('Отчет 01-04.01'!P:P,'Отчет 01-04.01'!C:C,"Вознаграждение Ozon",'Отчет 01-04.01'!E:E,B44)</f>
        <v>0</v>
      </c>
      <c r="Y44" s="45">
        <f t="shared" si="24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>U44*1%</f>
        <v>0</v>
      </c>
      <c r="AE44" s="47">
        <f t="shared" si="25"/>
        <v>-149.55251699999999</v>
      </c>
      <c r="AF44" s="46"/>
      <c r="AG44" s="48">
        <f t="shared" si="26"/>
        <v>0</v>
      </c>
      <c r="AH44" s="49">
        <f t="shared" si="27"/>
        <v>687</v>
      </c>
      <c r="AI44" s="49">
        <f t="shared" si="28"/>
        <v>0</v>
      </c>
      <c r="AJ44" s="49">
        <f t="shared" si="29"/>
        <v>0</v>
      </c>
      <c r="AK44" s="49">
        <f t="shared" si="30"/>
        <v>0</v>
      </c>
      <c r="AL44" s="49">
        <f t="array" ref="AL44">_xlfn.IFS(R44=0,AE44,R44&lt;0,AE44/-R44,R44&gt;0,AE44/R44)</f>
        <v>-149.55251699999999</v>
      </c>
      <c r="AM44" s="50">
        <f t="shared" si="31"/>
        <v>0</v>
      </c>
      <c r="AN44" s="51">
        <f t="shared" si="32"/>
        <v>-0.21768925327510916</v>
      </c>
      <c r="AP44" s="53">
        <f t="shared" si="33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19"/>
        <v>0</v>
      </c>
      <c r="J45" s="36"/>
      <c r="K45" s="32">
        <v>4</v>
      </c>
      <c r="L45" s="36"/>
      <c r="M45" s="36"/>
      <c r="N45" s="37">
        <f t="shared" si="34"/>
        <v>1</v>
      </c>
      <c r="O45" s="38">
        <f t="shared" si="35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0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1"/>
        <v>0</v>
      </c>
      <c r="V45" s="43">
        <f t="shared" si="22"/>
        <v>0</v>
      </c>
      <c r="W45" s="44">
        <f t="shared" si="23"/>
        <v>0</v>
      </c>
      <c r="X45" s="42">
        <f>-SUMIFS('Отчет 01-04.01'!P:P,'Отчет 01-04.01'!C:C,"Вознаграждение Ozon",'Отчет 01-04.01'!E:E,B45)</f>
        <v>0</v>
      </c>
      <c r="Y45" s="45">
        <f t="shared" si="24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>U45*1%</f>
        <v>0</v>
      </c>
      <c r="AE45" s="47">
        <f t="shared" si="25"/>
        <v>-1268.1699140000001</v>
      </c>
      <c r="AF45" s="46"/>
      <c r="AG45" s="48">
        <f t="shared" si="26"/>
        <v>0</v>
      </c>
      <c r="AH45" s="49">
        <f t="shared" si="27"/>
        <v>687</v>
      </c>
      <c r="AI45" s="49">
        <f t="shared" si="28"/>
        <v>0</v>
      </c>
      <c r="AJ45" s="49">
        <f t="shared" si="29"/>
        <v>0</v>
      </c>
      <c r="AK45" s="49">
        <f t="shared" si="30"/>
        <v>0</v>
      </c>
      <c r="AL45" s="49">
        <f t="array" ref="AL45">_xlfn.IFS(R45=0,AE45,R45&lt;0,AE45/-R45,R45&gt;0,AE45/R45)</f>
        <v>-1268.1699140000001</v>
      </c>
      <c r="AM45" s="50">
        <f t="shared" si="31"/>
        <v>0</v>
      </c>
      <c r="AN45" s="51">
        <f t="shared" si="32"/>
        <v>-1.8459532954876274</v>
      </c>
      <c r="AP45" s="53">
        <f t="shared" si="33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19"/>
        <v>0</v>
      </c>
      <c r="J46" s="36"/>
      <c r="K46" s="32">
        <v>0</v>
      </c>
      <c r="L46" s="36"/>
      <c r="M46" s="36"/>
      <c r="N46" s="37">
        <f t="shared" si="34"/>
        <v>0</v>
      </c>
      <c r="O46" s="38">
        <f t="shared" si="35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0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1"/>
        <v>0</v>
      </c>
      <c r="V46" s="43">
        <f t="shared" si="22"/>
        <v>0</v>
      </c>
      <c r="W46" s="44">
        <f t="shared" si="23"/>
        <v>0</v>
      </c>
      <c r="X46" s="42">
        <f>-SUMIFS('Отчет 01-04.01'!P:P,'Отчет 01-04.01'!C:C,"Вознаграждение Ozon",'Отчет 01-04.01'!E:E,B46)</f>
        <v>0</v>
      </c>
      <c r="Y46" s="45">
        <f t="shared" si="24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>U46*1%</f>
        <v>0</v>
      </c>
      <c r="AE46" s="47">
        <f t="shared" si="25"/>
        <v>-124.262242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-124.262242</v>
      </c>
      <c r="AM46" s="50">
        <f t="shared" si="31"/>
        <v>0</v>
      </c>
      <c r="AN46" s="51">
        <f t="shared" si="32"/>
        <v>-0.2251127572463768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4"/>
        <v>0</v>
      </c>
      <c r="O47" s="38">
        <f t="shared" si="35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0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1"/>
        <v>0</v>
      </c>
      <c r="V47" s="43">
        <f t="shared" si="22"/>
        <v>0</v>
      </c>
      <c r="W47" s="44">
        <f t="shared" si="23"/>
        <v>0</v>
      </c>
      <c r="X47" s="42">
        <f>-SUMIFS('Отчет 01-04.01'!P:P,'Отчет 01-04.01'!C:C,"Вознаграждение Ozon",'Отчет 01-04.01'!E:E,B47)</f>
        <v>0</v>
      </c>
      <c r="Y47" s="45">
        <f t="shared" si="24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>U47*1%</f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6">AVERAGEIF(AG28:AG47,"&lt;&gt;0",AG28:AG47)</f>
        <v>4247</v>
      </c>
      <c r="AH48" s="86">
        <f t="shared" si="36"/>
        <v>617.25</v>
      </c>
      <c r="AI48" s="86">
        <f t="shared" si="36"/>
        <v>1826.21</v>
      </c>
      <c r="AJ48" s="86">
        <f t="shared" si="36"/>
        <v>186.2</v>
      </c>
      <c r="AK48" s="86" t="e">
        <f t="shared" si="36"/>
        <v>#DIV/0!</v>
      </c>
      <c r="AL48" s="86">
        <f t="shared" si="36"/>
        <v>-184.73493460000003</v>
      </c>
      <c r="AM48" s="87">
        <f t="shared" si="36"/>
        <v>0.37558747351071342</v>
      </c>
      <c r="AN48" s="87">
        <f t="shared" si="36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7">SUM(P28:P47)</f>
        <v>1</v>
      </c>
      <c r="Q49" s="90">
        <f t="shared" si="37"/>
        <v>0</v>
      </c>
      <c r="R49" s="96">
        <f t="shared" si="37"/>
        <v>1</v>
      </c>
      <c r="S49" s="90">
        <f t="shared" si="37"/>
        <v>4247</v>
      </c>
      <c r="T49" s="90">
        <f t="shared" si="37"/>
        <v>0</v>
      </c>
      <c r="U49" s="96">
        <f t="shared" si="37"/>
        <v>4247</v>
      </c>
      <c r="V49" s="97">
        <f t="shared" si="37"/>
        <v>1</v>
      </c>
      <c r="W49" s="90">
        <f t="shared" si="37"/>
        <v>597</v>
      </c>
      <c r="X49" s="90">
        <f t="shared" si="37"/>
        <v>1826.21</v>
      </c>
      <c r="Y49" s="98">
        <f>IF(U49=0,0,X49/U49)</f>
        <v>0.43</v>
      </c>
      <c r="Z49" s="90">
        <f>SUM(Z28:Z47)</f>
        <v>186.2</v>
      </c>
      <c r="AA49" s="90">
        <f>IFERROR(P49*AA51/P51,0)</f>
        <v>513.83862068965516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38">P26+P49</f>
        <v>29</v>
      </c>
      <c r="Q51" s="118">
        <f t="shared" si="38"/>
        <v>0</v>
      </c>
      <c r="R51" s="121">
        <f t="shared" si="38"/>
        <v>29</v>
      </c>
      <c r="S51" s="118">
        <f t="shared" si="38"/>
        <v>50225</v>
      </c>
      <c r="T51" s="118">
        <f t="shared" si="38"/>
        <v>0</v>
      </c>
      <c r="U51" s="121">
        <f t="shared" si="38"/>
        <v>50225</v>
      </c>
      <c r="V51" s="122">
        <f t="shared" si="38"/>
        <v>11.82599481987285</v>
      </c>
      <c r="W51" s="118">
        <f t="shared" si="38"/>
        <v>5125.66</v>
      </c>
      <c r="X51" s="118">
        <f t="shared" si="38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513.83862068965516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14901.32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14902.441741000001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"/>
  <sheetViews>
    <sheetView workbookViewId="0">
      <selection activeCell="H14" sqref="H14"/>
    </sheetView>
  </sheetViews>
  <sheetFormatPr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"/>
  <sheetViews>
    <sheetView workbookViewId="0">
      <selection activeCell="J13" sqref="J13"/>
    </sheetView>
  </sheetViews>
  <sheetFormatPr defaultRowHeight="14.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dimension ref="A1:P921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548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549</v>
      </c>
      <c r="B3" s="175">
        <v>46041</v>
      </c>
      <c r="C3" s="171" t="s">
        <v>110</v>
      </c>
      <c r="D3" s="171" t="s">
        <v>117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549</v>
      </c>
      <c r="B4" s="175">
        <v>46041</v>
      </c>
      <c r="C4" s="171" t="s">
        <v>110</v>
      </c>
      <c r="D4" s="171" t="s">
        <v>118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549</v>
      </c>
      <c r="B5" s="175">
        <v>46041</v>
      </c>
      <c r="C5" s="171" t="s">
        <v>115</v>
      </c>
      <c r="D5" s="171" t="s">
        <v>119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549</v>
      </c>
      <c r="B6" s="175">
        <v>46041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>
        <v>41</v>
      </c>
      <c r="P6" s="179">
        <v>-46.77</v>
      </c>
    </row>
    <row r="7" spans="1:16" ht="19.5" customHeight="1">
      <c r="A7" s="171" t="s">
        <v>549</v>
      </c>
      <c r="B7" s="175">
        <v>46041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46027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-8.83</v>
      </c>
    </row>
    <row r="8" spans="1:16" ht="19.5" customHeight="1">
      <c r="A8" s="171" t="s">
        <v>550</v>
      </c>
      <c r="B8" s="175">
        <v>46041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46041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-5.43</v>
      </c>
    </row>
    <row r="9" spans="1:16" ht="19.5" customHeight="1">
      <c r="A9" s="171" t="s">
        <v>551</v>
      </c>
      <c r="B9" s="175">
        <v>46041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>
        <v>46</v>
      </c>
      <c r="P9" s="179">
        <v>-46.77</v>
      </c>
    </row>
    <row r="10" spans="1:16" ht="19.5" customHeight="1">
      <c r="A10" s="171" t="s">
        <v>551</v>
      </c>
      <c r="B10" s="175">
        <v>46041</v>
      </c>
      <c r="C10" s="171" t="s">
        <v>115</v>
      </c>
      <c r="D10" s="171" t="s">
        <v>116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-7.96</v>
      </c>
    </row>
    <row r="11" spans="1:16" ht="19.5" customHeight="1">
      <c r="A11" s="171" t="s">
        <v>551</v>
      </c>
      <c r="B11" s="175">
        <v>46041</v>
      </c>
      <c r="C11" s="171" t="s">
        <v>110</v>
      </c>
      <c r="D11" s="171" t="s">
        <v>117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0</v>
      </c>
    </row>
    <row r="12" spans="1:16" ht="19.5" customHeight="1">
      <c r="A12" s="171" t="s">
        <v>551</v>
      </c>
      <c r="B12" s="175">
        <v>46041</v>
      </c>
      <c r="C12" s="171" t="s">
        <v>110</v>
      </c>
      <c r="D12" s="171" t="s">
        <v>118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-46.77</v>
      </c>
    </row>
    <row r="13" spans="1:16" ht="19.5" customHeight="1">
      <c r="A13" s="171" t="s">
        <v>551</v>
      </c>
      <c r="B13" s="175">
        <v>46041</v>
      </c>
      <c r="C13" s="171" t="s">
        <v>115</v>
      </c>
      <c r="D13" s="171" t="s">
        <v>119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46035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-15</v>
      </c>
    </row>
    <row r="14" spans="1:16" ht="19.5" customHeight="1">
      <c r="A14" s="171" t="s">
        <v>552</v>
      </c>
      <c r="B14" s="175">
        <v>46041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>
        <v>44</v>
      </c>
      <c r="P14" s="179">
        <v>-46.77</v>
      </c>
    </row>
    <row r="15" spans="1:16" ht="19.5" customHeight="1">
      <c r="A15" s="171" t="s">
        <v>552</v>
      </c>
      <c r="B15" s="175">
        <v>46041</v>
      </c>
      <c r="C15" s="171" t="s">
        <v>115</v>
      </c>
      <c r="D15" s="171" t="s">
        <v>116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-10.81</v>
      </c>
    </row>
    <row r="16" spans="1:16" ht="19.5" customHeight="1">
      <c r="A16" s="171" t="s">
        <v>552</v>
      </c>
      <c r="B16" s="175">
        <v>46041</v>
      </c>
      <c r="C16" s="171" t="s">
        <v>110</v>
      </c>
      <c r="D16" s="171" t="s">
        <v>117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552</v>
      </c>
      <c r="B17" s="175">
        <v>46041</v>
      </c>
      <c r="C17" s="171" t="s">
        <v>110</v>
      </c>
      <c r="D17" s="171" t="s">
        <v>118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-46.77</v>
      </c>
    </row>
    <row r="18" spans="1:16" ht="19.5" customHeight="1">
      <c r="A18" s="171" t="s">
        <v>552</v>
      </c>
      <c r="B18" s="175">
        <v>46041</v>
      </c>
      <c r="C18" s="171" t="s">
        <v>115</v>
      </c>
      <c r="D18" s="171" t="s">
        <v>119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-15</v>
      </c>
    </row>
    <row r="19" spans="1:16" ht="19.5" customHeight="1">
      <c r="A19" s="171" t="s">
        <v>553</v>
      </c>
      <c r="B19" s="175">
        <v>46041</v>
      </c>
      <c r="C19" s="171" t="s">
        <v>115</v>
      </c>
      <c r="D19" s="171" t="s">
        <v>135</v>
      </c>
      <c r="E19" s="171" t="s">
        <v>42</v>
      </c>
      <c r="F19" s="171" t="s">
        <v>248</v>
      </c>
      <c r="G19" s="171" t="s">
        <v>112</v>
      </c>
      <c r="H19" s="176">
        <v>1</v>
      </c>
      <c r="I19" s="177">
        <v>0</v>
      </c>
      <c r="J19" s="175">
        <v>46041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-16.579999999999998</v>
      </c>
    </row>
    <row r="20" spans="1:16" ht="19.5" customHeight="1">
      <c r="A20" s="171" t="s">
        <v>554</v>
      </c>
      <c r="B20" s="175">
        <v>46041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0.43</v>
      </c>
      <c r="N20" s="176"/>
      <c r="O20" s="176">
        <v>51</v>
      </c>
      <c r="P20" s="179">
        <v>-147.08000000000001</v>
      </c>
    </row>
    <row r="21" spans="1:16" ht="19.5" customHeight="1">
      <c r="A21" s="171" t="s">
        <v>554</v>
      </c>
      <c r="B21" s="175">
        <v>46041</v>
      </c>
      <c r="C21" s="171" t="s">
        <v>127</v>
      </c>
      <c r="D21" s="171" t="s">
        <v>128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574.29</v>
      </c>
    </row>
    <row r="22" spans="1:16" ht="19.5" customHeight="1">
      <c r="A22" s="171" t="s">
        <v>554</v>
      </c>
      <c r="B22" s="175">
        <v>46041</v>
      </c>
      <c r="C22" s="171" t="s">
        <v>127</v>
      </c>
      <c r="D22" s="171" t="s">
        <v>129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5.74</v>
      </c>
    </row>
    <row r="23" spans="1:16" ht="19.5" customHeight="1">
      <c r="A23" s="171" t="s">
        <v>554</v>
      </c>
      <c r="B23" s="175">
        <v>46041</v>
      </c>
      <c r="C23" s="171" t="s">
        <v>127</v>
      </c>
      <c r="D23" s="171" t="s">
        <v>130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1089.97</v>
      </c>
    </row>
    <row r="24" spans="1:16" ht="19.5" customHeight="1">
      <c r="A24" s="171" t="s">
        <v>554</v>
      </c>
      <c r="B24" s="175">
        <v>46041</v>
      </c>
      <c r="C24" s="171" t="s">
        <v>131</v>
      </c>
      <c r="D24" s="171" t="s">
        <v>132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-718.1</v>
      </c>
    </row>
    <row r="25" spans="1:16" ht="19.5" customHeight="1">
      <c r="A25" s="171" t="s">
        <v>554</v>
      </c>
      <c r="B25" s="175">
        <v>46041</v>
      </c>
      <c r="C25" s="171" t="s">
        <v>115</v>
      </c>
      <c r="D25" s="171" t="s">
        <v>116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1670</v>
      </c>
      <c r="J25" s="175">
        <v>46040</v>
      </c>
      <c r="K25" s="171" t="s">
        <v>113</v>
      </c>
      <c r="L25" s="171" t="s">
        <v>114</v>
      </c>
      <c r="M25" s="178">
        <v>0.43</v>
      </c>
      <c r="N25" s="176"/>
      <c r="O25" s="176"/>
      <c r="P25" s="179">
        <v>-9.94</v>
      </c>
    </row>
    <row r="26" spans="1:16" ht="19.5" customHeight="1">
      <c r="A26" s="171" t="s">
        <v>555</v>
      </c>
      <c r="B26" s="175">
        <v>46041</v>
      </c>
      <c r="C26" s="171" t="s">
        <v>110</v>
      </c>
      <c r="D26" s="171" t="s">
        <v>24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>
        <v>44</v>
      </c>
      <c r="P26" s="179">
        <v>-46.77</v>
      </c>
    </row>
    <row r="27" spans="1:16" ht="19.5" customHeight="1">
      <c r="A27" s="171" t="s">
        <v>555</v>
      </c>
      <c r="B27" s="175">
        <v>46041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-11.03</v>
      </c>
    </row>
    <row r="28" spans="1:16" ht="19.5" customHeight="1">
      <c r="A28" s="171" t="s">
        <v>555</v>
      </c>
      <c r="B28" s="175">
        <v>46041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555</v>
      </c>
      <c r="B29" s="175">
        <v>46041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555</v>
      </c>
      <c r="B30" s="175">
        <v>46041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46036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556</v>
      </c>
      <c r="B31" s="175">
        <v>46041</v>
      </c>
      <c r="C31" s="171" t="s">
        <v>110</v>
      </c>
      <c r="D31" s="171" t="s">
        <v>24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>
        <v>47</v>
      </c>
      <c r="P31" s="179">
        <v>-46.77</v>
      </c>
    </row>
    <row r="32" spans="1:16" ht="19.5" customHeight="1">
      <c r="A32" s="171" t="s">
        <v>556</v>
      </c>
      <c r="B32" s="175">
        <v>46041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-8.83</v>
      </c>
    </row>
    <row r="33" spans="1:16" ht="19.5" customHeight="1">
      <c r="A33" s="171" t="s">
        <v>556</v>
      </c>
      <c r="B33" s="175">
        <v>46041</v>
      </c>
      <c r="C33" s="171" t="s">
        <v>110</v>
      </c>
      <c r="D33" s="171" t="s">
        <v>117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customHeight="1">
      <c r="A34" s="171" t="s">
        <v>556</v>
      </c>
      <c r="B34" s="175">
        <v>46041</v>
      </c>
      <c r="C34" s="171" t="s">
        <v>110</v>
      </c>
      <c r="D34" s="171" t="s">
        <v>118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customHeight="1">
      <c r="A35" s="171" t="s">
        <v>556</v>
      </c>
      <c r="B35" s="175">
        <v>46041</v>
      </c>
      <c r="C35" s="171" t="s">
        <v>115</v>
      </c>
      <c r="D35" s="171" t="s">
        <v>119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46032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-15</v>
      </c>
    </row>
    <row r="36" spans="1:16" ht="19.5" customHeight="1">
      <c r="A36" s="171" t="s">
        <v>557</v>
      </c>
      <c r="B36" s="175">
        <v>46041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0.43</v>
      </c>
      <c r="N36" s="176"/>
      <c r="O36" s="176">
        <v>51</v>
      </c>
      <c r="P36" s="179">
        <v>-147.08000000000001</v>
      </c>
    </row>
    <row r="37" spans="1:16" ht="19.5" customHeight="1">
      <c r="A37" s="171" t="s">
        <v>557</v>
      </c>
      <c r="B37" s="175">
        <v>46041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636.19000000000005</v>
      </c>
    </row>
    <row r="38" spans="1:16" ht="19.5" customHeight="1">
      <c r="A38" s="171" t="s">
        <v>557</v>
      </c>
      <c r="B38" s="175">
        <v>46041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557</v>
      </c>
      <c r="B39" s="175">
        <v>46041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1033.81</v>
      </c>
    </row>
    <row r="40" spans="1:16" ht="19.5" customHeight="1">
      <c r="A40" s="171" t="s">
        <v>557</v>
      </c>
      <c r="B40" s="175">
        <v>46041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-718.1</v>
      </c>
    </row>
    <row r="41" spans="1:16" ht="19.5" customHeight="1">
      <c r="A41" s="171" t="s">
        <v>557</v>
      </c>
      <c r="B41" s="175">
        <v>46041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46039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-9.35</v>
      </c>
    </row>
    <row r="42" spans="1:16" ht="19.5" customHeight="1">
      <c r="A42" s="171" t="s">
        <v>558</v>
      </c>
      <c r="B42" s="175">
        <v>46041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0.43</v>
      </c>
      <c r="N42" s="176"/>
      <c r="O42" s="176">
        <v>51</v>
      </c>
      <c r="P42" s="179">
        <v>-147.08000000000001</v>
      </c>
    </row>
    <row r="43" spans="1:16" ht="19.5" customHeight="1">
      <c r="A43" s="171" t="s">
        <v>558</v>
      </c>
      <c r="B43" s="175">
        <v>46041</v>
      </c>
      <c r="C43" s="171" t="s">
        <v>127</v>
      </c>
      <c r="D43" s="171" t="s">
        <v>128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574.29</v>
      </c>
    </row>
    <row r="44" spans="1:16" ht="19.5" customHeight="1">
      <c r="A44" s="171" t="s">
        <v>558</v>
      </c>
      <c r="B44" s="175">
        <v>46041</v>
      </c>
      <c r="C44" s="171" t="s">
        <v>127</v>
      </c>
      <c r="D44" s="171" t="s">
        <v>129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5.74</v>
      </c>
    </row>
    <row r="45" spans="1:16" ht="19.5" customHeight="1">
      <c r="A45" s="171" t="s">
        <v>558</v>
      </c>
      <c r="B45" s="175">
        <v>46041</v>
      </c>
      <c r="C45" s="171" t="s">
        <v>127</v>
      </c>
      <c r="D45" s="171" t="s">
        <v>130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1089.97</v>
      </c>
    </row>
    <row r="46" spans="1:16" ht="19.5" customHeight="1">
      <c r="A46" s="171" t="s">
        <v>558</v>
      </c>
      <c r="B46" s="175">
        <v>46041</v>
      </c>
      <c r="C46" s="171" t="s">
        <v>131</v>
      </c>
      <c r="D46" s="171" t="s">
        <v>132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-718.1</v>
      </c>
    </row>
    <row r="47" spans="1:16" ht="19.5" customHeight="1">
      <c r="A47" s="171" t="s">
        <v>558</v>
      </c>
      <c r="B47" s="175">
        <v>46041</v>
      </c>
      <c r="C47" s="171" t="s">
        <v>115</v>
      </c>
      <c r="D47" s="171" t="s">
        <v>116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46040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-17</v>
      </c>
    </row>
    <row r="48" spans="1:16" ht="19.5" customHeight="1">
      <c r="A48" s="171" t="s">
        <v>559</v>
      </c>
      <c r="B48" s="175">
        <v>46041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0.43</v>
      </c>
      <c r="N48" s="176"/>
      <c r="O48" s="176">
        <v>48</v>
      </c>
      <c r="P48" s="179">
        <v>-131.54</v>
      </c>
    </row>
    <row r="49" spans="1:16" ht="19.5" customHeight="1">
      <c r="A49" s="171" t="s">
        <v>559</v>
      </c>
      <c r="B49" s="175">
        <v>46041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741.9</v>
      </c>
    </row>
    <row r="50" spans="1:16" ht="19.5" customHeight="1">
      <c r="A50" s="171" t="s">
        <v>559</v>
      </c>
      <c r="B50" s="175">
        <v>46041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7.42</v>
      </c>
    </row>
    <row r="51" spans="1:16" ht="19.5" customHeight="1">
      <c r="A51" s="171" t="s">
        <v>559</v>
      </c>
      <c r="B51" s="175">
        <v>46041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637.67999999999995</v>
      </c>
    </row>
    <row r="52" spans="1:16" ht="19.5" customHeight="1">
      <c r="A52" s="171" t="s">
        <v>559</v>
      </c>
      <c r="B52" s="175">
        <v>46041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-596.41</v>
      </c>
    </row>
    <row r="53" spans="1:16" ht="19.5" customHeight="1">
      <c r="A53" s="171" t="s">
        <v>559</v>
      </c>
      <c r="B53" s="175">
        <v>46041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1387</v>
      </c>
      <c r="J53" s="175">
        <v>46038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-8.59</v>
      </c>
    </row>
    <row r="54" spans="1:16" ht="19.5" customHeight="1">
      <c r="A54" s="171" t="s">
        <v>560</v>
      </c>
      <c r="B54" s="175">
        <v>46041</v>
      </c>
      <c r="C54" s="171" t="s">
        <v>110</v>
      </c>
      <c r="D54" s="171" t="s">
        <v>24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0.43</v>
      </c>
      <c r="N54" s="176"/>
      <c r="O54" s="176">
        <v>50</v>
      </c>
      <c r="P54" s="179">
        <v>-151.29</v>
      </c>
    </row>
    <row r="55" spans="1:16" ht="19.5" customHeight="1">
      <c r="A55" s="171" t="s">
        <v>560</v>
      </c>
      <c r="B55" s="175">
        <v>46041</v>
      </c>
      <c r="C55" s="171" t="s">
        <v>127</v>
      </c>
      <c r="D55" s="171" t="s">
        <v>128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646.66999999999996</v>
      </c>
    </row>
    <row r="56" spans="1:16" ht="19.5" customHeight="1">
      <c r="A56" s="171" t="s">
        <v>560</v>
      </c>
      <c r="B56" s="175">
        <v>46041</v>
      </c>
      <c r="C56" s="171" t="s">
        <v>127</v>
      </c>
      <c r="D56" s="171" t="s">
        <v>129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6.47</v>
      </c>
    </row>
    <row r="57" spans="1:16" ht="19.5" customHeight="1">
      <c r="A57" s="171" t="s">
        <v>560</v>
      </c>
      <c r="B57" s="175">
        <v>46041</v>
      </c>
      <c r="C57" s="171" t="s">
        <v>127</v>
      </c>
      <c r="D57" s="171" t="s">
        <v>130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1161.8599999999999</v>
      </c>
    </row>
    <row r="58" spans="1:16" ht="19.5" customHeight="1">
      <c r="A58" s="171" t="s">
        <v>560</v>
      </c>
      <c r="B58" s="175">
        <v>46041</v>
      </c>
      <c r="C58" s="171" t="s">
        <v>131</v>
      </c>
      <c r="D58" s="171" t="s">
        <v>132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-780.45</v>
      </c>
    </row>
    <row r="59" spans="1:16" ht="19.5" customHeight="1">
      <c r="A59" s="171" t="s">
        <v>560</v>
      </c>
      <c r="B59" s="175">
        <v>46041</v>
      </c>
      <c r="C59" s="171" t="s">
        <v>115</v>
      </c>
      <c r="D59" s="171" t="s">
        <v>116</v>
      </c>
      <c r="E59" s="171" t="s">
        <v>44</v>
      </c>
      <c r="F59" s="171" t="s">
        <v>213</v>
      </c>
      <c r="G59" s="171" t="s">
        <v>214</v>
      </c>
      <c r="H59" s="176">
        <v>1</v>
      </c>
      <c r="I59" s="177">
        <v>1815</v>
      </c>
      <c r="J59" s="175">
        <v>46033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-14.04</v>
      </c>
    </row>
    <row r="60" spans="1:16" ht="19.5" customHeight="1">
      <c r="A60" s="171" t="s">
        <v>561</v>
      </c>
      <c r="B60" s="175">
        <v>46041</v>
      </c>
      <c r="C60" s="171" t="s">
        <v>110</v>
      </c>
      <c r="D60" s="171" t="s">
        <v>24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>
        <v>50</v>
      </c>
      <c r="P60" s="179">
        <v>-46.77</v>
      </c>
    </row>
    <row r="61" spans="1:16" ht="19.5" customHeight="1">
      <c r="A61" s="171" t="s">
        <v>561</v>
      </c>
      <c r="B61" s="175">
        <v>46041</v>
      </c>
      <c r="C61" s="171" t="s">
        <v>115</v>
      </c>
      <c r="D61" s="171" t="s">
        <v>116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-8.3699999999999992</v>
      </c>
    </row>
    <row r="62" spans="1:16" ht="19.5" customHeight="1">
      <c r="A62" s="171" t="s">
        <v>561</v>
      </c>
      <c r="B62" s="175">
        <v>46041</v>
      </c>
      <c r="C62" s="171" t="s">
        <v>110</v>
      </c>
      <c r="D62" s="171" t="s">
        <v>117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0</v>
      </c>
    </row>
    <row r="63" spans="1:16" ht="19.5" customHeight="1">
      <c r="A63" s="171" t="s">
        <v>561</v>
      </c>
      <c r="B63" s="175">
        <v>46041</v>
      </c>
      <c r="C63" s="171" t="s">
        <v>110</v>
      </c>
      <c r="D63" s="171" t="s">
        <v>118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-81.34</v>
      </c>
    </row>
    <row r="64" spans="1:16" ht="19.5" customHeight="1">
      <c r="A64" s="171" t="s">
        <v>561</v>
      </c>
      <c r="B64" s="175">
        <v>46041</v>
      </c>
      <c r="C64" s="171" t="s">
        <v>115</v>
      </c>
      <c r="D64" s="171" t="s">
        <v>119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0</v>
      </c>
      <c r="J64" s="175">
        <v>46033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-15</v>
      </c>
    </row>
    <row r="65" spans="1:16" ht="19.5" customHeight="1">
      <c r="A65" s="171" t="s">
        <v>560</v>
      </c>
      <c r="B65" s="175">
        <v>46041</v>
      </c>
      <c r="C65" s="171" t="s">
        <v>115</v>
      </c>
      <c r="D65" s="171" t="s">
        <v>135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46033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-12.29</v>
      </c>
    </row>
    <row r="66" spans="1:16" ht="19.5" customHeight="1">
      <c r="A66" s="171" t="s">
        <v>562</v>
      </c>
      <c r="B66" s="175">
        <v>46041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0.43</v>
      </c>
      <c r="N66" s="176"/>
      <c r="O66" s="176">
        <v>43</v>
      </c>
      <c r="P66" s="179">
        <v>-125.95</v>
      </c>
    </row>
    <row r="67" spans="1:16" ht="19.5" customHeight="1">
      <c r="A67" s="171" t="s">
        <v>562</v>
      </c>
      <c r="B67" s="175">
        <v>46041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585.71</v>
      </c>
    </row>
    <row r="68" spans="1:16" ht="19.5" customHeight="1">
      <c r="A68" s="171" t="s">
        <v>562</v>
      </c>
      <c r="B68" s="175">
        <v>46041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5.86</v>
      </c>
    </row>
    <row r="69" spans="1:16" ht="19.5" customHeight="1">
      <c r="A69" s="171" t="s">
        <v>562</v>
      </c>
      <c r="B69" s="175">
        <v>46041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1112.43</v>
      </c>
    </row>
    <row r="70" spans="1:16" ht="19.5" customHeight="1">
      <c r="A70" s="171" t="s">
        <v>562</v>
      </c>
      <c r="B70" s="175">
        <v>46041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-732.72</v>
      </c>
    </row>
    <row r="71" spans="1:16" ht="19.5" customHeight="1">
      <c r="A71" s="171" t="s">
        <v>562</v>
      </c>
      <c r="B71" s="175">
        <v>46041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1704</v>
      </c>
      <c r="J71" s="175">
        <v>46037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-13.41</v>
      </c>
    </row>
    <row r="72" spans="1:16" ht="19.5" customHeight="1">
      <c r="A72" s="171" t="s">
        <v>562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563</v>
      </c>
      <c r="B73" s="175">
        <v>46041</v>
      </c>
      <c r="C73" s="171" t="s">
        <v>115</v>
      </c>
      <c r="D73" s="171" t="s">
        <v>135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46041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-11.71</v>
      </c>
    </row>
    <row r="74" spans="1:16" ht="19.5" customHeight="1">
      <c r="A74" s="171" t="s">
        <v>564</v>
      </c>
      <c r="B74" s="175">
        <v>46041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0.43</v>
      </c>
      <c r="N74" s="176"/>
      <c r="O74" s="176">
        <v>51</v>
      </c>
      <c r="P74" s="179">
        <v>-145.72</v>
      </c>
    </row>
    <row r="75" spans="1:16" ht="19.5" customHeight="1">
      <c r="A75" s="171" t="s">
        <v>564</v>
      </c>
      <c r="B75" s="175">
        <v>46041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574.29</v>
      </c>
    </row>
    <row r="76" spans="1:16" ht="19.5" customHeight="1">
      <c r="A76" s="171" t="s">
        <v>564</v>
      </c>
      <c r="B76" s="175">
        <v>46041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5.74</v>
      </c>
    </row>
    <row r="77" spans="1:16" ht="19.5" customHeight="1">
      <c r="A77" s="171" t="s">
        <v>564</v>
      </c>
      <c r="B77" s="175">
        <v>46041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1089.97</v>
      </c>
    </row>
    <row r="78" spans="1:16" ht="19.5" customHeight="1">
      <c r="A78" s="171" t="s">
        <v>564</v>
      </c>
      <c r="B78" s="175">
        <v>46041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564</v>
      </c>
      <c r="B79" s="175">
        <v>46041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46040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-8.44</v>
      </c>
    </row>
    <row r="80" spans="1:16" ht="19.5" customHeight="1">
      <c r="A80" s="171" t="s">
        <v>564</v>
      </c>
      <c r="B80" s="175">
        <v>46041</v>
      </c>
      <c r="C80" s="171" t="s">
        <v>115</v>
      </c>
      <c r="D80" s="171" t="s">
        <v>135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0</v>
      </c>
      <c r="J80" s="175">
        <v>46040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-10.91</v>
      </c>
    </row>
    <row r="81" spans="1:16" ht="19.5" customHeight="1">
      <c r="A81" s="171" t="s">
        <v>565</v>
      </c>
      <c r="B81" s="175">
        <v>46041</v>
      </c>
      <c r="C81" s="171" t="s">
        <v>110</v>
      </c>
      <c r="D81" s="171" t="s">
        <v>24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0.43</v>
      </c>
      <c r="N81" s="176"/>
      <c r="O81" s="176">
        <v>51</v>
      </c>
      <c r="P81" s="179">
        <v>-145.69</v>
      </c>
    </row>
    <row r="82" spans="1:16" ht="19.5" customHeight="1">
      <c r="A82" s="171" t="s">
        <v>565</v>
      </c>
      <c r="B82" s="175">
        <v>46041</v>
      </c>
      <c r="C82" s="171" t="s">
        <v>127</v>
      </c>
      <c r="D82" s="171" t="s">
        <v>128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558.17999999999995</v>
      </c>
    </row>
    <row r="83" spans="1:16" ht="19.5" customHeight="1">
      <c r="A83" s="171" t="s">
        <v>565</v>
      </c>
      <c r="B83" s="175">
        <v>46041</v>
      </c>
      <c r="C83" s="171" t="s">
        <v>127</v>
      </c>
      <c r="D83" s="171" t="s">
        <v>129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5.58</v>
      </c>
    </row>
    <row r="84" spans="1:16" ht="19.5" customHeight="1">
      <c r="A84" s="171" t="s">
        <v>565</v>
      </c>
      <c r="B84" s="175">
        <v>46041</v>
      </c>
      <c r="C84" s="171" t="s">
        <v>127</v>
      </c>
      <c r="D84" s="171" t="s">
        <v>130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1070.24</v>
      </c>
    </row>
    <row r="85" spans="1:16" ht="19.5" customHeight="1">
      <c r="A85" s="171" t="s">
        <v>565</v>
      </c>
      <c r="B85" s="175">
        <v>46041</v>
      </c>
      <c r="C85" s="171" t="s">
        <v>131</v>
      </c>
      <c r="D85" s="171" t="s">
        <v>132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-702.62</v>
      </c>
    </row>
    <row r="86" spans="1:16" ht="19.5" customHeight="1">
      <c r="A86" s="171" t="s">
        <v>565</v>
      </c>
      <c r="B86" s="175">
        <v>46041</v>
      </c>
      <c r="C86" s="171" t="s">
        <v>115</v>
      </c>
      <c r="D86" s="171" t="s">
        <v>116</v>
      </c>
      <c r="E86" s="171" t="s">
        <v>39</v>
      </c>
      <c r="F86" s="171" t="s">
        <v>141</v>
      </c>
      <c r="G86" s="171" t="s">
        <v>112</v>
      </c>
      <c r="H86" s="176">
        <v>1</v>
      </c>
      <c r="I86" s="177">
        <v>1634</v>
      </c>
      <c r="J86" s="175">
        <v>46039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-7.51</v>
      </c>
    </row>
    <row r="87" spans="1:16" ht="19.5" customHeight="1">
      <c r="A87" s="171" t="s">
        <v>566</v>
      </c>
      <c r="B87" s="175">
        <v>46041</v>
      </c>
      <c r="C87" s="171" t="s">
        <v>115</v>
      </c>
      <c r="D87" s="171" t="s">
        <v>135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46041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-4.34</v>
      </c>
    </row>
    <row r="88" spans="1:16" ht="19.5" customHeight="1">
      <c r="A88" s="171" t="s">
        <v>567</v>
      </c>
      <c r="B88" s="175">
        <v>46041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>
        <v>39</v>
      </c>
      <c r="P88" s="179">
        <v>-46</v>
      </c>
    </row>
    <row r="89" spans="1:16" ht="19.5" customHeight="1">
      <c r="A89" s="171" t="s">
        <v>567</v>
      </c>
      <c r="B89" s="175">
        <v>46041</v>
      </c>
      <c r="C89" s="171" t="s">
        <v>115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-9.61</v>
      </c>
    </row>
    <row r="90" spans="1:16" ht="19.5" customHeight="1">
      <c r="A90" s="171" t="s">
        <v>567</v>
      </c>
      <c r="B90" s="175">
        <v>46041</v>
      </c>
      <c r="C90" s="171" t="s">
        <v>110</v>
      </c>
      <c r="D90" s="171" t="s">
        <v>117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customHeight="1">
      <c r="A91" s="171" t="s">
        <v>567</v>
      </c>
      <c r="B91" s="175">
        <v>46041</v>
      </c>
      <c r="C91" s="171" t="s">
        <v>110</v>
      </c>
      <c r="D91" s="171" t="s">
        <v>118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-46</v>
      </c>
    </row>
    <row r="92" spans="1:16" ht="19.5" customHeight="1">
      <c r="A92" s="171" t="s">
        <v>567</v>
      </c>
      <c r="B92" s="175">
        <v>46041</v>
      </c>
      <c r="C92" s="171" t="s">
        <v>115</v>
      </c>
      <c r="D92" s="171" t="s">
        <v>119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46024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-15</v>
      </c>
    </row>
    <row r="93" spans="1:16" ht="19.5" customHeight="1">
      <c r="A93" s="171" t="s">
        <v>568</v>
      </c>
      <c r="B93" s="175">
        <v>46041</v>
      </c>
      <c r="C93" s="171" t="s">
        <v>115</v>
      </c>
      <c r="D93" s="171" t="s">
        <v>135</v>
      </c>
      <c r="E93" s="171" t="s">
        <v>39</v>
      </c>
      <c r="F93" s="171" t="s">
        <v>141</v>
      </c>
      <c r="G93" s="171" t="s">
        <v>112</v>
      </c>
      <c r="H93" s="176">
        <v>1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-11.17</v>
      </c>
    </row>
    <row r="94" spans="1:16" ht="19.5" customHeight="1">
      <c r="A94" s="171" t="s">
        <v>155</v>
      </c>
      <c r="B94" s="175">
        <v>46041</v>
      </c>
      <c r="C94" s="171" t="s">
        <v>151</v>
      </c>
      <c r="D94" s="171" t="s">
        <v>156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-1087.21</v>
      </c>
    </row>
    <row r="95" spans="1:16" ht="19.5" customHeight="1">
      <c r="A95" s="171" t="s">
        <v>150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-1230.1300000000001</v>
      </c>
    </row>
    <row r="96" spans="1:16" ht="19.5" customHeight="1">
      <c r="A96" s="171" t="s">
        <v>179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-255.76</v>
      </c>
    </row>
    <row r="97" spans="1:16" ht="19.5" customHeight="1">
      <c r="A97" s="171" t="s">
        <v>196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-544.41999999999996</v>
      </c>
    </row>
    <row r="98" spans="1:16" ht="19.5" customHeight="1">
      <c r="A98" s="171" t="s">
        <v>569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-233.23</v>
      </c>
    </row>
    <row r="99" spans="1:16" ht="19.5" customHeight="1">
      <c r="A99" s="171" t="s">
        <v>153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-378.63</v>
      </c>
    </row>
    <row r="100" spans="1:16" ht="19.5" customHeight="1">
      <c r="A100" s="171" t="s">
        <v>180</v>
      </c>
      <c r="B100" s="175">
        <v>46041</v>
      </c>
      <c r="C100" s="171" t="s">
        <v>151</v>
      </c>
      <c r="D100" s="171" t="s">
        <v>152</v>
      </c>
      <c r="E100" s="171" t="s">
        <v>125</v>
      </c>
      <c r="F100" s="171" t="s">
        <v>125</v>
      </c>
      <c r="G100" s="171" t="s">
        <v>125</v>
      </c>
      <c r="H100" s="176">
        <v>0</v>
      </c>
      <c r="I100" s="177">
        <v>0</v>
      </c>
      <c r="J100" s="175">
        <v>46041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-750</v>
      </c>
    </row>
    <row r="101" spans="1:16" ht="19.5" customHeight="1">
      <c r="A101" s="171" t="s">
        <v>570</v>
      </c>
      <c r="B101" s="175">
        <v>46042</v>
      </c>
      <c r="C101" s="171" t="s">
        <v>115</v>
      </c>
      <c r="D101" s="171" t="s">
        <v>135</v>
      </c>
      <c r="E101" s="171" t="s">
        <v>45</v>
      </c>
      <c r="F101" s="171" t="s">
        <v>162</v>
      </c>
      <c r="G101" s="171" t="s">
        <v>163</v>
      </c>
      <c r="H101" s="176">
        <v>1</v>
      </c>
      <c r="I101" s="177">
        <v>0</v>
      </c>
      <c r="J101" s="175">
        <v>46042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-7.44</v>
      </c>
    </row>
    <row r="102" spans="1:16" ht="19.5" customHeight="1">
      <c r="A102" s="171" t="s">
        <v>571</v>
      </c>
      <c r="B102" s="175">
        <v>46042</v>
      </c>
      <c r="C102" s="171" t="s">
        <v>110</v>
      </c>
      <c r="D102" s="171" t="s">
        <v>24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>
        <v>43</v>
      </c>
      <c r="P102" s="179">
        <v>-46.77</v>
      </c>
    </row>
    <row r="103" spans="1:16" ht="19.5" customHeight="1">
      <c r="A103" s="171" t="s">
        <v>571</v>
      </c>
      <c r="B103" s="175">
        <v>46042</v>
      </c>
      <c r="C103" s="171" t="s">
        <v>115</v>
      </c>
      <c r="D103" s="171" t="s">
        <v>116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-18.079999999999998</v>
      </c>
    </row>
    <row r="104" spans="1:16" ht="19.5" customHeight="1">
      <c r="A104" s="171" t="s">
        <v>571</v>
      </c>
      <c r="B104" s="175">
        <v>46042</v>
      </c>
      <c r="C104" s="171" t="s">
        <v>110</v>
      </c>
      <c r="D104" s="171" t="s">
        <v>117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customHeight="1">
      <c r="A105" s="171" t="s">
        <v>571</v>
      </c>
      <c r="B105" s="175">
        <v>46042</v>
      </c>
      <c r="C105" s="171" t="s">
        <v>110</v>
      </c>
      <c r="D105" s="171" t="s">
        <v>118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-46.77</v>
      </c>
    </row>
    <row r="106" spans="1:16" ht="19.5" customHeight="1">
      <c r="A106" s="171" t="s">
        <v>571</v>
      </c>
      <c r="B106" s="175">
        <v>46042</v>
      </c>
      <c r="C106" s="171" t="s">
        <v>115</v>
      </c>
      <c r="D106" s="171" t="s">
        <v>119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0</v>
      </c>
      <c r="J106" s="175">
        <v>46037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customHeight="1">
      <c r="A107" s="171" t="s">
        <v>572</v>
      </c>
      <c r="B107" s="175">
        <v>46042</v>
      </c>
      <c r="C107" s="171" t="s">
        <v>110</v>
      </c>
      <c r="D107" s="171" t="s">
        <v>117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0</v>
      </c>
    </row>
    <row r="108" spans="1:16" ht="19.5" customHeight="1">
      <c r="A108" s="171" t="s">
        <v>572</v>
      </c>
      <c r="B108" s="175">
        <v>46042</v>
      </c>
      <c r="C108" s="171" t="s">
        <v>110</v>
      </c>
      <c r="D108" s="171" t="s">
        <v>118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-46</v>
      </c>
    </row>
    <row r="109" spans="1:16" ht="19.5" customHeight="1">
      <c r="A109" s="171" t="s">
        <v>572</v>
      </c>
      <c r="B109" s="175">
        <v>46042</v>
      </c>
      <c r="C109" s="171" t="s">
        <v>110</v>
      </c>
      <c r="D109" s="171" t="s">
        <v>24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>
        <v>38</v>
      </c>
      <c r="P109" s="179">
        <v>-46</v>
      </c>
    </row>
    <row r="110" spans="1:16" ht="19.5" customHeight="1">
      <c r="A110" s="171" t="s">
        <v>572</v>
      </c>
      <c r="B110" s="175">
        <v>46042</v>
      </c>
      <c r="C110" s="171" t="s">
        <v>115</v>
      </c>
      <c r="D110" s="171" t="s">
        <v>116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-15.1</v>
      </c>
    </row>
    <row r="111" spans="1:16" ht="19.5" customHeight="1">
      <c r="A111" s="171" t="s">
        <v>573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-12.47</v>
      </c>
    </row>
    <row r="112" spans="1:16" ht="19.5" customHeight="1">
      <c r="A112" s="171" t="s">
        <v>574</v>
      </c>
      <c r="B112" s="175">
        <v>46042</v>
      </c>
      <c r="C112" s="171" t="s">
        <v>115</v>
      </c>
      <c r="D112" s="171" t="s">
        <v>135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46042</v>
      </c>
      <c r="K112" s="171" t="s">
        <v>125</v>
      </c>
      <c r="L112" s="171" t="s">
        <v>125</v>
      </c>
      <c r="M112" s="178">
        <v>0</v>
      </c>
      <c r="N112" s="176"/>
      <c r="O112" s="176"/>
      <c r="P112" s="179">
        <v>-12.44</v>
      </c>
    </row>
    <row r="113" spans="1:16" ht="19.5" customHeight="1">
      <c r="A113" s="171" t="s">
        <v>575</v>
      </c>
      <c r="B113" s="175">
        <v>46042</v>
      </c>
      <c r="C113" s="171" t="s">
        <v>110</v>
      </c>
      <c r="D113" s="171" t="s">
        <v>117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customHeight="1">
      <c r="A114" s="171" t="s">
        <v>575</v>
      </c>
      <c r="B114" s="175">
        <v>46042</v>
      </c>
      <c r="C114" s="171" t="s">
        <v>110</v>
      </c>
      <c r="D114" s="171" t="s">
        <v>118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-56.94</v>
      </c>
    </row>
    <row r="115" spans="1:16" ht="19.5" customHeight="1">
      <c r="A115" s="171" t="s">
        <v>575</v>
      </c>
      <c r="B115" s="175">
        <v>46042</v>
      </c>
      <c r="C115" s="171" t="s">
        <v>115</v>
      </c>
      <c r="D115" s="171" t="s">
        <v>119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-15</v>
      </c>
    </row>
    <row r="116" spans="1:16" ht="19.5" customHeight="1">
      <c r="A116" s="171" t="s">
        <v>575</v>
      </c>
      <c r="B116" s="175">
        <v>46042</v>
      </c>
      <c r="C116" s="171" t="s">
        <v>110</v>
      </c>
      <c r="D116" s="171" t="s">
        <v>24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>
        <v>51</v>
      </c>
      <c r="P116" s="179">
        <v>-56.94</v>
      </c>
    </row>
    <row r="117" spans="1:16" ht="19.5" customHeight="1">
      <c r="A117" s="171" t="s">
        <v>575</v>
      </c>
      <c r="B117" s="175">
        <v>46042</v>
      </c>
      <c r="C117" s="171" t="s">
        <v>115</v>
      </c>
      <c r="D117" s="171" t="s">
        <v>116</v>
      </c>
      <c r="E117" s="171" t="s">
        <v>78</v>
      </c>
      <c r="F117" s="171" t="s">
        <v>176</v>
      </c>
      <c r="G117" s="171" t="s">
        <v>177</v>
      </c>
      <c r="H117" s="176">
        <v>1</v>
      </c>
      <c r="I117" s="177">
        <v>0</v>
      </c>
      <c r="J117" s="175">
        <v>46039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-12.44</v>
      </c>
    </row>
    <row r="118" spans="1:16" ht="19.5" customHeight="1">
      <c r="A118" s="171" t="s">
        <v>576</v>
      </c>
      <c r="B118" s="175">
        <v>46042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0.43</v>
      </c>
      <c r="N118" s="176"/>
      <c r="O118" s="176">
        <v>51</v>
      </c>
      <c r="P118" s="179">
        <v>-145.72</v>
      </c>
    </row>
    <row r="119" spans="1:16" ht="19.5" customHeight="1">
      <c r="A119" s="171" t="s">
        <v>576</v>
      </c>
      <c r="B119" s="175">
        <v>46042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635.59</v>
      </c>
    </row>
    <row r="120" spans="1:16" ht="19.5" customHeight="1">
      <c r="A120" s="171" t="s">
        <v>576</v>
      </c>
      <c r="B120" s="175">
        <v>46042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0</v>
      </c>
    </row>
    <row r="121" spans="1:16" ht="19.5" customHeight="1">
      <c r="A121" s="171" t="s">
        <v>576</v>
      </c>
      <c r="B121" s="175">
        <v>46042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1034.4100000000001</v>
      </c>
    </row>
    <row r="122" spans="1:16" ht="19.5" customHeight="1">
      <c r="A122" s="171" t="s">
        <v>576</v>
      </c>
      <c r="B122" s="175">
        <v>46042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-718.1</v>
      </c>
    </row>
    <row r="123" spans="1:16" ht="19.5" customHeight="1">
      <c r="A123" s="171" t="s">
        <v>576</v>
      </c>
      <c r="B123" s="175">
        <v>46042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46039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-14.3</v>
      </c>
    </row>
    <row r="124" spans="1:16" ht="19.5" customHeight="1">
      <c r="A124" s="171" t="s">
        <v>577</v>
      </c>
      <c r="B124" s="175">
        <v>46042</v>
      </c>
      <c r="C124" s="171" t="s">
        <v>110</v>
      </c>
      <c r="D124" s="171" t="s">
        <v>24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>
        <v>51</v>
      </c>
      <c r="P124" s="179">
        <v>-56.94</v>
      </c>
    </row>
    <row r="125" spans="1:16" ht="19.5" customHeight="1">
      <c r="A125" s="171" t="s">
        <v>577</v>
      </c>
      <c r="B125" s="175">
        <v>46042</v>
      </c>
      <c r="C125" s="171" t="s">
        <v>115</v>
      </c>
      <c r="D125" s="171" t="s">
        <v>116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-12.77</v>
      </c>
    </row>
    <row r="126" spans="1:16" ht="19.5" customHeight="1">
      <c r="A126" s="171" t="s">
        <v>577</v>
      </c>
      <c r="B126" s="175">
        <v>46042</v>
      </c>
      <c r="C126" s="171" t="s">
        <v>110</v>
      </c>
      <c r="D126" s="171" t="s">
        <v>117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0</v>
      </c>
    </row>
    <row r="127" spans="1:16" ht="19.5" customHeight="1">
      <c r="A127" s="171" t="s">
        <v>577</v>
      </c>
      <c r="B127" s="175">
        <v>46042</v>
      </c>
      <c r="C127" s="171" t="s">
        <v>110</v>
      </c>
      <c r="D127" s="171" t="s">
        <v>118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-56.94</v>
      </c>
    </row>
    <row r="128" spans="1:16" ht="19.5" customHeight="1">
      <c r="A128" s="171" t="s">
        <v>577</v>
      </c>
      <c r="B128" s="175">
        <v>46042</v>
      </c>
      <c r="C128" s="171" t="s">
        <v>115</v>
      </c>
      <c r="D128" s="171" t="s">
        <v>119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46039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-15</v>
      </c>
    </row>
    <row r="129" spans="1:16" ht="19.5" customHeight="1">
      <c r="A129" s="171" t="s">
        <v>578</v>
      </c>
      <c r="B129" s="175">
        <v>46042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0.43</v>
      </c>
      <c r="N129" s="176"/>
      <c r="O129" s="176">
        <v>51</v>
      </c>
      <c r="P129" s="179">
        <v>-147.08000000000001</v>
      </c>
    </row>
    <row r="130" spans="1:16" ht="19.5" customHeight="1">
      <c r="A130" s="171" t="s">
        <v>578</v>
      </c>
      <c r="B130" s="175">
        <v>46042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636.19000000000005</v>
      </c>
    </row>
    <row r="131" spans="1:16" ht="19.5" customHeight="1">
      <c r="A131" s="171" t="s">
        <v>578</v>
      </c>
      <c r="B131" s="175">
        <v>46042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578</v>
      </c>
      <c r="B132" s="175">
        <v>46042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1033.81</v>
      </c>
    </row>
    <row r="133" spans="1:16" ht="19.5" customHeight="1">
      <c r="A133" s="171" t="s">
        <v>578</v>
      </c>
      <c r="B133" s="175">
        <v>46042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-718.1</v>
      </c>
    </row>
    <row r="134" spans="1:16" ht="19.5" customHeight="1">
      <c r="A134" s="171" t="s">
        <v>578</v>
      </c>
      <c r="B134" s="175">
        <v>46042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1670</v>
      </c>
      <c r="J134" s="175">
        <v>46039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-8.07</v>
      </c>
    </row>
    <row r="135" spans="1:16" ht="19.5" customHeight="1">
      <c r="A135" s="171" t="s">
        <v>579</v>
      </c>
      <c r="B135" s="175">
        <v>46042</v>
      </c>
      <c r="C135" s="171" t="s">
        <v>115</v>
      </c>
      <c r="D135" s="171" t="s">
        <v>135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46042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-4.26</v>
      </c>
    </row>
    <row r="136" spans="1:16" ht="19.5" customHeight="1">
      <c r="A136" s="171" t="s">
        <v>580</v>
      </c>
      <c r="B136" s="175">
        <v>46042</v>
      </c>
      <c r="C136" s="171" t="s">
        <v>110</v>
      </c>
      <c r="D136" s="171" t="s">
        <v>24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0.43</v>
      </c>
      <c r="N136" s="176"/>
      <c r="O136" s="176">
        <v>51</v>
      </c>
      <c r="P136" s="179">
        <v>-152.66</v>
      </c>
    </row>
    <row r="137" spans="1:16" ht="19.5" customHeight="1">
      <c r="A137" s="171" t="s">
        <v>580</v>
      </c>
      <c r="B137" s="175">
        <v>46042</v>
      </c>
      <c r="C137" s="171" t="s">
        <v>127</v>
      </c>
      <c r="D137" s="171" t="s">
        <v>128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629.38</v>
      </c>
    </row>
    <row r="138" spans="1:16" ht="19.5" customHeight="1">
      <c r="A138" s="171" t="s">
        <v>580</v>
      </c>
      <c r="B138" s="175">
        <v>46042</v>
      </c>
      <c r="C138" s="171" t="s">
        <v>127</v>
      </c>
      <c r="D138" s="171" t="s">
        <v>129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6.29</v>
      </c>
    </row>
    <row r="139" spans="1:16" ht="19.5" customHeight="1">
      <c r="A139" s="171" t="s">
        <v>580</v>
      </c>
      <c r="B139" s="175">
        <v>46042</v>
      </c>
      <c r="C139" s="171" t="s">
        <v>127</v>
      </c>
      <c r="D139" s="171" t="s">
        <v>130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1179.33</v>
      </c>
    </row>
    <row r="140" spans="1:16" ht="19.5" customHeight="1">
      <c r="A140" s="171" t="s">
        <v>580</v>
      </c>
      <c r="B140" s="175">
        <v>46042</v>
      </c>
      <c r="C140" s="171" t="s">
        <v>131</v>
      </c>
      <c r="D140" s="171" t="s">
        <v>132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-780.45</v>
      </c>
    </row>
    <row r="141" spans="1:16" ht="19.5" customHeight="1">
      <c r="A141" s="171" t="s">
        <v>580</v>
      </c>
      <c r="B141" s="175">
        <v>46042</v>
      </c>
      <c r="C141" s="171" t="s">
        <v>115</v>
      </c>
      <c r="D141" s="171" t="s">
        <v>116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46039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-11.49</v>
      </c>
    </row>
    <row r="142" spans="1:16" ht="19.5" customHeight="1">
      <c r="A142" s="171" t="s">
        <v>581</v>
      </c>
      <c r="B142" s="175">
        <v>46042</v>
      </c>
      <c r="C142" s="171" t="s">
        <v>110</v>
      </c>
      <c r="D142" s="171" t="s">
        <v>24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0.43</v>
      </c>
      <c r="N142" s="176"/>
      <c r="O142" s="176">
        <v>43</v>
      </c>
      <c r="P142" s="179">
        <v>-125.95</v>
      </c>
    </row>
    <row r="143" spans="1:16" ht="19.5" customHeight="1">
      <c r="A143" s="171" t="s">
        <v>581</v>
      </c>
      <c r="B143" s="175">
        <v>46042</v>
      </c>
      <c r="C143" s="171" t="s">
        <v>127</v>
      </c>
      <c r="D143" s="171" t="s">
        <v>128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745</v>
      </c>
    </row>
    <row r="144" spans="1:16" ht="19.5" customHeight="1">
      <c r="A144" s="171" t="s">
        <v>581</v>
      </c>
      <c r="B144" s="175">
        <v>46042</v>
      </c>
      <c r="C144" s="171" t="s">
        <v>127</v>
      </c>
      <c r="D144" s="171" t="s">
        <v>129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7.45</v>
      </c>
    </row>
    <row r="145" spans="1:16" ht="19.5" customHeight="1">
      <c r="A145" s="171" t="s">
        <v>581</v>
      </c>
      <c r="B145" s="175">
        <v>46042</v>
      </c>
      <c r="C145" s="171" t="s">
        <v>127</v>
      </c>
      <c r="D145" s="171" t="s">
        <v>130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951.55</v>
      </c>
    </row>
    <row r="146" spans="1:16" ht="19.5" customHeight="1">
      <c r="A146" s="171" t="s">
        <v>581</v>
      </c>
      <c r="B146" s="175">
        <v>46042</v>
      </c>
      <c r="C146" s="171" t="s">
        <v>131</v>
      </c>
      <c r="D146" s="171" t="s">
        <v>132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-732.72</v>
      </c>
    </row>
    <row r="147" spans="1:16" ht="19.5" customHeight="1">
      <c r="A147" s="171" t="s">
        <v>581</v>
      </c>
      <c r="B147" s="175">
        <v>46042</v>
      </c>
      <c r="C147" s="171" t="s">
        <v>115</v>
      </c>
      <c r="D147" s="171" t="s">
        <v>116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1704</v>
      </c>
      <c r="J147" s="175">
        <v>46037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-20.43</v>
      </c>
    </row>
    <row r="148" spans="1:16" ht="19.5" customHeight="1">
      <c r="A148" s="171" t="s">
        <v>582</v>
      </c>
      <c r="B148" s="175">
        <v>46042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46042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-10.95</v>
      </c>
    </row>
    <row r="149" spans="1:16" ht="19.5" customHeight="1">
      <c r="A149" s="171" t="s">
        <v>583</v>
      </c>
      <c r="B149" s="175">
        <v>46042</v>
      </c>
      <c r="C149" s="171" t="s">
        <v>110</v>
      </c>
      <c r="D149" s="171" t="s">
        <v>24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>
        <v>44</v>
      </c>
      <c r="P149" s="179">
        <v>-46.77</v>
      </c>
    </row>
    <row r="150" spans="1:16" ht="19.5" customHeight="1">
      <c r="A150" s="171" t="s">
        <v>583</v>
      </c>
      <c r="B150" s="175">
        <v>46042</v>
      </c>
      <c r="C150" s="171" t="s">
        <v>115</v>
      </c>
      <c r="D150" s="171" t="s">
        <v>116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-16.89</v>
      </c>
    </row>
    <row r="151" spans="1:16" ht="19.5" customHeight="1">
      <c r="A151" s="171" t="s">
        <v>583</v>
      </c>
      <c r="B151" s="175">
        <v>46042</v>
      </c>
      <c r="C151" s="171" t="s">
        <v>110</v>
      </c>
      <c r="D151" s="171" t="s">
        <v>117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0</v>
      </c>
    </row>
    <row r="152" spans="1:16" ht="19.5" customHeight="1">
      <c r="A152" s="171" t="s">
        <v>583</v>
      </c>
      <c r="B152" s="175">
        <v>46042</v>
      </c>
      <c r="C152" s="171" t="s">
        <v>110</v>
      </c>
      <c r="D152" s="171" t="s">
        <v>118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-46.77</v>
      </c>
    </row>
    <row r="153" spans="1:16" ht="19.5" customHeight="1">
      <c r="A153" s="171" t="s">
        <v>583</v>
      </c>
      <c r="B153" s="175">
        <v>46042</v>
      </c>
      <c r="C153" s="171" t="s">
        <v>115</v>
      </c>
      <c r="D153" s="171" t="s">
        <v>119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46036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-15</v>
      </c>
    </row>
    <row r="154" spans="1:16" ht="19.5" customHeight="1">
      <c r="A154" s="171" t="s">
        <v>584</v>
      </c>
      <c r="B154" s="175">
        <v>46042</v>
      </c>
      <c r="C154" s="171" t="s">
        <v>110</v>
      </c>
      <c r="D154" s="171" t="s">
        <v>24</v>
      </c>
      <c r="E154" s="171" t="s">
        <v>70</v>
      </c>
      <c r="F154" s="171" t="s">
        <v>513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0.43</v>
      </c>
      <c r="N154" s="176"/>
      <c r="O154" s="176">
        <v>48</v>
      </c>
      <c r="P154" s="179">
        <v>-262.98</v>
      </c>
    </row>
    <row r="155" spans="1:16" ht="19.5" customHeight="1">
      <c r="A155" s="171" t="s">
        <v>584</v>
      </c>
      <c r="B155" s="175">
        <v>46042</v>
      </c>
      <c r="C155" s="171" t="s">
        <v>127</v>
      </c>
      <c r="D155" s="171" t="s">
        <v>128</v>
      </c>
      <c r="E155" s="171" t="s">
        <v>70</v>
      </c>
      <c r="F155" s="171" t="s">
        <v>513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2975.24</v>
      </c>
    </row>
    <row r="156" spans="1:16" ht="19.5" customHeight="1">
      <c r="A156" s="171" t="s">
        <v>584</v>
      </c>
      <c r="B156" s="175">
        <v>46042</v>
      </c>
      <c r="C156" s="171" t="s">
        <v>127</v>
      </c>
      <c r="D156" s="171" t="s">
        <v>129</v>
      </c>
      <c r="E156" s="171" t="s">
        <v>70</v>
      </c>
      <c r="F156" s="171" t="s">
        <v>513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29.75</v>
      </c>
    </row>
    <row r="157" spans="1:16" ht="19.5" customHeight="1">
      <c r="A157" s="171" t="s">
        <v>584</v>
      </c>
      <c r="B157" s="175">
        <v>46042</v>
      </c>
      <c r="C157" s="171" t="s">
        <v>127</v>
      </c>
      <c r="D157" s="171" t="s">
        <v>130</v>
      </c>
      <c r="E157" s="171" t="s">
        <v>70</v>
      </c>
      <c r="F157" s="171" t="s">
        <v>513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1501.01</v>
      </c>
    </row>
    <row r="158" spans="1:16" ht="19.5" customHeight="1">
      <c r="A158" s="171" t="s">
        <v>584</v>
      </c>
      <c r="B158" s="175">
        <v>46042</v>
      </c>
      <c r="C158" s="171" t="s">
        <v>131</v>
      </c>
      <c r="D158" s="171" t="s">
        <v>132</v>
      </c>
      <c r="E158" s="171" t="s">
        <v>70</v>
      </c>
      <c r="F158" s="171" t="s">
        <v>513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-1937.58</v>
      </c>
    </row>
    <row r="159" spans="1:16" ht="19.5" customHeight="1">
      <c r="A159" s="171" t="s">
        <v>584</v>
      </c>
      <c r="B159" s="175">
        <v>46042</v>
      </c>
      <c r="C159" s="171" t="s">
        <v>115</v>
      </c>
      <c r="D159" s="171" t="s">
        <v>116</v>
      </c>
      <c r="E159" s="171" t="s">
        <v>70</v>
      </c>
      <c r="F159" s="171" t="s">
        <v>513</v>
      </c>
      <c r="G159" s="171" t="s">
        <v>177</v>
      </c>
      <c r="H159" s="176">
        <v>1</v>
      </c>
      <c r="I159" s="177">
        <v>4506</v>
      </c>
      <c r="J159" s="175">
        <v>46038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-16.88</v>
      </c>
    </row>
    <row r="160" spans="1:16" ht="19.5" customHeight="1">
      <c r="A160" s="171" t="s">
        <v>585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513</v>
      </c>
      <c r="G160" s="171" t="s">
        <v>177</v>
      </c>
      <c r="H160" s="176">
        <v>1</v>
      </c>
      <c r="I160" s="177">
        <v>0</v>
      </c>
      <c r="J160" s="175">
        <v>46042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-16.760000000000002</v>
      </c>
    </row>
    <row r="161" spans="1:16" ht="19.5" customHeight="1">
      <c r="A161" s="171" t="s">
        <v>584</v>
      </c>
      <c r="B161" s="175">
        <v>46042</v>
      </c>
      <c r="C161" s="171" t="s">
        <v>115</v>
      </c>
      <c r="D161" s="171" t="s">
        <v>135</v>
      </c>
      <c r="E161" s="171" t="s">
        <v>70</v>
      </c>
      <c r="F161" s="171" t="s">
        <v>513</v>
      </c>
      <c r="G161" s="171" t="s">
        <v>177</v>
      </c>
      <c r="H161" s="176">
        <v>1</v>
      </c>
      <c r="I161" s="177">
        <v>0</v>
      </c>
      <c r="J161" s="175">
        <v>46038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-56.53</v>
      </c>
    </row>
    <row r="162" spans="1:16" ht="19.5" customHeight="1">
      <c r="A162" s="171" t="s">
        <v>586</v>
      </c>
      <c r="B162" s="175">
        <v>46042</v>
      </c>
      <c r="C162" s="171" t="s">
        <v>110</v>
      </c>
      <c r="D162" s="171" t="s">
        <v>24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0.43</v>
      </c>
      <c r="N162" s="176"/>
      <c r="O162" s="176">
        <v>51</v>
      </c>
      <c r="P162" s="179">
        <v>-136.18</v>
      </c>
    </row>
    <row r="163" spans="1:16" ht="19.5" customHeight="1">
      <c r="A163" s="171" t="s">
        <v>586</v>
      </c>
      <c r="B163" s="175">
        <v>46042</v>
      </c>
      <c r="C163" s="171" t="s">
        <v>127</v>
      </c>
      <c r="D163" s="171" t="s">
        <v>128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716.19</v>
      </c>
    </row>
    <row r="164" spans="1:16" ht="19.5" customHeight="1">
      <c r="A164" s="171" t="s">
        <v>586</v>
      </c>
      <c r="B164" s="175">
        <v>46042</v>
      </c>
      <c r="C164" s="171" t="s">
        <v>127</v>
      </c>
      <c r="D164" s="171" t="s">
        <v>129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7.16</v>
      </c>
    </row>
    <row r="165" spans="1:16" ht="19.5" customHeight="1">
      <c r="A165" s="171" t="s">
        <v>586</v>
      </c>
      <c r="B165" s="175">
        <v>46042</v>
      </c>
      <c r="C165" s="171" t="s">
        <v>127</v>
      </c>
      <c r="D165" s="171" t="s">
        <v>130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663.65</v>
      </c>
    </row>
    <row r="166" spans="1:16" ht="19.5" customHeight="1">
      <c r="A166" s="171" t="s">
        <v>586</v>
      </c>
      <c r="B166" s="175">
        <v>46042</v>
      </c>
      <c r="C166" s="171" t="s">
        <v>131</v>
      </c>
      <c r="D166" s="171" t="s">
        <v>132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-596.41</v>
      </c>
    </row>
    <row r="167" spans="1:16" ht="19.5" customHeight="1">
      <c r="A167" s="171" t="s">
        <v>586</v>
      </c>
      <c r="B167" s="175">
        <v>46042</v>
      </c>
      <c r="C167" s="171" t="s">
        <v>115</v>
      </c>
      <c r="D167" s="171" t="s">
        <v>116</v>
      </c>
      <c r="E167" s="171" t="s">
        <v>48</v>
      </c>
      <c r="F167" s="171" t="s">
        <v>198</v>
      </c>
      <c r="G167" s="171" t="s">
        <v>112</v>
      </c>
      <c r="H167" s="176">
        <v>1</v>
      </c>
      <c r="I167" s="177">
        <v>1387</v>
      </c>
      <c r="J167" s="175">
        <v>46040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-11.26</v>
      </c>
    </row>
    <row r="168" spans="1:16" ht="19.5" customHeight="1">
      <c r="A168" s="171" t="s">
        <v>587</v>
      </c>
      <c r="B168" s="175">
        <v>46042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-141.87</v>
      </c>
    </row>
    <row r="169" spans="1:16" ht="19.5" customHeight="1">
      <c r="A169" s="171" t="s">
        <v>587</v>
      </c>
      <c r="B169" s="175">
        <v>46042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636.19000000000005</v>
      </c>
    </row>
    <row r="170" spans="1:16" ht="19.5" customHeight="1">
      <c r="A170" s="171" t="s">
        <v>587</v>
      </c>
      <c r="B170" s="175">
        <v>46042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customHeight="1">
      <c r="A171" s="171" t="s">
        <v>587</v>
      </c>
      <c r="B171" s="175">
        <v>46042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1033.81</v>
      </c>
    </row>
    <row r="172" spans="1:16" ht="19.5" customHeight="1">
      <c r="A172" s="171" t="s">
        <v>587</v>
      </c>
      <c r="B172" s="175">
        <v>46042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1670</v>
      </c>
      <c r="J172" s="175">
        <v>46038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-718.1</v>
      </c>
    </row>
    <row r="173" spans="1:16" ht="19.5" customHeight="1">
      <c r="A173" s="171" t="s">
        <v>588</v>
      </c>
      <c r="B173" s="175">
        <v>46042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>
        <v>51</v>
      </c>
      <c r="P173" s="179">
        <v>-56.94</v>
      </c>
    </row>
    <row r="174" spans="1:16" ht="19.5" customHeight="1">
      <c r="A174" s="171" t="s">
        <v>588</v>
      </c>
      <c r="B174" s="175">
        <v>46042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-13.13</v>
      </c>
    </row>
    <row r="175" spans="1:16" ht="19.5" customHeight="1">
      <c r="A175" s="171" t="s">
        <v>588</v>
      </c>
      <c r="B175" s="175">
        <v>46042</v>
      </c>
      <c r="C175" s="171" t="s">
        <v>110</v>
      </c>
      <c r="D175" s="171" t="s">
        <v>117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0</v>
      </c>
    </row>
    <row r="176" spans="1:16" ht="19.5" customHeight="1">
      <c r="A176" s="171" t="s">
        <v>588</v>
      </c>
      <c r="B176" s="175">
        <v>46042</v>
      </c>
      <c r="C176" s="171" t="s">
        <v>110</v>
      </c>
      <c r="D176" s="171" t="s">
        <v>118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-56.94</v>
      </c>
    </row>
    <row r="177" spans="1:16" ht="19.5" customHeight="1">
      <c r="A177" s="171" t="s">
        <v>588</v>
      </c>
      <c r="B177" s="175">
        <v>46042</v>
      </c>
      <c r="C177" s="171" t="s">
        <v>115</v>
      </c>
      <c r="D177" s="171" t="s">
        <v>119</v>
      </c>
      <c r="E177" s="171" t="s">
        <v>77</v>
      </c>
      <c r="F177" s="171" t="s">
        <v>194</v>
      </c>
      <c r="G177" s="171" t="s">
        <v>177</v>
      </c>
      <c r="H177" s="176">
        <v>1</v>
      </c>
      <c r="I177" s="177">
        <v>0</v>
      </c>
      <c r="J177" s="175">
        <v>46039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-15</v>
      </c>
    </row>
    <row r="178" spans="1:16" ht="19.5" customHeight="1">
      <c r="A178" s="171" t="s">
        <v>589</v>
      </c>
      <c r="B178" s="175">
        <v>46042</v>
      </c>
      <c r="C178" s="171" t="s">
        <v>110</v>
      </c>
      <c r="D178" s="171" t="s">
        <v>24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0.43</v>
      </c>
      <c r="N178" s="176"/>
      <c r="O178" s="176">
        <v>51</v>
      </c>
      <c r="P178" s="179">
        <v>-147.08000000000001</v>
      </c>
    </row>
    <row r="179" spans="1:16" ht="19.5" customHeight="1">
      <c r="A179" s="171" t="s">
        <v>589</v>
      </c>
      <c r="B179" s="175">
        <v>46042</v>
      </c>
      <c r="C179" s="171" t="s">
        <v>127</v>
      </c>
      <c r="D179" s="171" t="s">
        <v>128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574.29</v>
      </c>
    </row>
    <row r="180" spans="1:16" ht="19.5" customHeight="1">
      <c r="A180" s="171" t="s">
        <v>589</v>
      </c>
      <c r="B180" s="175">
        <v>46042</v>
      </c>
      <c r="C180" s="171" t="s">
        <v>127</v>
      </c>
      <c r="D180" s="171" t="s">
        <v>129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5.74</v>
      </c>
    </row>
    <row r="181" spans="1:16" ht="19.5" customHeight="1">
      <c r="A181" s="171" t="s">
        <v>589</v>
      </c>
      <c r="B181" s="175">
        <v>46042</v>
      </c>
      <c r="C181" s="171" t="s">
        <v>127</v>
      </c>
      <c r="D181" s="171" t="s">
        <v>130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1089.97</v>
      </c>
    </row>
    <row r="182" spans="1:16" ht="19.5" customHeight="1">
      <c r="A182" s="171" t="s">
        <v>589</v>
      </c>
      <c r="B182" s="175">
        <v>46042</v>
      </c>
      <c r="C182" s="171" t="s">
        <v>131</v>
      </c>
      <c r="D182" s="171" t="s">
        <v>132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-718.1</v>
      </c>
    </row>
    <row r="183" spans="1:16" ht="19.5" customHeight="1">
      <c r="A183" s="171" t="s">
        <v>589</v>
      </c>
      <c r="B183" s="175">
        <v>46042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1670</v>
      </c>
      <c r="J183" s="175">
        <v>46039</v>
      </c>
      <c r="K183" s="171" t="s">
        <v>113</v>
      </c>
      <c r="L183" s="171" t="s">
        <v>114</v>
      </c>
      <c r="M183" s="178">
        <v>0.43</v>
      </c>
      <c r="N183" s="176"/>
      <c r="O183" s="176"/>
      <c r="P183" s="179">
        <v>-7.96</v>
      </c>
    </row>
    <row r="184" spans="1:16" ht="19.5" customHeight="1">
      <c r="A184" s="171" t="s">
        <v>590</v>
      </c>
      <c r="B184" s="175">
        <v>46042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0.43</v>
      </c>
      <c r="N184" s="176"/>
      <c r="O184" s="176">
        <v>53</v>
      </c>
      <c r="P184" s="179">
        <v>-115.35</v>
      </c>
    </row>
    <row r="185" spans="1:16" ht="19.5" customHeight="1">
      <c r="A185" s="171" t="s">
        <v>590</v>
      </c>
      <c r="B185" s="175">
        <v>46042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285.70999999999998</v>
      </c>
    </row>
    <row r="186" spans="1:16" ht="19.5" customHeight="1">
      <c r="A186" s="171" t="s">
        <v>590</v>
      </c>
      <c r="B186" s="175">
        <v>46042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2.86</v>
      </c>
    </row>
    <row r="187" spans="1:16" ht="19.5" customHeight="1">
      <c r="A187" s="171" t="s">
        <v>590</v>
      </c>
      <c r="B187" s="175">
        <v>46042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534.42999999999995</v>
      </c>
    </row>
    <row r="188" spans="1:16" ht="19.5" customHeight="1">
      <c r="A188" s="171" t="s">
        <v>590</v>
      </c>
      <c r="B188" s="175">
        <v>46042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-353.89</v>
      </c>
    </row>
    <row r="189" spans="1:16" ht="19.5" customHeight="1">
      <c r="A189" s="171" t="s">
        <v>590</v>
      </c>
      <c r="B189" s="175">
        <v>46042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823</v>
      </c>
      <c r="J189" s="175">
        <v>46041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-3.71</v>
      </c>
    </row>
    <row r="190" spans="1:16" ht="19.5" customHeight="1">
      <c r="A190" s="171" t="s">
        <v>591</v>
      </c>
      <c r="B190" s="175">
        <v>46042</v>
      </c>
      <c r="C190" s="171" t="s">
        <v>110</v>
      </c>
      <c r="D190" s="171" t="s">
        <v>24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0.43</v>
      </c>
      <c r="N190" s="176"/>
      <c r="O190" s="176">
        <v>51</v>
      </c>
      <c r="P190" s="179">
        <v>-290.97000000000003</v>
      </c>
    </row>
    <row r="191" spans="1:16" ht="19.5" customHeight="1">
      <c r="A191" s="171" t="s">
        <v>591</v>
      </c>
      <c r="B191" s="175">
        <v>46042</v>
      </c>
      <c r="C191" s="171" t="s">
        <v>127</v>
      </c>
      <c r="D191" s="171" t="s">
        <v>128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2126.67</v>
      </c>
    </row>
    <row r="192" spans="1:16" ht="19.5" customHeight="1">
      <c r="A192" s="171" t="s">
        <v>591</v>
      </c>
      <c r="B192" s="175">
        <v>46042</v>
      </c>
      <c r="C192" s="171" t="s">
        <v>127</v>
      </c>
      <c r="D192" s="171" t="s">
        <v>129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21.27</v>
      </c>
    </row>
    <row r="193" spans="1:16" ht="19.5" customHeight="1">
      <c r="A193" s="171" t="s">
        <v>591</v>
      </c>
      <c r="B193" s="175">
        <v>46042</v>
      </c>
      <c r="C193" s="171" t="s">
        <v>127</v>
      </c>
      <c r="D193" s="171" t="s">
        <v>130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2792.06</v>
      </c>
    </row>
    <row r="194" spans="1:16" ht="19.5" customHeight="1">
      <c r="A194" s="171" t="s">
        <v>591</v>
      </c>
      <c r="B194" s="175">
        <v>46042</v>
      </c>
      <c r="C194" s="171" t="s">
        <v>131</v>
      </c>
      <c r="D194" s="171" t="s">
        <v>132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-2124.1999999999998</v>
      </c>
    </row>
    <row r="195" spans="1:16" ht="19.5" customHeight="1">
      <c r="A195" s="171" t="s">
        <v>591</v>
      </c>
      <c r="B195" s="175">
        <v>46042</v>
      </c>
      <c r="C195" s="171" t="s">
        <v>115</v>
      </c>
      <c r="D195" s="171" t="s">
        <v>116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4940</v>
      </c>
      <c r="J195" s="175">
        <v>46039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-15.44</v>
      </c>
    </row>
    <row r="196" spans="1:16" ht="19.5" customHeight="1">
      <c r="A196" s="171" t="s">
        <v>592</v>
      </c>
      <c r="B196" s="175">
        <v>46042</v>
      </c>
      <c r="C196" s="171" t="s">
        <v>110</v>
      </c>
      <c r="D196" s="171" t="s">
        <v>24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0.43</v>
      </c>
      <c r="N196" s="176"/>
      <c r="O196" s="176">
        <v>43</v>
      </c>
      <c r="P196" s="179">
        <v>-125.95</v>
      </c>
    </row>
    <row r="197" spans="1:16" ht="19.5" customHeight="1">
      <c r="A197" s="171" t="s">
        <v>592</v>
      </c>
      <c r="B197" s="175">
        <v>46042</v>
      </c>
      <c r="C197" s="171" t="s">
        <v>127</v>
      </c>
      <c r="D197" s="171" t="s">
        <v>128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585.71</v>
      </c>
    </row>
    <row r="198" spans="1:16" ht="19.5" customHeight="1">
      <c r="A198" s="171" t="s">
        <v>592</v>
      </c>
      <c r="B198" s="175">
        <v>46042</v>
      </c>
      <c r="C198" s="171" t="s">
        <v>127</v>
      </c>
      <c r="D198" s="171" t="s">
        <v>129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5.86</v>
      </c>
    </row>
    <row r="199" spans="1:16" ht="19.5" customHeight="1">
      <c r="A199" s="171" t="s">
        <v>592</v>
      </c>
      <c r="B199" s="175">
        <v>46042</v>
      </c>
      <c r="C199" s="171" t="s">
        <v>127</v>
      </c>
      <c r="D199" s="171" t="s">
        <v>130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1112.43</v>
      </c>
    </row>
    <row r="200" spans="1:16" ht="19.5" customHeight="1">
      <c r="A200" s="171" t="s">
        <v>592</v>
      </c>
      <c r="B200" s="175">
        <v>46042</v>
      </c>
      <c r="C200" s="171" t="s">
        <v>131</v>
      </c>
      <c r="D200" s="171" t="s">
        <v>132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-732.72</v>
      </c>
    </row>
    <row r="201" spans="1:16" ht="19.5" customHeight="1">
      <c r="A201" s="171" t="s">
        <v>592</v>
      </c>
      <c r="B201" s="175">
        <v>46042</v>
      </c>
      <c r="C201" s="171" t="s">
        <v>115</v>
      </c>
      <c r="D201" s="171" t="s">
        <v>116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46037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-8.9600000000000009</v>
      </c>
    </row>
    <row r="202" spans="1:16" ht="19.5" customHeight="1">
      <c r="A202" s="171" t="s">
        <v>593</v>
      </c>
      <c r="B202" s="175">
        <v>46042</v>
      </c>
      <c r="C202" s="171" t="s">
        <v>110</v>
      </c>
      <c r="D202" s="171" t="s">
        <v>24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0.43</v>
      </c>
      <c r="N202" s="176"/>
      <c r="O202" s="176">
        <v>51</v>
      </c>
      <c r="P202" s="179">
        <v>-290.97000000000003</v>
      </c>
    </row>
    <row r="203" spans="1:16" ht="19.5" customHeight="1">
      <c r="A203" s="171" t="s">
        <v>593</v>
      </c>
      <c r="B203" s="175">
        <v>46042</v>
      </c>
      <c r="C203" s="171" t="s">
        <v>127</v>
      </c>
      <c r="D203" s="171" t="s">
        <v>128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2107.52</v>
      </c>
    </row>
    <row r="204" spans="1:16" ht="19.5" customHeight="1">
      <c r="A204" s="171" t="s">
        <v>593</v>
      </c>
      <c r="B204" s="175">
        <v>46042</v>
      </c>
      <c r="C204" s="171" t="s">
        <v>127</v>
      </c>
      <c r="D204" s="171" t="s">
        <v>129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21.08</v>
      </c>
    </row>
    <row r="205" spans="1:16" ht="19.5" customHeight="1">
      <c r="A205" s="171" t="s">
        <v>593</v>
      </c>
      <c r="B205" s="175">
        <v>46042</v>
      </c>
      <c r="C205" s="171" t="s">
        <v>127</v>
      </c>
      <c r="D205" s="171" t="s">
        <v>130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2811.4</v>
      </c>
    </row>
    <row r="206" spans="1:16" ht="19.5" customHeight="1">
      <c r="A206" s="171" t="s">
        <v>593</v>
      </c>
      <c r="B206" s="175">
        <v>46042</v>
      </c>
      <c r="C206" s="171" t="s">
        <v>131</v>
      </c>
      <c r="D206" s="171" t="s">
        <v>132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-2124.1999999999998</v>
      </c>
    </row>
    <row r="207" spans="1:16" ht="19.5" customHeight="1">
      <c r="A207" s="171" t="s">
        <v>593</v>
      </c>
      <c r="B207" s="175">
        <v>46042</v>
      </c>
      <c r="C207" s="171" t="s">
        <v>115</v>
      </c>
      <c r="D207" s="171" t="s">
        <v>116</v>
      </c>
      <c r="E207" s="171" t="s">
        <v>78</v>
      </c>
      <c r="F207" s="171" t="s">
        <v>176</v>
      </c>
      <c r="G207" s="171" t="s">
        <v>177</v>
      </c>
      <c r="H207" s="176">
        <v>1</v>
      </c>
      <c r="I207" s="177">
        <v>4940</v>
      </c>
      <c r="J207" s="175">
        <v>46039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-25</v>
      </c>
    </row>
    <row r="208" spans="1:16" ht="19.5" customHeight="1">
      <c r="A208" s="171" t="s">
        <v>592</v>
      </c>
      <c r="B208" s="175">
        <v>46042</v>
      </c>
      <c r="C208" s="171" t="s">
        <v>115</v>
      </c>
      <c r="D208" s="171" t="s">
        <v>135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46037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-11.13</v>
      </c>
    </row>
    <row r="209" spans="1:16" ht="19.5" customHeight="1">
      <c r="A209" s="171" t="s">
        <v>593</v>
      </c>
      <c r="B209" s="175">
        <v>46042</v>
      </c>
      <c r="C209" s="171" t="s">
        <v>115</v>
      </c>
      <c r="D209" s="171" t="s">
        <v>135</v>
      </c>
      <c r="E209" s="171" t="s">
        <v>78</v>
      </c>
      <c r="F209" s="171" t="s">
        <v>176</v>
      </c>
      <c r="G209" s="171" t="s">
        <v>177</v>
      </c>
      <c r="H209" s="176">
        <v>1</v>
      </c>
      <c r="I209" s="177">
        <v>0</v>
      </c>
      <c r="J209" s="175">
        <v>46039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-40.04</v>
      </c>
    </row>
    <row r="210" spans="1:16" ht="19.5" customHeight="1">
      <c r="A210" s="171" t="s">
        <v>594</v>
      </c>
      <c r="B210" s="175">
        <v>46042</v>
      </c>
      <c r="C210" s="171" t="s">
        <v>115</v>
      </c>
      <c r="D210" s="171" t="s">
        <v>135</v>
      </c>
      <c r="E210" s="171" t="s">
        <v>44</v>
      </c>
      <c r="F210" s="171" t="s">
        <v>213</v>
      </c>
      <c r="G210" s="171" t="s">
        <v>214</v>
      </c>
      <c r="H210" s="176">
        <v>1</v>
      </c>
      <c r="I210" s="177">
        <v>0</v>
      </c>
      <c r="J210" s="175">
        <v>46042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-11.94</v>
      </c>
    </row>
    <row r="211" spans="1:16" ht="19.5" customHeight="1">
      <c r="A211" s="171" t="s">
        <v>181</v>
      </c>
      <c r="B211" s="175">
        <v>46042</v>
      </c>
      <c r="C211" s="171" t="s">
        <v>115</v>
      </c>
      <c r="D211" s="171" t="s">
        <v>135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46036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5.9</v>
      </c>
    </row>
    <row r="212" spans="1:16" ht="19.5" customHeight="1">
      <c r="A212" s="171" t="s">
        <v>595</v>
      </c>
      <c r="B212" s="175">
        <v>46042</v>
      </c>
      <c r="C212" s="171" t="s">
        <v>110</v>
      </c>
      <c r="D212" s="171" t="s">
        <v>24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>
        <v>51</v>
      </c>
      <c r="P212" s="179">
        <v>-147.08000000000001</v>
      </c>
    </row>
    <row r="213" spans="1:16" ht="19.5" customHeight="1">
      <c r="A213" s="171" t="s">
        <v>595</v>
      </c>
      <c r="B213" s="175">
        <v>46042</v>
      </c>
      <c r="C213" s="171" t="s">
        <v>127</v>
      </c>
      <c r="D213" s="171" t="s">
        <v>128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574.29</v>
      </c>
    </row>
    <row r="214" spans="1:16" ht="19.5" customHeight="1">
      <c r="A214" s="171" t="s">
        <v>595</v>
      </c>
      <c r="B214" s="175">
        <v>46042</v>
      </c>
      <c r="C214" s="171" t="s">
        <v>127</v>
      </c>
      <c r="D214" s="171" t="s">
        <v>129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5.74</v>
      </c>
    </row>
    <row r="215" spans="1:16" ht="19.5" customHeight="1">
      <c r="A215" s="171" t="s">
        <v>595</v>
      </c>
      <c r="B215" s="175">
        <v>46042</v>
      </c>
      <c r="C215" s="171" t="s">
        <v>127</v>
      </c>
      <c r="D215" s="171" t="s">
        <v>130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1089.97</v>
      </c>
    </row>
    <row r="216" spans="1:16" ht="19.5" customHeight="1">
      <c r="A216" s="171" t="s">
        <v>595</v>
      </c>
      <c r="B216" s="175">
        <v>46042</v>
      </c>
      <c r="C216" s="171" t="s">
        <v>131</v>
      </c>
      <c r="D216" s="171" t="s">
        <v>132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-718.1</v>
      </c>
    </row>
    <row r="217" spans="1:16" ht="19.5" customHeight="1">
      <c r="A217" s="171" t="s">
        <v>595</v>
      </c>
      <c r="B217" s="175">
        <v>46042</v>
      </c>
      <c r="C217" s="171" t="s">
        <v>115</v>
      </c>
      <c r="D217" s="171" t="s">
        <v>116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1670</v>
      </c>
      <c r="J217" s="175">
        <v>46039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-16.21</v>
      </c>
    </row>
    <row r="218" spans="1:16" ht="19.5" customHeight="1">
      <c r="A218" s="171" t="s">
        <v>595</v>
      </c>
      <c r="B218" s="175">
        <v>46042</v>
      </c>
      <c r="C218" s="171" t="s">
        <v>115</v>
      </c>
      <c r="D218" s="171" t="s">
        <v>135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46039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-10.91</v>
      </c>
    </row>
    <row r="219" spans="1:16" ht="19.5" customHeight="1">
      <c r="A219" s="171" t="s">
        <v>596</v>
      </c>
      <c r="B219" s="175">
        <v>46042</v>
      </c>
      <c r="C219" s="171" t="s">
        <v>110</v>
      </c>
      <c r="D219" s="171" t="s">
        <v>24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0.43</v>
      </c>
      <c r="N219" s="176"/>
      <c r="O219" s="176">
        <v>53</v>
      </c>
      <c r="P219" s="179">
        <v>-225.06</v>
      </c>
    </row>
    <row r="220" spans="1:16" ht="19.5" customHeight="1">
      <c r="A220" s="171" t="s">
        <v>596</v>
      </c>
      <c r="B220" s="175">
        <v>46042</v>
      </c>
      <c r="C220" s="171" t="s">
        <v>127</v>
      </c>
      <c r="D220" s="171" t="s">
        <v>128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1332.7</v>
      </c>
    </row>
    <row r="221" spans="1:16" ht="19.5" customHeight="1">
      <c r="A221" s="171" t="s">
        <v>596</v>
      </c>
      <c r="B221" s="175">
        <v>46042</v>
      </c>
      <c r="C221" s="171" t="s">
        <v>127</v>
      </c>
      <c r="D221" s="171" t="s">
        <v>129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0</v>
      </c>
    </row>
    <row r="222" spans="1:16" ht="19.5" customHeight="1">
      <c r="A222" s="171" t="s">
        <v>596</v>
      </c>
      <c r="B222" s="175">
        <v>46042</v>
      </c>
      <c r="C222" s="171" t="s">
        <v>127</v>
      </c>
      <c r="D222" s="171" t="s">
        <v>130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1839.3</v>
      </c>
    </row>
    <row r="223" spans="1:16" ht="19.5" customHeight="1">
      <c r="A223" s="171" t="s">
        <v>596</v>
      </c>
      <c r="B223" s="175">
        <v>46042</v>
      </c>
      <c r="C223" s="171" t="s">
        <v>131</v>
      </c>
      <c r="D223" s="171" t="s">
        <v>132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-1363.96</v>
      </c>
    </row>
    <row r="224" spans="1:16" ht="19.5" customHeight="1">
      <c r="A224" s="171" t="s">
        <v>596</v>
      </c>
      <c r="B224" s="175">
        <v>46042</v>
      </c>
      <c r="C224" s="171" t="s">
        <v>115</v>
      </c>
      <c r="D224" s="171" t="s">
        <v>116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3172</v>
      </c>
      <c r="J224" s="175">
        <v>46041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-13.47</v>
      </c>
    </row>
    <row r="225" spans="1:16" ht="19.5" customHeight="1">
      <c r="A225" s="171" t="s">
        <v>596</v>
      </c>
      <c r="B225" s="175">
        <v>46042</v>
      </c>
      <c r="C225" s="171" t="s">
        <v>115</v>
      </c>
      <c r="D225" s="171" t="s">
        <v>135</v>
      </c>
      <c r="E225" s="171" t="s">
        <v>78</v>
      </c>
      <c r="F225" s="171" t="s">
        <v>176</v>
      </c>
      <c r="G225" s="171" t="s">
        <v>177</v>
      </c>
      <c r="H225" s="176">
        <v>1</v>
      </c>
      <c r="I225" s="177">
        <v>0</v>
      </c>
      <c r="J225" s="175">
        <v>46041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-13.59</v>
      </c>
    </row>
    <row r="226" spans="1:16" ht="19.5" customHeight="1">
      <c r="A226" s="171" t="s">
        <v>218</v>
      </c>
      <c r="B226" s="175">
        <v>46042</v>
      </c>
      <c r="C226" s="171" t="s">
        <v>312</v>
      </c>
      <c r="D226" s="171" t="s">
        <v>423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-2203.42</v>
      </c>
    </row>
    <row r="227" spans="1:16" ht="19.5" customHeight="1">
      <c r="A227" s="171" t="s">
        <v>218</v>
      </c>
      <c r="B227" s="175">
        <v>46042</v>
      </c>
      <c r="C227" s="171" t="s">
        <v>312</v>
      </c>
      <c r="D227" s="171" t="s">
        <v>129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-22.03</v>
      </c>
    </row>
    <row r="228" spans="1:16" ht="19.5" customHeight="1">
      <c r="A228" s="171" t="s">
        <v>218</v>
      </c>
      <c r="B228" s="175">
        <v>46042</v>
      </c>
      <c r="C228" s="171" t="s">
        <v>312</v>
      </c>
      <c r="D228" s="171" t="s">
        <v>130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-1320.55</v>
      </c>
    </row>
    <row r="229" spans="1:16" ht="19.5" customHeight="1">
      <c r="A229" s="171" t="s">
        <v>218</v>
      </c>
      <c r="B229" s="175">
        <v>46042</v>
      </c>
      <c r="C229" s="171" t="s">
        <v>131</v>
      </c>
      <c r="D229" s="171" t="s">
        <v>424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-3546</v>
      </c>
      <c r="J229" s="175">
        <v>46036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1524.78</v>
      </c>
    </row>
    <row r="230" spans="1:16" ht="19.5" customHeight="1">
      <c r="A230" s="171" t="s">
        <v>184</v>
      </c>
      <c r="B230" s="175">
        <v>46042</v>
      </c>
      <c r="C230" s="171" t="s">
        <v>115</v>
      </c>
      <c r="D230" s="171" t="s">
        <v>135</v>
      </c>
      <c r="E230" s="171" t="s">
        <v>71</v>
      </c>
      <c r="F230" s="171" t="s">
        <v>185</v>
      </c>
      <c r="G230" s="171" t="s">
        <v>177</v>
      </c>
      <c r="H230" s="176">
        <v>1</v>
      </c>
      <c r="I230" s="177">
        <v>0</v>
      </c>
      <c r="J230" s="175">
        <v>46036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41.86</v>
      </c>
    </row>
    <row r="231" spans="1:16" ht="19.5" customHeight="1">
      <c r="A231" s="171" t="s">
        <v>597</v>
      </c>
      <c r="B231" s="175">
        <v>46042</v>
      </c>
      <c r="C231" s="171" t="s">
        <v>110</v>
      </c>
      <c r="D231" s="171" t="s">
        <v>24</v>
      </c>
      <c r="E231" s="171" t="s">
        <v>70</v>
      </c>
      <c r="F231" s="171" t="s">
        <v>513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>
        <v>48</v>
      </c>
      <c r="P231" s="179">
        <v>-56.94</v>
      </c>
    </row>
    <row r="232" spans="1:16" ht="19.5" customHeight="1">
      <c r="A232" s="171" t="s">
        <v>597</v>
      </c>
      <c r="B232" s="175">
        <v>46042</v>
      </c>
      <c r="C232" s="171" t="s">
        <v>115</v>
      </c>
      <c r="D232" s="171" t="s">
        <v>116</v>
      </c>
      <c r="E232" s="171" t="s">
        <v>70</v>
      </c>
      <c r="F232" s="171" t="s">
        <v>513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-19.46</v>
      </c>
    </row>
    <row r="233" spans="1:16" ht="19.5" customHeight="1">
      <c r="A233" s="171" t="s">
        <v>597</v>
      </c>
      <c r="B233" s="175">
        <v>46042</v>
      </c>
      <c r="C233" s="171" t="s">
        <v>110</v>
      </c>
      <c r="D233" s="171" t="s">
        <v>117</v>
      </c>
      <c r="E233" s="171" t="s">
        <v>70</v>
      </c>
      <c r="F233" s="171" t="s">
        <v>513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0</v>
      </c>
    </row>
    <row r="234" spans="1:16" ht="19.5" customHeight="1">
      <c r="A234" s="171" t="s">
        <v>597</v>
      </c>
      <c r="B234" s="175">
        <v>46042</v>
      </c>
      <c r="C234" s="171" t="s">
        <v>110</v>
      </c>
      <c r="D234" s="171" t="s">
        <v>118</v>
      </c>
      <c r="E234" s="171" t="s">
        <v>70</v>
      </c>
      <c r="F234" s="171" t="s">
        <v>513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-56.94</v>
      </c>
    </row>
    <row r="235" spans="1:16" ht="19.5" customHeight="1">
      <c r="A235" s="171" t="s">
        <v>597</v>
      </c>
      <c r="B235" s="175">
        <v>46042</v>
      </c>
      <c r="C235" s="171" t="s">
        <v>115</v>
      </c>
      <c r="D235" s="171" t="s">
        <v>119</v>
      </c>
      <c r="E235" s="171" t="s">
        <v>70</v>
      </c>
      <c r="F235" s="171" t="s">
        <v>513</v>
      </c>
      <c r="G235" s="171" t="s">
        <v>177</v>
      </c>
      <c r="H235" s="176">
        <v>1</v>
      </c>
      <c r="I235" s="177">
        <v>0</v>
      </c>
      <c r="J235" s="175">
        <v>46038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-15</v>
      </c>
    </row>
    <row r="236" spans="1:16" ht="19.5" customHeight="1">
      <c r="A236" s="171" t="s">
        <v>150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-1298.1300000000001</v>
      </c>
    </row>
    <row r="237" spans="1:16" ht="19.5" customHeight="1">
      <c r="A237" s="171" t="s">
        <v>153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-416.18</v>
      </c>
    </row>
    <row r="238" spans="1:16" ht="19.5" customHeight="1">
      <c r="A238" s="171" t="s">
        <v>196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-106.63</v>
      </c>
    </row>
    <row r="239" spans="1:16" ht="19.5" customHeight="1">
      <c r="A239" s="171" t="s">
        <v>569</v>
      </c>
      <c r="B239" s="175">
        <v>46042</v>
      </c>
      <c r="C239" s="171" t="s">
        <v>151</v>
      </c>
      <c r="D239" s="171" t="s">
        <v>152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-253.47</v>
      </c>
    </row>
    <row r="240" spans="1:16" ht="19.5" customHeight="1">
      <c r="A240" s="171" t="s">
        <v>155</v>
      </c>
      <c r="B240" s="175">
        <v>46042</v>
      </c>
      <c r="C240" s="171" t="s">
        <v>151</v>
      </c>
      <c r="D240" s="171" t="s">
        <v>156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-2081.8000000000002</v>
      </c>
    </row>
    <row r="241" spans="1:16" ht="19.5" customHeight="1">
      <c r="A241" s="171" t="s">
        <v>179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-328.76</v>
      </c>
    </row>
    <row r="242" spans="1:16" ht="19.5" customHeight="1">
      <c r="A242" s="171" t="s">
        <v>180</v>
      </c>
      <c r="B242" s="175">
        <v>46042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46042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-424.01</v>
      </c>
    </row>
    <row r="243" spans="1:16" ht="19.5" customHeight="1">
      <c r="A243" s="171" t="s">
        <v>598</v>
      </c>
      <c r="B243" s="175">
        <v>46043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46043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-10.95</v>
      </c>
    </row>
    <row r="244" spans="1:16" ht="19.5" customHeight="1">
      <c r="A244" s="171" t="s">
        <v>599</v>
      </c>
      <c r="B244" s="175">
        <v>46043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>
        <v>51</v>
      </c>
      <c r="P244" s="179">
        <v>-46.77</v>
      </c>
    </row>
    <row r="245" spans="1:16" ht="19.5" customHeight="1">
      <c r="A245" s="171" t="s">
        <v>599</v>
      </c>
      <c r="B245" s="175">
        <v>46043</v>
      </c>
      <c r="C245" s="171" t="s">
        <v>115</v>
      </c>
      <c r="D245" s="171" t="s">
        <v>116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-14.59</v>
      </c>
    </row>
    <row r="246" spans="1:16" ht="19.5" customHeight="1">
      <c r="A246" s="171" t="s">
        <v>599</v>
      </c>
      <c r="B246" s="175">
        <v>46043</v>
      </c>
      <c r="C246" s="171" t="s">
        <v>110</v>
      </c>
      <c r="D246" s="171" t="s">
        <v>117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0</v>
      </c>
    </row>
    <row r="247" spans="1:16" ht="19.5" customHeight="1">
      <c r="A247" s="171" t="s">
        <v>599</v>
      </c>
      <c r="B247" s="175">
        <v>46043</v>
      </c>
      <c r="C247" s="171" t="s">
        <v>110</v>
      </c>
      <c r="D247" s="171" t="s">
        <v>118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-46.77</v>
      </c>
    </row>
    <row r="248" spans="1:16" ht="19.5" customHeight="1">
      <c r="A248" s="171" t="s">
        <v>599</v>
      </c>
      <c r="B248" s="175">
        <v>46043</v>
      </c>
      <c r="C248" s="171" t="s">
        <v>115</v>
      </c>
      <c r="D248" s="171" t="s">
        <v>119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46039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-15</v>
      </c>
    </row>
    <row r="249" spans="1:16" ht="19.5" customHeight="1">
      <c r="A249" s="171" t="s">
        <v>600</v>
      </c>
      <c r="B249" s="175">
        <v>46043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0.43</v>
      </c>
      <c r="N249" s="176"/>
      <c r="O249" s="176">
        <v>51</v>
      </c>
      <c r="P249" s="179">
        <v>-145.72</v>
      </c>
    </row>
    <row r="250" spans="1:16" ht="19.5" customHeight="1">
      <c r="A250" s="171" t="s">
        <v>600</v>
      </c>
      <c r="B250" s="175">
        <v>46043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574.29</v>
      </c>
    </row>
    <row r="251" spans="1:16" ht="19.5" customHeight="1">
      <c r="A251" s="171" t="s">
        <v>600</v>
      </c>
      <c r="B251" s="175">
        <v>46043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5.74</v>
      </c>
    </row>
    <row r="252" spans="1:16" ht="19.5" customHeight="1">
      <c r="A252" s="171" t="s">
        <v>600</v>
      </c>
      <c r="B252" s="175">
        <v>46043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1089.97</v>
      </c>
    </row>
    <row r="253" spans="1:16" ht="19.5" customHeight="1">
      <c r="A253" s="171" t="s">
        <v>600</v>
      </c>
      <c r="B253" s="175">
        <v>46043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-718.1</v>
      </c>
    </row>
    <row r="254" spans="1:16" ht="19.5" customHeight="1">
      <c r="A254" s="171" t="s">
        <v>600</v>
      </c>
      <c r="B254" s="175">
        <v>46043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46040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-8.86</v>
      </c>
    </row>
    <row r="255" spans="1:16" ht="19.5" customHeight="1">
      <c r="A255" s="171" t="s">
        <v>600</v>
      </c>
      <c r="B255" s="175">
        <v>46043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46040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-10.91</v>
      </c>
    </row>
    <row r="256" spans="1:16" ht="19.5" customHeight="1">
      <c r="A256" s="171" t="s">
        <v>601</v>
      </c>
      <c r="B256" s="175">
        <v>46043</v>
      </c>
      <c r="C256" s="171" t="s">
        <v>110</v>
      </c>
      <c r="D256" s="171" t="s">
        <v>24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0.43</v>
      </c>
      <c r="N256" s="176"/>
      <c r="O256" s="176">
        <v>51</v>
      </c>
      <c r="P256" s="179">
        <v>-147.08000000000001</v>
      </c>
    </row>
    <row r="257" spans="1:16" ht="19.5" customHeight="1">
      <c r="A257" s="171" t="s">
        <v>601</v>
      </c>
      <c r="B257" s="175">
        <v>46043</v>
      </c>
      <c r="C257" s="171" t="s">
        <v>127</v>
      </c>
      <c r="D257" s="171" t="s">
        <v>128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574.29</v>
      </c>
    </row>
    <row r="258" spans="1:16" ht="19.5" customHeight="1">
      <c r="A258" s="171" t="s">
        <v>601</v>
      </c>
      <c r="B258" s="175">
        <v>46043</v>
      </c>
      <c r="C258" s="171" t="s">
        <v>127</v>
      </c>
      <c r="D258" s="171" t="s">
        <v>129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5.74</v>
      </c>
    </row>
    <row r="259" spans="1:16" ht="19.5" customHeight="1">
      <c r="A259" s="171" t="s">
        <v>601</v>
      </c>
      <c r="B259" s="175">
        <v>46043</v>
      </c>
      <c r="C259" s="171" t="s">
        <v>127</v>
      </c>
      <c r="D259" s="171" t="s">
        <v>130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1089.97</v>
      </c>
    </row>
    <row r="260" spans="1:16" ht="19.5" customHeight="1">
      <c r="A260" s="171" t="s">
        <v>601</v>
      </c>
      <c r="B260" s="175">
        <v>46043</v>
      </c>
      <c r="C260" s="171" t="s">
        <v>131</v>
      </c>
      <c r="D260" s="171" t="s">
        <v>132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-718.1</v>
      </c>
    </row>
    <row r="261" spans="1:16" ht="19.5" customHeight="1">
      <c r="A261" s="171" t="s">
        <v>601</v>
      </c>
      <c r="B261" s="175">
        <v>46043</v>
      </c>
      <c r="C261" s="171" t="s">
        <v>115</v>
      </c>
      <c r="D261" s="171" t="s">
        <v>116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46039</v>
      </c>
      <c r="K261" s="171" t="s">
        <v>113</v>
      </c>
      <c r="L261" s="171" t="s">
        <v>114</v>
      </c>
      <c r="M261" s="178">
        <v>0.43</v>
      </c>
      <c r="N261" s="176"/>
      <c r="O261" s="176"/>
      <c r="P261" s="179">
        <v>-12.61</v>
      </c>
    </row>
    <row r="262" spans="1:16" ht="19.5" customHeight="1">
      <c r="A262" s="171" t="s">
        <v>601</v>
      </c>
      <c r="B262" s="175">
        <v>46043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46039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-10.91</v>
      </c>
    </row>
    <row r="263" spans="1:16" ht="19.5" customHeight="1">
      <c r="A263" s="171" t="s">
        <v>602</v>
      </c>
      <c r="B263" s="175">
        <v>46043</v>
      </c>
      <c r="C263" s="171" t="s">
        <v>115</v>
      </c>
      <c r="D263" s="171" t="s">
        <v>135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-46.16</v>
      </c>
    </row>
    <row r="264" spans="1:16" ht="19.5" customHeight="1">
      <c r="A264" s="171" t="s">
        <v>603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-10.98</v>
      </c>
    </row>
    <row r="265" spans="1:16" ht="19.5" customHeight="1">
      <c r="A265" s="171" t="s">
        <v>604</v>
      </c>
      <c r="B265" s="175">
        <v>46043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46043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-10.86</v>
      </c>
    </row>
    <row r="266" spans="1:16" ht="19.5" customHeight="1">
      <c r="A266" s="171" t="s">
        <v>605</v>
      </c>
      <c r="B266" s="175">
        <v>46043</v>
      </c>
      <c r="C266" s="171" t="s">
        <v>110</v>
      </c>
      <c r="D266" s="171" t="s">
        <v>24</v>
      </c>
      <c r="E266" s="171" t="s">
        <v>66</v>
      </c>
      <c r="F266" s="171" t="s">
        <v>606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0.43</v>
      </c>
      <c r="N266" s="176"/>
      <c r="O266" s="176">
        <v>51</v>
      </c>
      <c r="P266" s="179">
        <v>-219.36</v>
      </c>
    </row>
    <row r="267" spans="1:16" ht="19.5" customHeight="1">
      <c r="A267" s="171" t="s">
        <v>605</v>
      </c>
      <c r="B267" s="175">
        <v>46043</v>
      </c>
      <c r="C267" s="171" t="s">
        <v>127</v>
      </c>
      <c r="D267" s="171" t="s">
        <v>128</v>
      </c>
      <c r="E267" s="171" t="s">
        <v>66</v>
      </c>
      <c r="F267" s="171" t="s">
        <v>606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1986.68</v>
      </c>
    </row>
    <row r="268" spans="1:16" ht="19.5" customHeight="1">
      <c r="A268" s="171" t="s">
        <v>605</v>
      </c>
      <c r="B268" s="175">
        <v>46043</v>
      </c>
      <c r="C268" s="171" t="s">
        <v>127</v>
      </c>
      <c r="D268" s="171" t="s">
        <v>129</v>
      </c>
      <c r="E268" s="171" t="s">
        <v>66</v>
      </c>
      <c r="F268" s="171" t="s">
        <v>606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19.87</v>
      </c>
    </row>
    <row r="269" spans="1:16" ht="19.5" customHeight="1">
      <c r="A269" s="171" t="s">
        <v>605</v>
      </c>
      <c r="B269" s="175">
        <v>46043</v>
      </c>
      <c r="C269" s="171" t="s">
        <v>127</v>
      </c>
      <c r="D269" s="171" t="s">
        <v>130</v>
      </c>
      <c r="E269" s="171" t="s">
        <v>66</v>
      </c>
      <c r="F269" s="171" t="s">
        <v>606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1073.45</v>
      </c>
    </row>
    <row r="270" spans="1:16" ht="19.5" customHeight="1">
      <c r="A270" s="171" t="s">
        <v>605</v>
      </c>
      <c r="B270" s="175">
        <v>46043</v>
      </c>
      <c r="C270" s="171" t="s">
        <v>131</v>
      </c>
      <c r="D270" s="171" t="s">
        <v>132</v>
      </c>
      <c r="E270" s="171" t="s">
        <v>66</v>
      </c>
      <c r="F270" s="171" t="s">
        <v>606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-1324.4</v>
      </c>
    </row>
    <row r="271" spans="1:16" ht="19.5" customHeight="1">
      <c r="A271" s="171" t="s">
        <v>605</v>
      </c>
      <c r="B271" s="175">
        <v>46043</v>
      </c>
      <c r="C271" s="171" t="s">
        <v>115</v>
      </c>
      <c r="D271" s="171" t="s">
        <v>116</v>
      </c>
      <c r="E271" s="171" t="s">
        <v>66</v>
      </c>
      <c r="F271" s="171" t="s">
        <v>606</v>
      </c>
      <c r="G271" s="171" t="s">
        <v>177</v>
      </c>
      <c r="H271" s="176">
        <v>1</v>
      </c>
      <c r="I271" s="177">
        <v>3080</v>
      </c>
      <c r="J271" s="175">
        <v>46040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-11.3</v>
      </c>
    </row>
    <row r="272" spans="1:16" ht="19.5" customHeight="1">
      <c r="A272" s="171" t="s">
        <v>605</v>
      </c>
      <c r="B272" s="175">
        <v>46043</v>
      </c>
      <c r="C272" s="171" t="s">
        <v>115</v>
      </c>
      <c r="D272" s="171" t="s">
        <v>135</v>
      </c>
      <c r="E272" s="171" t="s">
        <v>66</v>
      </c>
      <c r="F272" s="171" t="s">
        <v>606</v>
      </c>
      <c r="G272" s="171" t="s">
        <v>177</v>
      </c>
      <c r="H272" s="176">
        <v>1</v>
      </c>
      <c r="I272" s="177">
        <v>0</v>
      </c>
      <c r="J272" s="175">
        <v>46040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-37.75</v>
      </c>
    </row>
    <row r="273" spans="1:16" ht="19.5" customHeight="1">
      <c r="A273" s="171" t="s">
        <v>607</v>
      </c>
      <c r="B273" s="175">
        <v>46043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-147.08000000000001</v>
      </c>
    </row>
    <row r="274" spans="1:16" ht="19.5" customHeight="1">
      <c r="A274" s="171" t="s">
        <v>607</v>
      </c>
      <c r="B274" s="175">
        <v>46043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573.19000000000005</v>
      </c>
    </row>
    <row r="275" spans="1:16" ht="19.5" customHeight="1">
      <c r="A275" s="171" t="s">
        <v>607</v>
      </c>
      <c r="B275" s="175">
        <v>46043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5.73</v>
      </c>
    </row>
    <row r="276" spans="1:16" ht="19.5" customHeight="1">
      <c r="A276" s="171" t="s">
        <v>607</v>
      </c>
      <c r="B276" s="175">
        <v>46043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1091.08</v>
      </c>
    </row>
    <row r="277" spans="1:16" ht="19.5" customHeight="1">
      <c r="A277" s="171" t="s">
        <v>607</v>
      </c>
      <c r="B277" s="175">
        <v>46043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-718.1</v>
      </c>
    </row>
    <row r="278" spans="1:16" ht="19.5" customHeight="1">
      <c r="A278" s="171" t="s">
        <v>607</v>
      </c>
      <c r="B278" s="175">
        <v>46043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1670</v>
      </c>
      <c r="J278" s="175">
        <v>46040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-6.58</v>
      </c>
    </row>
    <row r="279" spans="1:16" ht="19.5" customHeight="1">
      <c r="A279" s="171" t="s">
        <v>608</v>
      </c>
      <c r="B279" s="175">
        <v>46043</v>
      </c>
      <c r="C279" s="171" t="s">
        <v>115</v>
      </c>
      <c r="D279" s="171" t="s">
        <v>135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46043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-1.61</v>
      </c>
    </row>
    <row r="280" spans="1:16" ht="19.5" customHeight="1">
      <c r="A280" s="171" t="s">
        <v>607</v>
      </c>
      <c r="B280" s="175">
        <v>46043</v>
      </c>
      <c r="C280" s="171" t="s">
        <v>115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46040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-10.89</v>
      </c>
    </row>
    <row r="281" spans="1:16" ht="19.5" customHeight="1">
      <c r="A281" s="171" t="s">
        <v>609</v>
      </c>
      <c r="B281" s="175">
        <v>46043</v>
      </c>
      <c r="C281" s="171" t="s">
        <v>110</v>
      </c>
      <c r="D281" s="171" t="s">
        <v>24</v>
      </c>
      <c r="E281" s="171" t="s">
        <v>47</v>
      </c>
      <c r="F281" s="171" t="s">
        <v>434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0.43</v>
      </c>
      <c r="N281" s="176"/>
      <c r="O281" s="176">
        <v>51</v>
      </c>
      <c r="P281" s="179">
        <v>-125.21</v>
      </c>
    </row>
    <row r="282" spans="1:16" ht="19.5" customHeight="1">
      <c r="A282" s="171" t="s">
        <v>609</v>
      </c>
      <c r="B282" s="175">
        <v>46043</v>
      </c>
      <c r="C282" s="171" t="s">
        <v>127</v>
      </c>
      <c r="D282" s="171" t="s">
        <v>128</v>
      </c>
      <c r="E282" s="171" t="s">
        <v>47</v>
      </c>
      <c r="F282" s="171" t="s">
        <v>434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602.86</v>
      </c>
    </row>
    <row r="283" spans="1:16" ht="19.5" customHeight="1">
      <c r="A283" s="171" t="s">
        <v>609</v>
      </c>
      <c r="B283" s="175">
        <v>46043</v>
      </c>
      <c r="C283" s="171" t="s">
        <v>127</v>
      </c>
      <c r="D283" s="171" t="s">
        <v>129</v>
      </c>
      <c r="E283" s="171" t="s">
        <v>47</v>
      </c>
      <c r="F283" s="171" t="s">
        <v>434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6.03</v>
      </c>
    </row>
    <row r="284" spans="1:16" ht="19.5" customHeight="1">
      <c r="A284" s="171" t="s">
        <v>609</v>
      </c>
      <c r="B284" s="175">
        <v>46043</v>
      </c>
      <c r="C284" s="171" t="s">
        <v>127</v>
      </c>
      <c r="D284" s="171" t="s">
        <v>130</v>
      </c>
      <c r="E284" s="171" t="s">
        <v>47</v>
      </c>
      <c r="F284" s="171" t="s">
        <v>434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493.11</v>
      </c>
    </row>
    <row r="285" spans="1:16" ht="19.5" customHeight="1">
      <c r="A285" s="171" t="s">
        <v>609</v>
      </c>
      <c r="B285" s="175">
        <v>46043</v>
      </c>
      <c r="C285" s="171" t="s">
        <v>131</v>
      </c>
      <c r="D285" s="171" t="s">
        <v>132</v>
      </c>
      <c r="E285" s="171" t="s">
        <v>47</v>
      </c>
      <c r="F285" s="171" t="s">
        <v>434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-473.86</v>
      </c>
    </row>
    <row r="286" spans="1:16" ht="19.5" customHeight="1">
      <c r="A286" s="171" t="s">
        <v>609</v>
      </c>
      <c r="B286" s="175">
        <v>46043</v>
      </c>
      <c r="C286" s="171" t="s">
        <v>115</v>
      </c>
      <c r="D286" s="171" t="s">
        <v>116</v>
      </c>
      <c r="E286" s="171" t="s">
        <v>47</v>
      </c>
      <c r="F286" s="171" t="s">
        <v>434</v>
      </c>
      <c r="G286" s="171" t="s">
        <v>112</v>
      </c>
      <c r="H286" s="176">
        <v>1</v>
      </c>
      <c r="I286" s="177">
        <v>1102</v>
      </c>
      <c r="J286" s="175">
        <v>46040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-8.36</v>
      </c>
    </row>
    <row r="287" spans="1:16" ht="19.5" customHeight="1">
      <c r="A287" s="171" t="s">
        <v>609</v>
      </c>
      <c r="B287" s="175">
        <v>46043</v>
      </c>
      <c r="C287" s="171" t="s">
        <v>115</v>
      </c>
      <c r="D287" s="171" t="s">
        <v>135</v>
      </c>
      <c r="E287" s="171" t="s">
        <v>47</v>
      </c>
      <c r="F287" s="171" t="s">
        <v>434</v>
      </c>
      <c r="G287" s="171" t="s">
        <v>112</v>
      </c>
      <c r="H287" s="176">
        <v>1</v>
      </c>
      <c r="I287" s="177">
        <v>0</v>
      </c>
      <c r="J287" s="175">
        <v>46040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-11.45</v>
      </c>
    </row>
    <row r="288" spans="1:16" ht="19.5" customHeight="1">
      <c r="A288" s="171" t="s">
        <v>610</v>
      </c>
      <c r="B288" s="175">
        <v>46043</v>
      </c>
      <c r="C288" s="171" t="s">
        <v>110</v>
      </c>
      <c r="D288" s="171" t="s">
        <v>24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0.43</v>
      </c>
      <c r="N288" s="176"/>
      <c r="O288" s="176">
        <v>51</v>
      </c>
      <c r="P288" s="179">
        <v>-290.97000000000003</v>
      </c>
    </row>
    <row r="289" spans="1:16" ht="19.5" customHeight="1">
      <c r="A289" s="171" t="s">
        <v>610</v>
      </c>
      <c r="B289" s="175">
        <v>46043</v>
      </c>
      <c r="C289" s="171" t="s">
        <v>127</v>
      </c>
      <c r="D289" s="171" t="s">
        <v>128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2131.1799999999998</v>
      </c>
    </row>
    <row r="290" spans="1:16" ht="19.5" customHeight="1">
      <c r="A290" s="171" t="s">
        <v>610</v>
      </c>
      <c r="B290" s="175">
        <v>46043</v>
      </c>
      <c r="C290" s="171" t="s">
        <v>127</v>
      </c>
      <c r="D290" s="171" t="s">
        <v>129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21.31</v>
      </c>
    </row>
    <row r="291" spans="1:16" ht="19.5" customHeight="1">
      <c r="A291" s="171" t="s">
        <v>610</v>
      </c>
      <c r="B291" s="175">
        <v>46043</v>
      </c>
      <c r="C291" s="171" t="s">
        <v>127</v>
      </c>
      <c r="D291" s="171" t="s">
        <v>130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2787.51</v>
      </c>
    </row>
    <row r="292" spans="1:16" ht="19.5" customHeight="1">
      <c r="A292" s="171" t="s">
        <v>610</v>
      </c>
      <c r="B292" s="175">
        <v>46043</v>
      </c>
      <c r="C292" s="171" t="s">
        <v>131</v>
      </c>
      <c r="D292" s="171" t="s">
        <v>132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-2124.1999999999998</v>
      </c>
    </row>
    <row r="293" spans="1:16" ht="19.5" customHeight="1">
      <c r="A293" s="171" t="s">
        <v>610</v>
      </c>
      <c r="B293" s="175">
        <v>46043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4940</v>
      </c>
      <c r="J293" s="175">
        <v>46040</v>
      </c>
      <c r="K293" s="171" t="s">
        <v>113</v>
      </c>
      <c r="L293" s="171" t="s">
        <v>114</v>
      </c>
      <c r="M293" s="178">
        <v>0.43</v>
      </c>
      <c r="N293" s="176"/>
      <c r="O293" s="176"/>
      <c r="P293" s="179">
        <v>-17.07</v>
      </c>
    </row>
    <row r="294" spans="1:16" ht="19.5" customHeight="1">
      <c r="A294" s="171" t="s">
        <v>594</v>
      </c>
      <c r="B294" s="175">
        <v>46043</v>
      </c>
      <c r="C294" s="171" t="s">
        <v>115</v>
      </c>
      <c r="D294" s="171" t="s">
        <v>135</v>
      </c>
      <c r="E294" s="171" t="s">
        <v>44</v>
      </c>
      <c r="F294" s="171" t="s">
        <v>213</v>
      </c>
      <c r="G294" s="171" t="s">
        <v>214</v>
      </c>
      <c r="H294" s="176">
        <v>1</v>
      </c>
      <c r="I294" s="177">
        <v>0</v>
      </c>
      <c r="J294" s="175">
        <v>46042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11.94</v>
      </c>
    </row>
    <row r="295" spans="1:16" ht="19.5" customHeight="1">
      <c r="A295" s="171" t="s">
        <v>610</v>
      </c>
      <c r="B295" s="175">
        <v>46043</v>
      </c>
      <c r="C295" s="171" t="s">
        <v>115</v>
      </c>
      <c r="D295" s="171" t="s">
        <v>135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46040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-40.49</v>
      </c>
    </row>
    <row r="296" spans="1:16" ht="19.5" customHeight="1">
      <c r="A296" s="171" t="s">
        <v>611</v>
      </c>
      <c r="B296" s="175">
        <v>46043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0.43</v>
      </c>
      <c r="N296" s="176"/>
      <c r="O296" s="176">
        <v>51</v>
      </c>
      <c r="P296" s="179">
        <v>-147.08000000000001</v>
      </c>
    </row>
    <row r="297" spans="1:16" ht="19.5" customHeight="1">
      <c r="A297" s="171" t="s">
        <v>611</v>
      </c>
      <c r="B297" s="175">
        <v>46043</v>
      </c>
      <c r="C297" s="171" t="s">
        <v>127</v>
      </c>
      <c r="D297" s="171" t="s">
        <v>128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574.29</v>
      </c>
    </row>
    <row r="298" spans="1:16" ht="19.5" customHeight="1">
      <c r="A298" s="171" t="s">
        <v>611</v>
      </c>
      <c r="B298" s="175">
        <v>46043</v>
      </c>
      <c r="C298" s="171" t="s">
        <v>127</v>
      </c>
      <c r="D298" s="171" t="s">
        <v>129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5.74</v>
      </c>
    </row>
    <row r="299" spans="1:16" ht="19.5" customHeight="1">
      <c r="A299" s="171" t="s">
        <v>611</v>
      </c>
      <c r="B299" s="175">
        <v>46043</v>
      </c>
      <c r="C299" s="171" t="s">
        <v>127</v>
      </c>
      <c r="D299" s="171" t="s">
        <v>130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1089.97</v>
      </c>
    </row>
    <row r="300" spans="1:16" ht="19.5" customHeight="1">
      <c r="A300" s="171" t="s">
        <v>611</v>
      </c>
      <c r="B300" s="175">
        <v>46043</v>
      </c>
      <c r="C300" s="171" t="s">
        <v>131</v>
      </c>
      <c r="D300" s="171" t="s">
        <v>132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-718.1</v>
      </c>
    </row>
    <row r="301" spans="1:16" ht="19.5" customHeight="1">
      <c r="A301" s="171" t="s">
        <v>611</v>
      </c>
      <c r="B301" s="175">
        <v>46043</v>
      </c>
      <c r="C301" s="171" t="s">
        <v>115</v>
      </c>
      <c r="D301" s="171" t="s">
        <v>116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1670</v>
      </c>
      <c r="J301" s="175">
        <v>46039</v>
      </c>
      <c r="K301" s="171" t="s">
        <v>113</v>
      </c>
      <c r="L301" s="171" t="s">
        <v>114</v>
      </c>
      <c r="M301" s="178">
        <v>0.43</v>
      </c>
      <c r="N301" s="176"/>
      <c r="O301" s="176"/>
      <c r="P301" s="179">
        <v>-8.17</v>
      </c>
    </row>
    <row r="302" spans="1:16" ht="19.5" customHeight="1">
      <c r="A302" s="171" t="s">
        <v>612</v>
      </c>
      <c r="B302" s="175">
        <v>46043</v>
      </c>
      <c r="C302" s="171" t="s">
        <v>110</v>
      </c>
      <c r="D302" s="171" t="s">
        <v>24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0.43</v>
      </c>
      <c r="N302" s="176"/>
      <c r="O302" s="176">
        <v>53</v>
      </c>
      <c r="P302" s="179">
        <v>-294.01</v>
      </c>
    </row>
    <row r="303" spans="1:16" ht="19.5" customHeight="1">
      <c r="A303" s="171" t="s">
        <v>612</v>
      </c>
      <c r="B303" s="175">
        <v>46043</v>
      </c>
      <c r="C303" s="171" t="s">
        <v>127</v>
      </c>
      <c r="D303" s="171" t="s">
        <v>128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2333.33</v>
      </c>
    </row>
    <row r="304" spans="1:16" ht="19.5" customHeight="1">
      <c r="A304" s="171" t="s">
        <v>612</v>
      </c>
      <c r="B304" s="175">
        <v>46043</v>
      </c>
      <c r="C304" s="171" t="s">
        <v>127</v>
      </c>
      <c r="D304" s="171" t="s">
        <v>129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23.33</v>
      </c>
    </row>
    <row r="305" spans="1:16" ht="19.5" customHeight="1">
      <c r="A305" s="171" t="s">
        <v>612</v>
      </c>
      <c r="B305" s="175">
        <v>46043</v>
      </c>
      <c r="C305" s="171" t="s">
        <v>127</v>
      </c>
      <c r="D305" s="171" t="s">
        <v>130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2583.34</v>
      </c>
    </row>
    <row r="306" spans="1:16" ht="19.5" customHeight="1">
      <c r="A306" s="171" t="s">
        <v>612</v>
      </c>
      <c r="B306" s="175">
        <v>46043</v>
      </c>
      <c r="C306" s="171" t="s">
        <v>131</v>
      </c>
      <c r="D306" s="171" t="s">
        <v>132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-2124.1999999999998</v>
      </c>
    </row>
    <row r="307" spans="1:16" ht="19.5" customHeight="1">
      <c r="A307" s="171" t="s">
        <v>612</v>
      </c>
      <c r="B307" s="175">
        <v>46043</v>
      </c>
      <c r="C307" s="171" t="s">
        <v>115</v>
      </c>
      <c r="D307" s="171" t="s">
        <v>116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46041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-11.14</v>
      </c>
    </row>
    <row r="308" spans="1:16" ht="19.5" customHeight="1">
      <c r="A308" s="171" t="s">
        <v>613</v>
      </c>
      <c r="B308" s="175">
        <v>46043</v>
      </c>
      <c r="C308" s="171" t="s">
        <v>110</v>
      </c>
      <c r="D308" s="171" t="s">
        <v>24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0.43</v>
      </c>
      <c r="N308" s="176"/>
      <c r="O308" s="176">
        <v>51</v>
      </c>
      <c r="P308" s="179">
        <v>-290.97000000000003</v>
      </c>
    </row>
    <row r="309" spans="1:16" ht="19.5" customHeight="1">
      <c r="A309" s="171" t="s">
        <v>613</v>
      </c>
      <c r="B309" s="175">
        <v>46043</v>
      </c>
      <c r="C309" s="171" t="s">
        <v>127</v>
      </c>
      <c r="D309" s="171" t="s">
        <v>128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2116.59</v>
      </c>
    </row>
    <row r="310" spans="1:16" ht="19.5" customHeight="1">
      <c r="A310" s="171" t="s">
        <v>613</v>
      </c>
      <c r="B310" s="175">
        <v>46043</v>
      </c>
      <c r="C310" s="171" t="s">
        <v>127</v>
      </c>
      <c r="D310" s="171" t="s">
        <v>129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21.17</v>
      </c>
    </row>
    <row r="311" spans="1:16" ht="19.5" customHeight="1">
      <c r="A311" s="171" t="s">
        <v>613</v>
      </c>
      <c r="B311" s="175">
        <v>46043</v>
      </c>
      <c r="C311" s="171" t="s">
        <v>127</v>
      </c>
      <c r="D311" s="171" t="s">
        <v>130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2802.24</v>
      </c>
    </row>
    <row r="312" spans="1:16" ht="19.5" customHeight="1">
      <c r="A312" s="171" t="s">
        <v>613</v>
      </c>
      <c r="B312" s="175">
        <v>46043</v>
      </c>
      <c r="C312" s="171" t="s">
        <v>131</v>
      </c>
      <c r="D312" s="171" t="s">
        <v>132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-2124.1999999999998</v>
      </c>
    </row>
    <row r="313" spans="1:16" ht="19.5" customHeight="1">
      <c r="A313" s="171" t="s">
        <v>613</v>
      </c>
      <c r="B313" s="175">
        <v>46043</v>
      </c>
      <c r="C313" s="171" t="s">
        <v>115</v>
      </c>
      <c r="D313" s="171" t="s">
        <v>116</v>
      </c>
      <c r="E313" s="171" t="s">
        <v>78</v>
      </c>
      <c r="F313" s="171" t="s">
        <v>176</v>
      </c>
      <c r="G313" s="171" t="s">
        <v>177</v>
      </c>
      <c r="H313" s="176">
        <v>1</v>
      </c>
      <c r="I313" s="177">
        <v>4940</v>
      </c>
      <c r="J313" s="175">
        <v>46039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-10.59</v>
      </c>
    </row>
    <row r="314" spans="1:16" ht="19.5" customHeight="1">
      <c r="A314" s="171" t="s">
        <v>611</v>
      </c>
      <c r="B314" s="175">
        <v>46043</v>
      </c>
      <c r="C314" s="171" t="s">
        <v>115</v>
      </c>
      <c r="D314" s="171" t="s">
        <v>135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46039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-10.91</v>
      </c>
    </row>
    <row r="315" spans="1:16" ht="19.5" customHeight="1">
      <c r="A315" s="171" t="s">
        <v>612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46041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-44.33</v>
      </c>
    </row>
    <row r="316" spans="1:16" ht="19.5" customHeight="1">
      <c r="A316" s="171" t="s">
        <v>613</v>
      </c>
      <c r="B316" s="175">
        <v>46043</v>
      </c>
      <c r="C316" s="171" t="s">
        <v>115</v>
      </c>
      <c r="D316" s="171" t="s">
        <v>135</v>
      </c>
      <c r="E316" s="171" t="s">
        <v>78</v>
      </c>
      <c r="F316" s="171" t="s">
        <v>176</v>
      </c>
      <c r="G316" s="171" t="s">
        <v>177</v>
      </c>
      <c r="H316" s="176">
        <v>1</v>
      </c>
      <c r="I316" s="177">
        <v>0</v>
      </c>
      <c r="J316" s="175">
        <v>46039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-40.22</v>
      </c>
    </row>
    <row r="317" spans="1:16" ht="19.5" customHeight="1">
      <c r="A317" s="171" t="s">
        <v>614</v>
      </c>
      <c r="B317" s="175">
        <v>46043</v>
      </c>
      <c r="C317" s="171" t="s">
        <v>110</v>
      </c>
      <c r="D317" s="171" t="s">
        <v>24</v>
      </c>
      <c r="E317" s="171" t="s">
        <v>70</v>
      </c>
      <c r="F317" s="171" t="s">
        <v>513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0.43</v>
      </c>
      <c r="N317" s="176"/>
      <c r="O317" s="176">
        <v>52</v>
      </c>
      <c r="P317" s="179">
        <v>-275.39</v>
      </c>
    </row>
    <row r="318" spans="1:16" ht="19.5" customHeight="1">
      <c r="A318" s="171" t="s">
        <v>614</v>
      </c>
      <c r="B318" s="175">
        <v>46043</v>
      </c>
      <c r="C318" s="171" t="s">
        <v>127</v>
      </c>
      <c r="D318" s="171" t="s">
        <v>128</v>
      </c>
      <c r="E318" s="171" t="s">
        <v>70</v>
      </c>
      <c r="F318" s="171" t="s">
        <v>513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3161.92</v>
      </c>
    </row>
    <row r="319" spans="1:16" ht="19.5" customHeight="1">
      <c r="A319" s="171" t="s">
        <v>614</v>
      </c>
      <c r="B319" s="175">
        <v>46043</v>
      </c>
      <c r="C319" s="171" t="s">
        <v>127</v>
      </c>
      <c r="D319" s="171" t="s">
        <v>129</v>
      </c>
      <c r="E319" s="171" t="s">
        <v>70</v>
      </c>
      <c r="F319" s="171" t="s">
        <v>513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614</v>
      </c>
      <c r="B320" s="175">
        <v>46043</v>
      </c>
      <c r="C320" s="171" t="s">
        <v>127</v>
      </c>
      <c r="D320" s="171" t="s">
        <v>130</v>
      </c>
      <c r="E320" s="171" t="s">
        <v>70</v>
      </c>
      <c r="F320" s="171" t="s">
        <v>513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1344.08</v>
      </c>
    </row>
    <row r="321" spans="1:16" ht="19.5" customHeight="1">
      <c r="A321" s="171" t="s">
        <v>614</v>
      </c>
      <c r="B321" s="175">
        <v>46043</v>
      </c>
      <c r="C321" s="171" t="s">
        <v>131</v>
      </c>
      <c r="D321" s="171" t="s">
        <v>132</v>
      </c>
      <c r="E321" s="171" t="s">
        <v>70</v>
      </c>
      <c r="F321" s="171" t="s">
        <v>513</v>
      </c>
      <c r="G321" s="171" t="s">
        <v>177</v>
      </c>
      <c r="H321" s="176">
        <v>1</v>
      </c>
      <c r="I321" s="177">
        <v>4506</v>
      </c>
      <c r="J321" s="175">
        <v>46042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-1937.58</v>
      </c>
    </row>
    <row r="322" spans="1:16" ht="19.5" customHeight="1">
      <c r="A322" s="171" t="s">
        <v>615</v>
      </c>
      <c r="B322" s="175">
        <v>46043</v>
      </c>
      <c r="C322" s="171" t="s">
        <v>110</v>
      </c>
      <c r="D322" s="171" t="s">
        <v>24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>
        <v>42</v>
      </c>
      <c r="P322" s="179">
        <v>-46</v>
      </c>
    </row>
    <row r="323" spans="1:16" ht="19.5" customHeight="1">
      <c r="A323" s="171" t="s">
        <v>615</v>
      </c>
      <c r="B323" s="175">
        <v>46043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615</v>
      </c>
      <c r="B324" s="175">
        <v>46043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45995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</v>
      </c>
    </row>
    <row r="325" spans="1:16" ht="19.5" customHeight="1">
      <c r="A325" s="171" t="s">
        <v>616</v>
      </c>
      <c r="B325" s="175">
        <v>46043</v>
      </c>
      <c r="C325" s="171" t="s">
        <v>110</v>
      </c>
      <c r="D325" s="171" t="s">
        <v>24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0.43</v>
      </c>
      <c r="N325" s="176"/>
      <c r="O325" s="176">
        <v>43</v>
      </c>
      <c r="P325" s="179">
        <v>-125.44</v>
      </c>
    </row>
    <row r="326" spans="1:16" ht="19.5" customHeight="1">
      <c r="A326" s="171" t="s">
        <v>616</v>
      </c>
      <c r="B326" s="175">
        <v>46043</v>
      </c>
      <c r="C326" s="171" t="s">
        <v>127</v>
      </c>
      <c r="D326" s="171" t="s">
        <v>128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864.89</v>
      </c>
    </row>
    <row r="327" spans="1:16" ht="19.5" customHeight="1">
      <c r="A327" s="171" t="s">
        <v>616</v>
      </c>
      <c r="B327" s="175">
        <v>46043</v>
      </c>
      <c r="C327" s="171" t="s">
        <v>127</v>
      </c>
      <c r="D327" s="171" t="s">
        <v>129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8.65</v>
      </c>
    </row>
    <row r="328" spans="1:16" ht="19.5" customHeight="1">
      <c r="A328" s="171" t="s">
        <v>616</v>
      </c>
      <c r="B328" s="175">
        <v>46043</v>
      </c>
      <c r="C328" s="171" t="s">
        <v>127</v>
      </c>
      <c r="D328" s="171" t="s">
        <v>130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813.46</v>
      </c>
    </row>
    <row r="329" spans="1:16" ht="19.5" customHeight="1">
      <c r="A329" s="171" t="s">
        <v>616</v>
      </c>
      <c r="B329" s="175">
        <v>46043</v>
      </c>
      <c r="C329" s="171" t="s">
        <v>131</v>
      </c>
      <c r="D329" s="171" t="s">
        <v>132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-725.41</v>
      </c>
    </row>
    <row r="330" spans="1:16" ht="19.5" customHeight="1">
      <c r="A330" s="171" t="s">
        <v>616</v>
      </c>
      <c r="B330" s="175">
        <v>46043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1687</v>
      </c>
      <c r="J330" s="175">
        <v>46037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-9.1999999999999993</v>
      </c>
    </row>
    <row r="331" spans="1:16" ht="19.5" customHeight="1">
      <c r="A331" s="171" t="s">
        <v>617</v>
      </c>
      <c r="B331" s="175">
        <v>46043</v>
      </c>
      <c r="C331" s="171" t="s">
        <v>110</v>
      </c>
      <c r="D331" s="171" t="s">
        <v>24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0.43</v>
      </c>
      <c r="N331" s="176"/>
      <c r="O331" s="176">
        <v>52</v>
      </c>
      <c r="P331" s="179">
        <v>-146.88999999999999</v>
      </c>
    </row>
    <row r="332" spans="1:16" ht="19.5" customHeight="1">
      <c r="A332" s="171" t="s">
        <v>617</v>
      </c>
      <c r="B332" s="175">
        <v>46043</v>
      </c>
      <c r="C332" s="171" t="s">
        <v>127</v>
      </c>
      <c r="D332" s="171" t="s">
        <v>128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579.45000000000005</v>
      </c>
    </row>
    <row r="333" spans="1:16" ht="19.5" customHeight="1">
      <c r="A333" s="171" t="s">
        <v>617</v>
      </c>
      <c r="B333" s="175">
        <v>46043</v>
      </c>
      <c r="C333" s="171" t="s">
        <v>127</v>
      </c>
      <c r="D333" s="171" t="s">
        <v>129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5.79</v>
      </c>
    </row>
    <row r="334" spans="1:16" ht="19.5" customHeight="1">
      <c r="A334" s="171" t="s">
        <v>617</v>
      </c>
      <c r="B334" s="175">
        <v>46043</v>
      </c>
      <c r="C334" s="171" t="s">
        <v>127</v>
      </c>
      <c r="D334" s="171" t="s">
        <v>130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1101.76</v>
      </c>
    </row>
    <row r="335" spans="1:16" ht="19.5" customHeight="1">
      <c r="A335" s="171" t="s">
        <v>617</v>
      </c>
      <c r="B335" s="175">
        <v>46043</v>
      </c>
      <c r="C335" s="171" t="s">
        <v>131</v>
      </c>
      <c r="D335" s="171" t="s">
        <v>132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-725.41</v>
      </c>
    </row>
    <row r="336" spans="1:16" ht="19.5" customHeight="1">
      <c r="A336" s="171" t="s">
        <v>617</v>
      </c>
      <c r="B336" s="175">
        <v>46043</v>
      </c>
      <c r="C336" s="171" t="s">
        <v>115</v>
      </c>
      <c r="D336" s="171" t="s">
        <v>116</v>
      </c>
      <c r="E336" s="171" t="s">
        <v>41</v>
      </c>
      <c r="F336" s="171" t="s">
        <v>138</v>
      </c>
      <c r="G336" s="171" t="s">
        <v>112</v>
      </c>
      <c r="H336" s="176">
        <v>1</v>
      </c>
      <c r="I336" s="177">
        <v>1687</v>
      </c>
      <c r="J336" s="175">
        <v>46042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-9.64</v>
      </c>
    </row>
    <row r="337" spans="1:16" ht="19.5" customHeight="1">
      <c r="A337" s="171" t="s">
        <v>616</v>
      </c>
      <c r="B337" s="175">
        <v>46043</v>
      </c>
      <c r="C337" s="171" t="s">
        <v>115</v>
      </c>
      <c r="D337" s="171" t="s">
        <v>135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46037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-16.43</v>
      </c>
    </row>
    <row r="338" spans="1:16" ht="19.5" customHeight="1">
      <c r="A338" s="171" t="s">
        <v>617</v>
      </c>
      <c r="B338" s="175">
        <v>46043</v>
      </c>
      <c r="C338" s="171" t="s">
        <v>115</v>
      </c>
      <c r="D338" s="171" t="s">
        <v>135</v>
      </c>
      <c r="E338" s="171" t="s">
        <v>41</v>
      </c>
      <c r="F338" s="171" t="s">
        <v>138</v>
      </c>
      <c r="G338" s="171" t="s">
        <v>112</v>
      </c>
      <c r="H338" s="176">
        <v>1</v>
      </c>
      <c r="I338" s="177">
        <v>0</v>
      </c>
      <c r="J338" s="175">
        <v>46042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-11.01</v>
      </c>
    </row>
    <row r="339" spans="1:16" ht="19.5" customHeight="1">
      <c r="A339" s="171" t="s">
        <v>618</v>
      </c>
      <c r="B339" s="175">
        <v>46043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0.43</v>
      </c>
      <c r="N339" s="176"/>
      <c r="O339" s="176">
        <v>51</v>
      </c>
      <c r="P339" s="179">
        <v>-147.08000000000001</v>
      </c>
    </row>
    <row r="340" spans="1:16" ht="19.5" customHeight="1">
      <c r="A340" s="171" t="s">
        <v>618</v>
      </c>
      <c r="B340" s="175">
        <v>46043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636.19000000000005</v>
      </c>
    </row>
    <row r="341" spans="1:16" ht="19.5" customHeight="1">
      <c r="A341" s="171" t="s">
        <v>618</v>
      </c>
      <c r="B341" s="175">
        <v>46043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618</v>
      </c>
      <c r="B342" s="175">
        <v>46043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1033.81</v>
      </c>
    </row>
    <row r="343" spans="1:16" ht="19.5" customHeight="1">
      <c r="A343" s="171" t="s">
        <v>618</v>
      </c>
      <c r="B343" s="175">
        <v>46043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618</v>
      </c>
      <c r="B344" s="175">
        <v>46043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46039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-10.3</v>
      </c>
    </row>
    <row r="345" spans="1:16" ht="19.5" customHeight="1">
      <c r="A345" s="171" t="s">
        <v>619</v>
      </c>
      <c r="B345" s="175">
        <v>46043</v>
      </c>
      <c r="C345" s="171" t="s">
        <v>115</v>
      </c>
      <c r="D345" s="171" t="s">
        <v>135</v>
      </c>
      <c r="E345" s="171" t="s">
        <v>39</v>
      </c>
      <c r="F345" s="171" t="s">
        <v>141</v>
      </c>
      <c r="G345" s="171" t="s">
        <v>112</v>
      </c>
      <c r="H345" s="176">
        <v>1</v>
      </c>
      <c r="I345" s="177">
        <v>0</v>
      </c>
      <c r="J345" s="175">
        <v>46043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-12.9</v>
      </c>
    </row>
    <row r="346" spans="1:16" ht="19.5" customHeight="1">
      <c r="A346" s="171" t="s">
        <v>620</v>
      </c>
      <c r="B346" s="175">
        <v>46043</v>
      </c>
      <c r="C346" s="171" t="s">
        <v>110</v>
      </c>
      <c r="D346" s="171" t="s">
        <v>117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customHeight="1">
      <c r="A347" s="171" t="s">
        <v>620</v>
      </c>
      <c r="B347" s="175">
        <v>46043</v>
      </c>
      <c r="C347" s="171" t="s">
        <v>110</v>
      </c>
      <c r="D347" s="171" t="s">
        <v>118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customHeight="1">
      <c r="A348" s="171" t="s">
        <v>620</v>
      </c>
      <c r="B348" s="175">
        <v>46043</v>
      </c>
      <c r="C348" s="171" t="s">
        <v>115</v>
      </c>
      <c r="D348" s="171" t="s">
        <v>119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customHeight="1">
      <c r="A349" s="171" t="s">
        <v>620</v>
      </c>
      <c r="B349" s="175">
        <v>46043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-46.77</v>
      </c>
    </row>
    <row r="350" spans="1:16" ht="19.5" customHeight="1">
      <c r="A350" s="171" t="s">
        <v>620</v>
      </c>
      <c r="B350" s="175">
        <v>46043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46029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-25</v>
      </c>
    </row>
    <row r="351" spans="1:16" ht="19.5" customHeight="1">
      <c r="A351" s="171" t="s">
        <v>569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-277.19</v>
      </c>
    </row>
    <row r="352" spans="1:16" ht="19.5" customHeight="1">
      <c r="A352" s="171" t="s">
        <v>179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-272.87</v>
      </c>
    </row>
    <row r="353" spans="1:16" ht="19.5" customHeight="1">
      <c r="A353" s="171" t="s">
        <v>180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-418.8</v>
      </c>
    </row>
    <row r="354" spans="1:16" ht="19.5" customHeight="1">
      <c r="A354" s="171" t="s">
        <v>153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-401.97</v>
      </c>
    </row>
    <row r="355" spans="1:16" ht="19.5" customHeight="1">
      <c r="A355" s="171" t="s">
        <v>150</v>
      </c>
      <c r="B355" s="175">
        <v>46043</v>
      </c>
      <c r="C355" s="171" t="s">
        <v>151</v>
      </c>
      <c r="D355" s="171" t="s">
        <v>152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-1234.1300000000001</v>
      </c>
    </row>
    <row r="356" spans="1:16" ht="19.5" customHeight="1">
      <c r="A356" s="171" t="s">
        <v>155</v>
      </c>
      <c r="B356" s="175">
        <v>46043</v>
      </c>
      <c r="C356" s="171" t="s">
        <v>151</v>
      </c>
      <c r="D356" s="171" t="s">
        <v>156</v>
      </c>
      <c r="E356" s="171" t="s">
        <v>125</v>
      </c>
      <c r="F356" s="171" t="s">
        <v>125</v>
      </c>
      <c r="G356" s="171" t="s">
        <v>125</v>
      </c>
      <c r="H356" s="176">
        <v>0</v>
      </c>
      <c r="I356" s="177">
        <v>0</v>
      </c>
      <c r="J356" s="175">
        <v>46043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-3072.96</v>
      </c>
    </row>
    <row r="357" spans="1:16" ht="19.5" customHeight="1">
      <c r="A357" s="171" t="s">
        <v>621</v>
      </c>
      <c r="B357" s="175">
        <v>46044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>
        <v>51</v>
      </c>
      <c r="P357" s="179">
        <v>-46.77</v>
      </c>
    </row>
    <row r="358" spans="1:16" ht="19.5" customHeight="1">
      <c r="A358" s="171" t="s">
        <v>621</v>
      </c>
      <c r="B358" s="175">
        <v>46044</v>
      </c>
      <c r="C358" s="171" t="s">
        <v>115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-7.94</v>
      </c>
    </row>
    <row r="359" spans="1:16" ht="19.5" customHeight="1">
      <c r="A359" s="171" t="s">
        <v>621</v>
      </c>
      <c r="B359" s="175">
        <v>46044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customHeight="1">
      <c r="A360" s="171" t="s">
        <v>621</v>
      </c>
      <c r="B360" s="175">
        <v>46044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customHeight="1">
      <c r="A361" s="171" t="s">
        <v>621</v>
      </c>
      <c r="B361" s="175">
        <v>46044</v>
      </c>
      <c r="C361" s="171" t="s">
        <v>115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customHeight="1">
      <c r="A362" s="171" t="s">
        <v>622</v>
      </c>
      <c r="B362" s="175">
        <v>46044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>
        <v>51</v>
      </c>
      <c r="P362" s="179">
        <v>-46.77</v>
      </c>
    </row>
    <row r="363" spans="1:16" ht="19.5" customHeight="1">
      <c r="A363" s="171" t="s">
        <v>622</v>
      </c>
      <c r="B363" s="175">
        <v>46044</v>
      </c>
      <c r="C363" s="171" t="s">
        <v>115</v>
      </c>
      <c r="D363" s="171" t="s">
        <v>116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-11.41</v>
      </c>
    </row>
    <row r="364" spans="1:16" ht="19.5" customHeight="1">
      <c r="A364" s="171" t="s">
        <v>622</v>
      </c>
      <c r="B364" s="175">
        <v>46044</v>
      </c>
      <c r="C364" s="171" t="s">
        <v>110</v>
      </c>
      <c r="D364" s="171" t="s">
        <v>117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customHeight="1">
      <c r="A365" s="171" t="s">
        <v>622</v>
      </c>
      <c r="B365" s="175">
        <v>46044</v>
      </c>
      <c r="C365" s="171" t="s">
        <v>110</v>
      </c>
      <c r="D365" s="171" t="s">
        <v>118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-46.77</v>
      </c>
    </row>
    <row r="366" spans="1:16" ht="19.5" customHeight="1">
      <c r="A366" s="171" t="s">
        <v>622</v>
      </c>
      <c r="B366" s="175">
        <v>46044</v>
      </c>
      <c r="C366" s="171" t="s">
        <v>115</v>
      </c>
      <c r="D366" s="171" t="s">
        <v>119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0</v>
      </c>
      <c r="J366" s="175">
        <v>46039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customHeight="1">
      <c r="A367" s="171" t="s">
        <v>623</v>
      </c>
      <c r="B367" s="175">
        <v>46044</v>
      </c>
      <c r="C367" s="171" t="s">
        <v>110</v>
      </c>
      <c r="D367" s="171" t="s">
        <v>24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0.43</v>
      </c>
      <c r="N367" s="176"/>
      <c r="O367" s="176">
        <v>52</v>
      </c>
      <c r="P367" s="179">
        <v>-147.6</v>
      </c>
    </row>
    <row r="368" spans="1:16" ht="19.5" customHeight="1">
      <c r="A368" s="171" t="s">
        <v>623</v>
      </c>
      <c r="B368" s="175">
        <v>46044</v>
      </c>
      <c r="C368" s="171" t="s">
        <v>127</v>
      </c>
      <c r="D368" s="171" t="s">
        <v>128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654.94000000000005</v>
      </c>
    </row>
    <row r="369" spans="1:16" ht="19.5" customHeight="1">
      <c r="A369" s="171" t="s">
        <v>623</v>
      </c>
      <c r="B369" s="175">
        <v>46044</v>
      </c>
      <c r="C369" s="171" t="s">
        <v>127</v>
      </c>
      <c r="D369" s="171" t="s">
        <v>129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6.55</v>
      </c>
    </row>
    <row r="370" spans="1:16" ht="19.5" customHeight="1">
      <c r="A370" s="171" t="s">
        <v>623</v>
      </c>
      <c r="B370" s="175">
        <v>46044</v>
      </c>
      <c r="C370" s="171" t="s">
        <v>127</v>
      </c>
      <c r="D370" s="171" t="s">
        <v>130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1008.51</v>
      </c>
    </row>
    <row r="371" spans="1:16" ht="19.5" customHeight="1">
      <c r="A371" s="171" t="s">
        <v>623</v>
      </c>
      <c r="B371" s="175">
        <v>46044</v>
      </c>
      <c r="C371" s="171" t="s">
        <v>131</v>
      </c>
      <c r="D371" s="171" t="s">
        <v>132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-718.1</v>
      </c>
    </row>
    <row r="372" spans="1:16" ht="19.5" customHeight="1">
      <c r="A372" s="171" t="s">
        <v>623</v>
      </c>
      <c r="B372" s="175">
        <v>46044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1670</v>
      </c>
      <c r="J372" s="175">
        <v>46042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-8.35</v>
      </c>
    </row>
    <row r="373" spans="1:16" ht="19.5" customHeight="1">
      <c r="A373" s="171" t="s">
        <v>624</v>
      </c>
      <c r="B373" s="175">
        <v>46044</v>
      </c>
      <c r="C373" s="171" t="s">
        <v>115</v>
      </c>
      <c r="D373" s="171" t="s">
        <v>135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-11.01</v>
      </c>
    </row>
    <row r="374" spans="1:16" ht="19.5" customHeight="1">
      <c r="A374" s="171" t="s">
        <v>625</v>
      </c>
      <c r="B374" s="175">
        <v>46044</v>
      </c>
      <c r="C374" s="171" t="s">
        <v>115</v>
      </c>
      <c r="D374" s="171" t="s">
        <v>135</v>
      </c>
      <c r="E374" s="171" t="s">
        <v>53</v>
      </c>
      <c r="F374" s="171" t="s">
        <v>626</v>
      </c>
      <c r="G374" s="171" t="s">
        <v>627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-35.229999999999997</v>
      </c>
    </row>
    <row r="375" spans="1:16" ht="19.5" customHeight="1">
      <c r="A375" s="171" t="s">
        <v>628</v>
      </c>
      <c r="B375" s="175">
        <v>46044</v>
      </c>
      <c r="C375" s="171" t="s">
        <v>115</v>
      </c>
      <c r="D375" s="171" t="s">
        <v>135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46044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-11.02</v>
      </c>
    </row>
    <row r="376" spans="1:16" ht="19.5" customHeight="1">
      <c r="A376" s="171" t="s">
        <v>629</v>
      </c>
      <c r="B376" s="175">
        <v>46044</v>
      </c>
      <c r="C376" s="171" t="s">
        <v>110</v>
      </c>
      <c r="D376" s="171" t="s">
        <v>24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0.43</v>
      </c>
      <c r="N376" s="176"/>
      <c r="O376" s="176">
        <v>48</v>
      </c>
      <c r="P376" s="179">
        <v>-141.87</v>
      </c>
    </row>
    <row r="377" spans="1:16" ht="19.5" customHeight="1">
      <c r="A377" s="171" t="s">
        <v>629</v>
      </c>
      <c r="B377" s="175">
        <v>46044</v>
      </c>
      <c r="C377" s="171" t="s">
        <v>127</v>
      </c>
      <c r="D377" s="171" t="s">
        <v>128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574.29</v>
      </c>
    </row>
    <row r="378" spans="1:16" ht="19.5" customHeight="1">
      <c r="A378" s="171" t="s">
        <v>629</v>
      </c>
      <c r="B378" s="175">
        <v>46044</v>
      </c>
      <c r="C378" s="171" t="s">
        <v>127</v>
      </c>
      <c r="D378" s="171" t="s">
        <v>129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5.74</v>
      </c>
    </row>
    <row r="379" spans="1:16" ht="19.5" customHeight="1">
      <c r="A379" s="171" t="s">
        <v>629</v>
      </c>
      <c r="B379" s="175">
        <v>46044</v>
      </c>
      <c r="C379" s="171" t="s">
        <v>127</v>
      </c>
      <c r="D379" s="171" t="s">
        <v>130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1089.97</v>
      </c>
    </row>
    <row r="380" spans="1:16" ht="19.5" customHeight="1">
      <c r="A380" s="171" t="s">
        <v>629</v>
      </c>
      <c r="B380" s="175">
        <v>46044</v>
      </c>
      <c r="C380" s="171" t="s">
        <v>131</v>
      </c>
      <c r="D380" s="171" t="s">
        <v>132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-718.1</v>
      </c>
    </row>
    <row r="381" spans="1:16" ht="19.5" customHeight="1">
      <c r="A381" s="171" t="s">
        <v>629</v>
      </c>
      <c r="B381" s="175">
        <v>46044</v>
      </c>
      <c r="C381" s="171" t="s">
        <v>115</v>
      </c>
      <c r="D381" s="171" t="s">
        <v>116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1670</v>
      </c>
      <c r="J381" s="175">
        <v>46038</v>
      </c>
      <c r="K381" s="171" t="s">
        <v>113</v>
      </c>
      <c r="L381" s="171" t="s">
        <v>114</v>
      </c>
      <c r="M381" s="178">
        <v>0.43</v>
      </c>
      <c r="N381" s="176"/>
      <c r="O381" s="176"/>
      <c r="P381" s="179">
        <v>-11.19</v>
      </c>
    </row>
    <row r="382" spans="1:16" ht="19.5" customHeight="1">
      <c r="A382" s="171" t="s">
        <v>630</v>
      </c>
      <c r="B382" s="175">
        <v>46044</v>
      </c>
      <c r="C382" s="171" t="s">
        <v>115</v>
      </c>
      <c r="D382" s="171" t="s">
        <v>135</v>
      </c>
      <c r="E382" s="171" t="s">
        <v>44</v>
      </c>
      <c r="F382" s="171" t="s">
        <v>213</v>
      </c>
      <c r="G382" s="171" t="s">
        <v>214</v>
      </c>
      <c r="H382" s="176">
        <v>1</v>
      </c>
      <c r="I382" s="177">
        <v>0</v>
      </c>
      <c r="J382" s="175">
        <v>46044</v>
      </c>
      <c r="K382" s="171" t="s">
        <v>125</v>
      </c>
      <c r="L382" s="171" t="s">
        <v>125</v>
      </c>
      <c r="M382" s="178">
        <v>0</v>
      </c>
      <c r="N382" s="176"/>
      <c r="O382" s="176"/>
      <c r="P382" s="179">
        <v>-14.26</v>
      </c>
    </row>
    <row r="383" spans="1:16" ht="19.5" customHeight="1">
      <c r="A383" s="171" t="s">
        <v>631</v>
      </c>
      <c r="B383" s="175">
        <v>46044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0.43</v>
      </c>
      <c r="N383" s="176"/>
      <c r="O383" s="176">
        <v>51</v>
      </c>
      <c r="P383" s="179">
        <v>-145.69</v>
      </c>
    </row>
    <row r="384" spans="1:16" ht="19.5" customHeight="1">
      <c r="A384" s="171" t="s">
        <v>631</v>
      </c>
      <c r="B384" s="175">
        <v>46044</v>
      </c>
      <c r="C384" s="171" t="s">
        <v>127</v>
      </c>
      <c r="D384" s="171" t="s">
        <v>128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561.9</v>
      </c>
    </row>
    <row r="385" spans="1:16" ht="19.5" customHeight="1">
      <c r="A385" s="171" t="s">
        <v>631</v>
      </c>
      <c r="B385" s="175">
        <v>46044</v>
      </c>
      <c r="C385" s="171" t="s">
        <v>127</v>
      </c>
      <c r="D385" s="171" t="s">
        <v>129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5.62</v>
      </c>
    </row>
    <row r="386" spans="1:16" ht="19.5" customHeight="1">
      <c r="A386" s="171" t="s">
        <v>631</v>
      </c>
      <c r="B386" s="175">
        <v>46044</v>
      </c>
      <c r="C386" s="171" t="s">
        <v>127</v>
      </c>
      <c r="D386" s="171" t="s">
        <v>130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1066.48</v>
      </c>
    </row>
    <row r="387" spans="1:16" ht="19.5" customHeight="1">
      <c r="A387" s="171" t="s">
        <v>631</v>
      </c>
      <c r="B387" s="175">
        <v>46044</v>
      </c>
      <c r="C387" s="171" t="s">
        <v>131</v>
      </c>
      <c r="D387" s="171" t="s">
        <v>132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-702.62</v>
      </c>
    </row>
    <row r="388" spans="1:16" ht="19.5" customHeight="1">
      <c r="A388" s="171" t="s">
        <v>631</v>
      </c>
      <c r="B388" s="175">
        <v>46044</v>
      </c>
      <c r="C388" s="171" t="s">
        <v>115</v>
      </c>
      <c r="D388" s="171" t="s">
        <v>116</v>
      </c>
      <c r="E388" s="171" t="s">
        <v>39</v>
      </c>
      <c r="F388" s="171" t="s">
        <v>141</v>
      </c>
      <c r="G388" s="171" t="s">
        <v>112</v>
      </c>
      <c r="H388" s="176">
        <v>1</v>
      </c>
      <c r="I388" s="177">
        <v>1634</v>
      </c>
      <c r="J388" s="175">
        <v>46040</v>
      </c>
      <c r="K388" s="171" t="s">
        <v>113</v>
      </c>
      <c r="L388" s="171" t="s">
        <v>114</v>
      </c>
      <c r="M388" s="178">
        <v>0.43</v>
      </c>
      <c r="N388" s="176"/>
      <c r="O388" s="176"/>
      <c r="P388" s="179">
        <v>-8.36</v>
      </c>
    </row>
    <row r="389" spans="1:16" ht="19.5" customHeight="1">
      <c r="A389" s="171" t="s">
        <v>632</v>
      </c>
      <c r="B389" s="175">
        <v>46044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>
        <v>53</v>
      </c>
      <c r="P389" s="179">
        <v>-46</v>
      </c>
    </row>
    <row r="390" spans="1:16" ht="19.5" customHeight="1">
      <c r="A390" s="171" t="s">
        <v>632</v>
      </c>
      <c r="B390" s="175">
        <v>46044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-11.99</v>
      </c>
    </row>
    <row r="391" spans="1:16" ht="19.5" customHeight="1">
      <c r="A391" s="171" t="s">
        <v>632</v>
      </c>
      <c r="B391" s="175">
        <v>46044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632</v>
      </c>
      <c r="B392" s="175">
        <v>46044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632</v>
      </c>
      <c r="B393" s="175">
        <v>46044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46041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631</v>
      </c>
      <c r="B394" s="175">
        <v>46044</v>
      </c>
      <c r="C394" s="171" t="s">
        <v>115</v>
      </c>
      <c r="D394" s="171" t="s">
        <v>135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0</v>
      </c>
      <c r="J394" s="175">
        <v>46040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-10.68</v>
      </c>
    </row>
    <row r="395" spans="1:16" ht="19.5" customHeight="1">
      <c r="A395" s="171" t="s">
        <v>633</v>
      </c>
      <c r="B395" s="175">
        <v>46044</v>
      </c>
      <c r="C395" s="171" t="s">
        <v>110</v>
      </c>
      <c r="D395" s="171" t="s">
        <v>24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0.43</v>
      </c>
      <c r="N395" s="176"/>
      <c r="O395" s="176">
        <v>53</v>
      </c>
      <c r="P395" s="179">
        <v>-146.97999999999999</v>
      </c>
    </row>
    <row r="396" spans="1:16" ht="19.5" customHeight="1">
      <c r="A396" s="171" t="s">
        <v>633</v>
      </c>
      <c r="B396" s="175">
        <v>46044</v>
      </c>
      <c r="C396" s="171" t="s">
        <v>127</v>
      </c>
      <c r="D396" s="171" t="s">
        <v>128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588.07000000000005</v>
      </c>
    </row>
    <row r="397" spans="1:16" ht="19.5" customHeight="1">
      <c r="A397" s="171" t="s">
        <v>633</v>
      </c>
      <c r="B397" s="175">
        <v>46044</v>
      </c>
      <c r="C397" s="171" t="s">
        <v>127</v>
      </c>
      <c r="D397" s="171" t="s">
        <v>129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5.88</v>
      </c>
    </row>
    <row r="398" spans="1:16" ht="19.5" customHeight="1">
      <c r="A398" s="171" t="s">
        <v>633</v>
      </c>
      <c r="B398" s="175">
        <v>46044</v>
      </c>
      <c r="C398" s="171" t="s">
        <v>127</v>
      </c>
      <c r="D398" s="171" t="s">
        <v>130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1040.05</v>
      </c>
    </row>
    <row r="399" spans="1:16" ht="19.5" customHeight="1">
      <c r="A399" s="171" t="s">
        <v>633</v>
      </c>
      <c r="B399" s="175">
        <v>46044</v>
      </c>
      <c r="C399" s="171" t="s">
        <v>131</v>
      </c>
      <c r="D399" s="171" t="s">
        <v>132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-702.62</v>
      </c>
    </row>
    <row r="400" spans="1:16" ht="19.5" customHeight="1">
      <c r="A400" s="171" t="s">
        <v>633</v>
      </c>
      <c r="B400" s="175">
        <v>46044</v>
      </c>
      <c r="C400" s="171" t="s">
        <v>115</v>
      </c>
      <c r="D400" s="171" t="s">
        <v>116</v>
      </c>
      <c r="E400" s="171" t="s">
        <v>39</v>
      </c>
      <c r="F400" s="171" t="s">
        <v>141</v>
      </c>
      <c r="G400" s="171" t="s">
        <v>112</v>
      </c>
      <c r="H400" s="176">
        <v>1</v>
      </c>
      <c r="I400" s="177">
        <v>1634</v>
      </c>
      <c r="J400" s="175">
        <v>46041</v>
      </c>
      <c r="K400" s="171" t="s">
        <v>113</v>
      </c>
      <c r="L400" s="171" t="s">
        <v>114</v>
      </c>
      <c r="M400" s="178">
        <v>0.43</v>
      </c>
      <c r="N400" s="176"/>
      <c r="O400" s="176"/>
      <c r="P400" s="179">
        <v>-8.4700000000000006</v>
      </c>
    </row>
    <row r="401" spans="1:16" ht="19.5" customHeight="1">
      <c r="A401" s="171" t="s">
        <v>634</v>
      </c>
      <c r="B401" s="175">
        <v>46044</v>
      </c>
      <c r="C401" s="171" t="s">
        <v>110</v>
      </c>
      <c r="D401" s="171" t="s">
        <v>24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0.43</v>
      </c>
      <c r="N401" s="176"/>
      <c r="O401" s="176">
        <v>52</v>
      </c>
      <c r="P401" s="179">
        <v>-117.45</v>
      </c>
    </row>
    <row r="402" spans="1:16" ht="19.5" customHeight="1">
      <c r="A402" s="171" t="s">
        <v>634</v>
      </c>
      <c r="B402" s="175">
        <v>46044</v>
      </c>
      <c r="C402" s="171" t="s">
        <v>127</v>
      </c>
      <c r="D402" s="171" t="s">
        <v>128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314.29000000000002</v>
      </c>
    </row>
    <row r="403" spans="1:16" ht="19.5" customHeight="1">
      <c r="A403" s="171" t="s">
        <v>634</v>
      </c>
      <c r="B403" s="175">
        <v>46044</v>
      </c>
      <c r="C403" s="171" t="s">
        <v>127</v>
      </c>
      <c r="D403" s="171" t="s">
        <v>129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3.14</v>
      </c>
    </row>
    <row r="404" spans="1:16" ht="19.5" customHeight="1">
      <c r="A404" s="171" t="s">
        <v>634</v>
      </c>
      <c r="B404" s="175">
        <v>46044</v>
      </c>
      <c r="C404" s="171" t="s">
        <v>127</v>
      </c>
      <c r="D404" s="171" t="s">
        <v>130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573.57000000000005</v>
      </c>
    </row>
    <row r="405" spans="1:16" ht="19.5" customHeight="1">
      <c r="A405" s="171" t="s">
        <v>634</v>
      </c>
      <c r="B405" s="175">
        <v>46044</v>
      </c>
      <c r="C405" s="171" t="s">
        <v>131</v>
      </c>
      <c r="D405" s="171" t="s">
        <v>132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-383.13</v>
      </c>
    </row>
    <row r="406" spans="1:16" ht="19.5" customHeight="1">
      <c r="A406" s="171" t="s">
        <v>634</v>
      </c>
      <c r="B406" s="175">
        <v>46044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891</v>
      </c>
      <c r="J406" s="175">
        <v>46043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-4.97</v>
      </c>
    </row>
    <row r="407" spans="1:16" ht="19.5" customHeight="1">
      <c r="A407" s="171" t="s">
        <v>635</v>
      </c>
      <c r="B407" s="175">
        <v>46044</v>
      </c>
      <c r="C407" s="171" t="s">
        <v>115</v>
      </c>
      <c r="D407" s="171" t="s">
        <v>135</v>
      </c>
      <c r="E407" s="171" t="s">
        <v>49</v>
      </c>
      <c r="F407" s="171" t="s">
        <v>494</v>
      </c>
      <c r="G407" s="171" t="s">
        <v>112</v>
      </c>
      <c r="H407" s="176">
        <v>1</v>
      </c>
      <c r="I407" s="177">
        <v>0</v>
      </c>
      <c r="J407" s="175">
        <v>46044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-15.21</v>
      </c>
    </row>
    <row r="408" spans="1:16" ht="19.5" customHeight="1">
      <c r="A408" s="171" t="s">
        <v>634</v>
      </c>
      <c r="B408" s="175">
        <v>46044</v>
      </c>
      <c r="C408" s="171" t="s">
        <v>115</v>
      </c>
      <c r="D408" s="171" t="s">
        <v>135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46043</v>
      </c>
      <c r="K408" s="171" t="s">
        <v>125</v>
      </c>
      <c r="L408" s="171" t="s">
        <v>125</v>
      </c>
      <c r="M408" s="178">
        <v>0</v>
      </c>
      <c r="N408" s="176"/>
      <c r="O408" s="176"/>
      <c r="P408" s="179">
        <v>-5.97</v>
      </c>
    </row>
    <row r="409" spans="1:16" ht="19.5" customHeight="1">
      <c r="A409" s="171" t="s">
        <v>636</v>
      </c>
      <c r="B409" s="175">
        <v>46044</v>
      </c>
      <c r="C409" s="171" t="s">
        <v>110</v>
      </c>
      <c r="D409" s="171" t="s">
        <v>24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0.43</v>
      </c>
      <c r="N409" s="176"/>
      <c r="O409" s="176">
        <v>52</v>
      </c>
      <c r="P409" s="179">
        <v>-146.22999999999999</v>
      </c>
    </row>
    <row r="410" spans="1:16" ht="19.5" customHeight="1">
      <c r="A410" s="171" t="s">
        <v>636</v>
      </c>
      <c r="B410" s="175">
        <v>46044</v>
      </c>
      <c r="C410" s="171" t="s">
        <v>127</v>
      </c>
      <c r="D410" s="171" t="s">
        <v>128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635.59</v>
      </c>
    </row>
    <row r="411" spans="1:16" ht="19.5" customHeight="1">
      <c r="A411" s="171" t="s">
        <v>636</v>
      </c>
      <c r="B411" s="175">
        <v>46044</v>
      </c>
      <c r="C411" s="171" t="s">
        <v>127</v>
      </c>
      <c r="D411" s="171" t="s">
        <v>129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0</v>
      </c>
    </row>
    <row r="412" spans="1:16" ht="19.5" customHeight="1">
      <c r="A412" s="171" t="s">
        <v>636</v>
      </c>
      <c r="B412" s="175">
        <v>46044</v>
      </c>
      <c r="C412" s="171" t="s">
        <v>127</v>
      </c>
      <c r="D412" s="171" t="s">
        <v>130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1034.4100000000001</v>
      </c>
    </row>
    <row r="413" spans="1:16" ht="19.5" customHeight="1">
      <c r="A413" s="171" t="s">
        <v>636</v>
      </c>
      <c r="B413" s="175">
        <v>46044</v>
      </c>
      <c r="C413" s="171" t="s">
        <v>131</v>
      </c>
      <c r="D413" s="171" t="s">
        <v>132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-718.1</v>
      </c>
    </row>
    <row r="414" spans="1:16" ht="19.5" customHeight="1">
      <c r="A414" s="171" t="s">
        <v>636</v>
      </c>
      <c r="B414" s="175">
        <v>46044</v>
      </c>
      <c r="C414" s="171" t="s">
        <v>115</v>
      </c>
      <c r="D414" s="171" t="s">
        <v>116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1670</v>
      </c>
      <c r="J414" s="175">
        <v>46042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-10.34</v>
      </c>
    </row>
    <row r="415" spans="1:16" ht="19.5" customHeight="1">
      <c r="A415" s="171" t="s">
        <v>637</v>
      </c>
      <c r="B415" s="175">
        <v>46044</v>
      </c>
      <c r="C415" s="171" t="s">
        <v>115</v>
      </c>
      <c r="D415" s="171" t="s">
        <v>135</v>
      </c>
      <c r="E415" s="171" t="s">
        <v>48</v>
      </c>
      <c r="F415" s="171" t="s">
        <v>198</v>
      </c>
      <c r="G415" s="171" t="s">
        <v>112</v>
      </c>
      <c r="H415" s="176">
        <v>1</v>
      </c>
      <c r="I415" s="177">
        <v>0</v>
      </c>
      <c r="J415" s="175">
        <v>46044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-3.41</v>
      </c>
    </row>
    <row r="416" spans="1:16" ht="19.5" customHeight="1">
      <c r="A416" s="171" t="s">
        <v>608</v>
      </c>
      <c r="B416" s="175">
        <v>46044</v>
      </c>
      <c r="C416" s="171" t="s">
        <v>115</v>
      </c>
      <c r="D416" s="171" t="s">
        <v>135</v>
      </c>
      <c r="E416" s="171" t="s">
        <v>41</v>
      </c>
      <c r="F416" s="171" t="s">
        <v>138</v>
      </c>
      <c r="G416" s="171" t="s">
        <v>112</v>
      </c>
      <c r="H416" s="176">
        <v>1</v>
      </c>
      <c r="I416" s="177">
        <v>0</v>
      </c>
      <c r="J416" s="175">
        <v>46043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1.61</v>
      </c>
    </row>
    <row r="417" spans="1:16" ht="19.5" customHeight="1">
      <c r="A417" s="171" t="s">
        <v>584</v>
      </c>
      <c r="B417" s="175">
        <v>46044</v>
      </c>
      <c r="C417" s="171" t="s">
        <v>312</v>
      </c>
      <c r="D417" s="171" t="s">
        <v>423</v>
      </c>
      <c r="E417" s="171" t="s">
        <v>70</v>
      </c>
      <c r="F417" s="171" t="s">
        <v>513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-2975.24</v>
      </c>
    </row>
    <row r="418" spans="1:16" ht="19.5" customHeight="1">
      <c r="A418" s="171" t="s">
        <v>584</v>
      </c>
      <c r="B418" s="175">
        <v>46044</v>
      </c>
      <c r="C418" s="171" t="s">
        <v>312</v>
      </c>
      <c r="D418" s="171" t="s">
        <v>129</v>
      </c>
      <c r="E418" s="171" t="s">
        <v>70</v>
      </c>
      <c r="F418" s="171" t="s">
        <v>513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-29.75</v>
      </c>
    </row>
    <row r="419" spans="1:16" ht="19.5" customHeight="1">
      <c r="A419" s="171" t="s">
        <v>584</v>
      </c>
      <c r="B419" s="175">
        <v>46044</v>
      </c>
      <c r="C419" s="171" t="s">
        <v>312</v>
      </c>
      <c r="D419" s="171" t="s">
        <v>130</v>
      </c>
      <c r="E419" s="171" t="s">
        <v>70</v>
      </c>
      <c r="F419" s="171" t="s">
        <v>513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-1501.01</v>
      </c>
    </row>
    <row r="420" spans="1:16" ht="19.5" customHeight="1">
      <c r="A420" s="171" t="s">
        <v>584</v>
      </c>
      <c r="B420" s="175">
        <v>46044</v>
      </c>
      <c r="C420" s="171" t="s">
        <v>131</v>
      </c>
      <c r="D420" s="171" t="s">
        <v>424</v>
      </c>
      <c r="E420" s="171" t="s">
        <v>70</v>
      </c>
      <c r="F420" s="171" t="s">
        <v>513</v>
      </c>
      <c r="G420" s="171" t="s">
        <v>177</v>
      </c>
      <c r="H420" s="176">
        <v>1</v>
      </c>
      <c r="I420" s="177">
        <v>-4506</v>
      </c>
      <c r="J420" s="175">
        <v>46038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1937.58</v>
      </c>
    </row>
    <row r="421" spans="1:16" ht="19.5" customHeight="1">
      <c r="A421" s="171" t="s">
        <v>638</v>
      </c>
      <c r="B421" s="175">
        <v>46044</v>
      </c>
      <c r="C421" s="171" t="s">
        <v>115</v>
      </c>
      <c r="D421" s="171" t="s">
        <v>135</v>
      </c>
      <c r="E421" s="171" t="s">
        <v>77</v>
      </c>
      <c r="F421" s="171" t="s">
        <v>194</v>
      </c>
      <c r="G421" s="171" t="s">
        <v>177</v>
      </c>
      <c r="H421" s="176">
        <v>1</v>
      </c>
      <c r="I421" s="177">
        <v>0</v>
      </c>
      <c r="J421" s="175">
        <v>46044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-4.43</v>
      </c>
    </row>
    <row r="422" spans="1:16" ht="19.5" customHeight="1">
      <c r="A422" s="171" t="s">
        <v>584</v>
      </c>
      <c r="B422" s="175">
        <v>46044</v>
      </c>
      <c r="C422" s="171" t="s">
        <v>511</v>
      </c>
      <c r="D422" s="171" t="s">
        <v>512</v>
      </c>
      <c r="E422" s="171" t="s">
        <v>70</v>
      </c>
      <c r="F422" s="171" t="s">
        <v>513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-5</v>
      </c>
    </row>
    <row r="423" spans="1:16" ht="19.5" customHeight="1">
      <c r="A423" s="171" t="s">
        <v>584</v>
      </c>
      <c r="B423" s="175">
        <v>46044</v>
      </c>
      <c r="C423" s="171" t="s">
        <v>115</v>
      </c>
      <c r="D423" s="171" t="s">
        <v>514</v>
      </c>
      <c r="E423" s="171" t="s">
        <v>70</v>
      </c>
      <c r="F423" s="171" t="s">
        <v>513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-10</v>
      </c>
    </row>
    <row r="424" spans="1:16" ht="19.5" customHeight="1">
      <c r="A424" s="171" t="s">
        <v>584</v>
      </c>
      <c r="B424" s="175">
        <v>46044</v>
      </c>
      <c r="C424" s="171" t="s">
        <v>115</v>
      </c>
      <c r="D424" s="171" t="s">
        <v>135</v>
      </c>
      <c r="E424" s="171" t="s">
        <v>70</v>
      </c>
      <c r="F424" s="171" t="s">
        <v>513</v>
      </c>
      <c r="G424" s="171" t="s">
        <v>177</v>
      </c>
      <c r="H424" s="176">
        <v>1</v>
      </c>
      <c r="I424" s="177">
        <v>0</v>
      </c>
      <c r="J424" s="175">
        <v>46038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56.53</v>
      </c>
    </row>
    <row r="425" spans="1:16" ht="19.5" customHeight="1">
      <c r="A425" s="171" t="s">
        <v>639</v>
      </c>
      <c r="B425" s="175">
        <v>46044</v>
      </c>
      <c r="C425" s="171" t="s">
        <v>110</v>
      </c>
      <c r="D425" s="171" t="s">
        <v>24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>
        <v>46</v>
      </c>
      <c r="P425" s="179">
        <v>-56.94</v>
      </c>
    </row>
    <row r="426" spans="1:16" ht="19.5" customHeight="1">
      <c r="A426" s="171" t="s">
        <v>639</v>
      </c>
      <c r="B426" s="175">
        <v>46044</v>
      </c>
      <c r="C426" s="171" t="s">
        <v>115</v>
      </c>
      <c r="D426" s="171" t="s">
        <v>116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-14.83</v>
      </c>
    </row>
    <row r="427" spans="1:16" ht="19.5" customHeight="1">
      <c r="A427" s="171" t="s">
        <v>639</v>
      </c>
      <c r="B427" s="175">
        <v>46044</v>
      </c>
      <c r="C427" s="171" t="s">
        <v>110</v>
      </c>
      <c r="D427" s="171" t="s">
        <v>117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0</v>
      </c>
    </row>
    <row r="428" spans="1:16" ht="19.5" customHeight="1">
      <c r="A428" s="171" t="s">
        <v>639</v>
      </c>
      <c r="B428" s="175">
        <v>46044</v>
      </c>
      <c r="C428" s="171" t="s">
        <v>110</v>
      </c>
      <c r="D428" s="171" t="s">
        <v>118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-56.94</v>
      </c>
    </row>
    <row r="429" spans="1:16" ht="19.5" customHeight="1">
      <c r="A429" s="171" t="s">
        <v>639</v>
      </c>
      <c r="B429" s="175">
        <v>46044</v>
      </c>
      <c r="C429" s="171" t="s">
        <v>115</v>
      </c>
      <c r="D429" s="171" t="s">
        <v>119</v>
      </c>
      <c r="E429" s="171" t="s">
        <v>77</v>
      </c>
      <c r="F429" s="171" t="s">
        <v>194</v>
      </c>
      <c r="G429" s="171" t="s">
        <v>177</v>
      </c>
      <c r="H429" s="176">
        <v>1</v>
      </c>
      <c r="I429" s="177">
        <v>0</v>
      </c>
      <c r="J429" s="175">
        <v>46035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-15</v>
      </c>
    </row>
    <row r="430" spans="1:16" ht="19.5" customHeight="1">
      <c r="A430" s="171" t="s">
        <v>640</v>
      </c>
      <c r="B430" s="175">
        <v>46044</v>
      </c>
      <c r="C430" s="171" t="s">
        <v>110</v>
      </c>
      <c r="D430" s="171" t="s">
        <v>24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>
        <v>51</v>
      </c>
      <c r="P430" s="179">
        <v>-46.77</v>
      </c>
    </row>
    <row r="431" spans="1:16" ht="19.5" customHeight="1">
      <c r="A431" s="171" t="s">
        <v>640</v>
      </c>
      <c r="B431" s="175">
        <v>46044</v>
      </c>
      <c r="C431" s="171" t="s">
        <v>115</v>
      </c>
      <c r="D431" s="171" t="s">
        <v>116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-10.76</v>
      </c>
    </row>
    <row r="432" spans="1:16" ht="19.5" customHeight="1">
      <c r="A432" s="171" t="s">
        <v>640</v>
      </c>
      <c r="B432" s="175">
        <v>46044</v>
      </c>
      <c r="C432" s="171" t="s">
        <v>110</v>
      </c>
      <c r="D432" s="171" t="s">
        <v>117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640</v>
      </c>
      <c r="B433" s="175">
        <v>46044</v>
      </c>
      <c r="C433" s="171" t="s">
        <v>110</v>
      </c>
      <c r="D433" s="171" t="s">
        <v>118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-46.77</v>
      </c>
    </row>
    <row r="434" spans="1:16" ht="19.5" customHeight="1">
      <c r="A434" s="171" t="s">
        <v>640</v>
      </c>
      <c r="B434" s="175">
        <v>46044</v>
      </c>
      <c r="C434" s="171" t="s">
        <v>115</v>
      </c>
      <c r="D434" s="171" t="s">
        <v>119</v>
      </c>
      <c r="E434" s="171" t="s">
        <v>42</v>
      </c>
      <c r="F434" s="171" t="s">
        <v>248</v>
      </c>
      <c r="G434" s="171" t="s">
        <v>112</v>
      </c>
      <c r="H434" s="176">
        <v>1</v>
      </c>
      <c r="I434" s="177">
        <v>0</v>
      </c>
      <c r="J434" s="175">
        <v>46040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-15</v>
      </c>
    </row>
    <row r="435" spans="1:16" ht="19.5" customHeight="1">
      <c r="A435" s="171" t="s">
        <v>641</v>
      </c>
      <c r="B435" s="175">
        <v>46044</v>
      </c>
      <c r="C435" s="171" t="s">
        <v>110</v>
      </c>
      <c r="D435" s="171" t="s">
        <v>24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>
        <v>52</v>
      </c>
      <c r="P435" s="179">
        <v>-46</v>
      </c>
    </row>
    <row r="436" spans="1:16" ht="19.5" customHeight="1">
      <c r="A436" s="171" t="s">
        <v>641</v>
      </c>
      <c r="B436" s="175">
        <v>46044</v>
      </c>
      <c r="C436" s="171" t="s">
        <v>110</v>
      </c>
      <c r="D436" s="171" t="s">
        <v>117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641</v>
      </c>
      <c r="B437" s="175">
        <v>46044</v>
      </c>
      <c r="C437" s="171" t="s">
        <v>110</v>
      </c>
      <c r="D437" s="171" t="s">
        <v>118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-46</v>
      </c>
    </row>
    <row r="438" spans="1:16" ht="19.5" customHeight="1">
      <c r="A438" s="171" t="s">
        <v>642</v>
      </c>
      <c r="B438" s="175">
        <v>46044</v>
      </c>
      <c r="C438" s="171" t="s">
        <v>110</v>
      </c>
      <c r="D438" s="171" t="s">
        <v>24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>
        <v>53</v>
      </c>
      <c r="P438" s="179">
        <v>-46.77</v>
      </c>
    </row>
    <row r="439" spans="1:16" ht="19.5" customHeight="1">
      <c r="A439" s="171" t="s">
        <v>642</v>
      </c>
      <c r="B439" s="175">
        <v>46044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-13.28</v>
      </c>
    </row>
    <row r="440" spans="1:16" ht="19.5" customHeight="1">
      <c r="A440" s="171" t="s">
        <v>642</v>
      </c>
      <c r="B440" s="175">
        <v>46044</v>
      </c>
      <c r="C440" s="171" t="s">
        <v>110</v>
      </c>
      <c r="D440" s="171" t="s">
        <v>117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0</v>
      </c>
    </row>
    <row r="441" spans="1:16" ht="19.5" customHeight="1">
      <c r="A441" s="171" t="s">
        <v>642</v>
      </c>
      <c r="B441" s="175">
        <v>46044</v>
      </c>
      <c r="C441" s="171" t="s">
        <v>110</v>
      </c>
      <c r="D441" s="171" t="s">
        <v>118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-46.77</v>
      </c>
    </row>
    <row r="442" spans="1:16" ht="19.5" customHeight="1">
      <c r="A442" s="171" t="s">
        <v>642</v>
      </c>
      <c r="B442" s="175">
        <v>46044</v>
      </c>
      <c r="C442" s="171" t="s">
        <v>115</v>
      </c>
      <c r="D442" s="171" t="s">
        <v>119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46041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-15</v>
      </c>
    </row>
    <row r="443" spans="1:16" ht="19.5" customHeight="1">
      <c r="A443" s="171" t="s">
        <v>569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-274.26</v>
      </c>
    </row>
    <row r="444" spans="1:16" ht="19.5" customHeight="1">
      <c r="A444" s="171" t="s">
        <v>180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-423.73</v>
      </c>
    </row>
    <row r="445" spans="1:16" ht="19.5" customHeight="1">
      <c r="A445" s="171" t="s">
        <v>179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-372.87</v>
      </c>
    </row>
    <row r="446" spans="1:16" ht="19.5" customHeight="1">
      <c r="A446" s="171" t="s">
        <v>153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-392.78</v>
      </c>
    </row>
    <row r="447" spans="1:16" ht="19.5" customHeight="1">
      <c r="A447" s="171" t="s">
        <v>150</v>
      </c>
      <c r="B447" s="175">
        <v>46044</v>
      </c>
      <c r="C447" s="171" t="s">
        <v>151</v>
      </c>
      <c r="D447" s="171" t="s">
        <v>152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-1265.46</v>
      </c>
    </row>
    <row r="448" spans="1:16" ht="19.5" customHeight="1">
      <c r="A448" s="171" t="s">
        <v>155</v>
      </c>
      <c r="B448" s="175">
        <v>46044</v>
      </c>
      <c r="C448" s="171" t="s">
        <v>151</v>
      </c>
      <c r="D448" s="171" t="s">
        <v>156</v>
      </c>
      <c r="E448" s="171" t="s">
        <v>125</v>
      </c>
      <c r="F448" s="171" t="s">
        <v>125</v>
      </c>
      <c r="G448" s="171" t="s">
        <v>125</v>
      </c>
      <c r="H448" s="176">
        <v>0</v>
      </c>
      <c r="I448" s="177">
        <v>0</v>
      </c>
      <c r="J448" s="175">
        <v>46044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-660.93</v>
      </c>
    </row>
    <row r="449" spans="1:16" ht="19.5" customHeight="1">
      <c r="A449" s="171" t="s">
        <v>643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-14.51</v>
      </c>
    </row>
    <row r="450" spans="1:16" ht="19.5" customHeight="1">
      <c r="A450" s="171" t="s">
        <v>644</v>
      </c>
      <c r="B450" s="175">
        <v>46045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46045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-7.49</v>
      </c>
    </row>
    <row r="451" spans="1:16" ht="19.5" customHeight="1">
      <c r="A451" s="171" t="s">
        <v>645</v>
      </c>
      <c r="B451" s="175">
        <v>46045</v>
      </c>
      <c r="C451" s="171" t="s">
        <v>110</v>
      </c>
      <c r="D451" s="171" t="s">
        <v>24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>
        <v>53</v>
      </c>
      <c r="P451" s="179">
        <v>-46.77</v>
      </c>
    </row>
    <row r="452" spans="1:16" ht="19.5" customHeight="1">
      <c r="A452" s="171" t="s">
        <v>645</v>
      </c>
      <c r="B452" s="175">
        <v>46045</v>
      </c>
      <c r="C452" s="171" t="s">
        <v>115</v>
      </c>
      <c r="D452" s="171" t="s">
        <v>116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-4.96</v>
      </c>
    </row>
    <row r="453" spans="1:16" ht="19.5" customHeight="1">
      <c r="A453" s="171" t="s">
        <v>645</v>
      </c>
      <c r="B453" s="175">
        <v>46045</v>
      </c>
      <c r="C453" s="171" t="s">
        <v>110</v>
      </c>
      <c r="D453" s="171" t="s">
        <v>117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0</v>
      </c>
    </row>
    <row r="454" spans="1:16" ht="19.5" customHeight="1">
      <c r="A454" s="171" t="s">
        <v>645</v>
      </c>
      <c r="B454" s="175">
        <v>46045</v>
      </c>
      <c r="C454" s="171" t="s">
        <v>110</v>
      </c>
      <c r="D454" s="171" t="s">
        <v>118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-46.77</v>
      </c>
    </row>
    <row r="455" spans="1:16" ht="19.5" customHeight="1">
      <c r="A455" s="171" t="s">
        <v>645</v>
      </c>
      <c r="B455" s="175">
        <v>46045</v>
      </c>
      <c r="C455" s="171" t="s">
        <v>115</v>
      </c>
      <c r="D455" s="171" t="s">
        <v>119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46041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-15</v>
      </c>
    </row>
    <row r="456" spans="1:16" ht="19.5" customHeight="1">
      <c r="A456" s="171" t="s">
        <v>646</v>
      </c>
      <c r="B456" s="175">
        <v>46045</v>
      </c>
      <c r="C456" s="171" t="s">
        <v>115</v>
      </c>
      <c r="D456" s="171" t="s">
        <v>135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0</v>
      </c>
      <c r="J456" s="175">
        <v>46045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-29.26</v>
      </c>
    </row>
    <row r="457" spans="1:16" ht="19.5" customHeight="1">
      <c r="A457" s="171" t="s">
        <v>566</v>
      </c>
      <c r="B457" s="175">
        <v>46045</v>
      </c>
      <c r="C457" s="171" t="s">
        <v>115</v>
      </c>
      <c r="D457" s="171" t="s">
        <v>135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46041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4.34</v>
      </c>
    </row>
    <row r="458" spans="1:16" ht="19.5" customHeight="1">
      <c r="A458" s="171" t="s">
        <v>647</v>
      </c>
      <c r="B458" s="175">
        <v>46045</v>
      </c>
      <c r="C458" s="171" t="s">
        <v>110</v>
      </c>
      <c r="D458" s="171" t="s">
        <v>24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>
        <v>46</v>
      </c>
      <c r="P458" s="179">
        <v>-56.94</v>
      </c>
    </row>
    <row r="459" spans="1:16" ht="19.5" customHeight="1">
      <c r="A459" s="171" t="s">
        <v>647</v>
      </c>
      <c r="B459" s="175">
        <v>46045</v>
      </c>
      <c r="C459" s="171" t="s">
        <v>115</v>
      </c>
      <c r="D459" s="171" t="s">
        <v>116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-14.84</v>
      </c>
    </row>
    <row r="460" spans="1:16" ht="19.5" customHeight="1">
      <c r="A460" s="171" t="s">
        <v>647</v>
      </c>
      <c r="B460" s="175">
        <v>46045</v>
      </c>
      <c r="C460" s="171" t="s">
        <v>110</v>
      </c>
      <c r="D460" s="171" t="s">
        <v>117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0</v>
      </c>
    </row>
    <row r="461" spans="1:16" ht="19.5" customHeight="1">
      <c r="A461" s="171" t="s">
        <v>647</v>
      </c>
      <c r="B461" s="175">
        <v>46045</v>
      </c>
      <c r="C461" s="171" t="s">
        <v>110</v>
      </c>
      <c r="D461" s="171" t="s">
        <v>118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-56.94</v>
      </c>
    </row>
    <row r="462" spans="1:16" ht="19.5" customHeight="1">
      <c r="A462" s="171" t="s">
        <v>647</v>
      </c>
      <c r="B462" s="175">
        <v>46045</v>
      </c>
      <c r="C462" s="171" t="s">
        <v>115</v>
      </c>
      <c r="D462" s="171" t="s">
        <v>119</v>
      </c>
      <c r="E462" s="171" t="s">
        <v>78</v>
      </c>
      <c r="F462" s="171" t="s">
        <v>176</v>
      </c>
      <c r="G462" s="171" t="s">
        <v>177</v>
      </c>
      <c r="H462" s="176">
        <v>1</v>
      </c>
      <c r="I462" s="177">
        <v>0</v>
      </c>
      <c r="J462" s="175">
        <v>46035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</v>
      </c>
    </row>
    <row r="463" spans="1:16" ht="19.5" customHeight="1">
      <c r="A463" s="171" t="s">
        <v>648</v>
      </c>
      <c r="B463" s="175">
        <v>46045</v>
      </c>
      <c r="C463" s="171" t="s">
        <v>110</v>
      </c>
      <c r="D463" s="171" t="s">
        <v>24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0.43</v>
      </c>
      <c r="N463" s="176"/>
      <c r="O463" s="176">
        <v>52</v>
      </c>
      <c r="P463" s="179">
        <v>-146.22999999999999</v>
      </c>
    </row>
    <row r="464" spans="1:16" ht="19.5" customHeight="1">
      <c r="A464" s="171" t="s">
        <v>648</v>
      </c>
      <c r="B464" s="175">
        <v>46045</v>
      </c>
      <c r="C464" s="171" t="s">
        <v>127</v>
      </c>
      <c r="D464" s="171" t="s">
        <v>128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656.19</v>
      </c>
    </row>
    <row r="465" spans="1:16" ht="19.5" customHeight="1">
      <c r="A465" s="171" t="s">
        <v>648</v>
      </c>
      <c r="B465" s="175">
        <v>46045</v>
      </c>
      <c r="C465" s="171" t="s">
        <v>127</v>
      </c>
      <c r="D465" s="171" t="s">
        <v>129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6.56</v>
      </c>
    </row>
    <row r="466" spans="1:16" ht="19.5" customHeight="1">
      <c r="A466" s="171" t="s">
        <v>648</v>
      </c>
      <c r="B466" s="175">
        <v>46045</v>
      </c>
      <c r="C466" s="171" t="s">
        <v>127</v>
      </c>
      <c r="D466" s="171" t="s">
        <v>130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1007.25</v>
      </c>
    </row>
    <row r="467" spans="1:16" ht="19.5" customHeight="1">
      <c r="A467" s="171" t="s">
        <v>648</v>
      </c>
      <c r="B467" s="175">
        <v>46045</v>
      </c>
      <c r="C467" s="171" t="s">
        <v>131</v>
      </c>
      <c r="D467" s="171" t="s">
        <v>132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-718.1</v>
      </c>
    </row>
    <row r="468" spans="1:16" ht="19.5" customHeight="1">
      <c r="A468" s="171" t="s">
        <v>648</v>
      </c>
      <c r="B468" s="175">
        <v>46045</v>
      </c>
      <c r="C468" s="171" t="s">
        <v>115</v>
      </c>
      <c r="D468" s="171" t="s">
        <v>116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46042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-10.35</v>
      </c>
    </row>
    <row r="469" spans="1:16" ht="19.5" customHeight="1">
      <c r="A469" s="171" t="s">
        <v>649</v>
      </c>
      <c r="B469" s="175">
        <v>46045</v>
      </c>
      <c r="C469" s="171" t="s">
        <v>115</v>
      </c>
      <c r="D469" s="171" t="s">
        <v>135</v>
      </c>
      <c r="E469" s="171" t="s">
        <v>49</v>
      </c>
      <c r="F469" s="171" t="s">
        <v>494</v>
      </c>
      <c r="G469" s="171" t="s">
        <v>112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-15.36</v>
      </c>
    </row>
    <row r="470" spans="1:16" ht="19.5" customHeight="1">
      <c r="A470" s="171" t="s">
        <v>650</v>
      </c>
      <c r="B470" s="175">
        <v>46045</v>
      </c>
      <c r="C470" s="171" t="s">
        <v>115</v>
      </c>
      <c r="D470" s="171" t="s">
        <v>135</v>
      </c>
      <c r="E470" s="171" t="s">
        <v>44</v>
      </c>
      <c r="F470" s="171" t="s">
        <v>213</v>
      </c>
      <c r="G470" s="171" t="s">
        <v>214</v>
      </c>
      <c r="H470" s="176">
        <v>1</v>
      </c>
      <c r="I470" s="177">
        <v>0</v>
      </c>
      <c r="J470" s="175">
        <v>46045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-13.28</v>
      </c>
    </row>
    <row r="471" spans="1:16" ht="19.5" customHeight="1">
      <c r="A471" s="171" t="s">
        <v>651</v>
      </c>
      <c r="B471" s="175">
        <v>46045</v>
      </c>
      <c r="C471" s="171" t="s">
        <v>110</v>
      </c>
      <c r="D471" s="171" t="s">
        <v>24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0.43</v>
      </c>
      <c r="N471" s="176"/>
      <c r="O471" s="176">
        <v>52</v>
      </c>
      <c r="P471" s="179">
        <v>-117.45</v>
      </c>
    </row>
    <row r="472" spans="1:16" ht="19.5" customHeight="1">
      <c r="A472" s="171" t="s">
        <v>651</v>
      </c>
      <c r="B472" s="175">
        <v>46045</v>
      </c>
      <c r="C472" s="171" t="s">
        <v>127</v>
      </c>
      <c r="D472" s="171" t="s">
        <v>128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309.52</v>
      </c>
    </row>
    <row r="473" spans="1:16" ht="19.5" customHeight="1">
      <c r="A473" s="171" t="s">
        <v>651</v>
      </c>
      <c r="B473" s="175">
        <v>46045</v>
      </c>
      <c r="C473" s="171" t="s">
        <v>127</v>
      </c>
      <c r="D473" s="171" t="s">
        <v>129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3.1</v>
      </c>
    </row>
    <row r="474" spans="1:16" ht="19.5" customHeight="1">
      <c r="A474" s="171" t="s">
        <v>651</v>
      </c>
      <c r="B474" s="175">
        <v>46045</v>
      </c>
      <c r="C474" s="171" t="s">
        <v>127</v>
      </c>
      <c r="D474" s="171" t="s">
        <v>130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578.38</v>
      </c>
    </row>
    <row r="475" spans="1:16" ht="19.5" customHeight="1">
      <c r="A475" s="171" t="s">
        <v>651</v>
      </c>
      <c r="B475" s="175">
        <v>46045</v>
      </c>
      <c r="C475" s="171" t="s">
        <v>131</v>
      </c>
      <c r="D475" s="171" t="s">
        <v>132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-383.13</v>
      </c>
    </row>
    <row r="476" spans="1:16" ht="19.5" customHeight="1">
      <c r="A476" s="171" t="s">
        <v>651</v>
      </c>
      <c r="B476" s="175">
        <v>46045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891</v>
      </c>
      <c r="J476" s="175">
        <v>46043</v>
      </c>
      <c r="K476" s="171" t="s">
        <v>113</v>
      </c>
      <c r="L476" s="171" t="s">
        <v>114</v>
      </c>
      <c r="M476" s="178">
        <v>0.43</v>
      </c>
      <c r="N476" s="176"/>
      <c r="O476" s="176"/>
      <c r="P476" s="179">
        <v>-3.53</v>
      </c>
    </row>
    <row r="477" spans="1:16" ht="19.5" customHeight="1">
      <c r="A477" s="171" t="s">
        <v>652</v>
      </c>
      <c r="B477" s="175">
        <v>46045</v>
      </c>
      <c r="C477" s="171" t="s">
        <v>110</v>
      </c>
      <c r="D477" s="171" t="s">
        <v>24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0.43</v>
      </c>
      <c r="N477" s="176"/>
      <c r="O477" s="176">
        <v>48</v>
      </c>
      <c r="P477" s="179">
        <v>-141.87</v>
      </c>
    </row>
    <row r="478" spans="1:16" ht="19.5" customHeight="1">
      <c r="A478" s="171" t="s">
        <v>652</v>
      </c>
      <c r="B478" s="175">
        <v>46045</v>
      </c>
      <c r="C478" s="171" t="s">
        <v>127</v>
      </c>
      <c r="D478" s="171" t="s">
        <v>128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645.1</v>
      </c>
    </row>
    <row r="479" spans="1:16" ht="19.5" customHeight="1">
      <c r="A479" s="171" t="s">
        <v>652</v>
      </c>
      <c r="B479" s="175">
        <v>46045</v>
      </c>
      <c r="C479" s="171" t="s">
        <v>127</v>
      </c>
      <c r="D479" s="171" t="s">
        <v>129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0</v>
      </c>
    </row>
    <row r="480" spans="1:16" ht="19.5" customHeight="1">
      <c r="A480" s="171" t="s">
        <v>652</v>
      </c>
      <c r="B480" s="175">
        <v>46045</v>
      </c>
      <c r="C480" s="171" t="s">
        <v>127</v>
      </c>
      <c r="D480" s="171" t="s">
        <v>130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1024.9000000000001</v>
      </c>
    </row>
    <row r="481" spans="1:16" ht="19.5" customHeight="1">
      <c r="A481" s="171" t="s">
        <v>652</v>
      </c>
      <c r="B481" s="175">
        <v>46045</v>
      </c>
      <c r="C481" s="171" t="s">
        <v>131</v>
      </c>
      <c r="D481" s="171" t="s">
        <v>132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-718.1</v>
      </c>
    </row>
    <row r="482" spans="1:16" ht="19.5" customHeight="1">
      <c r="A482" s="171" t="s">
        <v>652</v>
      </c>
      <c r="B482" s="175">
        <v>46045</v>
      </c>
      <c r="C482" s="171" t="s">
        <v>115</v>
      </c>
      <c r="D482" s="171" t="s">
        <v>116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-16.16</v>
      </c>
    </row>
    <row r="483" spans="1:16" ht="19.5" customHeight="1">
      <c r="A483" s="171" t="s">
        <v>651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46043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-5.88</v>
      </c>
    </row>
    <row r="484" spans="1:16" ht="19.5" customHeight="1">
      <c r="A484" s="171" t="s">
        <v>652</v>
      </c>
      <c r="B484" s="175">
        <v>46045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-5.61</v>
      </c>
    </row>
    <row r="485" spans="1:16" ht="19.5" customHeight="1">
      <c r="A485" s="171" t="s">
        <v>653</v>
      </c>
      <c r="B485" s="175">
        <v>46045</v>
      </c>
      <c r="C485" s="171" t="s">
        <v>110</v>
      </c>
      <c r="D485" s="171" t="s">
        <v>24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0.43</v>
      </c>
      <c r="N485" s="176"/>
      <c r="O485" s="176">
        <v>51</v>
      </c>
      <c r="P485" s="179">
        <v>-290.97000000000003</v>
      </c>
    </row>
    <row r="486" spans="1:16" ht="19.5" customHeight="1">
      <c r="A486" s="171" t="s">
        <v>653</v>
      </c>
      <c r="B486" s="175">
        <v>46045</v>
      </c>
      <c r="C486" s="171" t="s">
        <v>127</v>
      </c>
      <c r="D486" s="171" t="s">
        <v>128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2126.67</v>
      </c>
    </row>
    <row r="487" spans="1:16" ht="19.5" customHeight="1">
      <c r="A487" s="171" t="s">
        <v>653</v>
      </c>
      <c r="B487" s="175">
        <v>46045</v>
      </c>
      <c r="C487" s="171" t="s">
        <v>127</v>
      </c>
      <c r="D487" s="171" t="s">
        <v>129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21.27</v>
      </c>
    </row>
    <row r="488" spans="1:16" ht="19.5" customHeight="1">
      <c r="A488" s="171" t="s">
        <v>653</v>
      </c>
      <c r="B488" s="175">
        <v>46045</v>
      </c>
      <c r="C488" s="171" t="s">
        <v>127</v>
      </c>
      <c r="D488" s="171" t="s">
        <v>130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2792.06</v>
      </c>
    </row>
    <row r="489" spans="1:16" ht="19.5" customHeight="1">
      <c r="A489" s="171" t="s">
        <v>653</v>
      </c>
      <c r="B489" s="175">
        <v>46045</v>
      </c>
      <c r="C489" s="171" t="s">
        <v>131</v>
      </c>
      <c r="D489" s="171" t="s">
        <v>132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-2124.1999999999998</v>
      </c>
    </row>
    <row r="490" spans="1:16" ht="19.5" customHeight="1">
      <c r="A490" s="171" t="s">
        <v>653</v>
      </c>
      <c r="B490" s="175">
        <v>46045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4940</v>
      </c>
      <c r="J490" s="175">
        <v>46040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-17.350000000000001</v>
      </c>
    </row>
    <row r="491" spans="1:16" ht="19.5" customHeight="1">
      <c r="A491" s="171" t="s">
        <v>654</v>
      </c>
      <c r="B491" s="175">
        <v>46045</v>
      </c>
      <c r="C491" s="171" t="s">
        <v>115</v>
      </c>
      <c r="D491" s="171" t="s">
        <v>135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46045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-2.02</v>
      </c>
    </row>
    <row r="492" spans="1:16" ht="19.5" customHeight="1">
      <c r="A492" s="171" t="s">
        <v>653</v>
      </c>
      <c r="B492" s="175">
        <v>46045</v>
      </c>
      <c r="C492" s="171" t="s">
        <v>115</v>
      </c>
      <c r="D492" s="171" t="s">
        <v>135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46040</v>
      </c>
      <c r="K492" s="171" t="s">
        <v>125</v>
      </c>
      <c r="L492" s="171" t="s">
        <v>125</v>
      </c>
      <c r="M492" s="178">
        <v>0</v>
      </c>
      <c r="N492" s="176"/>
      <c r="O492" s="176"/>
      <c r="P492" s="179">
        <v>-40.409999999999997</v>
      </c>
    </row>
    <row r="493" spans="1:16" ht="19.5" customHeight="1">
      <c r="A493" s="171" t="s">
        <v>655</v>
      </c>
      <c r="B493" s="175">
        <v>46045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>
        <v>51</v>
      </c>
      <c r="P493" s="179">
        <v>-46.77</v>
      </c>
    </row>
    <row r="494" spans="1:16" ht="19.5" customHeight="1">
      <c r="A494" s="171" t="s">
        <v>655</v>
      </c>
      <c r="B494" s="175">
        <v>46045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-12.03</v>
      </c>
    </row>
    <row r="495" spans="1:16" ht="19.5" customHeight="1">
      <c r="A495" s="171" t="s">
        <v>655</v>
      </c>
      <c r="B495" s="175">
        <v>46045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customHeight="1">
      <c r="A496" s="171" t="s">
        <v>655</v>
      </c>
      <c r="B496" s="175">
        <v>46045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customHeight="1">
      <c r="A497" s="171" t="s">
        <v>655</v>
      </c>
      <c r="B497" s="175">
        <v>46045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customHeight="1">
      <c r="A498" s="171" t="s">
        <v>656</v>
      </c>
      <c r="B498" s="175">
        <v>46045</v>
      </c>
      <c r="C498" s="171" t="s">
        <v>110</v>
      </c>
      <c r="D498" s="171" t="s">
        <v>24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0.43</v>
      </c>
      <c r="N498" s="176"/>
      <c r="O498" s="176">
        <v>53</v>
      </c>
      <c r="P498" s="179">
        <v>-148.38</v>
      </c>
    </row>
    <row r="499" spans="1:16" ht="19.5" customHeight="1">
      <c r="A499" s="171" t="s">
        <v>656</v>
      </c>
      <c r="B499" s="175">
        <v>46045</v>
      </c>
      <c r="C499" s="171" t="s">
        <v>127</v>
      </c>
      <c r="D499" s="171" t="s">
        <v>128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616.19000000000005</v>
      </c>
    </row>
    <row r="500" spans="1:16" ht="19.5" customHeight="1">
      <c r="A500" s="171" t="s">
        <v>656</v>
      </c>
      <c r="B500" s="175">
        <v>46045</v>
      </c>
      <c r="C500" s="171" t="s">
        <v>127</v>
      </c>
      <c r="D500" s="171" t="s">
        <v>129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6.16</v>
      </c>
    </row>
    <row r="501" spans="1:16" ht="19.5" customHeight="1">
      <c r="A501" s="171" t="s">
        <v>656</v>
      </c>
      <c r="B501" s="175">
        <v>46045</v>
      </c>
      <c r="C501" s="171" t="s">
        <v>127</v>
      </c>
      <c r="D501" s="171" t="s">
        <v>130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1047.6500000000001</v>
      </c>
    </row>
    <row r="502" spans="1:16" ht="19.5" customHeight="1">
      <c r="A502" s="171" t="s">
        <v>656</v>
      </c>
      <c r="B502" s="175">
        <v>46045</v>
      </c>
      <c r="C502" s="171" t="s">
        <v>131</v>
      </c>
      <c r="D502" s="171" t="s">
        <v>132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-718.1</v>
      </c>
    </row>
    <row r="503" spans="1:16" ht="19.5" customHeight="1">
      <c r="A503" s="171" t="s">
        <v>656</v>
      </c>
      <c r="B503" s="175">
        <v>46045</v>
      </c>
      <c r="C503" s="171" t="s">
        <v>115</v>
      </c>
      <c r="D503" s="171" t="s">
        <v>116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1670</v>
      </c>
      <c r="J503" s="175">
        <v>46041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-15.34</v>
      </c>
    </row>
    <row r="504" spans="1:16" ht="19.5" customHeight="1">
      <c r="A504" s="171" t="s">
        <v>657</v>
      </c>
      <c r="B504" s="175">
        <v>46045</v>
      </c>
      <c r="C504" s="171" t="s">
        <v>511</v>
      </c>
      <c r="D504" s="171" t="s">
        <v>512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-5</v>
      </c>
    </row>
    <row r="505" spans="1:16" ht="19.5" customHeight="1">
      <c r="A505" s="171" t="s">
        <v>657</v>
      </c>
      <c r="B505" s="175">
        <v>46045</v>
      </c>
      <c r="C505" s="171" t="s">
        <v>115</v>
      </c>
      <c r="D505" s="171" t="s">
        <v>514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0</v>
      </c>
      <c r="J505" s="175">
        <v>46040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-10</v>
      </c>
    </row>
    <row r="506" spans="1:16" ht="19.5" customHeight="1">
      <c r="A506" s="171" t="s">
        <v>658</v>
      </c>
      <c r="B506" s="175">
        <v>46045</v>
      </c>
      <c r="C506" s="171" t="s">
        <v>110</v>
      </c>
      <c r="D506" s="171" t="s">
        <v>24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0.43</v>
      </c>
      <c r="N506" s="176"/>
      <c r="O506" s="176">
        <v>54</v>
      </c>
      <c r="P506" s="179">
        <v>-149.30000000000001</v>
      </c>
    </row>
    <row r="507" spans="1:16" ht="19.5" customHeight="1">
      <c r="A507" s="171" t="s">
        <v>658</v>
      </c>
      <c r="B507" s="175">
        <v>46045</v>
      </c>
      <c r="C507" s="171" t="s">
        <v>127</v>
      </c>
      <c r="D507" s="171" t="s">
        <v>128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928.57</v>
      </c>
    </row>
    <row r="508" spans="1:16" ht="19.5" customHeight="1">
      <c r="A508" s="171" t="s">
        <v>658</v>
      </c>
      <c r="B508" s="175">
        <v>46045</v>
      </c>
      <c r="C508" s="171" t="s">
        <v>127</v>
      </c>
      <c r="D508" s="171" t="s">
        <v>129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9.2899999999999991</v>
      </c>
    </row>
    <row r="509" spans="1:16" ht="19.5" customHeight="1">
      <c r="A509" s="171" t="s">
        <v>658</v>
      </c>
      <c r="B509" s="175">
        <v>46045</v>
      </c>
      <c r="C509" s="171" t="s">
        <v>127</v>
      </c>
      <c r="D509" s="171" t="s">
        <v>130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742.14</v>
      </c>
    </row>
    <row r="510" spans="1:16" ht="19.5" customHeight="1">
      <c r="A510" s="171" t="s">
        <v>658</v>
      </c>
      <c r="B510" s="175">
        <v>46045</v>
      </c>
      <c r="C510" s="171" t="s">
        <v>131</v>
      </c>
      <c r="D510" s="171" t="s">
        <v>132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-722.4</v>
      </c>
    </row>
    <row r="511" spans="1:16" ht="19.5" customHeight="1">
      <c r="A511" s="171" t="s">
        <v>658</v>
      </c>
      <c r="B511" s="175">
        <v>46045</v>
      </c>
      <c r="C511" s="171" t="s">
        <v>115</v>
      </c>
      <c r="D511" s="171" t="s">
        <v>116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1680</v>
      </c>
      <c r="J511" s="175">
        <v>46044</v>
      </c>
      <c r="K511" s="171" t="s">
        <v>113</v>
      </c>
      <c r="L511" s="171" t="s">
        <v>114</v>
      </c>
      <c r="M511" s="178">
        <v>0.43</v>
      </c>
      <c r="N511" s="176"/>
      <c r="O511" s="176"/>
      <c r="P511" s="179">
        <v>-15.93</v>
      </c>
    </row>
    <row r="512" spans="1:16" ht="19.5" customHeight="1">
      <c r="A512" s="171" t="s">
        <v>658</v>
      </c>
      <c r="B512" s="175">
        <v>46045</v>
      </c>
      <c r="C512" s="171" t="s">
        <v>115</v>
      </c>
      <c r="D512" s="171" t="s">
        <v>135</v>
      </c>
      <c r="E512" s="171" t="s">
        <v>42</v>
      </c>
      <c r="F512" s="171" t="s">
        <v>248</v>
      </c>
      <c r="G512" s="171" t="s">
        <v>112</v>
      </c>
      <c r="H512" s="176">
        <v>1</v>
      </c>
      <c r="I512" s="177">
        <v>0</v>
      </c>
      <c r="J512" s="175">
        <v>46044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-17.64</v>
      </c>
    </row>
    <row r="513" spans="1:16" ht="19.5" customHeight="1">
      <c r="A513" s="171" t="s">
        <v>659</v>
      </c>
      <c r="B513" s="175">
        <v>46045</v>
      </c>
      <c r="C513" s="171" t="s">
        <v>110</v>
      </c>
      <c r="D513" s="171" t="s">
        <v>24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0.43</v>
      </c>
      <c r="N513" s="176"/>
      <c r="O513" s="176">
        <v>54</v>
      </c>
      <c r="P513" s="179">
        <v>-154.59</v>
      </c>
    </row>
    <row r="514" spans="1:16" ht="19.5" customHeight="1">
      <c r="A514" s="171" t="s">
        <v>659</v>
      </c>
      <c r="B514" s="175">
        <v>46045</v>
      </c>
      <c r="C514" s="171" t="s">
        <v>127</v>
      </c>
      <c r="D514" s="171" t="s">
        <v>128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750.48</v>
      </c>
    </row>
    <row r="515" spans="1:16" ht="19.5" customHeight="1">
      <c r="A515" s="171" t="s">
        <v>659</v>
      </c>
      <c r="B515" s="175">
        <v>46045</v>
      </c>
      <c r="C515" s="171" t="s">
        <v>127</v>
      </c>
      <c r="D515" s="171" t="s">
        <v>129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7.5</v>
      </c>
    </row>
    <row r="516" spans="1:16" ht="19.5" customHeight="1">
      <c r="A516" s="171" t="s">
        <v>659</v>
      </c>
      <c r="B516" s="175">
        <v>46045</v>
      </c>
      <c r="C516" s="171" t="s">
        <v>127</v>
      </c>
      <c r="D516" s="171" t="s">
        <v>130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1057.02</v>
      </c>
    </row>
    <row r="517" spans="1:16" ht="19.5" customHeight="1">
      <c r="A517" s="171" t="s">
        <v>659</v>
      </c>
      <c r="B517" s="175">
        <v>46045</v>
      </c>
      <c r="C517" s="171" t="s">
        <v>131</v>
      </c>
      <c r="D517" s="171" t="s">
        <v>132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-780.45</v>
      </c>
    </row>
    <row r="518" spans="1:16" ht="19.5" customHeight="1">
      <c r="A518" s="171" t="s">
        <v>659</v>
      </c>
      <c r="B518" s="175">
        <v>46045</v>
      </c>
      <c r="C518" s="171" t="s">
        <v>115</v>
      </c>
      <c r="D518" s="171" t="s">
        <v>116</v>
      </c>
      <c r="E518" s="171" t="s">
        <v>44</v>
      </c>
      <c r="F518" s="171" t="s">
        <v>213</v>
      </c>
      <c r="G518" s="171" t="s">
        <v>214</v>
      </c>
      <c r="H518" s="176">
        <v>1</v>
      </c>
      <c r="I518" s="177">
        <v>1815</v>
      </c>
      <c r="J518" s="175">
        <v>46044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-9.8800000000000008</v>
      </c>
    </row>
    <row r="519" spans="1:16" ht="19.5" customHeight="1">
      <c r="A519" s="171" t="s">
        <v>660</v>
      </c>
      <c r="B519" s="175">
        <v>46045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0.43</v>
      </c>
      <c r="N519" s="176"/>
      <c r="O519" s="176">
        <v>51</v>
      </c>
      <c r="P519" s="179">
        <v>-147.08000000000001</v>
      </c>
    </row>
    <row r="520" spans="1:16" ht="19.5" customHeight="1">
      <c r="A520" s="171" t="s">
        <v>660</v>
      </c>
      <c r="B520" s="175">
        <v>46045</v>
      </c>
      <c r="C520" s="171" t="s">
        <v>127</v>
      </c>
      <c r="D520" s="171" t="s">
        <v>128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574.29</v>
      </c>
    </row>
    <row r="521" spans="1:16" ht="19.5" customHeight="1">
      <c r="A521" s="171" t="s">
        <v>660</v>
      </c>
      <c r="B521" s="175">
        <v>46045</v>
      </c>
      <c r="C521" s="171" t="s">
        <v>127</v>
      </c>
      <c r="D521" s="171" t="s">
        <v>129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5.74</v>
      </c>
    </row>
    <row r="522" spans="1:16" ht="19.5" customHeight="1">
      <c r="A522" s="171" t="s">
        <v>660</v>
      </c>
      <c r="B522" s="175">
        <v>46045</v>
      </c>
      <c r="C522" s="171" t="s">
        <v>127</v>
      </c>
      <c r="D522" s="171" t="s">
        <v>130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1089.97</v>
      </c>
    </row>
    <row r="523" spans="1:16" ht="19.5" customHeight="1">
      <c r="A523" s="171" t="s">
        <v>660</v>
      </c>
      <c r="B523" s="175">
        <v>46045</v>
      </c>
      <c r="C523" s="171" t="s">
        <v>131</v>
      </c>
      <c r="D523" s="171" t="s">
        <v>132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-718.1</v>
      </c>
    </row>
    <row r="524" spans="1:16" ht="19.5" customHeight="1">
      <c r="A524" s="171" t="s">
        <v>660</v>
      </c>
      <c r="B524" s="175">
        <v>46045</v>
      </c>
      <c r="C524" s="171" t="s">
        <v>115</v>
      </c>
      <c r="D524" s="171" t="s">
        <v>116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46039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-15.26</v>
      </c>
    </row>
    <row r="525" spans="1:16" ht="19.5" customHeight="1">
      <c r="A525" s="171" t="s">
        <v>262</v>
      </c>
      <c r="B525" s="175">
        <v>46045</v>
      </c>
      <c r="C525" s="171" t="s">
        <v>312</v>
      </c>
      <c r="D525" s="171" t="s">
        <v>423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-573.74</v>
      </c>
    </row>
    <row r="526" spans="1:16" ht="19.5" customHeight="1">
      <c r="A526" s="171" t="s">
        <v>262</v>
      </c>
      <c r="B526" s="175">
        <v>46045</v>
      </c>
      <c r="C526" s="171" t="s">
        <v>312</v>
      </c>
      <c r="D526" s="171" t="s">
        <v>129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-5.74</v>
      </c>
    </row>
    <row r="527" spans="1:16" ht="19.5" customHeight="1">
      <c r="A527" s="171" t="s">
        <v>262</v>
      </c>
      <c r="B527" s="175">
        <v>46045</v>
      </c>
      <c r="C527" s="171" t="s">
        <v>312</v>
      </c>
      <c r="D527" s="171" t="s">
        <v>130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-1090.52</v>
      </c>
    </row>
    <row r="528" spans="1:16" ht="19.5" customHeight="1">
      <c r="A528" s="171" t="s">
        <v>262</v>
      </c>
      <c r="B528" s="175">
        <v>46045</v>
      </c>
      <c r="C528" s="171" t="s">
        <v>131</v>
      </c>
      <c r="D528" s="171" t="s">
        <v>424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-1670</v>
      </c>
      <c r="J528" s="175">
        <v>46038</v>
      </c>
      <c r="K528" s="171" t="s">
        <v>113</v>
      </c>
      <c r="L528" s="171" t="s">
        <v>114</v>
      </c>
      <c r="M528" s="178">
        <v>0.43</v>
      </c>
      <c r="N528" s="176"/>
      <c r="O528" s="176"/>
      <c r="P528" s="179">
        <v>718.1</v>
      </c>
    </row>
    <row r="529" spans="1:16" ht="19.5" customHeight="1">
      <c r="A529" s="171" t="s">
        <v>660</v>
      </c>
      <c r="B529" s="175">
        <v>46045</v>
      </c>
      <c r="C529" s="171" t="s">
        <v>115</v>
      </c>
      <c r="D529" s="171" t="s">
        <v>135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46039</v>
      </c>
      <c r="K529" s="171" t="s">
        <v>125</v>
      </c>
      <c r="L529" s="171" t="s">
        <v>125</v>
      </c>
      <c r="M529" s="178">
        <v>0</v>
      </c>
      <c r="N529" s="176"/>
      <c r="O529" s="176"/>
      <c r="P529" s="179">
        <v>-10.91</v>
      </c>
    </row>
    <row r="530" spans="1:16" ht="19.5" customHeight="1">
      <c r="A530" s="171" t="s">
        <v>661</v>
      </c>
      <c r="B530" s="175">
        <v>46045</v>
      </c>
      <c r="C530" s="171" t="s">
        <v>110</v>
      </c>
      <c r="D530" s="171" t="s">
        <v>24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0.43</v>
      </c>
      <c r="N530" s="176"/>
      <c r="O530" s="176">
        <v>52</v>
      </c>
      <c r="P530" s="179">
        <v>-147.99</v>
      </c>
    </row>
    <row r="531" spans="1:16" ht="19.5" customHeight="1">
      <c r="A531" s="171" t="s">
        <v>661</v>
      </c>
      <c r="B531" s="175">
        <v>46045</v>
      </c>
      <c r="C531" s="171" t="s">
        <v>127</v>
      </c>
      <c r="D531" s="171" t="s">
        <v>128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928.57</v>
      </c>
    </row>
    <row r="532" spans="1:16" ht="19.5" customHeight="1">
      <c r="A532" s="171" t="s">
        <v>661</v>
      </c>
      <c r="B532" s="175">
        <v>46045</v>
      </c>
      <c r="C532" s="171" t="s">
        <v>127</v>
      </c>
      <c r="D532" s="171" t="s">
        <v>129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9.2899999999999991</v>
      </c>
    </row>
    <row r="533" spans="1:16" ht="19.5" customHeight="1">
      <c r="A533" s="171" t="s">
        <v>661</v>
      </c>
      <c r="B533" s="175">
        <v>46045</v>
      </c>
      <c r="C533" s="171" t="s">
        <v>127</v>
      </c>
      <c r="D533" s="171" t="s">
        <v>130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742.14</v>
      </c>
    </row>
    <row r="534" spans="1:16" ht="19.5" customHeight="1">
      <c r="A534" s="171" t="s">
        <v>661</v>
      </c>
      <c r="B534" s="175">
        <v>46045</v>
      </c>
      <c r="C534" s="171" t="s">
        <v>131</v>
      </c>
      <c r="D534" s="171" t="s">
        <v>132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-722.4</v>
      </c>
    </row>
    <row r="535" spans="1:16" ht="19.5" customHeight="1">
      <c r="A535" s="171" t="s">
        <v>661</v>
      </c>
      <c r="B535" s="175">
        <v>46045</v>
      </c>
      <c r="C535" s="171" t="s">
        <v>115</v>
      </c>
      <c r="D535" s="171" t="s">
        <v>116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1680</v>
      </c>
      <c r="J535" s="175">
        <v>46043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-8.83</v>
      </c>
    </row>
    <row r="536" spans="1:16" ht="19.5" customHeight="1">
      <c r="A536" s="171" t="s">
        <v>662</v>
      </c>
      <c r="B536" s="175">
        <v>46045</v>
      </c>
      <c r="C536" s="171" t="s">
        <v>110</v>
      </c>
      <c r="D536" s="171" t="s">
        <v>24</v>
      </c>
      <c r="E536" s="171" t="s">
        <v>43</v>
      </c>
      <c r="F536" s="171" t="s">
        <v>485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0.43</v>
      </c>
      <c r="N536" s="176"/>
      <c r="O536" s="176">
        <v>46</v>
      </c>
      <c r="P536" s="179">
        <v>-132.13999999999999</v>
      </c>
    </row>
    <row r="537" spans="1:16" ht="19.5" customHeight="1">
      <c r="A537" s="171" t="s">
        <v>662</v>
      </c>
      <c r="B537" s="175">
        <v>46045</v>
      </c>
      <c r="C537" s="171" t="s">
        <v>127</v>
      </c>
      <c r="D537" s="171" t="s">
        <v>128</v>
      </c>
      <c r="E537" s="171" t="s">
        <v>43</v>
      </c>
      <c r="F537" s="171" t="s">
        <v>485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727.88</v>
      </c>
    </row>
    <row r="538" spans="1:16" ht="19.5" customHeight="1">
      <c r="A538" s="171" t="s">
        <v>662</v>
      </c>
      <c r="B538" s="175">
        <v>46045</v>
      </c>
      <c r="C538" s="171" t="s">
        <v>127</v>
      </c>
      <c r="D538" s="171" t="s">
        <v>129</v>
      </c>
      <c r="E538" s="171" t="s">
        <v>43</v>
      </c>
      <c r="F538" s="171" t="s">
        <v>485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7.28</v>
      </c>
    </row>
    <row r="539" spans="1:16" ht="19.5" customHeight="1">
      <c r="A539" s="171" t="s">
        <v>662</v>
      </c>
      <c r="B539" s="175">
        <v>46045</v>
      </c>
      <c r="C539" s="171" t="s">
        <v>127</v>
      </c>
      <c r="D539" s="171" t="s">
        <v>130</v>
      </c>
      <c r="E539" s="171" t="s">
        <v>43</v>
      </c>
      <c r="F539" s="171" t="s">
        <v>485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803.84</v>
      </c>
    </row>
    <row r="540" spans="1:16" ht="19.5" customHeight="1">
      <c r="A540" s="171" t="s">
        <v>662</v>
      </c>
      <c r="B540" s="175">
        <v>46045</v>
      </c>
      <c r="C540" s="171" t="s">
        <v>131</v>
      </c>
      <c r="D540" s="171" t="s">
        <v>132</v>
      </c>
      <c r="E540" s="171" t="s">
        <v>43</v>
      </c>
      <c r="F540" s="171" t="s">
        <v>485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-661.77</v>
      </c>
    </row>
    <row r="541" spans="1:16" ht="19.5" customHeight="1">
      <c r="A541" s="171" t="s">
        <v>662</v>
      </c>
      <c r="B541" s="175">
        <v>46045</v>
      </c>
      <c r="C541" s="171" t="s">
        <v>115</v>
      </c>
      <c r="D541" s="171" t="s">
        <v>116</v>
      </c>
      <c r="E541" s="171" t="s">
        <v>43</v>
      </c>
      <c r="F541" s="171" t="s">
        <v>485</v>
      </c>
      <c r="G541" s="171" t="s">
        <v>214</v>
      </c>
      <c r="H541" s="176">
        <v>1</v>
      </c>
      <c r="I541" s="177">
        <v>1539</v>
      </c>
      <c r="J541" s="175">
        <v>46030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-25</v>
      </c>
    </row>
    <row r="542" spans="1:16" ht="19.5" customHeight="1">
      <c r="A542" s="171" t="s">
        <v>262</v>
      </c>
      <c r="B542" s="175">
        <v>46045</v>
      </c>
      <c r="C542" s="171" t="s">
        <v>115</v>
      </c>
      <c r="D542" s="171" t="s">
        <v>135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46038</v>
      </c>
      <c r="K542" s="171" t="s">
        <v>125</v>
      </c>
      <c r="L542" s="171" t="s">
        <v>125</v>
      </c>
      <c r="M542" s="178">
        <v>0</v>
      </c>
      <c r="N542" s="176"/>
      <c r="O542" s="176"/>
      <c r="P542" s="179">
        <v>10.9</v>
      </c>
    </row>
    <row r="543" spans="1:16" ht="19.5" customHeight="1">
      <c r="A543" s="171" t="s">
        <v>663</v>
      </c>
      <c r="B543" s="175">
        <v>46045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>
        <v>50</v>
      </c>
      <c r="P543" s="179">
        <v>-46.77</v>
      </c>
    </row>
    <row r="544" spans="1:16" ht="19.5" customHeight="1">
      <c r="A544" s="171" t="s">
        <v>663</v>
      </c>
      <c r="B544" s="175">
        <v>46045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46033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-10.16</v>
      </c>
    </row>
    <row r="545" spans="1:16" ht="19.5" customHeight="1">
      <c r="A545" s="171" t="s">
        <v>664</v>
      </c>
      <c r="B545" s="175">
        <v>46045</v>
      </c>
      <c r="C545" s="171" t="s">
        <v>110</v>
      </c>
      <c r="D545" s="171" t="s">
        <v>24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>
        <v>51</v>
      </c>
      <c r="P545" s="179">
        <v>-46.77</v>
      </c>
    </row>
    <row r="546" spans="1:16" ht="19.5" customHeight="1">
      <c r="A546" s="171" t="s">
        <v>664</v>
      </c>
      <c r="B546" s="175">
        <v>46045</v>
      </c>
      <c r="C546" s="171" t="s">
        <v>110</v>
      </c>
      <c r="D546" s="171" t="s">
        <v>117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customHeight="1">
      <c r="A547" s="171" t="s">
        <v>664</v>
      </c>
      <c r="B547" s="175">
        <v>46045</v>
      </c>
      <c r="C547" s="171" t="s">
        <v>110</v>
      </c>
      <c r="D547" s="171" t="s">
        <v>118</v>
      </c>
      <c r="E547" s="171" t="s">
        <v>48</v>
      </c>
      <c r="F547" s="171" t="s">
        <v>198</v>
      </c>
      <c r="G547" s="171" t="s">
        <v>112</v>
      </c>
      <c r="H547" s="176">
        <v>1</v>
      </c>
      <c r="I547" s="177">
        <v>0</v>
      </c>
      <c r="J547" s="175">
        <v>46040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-46.77</v>
      </c>
    </row>
    <row r="548" spans="1:16" ht="19.5" customHeight="1">
      <c r="A548" s="171" t="s">
        <v>663</v>
      </c>
      <c r="B548" s="175">
        <v>46045</v>
      </c>
      <c r="C548" s="171" t="s">
        <v>110</v>
      </c>
      <c r="D548" s="171" t="s">
        <v>117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0</v>
      </c>
    </row>
    <row r="549" spans="1:16" ht="19.5" customHeight="1">
      <c r="A549" s="171" t="s">
        <v>663</v>
      </c>
      <c r="B549" s="175">
        <v>46045</v>
      </c>
      <c r="C549" s="171" t="s">
        <v>110</v>
      </c>
      <c r="D549" s="171" t="s">
        <v>118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-46.77</v>
      </c>
    </row>
    <row r="550" spans="1:16" ht="19.5" customHeight="1">
      <c r="A550" s="171" t="s">
        <v>663</v>
      </c>
      <c r="B550" s="175">
        <v>46045</v>
      </c>
      <c r="C550" s="171" t="s">
        <v>115</v>
      </c>
      <c r="D550" s="171" t="s">
        <v>119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46033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</v>
      </c>
    </row>
    <row r="551" spans="1:16" ht="19.5" customHeight="1">
      <c r="A551" s="171" t="s">
        <v>661</v>
      </c>
      <c r="B551" s="175">
        <v>46045</v>
      </c>
      <c r="C551" s="171" t="s">
        <v>115</v>
      </c>
      <c r="D551" s="171" t="s">
        <v>135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46043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-17.64</v>
      </c>
    </row>
    <row r="552" spans="1:16" ht="19.5" customHeight="1">
      <c r="A552" s="171" t="s">
        <v>665</v>
      </c>
      <c r="B552" s="175">
        <v>46045</v>
      </c>
      <c r="C552" s="171" t="s">
        <v>115</v>
      </c>
      <c r="D552" s="171" t="s">
        <v>135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46045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-4.2300000000000004</v>
      </c>
    </row>
    <row r="553" spans="1:16" ht="19.5" customHeight="1">
      <c r="A553" s="171" t="s">
        <v>666</v>
      </c>
      <c r="B553" s="175">
        <v>46045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0.43</v>
      </c>
      <c r="N553" s="176"/>
      <c r="O553" s="176">
        <v>54</v>
      </c>
      <c r="P553" s="179">
        <v>-148.9</v>
      </c>
    </row>
    <row r="554" spans="1:16" ht="19.5" customHeight="1">
      <c r="A554" s="171" t="s">
        <v>666</v>
      </c>
      <c r="B554" s="175">
        <v>46045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615.24</v>
      </c>
    </row>
    <row r="555" spans="1:16" ht="19.5" customHeight="1">
      <c r="A555" s="171" t="s">
        <v>666</v>
      </c>
      <c r="B555" s="175">
        <v>46045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6.15</v>
      </c>
    </row>
    <row r="556" spans="1:16" ht="19.5" customHeight="1">
      <c r="A556" s="171" t="s">
        <v>666</v>
      </c>
      <c r="B556" s="175">
        <v>46045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1048.6099999999999</v>
      </c>
    </row>
    <row r="557" spans="1:16" ht="19.5" customHeight="1">
      <c r="A557" s="171" t="s">
        <v>666</v>
      </c>
      <c r="B557" s="175">
        <v>46045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666</v>
      </c>
      <c r="B558" s="175">
        <v>46045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46044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-9.1300000000000008</v>
      </c>
    </row>
    <row r="559" spans="1:16" ht="19.5" customHeight="1">
      <c r="A559" s="171" t="s">
        <v>666</v>
      </c>
      <c r="B559" s="175">
        <v>46045</v>
      </c>
      <c r="C559" s="171" t="s">
        <v>115</v>
      </c>
      <c r="D559" s="171" t="s">
        <v>135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46044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-11.69</v>
      </c>
    </row>
    <row r="560" spans="1:16" ht="19.5" customHeight="1">
      <c r="A560" s="171" t="s">
        <v>667</v>
      </c>
      <c r="B560" s="175">
        <v>46045</v>
      </c>
      <c r="C560" s="171" t="s">
        <v>110</v>
      </c>
      <c r="D560" s="171" t="s">
        <v>24</v>
      </c>
      <c r="E560" s="171" t="s">
        <v>70</v>
      </c>
      <c r="F560" s="171" t="s">
        <v>513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0.43</v>
      </c>
      <c r="N560" s="176"/>
      <c r="O560" s="176">
        <v>52</v>
      </c>
      <c r="P560" s="179">
        <v>-275.39</v>
      </c>
    </row>
    <row r="561" spans="1:16" ht="19.5" customHeight="1">
      <c r="A561" s="171" t="s">
        <v>667</v>
      </c>
      <c r="B561" s="175">
        <v>46045</v>
      </c>
      <c r="C561" s="171" t="s">
        <v>127</v>
      </c>
      <c r="D561" s="171" t="s">
        <v>128</v>
      </c>
      <c r="E561" s="171" t="s">
        <v>70</v>
      </c>
      <c r="F561" s="171" t="s">
        <v>513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3153.33</v>
      </c>
    </row>
    <row r="562" spans="1:16" ht="19.5" customHeight="1">
      <c r="A562" s="171" t="s">
        <v>667</v>
      </c>
      <c r="B562" s="175">
        <v>46045</v>
      </c>
      <c r="C562" s="171" t="s">
        <v>127</v>
      </c>
      <c r="D562" s="171" t="s">
        <v>129</v>
      </c>
      <c r="E562" s="171" t="s">
        <v>70</v>
      </c>
      <c r="F562" s="171" t="s">
        <v>513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0</v>
      </c>
    </row>
    <row r="563" spans="1:16" ht="19.5" customHeight="1">
      <c r="A563" s="171" t="s">
        <v>667</v>
      </c>
      <c r="B563" s="175">
        <v>46045</v>
      </c>
      <c r="C563" s="171" t="s">
        <v>127</v>
      </c>
      <c r="D563" s="171" t="s">
        <v>130</v>
      </c>
      <c r="E563" s="171" t="s">
        <v>70</v>
      </c>
      <c r="F563" s="171" t="s">
        <v>513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1352.67</v>
      </c>
    </row>
    <row r="564" spans="1:16" ht="19.5" customHeight="1">
      <c r="A564" s="171" t="s">
        <v>667</v>
      </c>
      <c r="B564" s="175">
        <v>46045</v>
      </c>
      <c r="C564" s="171" t="s">
        <v>131</v>
      </c>
      <c r="D564" s="171" t="s">
        <v>132</v>
      </c>
      <c r="E564" s="171" t="s">
        <v>70</v>
      </c>
      <c r="F564" s="171" t="s">
        <v>513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-1937.58</v>
      </c>
    </row>
    <row r="565" spans="1:16" ht="19.5" customHeight="1">
      <c r="A565" s="171" t="s">
        <v>667</v>
      </c>
      <c r="B565" s="175">
        <v>46045</v>
      </c>
      <c r="C565" s="171" t="s">
        <v>115</v>
      </c>
      <c r="D565" s="171" t="s">
        <v>116</v>
      </c>
      <c r="E565" s="171" t="s">
        <v>70</v>
      </c>
      <c r="F565" s="171" t="s">
        <v>513</v>
      </c>
      <c r="G565" s="171" t="s">
        <v>177</v>
      </c>
      <c r="H565" s="176">
        <v>1</v>
      </c>
      <c r="I565" s="177">
        <v>4506</v>
      </c>
      <c r="J565" s="175">
        <v>46043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-13.31</v>
      </c>
    </row>
    <row r="566" spans="1:16" ht="19.5" customHeight="1">
      <c r="A566" s="171" t="s">
        <v>667</v>
      </c>
      <c r="B566" s="175">
        <v>46045</v>
      </c>
      <c r="C566" s="171" t="s">
        <v>115</v>
      </c>
      <c r="D566" s="171" t="s">
        <v>135</v>
      </c>
      <c r="E566" s="171" t="s">
        <v>70</v>
      </c>
      <c r="F566" s="171" t="s">
        <v>513</v>
      </c>
      <c r="G566" s="171" t="s">
        <v>177</v>
      </c>
      <c r="H566" s="176">
        <v>1</v>
      </c>
      <c r="I566" s="177">
        <v>0</v>
      </c>
      <c r="J566" s="175">
        <v>46043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-28.7</v>
      </c>
    </row>
    <row r="567" spans="1:16" ht="19.5" customHeight="1">
      <c r="A567" s="171" t="s">
        <v>668</v>
      </c>
      <c r="B567" s="175">
        <v>46045</v>
      </c>
      <c r="C567" s="171" t="s">
        <v>110</v>
      </c>
      <c r="D567" s="171" t="s">
        <v>24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0.43</v>
      </c>
      <c r="N567" s="176"/>
      <c r="O567" s="176">
        <v>52</v>
      </c>
      <c r="P567" s="179">
        <v>-135.56</v>
      </c>
    </row>
    <row r="568" spans="1:16" ht="19.5" customHeight="1">
      <c r="A568" s="171" t="s">
        <v>668</v>
      </c>
      <c r="B568" s="175">
        <v>46045</v>
      </c>
      <c r="C568" s="171" t="s">
        <v>127</v>
      </c>
      <c r="D568" s="171" t="s">
        <v>128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538.53</v>
      </c>
    </row>
    <row r="569" spans="1:16" ht="19.5" customHeight="1">
      <c r="A569" s="171" t="s">
        <v>668</v>
      </c>
      <c r="B569" s="175">
        <v>46045</v>
      </c>
      <c r="C569" s="171" t="s">
        <v>127</v>
      </c>
      <c r="D569" s="171" t="s">
        <v>129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5.39</v>
      </c>
    </row>
    <row r="570" spans="1:16" ht="19.5" customHeight="1">
      <c r="A570" s="171" t="s">
        <v>668</v>
      </c>
      <c r="B570" s="175">
        <v>46045</v>
      </c>
      <c r="C570" s="171" t="s">
        <v>127</v>
      </c>
      <c r="D570" s="171" t="s">
        <v>130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815.08</v>
      </c>
    </row>
    <row r="571" spans="1:16" ht="19.5" customHeight="1">
      <c r="A571" s="171" t="s">
        <v>668</v>
      </c>
      <c r="B571" s="175">
        <v>46045</v>
      </c>
      <c r="C571" s="171" t="s">
        <v>131</v>
      </c>
      <c r="D571" s="171" t="s">
        <v>132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-584.37</v>
      </c>
    </row>
    <row r="572" spans="1:16" ht="19.5" customHeight="1">
      <c r="A572" s="171" t="s">
        <v>668</v>
      </c>
      <c r="B572" s="175">
        <v>46045</v>
      </c>
      <c r="C572" s="171" t="s">
        <v>115</v>
      </c>
      <c r="D572" s="171" t="s">
        <v>116</v>
      </c>
      <c r="E572" s="171" t="s">
        <v>48</v>
      </c>
      <c r="F572" s="171" t="s">
        <v>198</v>
      </c>
      <c r="G572" s="171" t="s">
        <v>112</v>
      </c>
      <c r="H572" s="176">
        <v>1</v>
      </c>
      <c r="I572" s="177">
        <v>1359</v>
      </c>
      <c r="J572" s="175">
        <v>46042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-9.52</v>
      </c>
    </row>
    <row r="573" spans="1:16" ht="19.5" customHeight="1">
      <c r="A573" s="171" t="s">
        <v>612</v>
      </c>
      <c r="B573" s="175">
        <v>46045</v>
      </c>
      <c r="C573" s="171" t="s">
        <v>312</v>
      </c>
      <c r="D573" s="171" t="s">
        <v>423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-2333.33</v>
      </c>
    </row>
    <row r="574" spans="1:16" ht="19.5" customHeight="1">
      <c r="A574" s="171" t="s">
        <v>612</v>
      </c>
      <c r="B574" s="175">
        <v>46045</v>
      </c>
      <c r="C574" s="171" t="s">
        <v>312</v>
      </c>
      <c r="D574" s="171" t="s">
        <v>129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-23.33</v>
      </c>
    </row>
    <row r="575" spans="1:16" ht="19.5" customHeight="1">
      <c r="A575" s="171" t="s">
        <v>612</v>
      </c>
      <c r="B575" s="175">
        <v>46045</v>
      </c>
      <c r="C575" s="171" t="s">
        <v>312</v>
      </c>
      <c r="D575" s="171" t="s">
        <v>130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-2583.34</v>
      </c>
    </row>
    <row r="576" spans="1:16" ht="19.5" customHeight="1">
      <c r="A576" s="171" t="s">
        <v>612</v>
      </c>
      <c r="B576" s="175">
        <v>46045</v>
      </c>
      <c r="C576" s="171" t="s">
        <v>131</v>
      </c>
      <c r="D576" s="171" t="s">
        <v>424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-4940</v>
      </c>
      <c r="J576" s="175">
        <v>46041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2124.1999999999998</v>
      </c>
    </row>
    <row r="577" spans="1:16" ht="19.5" customHeight="1">
      <c r="A577" s="171" t="s">
        <v>668</v>
      </c>
      <c r="B577" s="175">
        <v>46045</v>
      </c>
      <c r="C577" s="171" t="s">
        <v>115</v>
      </c>
      <c r="D577" s="171" t="s">
        <v>135</v>
      </c>
      <c r="E577" s="171" t="s">
        <v>48</v>
      </c>
      <c r="F577" s="171" t="s">
        <v>198</v>
      </c>
      <c r="G577" s="171" t="s">
        <v>112</v>
      </c>
      <c r="H577" s="176">
        <v>1</v>
      </c>
      <c r="I577" s="177">
        <v>0</v>
      </c>
      <c r="J577" s="175">
        <v>46042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-10.23</v>
      </c>
    </row>
    <row r="578" spans="1:16" ht="19.5" customHeight="1">
      <c r="A578" s="171" t="s">
        <v>612</v>
      </c>
      <c r="B578" s="175">
        <v>46045</v>
      </c>
      <c r="C578" s="171" t="s">
        <v>115</v>
      </c>
      <c r="D578" s="171" t="s">
        <v>135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0</v>
      </c>
      <c r="J578" s="175">
        <v>46041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44.33</v>
      </c>
    </row>
    <row r="579" spans="1:16" ht="19.5" customHeight="1">
      <c r="A579" s="171" t="s">
        <v>598</v>
      </c>
      <c r="B579" s="175">
        <v>46045</v>
      </c>
      <c r="C579" s="171" t="s">
        <v>115</v>
      </c>
      <c r="D579" s="171" t="s">
        <v>135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46043</v>
      </c>
      <c r="K579" s="171" t="s">
        <v>125</v>
      </c>
      <c r="L579" s="171" t="s">
        <v>125</v>
      </c>
      <c r="M579" s="178">
        <v>0</v>
      </c>
      <c r="N579" s="176"/>
      <c r="O579" s="176"/>
      <c r="P579" s="179">
        <v>10.95</v>
      </c>
    </row>
    <row r="580" spans="1:16" ht="19.5" customHeight="1">
      <c r="A580" s="171" t="s">
        <v>669</v>
      </c>
      <c r="B580" s="175">
        <v>46045</v>
      </c>
      <c r="C580" s="171" t="s">
        <v>110</v>
      </c>
      <c r="D580" s="171" t="s">
        <v>24</v>
      </c>
      <c r="E580" s="171" t="s">
        <v>49</v>
      </c>
      <c r="F580" s="171" t="s">
        <v>494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0.43</v>
      </c>
      <c r="N580" s="176"/>
      <c r="O580" s="176">
        <v>54</v>
      </c>
      <c r="P580" s="179">
        <v>-139.46</v>
      </c>
    </row>
    <row r="581" spans="1:16" ht="19.5" customHeight="1">
      <c r="A581" s="171" t="s">
        <v>669</v>
      </c>
      <c r="B581" s="175">
        <v>46045</v>
      </c>
      <c r="C581" s="171" t="s">
        <v>127</v>
      </c>
      <c r="D581" s="171" t="s">
        <v>128</v>
      </c>
      <c r="E581" s="171" t="s">
        <v>49</v>
      </c>
      <c r="F581" s="171" t="s">
        <v>494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800.38</v>
      </c>
    </row>
    <row r="582" spans="1:16" ht="19.5" customHeight="1">
      <c r="A582" s="171" t="s">
        <v>669</v>
      </c>
      <c r="B582" s="175">
        <v>46045</v>
      </c>
      <c r="C582" s="171" t="s">
        <v>127</v>
      </c>
      <c r="D582" s="171" t="s">
        <v>129</v>
      </c>
      <c r="E582" s="171" t="s">
        <v>49</v>
      </c>
      <c r="F582" s="171" t="s">
        <v>494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8</v>
      </c>
    </row>
    <row r="583" spans="1:16" ht="19.5" customHeight="1">
      <c r="A583" s="171" t="s">
        <v>669</v>
      </c>
      <c r="B583" s="175">
        <v>46045</v>
      </c>
      <c r="C583" s="171" t="s">
        <v>127</v>
      </c>
      <c r="D583" s="171" t="s">
        <v>130</v>
      </c>
      <c r="E583" s="171" t="s">
        <v>49</v>
      </c>
      <c r="F583" s="171" t="s">
        <v>494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620.62</v>
      </c>
    </row>
    <row r="584" spans="1:16" ht="19.5" customHeight="1">
      <c r="A584" s="171" t="s">
        <v>669</v>
      </c>
      <c r="B584" s="175">
        <v>46045</v>
      </c>
      <c r="C584" s="171" t="s">
        <v>131</v>
      </c>
      <c r="D584" s="171" t="s">
        <v>132</v>
      </c>
      <c r="E584" s="171" t="s">
        <v>49</v>
      </c>
      <c r="F584" s="171" t="s">
        <v>494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-614.47</v>
      </c>
    </row>
    <row r="585" spans="1:16" ht="19.5" customHeight="1">
      <c r="A585" s="171" t="s">
        <v>669</v>
      </c>
      <c r="B585" s="175">
        <v>46045</v>
      </c>
      <c r="C585" s="171" t="s">
        <v>115</v>
      </c>
      <c r="D585" s="171" t="s">
        <v>116</v>
      </c>
      <c r="E585" s="171" t="s">
        <v>49</v>
      </c>
      <c r="F585" s="171" t="s">
        <v>494</v>
      </c>
      <c r="G585" s="171" t="s">
        <v>112</v>
      </c>
      <c r="H585" s="176">
        <v>1</v>
      </c>
      <c r="I585" s="177">
        <v>1429</v>
      </c>
      <c r="J585" s="175">
        <v>46044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-6.53</v>
      </c>
    </row>
    <row r="586" spans="1:16" ht="19.5" customHeight="1">
      <c r="A586" s="171" t="s">
        <v>670</v>
      </c>
      <c r="B586" s="175">
        <v>46045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>
        <v>51</v>
      </c>
      <c r="P586" s="179">
        <v>-46.77</v>
      </c>
    </row>
    <row r="587" spans="1:16" ht="19.5" customHeight="1">
      <c r="A587" s="171" t="s">
        <v>670</v>
      </c>
      <c r="B587" s="175">
        <v>46045</v>
      </c>
      <c r="C587" s="171" t="s">
        <v>115</v>
      </c>
      <c r="D587" s="171" t="s">
        <v>116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-10.15</v>
      </c>
    </row>
    <row r="588" spans="1:16" ht="19.5" customHeight="1">
      <c r="A588" s="171" t="s">
        <v>670</v>
      </c>
      <c r="B588" s="175">
        <v>46045</v>
      </c>
      <c r="C588" s="171" t="s">
        <v>110</v>
      </c>
      <c r="D588" s="171" t="s">
        <v>117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670</v>
      </c>
      <c r="B589" s="175">
        <v>46045</v>
      </c>
      <c r="C589" s="171" t="s">
        <v>110</v>
      </c>
      <c r="D589" s="171" t="s">
        <v>118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-46.77</v>
      </c>
    </row>
    <row r="590" spans="1:16" ht="19.5" customHeight="1">
      <c r="A590" s="171" t="s">
        <v>670</v>
      </c>
      <c r="B590" s="175">
        <v>46045</v>
      </c>
      <c r="C590" s="171" t="s">
        <v>115</v>
      </c>
      <c r="D590" s="171" t="s">
        <v>119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0</v>
      </c>
      <c r="J590" s="175">
        <v>46040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-15</v>
      </c>
    </row>
    <row r="591" spans="1:16" ht="19.5" customHeight="1">
      <c r="A591" s="171" t="s">
        <v>671</v>
      </c>
      <c r="B591" s="175">
        <v>46045</v>
      </c>
      <c r="C591" s="171" t="s">
        <v>110</v>
      </c>
      <c r="D591" s="171" t="s">
        <v>24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0.43</v>
      </c>
      <c r="N591" s="176"/>
      <c r="O591" s="176">
        <v>52</v>
      </c>
      <c r="P591" s="179">
        <v>-147.6</v>
      </c>
    </row>
    <row r="592" spans="1:16" ht="19.5" customHeight="1">
      <c r="A592" s="171" t="s">
        <v>671</v>
      </c>
      <c r="B592" s="175">
        <v>46045</v>
      </c>
      <c r="C592" s="171" t="s">
        <v>127</v>
      </c>
      <c r="D592" s="171" t="s">
        <v>128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576.19000000000005</v>
      </c>
    </row>
    <row r="593" spans="1:16" ht="19.5" customHeight="1">
      <c r="A593" s="171" t="s">
        <v>671</v>
      </c>
      <c r="B593" s="175">
        <v>46045</v>
      </c>
      <c r="C593" s="171" t="s">
        <v>127</v>
      </c>
      <c r="D593" s="171" t="s">
        <v>129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5.76</v>
      </c>
    </row>
    <row r="594" spans="1:16" ht="19.5" customHeight="1">
      <c r="A594" s="171" t="s">
        <v>671</v>
      </c>
      <c r="B594" s="175">
        <v>46045</v>
      </c>
      <c r="C594" s="171" t="s">
        <v>127</v>
      </c>
      <c r="D594" s="171" t="s">
        <v>130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1088.05</v>
      </c>
    </row>
    <row r="595" spans="1:16" ht="19.5" customHeight="1">
      <c r="A595" s="171" t="s">
        <v>671</v>
      </c>
      <c r="B595" s="175">
        <v>46045</v>
      </c>
      <c r="C595" s="171" t="s">
        <v>131</v>
      </c>
      <c r="D595" s="171" t="s">
        <v>132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-718.1</v>
      </c>
    </row>
    <row r="596" spans="1:16" ht="19.5" customHeight="1">
      <c r="A596" s="171" t="s">
        <v>671</v>
      </c>
      <c r="B596" s="175">
        <v>46045</v>
      </c>
      <c r="C596" s="171" t="s">
        <v>115</v>
      </c>
      <c r="D596" s="171" t="s">
        <v>116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1670</v>
      </c>
      <c r="J596" s="175">
        <v>46042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-11.16</v>
      </c>
    </row>
    <row r="597" spans="1:16" ht="19.5" customHeight="1">
      <c r="A597" s="171" t="s">
        <v>671</v>
      </c>
      <c r="B597" s="175">
        <v>46045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46042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-10.95</v>
      </c>
    </row>
    <row r="598" spans="1:16" ht="19.5" customHeight="1">
      <c r="A598" s="171" t="s">
        <v>672</v>
      </c>
      <c r="B598" s="175">
        <v>46045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0.43</v>
      </c>
      <c r="N598" s="176"/>
      <c r="O598" s="176">
        <v>53</v>
      </c>
      <c r="P598" s="179">
        <v>-115.35</v>
      </c>
    </row>
    <row r="599" spans="1:16" ht="19.5" customHeight="1">
      <c r="A599" s="171" t="s">
        <v>672</v>
      </c>
      <c r="B599" s="175">
        <v>46045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285.70999999999998</v>
      </c>
    </row>
    <row r="600" spans="1:16" ht="19.5" customHeight="1">
      <c r="A600" s="171" t="s">
        <v>672</v>
      </c>
      <c r="B600" s="175">
        <v>46045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2.86</v>
      </c>
    </row>
    <row r="601" spans="1:16" ht="19.5" customHeight="1">
      <c r="A601" s="171" t="s">
        <v>672</v>
      </c>
      <c r="B601" s="175">
        <v>46045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534.42999999999995</v>
      </c>
    </row>
    <row r="602" spans="1:16" ht="19.5" customHeight="1">
      <c r="A602" s="171" t="s">
        <v>672</v>
      </c>
      <c r="B602" s="175">
        <v>46045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823</v>
      </c>
      <c r="J602" s="175">
        <v>46041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-353.89</v>
      </c>
    </row>
    <row r="603" spans="1:16" ht="19.5" customHeight="1">
      <c r="A603" s="171" t="s">
        <v>672</v>
      </c>
      <c r="B603" s="175">
        <v>46045</v>
      </c>
      <c r="C603" s="171" t="s">
        <v>115</v>
      </c>
      <c r="D603" s="171" t="s">
        <v>135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46041</v>
      </c>
      <c r="K603" s="171" t="s">
        <v>125</v>
      </c>
      <c r="L603" s="171" t="s">
        <v>125</v>
      </c>
      <c r="M603" s="178">
        <v>0</v>
      </c>
      <c r="N603" s="176"/>
      <c r="O603" s="176"/>
      <c r="P603" s="179">
        <v>-5.43</v>
      </c>
    </row>
    <row r="604" spans="1:16" ht="19.5" customHeight="1">
      <c r="A604" s="171" t="s">
        <v>673</v>
      </c>
      <c r="B604" s="175">
        <v>46045</v>
      </c>
      <c r="C604" s="171" t="s">
        <v>110</v>
      </c>
      <c r="D604" s="171" t="s">
        <v>24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>
        <v>46</v>
      </c>
      <c r="P604" s="179">
        <v>-46.77</v>
      </c>
    </row>
    <row r="605" spans="1:16" ht="19.5" customHeight="1">
      <c r="A605" s="171" t="s">
        <v>673</v>
      </c>
      <c r="B605" s="175">
        <v>46045</v>
      </c>
      <c r="C605" s="171" t="s">
        <v>115</v>
      </c>
      <c r="D605" s="171" t="s">
        <v>116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-12.16</v>
      </c>
    </row>
    <row r="606" spans="1:16" ht="19.5" customHeight="1">
      <c r="A606" s="171" t="s">
        <v>673</v>
      </c>
      <c r="B606" s="175">
        <v>46045</v>
      </c>
      <c r="C606" s="171" t="s">
        <v>110</v>
      </c>
      <c r="D606" s="171" t="s">
        <v>117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customHeight="1">
      <c r="A607" s="171" t="s">
        <v>673</v>
      </c>
      <c r="B607" s="175">
        <v>46045</v>
      </c>
      <c r="C607" s="171" t="s">
        <v>110</v>
      </c>
      <c r="D607" s="171" t="s">
        <v>118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-46.77</v>
      </c>
    </row>
    <row r="608" spans="1:16" ht="19.5" customHeight="1">
      <c r="A608" s="171" t="s">
        <v>673</v>
      </c>
      <c r="B608" s="175">
        <v>46045</v>
      </c>
      <c r="C608" s="171" t="s">
        <v>115</v>
      </c>
      <c r="D608" s="171" t="s">
        <v>119</v>
      </c>
      <c r="E608" s="171" t="s">
        <v>41</v>
      </c>
      <c r="F608" s="171" t="s">
        <v>138</v>
      </c>
      <c r="G608" s="171" t="s">
        <v>112</v>
      </c>
      <c r="H608" s="176">
        <v>1</v>
      </c>
      <c r="I608" s="177">
        <v>0</v>
      </c>
      <c r="J608" s="175">
        <v>46035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customHeight="1">
      <c r="A609" s="171" t="s">
        <v>674</v>
      </c>
      <c r="B609" s="175">
        <v>46045</v>
      </c>
      <c r="C609" s="171" t="s">
        <v>115</v>
      </c>
      <c r="D609" s="171" t="s">
        <v>135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-4.49</v>
      </c>
    </row>
    <row r="610" spans="1:16" ht="19.5" customHeight="1">
      <c r="A610" s="171" t="s">
        <v>675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-222.56</v>
      </c>
    </row>
    <row r="611" spans="1:16" ht="19.5" customHeight="1">
      <c r="A611" s="171" t="s">
        <v>569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-314.73</v>
      </c>
    </row>
    <row r="612" spans="1:16" ht="19.5" customHeight="1">
      <c r="A612" s="171" t="s">
        <v>196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-483.47</v>
      </c>
    </row>
    <row r="613" spans="1:16" ht="19.5" customHeight="1">
      <c r="A613" s="171" t="s">
        <v>179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-379.75</v>
      </c>
    </row>
    <row r="614" spans="1:16" ht="19.5" customHeight="1">
      <c r="A614" s="171" t="s">
        <v>180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-434.13</v>
      </c>
    </row>
    <row r="615" spans="1:16" ht="19.5" customHeight="1">
      <c r="A615" s="171" t="s">
        <v>153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-287.66000000000003</v>
      </c>
    </row>
    <row r="616" spans="1:16" ht="19.5" customHeight="1">
      <c r="A616" s="171" t="s">
        <v>150</v>
      </c>
      <c r="B616" s="175">
        <v>46045</v>
      </c>
      <c r="C616" s="171" t="s">
        <v>151</v>
      </c>
      <c r="D616" s="171" t="s">
        <v>152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-1265.8399999999999</v>
      </c>
    </row>
    <row r="617" spans="1:16" ht="19.5" customHeight="1">
      <c r="A617" s="171" t="s">
        <v>155</v>
      </c>
      <c r="B617" s="175">
        <v>46045</v>
      </c>
      <c r="C617" s="171" t="s">
        <v>151</v>
      </c>
      <c r="D617" s="171" t="s">
        <v>156</v>
      </c>
      <c r="E617" s="171" t="s">
        <v>125</v>
      </c>
      <c r="F617" s="171" t="s">
        <v>125</v>
      </c>
      <c r="G617" s="171" t="s">
        <v>125</v>
      </c>
      <c r="H617" s="176">
        <v>0</v>
      </c>
      <c r="I617" s="177">
        <v>0</v>
      </c>
      <c r="J617" s="175">
        <v>46045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-3624.77</v>
      </c>
    </row>
    <row r="618" spans="1:16" ht="19.5" customHeight="1">
      <c r="A618" s="171" t="s">
        <v>676</v>
      </c>
      <c r="B618" s="175">
        <v>46046</v>
      </c>
      <c r="C618" s="171" t="s">
        <v>110</v>
      </c>
      <c r="D618" s="171" t="s">
        <v>24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>
        <v>44</v>
      </c>
      <c r="P618" s="179">
        <v>-46.77</v>
      </c>
    </row>
    <row r="619" spans="1:16" ht="19.5" customHeight="1">
      <c r="A619" s="171" t="s">
        <v>676</v>
      </c>
      <c r="B619" s="175">
        <v>46046</v>
      </c>
      <c r="C619" s="171" t="s">
        <v>115</v>
      </c>
      <c r="D619" s="171" t="s">
        <v>116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0</v>
      </c>
      <c r="J619" s="175">
        <v>46028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-7.75</v>
      </c>
    </row>
    <row r="620" spans="1:16" ht="19.5" customHeight="1">
      <c r="A620" s="171" t="s">
        <v>677</v>
      </c>
      <c r="B620" s="175">
        <v>46046</v>
      </c>
      <c r="C620" s="171" t="s">
        <v>110</v>
      </c>
      <c r="D620" s="171" t="s">
        <v>117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0</v>
      </c>
    </row>
    <row r="621" spans="1:16" ht="19.5" customHeight="1">
      <c r="A621" s="171" t="s">
        <v>677</v>
      </c>
      <c r="B621" s="175">
        <v>46046</v>
      </c>
      <c r="C621" s="171" t="s">
        <v>110</v>
      </c>
      <c r="D621" s="171" t="s">
        <v>118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-46</v>
      </c>
    </row>
    <row r="622" spans="1:16" ht="19.5" customHeight="1">
      <c r="A622" s="171" t="s">
        <v>677</v>
      </c>
      <c r="B622" s="175">
        <v>46046</v>
      </c>
      <c r="C622" s="171" t="s">
        <v>115</v>
      </c>
      <c r="D622" s="171" t="s">
        <v>119</v>
      </c>
      <c r="E622" s="171" t="s">
        <v>48</v>
      </c>
      <c r="F622" s="171" t="s">
        <v>198</v>
      </c>
      <c r="G622" s="171" t="s">
        <v>112</v>
      </c>
      <c r="H622" s="176">
        <v>1</v>
      </c>
      <c r="I622" s="177">
        <v>0</v>
      </c>
      <c r="J622" s="175">
        <v>45990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-15</v>
      </c>
    </row>
    <row r="623" spans="1:16" ht="19.5" customHeight="1">
      <c r="A623" s="171" t="s">
        <v>676</v>
      </c>
      <c r="B623" s="175">
        <v>46046</v>
      </c>
      <c r="C623" s="171" t="s">
        <v>110</v>
      </c>
      <c r="D623" s="171" t="s">
        <v>117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customHeight="1">
      <c r="A624" s="171" t="s">
        <v>676</v>
      </c>
      <c r="B624" s="175">
        <v>46046</v>
      </c>
      <c r="C624" s="171" t="s">
        <v>110</v>
      </c>
      <c r="D624" s="171" t="s">
        <v>118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customHeight="1">
      <c r="A625" s="171" t="s">
        <v>677</v>
      </c>
      <c r="B625" s="175">
        <v>46046</v>
      </c>
      <c r="C625" s="171" t="s">
        <v>110</v>
      </c>
      <c r="D625" s="171" t="s">
        <v>24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>
        <v>47</v>
      </c>
      <c r="P625" s="179">
        <v>-46</v>
      </c>
    </row>
    <row r="626" spans="1:16" ht="19.5" customHeight="1">
      <c r="A626" s="171" t="s">
        <v>677</v>
      </c>
      <c r="B626" s="175">
        <v>46046</v>
      </c>
      <c r="C626" s="171" t="s">
        <v>115</v>
      </c>
      <c r="D626" s="171" t="s">
        <v>116</v>
      </c>
      <c r="E626" s="171" t="s">
        <v>48</v>
      </c>
      <c r="F626" s="171" t="s">
        <v>198</v>
      </c>
      <c r="G626" s="171" t="s">
        <v>112</v>
      </c>
      <c r="H626" s="176">
        <v>1</v>
      </c>
      <c r="I626" s="177">
        <v>0</v>
      </c>
      <c r="J626" s="175">
        <v>45990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-10.78</v>
      </c>
    </row>
    <row r="627" spans="1:16" ht="19.5" customHeight="1">
      <c r="A627" s="171" t="s">
        <v>678</v>
      </c>
      <c r="B627" s="175">
        <v>46046</v>
      </c>
      <c r="C627" s="171" t="s">
        <v>110</v>
      </c>
      <c r="D627" s="171" t="s">
        <v>24</v>
      </c>
      <c r="E627" s="171" t="s">
        <v>69</v>
      </c>
      <c r="F627" s="171" t="s">
        <v>679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>
        <v>50</v>
      </c>
      <c r="P627" s="179">
        <v>-56.94</v>
      </c>
    </row>
    <row r="628" spans="1:16" ht="19.5" customHeight="1">
      <c r="A628" s="171" t="s">
        <v>678</v>
      </c>
      <c r="B628" s="175">
        <v>46046</v>
      </c>
      <c r="C628" s="171" t="s">
        <v>115</v>
      </c>
      <c r="D628" s="171" t="s">
        <v>116</v>
      </c>
      <c r="E628" s="171" t="s">
        <v>69</v>
      </c>
      <c r="F628" s="171" t="s">
        <v>679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-12.02</v>
      </c>
    </row>
    <row r="629" spans="1:16" ht="19.5" customHeight="1">
      <c r="A629" s="171" t="s">
        <v>678</v>
      </c>
      <c r="B629" s="175">
        <v>46046</v>
      </c>
      <c r="C629" s="171" t="s">
        <v>110</v>
      </c>
      <c r="D629" s="171" t="s">
        <v>117</v>
      </c>
      <c r="E629" s="171" t="s">
        <v>69</v>
      </c>
      <c r="F629" s="171" t="s">
        <v>679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customHeight="1">
      <c r="A630" s="171" t="s">
        <v>678</v>
      </c>
      <c r="B630" s="175">
        <v>46046</v>
      </c>
      <c r="C630" s="171" t="s">
        <v>110</v>
      </c>
      <c r="D630" s="171" t="s">
        <v>118</v>
      </c>
      <c r="E630" s="171" t="s">
        <v>69</v>
      </c>
      <c r="F630" s="171" t="s">
        <v>679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-56.94</v>
      </c>
    </row>
    <row r="631" spans="1:16" ht="19.5" customHeight="1">
      <c r="A631" s="171" t="s">
        <v>678</v>
      </c>
      <c r="B631" s="175">
        <v>46046</v>
      </c>
      <c r="C631" s="171" t="s">
        <v>115</v>
      </c>
      <c r="D631" s="171" t="s">
        <v>119</v>
      </c>
      <c r="E631" s="171" t="s">
        <v>69</v>
      </c>
      <c r="F631" s="171" t="s">
        <v>679</v>
      </c>
      <c r="G631" s="171" t="s">
        <v>177</v>
      </c>
      <c r="H631" s="176">
        <v>1</v>
      </c>
      <c r="I631" s="177">
        <v>0</v>
      </c>
      <c r="J631" s="175">
        <v>46033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-15</v>
      </c>
    </row>
    <row r="632" spans="1:16" ht="19.5" customHeight="1">
      <c r="A632" s="171" t="s">
        <v>680</v>
      </c>
      <c r="B632" s="175">
        <v>46046</v>
      </c>
      <c r="C632" s="171" t="s">
        <v>115</v>
      </c>
      <c r="D632" s="171" t="s">
        <v>135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125</v>
      </c>
      <c r="L632" s="171" t="s">
        <v>125</v>
      </c>
      <c r="M632" s="178">
        <v>0</v>
      </c>
      <c r="N632" s="176"/>
      <c r="O632" s="176"/>
      <c r="P632" s="179">
        <v>-15.2</v>
      </c>
    </row>
    <row r="633" spans="1:16" ht="19.5" customHeight="1">
      <c r="A633" s="171" t="s">
        <v>681</v>
      </c>
      <c r="B633" s="175">
        <v>46046</v>
      </c>
      <c r="C633" s="171" t="s">
        <v>110</v>
      </c>
      <c r="D633" s="171" t="s">
        <v>117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customHeight="1">
      <c r="A634" s="171" t="s">
        <v>681</v>
      </c>
      <c r="B634" s="175">
        <v>46046</v>
      </c>
      <c r="C634" s="171" t="s">
        <v>110</v>
      </c>
      <c r="D634" s="171" t="s">
        <v>118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-46.77</v>
      </c>
    </row>
    <row r="635" spans="1:16" ht="19.5" customHeight="1">
      <c r="A635" s="171" t="s">
        <v>681</v>
      </c>
      <c r="B635" s="175">
        <v>46046</v>
      </c>
      <c r="C635" s="171" t="s">
        <v>115</v>
      </c>
      <c r="D635" s="171" t="s">
        <v>119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customHeight="1">
      <c r="A636" s="171" t="s">
        <v>681</v>
      </c>
      <c r="B636" s="175">
        <v>46046</v>
      </c>
      <c r="C636" s="171" t="s">
        <v>110</v>
      </c>
      <c r="D636" s="171" t="s">
        <v>24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>
        <v>50</v>
      </c>
      <c r="P636" s="179">
        <v>-46.77</v>
      </c>
    </row>
    <row r="637" spans="1:16" ht="19.5" customHeight="1">
      <c r="A637" s="171" t="s">
        <v>681</v>
      </c>
      <c r="B637" s="175">
        <v>46046</v>
      </c>
      <c r="C637" s="171" t="s">
        <v>115</v>
      </c>
      <c r="D637" s="171" t="s">
        <v>116</v>
      </c>
      <c r="E637" s="171" t="s">
        <v>45</v>
      </c>
      <c r="F637" s="171" t="s">
        <v>162</v>
      </c>
      <c r="G637" s="171" t="s">
        <v>163</v>
      </c>
      <c r="H637" s="176">
        <v>1</v>
      </c>
      <c r="I637" s="177">
        <v>0</v>
      </c>
      <c r="J637" s="175">
        <v>46033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-12.3</v>
      </c>
    </row>
    <row r="638" spans="1:16" ht="19.5" customHeight="1">
      <c r="A638" s="171" t="s">
        <v>682</v>
      </c>
      <c r="B638" s="175">
        <v>46046</v>
      </c>
      <c r="C638" s="171" t="s">
        <v>123</v>
      </c>
      <c r="D638" s="171" t="s">
        <v>380</v>
      </c>
      <c r="E638" s="171" t="s">
        <v>125</v>
      </c>
      <c r="F638" s="171" t="s">
        <v>125</v>
      </c>
      <c r="G638" s="171" t="s">
        <v>125</v>
      </c>
      <c r="H638" s="176">
        <v>0</v>
      </c>
      <c r="I638" s="177">
        <v>0</v>
      </c>
      <c r="J638" s="175">
        <v>46040</v>
      </c>
      <c r="K638" s="171" t="s">
        <v>125</v>
      </c>
      <c r="L638" s="171" t="s">
        <v>125</v>
      </c>
      <c r="M638" s="178">
        <v>0</v>
      </c>
      <c r="N638" s="176"/>
      <c r="O638" s="176"/>
      <c r="P638" s="179">
        <v>-1148.4000000000001</v>
      </c>
    </row>
    <row r="639" spans="1:16" ht="19.5" customHeight="1">
      <c r="A639" s="171" t="s">
        <v>683</v>
      </c>
      <c r="B639" s="175">
        <v>46046</v>
      </c>
      <c r="C639" s="171" t="s">
        <v>110</v>
      </c>
      <c r="D639" s="171" t="s">
        <v>24</v>
      </c>
      <c r="E639" s="171" t="s">
        <v>50</v>
      </c>
      <c r="F639" s="171" t="s">
        <v>417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>
        <v>51</v>
      </c>
      <c r="P639" s="179">
        <v>-46.77</v>
      </c>
    </row>
    <row r="640" spans="1:16" ht="19.5" customHeight="1">
      <c r="A640" s="171" t="s">
        <v>683</v>
      </c>
      <c r="B640" s="175">
        <v>46046</v>
      </c>
      <c r="C640" s="171" t="s">
        <v>115</v>
      </c>
      <c r="D640" s="171" t="s">
        <v>116</v>
      </c>
      <c r="E640" s="171" t="s">
        <v>50</v>
      </c>
      <c r="F640" s="171" t="s">
        <v>417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-6.23</v>
      </c>
    </row>
    <row r="641" spans="1:16" ht="19.5" customHeight="1">
      <c r="A641" s="171" t="s">
        <v>683</v>
      </c>
      <c r="B641" s="175">
        <v>46046</v>
      </c>
      <c r="C641" s="171" t="s">
        <v>110</v>
      </c>
      <c r="D641" s="171" t="s">
        <v>117</v>
      </c>
      <c r="E641" s="171" t="s">
        <v>50</v>
      </c>
      <c r="F641" s="171" t="s">
        <v>417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0</v>
      </c>
    </row>
    <row r="642" spans="1:16" ht="19.5" customHeight="1">
      <c r="A642" s="171" t="s">
        <v>683</v>
      </c>
      <c r="B642" s="175">
        <v>46046</v>
      </c>
      <c r="C642" s="171" t="s">
        <v>110</v>
      </c>
      <c r="D642" s="171" t="s">
        <v>118</v>
      </c>
      <c r="E642" s="171" t="s">
        <v>50</v>
      </c>
      <c r="F642" s="171" t="s">
        <v>417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-46.77</v>
      </c>
    </row>
    <row r="643" spans="1:16" ht="19.5" customHeight="1">
      <c r="A643" s="171" t="s">
        <v>683</v>
      </c>
      <c r="B643" s="175">
        <v>46046</v>
      </c>
      <c r="C643" s="171" t="s">
        <v>115</v>
      </c>
      <c r="D643" s="171" t="s">
        <v>119</v>
      </c>
      <c r="E643" s="171" t="s">
        <v>50</v>
      </c>
      <c r="F643" s="171" t="s">
        <v>417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-15</v>
      </c>
    </row>
    <row r="644" spans="1:16" ht="19.5" customHeight="1">
      <c r="A644" s="171" t="s">
        <v>684</v>
      </c>
      <c r="B644" s="175">
        <v>46046</v>
      </c>
      <c r="C644" s="171" t="s">
        <v>110</v>
      </c>
      <c r="D644" s="171" t="s">
        <v>24</v>
      </c>
      <c r="E644" s="171" t="s">
        <v>46</v>
      </c>
      <c r="F644" s="171" t="s">
        <v>685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>
        <v>51</v>
      </c>
      <c r="P644" s="179">
        <v>-46.77</v>
      </c>
    </row>
    <row r="645" spans="1:16" ht="19.5" customHeight="1">
      <c r="A645" s="171" t="s">
        <v>684</v>
      </c>
      <c r="B645" s="175">
        <v>46046</v>
      </c>
      <c r="C645" s="171" t="s">
        <v>115</v>
      </c>
      <c r="D645" s="171" t="s">
        <v>116</v>
      </c>
      <c r="E645" s="171" t="s">
        <v>46</v>
      </c>
      <c r="F645" s="171" t="s">
        <v>685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-6.95</v>
      </c>
    </row>
    <row r="646" spans="1:16" ht="19.5" customHeight="1">
      <c r="A646" s="171" t="s">
        <v>684</v>
      </c>
      <c r="B646" s="175">
        <v>46046</v>
      </c>
      <c r="C646" s="171" t="s">
        <v>110</v>
      </c>
      <c r="D646" s="171" t="s">
        <v>117</v>
      </c>
      <c r="E646" s="171" t="s">
        <v>46</v>
      </c>
      <c r="F646" s="171" t="s">
        <v>685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0</v>
      </c>
    </row>
    <row r="647" spans="1:16" ht="19.5" customHeight="1">
      <c r="A647" s="171" t="s">
        <v>684</v>
      </c>
      <c r="B647" s="175">
        <v>46046</v>
      </c>
      <c r="C647" s="171" t="s">
        <v>110</v>
      </c>
      <c r="D647" s="171" t="s">
        <v>118</v>
      </c>
      <c r="E647" s="171" t="s">
        <v>46</v>
      </c>
      <c r="F647" s="171" t="s">
        <v>685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-46.77</v>
      </c>
    </row>
    <row r="648" spans="1:16" ht="19.5" customHeight="1">
      <c r="A648" s="171" t="s">
        <v>684</v>
      </c>
      <c r="B648" s="175">
        <v>46046</v>
      </c>
      <c r="C648" s="171" t="s">
        <v>115</v>
      </c>
      <c r="D648" s="171" t="s">
        <v>119</v>
      </c>
      <c r="E648" s="171" t="s">
        <v>46</v>
      </c>
      <c r="F648" s="171" t="s">
        <v>685</v>
      </c>
      <c r="G648" s="171" t="s">
        <v>112</v>
      </c>
      <c r="H648" s="176">
        <v>1</v>
      </c>
      <c r="I648" s="177">
        <v>0</v>
      </c>
      <c r="J648" s="175">
        <v>46039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-15</v>
      </c>
    </row>
    <row r="649" spans="1:16" ht="19.5" customHeight="1">
      <c r="A649" s="171" t="s">
        <v>409</v>
      </c>
      <c r="B649" s="175">
        <v>46046</v>
      </c>
      <c r="C649" s="171" t="s">
        <v>110</v>
      </c>
      <c r="D649" s="171" t="s">
        <v>121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customHeight="1">
      <c r="A650" s="171" t="s">
        <v>409</v>
      </c>
      <c r="B650" s="175">
        <v>46046</v>
      </c>
      <c r="C650" s="171" t="s">
        <v>110</v>
      </c>
      <c r="D650" s="171" t="s">
        <v>118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-46.77</v>
      </c>
    </row>
    <row r="651" spans="1:16" ht="19.5" customHeight="1">
      <c r="A651" s="171" t="s">
        <v>409</v>
      </c>
      <c r="B651" s="175">
        <v>46046</v>
      </c>
      <c r="C651" s="171" t="s">
        <v>115</v>
      </c>
      <c r="D651" s="171" t="s">
        <v>119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46023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customHeight="1">
      <c r="A652" s="171" t="s">
        <v>686</v>
      </c>
      <c r="B652" s="175">
        <v>46046</v>
      </c>
      <c r="C652" s="171" t="s">
        <v>110</v>
      </c>
      <c r="D652" s="171" t="s">
        <v>24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0.43</v>
      </c>
      <c r="N652" s="176"/>
      <c r="O652" s="176">
        <v>53</v>
      </c>
      <c r="P652" s="179">
        <v>-148.77000000000001</v>
      </c>
    </row>
    <row r="653" spans="1:16" ht="19.5" customHeight="1">
      <c r="A653" s="171" t="s">
        <v>686</v>
      </c>
      <c r="B653" s="175">
        <v>46046</v>
      </c>
      <c r="C653" s="171" t="s">
        <v>127</v>
      </c>
      <c r="D653" s="171" t="s">
        <v>128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872.38</v>
      </c>
    </row>
    <row r="654" spans="1:16" ht="19.5" customHeight="1">
      <c r="A654" s="171" t="s">
        <v>686</v>
      </c>
      <c r="B654" s="175">
        <v>46046</v>
      </c>
      <c r="C654" s="171" t="s">
        <v>127</v>
      </c>
      <c r="D654" s="171" t="s">
        <v>129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8.7200000000000006</v>
      </c>
    </row>
    <row r="655" spans="1:16" ht="19.5" customHeight="1">
      <c r="A655" s="171" t="s">
        <v>686</v>
      </c>
      <c r="B655" s="175">
        <v>46046</v>
      </c>
      <c r="C655" s="171" t="s">
        <v>127</v>
      </c>
      <c r="D655" s="171" t="s">
        <v>130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798.9</v>
      </c>
    </row>
    <row r="656" spans="1:16" ht="19.5" customHeight="1">
      <c r="A656" s="171" t="s">
        <v>686</v>
      </c>
      <c r="B656" s="175">
        <v>46046</v>
      </c>
      <c r="C656" s="171" t="s">
        <v>131</v>
      </c>
      <c r="D656" s="171" t="s">
        <v>132</v>
      </c>
      <c r="E656" s="171" t="s">
        <v>42</v>
      </c>
      <c r="F656" s="171" t="s">
        <v>248</v>
      </c>
      <c r="G656" s="171" t="s">
        <v>112</v>
      </c>
      <c r="H656" s="176">
        <v>1</v>
      </c>
      <c r="I656" s="177">
        <v>1680</v>
      </c>
      <c r="J656" s="175">
        <v>46041</v>
      </c>
      <c r="K656" s="171" t="s">
        <v>113</v>
      </c>
      <c r="L656" s="171" t="s">
        <v>114</v>
      </c>
      <c r="M656" s="178">
        <v>0.43</v>
      </c>
      <c r="N656" s="176"/>
      <c r="O656" s="176"/>
      <c r="P656" s="179">
        <v>-722.4</v>
      </c>
    </row>
    <row r="657" spans="1:16" ht="19.5" customHeight="1">
      <c r="A657" s="171" t="s">
        <v>687</v>
      </c>
      <c r="B657" s="175">
        <v>46046</v>
      </c>
      <c r="C657" s="171" t="s">
        <v>110</v>
      </c>
      <c r="D657" s="171" t="s">
        <v>24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0.43</v>
      </c>
      <c r="N657" s="176"/>
      <c r="O657" s="176">
        <v>51</v>
      </c>
      <c r="P657" s="179">
        <v>-290.97000000000003</v>
      </c>
    </row>
    <row r="658" spans="1:16" ht="19.5" customHeight="1">
      <c r="A658" s="171" t="s">
        <v>687</v>
      </c>
      <c r="B658" s="175">
        <v>46046</v>
      </c>
      <c r="C658" s="171" t="s">
        <v>127</v>
      </c>
      <c r="D658" s="171" t="s">
        <v>128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2133.21</v>
      </c>
    </row>
    <row r="659" spans="1:16" ht="19.5" customHeight="1">
      <c r="A659" s="171" t="s">
        <v>687</v>
      </c>
      <c r="B659" s="175">
        <v>46046</v>
      </c>
      <c r="C659" s="171" t="s">
        <v>127</v>
      </c>
      <c r="D659" s="171" t="s">
        <v>129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21.33</v>
      </c>
    </row>
    <row r="660" spans="1:16" ht="19.5" customHeight="1">
      <c r="A660" s="171" t="s">
        <v>687</v>
      </c>
      <c r="B660" s="175">
        <v>46046</v>
      </c>
      <c r="C660" s="171" t="s">
        <v>127</v>
      </c>
      <c r="D660" s="171" t="s">
        <v>130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2785.46</v>
      </c>
    </row>
    <row r="661" spans="1:16" ht="19.5" customHeight="1">
      <c r="A661" s="171" t="s">
        <v>687</v>
      </c>
      <c r="B661" s="175">
        <v>46046</v>
      </c>
      <c r="C661" s="171" t="s">
        <v>131</v>
      </c>
      <c r="D661" s="171" t="s">
        <v>132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-2124.1999999999998</v>
      </c>
    </row>
    <row r="662" spans="1:16" ht="19.5" customHeight="1">
      <c r="A662" s="171" t="s">
        <v>687</v>
      </c>
      <c r="B662" s="175">
        <v>46046</v>
      </c>
      <c r="C662" s="171" t="s">
        <v>115</v>
      </c>
      <c r="D662" s="171" t="s">
        <v>116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4940</v>
      </c>
      <c r="J662" s="175">
        <v>46040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-11.66</v>
      </c>
    </row>
    <row r="663" spans="1:16" ht="19.5" customHeight="1">
      <c r="A663" s="171" t="s">
        <v>687</v>
      </c>
      <c r="B663" s="175">
        <v>46046</v>
      </c>
      <c r="C663" s="171" t="s">
        <v>115</v>
      </c>
      <c r="D663" s="171" t="s">
        <v>135</v>
      </c>
      <c r="E663" s="171" t="s">
        <v>78</v>
      </c>
      <c r="F663" s="171" t="s">
        <v>176</v>
      </c>
      <c r="G663" s="171" t="s">
        <v>177</v>
      </c>
      <c r="H663" s="176">
        <v>1</v>
      </c>
      <c r="I663" s="177">
        <v>0</v>
      </c>
      <c r="J663" s="175">
        <v>46040</v>
      </c>
      <c r="K663" s="171" t="s">
        <v>125</v>
      </c>
      <c r="L663" s="171" t="s">
        <v>125</v>
      </c>
      <c r="M663" s="178">
        <v>0</v>
      </c>
      <c r="N663" s="176"/>
      <c r="O663" s="176"/>
      <c r="P663" s="179">
        <v>-40.53</v>
      </c>
    </row>
    <row r="664" spans="1:16" ht="19.5" customHeight="1">
      <c r="A664" s="171" t="s">
        <v>688</v>
      </c>
      <c r="B664" s="175">
        <v>46046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0.43</v>
      </c>
      <c r="N664" s="176"/>
      <c r="O664" s="176">
        <v>53</v>
      </c>
      <c r="P664" s="179">
        <v>-148.38</v>
      </c>
    </row>
    <row r="665" spans="1:16" ht="19.5" customHeight="1">
      <c r="A665" s="171" t="s">
        <v>688</v>
      </c>
      <c r="B665" s="175">
        <v>46046</v>
      </c>
      <c r="C665" s="171" t="s">
        <v>127</v>
      </c>
      <c r="D665" s="171" t="s">
        <v>128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616.19000000000005</v>
      </c>
    </row>
    <row r="666" spans="1:16" ht="19.5" customHeight="1">
      <c r="A666" s="171" t="s">
        <v>688</v>
      </c>
      <c r="B666" s="175">
        <v>46046</v>
      </c>
      <c r="C666" s="171" t="s">
        <v>127</v>
      </c>
      <c r="D666" s="171" t="s">
        <v>129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6.16</v>
      </c>
    </row>
    <row r="667" spans="1:16" ht="19.5" customHeight="1">
      <c r="A667" s="171" t="s">
        <v>688</v>
      </c>
      <c r="B667" s="175">
        <v>46046</v>
      </c>
      <c r="C667" s="171" t="s">
        <v>127</v>
      </c>
      <c r="D667" s="171" t="s">
        <v>130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1047.6500000000001</v>
      </c>
    </row>
    <row r="668" spans="1:16" ht="19.5" customHeight="1">
      <c r="A668" s="171" t="s">
        <v>688</v>
      </c>
      <c r="B668" s="175">
        <v>46046</v>
      </c>
      <c r="C668" s="171" t="s">
        <v>131</v>
      </c>
      <c r="D668" s="171" t="s">
        <v>132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-718.1</v>
      </c>
    </row>
    <row r="669" spans="1:16" ht="19.5" customHeight="1">
      <c r="A669" s="171" t="s">
        <v>688</v>
      </c>
      <c r="B669" s="175">
        <v>46046</v>
      </c>
      <c r="C669" s="171" t="s">
        <v>115</v>
      </c>
      <c r="D669" s="171" t="s">
        <v>116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46041</v>
      </c>
      <c r="K669" s="171" t="s">
        <v>113</v>
      </c>
      <c r="L669" s="171" t="s">
        <v>114</v>
      </c>
      <c r="M669" s="178">
        <v>0.43</v>
      </c>
      <c r="N669" s="176"/>
      <c r="O669" s="176"/>
      <c r="P669" s="179">
        <v>-13.18</v>
      </c>
    </row>
    <row r="670" spans="1:16" ht="19.5" customHeight="1">
      <c r="A670" s="171" t="s">
        <v>688</v>
      </c>
      <c r="B670" s="175">
        <v>46046</v>
      </c>
      <c r="C670" s="171" t="s">
        <v>115</v>
      </c>
      <c r="D670" s="171" t="s">
        <v>135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0</v>
      </c>
      <c r="J670" s="175">
        <v>46041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-11.71</v>
      </c>
    </row>
    <row r="671" spans="1:16" ht="19.5" customHeight="1">
      <c r="A671" s="171" t="s">
        <v>689</v>
      </c>
      <c r="B671" s="175">
        <v>46046</v>
      </c>
      <c r="C671" s="171" t="s">
        <v>110</v>
      </c>
      <c r="D671" s="171" t="s">
        <v>24</v>
      </c>
      <c r="E671" s="171" t="s">
        <v>54</v>
      </c>
      <c r="F671" s="171" t="s">
        <v>690</v>
      </c>
      <c r="G671" s="171" t="s">
        <v>691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0.43</v>
      </c>
      <c r="N671" s="176"/>
      <c r="O671" s="176">
        <v>47</v>
      </c>
      <c r="P671" s="179">
        <v>-227.41</v>
      </c>
    </row>
    <row r="672" spans="1:16" ht="19.5" customHeight="1">
      <c r="A672" s="171" t="s">
        <v>689</v>
      </c>
      <c r="B672" s="175">
        <v>46046</v>
      </c>
      <c r="C672" s="171" t="s">
        <v>127</v>
      </c>
      <c r="D672" s="171" t="s">
        <v>128</v>
      </c>
      <c r="E672" s="171" t="s">
        <v>54</v>
      </c>
      <c r="F672" s="171" t="s">
        <v>690</v>
      </c>
      <c r="G672" s="171" t="s">
        <v>691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1978.14</v>
      </c>
    </row>
    <row r="673" spans="1:16" ht="19.5" customHeight="1">
      <c r="A673" s="171" t="s">
        <v>689</v>
      </c>
      <c r="B673" s="175">
        <v>46046</v>
      </c>
      <c r="C673" s="171" t="s">
        <v>127</v>
      </c>
      <c r="D673" s="171" t="s">
        <v>129</v>
      </c>
      <c r="E673" s="171" t="s">
        <v>54</v>
      </c>
      <c r="F673" s="171" t="s">
        <v>690</v>
      </c>
      <c r="G673" s="171" t="s">
        <v>691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19.78</v>
      </c>
    </row>
    <row r="674" spans="1:16" ht="19.5" customHeight="1">
      <c r="A674" s="171" t="s">
        <v>689</v>
      </c>
      <c r="B674" s="175">
        <v>46046</v>
      </c>
      <c r="C674" s="171" t="s">
        <v>127</v>
      </c>
      <c r="D674" s="171" t="s">
        <v>130</v>
      </c>
      <c r="E674" s="171" t="s">
        <v>54</v>
      </c>
      <c r="F674" s="171" t="s">
        <v>690</v>
      </c>
      <c r="G674" s="171" t="s">
        <v>691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1665.08</v>
      </c>
    </row>
    <row r="675" spans="1:16" ht="19.5" customHeight="1">
      <c r="A675" s="171" t="s">
        <v>689</v>
      </c>
      <c r="B675" s="175">
        <v>46046</v>
      </c>
      <c r="C675" s="171" t="s">
        <v>131</v>
      </c>
      <c r="D675" s="171" t="s">
        <v>132</v>
      </c>
      <c r="E675" s="171" t="s">
        <v>54</v>
      </c>
      <c r="F675" s="171" t="s">
        <v>690</v>
      </c>
      <c r="G675" s="171" t="s">
        <v>691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-1575.09</v>
      </c>
    </row>
    <row r="676" spans="1:16" ht="19.5" customHeight="1">
      <c r="A676" s="171" t="s">
        <v>689</v>
      </c>
      <c r="B676" s="175">
        <v>46046</v>
      </c>
      <c r="C676" s="171" t="s">
        <v>115</v>
      </c>
      <c r="D676" s="171" t="s">
        <v>116</v>
      </c>
      <c r="E676" s="171" t="s">
        <v>54</v>
      </c>
      <c r="F676" s="171" t="s">
        <v>690</v>
      </c>
      <c r="G676" s="171" t="s">
        <v>691</v>
      </c>
      <c r="H676" s="176">
        <v>1</v>
      </c>
      <c r="I676" s="177">
        <v>3663</v>
      </c>
      <c r="J676" s="175">
        <v>46032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-16.760000000000002</v>
      </c>
    </row>
    <row r="677" spans="1:16" ht="19.5" customHeight="1">
      <c r="A677" s="171" t="s">
        <v>689</v>
      </c>
      <c r="B677" s="175">
        <v>46046</v>
      </c>
      <c r="C677" s="171" t="s">
        <v>115</v>
      </c>
      <c r="D677" s="171" t="s">
        <v>135</v>
      </c>
      <c r="E677" s="171" t="s">
        <v>54</v>
      </c>
      <c r="F677" s="171" t="s">
        <v>690</v>
      </c>
      <c r="G677" s="171" t="s">
        <v>691</v>
      </c>
      <c r="H677" s="176">
        <v>1</v>
      </c>
      <c r="I677" s="177">
        <v>0</v>
      </c>
      <c r="J677" s="175">
        <v>46032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-37.58</v>
      </c>
    </row>
    <row r="678" spans="1:16" ht="19.5" customHeight="1">
      <c r="A678" s="171" t="s">
        <v>692</v>
      </c>
      <c r="B678" s="175">
        <v>46046</v>
      </c>
      <c r="C678" s="171" t="s">
        <v>110</v>
      </c>
      <c r="D678" s="171" t="s">
        <v>24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0.43</v>
      </c>
      <c r="N678" s="176"/>
      <c r="O678" s="176">
        <v>54</v>
      </c>
      <c r="P678" s="179">
        <v>-148.9</v>
      </c>
    </row>
    <row r="679" spans="1:16" ht="19.5" customHeight="1">
      <c r="A679" s="171" t="s">
        <v>692</v>
      </c>
      <c r="B679" s="175">
        <v>46046</v>
      </c>
      <c r="C679" s="171" t="s">
        <v>127</v>
      </c>
      <c r="D679" s="171" t="s">
        <v>128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615.24</v>
      </c>
    </row>
    <row r="680" spans="1:16" ht="19.5" customHeight="1">
      <c r="A680" s="171" t="s">
        <v>692</v>
      </c>
      <c r="B680" s="175">
        <v>46046</v>
      </c>
      <c r="C680" s="171" t="s">
        <v>127</v>
      </c>
      <c r="D680" s="171" t="s">
        <v>129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6.15</v>
      </c>
    </row>
    <row r="681" spans="1:16" ht="19.5" customHeight="1">
      <c r="A681" s="171" t="s">
        <v>692</v>
      </c>
      <c r="B681" s="175">
        <v>46046</v>
      </c>
      <c r="C681" s="171" t="s">
        <v>127</v>
      </c>
      <c r="D681" s="171" t="s">
        <v>130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1048.6099999999999</v>
      </c>
    </row>
    <row r="682" spans="1:16" ht="19.5" customHeight="1">
      <c r="A682" s="171" t="s">
        <v>692</v>
      </c>
      <c r="B682" s="175">
        <v>46046</v>
      </c>
      <c r="C682" s="171" t="s">
        <v>131</v>
      </c>
      <c r="D682" s="171" t="s">
        <v>132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-718.1</v>
      </c>
    </row>
    <row r="683" spans="1:16" ht="19.5" customHeight="1">
      <c r="A683" s="171" t="s">
        <v>692</v>
      </c>
      <c r="B683" s="175">
        <v>46046</v>
      </c>
      <c r="C683" s="171" t="s">
        <v>115</v>
      </c>
      <c r="D683" s="171" t="s">
        <v>116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-8.0399999999999991</v>
      </c>
    </row>
    <row r="684" spans="1:16" ht="19.5" customHeight="1">
      <c r="A684" s="171" t="s">
        <v>693</v>
      </c>
      <c r="B684" s="175">
        <v>46046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0.43</v>
      </c>
      <c r="N684" s="176"/>
      <c r="O684" s="176">
        <v>54</v>
      </c>
      <c r="P684" s="179">
        <v>-148.9</v>
      </c>
    </row>
    <row r="685" spans="1:16" ht="19.5" customHeight="1">
      <c r="A685" s="171" t="s">
        <v>693</v>
      </c>
      <c r="B685" s="175">
        <v>46046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579.45000000000005</v>
      </c>
    </row>
    <row r="686" spans="1:16" ht="19.5" customHeight="1">
      <c r="A686" s="171" t="s">
        <v>693</v>
      </c>
      <c r="B686" s="175">
        <v>46046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5.79</v>
      </c>
    </row>
    <row r="687" spans="1:16" ht="19.5" customHeight="1">
      <c r="A687" s="171" t="s">
        <v>693</v>
      </c>
      <c r="B687" s="175">
        <v>46046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1084.76</v>
      </c>
    </row>
    <row r="688" spans="1:16" ht="19.5" customHeight="1">
      <c r="A688" s="171" t="s">
        <v>693</v>
      </c>
      <c r="B688" s="175">
        <v>46046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-718.1</v>
      </c>
    </row>
    <row r="689" spans="1:16" ht="19.5" customHeight="1">
      <c r="A689" s="171" t="s">
        <v>693</v>
      </c>
      <c r="B689" s="175">
        <v>46046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1670</v>
      </c>
      <c r="J689" s="175">
        <v>46044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-8.89</v>
      </c>
    </row>
    <row r="690" spans="1:16" ht="19.5" customHeight="1">
      <c r="A690" s="171" t="s">
        <v>692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46044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-11.69</v>
      </c>
    </row>
    <row r="691" spans="1:16" ht="19.5" customHeight="1">
      <c r="A691" s="171" t="s">
        <v>694</v>
      </c>
      <c r="B691" s="175">
        <v>46046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46046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-14.89</v>
      </c>
    </row>
    <row r="692" spans="1:16" ht="19.5" customHeight="1">
      <c r="A692" s="171" t="s">
        <v>695</v>
      </c>
      <c r="B692" s="175">
        <v>46046</v>
      </c>
      <c r="C692" s="171" t="s">
        <v>110</v>
      </c>
      <c r="D692" s="171" t="s">
        <v>24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0.43</v>
      </c>
      <c r="N692" s="176"/>
      <c r="O692" s="176">
        <v>51</v>
      </c>
      <c r="P692" s="179">
        <v>-290.97000000000003</v>
      </c>
    </row>
    <row r="693" spans="1:16" ht="19.5" customHeight="1">
      <c r="A693" s="171" t="s">
        <v>695</v>
      </c>
      <c r="B693" s="175">
        <v>46046</v>
      </c>
      <c r="C693" s="171" t="s">
        <v>127</v>
      </c>
      <c r="D693" s="171" t="s">
        <v>128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2075.2399999999998</v>
      </c>
    </row>
    <row r="694" spans="1:16" ht="19.5" customHeight="1">
      <c r="A694" s="171" t="s">
        <v>695</v>
      </c>
      <c r="B694" s="175">
        <v>46046</v>
      </c>
      <c r="C694" s="171" t="s">
        <v>127</v>
      </c>
      <c r="D694" s="171" t="s">
        <v>129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695</v>
      </c>
      <c r="B695" s="175">
        <v>46046</v>
      </c>
      <c r="C695" s="171" t="s">
        <v>127</v>
      </c>
      <c r="D695" s="171" t="s">
        <v>130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2864.76</v>
      </c>
    </row>
    <row r="696" spans="1:16" ht="19.5" customHeight="1">
      <c r="A696" s="171" t="s">
        <v>695</v>
      </c>
      <c r="B696" s="175">
        <v>46046</v>
      </c>
      <c r="C696" s="171" t="s">
        <v>131</v>
      </c>
      <c r="D696" s="171" t="s">
        <v>132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-2124.1999999999998</v>
      </c>
    </row>
    <row r="697" spans="1:16" ht="19.5" customHeight="1">
      <c r="A697" s="171" t="s">
        <v>695</v>
      </c>
      <c r="B697" s="175">
        <v>46046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4940</v>
      </c>
      <c r="J697" s="175">
        <v>46045</v>
      </c>
      <c r="K697" s="171" t="s">
        <v>113</v>
      </c>
      <c r="L697" s="171" t="s">
        <v>114</v>
      </c>
      <c r="M697" s="178">
        <v>0.43</v>
      </c>
      <c r="N697" s="176"/>
      <c r="O697" s="176"/>
      <c r="P697" s="179">
        <v>-13.95</v>
      </c>
    </row>
    <row r="698" spans="1:16" ht="19.5" customHeight="1">
      <c r="A698" s="171" t="s">
        <v>695</v>
      </c>
      <c r="B698" s="175">
        <v>46046</v>
      </c>
      <c r="C698" s="171" t="s">
        <v>115</v>
      </c>
      <c r="D698" s="171" t="s">
        <v>135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46045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-11</v>
      </c>
    </row>
    <row r="699" spans="1:16" ht="19.5" customHeight="1">
      <c r="A699" s="171" t="s">
        <v>696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-15.58</v>
      </c>
    </row>
    <row r="700" spans="1:16" ht="19.5" customHeight="1">
      <c r="A700" s="171" t="s">
        <v>697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-14.26</v>
      </c>
    </row>
    <row r="701" spans="1:16" ht="19.5" customHeight="1">
      <c r="A701" s="171" t="s">
        <v>697</v>
      </c>
      <c r="B701" s="175">
        <v>46046</v>
      </c>
      <c r="C701" s="171" t="s">
        <v>115</v>
      </c>
      <c r="D701" s="171" t="s">
        <v>135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46046</v>
      </c>
      <c r="K701" s="171" t="s">
        <v>125</v>
      </c>
      <c r="L701" s="171" t="s">
        <v>125</v>
      </c>
      <c r="M701" s="178">
        <v>0</v>
      </c>
      <c r="N701" s="176"/>
      <c r="O701" s="176"/>
      <c r="P701" s="179">
        <v>14.26</v>
      </c>
    </row>
    <row r="702" spans="1:16" ht="19.5" customHeight="1">
      <c r="A702" s="171" t="s">
        <v>698</v>
      </c>
      <c r="B702" s="175">
        <v>46046</v>
      </c>
      <c r="C702" s="171" t="s">
        <v>110</v>
      </c>
      <c r="D702" s="171" t="s">
        <v>24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0.43</v>
      </c>
      <c r="N702" s="176"/>
      <c r="O702" s="176">
        <v>52</v>
      </c>
      <c r="P702" s="179">
        <v>-262.7</v>
      </c>
    </row>
    <row r="703" spans="1:16" ht="19.5" customHeight="1">
      <c r="A703" s="171" t="s">
        <v>698</v>
      </c>
      <c r="B703" s="175">
        <v>46046</v>
      </c>
      <c r="C703" s="171" t="s">
        <v>127</v>
      </c>
      <c r="D703" s="171" t="s">
        <v>128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1757.35</v>
      </c>
    </row>
    <row r="704" spans="1:16" ht="19.5" customHeight="1">
      <c r="A704" s="171" t="s">
        <v>698</v>
      </c>
      <c r="B704" s="175">
        <v>46046</v>
      </c>
      <c r="C704" s="171" t="s">
        <v>127</v>
      </c>
      <c r="D704" s="171" t="s">
        <v>129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17.57</v>
      </c>
    </row>
    <row r="705" spans="1:16" ht="19.5" customHeight="1">
      <c r="A705" s="171" t="s">
        <v>698</v>
      </c>
      <c r="B705" s="175">
        <v>46046</v>
      </c>
      <c r="C705" s="171" t="s">
        <v>127</v>
      </c>
      <c r="D705" s="171" t="s">
        <v>130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2403.08</v>
      </c>
    </row>
    <row r="706" spans="1:16" ht="19.5" customHeight="1">
      <c r="A706" s="171" t="s">
        <v>698</v>
      </c>
      <c r="B706" s="175">
        <v>46046</v>
      </c>
      <c r="C706" s="171" t="s">
        <v>131</v>
      </c>
      <c r="D706" s="171" t="s">
        <v>132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-1796.54</v>
      </c>
    </row>
    <row r="707" spans="1:16" ht="19.5" customHeight="1">
      <c r="A707" s="171" t="s">
        <v>698</v>
      </c>
      <c r="B707" s="175">
        <v>46046</v>
      </c>
      <c r="C707" s="171" t="s">
        <v>115</v>
      </c>
      <c r="D707" s="171" t="s">
        <v>116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4178</v>
      </c>
      <c r="J707" s="175">
        <v>46042</v>
      </c>
      <c r="K707" s="171" t="s">
        <v>113</v>
      </c>
      <c r="L707" s="171" t="s">
        <v>114</v>
      </c>
      <c r="M707" s="178">
        <v>0.43</v>
      </c>
      <c r="N707" s="176"/>
      <c r="O707" s="176"/>
      <c r="P707" s="179">
        <v>-17.28</v>
      </c>
    </row>
    <row r="708" spans="1:16" ht="19.5" customHeight="1">
      <c r="A708" s="171" t="s">
        <v>699</v>
      </c>
      <c r="B708" s="175">
        <v>46046</v>
      </c>
      <c r="C708" s="171" t="s">
        <v>110</v>
      </c>
      <c r="D708" s="171" t="s">
        <v>24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0.43</v>
      </c>
      <c r="N708" s="176"/>
      <c r="O708" s="176">
        <v>51</v>
      </c>
      <c r="P708" s="179">
        <v>-152.66</v>
      </c>
    </row>
    <row r="709" spans="1:16" ht="19.5" customHeight="1">
      <c r="A709" s="171" t="s">
        <v>699</v>
      </c>
      <c r="B709" s="175">
        <v>46046</v>
      </c>
      <c r="C709" s="171" t="s">
        <v>127</v>
      </c>
      <c r="D709" s="171" t="s">
        <v>128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778.1</v>
      </c>
    </row>
    <row r="710" spans="1:16" ht="19.5" customHeight="1">
      <c r="A710" s="171" t="s">
        <v>699</v>
      </c>
      <c r="B710" s="175">
        <v>46046</v>
      </c>
      <c r="C710" s="171" t="s">
        <v>127</v>
      </c>
      <c r="D710" s="171" t="s">
        <v>129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7.78</v>
      </c>
    </row>
    <row r="711" spans="1:16" ht="19.5" customHeight="1">
      <c r="A711" s="171" t="s">
        <v>699</v>
      </c>
      <c r="B711" s="175">
        <v>46046</v>
      </c>
      <c r="C711" s="171" t="s">
        <v>127</v>
      </c>
      <c r="D711" s="171" t="s">
        <v>130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1029.1199999999999</v>
      </c>
    </row>
    <row r="712" spans="1:16" ht="19.5" customHeight="1">
      <c r="A712" s="171" t="s">
        <v>699</v>
      </c>
      <c r="B712" s="175">
        <v>46046</v>
      </c>
      <c r="C712" s="171" t="s">
        <v>131</v>
      </c>
      <c r="D712" s="171" t="s">
        <v>132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-780.45</v>
      </c>
    </row>
    <row r="713" spans="1:16" ht="19.5" customHeight="1">
      <c r="A713" s="171" t="s">
        <v>699</v>
      </c>
      <c r="B713" s="175">
        <v>46046</v>
      </c>
      <c r="C713" s="171" t="s">
        <v>115</v>
      </c>
      <c r="D713" s="171" t="s">
        <v>116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1815</v>
      </c>
      <c r="J713" s="175">
        <v>46045</v>
      </c>
      <c r="K713" s="171" t="s">
        <v>113</v>
      </c>
      <c r="L713" s="171" t="s">
        <v>114</v>
      </c>
      <c r="M713" s="178">
        <v>0.43</v>
      </c>
      <c r="N713" s="176"/>
      <c r="O713" s="176"/>
      <c r="P713" s="179">
        <v>-12.57</v>
      </c>
    </row>
    <row r="714" spans="1:16" ht="19.5" customHeight="1">
      <c r="A714" s="171" t="s">
        <v>700</v>
      </c>
      <c r="B714" s="175">
        <v>46046</v>
      </c>
      <c r="C714" s="171" t="s">
        <v>110</v>
      </c>
      <c r="D714" s="171" t="s">
        <v>24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0.43</v>
      </c>
      <c r="N714" s="176"/>
      <c r="O714" s="176">
        <v>54</v>
      </c>
      <c r="P714" s="179">
        <v>-148.9</v>
      </c>
    </row>
    <row r="715" spans="1:16" ht="19.5" customHeight="1">
      <c r="A715" s="171" t="s">
        <v>700</v>
      </c>
      <c r="B715" s="175">
        <v>46046</v>
      </c>
      <c r="C715" s="171" t="s">
        <v>127</v>
      </c>
      <c r="D715" s="171" t="s">
        <v>128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681.9</v>
      </c>
    </row>
    <row r="716" spans="1:16" ht="19.5" customHeight="1">
      <c r="A716" s="171" t="s">
        <v>700</v>
      </c>
      <c r="B716" s="175">
        <v>46046</v>
      </c>
      <c r="C716" s="171" t="s">
        <v>127</v>
      </c>
      <c r="D716" s="171" t="s">
        <v>129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700</v>
      </c>
      <c r="B717" s="175">
        <v>46046</v>
      </c>
      <c r="C717" s="171" t="s">
        <v>127</v>
      </c>
      <c r="D717" s="171" t="s">
        <v>130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988.1</v>
      </c>
    </row>
    <row r="718" spans="1:16" ht="19.5" customHeight="1">
      <c r="A718" s="171" t="s">
        <v>700</v>
      </c>
      <c r="B718" s="175">
        <v>46046</v>
      </c>
      <c r="C718" s="171" t="s">
        <v>131</v>
      </c>
      <c r="D718" s="171" t="s">
        <v>132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-718.1</v>
      </c>
    </row>
    <row r="719" spans="1:16" ht="19.5" customHeight="1">
      <c r="A719" s="171" t="s">
        <v>700</v>
      </c>
      <c r="B719" s="175">
        <v>46046</v>
      </c>
      <c r="C719" s="171" t="s">
        <v>115</v>
      </c>
      <c r="D719" s="171" t="s">
        <v>116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1670</v>
      </c>
      <c r="J719" s="175">
        <v>46044</v>
      </c>
      <c r="K719" s="171" t="s">
        <v>113</v>
      </c>
      <c r="L719" s="171" t="s">
        <v>114</v>
      </c>
      <c r="M719" s="178">
        <v>0.43</v>
      </c>
      <c r="N719" s="176"/>
      <c r="O719" s="176"/>
      <c r="P719" s="179">
        <v>-7.4</v>
      </c>
    </row>
    <row r="720" spans="1:16" ht="19.5" customHeight="1">
      <c r="A720" s="171" t="s">
        <v>698</v>
      </c>
      <c r="B720" s="175">
        <v>46046</v>
      </c>
      <c r="C720" s="171" t="s">
        <v>115</v>
      </c>
      <c r="D720" s="171" t="s">
        <v>135</v>
      </c>
      <c r="E720" s="171" t="s">
        <v>77</v>
      </c>
      <c r="F720" s="171" t="s">
        <v>194</v>
      </c>
      <c r="G720" s="171" t="s">
        <v>177</v>
      </c>
      <c r="H720" s="176">
        <v>1</v>
      </c>
      <c r="I720" s="177">
        <v>0</v>
      </c>
      <c r="J720" s="175">
        <v>46042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-33.39</v>
      </c>
    </row>
    <row r="721" spans="1:16" ht="19.5" customHeight="1">
      <c r="A721" s="171" t="s">
        <v>699</v>
      </c>
      <c r="B721" s="175">
        <v>46046</v>
      </c>
      <c r="C721" s="171" t="s">
        <v>115</v>
      </c>
      <c r="D721" s="171" t="s">
        <v>135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0</v>
      </c>
      <c r="J721" s="175">
        <v>46045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-14.78</v>
      </c>
    </row>
    <row r="722" spans="1:16" ht="19.5" customHeight="1">
      <c r="A722" s="171" t="s">
        <v>700</v>
      </c>
      <c r="B722" s="175">
        <v>46046</v>
      </c>
      <c r="C722" s="171" t="s">
        <v>115</v>
      </c>
      <c r="D722" s="171" t="s">
        <v>135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46044</v>
      </c>
      <c r="K722" s="171" t="s">
        <v>125</v>
      </c>
      <c r="L722" s="171" t="s">
        <v>125</v>
      </c>
      <c r="M722" s="178">
        <v>0</v>
      </c>
      <c r="N722" s="176"/>
      <c r="O722" s="176"/>
      <c r="P722" s="179">
        <v>-6.96</v>
      </c>
    </row>
    <row r="723" spans="1:16" ht="19.5" customHeight="1">
      <c r="A723" s="171" t="s">
        <v>701</v>
      </c>
      <c r="B723" s="175">
        <v>46046</v>
      </c>
      <c r="C723" s="171" t="s">
        <v>511</v>
      </c>
      <c r="D723" s="171" t="s">
        <v>512</v>
      </c>
      <c r="E723" s="171" t="s">
        <v>68</v>
      </c>
      <c r="F723" s="171" t="s">
        <v>702</v>
      </c>
      <c r="G723" s="171" t="s">
        <v>703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-5</v>
      </c>
    </row>
    <row r="724" spans="1:16" ht="19.5" customHeight="1">
      <c r="A724" s="171" t="s">
        <v>701</v>
      </c>
      <c r="B724" s="175">
        <v>46046</v>
      </c>
      <c r="C724" s="171" t="s">
        <v>115</v>
      </c>
      <c r="D724" s="171" t="s">
        <v>514</v>
      </c>
      <c r="E724" s="171" t="s">
        <v>68</v>
      </c>
      <c r="F724" s="171" t="s">
        <v>702</v>
      </c>
      <c r="G724" s="171" t="s">
        <v>703</v>
      </c>
      <c r="H724" s="176">
        <v>1</v>
      </c>
      <c r="I724" s="177">
        <v>0</v>
      </c>
      <c r="J724" s="175">
        <v>46042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-10</v>
      </c>
    </row>
    <row r="725" spans="1:16" ht="19.5" customHeight="1">
      <c r="A725" s="171" t="s">
        <v>704</v>
      </c>
      <c r="B725" s="175">
        <v>46046</v>
      </c>
      <c r="C725" s="171" t="s">
        <v>110</v>
      </c>
      <c r="D725" s="171" t="s">
        <v>24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0.43</v>
      </c>
      <c r="N725" s="176"/>
      <c r="O725" s="176">
        <v>52</v>
      </c>
      <c r="P725" s="179">
        <v>-146.22999999999999</v>
      </c>
    </row>
    <row r="726" spans="1:16" ht="19.5" customHeight="1">
      <c r="A726" s="171" t="s">
        <v>704</v>
      </c>
      <c r="B726" s="175">
        <v>46046</v>
      </c>
      <c r="C726" s="171" t="s">
        <v>127</v>
      </c>
      <c r="D726" s="171" t="s">
        <v>128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574.29</v>
      </c>
    </row>
    <row r="727" spans="1:16" ht="19.5" customHeight="1">
      <c r="A727" s="171" t="s">
        <v>704</v>
      </c>
      <c r="B727" s="175">
        <v>46046</v>
      </c>
      <c r="C727" s="171" t="s">
        <v>127</v>
      </c>
      <c r="D727" s="171" t="s">
        <v>129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5.74</v>
      </c>
    </row>
    <row r="728" spans="1:16" ht="19.5" customHeight="1">
      <c r="A728" s="171" t="s">
        <v>704</v>
      </c>
      <c r="B728" s="175">
        <v>46046</v>
      </c>
      <c r="C728" s="171" t="s">
        <v>127</v>
      </c>
      <c r="D728" s="171" t="s">
        <v>130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1089.97</v>
      </c>
    </row>
    <row r="729" spans="1:16" ht="19.5" customHeight="1">
      <c r="A729" s="171" t="s">
        <v>704</v>
      </c>
      <c r="B729" s="175">
        <v>46046</v>
      </c>
      <c r="C729" s="171" t="s">
        <v>131</v>
      </c>
      <c r="D729" s="171" t="s">
        <v>132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-718.1</v>
      </c>
    </row>
    <row r="730" spans="1:16" ht="19.5" customHeight="1">
      <c r="A730" s="171" t="s">
        <v>704</v>
      </c>
      <c r="B730" s="175">
        <v>46046</v>
      </c>
      <c r="C730" s="171" t="s">
        <v>115</v>
      </c>
      <c r="D730" s="171" t="s">
        <v>116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1670</v>
      </c>
      <c r="J730" s="175">
        <v>46043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-7.61</v>
      </c>
    </row>
    <row r="731" spans="1:16" ht="19.5" customHeight="1">
      <c r="A731" s="171" t="s">
        <v>704</v>
      </c>
      <c r="B731" s="175">
        <v>46046</v>
      </c>
      <c r="C731" s="171" t="s">
        <v>115</v>
      </c>
      <c r="D731" s="171" t="s">
        <v>135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46043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-10.91</v>
      </c>
    </row>
    <row r="732" spans="1:16" ht="19.5" customHeight="1">
      <c r="A732" s="171" t="s">
        <v>705</v>
      </c>
      <c r="B732" s="175">
        <v>46046</v>
      </c>
      <c r="C732" s="171" t="s">
        <v>115</v>
      </c>
      <c r="D732" s="171" t="s">
        <v>135</v>
      </c>
      <c r="E732" s="171" t="s">
        <v>77</v>
      </c>
      <c r="F732" s="171" t="s">
        <v>194</v>
      </c>
      <c r="G732" s="171" t="s">
        <v>177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-11.09</v>
      </c>
    </row>
    <row r="733" spans="1:16" ht="19.5" customHeight="1">
      <c r="A733" s="171" t="s">
        <v>706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-15.57</v>
      </c>
    </row>
    <row r="734" spans="1:16" ht="19.5" customHeight="1">
      <c r="A734" s="171" t="s">
        <v>707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-15.58</v>
      </c>
    </row>
    <row r="735" spans="1:16" ht="19.5" customHeight="1">
      <c r="A735" s="171" t="s">
        <v>708</v>
      </c>
      <c r="B735" s="175">
        <v>46046</v>
      </c>
      <c r="C735" s="171" t="s">
        <v>115</v>
      </c>
      <c r="D735" s="171" t="s">
        <v>135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-8</v>
      </c>
    </row>
    <row r="736" spans="1:16" ht="19.5" customHeight="1">
      <c r="A736" s="171" t="s">
        <v>709</v>
      </c>
      <c r="B736" s="175">
        <v>46046</v>
      </c>
      <c r="C736" s="171" t="s">
        <v>115</v>
      </c>
      <c r="D736" s="171" t="s">
        <v>135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0</v>
      </c>
      <c r="J736" s="175">
        <v>46046</v>
      </c>
      <c r="K736" s="171" t="s">
        <v>125</v>
      </c>
      <c r="L736" s="171" t="s">
        <v>125</v>
      </c>
      <c r="M736" s="178">
        <v>0</v>
      </c>
      <c r="N736" s="176"/>
      <c r="O736" s="176"/>
      <c r="P736" s="179">
        <v>-40.369999999999997</v>
      </c>
    </row>
    <row r="737" spans="1:16" ht="19.5" customHeight="1">
      <c r="A737" s="171" t="s">
        <v>710</v>
      </c>
      <c r="B737" s="175">
        <v>46046</v>
      </c>
      <c r="C737" s="171" t="s">
        <v>110</v>
      </c>
      <c r="D737" s="171" t="s">
        <v>24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>
        <v>51</v>
      </c>
      <c r="P737" s="179">
        <v>-56.94</v>
      </c>
    </row>
    <row r="738" spans="1:16" ht="19.5" customHeight="1">
      <c r="A738" s="171" t="s">
        <v>710</v>
      </c>
      <c r="B738" s="175">
        <v>46046</v>
      </c>
      <c r="C738" s="171" t="s">
        <v>115</v>
      </c>
      <c r="D738" s="171" t="s">
        <v>116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-17.38</v>
      </c>
    </row>
    <row r="739" spans="1:16" ht="19.5" customHeight="1">
      <c r="A739" s="171" t="s">
        <v>710</v>
      </c>
      <c r="B739" s="175">
        <v>46046</v>
      </c>
      <c r="C739" s="171" t="s">
        <v>110</v>
      </c>
      <c r="D739" s="171" t="s">
        <v>117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0</v>
      </c>
    </row>
    <row r="740" spans="1:16" ht="19.5" customHeight="1">
      <c r="A740" s="171" t="s">
        <v>710</v>
      </c>
      <c r="B740" s="175">
        <v>46046</v>
      </c>
      <c r="C740" s="171" t="s">
        <v>110</v>
      </c>
      <c r="D740" s="171" t="s">
        <v>118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-56.94</v>
      </c>
    </row>
    <row r="741" spans="1:16" ht="19.5" customHeight="1">
      <c r="A741" s="171" t="s">
        <v>710</v>
      </c>
      <c r="B741" s="175">
        <v>46046</v>
      </c>
      <c r="C741" s="171" t="s">
        <v>115</v>
      </c>
      <c r="D741" s="171" t="s">
        <v>119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-15</v>
      </c>
    </row>
    <row r="742" spans="1:16" ht="19.5" customHeight="1">
      <c r="A742" s="171" t="s">
        <v>711</v>
      </c>
      <c r="B742" s="175">
        <v>46046</v>
      </c>
      <c r="C742" s="171" t="s">
        <v>115</v>
      </c>
      <c r="D742" s="171" t="s">
        <v>135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46046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-30.74</v>
      </c>
    </row>
    <row r="743" spans="1:16" ht="19.5" customHeight="1">
      <c r="A743" s="171" t="s">
        <v>657</v>
      </c>
      <c r="B743" s="175">
        <v>46046</v>
      </c>
      <c r="C743" s="171" t="s">
        <v>110</v>
      </c>
      <c r="D743" s="171" t="s">
        <v>24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>
        <v>51</v>
      </c>
      <c r="P743" s="179">
        <v>-56.94</v>
      </c>
    </row>
    <row r="744" spans="1:16" ht="19.5" customHeight="1">
      <c r="A744" s="171" t="s">
        <v>657</v>
      </c>
      <c r="B744" s="175">
        <v>46046</v>
      </c>
      <c r="C744" s="171" t="s">
        <v>115</v>
      </c>
      <c r="D744" s="171" t="s">
        <v>116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-16.57</v>
      </c>
    </row>
    <row r="745" spans="1:16" ht="19.5" customHeight="1">
      <c r="A745" s="171" t="s">
        <v>657</v>
      </c>
      <c r="B745" s="175">
        <v>46046</v>
      </c>
      <c r="C745" s="171" t="s">
        <v>110</v>
      </c>
      <c r="D745" s="171" t="s">
        <v>117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0</v>
      </c>
    </row>
    <row r="746" spans="1:16" ht="19.5" customHeight="1">
      <c r="A746" s="171" t="s">
        <v>657</v>
      </c>
      <c r="B746" s="175">
        <v>46046</v>
      </c>
      <c r="C746" s="171" t="s">
        <v>110</v>
      </c>
      <c r="D746" s="171" t="s">
        <v>118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-56.94</v>
      </c>
    </row>
    <row r="747" spans="1:16" ht="19.5" customHeight="1">
      <c r="A747" s="171" t="s">
        <v>657</v>
      </c>
      <c r="B747" s="175">
        <v>46046</v>
      </c>
      <c r="C747" s="171" t="s">
        <v>115</v>
      </c>
      <c r="D747" s="171" t="s">
        <v>119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-15</v>
      </c>
    </row>
    <row r="748" spans="1:16" ht="19.5" customHeight="1">
      <c r="A748" s="171" t="s">
        <v>712</v>
      </c>
      <c r="B748" s="175">
        <v>46046</v>
      </c>
      <c r="C748" s="171" t="s">
        <v>110</v>
      </c>
      <c r="D748" s="171" t="s">
        <v>24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>
        <v>51</v>
      </c>
      <c r="P748" s="179">
        <v>-56.94</v>
      </c>
    </row>
    <row r="749" spans="1:16" ht="19.5" customHeight="1">
      <c r="A749" s="171" t="s">
        <v>712</v>
      </c>
      <c r="B749" s="175">
        <v>46046</v>
      </c>
      <c r="C749" s="171" t="s">
        <v>115</v>
      </c>
      <c r="D749" s="171" t="s">
        <v>116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-11.8</v>
      </c>
    </row>
    <row r="750" spans="1:16" ht="19.5" customHeight="1">
      <c r="A750" s="171" t="s">
        <v>712</v>
      </c>
      <c r="B750" s="175">
        <v>46046</v>
      </c>
      <c r="C750" s="171" t="s">
        <v>110</v>
      </c>
      <c r="D750" s="171" t="s">
        <v>117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0</v>
      </c>
    </row>
    <row r="751" spans="1:16" ht="19.5" customHeight="1">
      <c r="A751" s="171" t="s">
        <v>712</v>
      </c>
      <c r="B751" s="175">
        <v>46046</v>
      </c>
      <c r="C751" s="171" t="s">
        <v>110</v>
      </c>
      <c r="D751" s="171" t="s">
        <v>118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-56.94</v>
      </c>
    </row>
    <row r="752" spans="1:16" ht="19.5" customHeight="1">
      <c r="A752" s="171" t="s">
        <v>712</v>
      </c>
      <c r="B752" s="175">
        <v>46046</v>
      </c>
      <c r="C752" s="171" t="s">
        <v>115</v>
      </c>
      <c r="D752" s="171" t="s">
        <v>119</v>
      </c>
      <c r="E752" s="171" t="s">
        <v>71</v>
      </c>
      <c r="F752" s="171" t="s">
        <v>185</v>
      </c>
      <c r="G752" s="171" t="s">
        <v>177</v>
      </c>
      <c r="H752" s="176">
        <v>1</v>
      </c>
      <c r="I752" s="177">
        <v>0</v>
      </c>
      <c r="J752" s="175">
        <v>46040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-15</v>
      </c>
    </row>
    <row r="753" spans="1:16" ht="19.5" customHeight="1">
      <c r="A753" s="171" t="s">
        <v>713</v>
      </c>
      <c r="B753" s="175">
        <v>46046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-15.57</v>
      </c>
    </row>
    <row r="754" spans="1:16" ht="19.5" customHeight="1">
      <c r="A754" s="171" t="s">
        <v>714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-244.95</v>
      </c>
    </row>
    <row r="755" spans="1:16" ht="19.5" customHeight="1">
      <c r="A755" s="171" t="s">
        <v>675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-291.51</v>
      </c>
    </row>
    <row r="756" spans="1:16" ht="19.5" customHeight="1">
      <c r="A756" s="171" t="s">
        <v>569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-308.68</v>
      </c>
    </row>
    <row r="757" spans="1:16" ht="19.5" customHeight="1">
      <c r="A757" s="171" t="s">
        <v>196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-450.39</v>
      </c>
    </row>
    <row r="758" spans="1:16" ht="19.5" customHeight="1">
      <c r="A758" s="171" t="s">
        <v>180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-418.34</v>
      </c>
    </row>
    <row r="759" spans="1:16" ht="19.5" customHeight="1">
      <c r="A759" s="171" t="s">
        <v>179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-376.47</v>
      </c>
    </row>
    <row r="760" spans="1:16" ht="19.5" customHeight="1">
      <c r="A760" s="171" t="s">
        <v>153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-122.98</v>
      </c>
    </row>
    <row r="761" spans="1:16" ht="19.5" customHeight="1">
      <c r="A761" s="171" t="s">
        <v>150</v>
      </c>
      <c r="B761" s="175">
        <v>46046</v>
      </c>
      <c r="C761" s="171" t="s">
        <v>151</v>
      </c>
      <c r="D761" s="171" t="s">
        <v>152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-1281.02</v>
      </c>
    </row>
    <row r="762" spans="1:16" ht="19.5" customHeight="1">
      <c r="A762" s="171" t="s">
        <v>155</v>
      </c>
      <c r="B762" s="175">
        <v>46046</v>
      </c>
      <c r="C762" s="171" t="s">
        <v>151</v>
      </c>
      <c r="D762" s="171" t="s">
        <v>156</v>
      </c>
      <c r="E762" s="171" t="s">
        <v>125</v>
      </c>
      <c r="F762" s="171" t="s">
        <v>125</v>
      </c>
      <c r="G762" s="171" t="s">
        <v>125</v>
      </c>
      <c r="H762" s="176">
        <v>0</v>
      </c>
      <c r="I762" s="177">
        <v>0</v>
      </c>
      <c r="J762" s="175">
        <v>46046</v>
      </c>
      <c r="K762" s="171" t="s">
        <v>125</v>
      </c>
      <c r="L762" s="171" t="s">
        <v>125</v>
      </c>
      <c r="M762" s="178">
        <v>0</v>
      </c>
      <c r="N762" s="176"/>
      <c r="O762" s="176"/>
      <c r="P762" s="179">
        <v>-4085.9</v>
      </c>
    </row>
    <row r="763" spans="1:16" ht="19.5" customHeight="1">
      <c r="A763" s="171" t="s">
        <v>715</v>
      </c>
      <c r="B763" s="175">
        <v>46047</v>
      </c>
      <c r="C763" s="171" t="s">
        <v>110</v>
      </c>
      <c r="D763" s="171" t="s">
        <v>24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>
        <v>52</v>
      </c>
      <c r="P763" s="179">
        <v>-46.77</v>
      </c>
    </row>
    <row r="764" spans="1:16" ht="19.5" customHeight="1">
      <c r="A764" s="171" t="s">
        <v>715</v>
      </c>
      <c r="B764" s="175">
        <v>46047</v>
      </c>
      <c r="C764" s="171" t="s">
        <v>115</v>
      </c>
      <c r="D764" s="171" t="s">
        <v>116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-10.210000000000001</v>
      </c>
    </row>
    <row r="765" spans="1:16" ht="19.5" customHeight="1">
      <c r="A765" s="171" t="s">
        <v>715</v>
      </c>
      <c r="B765" s="175">
        <v>46047</v>
      </c>
      <c r="C765" s="171" t="s">
        <v>110</v>
      </c>
      <c r="D765" s="171" t="s">
        <v>117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customHeight="1">
      <c r="A766" s="171" t="s">
        <v>715</v>
      </c>
      <c r="B766" s="175">
        <v>46047</v>
      </c>
      <c r="C766" s="171" t="s">
        <v>110</v>
      </c>
      <c r="D766" s="171" t="s">
        <v>118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customHeight="1">
      <c r="A767" s="171" t="s">
        <v>715</v>
      </c>
      <c r="B767" s="175">
        <v>46047</v>
      </c>
      <c r="C767" s="171" t="s">
        <v>115</v>
      </c>
      <c r="D767" s="171" t="s">
        <v>119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46042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customHeight="1">
      <c r="A768" s="171" t="s">
        <v>716</v>
      </c>
      <c r="B768" s="175">
        <v>46047</v>
      </c>
      <c r="C768" s="171" t="s">
        <v>115</v>
      </c>
      <c r="D768" s="171" t="s">
        <v>135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0</v>
      </c>
      <c r="J768" s="175">
        <v>46047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-14.22</v>
      </c>
    </row>
    <row r="769" spans="1:16" ht="19.5" customHeight="1">
      <c r="A769" s="171" t="s">
        <v>717</v>
      </c>
      <c r="B769" s="175">
        <v>46047</v>
      </c>
      <c r="C769" s="171" t="s">
        <v>110</v>
      </c>
      <c r="D769" s="171" t="s">
        <v>117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0</v>
      </c>
    </row>
    <row r="770" spans="1:16" ht="19.5" customHeight="1">
      <c r="A770" s="171" t="s">
        <v>717</v>
      </c>
      <c r="B770" s="175">
        <v>46047</v>
      </c>
      <c r="C770" s="171" t="s">
        <v>110</v>
      </c>
      <c r="D770" s="171" t="s">
        <v>118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-46.77</v>
      </c>
    </row>
    <row r="771" spans="1:16" ht="19.5" customHeight="1">
      <c r="A771" s="171" t="s">
        <v>717</v>
      </c>
      <c r="B771" s="175">
        <v>46047</v>
      </c>
      <c r="C771" s="171" t="s">
        <v>115</v>
      </c>
      <c r="D771" s="171" t="s">
        <v>119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-15</v>
      </c>
    </row>
    <row r="772" spans="1:16" ht="19.5" customHeight="1">
      <c r="A772" s="171" t="s">
        <v>717</v>
      </c>
      <c r="B772" s="175">
        <v>46047</v>
      </c>
      <c r="C772" s="171" t="s">
        <v>110</v>
      </c>
      <c r="D772" s="171" t="s">
        <v>24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>
        <v>52</v>
      </c>
      <c r="P772" s="179">
        <v>-46.77</v>
      </c>
    </row>
    <row r="773" spans="1:16" ht="19.5" customHeight="1">
      <c r="A773" s="171" t="s">
        <v>717</v>
      </c>
      <c r="B773" s="175">
        <v>46047</v>
      </c>
      <c r="C773" s="171" t="s">
        <v>115</v>
      </c>
      <c r="D773" s="171" t="s">
        <v>116</v>
      </c>
      <c r="E773" s="171" t="s">
        <v>41</v>
      </c>
      <c r="F773" s="171" t="s">
        <v>138</v>
      </c>
      <c r="G773" s="171" t="s">
        <v>112</v>
      </c>
      <c r="H773" s="176">
        <v>1</v>
      </c>
      <c r="I773" s="177">
        <v>0</v>
      </c>
      <c r="J773" s="175">
        <v>46043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-15.26</v>
      </c>
    </row>
    <row r="774" spans="1:16" ht="19.5" customHeight="1">
      <c r="A774" s="171" t="s">
        <v>718</v>
      </c>
      <c r="B774" s="175">
        <v>46047</v>
      </c>
      <c r="C774" s="171" t="s">
        <v>110</v>
      </c>
      <c r="D774" s="171" t="s">
        <v>24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>
        <v>51</v>
      </c>
      <c r="P774" s="179">
        <v>-56.94</v>
      </c>
    </row>
    <row r="775" spans="1:16" ht="19.5" customHeight="1">
      <c r="A775" s="171" t="s">
        <v>718</v>
      </c>
      <c r="B775" s="175">
        <v>46047</v>
      </c>
      <c r="C775" s="171" t="s">
        <v>110</v>
      </c>
      <c r="D775" s="171" t="s">
        <v>117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718</v>
      </c>
      <c r="B776" s="175">
        <v>46047</v>
      </c>
      <c r="C776" s="171" t="s">
        <v>110</v>
      </c>
      <c r="D776" s="171" t="s">
        <v>118</v>
      </c>
      <c r="E776" s="171" t="s">
        <v>78</v>
      </c>
      <c r="F776" s="171" t="s">
        <v>176</v>
      </c>
      <c r="G776" s="171" t="s">
        <v>177</v>
      </c>
      <c r="H776" s="176">
        <v>1</v>
      </c>
      <c r="I776" s="177">
        <v>0</v>
      </c>
      <c r="J776" s="175">
        <v>46045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-56.94</v>
      </c>
    </row>
    <row r="777" spans="1:16" ht="19.5" customHeight="1">
      <c r="A777" s="171" t="s">
        <v>719</v>
      </c>
      <c r="B777" s="175">
        <v>46047</v>
      </c>
      <c r="C777" s="171" t="s">
        <v>110</v>
      </c>
      <c r="D777" s="171" t="s">
        <v>24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0.43</v>
      </c>
      <c r="N777" s="176"/>
      <c r="O777" s="176">
        <v>43</v>
      </c>
      <c r="P777" s="179">
        <v>-125.95</v>
      </c>
    </row>
    <row r="778" spans="1:16" ht="19.5" customHeight="1">
      <c r="A778" s="171" t="s">
        <v>719</v>
      </c>
      <c r="B778" s="175">
        <v>46047</v>
      </c>
      <c r="C778" s="171" t="s">
        <v>127</v>
      </c>
      <c r="D778" s="171" t="s">
        <v>128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594.29</v>
      </c>
    </row>
    <row r="779" spans="1:16" ht="19.5" customHeight="1">
      <c r="A779" s="171" t="s">
        <v>719</v>
      </c>
      <c r="B779" s="175">
        <v>46047</v>
      </c>
      <c r="C779" s="171" t="s">
        <v>127</v>
      </c>
      <c r="D779" s="171" t="s">
        <v>129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5.94</v>
      </c>
    </row>
    <row r="780" spans="1:16" ht="19.5" customHeight="1">
      <c r="A780" s="171" t="s">
        <v>719</v>
      </c>
      <c r="B780" s="175">
        <v>46047</v>
      </c>
      <c r="C780" s="171" t="s">
        <v>127</v>
      </c>
      <c r="D780" s="171" t="s">
        <v>130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1103.77</v>
      </c>
    </row>
    <row r="781" spans="1:16" ht="19.5" customHeight="1">
      <c r="A781" s="171" t="s">
        <v>719</v>
      </c>
      <c r="B781" s="175">
        <v>46047</v>
      </c>
      <c r="C781" s="171" t="s">
        <v>131</v>
      </c>
      <c r="D781" s="171" t="s">
        <v>132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-732.72</v>
      </c>
    </row>
    <row r="782" spans="1:16" ht="19.5" customHeight="1">
      <c r="A782" s="171" t="s">
        <v>719</v>
      </c>
      <c r="B782" s="175">
        <v>46047</v>
      </c>
      <c r="C782" s="171" t="s">
        <v>115</v>
      </c>
      <c r="D782" s="171" t="s">
        <v>116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1704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/>
      <c r="P782" s="179">
        <v>-9.84</v>
      </c>
    </row>
    <row r="783" spans="1:16" ht="19.5" customHeight="1">
      <c r="A783" s="171" t="s">
        <v>720</v>
      </c>
      <c r="B783" s="175">
        <v>46047</v>
      </c>
      <c r="C783" s="171" t="s">
        <v>110</v>
      </c>
      <c r="D783" s="171" t="s">
        <v>24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0.43</v>
      </c>
      <c r="N783" s="176"/>
      <c r="O783" s="176">
        <v>43</v>
      </c>
      <c r="P783" s="179">
        <v>-129.28</v>
      </c>
    </row>
    <row r="784" spans="1:16" ht="19.5" customHeight="1">
      <c r="A784" s="171" t="s">
        <v>720</v>
      </c>
      <c r="B784" s="175">
        <v>46047</v>
      </c>
      <c r="C784" s="171" t="s">
        <v>127</v>
      </c>
      <c r="D784" s="171" t="s">
        <v>128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641.9</v>
      </c>
    </row>
    <row r="785" spans="1:16" ht="19.5" customHeight="1">
      <c r="A785" s="171" t="s">
        <v>720</v>
      </c>
      <c r="B785" s="175">
        <v>46047</v>
      </c>
      <c r="C785" s="171" t="s">
        <v>127</v>
      </c>
      <c r="D785" s="171" t="s">
        <v>129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6.42</v>
      </c>
    </row>
    <row r="786" spans="1:16" ht="19.5" customHeight="1">
      <c r="A786" s="171" t="s">
        <v>720</v>
      </c>
      <c r="B786" s="175">
        <v>46047</v>
      </c>
      <c r="C786" s="171" t="s">
        <v>127</v>
      </c>
      <c r="D786" s="171" t="s">
        <v>130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1166.68</v>
      </c>
    </row>
    <row r="787" spans="1:16" ht="19.5" customHeight="1">
      <c r="A787" s="171" t="s">
        <v>720</v>
      </c>
      <c r="B787" s="175">
        <v>46047</v>
      </c>
      <c r="C787" s="171" t="s">
        <v>131</v>
      </c>
      <c r="D787" s="171" t="s">
        <v>132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-780.45</v>
      </c>
    </row>
    <row r="788" spans="1:16" ht="19.5" customHeight="1">
      <c r="A788" s="171" t="s">
        <v>720</v>
      </c>
      <c r="B788" s="175">
        <v>46047</v>
      </c>
      <c r="C788" s="171" t="s">
        <v>115</v>
      </c>
      <c r="D788" s="171" t="s">
        <v>116</v>
      </c>
      <c r="E788" s="171" t="s">
        <v>44</v>
      </c>
      <c r="F788" s="171" t="s">
        <v>213</v>
      </c>
      <c r="G788" s="171" t="s">
        <v>214</v>
      </c>
      <c r="H788" s="176">
        <v>1</v>
      </c>
      <c r="I788" s="177">
        <v>1815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/>
      <c r="P788" s="179">
        <v>-10.78</v>
      </c>
    </row>
    <row r="789" spans="1:16" ht="19.5" customHeight="1">
      <c r="A789" s="171" t="s">
        <v>721</v>
      </c>
      <c r="B789" s="175">
        <v>46047</v>
      </c>
      <c r="C789" s="171" t="s">
        <v>110</v>
      </c>
      <c r="D789" s="171" t="s">
        <v>24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0.43</v>
      </c>
      <c r="N789" s="176"/>
      <c r="O789" s="176">
        <v>43</v>
      </c>
      <c r="P789" s="179">
        <v>-123.85</v>
      </c>
    </row>
    <row r="790" spans="1:16" ht="19.5" customHeight="1">
      <c r="A790" s="171" t="s">
        <v>721</v>
      </c>
      <c r="B790" s="175">
        <v>46047</v>
      </c>
      <c r="C790" s="171" t="s">
        <v>127</v>
      </c>
      <c r="D790" s="171" t="s">
        <v>128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569.52</v>
      </c>
    </row>
    <row r="791" spans="1:16" ht="19.5" customHeight="1">
      <c r="A791" s="171" t="s">
        <v>721</v>
      </c>
      <c r="B791" s="175">
        <v>46047</v>
      </c>
      <c r="C791" s="171" t="s">
        <v>127</v>
      </c>
      <c r="D791" s="171" t="s">
        <v>129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5.7</v>
      </c>
    </row>
    <row r="792" spans="1:16" ht="19.5" customHeight="1">
      <c r="A792" s="171" t="s">
        <v>721</v>
      </c>
      <c r="B792" s="175">
        <v>46047</v>
      </c>
      <c r="C792" s="171" t="s">
        <v>127</v>
      </c>
      <c r="D792" s="171" t="s">
        <v>130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1058.78</v>
      </c>
    </row>
    <row r="793" spans="1:16" ht="19.5" customHeight="1">
      <c r="A793" s="171" t="s">
        <v>721</v>
      </c>
      <c r="B793" s="175">
        <v>46047</v>
      </c>
      <c r="C793" s="171" t="s">
        <v>131</v>
      </c>
      <c r="D793" s="171" t="s">
        <v>132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-702.62</v>
      </c>
    </row>
    <row r="794" spans="1:16" ht="19.5" customHeight="1">
      <c r="A794" s="171" t="s">
        <v>721</v>
      </c>
      <c r="B794" s="175">
        <v>46047</v>
      </c>
      <c r="C794" s="171" t="s">
        <v>115</v>
      </c>
      <c r="D794" s="171" t="s">
        <v>116</v>
      </c>
      <c r="E794" s="171" t="s">
        <v>39</v>
      </c>
      <c r="F794" s="171" t="s">
        <v>141</v>
      </c>
      <c r="G794" s="171" t="s">
        <v>112</v>
      </c>
      <c r="H794" s="176">
        <v>1</v>
      </c>
      <c r="I794" s="177">
        <v>1634</v>
      </c>
      <c r="J794" s="175">
        <v>46037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-9.44</v>
      </c>
    </row>
    <row r="795" spans="1:16" ht="19.5" customHeight="1">
      <c r="A795" s="171" t="s">
        <v>722</v>
      </c>
      <c r="B795" s="175">
        <v>46047</v>
      </c>
      <c r="C795" s="171" t="s">
        <v>115</v>
      </c>
      <c r="D795" s="171" t="s">
        <v>135</v>
      </c>
      <c r="E795" s="171" t="s">
        <v>72</v>
      </c>
      <c r="F795" s="171" t="s">
        <v>723</v>
      </c>
      <c r="G795" s="171" t="s">
        <v>177</v>
      </c>
      <c r="H795" s="176">
        <v>1</v>
      </c>
      <c r="I795" s="177">
        <v>0</v>
      </c>
      <c r="J795" s="175">
        <v>46047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-9.5500000000000007</v>
      </c>
    </row>
    <row r="796" spans="1:16" ht="19.5" customHeight="1">
      <c r="A796" s="171" t="s">
        <v>724</v>
      </c>
      <c r="B796" s="175">
        <v>46047</v>
      </c>
      <c r="C796" s="171" t="s">
        <v>110</v>
      </c>
      <c r="D796" s="171" t="s">
        <v>24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0.43</v>
      </c>
      <c r="N796" s="176"/>
      <c r="O796" s="176">
        <v>52</v>
      </c>
      <c r="P796" s="179">
        <v>-146.21</v>
      </c>
    </row>
    <row r="797" spans="1:16" ht="19.5" customHeight="1">
      <c r="A797" s="171" t="s">
        <v>724</v>
      </c>
      <c r="B797" s="175">
        <v>46047</v>
      </c>
      <c r="C797" s="171" t="s">
        <v>127</v>
      </c>
      <c r="D797" s="171" t="s">
        <v>128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679.05</v>
      </c>
    </row>
    <row r="798" spans="1:16" ht="19.5" customHeight="1">
      <c r="A798" s="171" t="s">
        <v>724</v>
      </c>
      <c r="B798" s="175">
        <v>46047</v>
      </c>
      <c r="C798" s="171" t="s">
        <v>127</v>
      </c>
      <c r="D798" s="171" t="s">
        <v>129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6.79</v>
      </c>
    </row>
    <row r="799" spans="1:16" ht="19.5" customHeight="1">
      <c r="A799" s="171" t="s">
        <v>724</v>
      </c>
      <c r="B799" s="175">
        <v>46047</v>
      </c>
      <c r="C799" s="171" t="s">
        <v>127</v>
      </c>
      <c r="D799" s="171" t="s">
        <v>130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948.16</v>
      </c>
    </row>
    <row r="800" spans="1:16" ht="19.5" customHeight="1">
      <c r="A800" s="171" t="s">
        <v>724</v>
      </c>
      <c r="B800" s="175">
        <v>46047</v>
      </c>
      <c r="C800" s="171" t="s">
        <v>131</v>
      </c>
      <c r="D800" s="171" t="s">
        <v>132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-702.62</v>
      </c>
    </row>
    <row r="801" spans="1:16" ht="19.5" customHeight="1">
      <c r="A801" s="171" t="s">
        <v>724</v>
      </c>
      <c r="B801" s="175">
        <v>46047</v>
      </c>
      <c r="C801" s="171" t="s">
        <v>115</v>
      </c>
      <c r="D801" s="171" t="s">
        <v>116</v>
      </c>
      <c r="E801" s="171" t="s">
        <v>39</v>
      </c>
      <c r="F801" s="171" t="s">
        <v>141</v>
      </c>
      <c r="G801" s="171" t="s">
        <v>112</v>
      </c>
      <c r="H801" s="176">
        <v>1</v>
      </c>
      <c r="I801" s="177">
        <v>1634</v>
      </c>
      <c r="J801" s="175">
        <v>46043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-7.88</v>
      </c>
    </row>
    <row r="802" spans="1:16" ht="19.5" customHeight="1">
      <c r="A802" s="171" t="s">
        <v>725</v>
      </c>
      <c r="B802" s="175">
        <v>46047</v>
      </c>
      <c r="C802" s="171" t="s">
        <v>110</v>
      </c>
      <c r="D802" s="171" t="s">
        <v>24</v>
      </c>
      <c r="E802" s="171" t="s">
        <v>64</v>
      </c>
      <c r="F802" s="171" t="s">
        <v>726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0.43</v>
      </c>
      <c r="N802" s="176"/>
      <c r="O802" s="176">
        <v>52</v>
      </c>
      <c r="P802" s="179">
        <v>-242.23</v>
      </c>
    </row>
    <row r="803" spans="1:16" ht="19.5" customHeight="1">
      <c r="A803" s="171" t="s">
        <v>725</v>
      </c>
      <c r="B803" s="175">
        <v>46047</v>
      </c>
      <c r="C803" s="171" t="s">
        <v>127</v>
      </c>
      <c r="D803" s="171" t="s">
        <v>128</v>
      </c>
      <c r="E803" s="171" t="s">
        <v>64</v>
      </c>
      <c r="F803" s="171" t="s">
        <v>726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2355.85</v>
      </c>
    </row>
    <row r="804" spans="1:16" ht="19.5" customHeight="1">
      <c r="A804" s="171" t="s">
        <v>725</v>
      </c>
      <c r="B804" s="175">
        <v>46047</v>
      </c>
      <c r="C804" s="171" t="s">
        <v>127</v>
      </c>
      <c r="D804" s="171" t="s">
        <v>129</v>
      </c>
      <c r="E804" s="171" t="s">
        <v>64</v>
      </c>
      <c r="F804" s="171" t="s">
        <v>726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23.56</v>
      </c>
    </row>
    <row r="805" spans="1:16" ht="19.5" customHeight="1">
      <c r="A805" s="171" t="s">
        <v>725</v>
      </c>
      <c r="B805" s="175">
        <v>46047</v>
      </c>
      <c r="C805" s="171" t="s">
        <v>127</v>
      </c>
      <c r="D805" s="171" t="s">
        <v>130</v>
      </c>
      <c r="E805" s="171" t="s">
        <v>64</v>
      </c>
      <c r="F805" s="171" t="s">
        <v>726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1269.5899999999999</v>
      </c>
    </row>
    <row r="806" spans="1:16" ht="19.5" customHeight="1">
      <c r="A806" s="171" t="s">
        <v>725</v>
      </c>
      <c r="B806" s="175">
        <v>46047</v>
      </c>
      <c r="C806" s="171" t="s">
        <v>131</v>
      </c>
      <c r="D806" s="171" t="s">
        <v>132</v>
      </c>
      <c r="E806" s="171" t="s">
        <v>64</v>
      </c>
      <c r="F806" s="171" t="s">
        <v>726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-1569.07</v>
      </c>
    </row>
    <row r="807" spans="1:16" ht="19.5" customHeight="1">
      <c r="A807" s="171" t="s">
        <v>725</v>
      </c>
      <c r="B807" s="175">
        <v>46047</v>
      </c>
      <c r="C807" s="171" t="s">
        <v>115</v>
      </c>
      <c r="D807" s="171" t="s">
        <v>116</v>
      </c>
      <c r="E807" s="171" t="s">
        <v>64</v>
      </c>
      <c r="F807" s="171" t="s">
        <v>726</v>
      </c>
      <c r="G807" s="171" t="s">
        <v>177</v>
      </c>
      <c r="H807" s="176">
        <v>1</v>
      </c>
      <c r="I807" s="177">
        <v>3649</v>
      </c>
      <c r="J807" s="175">
        <v>46042</v>
      </c>
      <c r="K807" s="171" t="s">
        <v>113</v>
      </c>
      <c r="L807" s="171" t="s">
        <v>114</v>
      </c>
      <c r="M807" s="178">
        <v>0.43</v>
      </c>
      <c r="N807" s="176"/>
      <c r="O807" s="176"/>
      <c r="P807" s="179">
        <v>-12.74</v>
      </c>
    </row>
    <row r="808" spans="1:16" ht="19.5" customHeight="1">
      <c r="A808" s="171" t="s">
        <v>612</v>
      </c>
      <c r="B808" s="175">
        <v>46047</v>
      </c>
      <c r="C808" s="171" t="s">
        <v>110</v>
      </c>
      <c r="D808" s="171" t="s">
        <v>121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customHeight="1">
      <c r="A809" s="171" t="s">
        <v>612</v>
      </c>
      <c r="B809" s="175">
        <v>46047</v>
      </c>
      <c r="C809" s="171" t="s">
        <v>110</v>
      </c>
      <c r="D809" s="171" t="s">
        <v>118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customHeight="1">
      <c r="A810" s="171" t="s">
        <v>612</v>
      </c>
      <c r="B810" s="175">
        <v>46047</v>
      </c>
      <c r="C810" s="171" t="s">
        <v>115</v>
      </c>
      <c r="D810" s="171" t="s">
        <v>119</v>
      </c>
      <c r="E810" s="171" t="s">
        <v>78</v>
      </c>
      <c r="F810" s="171" t="s">
        <v>176</v>
      </c>
      <c r="G810" s="171" t="s">
        <v>177</v>
      </c>
      <c r="H810" s="176">
        <v>1</v>
      </c>
      <c r="I810" s="177">
        <v>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customHeight="1">
      <c r="A811" s="171" t="s">
        <v>725</v>
      </c>
      <c r="B811" s="175">
        <v>46047</v>
      </c>
      <c r="C811" s="171" t="s">
        <v>115</v>
      </c>
      <c r="D811" s="171" t="s">
        <v>135</v>
      </c>
      <c r="E811" s="171" t="s">
        <v>64</v>
      </c>
      <c r="F811" s="171" t="s">
        <v>726</v>
      </c>
      <c r="G811" s="171" t="s">
        <v>177</v>
      </c>
      <c r="H811" s="176">
        <v>1</v>
      </c>
      <c r="I811" s="177">
        <v>0</v>
      </c>
      <c r="J811" s="175">
        <v>46042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-44.76</v>
      </c>
    </row>
    <row r="812" spans="1:16" ht="19.5" customHeight="1">
      <c r="A812" s="171" t="s">
        <v>727</v>
      </c>
      <c r="B812" s="175">
        <v>46047</v>
      </c>
      <c r="C812" s="171" t="s">
        <v>110</v>
      </c>
      <c r="D812" s="171" t="s">
        <v>24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0.43</v>
      </c>
      <c r="N812" s="176"/>
      <c r="O812" s="176">
        <v>50</v>
      </c>
      <c r="P812" s="179">
        <v>-258.97000000000003</v>
      </c>
    </row>
    <row r="813" spans="1:16" ht="19.5" customHeight="1">
      <c r="A813" s="171" t="s">
        <v>727</v>
      </c>
      <c r="B813" s="175">
        <v>46047</v>
      </c>
      <c r="C813" s="171" t="s">
        <v>127</v>
      </c>
      <c r="D813" s="171" t="s">
        <v>128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1655.37</v>
      </c>
    </row>
    <row r="814" spans="1:16" ht="19.5" customHeight="1">
      <c r="A814" s="171" t="s">
        <v>727</v>
      </c>
      <c r="B814" s="175">
        <v>46047</v>
      </c>
      <c r="C814" s="171" t="s">
        <v>127</v>
      </c>
      <c r="D814" s="171" t="s">
        <v>129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customHeight="1">
      <c r="A815" s="171" t="s">
        <v>727</v>
      </c>
      <c r="B815" s="175">
        <v>46047</v>
      </c>
      <c r="C815" s="171" t="s">
        <v>127</v>
      </c>
      <c r="D815" s="171" t="s">
        <v>130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2522.63</v>
      </c>
    </row>
    <row r="816" spans="1:16" ht="19.5" customHeight="1">
      <c r="A816" s="171" t="s">
        <v>727</v>
      </c>
      <c r="B816" s="175">
        <v>46047</v>
      </c>
      <c r="C816" s="171" t="s">
        <v>131</v>
      </c>
      <c r="D816" s="171" t="s">
        <v>132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4178</v>
      </c>
      <c r="J816" s="175">
        <v>46046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-1796.54</v>
      </c>
    </row>
    <row r="817" spans="1:16" ht="19.5" customHeight="1">
      <c r="A817" s="171" t="s">
        <v>728</v>
      </c>
      <c r="B817" s="175">
        <v>46047</v>
      </c>
      <c r="C817" s="171" t="s">
        <v>110</v>
      </c>
      <c r="D817" s="171" t="s">
        <v>24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0.43</v>
      </c>
      <c r="N817" s="176"/>
      <c r="O817" s="176">
        <v>52</v>
      </c>
      <c r="P817" s="179">
        <v>-292.19</v>
      </c>
    </row>
    <row r="818" spans="1:16" ht="19.5" customHeight="1">
      <c r="A818" s="171" t="s">
        <v>728</v>
      </c>
      <c r="B818" s="175">
        <v>46047</v>
      </c>
      <c r="C818" s="171" t="s">
        <v>127</v>
      </c>
      <c r="D818" s="171" t="s">
        <v>128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2202.84</v>
      </c>
    </row>
    <row r="819" spans="1:16" ht="19.5" customHeight="1">
      <c r="A819" s="171" t="s">
        <v>728</v>
      </c>
      <c r="B819" s="175">
        <v>46047</v>
      </c>
      <c r="C819" s="171" t="s">
        <v>127</v>
      </c>
      <c r="D819" s="171" t="s">
        <v>129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22.03</v>
      </c>
    </row>
    <row r="820" spans="1:16" ht="19.5" customHeight="1">
      <c r="A820" s="171" t="s">
        <v>728</v>
      </c>
      <c r="B820" s="175">
        <v>46047</v>
      </c>
      <c r="C820" s="171" t="s">
        <v>127</v>
      </c>
      <c r="D820" s="171" t="s">
        <v>130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2715.13</v>
      </c>
    </row>
    <row r="821" spans="1:16" ht="19.5" customHeight="1">
      <c r="A821" s="171" t="s">
        <v>728</v>
      </c>
      <c r="B821" s="175">
        <v>46047</v>
      </c>
      <c r="C821" s="171" t="s">
        <v>131</v>
      </c>
      <c r="D821" s="171" t="s">
        <v>132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-2124.1999999999998</v>
      </c>
    </row>
    <row r="822" spans="1:16" ht="19.5" customHeight="1">
      <c r="A822" s="171" t="s">
        <v>728</v>
      </c>
      <c r="B822" s="175">
        <v>46047</v>
      </c>
      <c r="C822" s="171" t="s">
        <v>115</v>
      </c>
      <c r="D822" s="171" t="s">
        <v>116</v>
      </c>
      <c r="E822" s="171" t="s">
        <v>78</v>
      </c>
      <c r="F822" s="171" t="s">
        <v>176</v>
      </c>
      <c r="G822" s="171" t="s">
        <v>177</v>
      </c>
      <c r="H822" s="176">
        <v>1</v>
      </c>
      <c r="I822" s="177">
        <v>4940</v>
      </c>
      <c r="J822" s="175">
        <v>46043</v>
      </c>
      <c r="K822" s="171" t="s">
        <v>113</v>
      </c>
      <c r="L822" s="171" t="s">
        <v>114</v>
      </c>
      <c r="M822" s="178">
        <v>0.43</v>
      </c>
      <c r="N822" s="176"/>
      <c r="O822" s="176"/>
      <c r="P822" s="179">
        <v>-13.97</v>
      </c>
    </row>
    <row r="823" spans="1:16" ht="19.5" customHeight="1">
      <c r="A823" s="171" t="s">
        <v>729</v>
      </c>
      <c r="B823" s="175">
        <v>46047</v>
      </c>
      <c r="C823" s="171" t="s">
        <v>115</v>
      </c>
      <c r="D823" s="171" t="s">
        <v>730</v>
      </c>
      <c r="E823" s="171" t="s">
        <v>41</v>
      </c>
      <c r="F823" s="171" t="s">
        <v>138</v>
      </c>
      <c r="G823" s="171" t="s">
        <v>112</v>
      </c>
      <c r="H823" s="176">
        <v>1</v>
      </c>
      <c r="I823" s="177">
        <v>0</v>
      </c>
      <c r="J823" s="175">
        <v>46047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-24</v>
      </c>
    </row>
    <row r="824" spans="1:16" ht="19.5" customHeight="1">
      <c r="A824" s="171" t="s">
        <v>728</v>
      </c>
      <c r="B824" s="175">
        <v>46047</v>
      </c>
      <c r="C824" s="171" t="s">
        <v>115</v>
      </c>
      <c r="D824" s="171" t="s">
        <v>135</v>
      </c>
      <c r="E824" s="171" t="s">
        <v>78</v>
      </c>
      <c r="F824" s="171" t="s">
        <v>176</v>
      </c>
      <c r="G824" s="171" t="s">
        <v>177</v>
      </c>
      <c r="H824" s="176">
        <v>1</v>
      </c>
      <c r="I824" s="177">
        <v>0</v>
      </c>
      <c r="J824" s="175">
        <v>46043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-41.85</v>
      </c>
    </row>
    <row r="825" spans="1:16" ht="19.5" customHeight="1">
      <c r="A825" s="171" t="s">
        <v>731</v>
      </c>
      <c r="B825" s="175">
        <v>46047</v>
      </c>
      <c r="C825" s="171" t="s">
        <v>110</v>
      </c>
      <c r="D825" s="171" t="s">
        <v>24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0.43</v>
      </c>
      <c r="N825" s="176"/>
      <c r="O825" s="176">
        <v>52</v>
      </c>
      <c r="P825" s="179">
        <v>-146.22999999999999</v>
      </c>
    </row>
    <row r="826" spans="1:16" ht="19.5" customHeight="1">
      <c r="A826" s="171" t="s">
        <v>731</v>
      </c>
      <c r="B826" s="175">
        <v>46047</v>
      </c>
      <c r="C826" s="171" t="s">
        <v>127</v>
      </c>
      <c r="D826" s="171" t="s">
        <v>128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576.19000000000005</v>
      </c>
    </row>
    <row r="827" spans="1:16" ht="19.5" customHeight="1">
      <c r="A827" s="171" t="s">
        <v>731</v>
      </c>
      <c r="B827" s="175">
        <v>46047</v>
      </c>
      <c r="C827" s="171" t="s">
        <v>127</v>
      </c>
      <c r="D827" s="171" t="s">
        <v>129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5.76</v>
      </c>
    </row>
    <row r="828" spans="1:16" ht="19.5" customHeight="1">
      <c r="A828" s="171" t="s">
        <v>731</v>
      </c>
      <c r="B828" s="175">
        <v>46047</v>
      </c>
      <c r="C828" s="171" t="s">
        <v>127</v>
      </c>
      <c r="D828" s="171" t="s">
        <v>130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1088.05</v>
      </c>
    </row>
    <row r="829" spans="1:16" ht="19.5" customHeight="1">
      <c r="A829" s="171" t="s">
        <v>731</v>
      </c>
      <c r="B829" s="175">
        <v>46047</v>
      </c>
      <c r="C829" s="171" t="s">
        <v>131</v>
      </c>
      <c r="D829" s="171" t="s">
        <v>132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-718.1</v>
      </c>
    </row>
    <row r="830" spans="1:16" ht="19.5" customHeight="1">
      <c r="A830" s="171" t="s">
        <v>731</v>
      </c>
      <c r="B830" s="175">
        <v>46047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1670</v>
      </c>
      <c r="J830" s="175">
        <v>46042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-10.31</v>
      </c>
    </row>
    <row r="831" spans="1:16" ht="19.5" customHeight="1">
      <c r="A831" s="171" t="s">
        <v>732</v>
      </c>
      <c r="B831" s="175">
        <v>46047</v>
      </c>
      <c r="C831" s="171" t="s">
        <v>110</v>
      </c>
      <c r="D831" s="171" t="s">
        <v>24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0.43</v>
      </c>
      <c r="N831" s="176"/>
      <c r="O831" s="176">
        <v>53</v>
      </c>
      <c r="P831" s="179">
        <v>-147.66999999999999</v>
      </c>
    </row>
    <row r="832" spans="1:16" ht="19.5" customHeight="1">
      <c r="A832" s="171" t="s">
        <v>732</v>
      </c>
      <c r="B832" s="175">
        <v>46047</v>
      </c>
      <c r="C832" s="171" t="s">
        <v>127</v>
      </c>
      <c r="D832" s="171" t="s">
        <v>128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819.05</v>
      </c>
    </row>
    <row r="833" spans="1:16" ht="19.5" customHeight="1">
      <c r="A833" s="171" t="s">
        <v>732</v>
      </c>
      <c r="B833" s="175">
        <v>46047</v>
      </c>
      <c r="C833" s="171" t="s">
        <v>127</v>
      </c>
      <c r="D833" s="171" t="s">
        <v>129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8.19</v>
      </c>
    </row>
    <row r="834" spans="1:16" ht="19.5" customHeight="1">
      <c r="A834" s="171" t="s">
        <v>732</v>
      </c>
      <c r="B834" s="175">
        <v>46047</v>
      </c>
      <c r="C834" s="171" t="s">
        <v>127</v>
      </c>
      <c r="D834" s="171" t="s">
        <v>130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859.76</v>
      </c>
    </row>
    <row r="835" spans="1:16" ht="19.5" customHeight="1">
      <c r="A835" s="171" t="s">
        <v>732</v>
      </c>
      <c r="B835" s="175">
        <v>46047</v>
      </c>
      <c r="C835" s="171" t="s">
        <v>131</v>
      </c>
      <c r="D835" s="171" t="s">
        <v>132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-725.41</v>
      </c>
    </row>
    <row r="836" spans="1:16" ht="19.5" customHeight="1">
      <c r="A836" s="171" t="s">
        <v>732</v>
      </c>
      <c r="B836" s="175">
        <v>46047</v>
      </c>
      <c r="C836" s="171" t="s">
        <v>115</v>
      </c>
      <c r="D836" s="171" t="s">
        <v>116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1687</v>
      </c>
      <c r="J836" s="175">
        <v>46041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-25</v>
      </c>
    </row>
    <row r="837" spans="1:16" ht="19.5" customHeight="1">
      <c r="A837" s="171" t="s">
        <v>733</v>
      </c>
      <c r="B837" s="175">
        <v>46047</v>
      </c>
      <c r="C837" s="171" t="s">
        <v>110</v>
      </c>
      <c r="D837" s="171" t="s">
        <v>24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>
        <v>52</v>
      </c>
      <c r="P837" s="179">
        <v>-46.77</v>
      </c>
    </row>
    <row r="838" spans="1:16" ht="19.5" customHeight="1">
      <c r="A838" s="171" t="s">
        <v>733</v>
      </c>
      <c r="B838" s="175">
        <v>46047</v>
      </c>
      <c r="C838" s="171" t="s">
        <v>115</v>
      </c>
      <c r="D838" s="171" t="s">
        <v>116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46042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-9.02</v>
      </c>
    </row>
    <row r="839" spans="1:16" ht="19.5" customHeight="1">
      <c r="A839" s="171" t="s">
        <v>734</v>
      </c>
      <c r="B839" s="175">
        <v>46047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0.43</v>
      </c>
      <c r="N839" s="176"/>
      <c r="O839" s="176">
        <v>51</v>
      </c>
      <c r="P839" s="179">
        <v>-147.08000000000001</v>
      </c>
    </row>
    <row r="840" spans="1:16" ht="19.5" customHeight="1">
      <c r="A840" s="171" t="s">
        <v>734</v>
      </c>
      <c r="B840" s="175">
        <v>46047</v>
      </c>
      <c r="C840" s="171" t="s">
        <v>127</v>
      </c>
      <c r="D840" s="171" t="s">
        <v>128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797.23</v>
      </c>
    </row>
    <row r="841" spans="1:16" ht="19.5" customHeight="1">
      <c r="A841" s="171" t="s">
        <v>734</v>
      </c>
      <c r="B841" s="175">
        <v>46047</v>
      </c>
      <c r="C841" s="171" t="s">
        <v>127</v>
      </c>
      <c r="D841" s="171" t="s">
        <v>129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customHeight="1">
      <c r="A842" s="171" t="s">
        <v>734</v>
      </c>
      <c r="B842" s="175">
        <v>46047</v>
      </c>
      <c r="C842" s="171" t="s">
        <v>127</v>
      </c>
      <c r="D842" s="171" t="s">
        <v>130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872.77</v>
      </c>
    </row>
    <row r="843" spans="1:16" ht="19.5" customHeight="1">
      <c r="A843" s="171" t="s">
        <v>734</v>
      </c>
      <c r="B843" s="175">
        <v>46047</v>
      </c>
      <c r="C843" s="171" t="s">
        <v>131</v>
      </c>
      <c r="D843" s="171" t="s">
        <v>132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1670</v>
      </c>
      <c r="J843" s="175">
        <v>46045</v>
      </c>
      <c r="K843" s="171" t="s">
        <v>113</v>
      </c>
      <c r="L843" s="171" t="s">
        <v>114</v>
      </c>
      <c r="M843" s="178">
        <v>0.43</v>
      </c>
      <c r="N843" s="176"/>
      <c r="O843" s="176"/>
      <c r="P843" s="179">
        <v>-718.1</v>
      </c>
    </row>
    <row r="844" spans="1:16" ht="19.5" customHeight="1">
      <c r="A844" s="171" t="s">
        <v>733</v>
      </c>
      <c r="B844" s="175">
        <v>46047</v>
      </c>
      <c r="C844" s="171" t="s">
        <v>110</v>
      </c>
      <c r="D844" s="171" t="s">
        <v>117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0</v>
      </c>
    </row>
    <row r="845" spans="1:16" ht="19.5" customHeight="1">
      <c r="A845" s="171" t="s">
        <v>733</v>
      </c>
      <c r="B845" s="175">
        <v>46047</v>
      </c>
      <c r="C845" s="171" t="s">
        <v>110</v>
      </c>
      <c r="D845" s="171" t="s">
        <v>118</v>
      </c>
      <c r="E845" s="171" t="s">
        <v>44</v>
      </c>
      <c r="F845" s="171" t="s">
        <v>213</v>
      </c>
      <c r="G845" s="171" t="s">
        <v>214</v>
      </c>
      <c r="H845" s="176">
        <v>1</v>
      </c>
      <c r="I845" s="177">
        <v>0</v>
      </c>
      <c r="J845" s="175">
        <v>46042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-46.77</v>
      </c>
    </row>
    <row r="846" spans="1:16" ht="19.5" customHeight="1">
      <c r="A846" s="171" t="s">
        <v>570</v>
      </c>
      <c r="B846" s="175">
        <v>46047</v>
      </c>
      <c r="C846" s="171" t="s">
        <v>115</v>
      </c>
      <c r="D846" s="171" t="s">
        <v>135</v>
      </c>
      <c r="E846" s="171" t="s">
        <v>45</v>
      </c>
      <c r="F846" s="171" t="s">
        <v>162</v>
      </c>
      <c r="G846" s="171" t="s">
        <v>163</v>
      </c>
      <c r="H846" s="176">
        <v>1</v>
      </c>
      <c r="I846" s="177">
        <v>0</v>
      </c>
      <c r="J846" s="175">
        <v>46042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7.44</v>
      </c>
    </row>
    <row r="847" spans="1:16" ht="19.5" customHeight="1">
      <c r="A847" s="171" t="s">
        <v>732</v>
      </c>
      <c r="B847" s="175">
        <v>46047</v>
      </c>
      <c r="C847" s="171" t="s">
        <v>115</v>
      </c>
      <c r="D847" s="171" t="s">
        <v>135</v>
      </c>
      <c r="E847" s="171" t="s">
        <v>41</v>
      </c>
      <c r="F847" s="171" t="s">
        <v>138</v>
      </c>
      <c r="G847" s="171" t="s">
        <v>112</v>
      </c>
      <c r="H847" s="176">
        <v>1</v>
      </c>
      <c r="I847" s="177">
        <v>0</v>
      </c>
      <c r="J847" s="175">
        <v>46041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-15.56</v>
      </c>
    </row>
    <row r="848" spans="1:16" ht="19.5" customHeight="1">
      <c r="A848" s="171" t="s">
        <v>735</v>
      </c>
      <c r="B848" s="175">
        <v>46047</v>
      </c>
      <c r="C848" s="171" t="s">
        <v>110</v>
      </c>
      <c r="D848" s="171" t="s">
        <v>24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0.43</v>
      </c>
      <c r="N848" s="176"/>
      <c r="O848" s="176">
        <v>52</v>
      </c>
      <c r="P848" s="179">
        <v>-147.99</v>
      </c>
    </row>
    <row r="849" spans="1:16" ht="19.5" customHeight="1">
      <c r="A849" s="171" t="s">
        <v>735</v>
      </c>
      <c r="B849" s="175">
        <v>46047</v>
      </c>
      <c r="C849" s="171" t="s">
        <v>127</v>
      </c>
      <c r="D849" s="171" t="s">
        <v>128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836.19</v>
      </c>
    </row>
    <row r="850" spans="1:16" ht="19.5" customHeight="1">
      <c r="A850" s="171" t="s">
        <v>735</v>
      </c>
      <c r="B850" s="175">
        <v>46047</v>
      </c>
      <c r="C850" s="171" t="s">
        <v>127</v>
      </c>
      <c r="D850" s="171" t="s">
        <v>129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8.36</v>
      </c>
    </row>
    <row r="851" spans="1:16" ht="19.5" customHeight="1">
      <c r="A851" s="171" t="s">
        <v>735</v>
      </c>
      <c r="B851" s="175">
        <v>46047</v>
      </c>
      <c r="C851" s="171" t="s">
        <v>127</v>
      </c>
      <c r="D851" s="171" t="s">
        <v>130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835.45</v>
      </c>
    </row>
    <row r="852" spans="1:16" ht="19.5" customHeight="1">
      <c r="A852" s="171" t="s">
        <v>735</v>
      </c>
      <c r="B852" s="175">
        <v>46047</v>
      </c>
      <c r="C852" s="171" t="s">
        <v>131</v>
      </c>
      <c r="D852" s="171" t="s">
        <v>132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46042</v>
      </c>
      <c r="K852" s="171" t="s">
        <v>113</v>
      </c>
      <c r="L852" s="171" t="s">
        <v>114</v>
      </c>
      <c r="M852" s="178">
        <v>0.43</v>
      </c>
      <c r="N852" s="176"/>
      <c r="O852" s="176"/>
      <c r="P852" s="179">
        <v>-722.4</v>
      </c>
    </row>
    <row r="853" spans="1:16" ht="19.5" customHeight="1">
      <c r="A853" s="171" t="s">
        <v>736</v>
      </c>
      <c r="B853" s="175">
        <v>46047</v>
      </c>
      <c r="C853" s="171" t="s">
        <v>110</v>
      </c>
      <c r="D853" s="171" t="s">
        <v>24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0.43</v>
      </c>
      <c r="N853" s="176"/>
      <c r="O853" s="176">
        <v>52</v>
      </c>
      <c r="P853" s="179">
        <v>-147.99</v>
      </c>
    </row>
    <row r="854" spans="1:16" ht="19.5" customHeight="1">
      <c r="A854" s="171" t="s">
        <v>736</v>
      </c>
      <c r="B854" s="175">
        <v>46047</v>
      </c>
      <c r="C854" s="171" t="s">
        <v>127</v>
      </c>
      <c r="D854" s="171" t="s">
        <v>128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964.76</v>
      </c>
    </row>
    <row r="855" spans="1:16" ht="19.5" customHeight="1">
      <c r="A855" s="171" t="s">
        <v>736</v>
      </c>
      <c r="B855" s="175">
        <v>46047</v>
      </c>
      <c r="C855" s="171" t="s">
        <v>127</v>
      </c>
      <c r="D855" s="171" t="s">
        <v>129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9.65</v>
      </c>
    </row>
    <row r="856" spans="1:16" ht="19.5" customHeight="1">
      <c r="A856" s="171" t="s">
        <v>736</v>
      </c>
      <c r="B856" s="175">
        <v>46047</v>
      </c>
      <c r="C856" s="171" t="s">
        <v>127</v>
      </c>
      <c r="D856" s="171" t="s">
        <v>130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705.59</v>
      </c>
    </row>
    <row r="857" spans="1:16" ht="19.5" customHeight="1">
      <c r="A857" s="171" t="s">
        <v>736</v>
      </c>
      <c r="B857" s="175">
        <v>46047</v>
      </c>
      <c r="C857" s="171" t="s">
        <v>131</v>
      </c>
      <c r="D857" s="171" t="s">
        <v>132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-722.4</v>
      </c>
    </row>
    <row r="858" spans="1:16" ht="19.5" customHeight="1">
      <c r="A858" s="171" t="s">
        <v>736</v>
      </c>
      <c r="B858" s="175">
        <v>46047</v>
      </c>
      <c r="C858" s="171" t="s">
        <v>115</v>
      </c>
      <c r="D858" s="171" t="s">
        <v>116</v>
      </c>
      <c r="E858" s="171" t="s">
        <v>42</v>
      </c>
      <c r="F858" s="171" t="s">
        <v>248</v>
      </c>
      <c r="G858" s="171" t="s">
        <v>112</v>
      </c>
      <c r="H858" s="176">
        <v>1</v>
      </c>
      <c r="I858" s="177">
        <v>1680</v>
      </c>
      <c r="J858" s="175">
        <v>46043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-8.23</v>
      </c>
    </row>
    <row r="859" spans="1:16" ht="19.5" customHeight="1">
      <c r="A859" s="171" t="s">
        <v>737</v>
      </c>
      <c r="B859" s="175">
        <v>46047</v>
      </c>
      <c r="C859" s="171" t="s">
        <v>115</v>
      </c>
      <c r="D859" s="171" t="s">
        <v>135</v>
      </c>
      <c r="E859" s="171" t="s">
        <v>70</v>
      </c>
      <c r="F859" s="171" t="s">
        <v>513</v>
      </c>
      <c r="G859" s="171" t="s">
        <v>177</v>
      </c>
      <c r="H859" s="176">
        <v>1</v>
      </c>
      <c r="I859" s="177">
        <v>0</v>
      </c>
      <c r="J859" s="175">
        <v>46047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-53.88</v>
      </c>
    </row>
    <row r="860" spans="1:16" ht="19.5" customHeight="1">
      <c r="A860" s="171" t="s">
        <v>735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46042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-15.89</v>
      </c>
    </row>
    <row r="861" spans="1:16" ht="19.5" customHeight="1">
      <c r="A861" s="171" t="s">
        <v>736</v>
      </c>
      <c r="B861" s="175">
        <v>46047</v>
      </c>
      <c r="C861" s="171" t="s">
        <v>115</v>
      </c>
      <c r="D861" s="171" t="s">
        <v>135</v>
      </c>
      <c r="E861" s="171" t="s">
        <v>42</v>
      </c>
      <c r="F861" s="171" t="s">
        <v>248</v>
      </c>
      <c r="G861" s="171" t="s">
        <v>112</v>
      </c>
      <c r="H861" s="176">
        <v>1</v>
      </c>
      <c r="I861" s="177">
        <v>0</v>
      </c>
      <c r="J861" s="175">
        <v>46043</v>
      </c>
      <c r="K861" s="171" t="s">
        <v>125</v>
      </c>
      <c r="L861" s="171" t="s">
        <v>125</v>
      </c>
      <c r="M861" s="178">
        <v>0</v>
      </c>
      <c r="N861" s="176"/>
      <c r="O861" s="176"/>
      <c r="P861" s="179">
        <v>-18.329999999999998</v>
      </c>
    </row>
    <row r="862" spans="1:16" ht="19.5" customHeight="1">
      <c r="A862" s="171" t="s">
        <v>738</v>
      </c>
      <c r="B862" s="175">
        <v>46047</v>
      </c>
      <c r="C862" s="171" t="s">
        <v>110</v>
      </c>
      <c r="D862" s="171" t="s">
        <v>24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>
        <v>53</v>
      </c>
      <c r="P862" s="179">
        <v>-46</v>
      </c>
    </row>
    <row r="863" spans="1:16" ht="19.5" customHeight="1">
      <c r="A863" s="171" t="s">
        <v>738</v>
      </c>
      <c r="B863" s="175">
        <v>46047</v>
      </c>
      <c r="C863" s="171" t="s">
        <v>115</v>
      </c>
      <c r="D863" s="171" t="s">
        <v>116</v>
      </c>
      <c r="E863" s="171" t="s">
        <v>44</v>
      </c>
      <c r="F863" s="171" t="s">
        <v>213</v>
      </c>
      <c r="G863" s="171" t="s">
        <v>214</v>
      </c>
      <c r="H863" s="176">
        <v>1</v>
      </c>
      <c r="I863" s="177">
        <v>0</v>
      </c>
      <c r="J863" s="175">
        <v>46041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-9.94</v>
      </c>
    </row>
    <row r="864" spans="1:16" ht="19.5" customHeight="1">
      <c r="A864" s="171" t="s">
        <v>739</v>
      </c>
      <c r="B864" s="175">
        <v>46047</v>
      </c>
      <c r="C864" s="171" t="s">
        <v>115</v>
      </c>
      <c r="D864" s="171" t="s">
        <v>135</v>
      </c>
      <c r="E864" s="171" t="s">
        <v>42</v>
      </c>
      <c r="F864" s="171" t="s">
        <v>248</v>
      </c>
      <c r="G864" s="171" t="s">
        <v>112</v>
      </c>
      <c r="H864" s="176">
        <v>1</v>
      </c>
      <c r="I864" s="177">
        <v>0</v>
      </c>
      <c r="J864" s="175">
        <v>46047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-17.690000000000001</v>
      </c>
    </row>
    <row r="865" spans="1:16" ht="19.5" customHeight="1">
      <c r="A865" s="171" t="s">
        <v>740</v>
      </c>
      <c r="B865" s="175">
        <v>46047</v>
      </c>
      <c r="C865" s="171" t="s">
        <v>110</v>
      </c>
      <c r="D865" s="171" t="s">
        <v>24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>
        <v>48</v>
      </c>
      <c r="P865" s="179">
        <v>-56.94</v>
      </c>
    </row>
    <row r="866" spans="1:16" ht="19.5" customHeight="1">
      <c r="A866" s="171" t="s">
        <v>740</v>
      </c>
      <c r="B866" s="175">
        <v>46047</v>
      </c>
      <c r="C866" s="171" t="s">
        <v>115</v>
      </c>
      <c r="D866" s="171" t="s">
        <v>116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46038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-16.88</v>
      </c>
    </row>
    <row r="867" spans="1:16" ht="19.5" customHeight="1">
      <c r="A867" s="171" t="s">
        <v>741</v>
      </c>
      <c r="B867" s="175">
        <v>46047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0.43</v>
      </c>
      <c r="N867" s="176"/>
      <c r="O867" s="176">
        <v>52</v>
      </c>
      <c r="P867" s="179">
        <v>-147.6</v>
      </c>
    </row>
    <row r="868" spans="1:16" ht="19.5" customHeight="1">
      <c r="A868" s="171" t="s">
        <v>741</v>
      </c>
      <c r="B868" s="175">
        <v>46047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571.55999999999995</v>
      </c>
    </row>
    <row r="869" spans="1:16" ht="19.5" customHeight="1">
      <c r="A869" s="171" t="s">
        <v>741</v>
      </c>
      <c r="B869" s="175">
        <v>46047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5.72</v>
      </c>
    </row>
    <row r="870" spans="1:16" ht="19.5" customHeight="1">
      <c r="A870" s="171" t="s">
        <v>741</v>
      </c>
      <c r="B870" s="175">
        <v>46047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1092.72</v>
      </c>
    </row>
    <row r="871" spans="1:16" ht="19.5" customHeight="1">
      <c r="A871" s="171" t="s">
        <v>741</v>
      </c>
      <c r="B871" s="175">
        <v>46047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-718.1</v>
      </c>
    </row>
    <row r="872" spans="1:16" ht="19.5" customHeight="1">
      <c r="A872" s="171" t="s">
        <v>741</v>
      </c>
      <c r="B872" s="175">
        <v>46047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1670</v>
      </c>
      <c r="J872" s="175">
        <v>46043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-8.25</v>
      </c>
    </row>
    <row r="873" spans="1:16" ht="19.5" customHeight="1">
      <c r="A873" s="171" t="s">
        <v>738</v>
      </c>
      <c r="B873" s="175">
        <v>46047</v>
      </c>
      <c r="C873" s="171" t="s">
        <v>110</v>
      </c>
      <c r="D873" s="171" t="s">
        <v>117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customHeight="1">
      <c r="A874" s="171" t="s">
        <v>738</v>
      </c>
      <c r="B874" s="175">
        <v>46047</v>
      </c>
      <c r="C874" s="171" t="s">
        <v>110</v>
      </c>
      <c r="D874" s="171" t="s">
        <v>118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-81.34</v>
      </c>
    </row>
    <row r="875" spans="1:16" ht="19.5" customHeight="1">
      <c r="A875" s="171" t="s">
        <v>738</v>
      </c>
      <c r="B875" s="175">
        <v>46047</v>
      </c>
      <c r="C875" s="171" t="s">
        <v>115</v>
      </c>
      <c r="D875" s="171" t="s">
        <v>119</v>
      </c>
      <c r="E875" s="171" t="s">
        <v>44</v>
      </c>
      <c r="F875" s="171" t="s">
        <v>213</v>
      </c>
      <c r="G875" s="171" t="s">
        <v>214</v>
      </c>
      <c r="H875" s="176">
        <v>1</v>
      </c>
      <c r="I875" s="177">
        <v>0</v>
      </c>
      <c r="J875" s="175">
        <v>46041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customHeight="1">
      <c r="A876" s="171" t="s">
        <v>613</v>
      </c>
      <c r="B876" s="175">
        <v>46047</v>
      </c>
      <c r="C876" s="171" t="s">
        <v>312</v>
      </c>
      <c r="D876" s="171" t="s">
        <v>423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-2116.59</v>
      </c>
    </row>
    <row r="877" spans="1:16" ht="19.5" customHeight="1">
      <c r="A877" s="171" t="s">
        <v>613</v>
      </c>
      <c r="B877" s="175">
        <v>46047</v>
      </c>
      <c r="C877" s="171" t="s">
        <v>312</v>
      </c>
      <c r="D877" s="171" t="s">
        <v>129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-21.17</v>
      </c>
    </row>
    <row r="878" spans="1:16" ht="19.5" customHeight="1">
      <c r="A878" s="171" t="s">
        <v>613</v>
      </c>
      <c r="B878" s="175">
        <v>46047</v>
      </c>
      <c r="C878" s="171" t="s">
        <v>312</v>
      </c>
      <c r="D878" s="171" t="s">
        <v>130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-2802.24</v>
      </c>
    </row>
    <row r="879" spans="1:16" ht="19.5" customHeight="1">
      <c r="A879" s="171" t="s">
        <v>613</v>
      </c>
      <c r="B879" s="175">
        <v>46047</v>
      </c>
      <c r="C879" s="171" t="s">
        <v>131</v>
      </c>
      <c r="D879" s="171" t="s">
        <v>424</v>
      </c>
      <c r="E879" s="171" t="s">
        <v>78</v>
      </c>
      <c r="F879" s="171" t="s">
        <v>176</v>
      </c>
      <c r="G879" s="171" t="s">
        <v>177</v>
      </c>
      <c r="H879" s="176">
        <v>1</v>
      </c>
      <c r="I879" s="177">
        <v>-4940</v>
      </c>
      <c r="J879" s="175">
        <v>46039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2124.1999999999998</v>
      </c>
    </row>
    <row r="880" spans="1:16" ht="19.5" customHeight="1">
      <c r="A880" s="171" t="s">
        <v>740</v>
      </c>
      <c r="B880" s="175">
        <v>46047</v>
      </c>
      <c r="C880" s="171" t="s">
        <v>110</v>
      </c>
      <c r="D880" s="171" t="s">
        <v>117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740</v>
      </c>
      <c r="B881" s="175">
        <v>46047</v>
      </c>
      <c r="C881" s="171" t="s">
        <v>110</v>
      </c>
      <c r="D881" s="171" t="s">
        <v>118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-56.94</v>
      </c>
    </row>
    <row r="882" spans="1:16" ht="19.5" customHeight="1">
      <c r="A882" s="171" t="s">
        <v>740</v>
      </c>
      <c r="B882" s="175">
        <v>46047</v>
      </c>
      <c r="C882" s="171" t="s">
        <v>115</v>
      </c>
      <c r="D882" s="171" t="s">
        <v>119</v>
      </c>
      <c r="E882" s="171" t="s">
        <v>77</v>
      </c>
      <c r="F882" s="171" t="s">
        <v>194</v>
      </c>
      <c r="G882" s="171" t="s">
        <v>177</v>
      </c>
      <c r="H882" s="176">
        <v>1</v>
      </c>
      <c r="I882" s="177">
        <v>0</v>
      </c>
      <c r="J882" s="175">
        <v>46038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613</v>
      </c>
      <c r="B883" s="175">
        <v>46047</v>
      </c>
      <c r="C883" s="171" t="s">
        <v>115</v>
      </c>
      <c r="D883" s="171" t="s">
        <v>135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46039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40.22</v>
      </c>
    </row>
    <row r="884" spans="1:16" ht="19.5" customHeight="1">
      <c r="A884" s="171" t="s">
        <v>742</v>
      </c>
      <c r="B884" s="175">
        <v>46047</v>
      </c>
      <c r="C884" s="171" t="s">
        <v>110</v>
      </c>
      <c r="D884" s="171" t="s">
        <v>24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>
        <v>52</v>
      </c>
      <c r="P884" s="179">
        <v>-46.77</v>
      </c>
    </row>
    <row r="885" spans="1:16" ht="19.5" customHeight="1">
      <c r="A885" s="171" t="s">
        <v>742</v>
      </c>
      <c r="B885" s="175">
        <v>46047</v>
      </c>
      <c r="C885" s="171" t="s">
        <v>115</v>
      </c>
      <c r="D885" s="171" t="s">
        <v>116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-21.82</v>
      </c>
    </row>
    <row r="886" spans="1:16" ht="19.5" customHeight="1">
      <c r="A886" s="171" t="s">
        <v>742</v>
      </c>
      <c r="B886" s="175">
        <v>46047</v>
      </c>
      <c r="C886" s="171" t="s">
        <v>110</v>
      </c>
      <c r="D886" s="171" t="s">
        <v>117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0</v>
      </c>
    </row>
    <row r="887" spans="1:16" ht="19.5" customHeight="1">
      <c r="A887" s="171" t="s">
        <v>742</v>
      </c>
      <c r="B887" s="175">
        <v>46047</v>
      </c>
      <c r="C887" s="171" t="s">
        <v>110</v>
      </c>
      <c r="D887" s="171" t="s">
        <v>118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-46.77</v>
      </c>
    </row>
    <row r="888" spans="1:16" ht="19.5" customHeight="1">
      <c r="A888" s="171" t="s">
        <v>742</v>
      </c>
      <c r="B888" s="175">
        <v>46047</v>
      </c>
      <c r="C888" s="171" t="s">
        <v>115</v>
      </c>
      <c r="D888" s="171" t="s">
        <v>119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0</v>
      </c>
      <c r="J888" s="175">
        <v>46043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-15</v>
      </c>
    </row>
    <row r="889" spans="1:16" ht="19.5" customHeight="1">
      <c r="A889" s="171" t="s">
        <v>743</v>
      </c>
      <c r="B889" s="175">
        <v>46047</v>
      </c>
      <c r="C889" s="171" t="s">
        <v>110</v>
      </c>
      <c r="D889" s="171" t="s">
        <v>24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>
        <v>44</v>
      </c>
      <c r="P889" s="179">
        <v>-46.77</v>
      </c>
    </row>
    <row r="890" spans="1:16" ht="19.5" customHeight="1">
      <c r="A890" s="171" t="s">
        <v>743</v>
      </c>
      <c r="B890" s="175">
        <v>46047</v>
      </c>
      <c r="C890" s="171" t="s">
        <v>115</v>
      </c>
      <c r="D890" s="171" t="s">
        <v>116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-7.37</v>
      </c>
    </row>
    <row r="891" spans="1:16" ht="19.5" customHeight="1">
      <c r="A891" s="171" t="s">
        <v>743</v>
      </c>
      <c r="B891" s="175">
        <v>46047</v>
      </c>
      <c r="C891" s="171" t="s">
        <v>110</v>
      </c>
      <c r="D891" s="171" t="s">
        <v>117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0</v>
      </c>
    </row>
    <row r="892" spans="1:16" ht="19.5" customHeight="1">
      <c r="A892" s="171" t="s">
        <v>743</v>
      </c>
      <c r="B892" s="175">
        <v>46047</v>
      </c>
      <c r="C892" s="171" t="s">
        <v>110</v>
      </c>
      <c r="D892" s="171" t="s">
        <v>118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46036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-46.77</v>
      </c>
    </row>
    <row r="893" spans="1:16" ht="19.5" customHeight="1">
      <c r="A893" s="171" t="s">
        <v>744</v>
      </c>
      <c r="B893" s="175">
        <v>46047</v>
      </c>
      <c r="C893" s="171" t="s">
        <v>110</v>
      </c>
      <c r="D893" s="171" t="s">
        <v>24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0.43</v>
      </c>
      <c r="N893" s="176"/>
      <c r="O893" s="176">
        <v>54</v>
      </c>
      <c r="P893" s="179">
        <v>-265.36</v>
      </c>
    </row>
    <row r="894" spans="1:16" ht="19.5" customHeight="1">
      <c r="A894" s="171" t="s">
        <v>744</v>
      </c>
      <c r="B894" s="175">
        <v>46047</v>
      </c>
      <c r="C894" s="171" t="s">
        <v>127</v>
      </c>
      <c r="D894" s="171" t="s">
        <v>128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1620.62</v>
      </c>
    </row>
    <row r="895" spans="1:16" ht="19.5" customHeight="1">
      <c r="A895" s="171" t="s">
        <v>744</v>
      </c>
      <c r="B895" s="175">
        <v>46047</v>
      </c>
      <c r="C895" s="171" t="s">
        <v>127</v>
      </c>
      <c r="D895" s="171" t="s">
        <v>129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16.21</v>
      </c>
    </row>
    <row r="896" spans="1:16" ht="19.5" customHeight="1">
      <c r="A896" s="171" t="s">
        <v>744</v>
      </c>
      <c r="B896" s="175">
        <v>46047</v>
      </c>
      <c r="C896" s="171" t="s">
        <v>127</v>
      </c>
      <c r="D896" s="171" t="s">
        <v>130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2541.17</v>
      </c>
    </row>
    <row r="897" spans="1:16" ht="19.5" customHeight="1">
      <c r="A897" s="171" t="s">
        <v>744</v>
      </c>
      <c r="B897" s="175">
        <v>46047</v>
      </c>
      <c r="C897" s="171" t="s">
        <v>131</v>
      </c>
      <c r="D897" s="171" t="s">
        <v>132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-1796.54</v>
      </c>
    </row>
    <row r="898" spans="1:16" ht="19.5" customHeight="1">
      <c r="A898" s="171" t="s">
        <v>744</v>
      </c>
      <c r="B898" s="175">
        <v>46047</v>
      </c>
      <c r="C898" s="171" t="s">
        <v>115</v>
      </c>
      <c r="D898" s="171" t="s">
        <v>116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4178</v>
      </c>
      <c r="J898" s="175">
        <v>46044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-13.01</v>
      </c>
    </row>
    <row r="899" spans="1:16" ht="19.5" customHeight="1">
      <c r="A899" s="171" t="s">
        <v>744</v>
      </c>
      <c r="B899" s="175">
        <v>46047</v>
      </c>
      <c r="C899" s="171" t="s">
        <v>115</v>
      </c>
      <c r="D899" s="171" t="s">
        <v>135</v>
      </c>
      <c r="E899" s="171" t="s">
        <v>77</v>
      </c>
      <c r="F899" s="171" t="s">
        <v>194</v>
      </c>
      <c r="G899" s="171" t="s">
        <v>177</v>
      </c>
      <c r="H899" s="176">
        <v>1</v>
      </c>
      <c r="I899" s="177">
        <v>0</v>
      </c>
      <c r="J899" s="175">
        <v>46044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-30.79</v>
      </c>
    </row>
    <row r="900" spans="1:16" ht="19.5" customHeight="1">
      <c r="A900" s="171" t="s">
        <v>745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-7.93</v>
      </c>
    </row>
    <row r="901" spans="1:16" ht="19.5" customHeight="1">
      <c r="A901" s="171" t="s">
        <v>746</v>
      </c>
      <c r="B901" s="175">
        <v>46047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46047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-14.99</v>
      </c>
    </row>
    <row r="902" spans="1:16" ht="19.5" customHeight="1">
      <c r="A902" s="171" t="s">
        <v>747</v>
      </c>
      <c r="B902" s="175">
        <v>46047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>
        <v>53</v>
      </c>
      <c r="P902" s="179">
        <v>-46.77</v>
      </c>
    </row>
    <row r="903" spans="1:16" ht="19.5" customHeight="1">
      <c r="A903" s="171" t="s">
        <v>747</v>
      </c>
      <c r="B903" s="175">
        <v>46047</v>
      </c>
      <c r="C903" s="171" t="s">
        <v>115</v>
      </c>
      <c r="D903" s="171" t="s">
        <v>116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-8.9700000000000006</v>
      </c>
    </row>
    <row r="904" spans="1:16" ht="19.5" customHeight="1">
      <c r="A904" s="171" t="s">
        <v>747</v>
      </c>
      <c r="B904" s="175">
        <v>46047</v>
      </c>
      <c r="C904" s="171" t="s">
        <v>110</v>
      </c>
      <c r="D904" s="171" t="s">
        <v>117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0</v>
      </c>
    </row>
    <row r="905" spans="1:16" ht="19.5" customHeight="1">
      <c r="A905" s="171" t="s">
        <v>747</v>
      </c>
      <c r="B905" s="175">
        <v>46047</v>
      </c>
      <c r="C905" s="171" t="s">
        <v>110</v>
      </c>
      <c r="D905" s="171" t="s">
        <v>118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-46.77</v>
      </c>
    </row>
    <row r="906" spans="1:16" ht="19.5" customHeight="1">
      <c r="A906" s="171" t="s">
        <v>747</v>
      </c>
      <c r="B906" s="175">
        <v>46047</v>
      </c>
      <c r="C906" s="171" t="s">
        <v>115</v>
      </c>
      <c r="D906" s="171" t="s">
        <v>119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0</v>
      </c>
      <c r="J906" s="175">
        <v>46041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-15</v>
      </c>
    </row>
    <row r="907" spans="1:16" ht="19.5" customHeight="1">
      <c r="A907" s="171" t="s">
        <v>748</v>
      </c>
      <c r="B907" s="175">
        <v>46047</v>
      </c>
      <c r="C907" s="171" t="s">
        <v>123</v>
      </c>
      <c r="D907" s="171" t="s">
        <v>380</v>
      </c>
      <c r="E907" s="171" t="s">
        <v>125</v>
      </c>
      <c r="F907" s="171" t="s">
        <v>125</v>
      </c>
      <c r="G907" s="171" t="s">
        <v>125</v>
      </c>
      <c r="H907" s="176">
        <v>0</v>
      </c>
      <c r="I907" s="177">
        <v>0</v>
      </c>
      <c r="J907" s="175">
        <v>46040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-1087.5</v>
      </c>
    </row>
    <row r="908" spans="1:16" ht="19.5" customHeight="1">
      <c r="A908" s="171" t="s">
        <v>749</v>
      </c>
      <c r="B908" s="175">
        <v>46047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46042</v>
      </c>
      <c r="K908" s="171" t="s">
        <v>113</v>
      </c>
      <c r="L908" s="171" t="s">
        <v>114</v>
      </c>
      <c r="M908" s="178">
        <v>0</v>
      </c>
      <c r="N908" s="176"/>
      <c r="O908" s="176">
        <v>52</v>
      </c>
      <c r="P908" s="179">
        <v>-147.6</v>
      </c>
    </row>
    <row r="909" spans="1:16" ht="19.5" customHeight="1">
      <c r="A909" s="171" t="s">
        <v>584</v>
      </c>
      <c r="B909" s="175">
        <v>46047</v>
      </c>
      <c r="C909" s="171" t="s">
        <v>110</v>
      </c>
      <c r="D909" s="171" t="s">
        <v>121</v>
      </c>
      <c r="E909" s="171" t="s">
        <v>70</v>
      </c>
      <c r="F909" s="171" t="s">
        <v>513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0</v>
      </c>
    </row>
    <row r="910" spans="1:16" ht="19.5" customHeight="1">
      <c r="A910" s="171" t="s">
        <v>584</v>
      </c>
      <c r="B910" s="175">
        <v>46047</v>
      </c>
      <c r="C910" s="171" t="s">
        <v>110</v>
      </c>
      <c r="D910" s="171" t="s">
        <v>118</v>
      </c>
      <c r="E910" s="171" t="s">
        <v>70</v>
      </c>
      <c r="F910" s="171" t="s">
        <v>513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-56.94</v>
      </c>
    </row>
    <row r="911" spans="1:16" ht="19.5" customHeight="1">
      <c r="A911" s="171" t="s">
        <v>584</v>
      </c>
      <c r="B911" s="175">
        <v>46047</v>
      </c>
      <c r="C911" s="171" t="s">
        <v>115</v>
      </c>
      <c r="D911" s="171" t="s">
        <v>119</v>
      </c>
      <c r="E911" s="171" t="s">
        <v>70</v>
      </c>
      <c r="F911" s="171" t="s">
        <v>513</v>
      </c>
      <c r="G911" s="171" t="s">
        <v>177</v>
      </c>
      <c r="H911" s="176">
        <v>1</v>
      </c>
      <c r="I911" s="177">
        <v>0</v>
      </c>
      <c r="J911" s="175">
        <v>46038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-15</v>
      </c>
    </row>
    <row r="912" spans="1:16" ht="19.5" customHeight="1">
      <c r="A912" s="171" t="s">
        <v>223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46038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10.89</v>
      </c>
    </row>
    <row r="913" spans="1:16" ht="19.5" customHeight="1">
      <c r="A913" s="171" t="s">
        <v>750</v>
      </c>
      <c r="B913" s="175">
        <v>46047</v>
      </c>
      <c r="C913" s="171" t="s">
        <v>115</v>
      </c>
      <c r="D913" s="171" t="s">
        <v>135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-5.33</v>
      </c>
    </row>
    <row r="914" spans="1:16" ht="19.5" customHeight="1">
      <c r="A914" s="171" t="s">
        <v>125</v>
      </c>
      <c r="B914" s="175">
        <v>46047</v>
      </c>
      <c r="C914" s="171" t="s">
        <v>151</v>
      </c>
      <c r="D914" s="171" t="s">
        <v>751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-292.8</v>
      </c>
    </row>
    <row r="915" spans="1:16" ht="19.5" customHeight="1">
      <c r="A915" s="171" t="s">
        <v>714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-292.76</v>
      </c>
    </row>
    <row r="916" spans="1:16" ht="19.5" customHeight="1">
      <c r="A916" s="171" t="s">
        <v>675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-296.5</v>
      </c>
    </row>
    <row r="917" spans="1:16" ht="19.5" customHeight="1">
      <c r="A917" s="171" t="s">
        <v>569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-863.63</v>
      </c>
    </row>
    <row r="918" spans="1:16" ht="19.5" customHeight="1">
      <c r="A918" s="171" t="s">
        <v>180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-675.8</v>
      </c>
    </row>
    <row r="919" spans="1:16" ht="19.5" customHeight="1">
      <c r="A919" s="171" t="s">
        <v>179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-338.41</v>
      </c>
    </row>
    <row r="920" spans="1:16" ht="19.5" customHeight="1">
      <c r="A920" s="171" t="s">
        <v>150</v>
      </c>
      <c r="B920" s="175">
        <v>46047</v>
      </c>
      <c r="C920" s="171" t="s">
        <v>151</v>
      </c>
      <c r="D920" s="171" t="s">
        <v>152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-1277.5</v>
      </c>
    </row>
    <row r="921" spans="1:16" ht="19.5" customHeight="1">
      <c r="A921" s="171" t="s">
        <v>155</v>
      </c>
      <c r="B921" s="175">
        <v>46047</v>
      </c>
      <c r="C921" s="171" t="s">
        <v>151</v>
      </c>
      <c r="D921" s="171" t="s">
        <v>156</v>
      </c>
      <c r="E921" s="171" t="s">
        <v>125</v>
      </c>
      <c r="F921" s="171" t="s">
        <v>125</v>
      </c>
      <c r="G921" s="171" t="s">
        <v>125</v>
      </c>
      <c r="H921" s="176">
        <v>0</v>
      </c>
      <c r="I921" s="177">
        <v>0</v>
      </c>
      <c r="J921" s="175">
        <v>46047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-3556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410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411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411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411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411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411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412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412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412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412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412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412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413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413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413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413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413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414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415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416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417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418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418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418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418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418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419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417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419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417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419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417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419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417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419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417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419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417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420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420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420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420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420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420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419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417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421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421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421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421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421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421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420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422</v>
      </c>
      <c r="B47" s="175">
        <v>46027</v>
      </c>
      <c r="C47" s="171" t="s">
        <v>312</v>
      </c>
      <c r="D47" s="171" t="s">
        <v>423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422</v>
      </c>
      <c r="B48" s="175">
        <v>46027</v>
      </c>
      <c r="C48" s="171" t="s">
        <v>312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422</v>
      </c>
      <c r="B49" s="175">
        <v>46027</v>
      </c>
      <c r="C49" s="171" t="s">
        <v>312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422</v>
      </c>
      <c r="B50" s="175">
        <v>46027</v>
      </c>
      <c r="C50" s="171" t="s">
        <v>131</v>
      </c>
      <c r="D50" s="171" t="s">
        <v>424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425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425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422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425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425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425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426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427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427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427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427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427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427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428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428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428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428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428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428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428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429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430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431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431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431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431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431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431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356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353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432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432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432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432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432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433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434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433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434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433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434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433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434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433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434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433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434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435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435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435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435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435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435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436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436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436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436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436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437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437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437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437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437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437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437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312</v>
      </c>
      <c r="D112" s="171" t="s">
        <v>423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312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312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438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438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438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438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438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438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439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439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439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439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439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439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438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440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440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440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440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440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440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439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440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441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441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441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441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441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441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442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443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443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443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443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443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443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444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445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444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445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444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445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444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445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444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445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446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447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447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447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448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449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450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451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451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451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356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353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452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453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453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453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454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454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454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454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454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453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453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455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455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455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455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455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456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456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456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456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456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457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457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457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457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457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458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459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459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459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459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459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459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459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380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460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461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461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461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461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461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461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462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462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462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462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462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463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463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463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463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463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463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464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464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464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464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464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464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463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465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465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465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465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465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465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466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465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467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467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467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467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468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469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469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469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469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469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469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469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400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470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353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452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356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471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472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472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472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472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472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473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473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473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473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473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474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474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474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474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474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475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475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475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475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475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476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476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476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477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478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477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478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477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478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477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478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477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478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479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409</v>
      </c>
      <c r="B288" s="175">
        <v>46030</v>
      </c>
      <c r="C288" s="171" t="s">
        <v>312</v>
      </c>
      <c r="D288" s="171" t="s">
        <v>423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409</v>
      </c>
      <c r="B289" s="175">
        <v>46030</v>
      </c>
      <c r="C289" s="171" t="s">
        <v>312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409</v>
      </c>
      <c r="B290" s="175">
        <v>46030</v>
      </c>
      <c r="C290" s="171" t="s">
        <v>312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409</v>
      </c>
      <c r="B291" s="175">
        <v>46030</v>
      </c>
      <c r="C291" s="171" t="s">
        <v>131</v>
      </c>
      <c r="D291" s="171" t="s">
        <v>424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409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480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480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480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480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480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481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481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481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481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481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482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482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482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482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482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483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483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483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483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483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483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484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485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486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486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486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486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486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486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487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487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487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487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487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487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488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488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488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488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488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489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489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489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489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489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489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489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490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490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490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490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491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417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491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417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491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417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491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417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491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417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491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417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492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492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492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492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492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492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493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494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493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494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493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494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493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494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493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494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493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494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493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494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495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495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495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495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495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496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496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496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496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496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497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497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497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497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497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356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353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452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498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498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498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498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498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499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499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499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499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499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422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422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422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500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500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500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500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500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501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501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501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502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502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502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502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502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503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503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503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503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503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503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504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504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504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504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504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504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505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504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506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507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507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507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507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507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507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507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508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508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508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508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508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508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508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509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509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509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509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509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509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509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510</v>
      </c>
      <c r="B451" s="175">
        <v>46031</v>
      </c>
      <c r="C451" s="171" t="s">
        <v>511</v>
      </c>
      <c r="D451" s="171" t="s">
        <v>512</v>
      </c>
      <c r="E451" s="171" t="s">
        <v>70</v>
      </c>
      <c r="F451" s="171" t="s">
        <v>513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510</v>
      </c>
      <c r="B452" s="175">
        <v>46031</v>
      </c>
      <c r="C452" s="171" t="s">
        <v>115</v>
      </c>
      <c r="D452" s="171" t="s">
        <v>514</v>
      </c>
      <c r="E452" s="171" t="s">
        <v>70</v>
      </c>
      <c r="F452" s="171" t="s">
        <v>513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515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515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515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515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515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515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516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516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516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516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516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516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517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517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517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517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517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517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518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518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518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519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518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518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520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521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522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522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522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522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522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522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523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417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523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417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523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417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523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417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523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417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524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524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524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524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524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524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524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379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525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525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525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525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525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525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525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526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526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526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526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526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527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527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527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527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527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528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528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528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528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528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527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529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529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529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529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529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529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530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530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530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530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530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530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531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531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531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531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531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531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529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530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532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532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532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532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532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532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533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533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533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533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533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533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532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534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534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534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535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535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535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535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536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536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536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536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536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537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537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537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537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537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534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534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446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312</v>
      </c>
      <c r="D578" s="171" t="s">
        <v>423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312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312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424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538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538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538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538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538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538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538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510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513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510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513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510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513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510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513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510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513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539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539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539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539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539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540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541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417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541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417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541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417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541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417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541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417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542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542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542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542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542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542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542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543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543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543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543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543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543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544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544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544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544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544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545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434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545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434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545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434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545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434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545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434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545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434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545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434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546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546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546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546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546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546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546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547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547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547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547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547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547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344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345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345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345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345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345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346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347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348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349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350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350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350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350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350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351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352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353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354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355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356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357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357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357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357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358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358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358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358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358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359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360</v>
      </c>
      <c r="G34" s="171" t="s">
        <v>361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359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360</v>
      </c>
      <c r="G35" s="171" t="s">
        <v>361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359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360</v>
      </c>
      <c r="G36" s="171" t="s">
        <v>361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359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360</v>
      </c>
      <c r="G37" s="171" t="s">
        <v>361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359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360</v>
      </c>
      <c r="G38" s="171" t="s">
        <v>361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362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363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362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363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362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363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362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363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362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363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362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363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364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364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364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364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364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364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362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363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365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366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366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366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366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366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366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367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367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367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367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367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367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366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367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368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368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368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369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369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369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369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369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369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370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370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370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370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370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370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370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371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371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371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371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371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372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373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353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356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374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374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374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374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374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374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374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375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376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376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376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376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376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376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376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377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377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377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377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377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377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377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378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378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378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378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378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378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379</v>
      </c>
      <c r="B122" s="175">
        <v>46025</v>
      </c>
      <c r="C122" s="171" t="s">
        <v>123</v>
      </c>
      <c r="D122" s="171" t="s">
        <v>380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381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381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381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381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381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381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382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382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382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382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382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382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383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383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383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383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383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383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384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384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384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384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384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384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385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384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386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387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387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387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387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387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387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388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389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390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390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390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390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390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391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391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391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391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391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391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391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392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392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392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353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356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393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394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395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395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395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395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395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396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396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396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396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396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396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396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397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397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397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397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397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397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397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398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398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398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398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398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398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399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400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401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401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401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401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401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401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401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402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402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402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402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402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403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403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403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403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403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403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404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405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405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405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405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405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405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406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406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406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406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406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406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407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407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407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407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407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407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408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408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408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408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408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408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409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409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409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409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409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409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409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356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353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Сводная</vt:lpstr>
      <vt:lpstr>АВС 01.02</vt:lpstr>
      <vt:lpstr>АВС ЯНВАРЬ</vt:lpstr>
      <vt:lpstr>АВС 26-31.01</vt:lpstr>
      <vt:lpstr>АВС 19-25.01</vt:lpstr>
      <vt:lpstr>АВС 12-18.01</vt:lpstr>
      <vt:lpstr>АВС 05-11.01</vt:lpstr>
      <vt:lpstr>АВС 01-04.01</vt:lpstr>
      <vt:lpstr>Юнит 01.02</vt:lpstr>
      <vt:lpstr>ЯНВАРЬ</vt:lpstr>
      <vt:lpstr>Юнит 26-31.01</vt:lpstr>
      <vt:lpstr>Юнит 19-25.01</vt:lpstr>
      <vt:lpstr>Юнит 12-18.01</vt:lpstr>
      <vt:lpstr>Юнит 05-11.01</vt:lpstr>
      <vt:lpstr>Юнит 01-04.01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2026-01-28T09:10:07Z</dcterms:modified>
</cp:coreProperties>
</file>